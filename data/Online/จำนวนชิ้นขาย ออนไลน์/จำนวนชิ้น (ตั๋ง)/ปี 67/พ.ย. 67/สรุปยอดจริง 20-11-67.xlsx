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7D31AB-310B-4B32-8FF8-2A590614992A}" xr6:coauthVersionLast="47" xr6:coauthVersionMax="47" xr10:uidLastSave="{00000000-0000-0000-0000-000000000000}"/>
  <bookViews>
    <workbookView xWindow="-120" yWindow="-120" windowWidth="29040" windowHeight="15720" activeTab="4" xr2:uid="{55C9AAA3-F459-48EC-A639-AACFFC6390F5}"/>
  </bookViews>
  <sheets>
    <sheet name="เย็น  " sheetId="8" r:id="rId1"/>
    <sheet name="บ่าย" sheetId="10" state="hidden" r:id="rId2"/>
    <sheet name="เช้า" sheetId="3" r:id="rId3"/>
    <sheet name="บ่าย " sheetId="11" r:id="rId4"/>
    <sheet name="รวม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5" l="1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E57" i="5"/>
  <c r="F57" i="5"/>
  <c r="G57" i="5"/>
  <c r="H57" i="5"/>
  <c r="I57" i="5"/>
  <c r="J57" i="5"/>
  <c r="D57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5" i="5"/>
  <c r="F45" i="5"/>
  <c r="G45" i="5"/>
  <c r="H45" i="5"/>
  <c r="I45" i="5"/>
  <c r="J45" i="5"/>
  <c r="D45" i="5"/>
  <c r="E43" i="5"/>
  <c r="F43" i="5"/>
  <c r="G43" i="5"/>
  <c r="H43" i="5"/>
  <c r="I43" i="5"/>
  <c r="J43" i="5"/>
  <c r="D43" i="5"/>
  <c r="D41" i="5"/>
  <c r="E41" i="5"/>
  <c r="F41" i="5"/>
  <c r="G41" i="5"/>
  <c r="H41" i="5"/>
  <c r="I41" i="5"/>
  <c r="J41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E7" i="5"/>
  <c r="F7" i="5"/>
  <c r="G7" i="5"/>
  <c r="H7" i="5"/>
  <c r="I7" i="5"/>
  <c r="J7" i="5"/>
  <c r="D7" i="5"/>
  <c r="J78" i="11"/>
  <c r="I78" i="11"/>
  <c r="H78" i="11"/>
  <c r="G78" i="11"/>
  <c r="F78" i="11"/>
  <c r="E78" i="11"/>
  <c r="D78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4" i="11"/>
  <c r="K53" i="11"/>
  <c r="K52" i="11"/>
  <c r="K51" i="11"/>
  <c r="K50" i="11"/>
  <c r="K49" i="11"/>
  <c r="K48" i="11"/>
  <c r="K47" i="11"/>
  <c r="K46" i="11"/>
  <c r="K45" i="11"/>
  <c r="K43" i="11"/>
  <c r="K41" i="11"/>
  <c r="K40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41" i="5"/>
  <c r="K41" i="3"/>
  <c r="K78" i="11" l="1"/>
  <c r="D78" i="8"/>
  <c r="E78" i="8"/>
  <c r="F78" i="8"/>
  <c r="G78" i="8"/>
  <c r="H78" i="8"/>
  <c r="I78" i="8"/>
  <c r="J78" i="8"/>
  <c r="D78" i="3" l="1"/>
  <c r="E78" i="3"/>
  <c r="F78" i="3"/>
  <c r="G78" i="3"/>
  <c r="H78" i="3"/>
  <c r="I78" i="3"/>
  <c r="J78" i="3"/>
  <c r="D76" i="5"/>
  <c r="E76" i="5"/>
  <c r="F76" i="5"/>
  <c r="G76" i="5"/>
  <c r="H76" i="5"/>
  <c r="I76" i="5"/>
  <c r="J76" i="5"/>
  <c r="D54" i="5"/>
  <c r="E54" i="5"/>
  <c r="F54" i="5"/>
  <c r="G54" i="5"/>
  <c r="H54" i="5"/>
  <c r="I54" i="5"/>
  <c r="J54" i="5"/>
  <c r="D38" i="5"/>
  <c r="E38" i="5"/>
  <c r="F38" i="5"/>
  <c r="G38" i="5"/>
  <c r="H38" i="5"/>
  <c r="I38" i="5"/>
  <c r="J38" i="5"/>
  <c r="D77" i="5" l="1"/>
  <c r="J77" i="5"/>
  <c r="H77" i="5"/>
  <c r="I77" i="5"/>
  <c r="G77" i="5"/>
  <c r="F77" i="5"/>
  <c r="E77" i="5"/>
  <c r="J80" i="10"/>
  <c r="I80" i="10"/>
  <c r="H80" i="10"/>
  <c r="G80" i="10"/>
  <c r="F80" i="10"/>
  <c r="E80" i="10"/>
  <c r="D80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6" i="10"/>
  <c r="K55" i="10"/>
  <c r="K54" i="10"/>
  <c r="K53" i="10"/>
  <c r="K52" i="10"/>
  <c r="K51" i="10"/>
  <c r="K50" i="10"/>
  <c r="K49" i="10"/>
  <c r="K48" i="10"/>
  <c r="K47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4" i="8"/>
  <c r="K53" i="8"/>
  <c r="K52" i="8"/>
  <c r="K51" i="8"/>
  <c r="K50" i="8"/>
  <c r="K49" i="8"/>
  <c r="K48" i="8"/>
  <c r="K47" i="8"/>
  <c r="K46" i="8"/>
  <c r="K45" i="8"/>
  <c r="K43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78" i="8" l="1"/>
  <c r="K80" i="10"/>
  <c r="K55" i="5"/>
  <c r="T39" i="5"/>
  <c r="T42" i="5"/>
  <c r="T44" i="5"/>
  <c r="T56" i="5"/>
  <c r="K49" i="5" l="1"/>
  <c r="K36" i="5"/>
  <c r="K45" i="5"/>
  <c r="K43" i="5"/>
  <c r="K29" i="5"/>
  <c r="K9" i="5"/>
  <c r="K8" i="5"/>
  <c r="K73" i="5"/>
  <c r="K70" i="5"/>
  <c r="K66" i="5"/>
  <c r="K65" i="5"/>
  <c r="K62" i="5"/>
  <c r="K61" i="5"/>
  <c r="K58" i="5"/>
  <c r="K57" i="5"/>
  <c r="K74" i="5"/>
  <c r="K69" i="5"/>
  <c r="K53" i="5"/>
  <c r="K54" i="5"/>
  <c r="K52" i="5"/>
  <c r="K50" i="5"/>
  <c r="K48" i="5"/>
  <c r="K46" i="5"/>
  <c r="K51" i="5"/>
  <c r="K47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2" i="5"/>
  <c r="K67" i="5"/>
  <c r="K63" i="5"/>
  <c r="K60" i="5"/>
  <c r="K75" i="5"/>
  <c r="K71" i="5"/>
  <c r="K68" i="5"/>
  <c r="K64" i="5"/>
  <c r="K59" i="5"/>
  <c r="K76" i="5" l="1"/>
  <c r="M77" i="5" l="1"/>
  <c r="N77" i="5"/>
  <c r="O77" i="5"/>
  <c r="K37" i="5" l="1"/>
  <c r="K38" i="5" l="1"/>
  <c r="P38" i="5" s="1"/>
  <c r="T38" i="5" s="1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46" i="3"/>
  <c r="K47" i="3"/>
  <c r="K48" i="3"/>
  <c r="K49" i="3"/>
  <c r="K50" i="3"/>
  <c r="K51" i="3"/>
  <c r="K52" i="3"/>
  <c r="K53" i="3"/>
  <c r="K54" i="3"/>
  <c r="K45" i="3"/>
  <c r="K43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5" l="1"/>
  <c r="K78" i="3"/>
  <c r="P76" i="5"/>
  <c r="P37" i="5"/>
  <c r="T37" i="5" s="1"/>
  <c r="P66" i="5"/>
  <c r="T66" i="5" s="1"/>
  <c r="P24" i="5"/>
  <c r="T24" i="5" s="1"/>
  <c r="P21" i="5"/>
  <c r="T21" i="5" s="1"/>
  <c r="P17" i="5"/>
  <c r="T17" i="5" s="1"/>
  <c r="P58" i="5"/>
  <c r="T58" i="5" s="1"/>
  <c r="P30" i="5"/>
  <c r="T30" i="5" s="1"/>
  <c r="P14" i="5"/>
  <c r="T14" i="5" s="1"/>
  <c r="P72" i="5"/>
  <c r="T72" i="5" s="1"/>
  <c r="P71" i="5"/>
  <c r="T71" i="5" s="1"/>
  <c r="P67" i="5"/>
  <c r="T67" i="5" s="1"/>
  <c r="P65" i="5"/>
  <c r="T65" i="5" s="1"/>
  <c r="P59" i="5"/>
  <c r="T59" i="5" s="1"/>
  <c r="P74" i="5"/>
  <c r="T74" i="5" s="1"/>
  <c r="P73" i="5"/>
  <c r="T73" i="5" s="1"/>
  <c r="P70" i="5"/>
  <c r="T70" i="5" s="1"/>
  <c r="P68" i="5"/>
  <c r="T68" i="5" s="1"/>
  <c r="P60" i="5"/>
  <c r="T60" i="5" s="1"/>
  <c r="P54" i="5"/>
  <c r="T54" i="5" s="1"/>
  <c r="P52" i="5"/>
  <c r="T52" i="5" s="1"/>
  <c r="P49" i="5"/>
  <c r="T49" i="5" s="1"/>
  <c r="P48" i="5"/>
  <c r="T48" i="5" s="1"/>
  <c r="P51" i="5"/>
  <c r="T51" i="5" s="1"/>
  <c r="P50" i="5"/>
  <c r="T50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7" i="5"/>
  <c r="T47" i="5" s="1"/>
  <c r="P57" i="5"/>
  <c r="T57" i="5" s="1"/>
  <c r="P75" i="5"/>
  <c r="T75" i="5" s="1"/>
  <c r="P69" i="5"/>
  <c r="T69" i="5" s="1"/>
  <c r="P61" i="5"/>
  <c r="T61" i="5" s="1"/>
  <c r="P36" i="5"/>
  <c r="T36" i="5" s="1"/>
  <c r="P32" i="5"/>
  <c r="T32" i="5" s="1"/>
  <c r="P28" i="5"/>
  <c r="T28" i="5" s="1"/>
  <c r="P15" i="5"/>
  <c r="T15" i="5" s="1"/>
  <c r="P40" i="5"/>
  <c r="T40" i="5" s="1"/>
  <c r="P64" i="5"/>
  <c r="T64" i="5" s="1"/>
  <c r="P63" i="5"/>
  <c r="T63" i="5" s="1"/>
  <c r="P53" i="5"/>
  <c r="T53" i="5" s="1"/>
  <c r="P46" i="5"/>
  <c r="T46" i="5" s="1"/>
  <c r="P43" i="5"/>
  <c r="T43" i="5" s="1"/>
  <c r="P62" i="5"/>
  <c r="T62" i="5" s="1"/>
  <c r="P11" i="5"/>
  <c r="T11" i="5" s="1"/>
  <c r="P10" i="5"/>
  <c r="T10" i="5" s="1"/>
  <c r="L77" i="5"/>
  <c r="P7" i="5" l="1"/>
  <c r="T7" i="5" s="1"/>
  <c r="P45" i="5"/>
  <c r="T45" i="5" s="1"/>
  <c r="P55" i="5" l="1"/>
  <c r="T55" i="5" s="1"/>
  <c r="K38" i="3"/>
  <c r="P77" i="5" l="1"/>
</calcChain>
</file>

<file path=xl/sharedStrings.xml><?xml version="1.0" encoding="utf-8"?>
<sst xmlns="http://schemas.openxmlformats.org/spreadsheetml/2006/main" count="485" uniqueCount="102">
  <si>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</si>
  <si>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</si>
  <si>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</si>
  <si>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</si>
  <si>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</si>
  <si>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</si>
  <si>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</si>
  <si>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</si>
  <si>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</si>
  <si>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</si>
  <si>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</si>
  <si>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</si>
  <si>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</si>
  <si>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</si>
  <si>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</si>
  <si>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</si>
  <si>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</si>
  <si>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</si>
  <si>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</si>
  <si>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</si>
  <si>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</si>
  <si>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</si>
  <si>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</si>
  <si>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</si>
  <si>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</si>
  <si>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</si>
  <si>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</si>
  <si>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</si>
  <si>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</si>
  <si>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</si>
  <si>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</si>
  <si>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</si>
  <si>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</si>
  <si>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</si>
  <si>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</si>
  <si>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</si>
  <si>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</si>
  <si>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</si>
  <si>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</si>
  <si>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</si>
  <si>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</si>
  <si>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</si>
  <si>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</si>
  <si>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</si>
  <si>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</si>
  <si>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</si>
  <si>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</si>
  <si>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</si>
  <si>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</si>
  <si>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</si>
  <si>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</si>
  <si>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</si>
  <si>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</si>
  <si>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</si>
  <si>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</si>
  <si>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</si>
  <si>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</si>
  <si>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</si>
  <si>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</si>
  <si>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</si>
  <si>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</si>
  <si>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</si>
  <si>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</si>
  <si>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</si>
  <si>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</si>
  <si>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</si>
  <si>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</si>
  <si>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</si>
  <si>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</si>
  <si>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</si>
  <si>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</si>
  <si>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</si>
  <si>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</si>
  <si>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</si>
  <si>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</si>
  <si>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</si>
  <si>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</si>
  <si>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</si>
  <si>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</si>
  <si>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</si>
  <si>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</si>
  <si>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</si>
  <si>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</si>
  <si>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</si>
  <si>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</si>
  <si>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</si>
  <si>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</si>
  <si>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</si>
  <si>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</si>
  <si>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</si>
  <si>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</si>
  <si>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</si>
  <si>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กล่องทาร์ตสับปะรด</t>
  </si>
  <si>
    <t>ยอดจริง ออนไลน์ วันที่ 16/11/2567 - เย็น</t>
  </si>
  <si>
    <t>ชิฟฟอนไส้แยมบลูเบอรี่ 3 ชิ้น</t>
  </si>
  <si>
    <t>ชิฟฟอนไส้แยมฝอยทอง 3 ชิ้น</t>
  </si>
  <si>
    <t>ชิฟฟอนไส้แยมสตอเบอรี่ 3 ชิ้น</t>
  </si>
  <si>
    <t>ยอดจริง ออนไลน์ วันที่ 20/11/2567 - รวม</t>
  </si>
  <si>
    <t>ยอดจริง ออนไลน์ วันที่ 20/11/2567 - บ่าย</t>
  </si>
  <si>
    <t>ยอดจริง ออนไลน์ วันที่ 20/11/2567 - เช้า</t>
  </si>
  <si>
    <t>ชิฟฟอนไส้แยมฝอยทอง 6 ชิ้น</t>
  </si>
  <si>
    <t>ยอดจริง ออนไลน์ วันที่ 20/11/2567 - 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</si>
</sst>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2" fillId="0" borderId="11" xfId="0" applyFont="1" applyBorder="1" applyAlignment="1">
      <alignment horizontal="center" vertical="center"/>
    </xf>
    <xf numFmtId="187" fontId="7" fillId="9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8"/>
  <sheetViews>
    <sheetView zoomScale="60" zoomScaleNormal="60" workbookViewId="0">
      <selection activeCell="B2" sqref="B2:J3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2" t="s">
        <v>101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4"/>
      <c r="D2" s="54"/>
      <c r="E2" s="54"/>
      <c r="F2" s="54"/>
      <c r="G2" s="54"/>
      <c r="H2" s="54"/>
      <c r="I2" s="54"/>
      <c r="J2" s="55"/>
      <c r="K2" s="42" t="s">
        <v>0</v>
      </c>
    </row>
    <row r="3" spans="2:11" x14ac:dyDescent="0.2">
      <c r="B3" s="56"/>
      <c r="C3" s="57"/>
      <c r="D3" s="57"/>
      <c r="E3" s="57"/>
      <c r="F3" s="57"/>
      <c r="G3" s="57"/>
      <c r="H3" s="57"/>
      <c r="I3" s="57"/>
      <c r="J3" s="58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/>
      <c r="E7" s="30">
        <v>5</v>
      </c>
      <c r="F7" s="30">
        <v>8</v>
      </c>
      <c r="G7" s="30"/>
      <c r="H7" s="30"/>
      <c r="I7" s="30"/>
      <c r="J7" s="30"/>
      <c r="K7" s="41">
        <f t="shared" ref="K7:K37" si="0">SUM(D7:J7)</f>
        <v>13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1</v>
      </c>
      <c r="G9" s="30"/>
      <c r="H9" s="30"/>
      <c r="I9" s="30"/>
      <c r="J9" s="30"/>
      <c r="K9" s="41">
        <f t="shared" si="0"/>
        <v>1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15</v>
      </c>
      <c r="H10" s="30"/>
      <c r="I10" s="30"/>
      <c r="J10" s="30"/>
      <c r="K10" s="41">
        <f t="shared" si="0"/>
        <v>15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1</v>
      </c>
      <c r="H27" s="30"/>
      <c r="I27" s="30"/>
      <c r="J27" s="30"/>
      <c r="K27" s="41">
        <f t="shared" si="0"/>
        <v>1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1</v>
      </c>
      <c r="H28" s="30"/>
      <c r="I28" s="30"/>
      <c r="J28" s="30"/>
      <c r="K28" s="41">
        <f t="shared" si="0"/>
        <v>1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1</v>
      </c>
      <c r="H29" s="30"/>
      <c r="I29" s="30"/>
      <c r="J29" s="30"/>
      <c r="K29" s="41">
        <f t="shared" si="0"/>
        <v>1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>
        <v>1</v>
      </c>
      <c r="H30" s="30"/>
      <c r="I30" s="30"/>
      <c r="J30" s="30"/>
      <c r="K30" s="41">
        <f t="shared" si="0"/>
        <v>1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>
        <v>1</v>
      </c>
      <c r="H31" s="30"/>
      <c r="I31" s="30"/>
      <c r="J31" s="30"/>
      <c r="K31" s="41">
        <f t="shared" si="0"/>
        <v>1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/>
      <c r="F40" s="30">
        <v>2</v>
      </c>
      <c r="G40" s="30"/>
      <c r="H40" s="30"/>
      <c r="I40" s="30"/>
      <c r="J40" s="30"/>
      <c r="K40" s="41">
        <f>SUM(D40:J40)</f>
        <v>2</v>
      </c>
    </row>
    <row r="41" spans="2:11" x14ac:dyDescent="0.2">
      <c r="B41" s="11"/>
      <c r="C41" s="19"/>
      <c r="D41" s="30"/>
      <c r="E41" s="30"/>
      <c r="F41" s="30"/>
      <c r="G41" s="30"/>
      <c r="H41" s="30"/>
      <c r="I41" s="30"/>
      <c r="J41" s="30"/>
      <c r="K41" s="41"/>
    </row>
    <row r="42" spans="2:11" ht="19.5" x14ac:dyDescent="0.2">
      <c r="B42" s="59" t="s">
        <v>41</v>
      </c>
      <c r="C42" s="59"/>
      <c r="D42" s="59"/>
      <c r="E42" s="59"/>
      <c r="F42" s="59"/>
      <c r="G42" s="59"/>
      <c r="H42" s="59"/>
      <c r="I42" s="59"/>
      <c r="J42" s="59"/>
      <c r="K42" s="59"/>
    </row>
    <row r="43" spans="2:11" x14ac:dyDescent="0.2">
      <c r="B43" s="11">
        <v>1111008</v>
      </c>
      <c r="C43" s="19" t="s">
        <v>42</v>
      </c>
      <c r="D43" s="30"/>
      <c r="E43" s="30"/>
      <c r="F43" s="30"/>
      <c r="G43" s="30">
        <v>30</v>
      </c>
      <c r="H43" s="30"/>
      <c r="I43" s="30"/>
      <c r="J43" s="30"/>
      <c r="K43" s="41">
        <f>SUM(D43:J43)</f>
        <v>30</v>
      </c>
    </row>
    <row r="44" spans="2:11" ht="19.5" x14ac:dyDescent="0.2">
      <c r="B44" s="59" t="s">
        <v>43</v>
      </c>
      <c r="C44" s="59"/>
      <c r="D44" s="59"/>
      <c r="E44" s="59"/>
      <c r="F44" s="59"/>
      <c r="G44" s="59"/>
      <c r="H44" s="59"/>
      <c r="I44" s="59"/>
      <c r="J44" s="59"/>
      <c r="K44" s="59"/>
    </row>
    <row r="45" spans="2:11" x14ac:dyDescent="0.2">
      <c r="B45" s="11">
        <v>1112009</v>
      </c>
      <c r="C45" s="19" t="s">
        <v>44</v>
      </c>
      <c r="D45" s="30"/>
      <c r="E45" s="30">
        <v>2</v>
      </c>
      <c r="F45" s="30">
        <v>2</v>
      </c>
      <c r="G45" s="30">
        <v>25</v>
      </c>
      <c r="H45" s="30"/>
      <c r="I45" s="30"/>
      <c r="J45" s="30"/>
      <c r="K45" s="41">
        <f t="shared" ref="K45:K54" si="1">SUM(D45:J45)</f>
        <v>29</v>
      </c>
    </row>
    <row r="46" spans="2:11" x14ac:dyDescent="0.2">
      <c r="B46" s="11">
        <v>1112011</v>
      </c>
      <c r="C46" s="19" t="s">
        <v>45</v>
      </c>
      <c r="D46" s="30"/>
      <c r="E46" s="30">
        <v>2</v>
      </c>
      <c r="F46" s="30">
        <v>3</v>
      </c>
      <c r="G46" s="30">
        <v>25</v>
      </c>
      <c r="H46" s="30"/>
      <c r="I46" s="30"/>
      <c r="J46" s="30"/>
      <c r="K46" s="41">
        <f t="shared" si="1"/>
        <v>30</v>
      </c>
    </row>
    <row r="47" spans="2:11" x14ac:dyDescent="0.2">
      <c r="B47" s="11">
        <v>1112003</v>
      </c>
      <c r="C47" s="19" t="s">
        <v>46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1112005</v>
      </c>
      <c r="C48" s="19" t="s">
        <v>47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1112007</v>
      </c>
      <c r="C49" s="19" t="s">
        <v>48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1112019</v>
      </c>
      <c r="C50" s="19" t="s">
        <v>49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1112017</v>
      </c>
      <c r="C51" s="19" t="s">
        <v>50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1112015</v>
      </c>
      <c r="C52" s="19" t="s">
        <v>51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1112013</v>
      </c>
      <c r="C53" s="19" t="s">
        <v>52</v>
      </c>
      <c r="D53" s="30"/>
      <c r="E53" s="30">
        <v>2</v>
      </c>
      <c r="F53" s="30">
        <v>2</v>
      </c>
      <c r="G53" s="30">
        <v>25</v>
      </c>
      <c r="H53" s="30"/>
      <c r="I53" s="30"/>
      <c r="J53" s="30"/>
      <c r="K53" s="41">
        <f t="shared" si="1"/>
        <v>29</v>
      </c>
    </row>
    <row r="54" spans="2:11" x14ac:dyDescent="0.2">
      <c r="B54" s="11">
        <v>1124043</v>
      </c>
      <c r="C54" s="19" t="s">
        <v>53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8"/>
      <c r="C55" s="18" t="s">
        <v>1</v>
      </c>
      <c r="D55" s="18"/>
      <c r="E55" s="18"/>
      <c r="F55" s="18"/>
      <c r="G55" s="18"/>
      <c r="H55" s="18"/>
      <c r="I55" s="18"/>
      <c r="J55" s="18"/>
      <c r="K55" s="41"/>
    </row>
    <row r="56" spans="2:11" ht="19.5" x14ac:dyDescent="0.2">
      <c r="B56" s="59" t="s">
        <v>54</v>
      </c>
      <c r="C56" s="59"/>
      <c r="D56" s="59"/>
      <c r="E56" s="59"/>
      <c r="F56" s="59"/>
      <c r="G56" s="59"/>
      <c r="H56" s="59"/>
      <c r="I56" s="59"/>
      <c r="J56" s="59"/>
      <c r="K56" s="59"/>
    </row>
    <row r="57" spans="2:11" x14ac:dyDescent="0.2">
      <c r="B57" s="11">
        <v>1100003</v>
      </c>
      <c r="C57" s="21" t="s">
        <v>73</v>
      </c>
      <c r="D57" s="30"/>
      <c r="E57" s="30"/>
      <c r="F57" s="30"/>
      <c r="G57" s="30"/>
      <c r="H57" s="30"/>
      <c r="I57" s="30"/>
      <c r="J57" s="30"/>
      <c r="K57" s="41">
        <f t="shared" ref="K57:K76" si="2">SUM(D57:J57)</f>
        <v>0</v>
      </c>
    </row>
    <row r="58" spans="2:11" x14ac:dyDescent="0.2">
      <c r="B58" s="11">
        <v>1100001</v>
      </c>
      <c r="C58" s="21" t="s">
        <v>74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1100002</v>
      </c>
      <c r="C59" s="21" t="s">
        <v>75</v>
      </c>
      <c r="D59" s="30"/>
      <c r="E59" s="30"/>
      <c r="F59" s="30"/>
      <c r="G59" s="30">
        <v>2</v>
      </c>
      <c r="H59" s="30"/>
      <c r="I59" s="30"/>
      <c r="J59" s="30"/>
      <c r="K59" s="41">
        <f t="shared" si="2"/>
        <v>2</v>
      </c>
    </row>
    <row r="60" spans="2:11" x14ac:dyDescent="0.2">
      <c r="B60" s="11">
        <v>1200001</v>
      </c>
      <c r="C60" s="21" t="s">
        <v>57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1005761</v>
      </c>
      <c r="C61" s="21" t="s">
        <v>58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1114501</v>
      </c>
      <c r="C62" s="21" t="s">
        <v>59</v>
      </c>
      <c r="D62" s="30"/>
      <c r="E62" s="30">
        <v>3</v>
      </c>
      <c r="F62" s="30">
        <v>1</v>
      </c>
      <c r="G62" s="30">
        <v>79</v>
      </c>
      <c r="H62" s="30"/>
      <c r="I62" s="30"/>
      <c r="J62" s="30"/>
      <c r="K62" s="41">
        <f t="shared" si="2"/>
        <v>83</v>
      </c>
    </row>
    <row r="63" spans="2:11" x14ac:dyDescent="0.2">
      <c r="B63" s="11">
        <v>1114502</v>
      </c>
      <c r="C63" s="21" t="s">
        <v>60</v>
      </c>
      <c r="D63" s="30"/>
      <c r="E63" s="30">
        <v>1</v>
      </c>
      <c r="F63" s="30">
        <v>1</v>
      </c>
      <c r="G63" s="30">
        <v>79</v>
      </c>
      <c r="H63" s="30"/>
      <c r="I63" s="30"/>
      <c r="J63" s="30"/>
      <c r="K63" s="41">
        <f t="shared" si="2"/>
        <v>81</v>
      </c>
    </row>
    <row r="64" spans="2:11" x14ac:dyDescent="0.2">
      <c r="B64" s="11">
        <v>1114503</v>
      </c>
      <c r="C64" s="21" t="s">
        <v>61</v>
      </c>
      <c r="D64" s="30"/>
      <c r="E64" s="30">
        <v>2</v>
      </c>
      <c r="F64" s="30">
        <v>1</v>
      </c>
      <c r="G64" s="30">
        <v>79</v>
      </c>
      <c r="H64" s="30"/>
      <c r="I64" s="30"/>
      <c r="J64" s="30"/>
      <c r="K64" s="41">
        <f t="shared" si="2"/>
        <v>82</v>
      </c>
    </row>
    <row r="65" spans="2:11" x14ac:dyDescent="0.2">
      <c r="B65" s="11">
        <v>1124021</v>
      </c>
      <c r="C65" s="21" t="s">
        <v>62</v>
      </c>
      <c r="D65" s="30"/>
      <c r="E65" s="30">
        <v>8</v>
      </c>
      <c r="F65" s="30">
        <v>6</v>
      </c>
      <c r="G65" s="30">
        <v>20</v>
      </c>
      <c r="H65" s="30"/>
      <c r="I65" s="30"/>
      <c r="J65" s="30"/>
      <c r="K65" s="41">
        <f t="shared" si="2"/>
        <v>34</v>
      </c>
    </row>
    <row r="66" spans="2:11" x14ac:dyDescent="0.2">
      <c r="B66" s="11">
        <v>1113084</v>
      </c>
      <c r="C66" s="21" t="s">
        <v>63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900003</v>
      </c>
      <c r="C67" s="21" t="s">
        <v>83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900004</v>
      </c>
      <c r="C68" s="21" t="s">
        <v>64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1200002</v>
      </c>
      <c r="C69" s="21" t="s">
        <v>65</v>
      </c>
      <c r="D69" s="30"/>
      <c r="E69" s="30">
        <v>2</v>
      </c>
      <c r="F69" s="30"/>
      <c r="G69" s="30"/>
      <c r="H69" s="30"/>
      <c r="I69" s="30"/>
      <c r="J69" s="30"/>
      <c r="K69" s="41">
        <f t="shared" si="2"/>
        <v>2</v>
      </c>
    </row>
    <row r="70" spans="2:11" x14ac:dyDescent="0.2">
      <c r="B70" s="11">
        <v>1200003</v>
      </c>
      <c r="C70" s="21" t="s">
        <v>66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1200004</v>
      </c>
      <c r="C71" s="21" t="s">
        <v>67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1200093</v>
      </c>
      <c r="C72" s="21" t="s">
        <v>55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1200092</v>
      </c>
      <c r="C73" s="19" t="s">
        <v>56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76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77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92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C77" s="35"/>
      <c r="D77" s="38"/>
      <c r="E77" s="38"/>
      <c r="F77" s="38"/>
      <c r="G77" s="38"/>
      <c r="H77" s="38"/>
      <c r="I77" s="38"/>
      <c r="J77" s="38"/>
      <c r="K77" s="39"/>
    </row>
    <row r="78" spans="2:11" x14ac:dyDescent="0.2">
      <c r="C78" s="35"/>
      <c r="D78" s="39">
        <f t="shared" ref="D78:J78" si="3">SUM(D7:D37,D43,D45:D54,D57:D76)</f>
        <v>0</v>
      </c>
      <c r="E78" s="39">
        <f t="shared" si="3"/>
        <v>27</v>
      </c>
      <c r="F78" s="39">
        <f t="shared" si="3"/>
        <v>25</v>
      </c>
      <c r="G78" s="39">
        <f t="shared" si="3"/>
        <v>384</v>
      </c>
      <c r="H78" s="39">
        <f t="shared" si="3"/>
        <v>0</v>
      </c>
      <c r="I78" s="39">
        <f t="shared" si="3"/>
        <v>0</v>
      </c>
      <c r="J78" s="39">
        <f t="shared" si="3"/>
        <v>0</v>
      </c>
      <c r="K78" s="39">
        <f>SUM(K7:K37,K43,K45:K54,K57:K76)</f>
        <v>436</v>
      </c>
    </row>
    <row r="79" spans="2:11" x14ac:dyDescent="0.2">
      <c r="C79" s="24"/>
      <c r="D79" s="31"/>
      <c r="E79" s="60"/>
      <c r="F79" s="60"/>
      <c r="G79" s="26"/>
    </row>
    <row r="80" spans="2:11" x14ac:dyDescent="0.2">
      <c r="B80" s="60" t="s">
        <v>68</v>
      </c>
      <c r="C80" s="60"/>
      <c r="D80" s="32"/>
      <c r="E80" s="51"/>
      <c r="F80" s="51"/>
      <c r="G80" s="27"/>
      <c r="H80" s="26"/>
      <c r="I80" s="60" t="s">
        <v>68</v>
      </c>
      <c r="J80" s="60"/>
      <c r="K80" s="60"/>
    </row>
    <row r="81" spans="2:11" x14ac:dyDescent="0.2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 x14ac:dyDescent="0.2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</sheetData>
  <mergeCells count="13">
    <mergeCell ref="B81:C81"/>
    <mergeCell ref="I81:K81"/>
    <mergeCell ref="B1:K1"/>
    <mergeCell ref="B2:J3"/>
    <mergeCell ref="B6:K6"/>
    <mergeCell ref="B39:K39"/>
    <mergeCell ref="B42:K42"/>
    <mergeCell ref="B44:K44"/>
    <mergeCell ref="B56:K56"/>
    <mergeCell ref="E79:F79"/>
    <mergeCell ref="B80:C80"/>
    <mergeCell ref="E80:F80"/>
    <mergeCell ref="I80:K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0"/>
  <sheetViews>
    <sheetView topLeftCell="A31" zoomScale="70" zoomScaleNormal="70" workbookViewId="0">
      <selection activeCell="B43" sqref="B43:C4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2" t="s">
        <v>93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4"/>
      <c r="D2" s="54"/>
      <c r="E2" s="54"/>
      <c r="F2" s="54"/>
      <c r="G2" s="54"/>
      <c r="H2" s="54"/>
      <c r="I2" s="54"/>
      <c r="J2" s="55"/>
      <c r="K2" s="42" t="s">
        <v>0</v>
      </c>
    </row>
    <row r="3" spans="2:11" x14ac:dyDescent="0.2">
      <c r="B3" s="56"/>
      <c r="C3" s="57"/>
      <c r="D3" s="57"/>
      <c r="E3" s="57"/>
      <c r="F3" s="57"/>
      <c r="G3" s="57"/>
      <c r="H3" s="57"/>
      <c r="I3" s="57"/>
      <c r="J3" s="58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9" t="s">
        <v>41</v>
      </c>
      <c r="C41" s="59"/>
      <c r="D41" s="59"/>
      <c r="E41" s="59"/>
      <c r="F41" s="59"/>
      <c r="G41" s="59"/>
      <c r="H41" s="59"/>
      <c r="I41" s="59"/>
      <c r="J41" s="59"/>
      <c r="K41" s="59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1111017</v>
      </c>
      <c r="C43" s="19" t="s">
        <v>94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95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96</v>
      </c>
      <c r="D45" s="30"/>
      <c r="E45" s="30"/>
      <c r="F45" s="30"/>
      <c r="G45" s="30"/>
      <c r="H45" s="30"/>
      <c r="I45" s="30"/>
      <c r="J45" s="30"/>
      <c r="K45" s="41"/>
    </row>
    <row r="46" spans="2:11" ht="19.5" x14ac:dyDescent="0.2">
      <c r="B46" s="59" t="s">
        <v>43</v>
      </c>
      <c r="C46" s="59"/>
      <c r="D46" s="59"/>
      <c r="E46" s="59"/>
      <c r="F46" s="59"/>
      <c r="G46" s="59"/>
      <c r="H46" s="59"/>
      <c r="I46" s="59"/>
      <c r="J46" s="59"/>
      <c r="K46" s="59"/>
    </row>
    <row r="47" spans="2:11" x14ac:dyDescent="0.2">
      <c r="B47" s="11">
        <v>1112009</v>
      </c>
      <c r="C47" s="19" t="s">
        <v>44</v>
      </c>
      <c r="D47" s="30"/>
      <c r="E47" s="30"/>
      <c r="F47" s="30"/>
      <c r="G47" s="30"/>
      <c r="H47" s="30"/>
      <c r="I47" s="30"/>
      <c r="J47" s="30"/>
      <c r="K47" s="41">
        <f t="shared" ref="K47:K56" si="1">SUM(D47:J47)</f>
        <v>0</v>
      </c>
    </row>
    <row r="48" spans="2:11" x14ac:dyDescent="0.2">
      <c r="B48" s="11">
        <v>1112011</v>
      </c>
      <c r="C48" s="19" t="s">
        <v>45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/>
      <c r="F55" s="30"/>
      <c r="G55" s="30"/>
      <c r="H55" s="30"/>
      <c r="I55" s="30"/>
      <c r="J55" s="30"/>
      <c r="K55" s="41">
        <f t="shared" si="1"/>
        <v>0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9" t="s">
        <v>54</v>
      </c>
      <c r="C58" s="59"/>
      <c r="D58" s="59"/>
      <c r="E58" s="59"/>
      <c r="F58" s="59"/>
      <c r="G58" s="59"/>
      <c r="H58" s="59"/>
      <c r="I58" s="59"/>
      <c r="J58" s="59"/>
      <c r="K58" s="59"/>
    </row>
    <row r="59" spans="2:11" x14ac:dyDescent="0.2">
      <c r="B59" s="11">
        <v>1100003</v>
      </c>
      <c r="C59" s="21" t="s">
        <v>73</v>
      </c>
      <c r="D59" s="30"/>
      <c r="E59" s="30"/>
      <c r="F59" s="30"/>
      <c r="G59" s="30"/>
      <c r="H59" s="30"/>
      <c r="I59" s="30"/>
      <c r="J59" s="30"/>
      <c r="K59" s="41">
        <f t="shared" ref="K59:K78" si="2">SUM(D59:J59)</f>
        <v>0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1114501</v>
      </c>
      <c r="C64" s="21" t="s">
        <v>59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1114502</v>
      </c>
      <c r="C65" s="21" t="s">
        <v>60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1114503</v>
      </c>
      <c r="C66" s="21" t="s">
        <v>61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1124021</v>
      </c>
      <c r="C67" s="21" t="s">
        <v>62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/>
      <c r="F77" s="30"/>
      <c r="G77" s="30"/>
      <c r="H77" s="30"/>
      <c r="I77" s="30"/>
      <c r="J77" s="30"/>
      <c r="K77" s="41">
        <f t="shared" si="2"/>
        <v>0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0</v>
      </c>
      <c r="F80" s="39">
        <f t="shared" si="3"/>
        <v>0</v>
      </c>
      <c r="G80" s="39">
        <f t="shared" si="3"/>
        <v>0</v>
      </c>
      <c r="H80" s="39">
        <f t="shared" si="3"/>
        <v>0</v>
      </c>
      <c r="I80" s="39">
        <f t="shared" si="3"/>
        <v>0</v>
      </c>
      <c r="J80" s="39">
        <f t="shared" si="3"/>
        <v>0</v>
      </c>
      <c r="K80" s="39">
        <f>SUM(K7:K36,K40,K42,K47:K55,K59:K78)</f>
        <v>0</v>
      </c>
    </row>
    <row r="81" spans="2:11" x14ac:dyDescent="0.2">
      <c r="C81" s="24"/>
      <c r="D81" s="31"/>
      <c r="E81" s="60"/>
      <c r="F81" s="60"/>
      <c r="G81" s="26"/>
    </row>
    <row r="82" spans="2:11" x14ac:dyDescent="0.2">
      <c r="B82" s="60" t="s">
        <v>68</v>
      </c>
      <c r="C82" s="60"/>
      <c r="D82" s="32"/>
      <c r="E82" s="51"/>
      <c r="F82" s="51"/>
      <c r="G82" s="27"/>
      <c r="H82" s="26"/>
      <c r="I82" s="60" t="s">
        <v>68</v>
      </c>
      <c r="J82" s="60"/>
      <c r="K82" s="60"/>
    </row>
    <row r="83" spans="2:11" x14ac:dyDescent="0.2">
      <c r="B83" s="51" t="s">
        <v>69</v>
      </c>
      <c r="C83" s="51"/>
      <c r="D83" s="33"/>
      <c r="E83" s="33"/>
      <c r="F83" s="33"/>
      <c r="G83" s="33"/>
      <c r="H83" s="33"/>
      <c r="I83" s="51" t="s">
        <v>70</v>
      </c>
      <c r="J83" s="51"/>
      <c r="K83" s="51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8"/>
  <sheetViews>
    <sheetView zoomScale="60" zoomScaleNormal="60" workbookViewId="0">
      <selection activeCell="E31" sqref="E31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2" t="s">
        <v>99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x14ac:dyDescent="0.2">
      <c r="B2" s="53"/>
      <c r="C2" s="54"/>
      <c r="D2" s="54"/>
      <c r="E2" s="54"/>
      <c r="F2" s="54"/>
      <c r="G2" s="54"/>
      <c r="H2" s="54"/>
      <c r="I2" s="54"/>
      <c r="J2" s="55"/>
      <c r="K2" s="42" t="s">
        <v>0</v>
      </c>
    </row>
    <row r="3" spans="2:11" x14ac:dyDescent="0.2">
      <c r="B3" s="56"/>
      <c r="C3" s="57"/>
      <c r="D3" s="57"/>
      <c r="E3" s="57"/>
      <c r="F3" s="57"/>
      <c r="G3" s="57"/>
      <c r="H3" s="57"/>
      <c r="I3" s="57"/>
      <c r="J3" s="58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71</v>
      </c>
      <c r="D7" s="30">
        <v>3</v>
      </c>
      <c r="E7" s="30">
        <v>54</v>
      </c>
      <c r="F7" s="30">
        <v>7</v>
      </c>
      <c r="G7" s="30"/>
      <c r="H7" s="30"/>
      <c r="I7" s="30"/>
      <c r="J7" s="30"/>
      <c r="K7" s="41">
        <f t="shared" ref="K7:K37" si="0">SUM(D7:J7)</f>
        <v>64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1</v>
      </c>
      <c r="F9" s="30">
        <v>15</v>
      </c>
      <c r="G9" s="30"/>
      <c r="H9" s="30"/>
      <c r="I9" s="30"/>
      <c r="J9" s="30"/>
      <c r="K9" s="41">
        <f t="shared" si="0"/>
        <v>16</v>
      </c>
    </row>
    <row r="10" spans="2:11" x14ac:dyDescent="0.2">
      <c r="B10" s="11">
        <v>1004055</v>
      </c>
      <c r="C10" s="15" t="s">
        <v>72</v>
      </c>
      <c r="D10" s="30"/>
      <c r="E10" s="30">
        <v>1</v>
      </c>
      <c r="F10" s="30">
        <v>1</v>
      </c>
      <c r="G10" s="30">
        <v>18</v>
      </c>
      <c r="H10" s="30"/>
      <c r="I10" s="30"/>
      <c r="J10" s="30"/>
      <c r="K10" s="41">
        <f t="shared" si="0"/>
        <v>20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1</v>
      </c>
      <c r="H11" s="30"/>
      <c r="I11" s="30"/>
      <c r="J11" s="30"/>
      <c r="K11" s="41">
        <f t="shared" si="0"/>
        <v>1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5</v>
      </c>
      <c r="E27" s="30">
        <v>2</v>
      </c>
      <c r="F27" s="30"/>
      <c r="G27" s="30"/>
      <c r="H27" s="30"/>
      <c r="I27" s="30"/>
      <c r="J27" s="30"/>
      <c r="K27" s="41">
        <f t="shared" si="0"/>
        <v>7</v>
      </c>
    </row>
    <row r="28" spans="2:11" x14ac:dyDescent="0.2">
      <c r="B28" s="11">
        <v>1111075</v>
      </c>
      <c r="C28" s="15" t="s">
        <v>29</v>
      </c>
      <c r="D28" s="30">
        <v>5</v>
      </c>
      <c r="E28" s="30">
        <v>2</v>
      </c>
      <c r="F28" s="30"/>
      <c r="G28" s="30"/>
      <c r="H28" s="30"/>
      <c r="I28" s="30"/>
      <c r="J28" s="30"/>
      <c r="K28" s="41">
        <f t="shared" si="0"/>
        <v>7</v>
      </c>
    </row>
    <row r="29" spans="2:11" x14ac:dyDescent="0.2">
      <c r="B29" s="11">
        <v>1111076</v>
      </c>
      <c r="C29" s="15" t="s">
        <v>30</v>
      </c>
      <c r="D29" s="30">
        <v>5</v>
      </c>
      <c r="E29" s="30">
        <v>2</v>
      </c>
      <c r="F29" s="30"/>
      <c r="G29" s="30"/>
      <c r="H29" s="30"/>
      <c r="I29" s="30"/>
      <c r="J29" s="30"/>
      <c r="K29" s="41">
        <f t="shared" si="0"/>
        <v>7</v>
      </c>
    </row>
    <row r="30" spans="2:11" x14ac:dyDescent="0.2">
      <c r="B30" s="11">
        <v>1111077</v>
      </c>
      <c r="C30" s="15" t="s">
        <v>31</v>
      </c>
      <c r="D30" s="30">
        <v>5</v>
      </c>
      <c r="E30" s="30">
        <v>2</v>
      </c>
      <c r="F30" s="30"/>
      <c r="G30" s="30"/>
      <c r="H30" s="30"/>
      <c r="I30" s="30"/>
      <c r="J30" s="30"/>
      <c r="K30" s="41">
        <f t="shared" si="0"/>
        <v>7</v>
      </c>
    </row>
    <row r="31" spans="2:11" x14ac:dyDescent="0.2">
      <c r="B31" s="11">
        <v>1111078</v>
      </c>
      <c r="C31" s="15" t="s">
        <v>32</v>
      </c>
      <c r="D31" s="30">
        <v>5</v>
      </c>
      <c r="E31" s="30">
        <v>2</v>
      </c>
      <c r="F31" s="30"/>
      <c r="G31" s="30"/>
      <c r="H31" s="30"/>
      <c r="I31" s="30"/>
      <c r="J31" s="30"/>
      <c r="K31" s="41">
        <f t="shared" si="0"/>
        <v>7</v>
      </c>
    </row>
    <row r="32" spans="2:11" x14ac:dyDescent="0.2">
      <c r="B32" s="11">
        <v>1111079</v>
      </c>
      <c r="C32" s="15" t="s">
        <v>33</v>
      </c>
      <c r="D32" s="30">
        <v>5</v>
      </c>
      <c r="E32" s="30">
        <v>2</v>
      </c>
      <c r="F32" s="30"/>
      <c r="G32" s="30"/>
      <c r="H32" s="30"/>
      <c r="I32" s="30"/>
      <c r="J32" s="30"/>
      <c r="K32" s="41">
        <f t="shared" si="0"/>
        <v>7</v>
      </c>
    </row>
    <row r="33" spans="2:11" x14ac:dyDescent="0.2">
      <c r="B33" s="11">
        <v>1111080</v>
      </c>
      <c r="C33" s="15" t="s">
        <v>34</v>
      </c>
      <c r="D33" s="30">
        <v>5</v>
      </c>
      <c r="E33" s="30">
        <v>2</v>
      </c>
      <c r="F33" s="30"/>
      <c r="G33" s="30"/>
      <c r="H33" s="30"/>
      <c r="I33" s="30"/>
      <c r="J33" s="30"/>
      <c r="K33" s="41">
        <f t="shared" si="0"/>
        <v>7</v>
      </c>
    </row>
    <row r="34" spans="2:11" x14ac:dyDescent="0.2">
      <c r="B34" s="11">
        <v>1111081</v>
      </c>
      <c r="C34" s="15" t="s">
        <v>35</v>
      </c>
      <c r="D34" s="30">
        <v>5</v>
      </c>
      <c r="E34" s="30">
        <v>2</v>
      </c>
      <c r="F34" s="30"/>
      <c r="G34" s="30"/>
      <c r="H34" s="30"/>
      <c r="I34" s="30"/>
      <c r="J34" s="30"/>
      <c r="K34" s="41">
        <f t="shared" si="0"/>
        <v>7</v>
      </c>
    </row>
    <row r="35" spans="2:11" x14ac:dyDescent="0.2">
      <c r="B35" s="11">
        <v>1111082</v>
      </c>
      <c r="C35" s="15" t="s">
        <v>36</v>
      </c>
      <c r="D35" s="30">
        <v>5</v>
      </c>
      <c r="E35" s="30">
        <v>2</v>
      </c>
      <c r="F35" s="30"/>
      <c r="G35" s="30"/>
      <c r="H35" s="30"/>
      <c r="I35" s="30"/>
      <c r="J35" s="30"/>
      <c r="K35" s="41">
        <f t="shared" si="0"/>
        <v>7</v>
      </c>
    </row>
    <row r="36" spans="2:11" x14ac:dyDescent="0.2">
      <c r="B36" s="11">
        <v>1111083</v>
      </c>
      <c r="C36" s="15" t="s">
        <v>37</v>
      </c>
      <c r="D36" s="30">
        <v>5</v>
      </c>
      <c r="E36" s="30">
        <v>2</v>
      </c>
      <c r="F36" s="30"/>
      <c r="G36" s="30"/>
      <c r="H36" s="30"/>
      <c r="I36" s="30"/>
      <c r="J36" s="30"/>
      <c r="K36" s="41">
        <f t="shared" si="0"/>
        <v>7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x14ac:dyDescent="0.2">
      <c r="B40" s="11">
        <v>1111009</v>
      </c>
      <c r="C40" s="19" t="s">
        <v>40</v>
      </c>
      <c r="D40" s="30"/>
      <c r="E40" s="30">
        <v>1</v>
      </c>
      <c r="F40" s="30">
        <v>6</v>
      </c>
      <c r="G40" s="30"/>
      <c r="H40" s="30"/>
      <c r="I40" s="30"/>
      <c r="J40" s="30"/>
      <c r="K40" s="41">
        <f>SUM(D40:J40)</f>
        <v>7</v>
      </c>
    </row>
    <row r="41" spans="2:11" x14ac:dyDescent="0.2">
      <c r="B41" s="11">
        <v>1111020</v>
      </c>
      <c r="C41" s="19" t="s">
        <v>100</v>
      </c>
      <c r="D41" s="30">
        <v>1</v>
      </c>
      <c r="E41" s="30"/>
      <c r="F41" s="30"/>
      <c r="G41" s="30"/>
      <c r="H41" s="30"/>
      <c r="I41" s="30"/>
      <c r="J41" s="30"/>
      <c r="K41" s="41">
        <f>SUM(D41:J41)</f>
        <v>1</v>
      </c>
    </row>
    <row r="42" spans="2:11" ht="19.5" x14ac:dyDescent="0.2">
      <c r="B42" s="59" t="s">
        <v>41</v>
      </c>
      <c r="C42" s="59"/>
      <c r="D42" s="59"/>
      <c r="E42" s="59"/>
      <c r="F42" s="59"/>
      <c r="G42" s="59"/>
      <c r="H42" s="59"/>
      <c r="I42" s="59"/>
      <c r="J42" s="59"/>
      <c r="K42" s="59"/>
    </row>
    <row r="43" spans="2:11" x14ac:dyDescent="0.2">
      <c r="B43" s="11">
        <v>1111008</v>
      </c>
      <c r="C43" s="19" t="s">
        <v>42</v>
      </c>
      <c r="D43" s="30"/>
      <c r="E43" s="30"/>
      <c r="F43" s="30"/>
      <c r="G43" s="30">
        <v>31</v>
      </c>
      <c r="H43" s="30"/>
      <c r="I43" s="30"/>
      <c r="J43" s="30"/>
      <c r="K43" s="41">
        <f>SUM(D43:J43)</f>
        <v>31</v>
      </c>
    </row>
    <row r="44" spans="2:11" ht="19.5" x14ac:dyDescent="0.2">
      <c r="B44" s="59" t="s">
        <v>43</v>
      </c>
      <c r="C44" s="59"/>
      <c r="D44" s="59"/>
      <c r="E44" s="59"/>
      <c r="F44" s="59"/>
      <c r="G44" s="59"/>
      <c r="H44" s="59"/>
      <c r="I44" s="59"/>
      <c r="J44" s="59"/>
      <c r="K44" s="59"/>
    </row>
    <row r="45" spans="2:11" x14ac:dyDescent="0.2">
      <c r="B45" s="11">
        <v>1112009</v>
      </c>
      <c r="C45" s="19" t="s">
        <v>44</v>
      </c>
      <c r="D45" s="30">
        <v>7</v>
      </c>
      <c r="E45" s="30">
        <v>6</v>
      </c>
      <c r="F45" s="30">
        <v>3</v>
      </c>
      <c r="G45" s="30">
        <v>12</v>
      </c>
      <c r="H45" s="30"/>
      <c r="I45" s="30"/>
      <c r="J45" s="30"/>
      <c r="K45" s="41">
        <f t="shared" ref="K45:K54" si="1">SUM(D45:J45)</f>
        <v>28</v>
      </c>
    </row>
    <row r="46" spans="2:11" x14ac:dyDescent="0.2">
      <c r="B46" s="11">
        <v>1112011</v>
      </c>
      <c r="C46" s="19" t="s">
        <v>45</v>
      </c>
      <c r="D46" s="30">
        <v>8</v>
      </c>
      <c r="E46" s="30">
        <v>10</v>
      </c>
      <c r="F46" s="30">
        <v>3</v>
      </c>
      <c r="G46" s="30">
        <v>11</v>
      </c>
      <c r="H46" s="30"/>
      <c r="I46" s="30"/>
      <c r="J46" s="30"/>
      <c r="K46" s="41">
        <f t="shared" si="1"/>
        <v>32</v>
      </c>
    </row>
    <row r="47" spans="2:11" x14ac:dyDescent="0.2">
      <c r="B47" s="11">
        <v>1112003</v>
      </c>
      <c r="C47" s="19" t="s">
        <v>46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1112005</v>
      </c>
      <c r="C48" s="19" t="s">
        <v>47</v>
      </c>
      <c r="D48" s="30">
        <v>1</v>
      </c>
      <c r="E48" s="30"/>
      <c r="F48" s="30"/>
      <c r="G48" s="30"/>
      <c r="H48" s="30"/>
      <c r="I48" s="30"/>
      <c r="J48" s="30"/>
      <c r="K48" s="41">
        <f t="shared" si="1"/>
        <v>1</v>
      </c>
    </row>
    <row r="49" spans="2:11" x14ac:dyDescent="0.2">
      <c r="B49" s="11">
        <v>1112007</v>
      </c>
      <c r="C49" s="19" t="s">
        <v>48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1112019</v>
      </c>
      <c r="C50" s="19" t="s">
        <v>49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1112017</v>
      </c>
      <c r="C51" s="19" t="s">
        <v>50</v>
      </c>
      <c r="D51" s="30">
        <v>1</v>
      </c>
      <c r="E51" s="30"/>
      <c r="F51" s="30"/>
      <c r="G51" s="30"/>
      <c r="H51" s="30"/>
      <c r="I51" s="30"/>
      <c r="J51" s="30"/>
      <c r="K51" s="41">
        <f t="shared" si="1"/>
        <v>1</v>
      </c>
    </row>
    <row r="52" spans="2:11" x14ac:dyDescent="0.2">
      <c r="B52" s="11">
        <v>1112015</v>
      </c>
      <c r="C52" s="19" t="s">
        <v>51</v>
      </c>
      <c r="D52" s="30">
        <v>2</v>
      </c>
      <c r="E52" s="30"/>
      <c r="F52" s="30"/>
      <c r="G52" s="30"/>
      <c r="H52" s="30"/>
      <c r="I52" s="30"/>
      <c r="J52" s="30"/>
      <c r="K52" s="41">
        <f t="shared" si="1"/>
        <v>2</v>
      </c>
    </row>
    <row r="53" spans="2:11" x14ac:dyDescent="0.2">
      <c r="B53" s="11">
        <v>1112013</v>
      </c>
      <c r="C53" s="19" t="s">
        <v>52</v>
      </c>
      <c r="D53" s="30">
        <v>5</v>
      </c>
      <c r="E53" s="30">
        <v>5</v>
      </c>
      <c r="F53" s="30">
        <v>3</v>
      </c>
      <c r="G53" s="30">
        <v>11</v>
      </c>
      <c r="H53" s="30"/>
      <c r="I53" s="30"/>
      <c r="J53" s="30"/>
      <c r="K53" s="41">
        <f t="shared" si="1"/>
        <v>24</v>
      </c>
    </row>
    <row r="54" spans="2:11" x14ac:dyDescent="0.2">
      <c r="B54" s="11">
        <v>1124043</v>
      </c>
      <c r="C54" s="19" t="s">
        <v>53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8"/>
      <c r="C55" s="18" t="s">
        <v>1</v>
      </c>
      <c r="D55" s="18"/>
      <c r="E55" s="18"/>
      <c r="F55" s="18"/>
      <c r="G55" s="18"/>
      <c r="H55" s="18"/>
      <c r="I55" s="18"/>
      <c r="J55" s="18"/>
      <c r="K55" s="41"/>
    </row>
    <row r="56" spans="2:11" ht="19.5" x14ac:dyDescent="0.2">
      <c r="B56" s="59" t="s">
        <v>54</v>
      </c>
      <c r="C56" s="59"/>
      <c r="D56" s="59"/>
      <c r="E56" s="59"/>
      <c r="F56" s="59"/>
      <c r="G56" s="59"/>
      <c r="H56" s="59"/>
      <c r="I56" s="59"/>
      <c r="J56" s="59"/>
      <c r="K56" s="59"/>
    </row>
    <row r="57" spans="2:11" x14ac:dyDescent="0.2">
      <c r="B57" s="11">
        <v>1100003</v>
      </c>
      <c r="C57" s="21" t="s">
        <v>73</v>
      </c>
      <c r="D57" s="30"/>
      <c r="E57" s="30">
        <v>1</v>
      </c>
      <c r="F57" s="30"/>
      <c r="G57" s="30"/>
      <c r="H57" s="30"/>
      <c r="I57" s="30"/>
      <c r="J57" s="30"/>
      <c r="K57" s="41">
        <f t="shared" ref="K57:K76" si="2">SUM(D57:J57)</f>
        <v>1</v>
      </c>
    </row>
    <row r="58" spans="2:11" x14ac:dyDescent="0.2">
      <c r="B58" s="11">
        <v>1100001</v>
      </c>
      <c r="C58" s="21" t="s">
        <v>74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1100002</v>
      </c>
      <c r="C59" s="21" t="s">
        <v>75</v>
      </c>
      <c r="D59" s="30">
        <v>2</v>
      </c>
      <c r="E59" s="30">
        <v>3</v>
      </c>
      <c r="F59" s="30"/>
      <c r="G59" s="30"/>
      <c r="H59" s="30"/>
      <c r="I59" s="30"/>
      <c r="J59" s="30"/>
      <c r="K59" s="41">
        <f t="shared" si="2"/>
        <v>5</v>
      </c>
    </row>
    <row r="60" spans="2:11" x14ac:dyDescent="0.2">
      <c r="B60" s="11">
        <v>1200001</v>
      </c>
      <c r="C60" s="21" t="s">
        <v>57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1005761</v>
      </c>
      <c r="C61" s="21" t="s">
        <v>58</v>
      </c>
      <c r="D61" s="30"/>
      <c r="E61" s="30">
        <v>2</v>
      </c>
      <c r="F61" s="30"/>
      <c r="G61" s="30"/>
      <c r="H61" s="30"/>
      <c r="I61" s="30"/>
      <c r="J61" s="30"/>
      <c r="K61" s="41">
        <f t="shared" si="2"/>
        <v>2</v>
      </c>
    </row>
    <row r="62" spans="2:11" x14ac:dyDescent="0.2">
      <c r="B62" s="11">
        <v>1114501</v>
      </c>
      <c r="C62" s="21" t="s">
        <v>59</v>
      </c>
      <c r="D62" s="30"/>
      <c r="E62" s="30">
        <v>6</v>
      </c>
      <c r="F62" s="30">
        <v>14</v>
      </c>
      <c r="G62" s="30">
        <v>20</v>
      </c>
      <c r="H62" s="30"/>
      <c r="I62" s="30"/>
      <c r="J62" s="30"/>
      <c r="K62" s="41">
        <f t="shared" si="2"/>
        <v>40</v>
      </c>
    </row>
    <row r="63" spans="2:11" x14ac:dyDescent="0.2">
      <c r="B63" s="11">
        <v>1114502</v>
      </c>
      <c r="C63" s="21" t="s">
        <v>60</v>
      </c>
      <c r="D63" s="30"/>
      <c r="E63" s="30"/>
      <c r="F63" s="30">
        <v>2</v>
      </c>
      <c r="G63" s="30">
        <v>19</v>
      </c>
      <c r="H63" s="30"/>
      <c r="I63" s="30"/>
      <c r="J63" s="30"/>
      <c r="K63" s="41">
        <f t="shared" si="2"/>
        <v>21</v>
      </c>
    </row>
    <row r="64" spans="2:11" x14ac:dyDescent="0.2">
      <c r="B64" s="11">
        <v>1114503</v>
      </c>
      <c r="C64" s="21" t="s">
        <v>61</v>
      </c>
      <c r="D64" s="30"/>
      <c r="E64" s="30">
        <v>2</v>
      </c>
      <c r="F64" s="30">
        <v>11</v>
      </c>
      <c r="G64" s="30">
        <v>19</v>
      </c>
      <c r="H64" s="30"/>
      <c r="I64" s="30"/>
      <c r="J64" s="30"/>
      <c r="K64" s="41">
        <f t="shared" si="2"/>
        <v>32</v>
      </c>
    </row>
    <row r="65" spans="2:11" x14ac:dyDescent="0.2">
      <c r="B65" s="11">
        <v>1124021</v>
      </c>
      <c r="C65" s="21" t="s">
        <v>62</v>
      </c>
      <c r="D65" s="30">
        <v>3</v>
      </c>
      <c r="E65" s="30"/>
      <c r="F65" s="30">
        <v>6</v>
      </c>
      <c r="G65" s="30">
        <v>34</v>
      </c>
      <c r="H65" s="30"/>
      <c r="I65" s="30"/>
      <c r="J65" s="30"/>
      <c r="K65" s="41">
        <f t="shared" si="2"/>
        <v>43</v>
      </c>
    </row>
    <row r="66" spans="2:11" x14ac:dyDescent="0.2">
      <c r="B66" s="11">
        <v>1113084</v>
      </c>
      <c r="C66" s="21" t="s">
        <v>63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900003</v>
      </c>
      <c r="C67" s="21" t="s">
        <v>83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900004</v>
      </c>
      <c r="C68" s="21" t="s">
        <v>64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1200002</v>
      </c>
      <c r="C69" s="21" t="s">
        <v>65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1200003</v>
      </c>
      <c r="C70" s="21" t="s">
        <v>66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1200004</v>
      </c>
      <c r="C71" s="21" t="s">
        <v>67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1200093</v>
      </c>
      <c r="C72" s="21" t="s">
        <v>55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1200092</v>
      </c>
      <c r="C73" s="19" t="s">
        <v>56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76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77</v>
      </c>
      <c r="D75" s="30"/>
      <c r="E75" s="30">
        <v>1</v>
      </c>
      <c r="F75" s="30"/>
      <c r="G75" s="30"/>
      <c r="H75" s="30"/>
      <c r="I75" s="30"/>
      <c r="J75" s="30">
        <v>3</v>
      </c>
      <c r="K75" s="41">
        <f t="shared" si="2"/>
        <v>4</v>
      </c>
    </row>
    <row r="76" spans="2:11" hidden="1" x14ac:dyDescent="0.2">
      <c r="B76" s="22"/>
      <c r="C76" s="21" t="s">
        <v>92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C77" s="35"/>
      <c r="D77" s="38"/>
      <c r="E77" s="38"/>
      <c r="F77" s="38"/>
      <c r="G77" s="38"/>
      <c r="H77" s="38"/>
      <c r="I77" s="38"/>
      <c r="J77" s="38"/>
      <c r="K77" s="39"/>
    </row>
    <row r="78" spans="2:11" x14ac:dyDescent="0.2">
      <c r="C78" s="35"/>
      <c r="D78" s="39">
        <f t="shared" ref="D78:J78" si="3">SUM(D7:D36,D40,D43,,D45:D54,D57:D75)</f>
        <v>82</v>
      </c>
      <c r="E78" s="39">
        <f t="shared" si="3"/>
        <v>113</v>
      </c>
      <c r="F78" s="39">
        <f t="shared" si="3"/>
        <v>71</v>
      </c>
      <c r="G78" s="39">
        <f t="shared" si="3"/>
        <v>176</v>
      </c>
      <c r="H78" s="39">
        <f t="shared" si="3"/>
        <v>0</v>
      </c>
      <c r="I78" s="39">
        <f t="shared" si="3"/>
        <v>0</v>
      </c>
      <c r="J78" s="39">
        <f t="shared" si="3"/>
        <v>3</v>
      </c>
      <c r="K78" s="39">
        <f>SUM(K7:K36,K40,K43,,K45:K54,K57:K75)</f>
        <v>445</v>
      </c>
    </row>
    <row r="79" spans="2:11" x14ac:dyDescent="0.2">
      <c r="C79" s="24"/>
      <c r="D79" s="31"/>
      <c r="E79" s="60"/>
      <c r="F79" s="60"/>
      <c r="G79" s="26"/>
    </row>
    <row r="80" spans="2:11" x14ac:dyDescent="0.2">
      <c r="B80" s="60" t="s">
        <v>68</v>
      </c>
      <c r="C80" s="60"/>
      <c r="D80" s="32"/>
      <c r="E80" s="51"/>
      <c r="F80" s="51"/>
      <c r="G80" s="27"/>
      <c r="H80" s="26"/>
      <c r="I80" s="60" t="s">
        <v>68</v>
      </c>
      <c r="J80" s="60"/>
      <c r="K80" s="60"/>
    </row>
    <row r="81" spans="2:11" x14ac:dyDescent="0.2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 x14ac:dyDescent="0.2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</sheetData>
  <mergeCells count="13">
    <mergeCell ref="B2:J3"/>
    <mergeCell ref="B1:K1"/>
    <mergeCell ref="B81:C81"/>
    <mergeCell ref="I81:K81"/>
    <mergeCell ref="B6:K6"/>
    <mergeCell ref="B39:K39"/>
    <mergeCell ref="B42:K42"/>
    <mergeCell ref="B44:K44"/>
    <mergeCell ref="B56:K56"/>
    <mergeCell ref="E79:F79"/>
    <mergeCell ref="B80:C80"/>
    <mergeCell ref="E80:F80"/>
    <mergeCell ref="I80:K80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EA96-792A-4D10-8A2A-1A87062FF892}">
  <dimension ref="B1:K98"/>
  <sheetViews>
    <sheetView zoomScale="93" zoomScaleNormal="93" workbookViewId="0">
      <selection activeCell="D8" sqref="D8"/>
    </sheetView>
  </sheetViews>
  <sheetFormatPr defaultRowHeight="14.2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ht="22.5" x14ac:dyDescent="0.2">
      <c r="B1" s="52" t="s">
        <v>98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ht="22.5" x14ac:dyDescent="0.2">
      <c r="B2" s="53"/>
      <c r="C2" s="54"/>
      <c r="D2" s="54"/>
      <c r="E2" s="54"/>
      <c r="F2" s="54"/>
      <c r="G2" s="54"/>
      <c r="H2" s="54"/>
      <c r="I2" s="54"/>
      <c r="J2" s="55"/>
      <c r="K2" s="42" t="s">
        <v>0</v>
      </c>
    </row>
    <row r="3" spans="2:11" ht="22.5" x14ac:dyDescent="0.2">
      <c r="B3" s="56"/>
      <c r="C3" s="57"/>
      <c r="D3" s="57"/>
      <c r="E3" s="57"/>
      <c r="F3" s="57"/>
      <c r="G3" s="57"/>
      <c r="H3" s="57"/>
      <c r="I3" s="57"/>
      <c r="J3" s="58"/>
      <c r="K3" s="42" t="s">
        <v>2</v>
      </c>
    </row>
    <row r="4" spans="2:11" ht="22.5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ht="22.5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ht="22.5" x14ac:dyDescent="0.2">
      <c r="B7" s="11">
        <v>1111002</v>
      </c>
      <c r="C7" s="15" t="s">
        <v>71</v>
      </c>
      <c r="D7" s="30">
        <v>10</v>
      </c>
      <c r="E7" s="30">
        <v>10</v>
      </c>
      <c r="F7" s="30">
        <v>1</v>
      </c>
      <c r="G7" s="30"/>
      <c r="H7" s="30"/>
      <c r="I7" s="30"/>
      <c r="J7" s="30"/>
      <c r="K7" s="41">
        <f t="shared" ref="K7:K37" si="0">SUM(D7:J7)</f>
        <v>21</v>
      </c>
    </row>
    <row r="8" spans="2:11" ht="22.5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ht="22.5" x14ac:dyDescent="0.2">
      <c r="B9" s="11">
        <v>1111056</v>
      </c>
      <c r="C9" s="15" t="s">
        <v>13</v>
      </c>
      <c r="D9" s="30">
        <v>10</v>
      </c>
      <c r="E9" s="30"/>
      <c r="F9" s="30">
        <v>4</v>
      </c>
      <c r="G9" s="30">
        <v>1</v>
      </c>
      <c r="H9" s="30"/>
      <c r="I9" s="30"/>
      <c r="J9" s="30"/>
      <c r="K9" s="41">
        <f t="shared" si="0"/>
        <v>15</v>
      </c>
    </row>
    <row r="10" spans="2:11" ht="22.5" x14ac:dyDescent="0.2">
      <c r="B10" s="11">
        <v>1004055</v>
      </c>
      <c r="C10" s="15" t="s">
        <v>72</v>
      </c>
      <c r="D10" s="30"/>
      <c r="E10" s="30"/>
      <c r="F10" s="30"/>
      <c r="G10" s="30">
        <v>3</v>
      </c>
      <c r="H10" s="30"/>
      <c r="I10" s="30"/>
      <c r="J10" s="30"/>
      <c r="K10" s="41">
        <f t="shared" si="0"/>
        <v>3</v>
      </c>
    </row>
    <row r="11" spans="2:11" ht="22.5" x14ac:dyDescent="0.2">
      <c r="B11" s="11">
        <v>1111057</v>
      </c>
      <c r="C11" s="15" t="s">
        <v>14</v>
      </c>
      <c r="D11" s="30"/>
      <c r="E11" s="30"/>
      <c r="F11" s="30"/>
      <c r="G11" s="30">
        <v>15</v>
      </c>
      <c r="H11" s="30"/>
      <c r="I11" s="30"/>
      <c r="J11" s="30"/>
      <c r="K11" s="41">
        <f t="shared" si="0"/>
        <v>15</v>
      </c>
    </row>
    <row r="12" spans="2:11" ht="22.5" x14ac:dyDescent="0.2">
      <c r="B12" s="11">
        <v>1111058</v>
      </c>
      <c r="C12" s="15" t="s">
        <v>15</v>
      </c>
      <c r="D12" s="30"/>
      <c r="E12" s="30"/>
      <c r="F12" s="30"/>
      <c r="G12" s="30">
        <v>11</v>
      </c>
      <c r="H12" s="30"/>
      <c r="I12" s="30"/>
      <c r="J12" s="30"/>
      <c r="K12" s="41">
        <f t="shared" si="0"/>
        <v>11</v>
      </c>
    </row>
    <row r="13" spans="2:11" ht="22.5" x14ac:dyDescent="0.2">
      <c r="B13" s="11">
        <v>1111059</v>
      </c>
      <c r="C13" s="15" t="s">
        <v>16</v>
      </c>
      <c r="D13" s="30"/>
      <c r="E13" s="30"/>
      <c r="F13" s="30"/>
      <c r="G13" s="30">
        <v>14</v>
      </c>
      <c r="H13" s="30"/>
      <c r="I13" s="30"/>
      <c r="J13" s="30"/>
      <c r="K13" s="41">
        <f t="shared" si="0"/>
        <v>14</v>
      </c>
    </row>
    <row r="14" spans="2:11" ht="22.5" x14ac:dyDescent="0.2">
      <c r="B14" s="11">
        <v>1111060</v>
      </c>
      <c r="C14" s="15" t="s">
        <v>17</v>
      </c>
      <c r="D14" s="30"/>
      <c r="E14" s="30"/>
      <c r="F14" s="30"/>
      <c r="G14" s="30">
        <v>2</v>
      </c>
      <c r="H14" s="30"/>
      <c r="I14" s="30"/>
      <c r="J14" s="30"/>
      <c r="K14" s="41">
        <f t="shared" si="0"/>
        <v>2</v>
      </c>
    </row>
    <row r="15" spans="2:11" ht="22.5" x14ac:dyDescent="0.2">
      <c r="B15" s="11">
        <v>1111061</v>
      </c>
      <c r="C15" s="15" t="s">
        <v>18</v>
      </c>
      <c r="D15" s="30"/>
      <c r="E15" s="30"/>
      <c r="F15" s="30"/>
      <c r="G15" s="30">
        <v>7</v>
      </c>
      <c r="H15" s="30"/>
      <c r="I15" s="30"/>
      <c r="J15" s="30"/>
      <c r="K15" s="41">
        <f t="shared" si="0"/>
        <v>7</v>
      </c>
    </row>
    <row r="16" spans="2:11" ht="22.5" x14ac:dyDescent="0.2">
      <c r="B16" s="11">
        <v>1111062</v>
      </c>
      <c r="C16" s="15" t="s">
        <v>19</v>
      </c>
      <c r="D16" s="30"/>
      <c r="E16" s="30"/>
      <c r="F16" s="30"/>
      <c r="G16" s="30">
        <v>3</v>
      </c>
      <c r="H16" s="30"/>
      <c r="I16" s="30"/>
      <c r="J16" s="30"/>
      <c r="K16" s="41">
        <f t="shared" si="0"/>
        <v>3</v>
      </c>
    </row>
    <row r="17" spans="2:11" ht="22.5" x14ac:dyDescent="0.2">
      <c r="B17" s="11">
        <v>1111063</v>
      </c>
      <c r="C17" s="15" t="s">
        <v>20</v>
      </c>
      <c r="D17" s="30"/>
      <c r="E17" s="30"/>
      <c r="F17" s="30"/>
      <c r="G17" s="30">
        <v>9</v>
      </c>
      <c r="H17" s="30"/>
      <c r="I17" s="30"/>
      <c r="J17" s="30"/>
      <c r="K17" s="41">
        <f t="shared" si="0"/>
        <v>9</v>
      </c>
    </row>
    <row r="18" spans="2:11" ht="22.5" x14ac:dyDescent="0.2">
      <c r="B18" s="11">
        <v>1111064</v>
      </c>
      <c r="C18" s="15" t="s">
        <v>21</v>
      </c>
      <c r="D18" s="30"/>
      <c r="E18" s="30"/>
      <c r="F18" s="30"/>
      <c r="G18" s="30">
        <v>8</v>
      </c>
      <c r="H18" s="30"/>
      <c r="I18" s="30"/>
      <c r="J18" s="30"/>
      <c r="K18" s="41">
        <f t="shared" si="0"/>
        <v>8</v>
      </c>
    </row>
    <row r="19" spans="2:11" ht="22.5" x14ac:dyDescent="0.2">
      <c r="B19" s="11">
        <v>1111065</v>
      </c>
      <c r="C19" s="15" t="s">
        <v>22</v>
      </c>
      <c r="D19" s="30"/>
      <c r="E19" s="30"/>
      <c r="F19" s="30"/>
      <c r="G19" s="30">
        <v>2</v>
      </c>
      <c r="H19" s="30"/>
      <c r="I19" s="30"/>
      <c r="J19" s="30"/>
      <c r="K19" s="41">
        <f t="shared" si="0"/>
        <v>2</v>
      </c>
    </row>
    <row r="20" spans="2:11" ht="22.5" x14ac:dyDescent="0.2">
      <c r="B20" s="11">
        <v>1111066</v>
      </c>
      <c r="C20" s="15" t="s">
        <v>23</v>
      </c>
      <c r="D20" s="30"/>
      <c r="E20" s="30"/>
      <c r="F20" s="30"/>
      <c r="G20" s="30">
        <v>9</v>
      </c>
      <c r="H20" s="30"/>
      <c r="I20" s="30"/>
      <c r="J20" s="30"/>
      <c r="K20" s="41">
        <f t="shared" si="0"/>
        <v>9</v>
      </c>
    </row>
    <row r="21" spans="2:11" ht="22.5" x14ac:dyDescent="0.2">
      <c r="B21" s="11">
        <v>1111067</v>
      </c>
      <c r="C21" s="15" t="s">
        <v>24</v>
      </c>
      <c r="D21" s="30"/>
      <c r="E21" s="30"/>
      <c r="F21" s="30"/>
      <c r="G21" s="30">
        <v>14</v>
      </c>
      <c r="H21" s="30"/>
      <c r="I21" s="30"/>
      <c r="J21" s="30"/>
      <c r="K21" s="41">
        <f t="shared" si="0"/>
        <v>14</v>
      </c>
    </row>
    <row r="22" spans="2:11" ht="22.5" x14ac:dyDescent="0.2">
      <c r="B22" s="11">
        <v>1111068</v>
      </c>
      <c r="C22" s="15" t="s">
        <v>25</v>
      </c>
      <c r="D22" s="30"/>
      <c r="E22" s="30"/>
      <c r="F22" s="30"/>
      <c r="G22" s="30">
        <v>12</v>
      </c>
      <c r="H22" s="30"/>
      <c r="I22" s="30"/>
      <c r="J22" s="30"/>
      <c r="K22" s="41">
        <f t="shared" si="0"/>
        <v>12</v>
      </c>
    </row>
    <row r="23" spans="2:11" ht="22.5" x14ac:dyDescent="0.2">
      <c r="B23" s="11">
        <v>1111069</v>
      </c>
      <c r="C23" s="15" t="s">
        <v>26</v>
      </c>
      <c r="D23" s="30"/>
      <c r="E23" s="30"/>
      <c r="F23" s="30"/>
      <c r="G23" s="30">
        <v>9</v>
      </c>
      <c r="H23" s="30"/>
      <c r="I23" s="30"/>
      <c r="J23" s="30"/>
      <c r="K23" s="41">
        <f t="shared" si="0"/>
        <v>9</v>
      </c>
    </row>
    <row r="24" spans="2:11" ht="22.5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t="22.5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t="22.5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ht="22.5" x14ac:dyDescent="0.2">
      <c r="B27" s="11">
        <v>1111074</v>
      </c>
      <c r="C27" s="15" t="s">
        <v>28</v>
      </c>
      <c r="D27" s="30"/>
      <c r="E27" s="30"/>
      <c r="F27" s="30"/>
      <c r="G27" s="30">
        <v>9</v>
      </c>
      <c r="H27" s="30"/>
      <c r="I27" s="30"/>
      <c r="J27" s="30"/>
      <c r="K27" s="41">
        <f t="shared" si="0"/>
        <v>9</v>
      </c>
    </row>
    <row r="28" spans="2:11" ht="22.5" x14ac:dyDescent="0.2">
      <c r="B28" s="11">
        <v>1111075</v>
      </c>
      <c r="C28" s="15" t="s">
        <v>29</v>
      </c>
      <c r="D28" s="30"/>
      <c r="E28" s="30"/>
      <c r="F28" s="30"/>
      <c r="G28" s="30">
        <v>9</v>
      </c>
      <c r="H28" s="30"/>
      <c r="I28" s="30"/>
      <c r="J28" s="30"/>
      <c r="K28" s="41">
        <f t="shared" si="0"/>
        <v>9</v>
      </c>
    </row>
    <row r="29" spans="2:11" ht="22.5" x14ac:dyDescent="0.2">
      <c r="B29" s="11">
        <v>1111076</v>
      </c>
      <c r="C29" s="15" t="s">
        <v>30</v>
      </c>
      <c r="D29" s="30"/>
      <c r="E29" s="30"/>
      <c r="F29" s="30"/>
      <c r="G29" s="30">
        <v>8</v>
      </c>
      <c r="H29" s="30"/>
      <c r="I29" s="30"/>
      <c r="J29" s="30"/>
      <c r="K29" s="41">
        <f t="shared" si="0"/>
        <v>8</v>
      </c>
    </row>
    <row r="30" spans="2:11" ht="22.5" x14ac:dyDescent="0.2">
      <c r="B30" s="11">
        <v>1111077</v>
      </c>
      <c r="C30" s="15" t="s">
        <v>31</v>
      </c>
      <c r="D30" s="30"/>
      <c r="E30" s="30"/>
      <c r="F30" s="30"/>
      <c r="G30" s="30">
        <v>8</v>
      </c>
      <c r="H30" s="30"/>
      <c r="I30" s="30"/>
      <c r="J30" s="30"/>
      <c r="K30" s="41">
        <f t="shared" si="0"/>
        <v>8</v>
      </c>
    </row>
    <row r="31" spans="2:11" ht="22.5" x14ac:dyDescent="0.2">
      <c r="B31" s="11">
        <v>1111078</v>
      </c>
      <c r="C31" s="15" t="s">
        <v>32</v>
      </c>
      <c r="D31" s="30"/>
      <c r="E31" s="30"/>
      <c r="F31" s="30"/>
      <c r="G31" s="30">
        <v>8</v>
      </c>
      <c r="H31" s="30"/>
      <c r="I31" s="30"/>
      <c r="J31" s="30"/>
      <c r="K31" s="41">
        <f t="shared" si="0"/>
        <v>8</v>
      </c>
    </row>
    <row r="32" spans="2:11" ht="22.5" x14ac:dyDescent="0.2">
      <c r="B32" s="11">
        <v>1111079</v>
      </c>
      <c r="C32" s="15" t="s">
        <v>33</v>
      </c>
      <c r="D32" s="30"/>
      <c r="E32" s="30"/>
      <c r="F32" s="30"/>
      <c r="G32" s="30">
        <v>8</v>
      </c>
      <c r="H32" s="30"/>
      <c r="I32" s="30"/>
      <c r="J32" s="30"/>
      <c r="K32" s="41">
        <f t="shared" si="0"/>
        <v>8</v>
      </c>
    </row>
    <row r="33" spans="2:11" ht="22.5" x14ac:dyDescent="0.2">
      <c r="B33" s="11">
        <v>1111080</v>
      </c>
      <c r="C33" s="15" t="s">
        <v>34</v>
      </c>
      <c r="D33" s="30"/>
      <c r="E33" s="30"/>
      <c r="F33" s="30"/>
      <c r="G33" s="30">
        <v>8</v>
      </c>
      <c r="H33" s="30"/>
      <c r="I33" s="30"/>
      <c r="J33" s="30"/>
      <c r="K33" s="41">
        <f t="shared" si="0"/>
        <v>8</v>
      </c>
    </row>
    <row r="34" spans="2:11" ht="22.5" x14ac:dyDescent="0.2">
      <c r="B34" s="11">
        <v>1111081</v>
      </c>
      <c r="C34" s="15" t="s">
        <v>35</v>
      </c>
      <c r="D34" s="30"/>
      <c r="E34" s="30"/>
      <c r="F34" s="30"/>
      <c r="G34" s="30">
        <v>8</v>
      </c>
      <c r="H34" s="30"/>
      <c r="I34" s="30"/>
      <c r="J34" s="30"/>
      <c r="K34" s="41">
        <f t="shared" si="0"/>
        <v>8</v>
      </c>
    </row>
    <row r="35" spans="2:11" ht="22.5" x14ac:dyDescent="0.2">
      <c r="B35" s="11">
        <v>1111082</v>
      </c>
      <c r="C35" s="15" t="s">
        <v>36</v>
      </c>
      <c r="D35" s="30"/>
      <c r="E35" s="30"/>
      <c r="F35" s="30"/>
      <c r="G35" s="30">
        <v>8</v>
      </c>
      <c r="H35" s="30"/>
      <c r="I35" s="30"/>
      <c r="J35" s="30"/>
      <c r="K35" s="41">
        <f t="shared" si="0"/>
        <v>8</v>
      </c>
    </row>
    <row r="36" spans="2:11" ht="22.5" x14ac:dyDescent="0.2">
      <c r="B36" s="11">
        <v>1111083</v>
      </c>
      <c r="C36" s="15" t="s">
        <v>37</v>
      </c>
      <c r="D36" s="30"/>
      <c r="E36" s="30"/>
      <c r="F36" s="30"/>
      <c r="G36" s="30">
        <v>8</v>
      </c>
      <c r="H36" s="30"/>
      <c r="I36" s="30"/>
      <c r="J36" s="30"/>
      <c r="K36" s="41">
        <f t="shared" si="0"/>
        <v>8</v>
      </c>
    </row>
    <row r="37" spans="2:11" ht="22.5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t="22.5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9" t="s">
        <v>39</v>
      </c>
      <c r="C39" s="59"/>
      <c r="D39" s="59"/>
      <c r="E39" s="59"/>
      <c r="F39" s="59"/>
      <c r="G39" s="59"/>
      <c r="H39" s="59"/>
      <c r="I39" s="59"/>
      <c r="J39" s="59"/>
      <c r="K39" s="59"/>
    </row>
    <row r="40" spans="2:11" ht="22.5" x14ac:dyDescent="0.2">
      <c r="B40" s="11">
        <v>1111009</v>
      </c>
      <c r="C40" s="19" t="s">
        <v>40</v>
      </c>
      <c r="D40" s="30"/>
      <c r="E40" s="30"/>
      <c r="F40" s="30">
        <v>1</v>
      </c>
      <c r="G40" s="30"/>
      <c r="H40" s="30"/>
      <c r="I40" s="30"/>
      <c r="J40" s="30"/>
      <c r="K40" s="41">
        <f>SUM(D40:J40)</f>
        <v>1</v>
      </c>
    </row>
    <row r="41" spans="2:11" ht="22.5" x14ac:dyDescent="0.2">
      <c r="B41" s="11">
        <v>1111020</v>
      </c>
      <c r="C41" s="19" t="s">
        <v>100</v>
      </c>
      <c r="D41" s="30"/>
      <c r="E41" s="30"/>
      <c r="F41" s="30"/>
      <c r="G41" s="30"/>
      <c r="H41" s="30"/>
      <c r="I41" s="30"/>
      <c r="J41" s="30"/>
      <c r="K41" s="41">
        <f>SUM(D41:J41)</f>
        <v>0</v>
      </c>
    </row>
    <row r="42" spans="2:11" ht="19.5" x14ac:dyDescent="0.2">
      <c r="B42" s="59" t="s">
        <v>41</v>
      </c>
      <c r="C42" s="59"/>
      <c r="D42" s="59"/>
      <c r="E42" s="59"/>
      <c r="F42" s="59"/>
      <c r="G42" s="59"/>
      <c r="H42" s="59"/>
      <c r="I42" s="59"/>
      <c r="J42" s="59"/>
      <c r="K42" s="59"/>
    </row>
    <row r="43" spans="2:11" ht="22.5" x14ac:dyDescent="0.2">
      <c r="B43" s="11">
        <v>1111008</v>
      </c>
      <c r="C43" s="19" t="s">
        <v>42</v>
      </c>
      <c r="D43" s="30"/>
      <c r="E43" s="30"/>
      <c r="F43" s="30"/>
      <c r="G43" s="30">
        <v>15</v>
      </c>
      <c r="H43" s="30"/>
      <c r="I43" s="30"/>
      <c r="J43" s="30"/>
      <c r="K43" s="41">
        <f>SUM(D43:J43)</f>
        <v>15</v>
      </c>
    </row>
    <row r="44" spans="2:11" ht="19.5" x14ac:dyDescent="0.2">
      <c r="B44" s="59" t="s">
        <v>43</v>
      </c>
      <c r="C44" s="59"/>
      <c r="D44" s="59"/>
      <c r="E44" s="59"/>
      <c r="F44" s="59"/>
      <c r="G44" s="59"/>
      <c r="H44" s="59"/>
      <c r="I44" s="59"/>
      <c r="J44" s="59"/>
      <c r="K44" s="59"/>
    </row>
    <row r="45" spans="2:11" ht="22.5" x14ac:dyDescent="0.2">
      <c r="B45" s="11">
        <v>1112009</v>
      </c>
      <c r="C45" s="19" t="s">
        <v>44</v>
      </c>
      <c r="D45" s="30"/>
      <c r="E45" s="30">
        <v>1</v>
      </c>
      <c r="F45" s="30"/>
      <c r="G45" s="30">
        <v>9</v>
      </c>
      <c r="H45" s="30"/>
      <c r="I45" s="30"/>
      <c r="J45" s="30"/>
      <c r="K45" s="41">
        <f t="shared" ref="K45:K54" si="1">SUM(D45:J45)</f>
        <v>10</v>
      </c>
    </row>
    <row r="46" spans="2:11" ht="22.5" x14ac:dyDescent="0.2">
      <c r="B46" s="11">
        <v>1112011</v>
      </c>
      <c r="C46" s="19" t="s">
        <v>45</v>
      </c>
      <c r="D46" s="30">
        <v>10</v>
      </c>
      <c r="E46" s="30">
        <v>2</v>
      </c>
      <c r="F46" s="30">
        <v>9</v>
      </c>
      <c r="G46" s="30">
        <v>8</v>
      </c>
      <c r="H46" s="30"/>
      <c r="I46" s="30"/>
      <c r="J46" s="30"/>
      <c r="K46" s="41">
        <f t="shared" si="1"/>
        <v>29</v>
      </c>
    </row>
    <row r="47" spans="2:11" ht="22.5" x14ac:dyDescent="0.2">
      <c r="B47" s="11">
        <v>1112003</v>
      </c>
      <c r="C47" s="19" t="s">
        <v>46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ht="22.5" x14ac:dyDescent="0.2">
      <c r="B48" s="11">
        <v>1112005</v>
      </c>
      <c r="C48" s="19" t="s">
        <v>47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ht="22.5" x14ac:dyDescent="0.2">
      <c r="B49" s="11">
        <v>1112007</v>
      </c>
      <c r="C49" s="19" t="s">
        <v>48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ht="22.5" x14ac:dyDescent="0.2">
      <c r="B50" s="11">
        <v>1112019</v>
      </c>
      <c r="C50" s="19" t="s">
        <v>49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ht="22.5" x14ac:dyDescent="0.2">
      <c r="B51" s="11">
        <v>1112017</v>
      </c>
      <c r="C51" s="19" t="s">
        <v>50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ht="22.5" x14ac:dyDescent="0.2">
      <c r="B52" s="11">
        <v>1112015</v>
      </c>
      <c r="C52" s="19" t="s">
        <v>51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ht="22.5" x14ac:dyDescent="0.2">
      <c r="B53" s="11">
        <v>1112013</v>
      </c>
      <c r="C53" s="19" t="s">
        <v>52</v>
      </c>
      <c r="D53" s="30"/>
      <c r="E53" s="30"/>
      <c r="F53" s="30">
        <v>2</v>
      </c>
      <c r="G53" s="30">
        <v>8</v>
      </c>
      <c r="H53" s="30"/>
      <c r="I53" s="30"/>
      <c r="J53" s="30"/>
      <c r="K53" s="41">
        <f t="shared" si="1"/>
        <v>10</v>
      </c>
    </row>
    <row r="54" spans="2:11" ht="22.5" x14ac:dyDescent="0.2">
      <c r="B54" s="11">
        <v>1124043</v>
      </c>
      <c r="C54" s="19" t="s">
        <v>53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ht="22.5" x14ac:dyDescent="0.2">
      <c r="B55" s="18"/>
      <c r="C55" s="18" t="s">
        <v>1</v>
      </c>
      <c r="D55" s="18"/>
      <c r="E55" s="18"/>
      <c r="F55" s="18"/>
      <c r="G55" s="18"/>
      <c r="H55" s="18"/>
      <c r="I55" s="18"/>
      <c r="J55" s="18"/>
      <c r="K55" s="41"/>
    </row>
    <row r="56" spans="2:11" ht="19.5" x14ac:dyDescent="0.2">
      <c r="B56" s="59" t="s">
        <v>54</v>
      </c>
      <c r="C56" s="59"/>
      <c r="D56" s="59"/>
      <c r="E56" s="59"/>
      <c r="F56" s="59"/>
      <c r="G56" s="59"/>
      <c r="H56" s="59"/>
      <c r="I56" s="59"/>
      <c r="J56" s="59"/>
      <c r="K56" s="59"/>
    </row>
    <row r="57" spans="2:11" ht="22.5" x14ac:dyDescent="0.2">
      <c r="B57" s="11">
        <v>1100003</v>
      </c>
      <c r="C57" s="21" t="s">
        <v>73</v>
      </c>
      <c r="D57" s="30"/>
      <c r="E57" s="30"/>
      <c r="F57" s="30"/>
      <c r="G57" s="30"/>
      <c r="H57" s="30"/>
      <c r="I57" s="30"/>
      <c r="J57" s="30"/>
      <c r="K57" s="41">
        <f t="shared" ref="K57:K76" si="2">SUM(D57:J57)</f>
        <v>0</v>
      </c>
    </row>
    <row r="58" spans="2:11" ht="22.5" x14ac:dyDescent="0.2">
      <c r="B58" s="11">
        <v>1100001</v>
      </c>
      <c r="C58" s="21" t="s">
        <v>74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ht="22.5" x14ac:dyDescent="0.2">
      <c r="B59" s="11">
        <v>1100002</v>
      </c>
      <c r="C59" s="21" t="s">
        <v>75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ht="22.5" x14ac:dyDescent="0.2">
      <c r="B60" s="11">
        <v>1200001</v>
      </c>
      <c r="C60" s="21" t="s">
        <v>57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ht="22.5" x14ac:dyDescent="0.2">
      <c r="B61" s="11">
        <v>1005761</v>
      </c>
      <c r="C61" s="21" t="s">
        <v>58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ht="22.5" x14ac:dyDescent="0.2">
      <c r="B62" s="11">
        <v>1114501</v>
      </c>
      <c r="C62" s="21" t="s">
        <v>59</v>
      </c>
      <c r="D62" s="30"/>
      <c r="E62" s="30">
        <v>6</v>
      </c>
      <c r="F62" s="30"/>
      <c r="G62" s="30">
        <v>34</v>
      </c>
      <c r="H62" s="30"/>
      <c r="I62" s="30"/>
      <c r="J62" s="30"/>
      <c r="K62" s="41">
        <f t="shared" si="2"/>
        <v>40</v>
      </c>
    </row>
    <row r="63" spans="2:11" ht="22.5" x14ac:dyDescent="0.2">
      <c r="B63" s="11">
        <v>1114502</v>
      </c>
      <c r="C63" s="21" t="s">
        <v>60</v>
      </c>
      <c r="D63" s="30"/>
      <c r="E63" s="30">
        <v>1</v>
      </c>
      <c r="F63" s="30"/>
      <c r="G63" s="30">
        <v>34</v>
      </c>
      <c r="H63" s="30"/>
      <c r="I63" s="30"/>
      <c r="J63" s="30"/>
      <c r="K63" s="41">
        <f t="shared" si="2"/>
        <v>35</v>
      </c>
    </row>
    <row r="64" spans="2:11" ht="22.5" x14ac:dyDescent="0.2">
      <c r="B64" s="11">
        <v>1114503</v>
      </c>
      <c r="C64" s="21" t="s">
        <v>61</v>
      </c>
      <c r="D64" s="30"/>
      <c r="E64" s="30">
        <v>1</v>
      </c>
      <c r="F64" s="30"/>
      <c r="G64" s="30">
        <v>34</v>
      </c>
      <c r="H64" s="30"/>
      <c r="I64" s="30"/>
      <c r="J64" s="30"/>
      <c r="K64" s="41">
        <f t="shared" si="2"/>
        <v>35</v>
      </c>
    </row>
    <row r="65" spans="2:11" ht="22.5" x14ac:dyDescent="0.2">
      <c r="B65" s="11">
        <v>1124021</v>
      </c>
      <c r="C65" s="21" t="s">
        <v>62</v>
      </c>
      <c r="D65" s="30"/>
      <c r="E65" s="30">
        <v>6</v>
      </c>
      <c r="F65" s="30">
        <v>30</v>
      </c>
      <c r="G65" s="30">
        <v>4</v>
      </c>
      <c r="H65" s="30"/>
      <c r="I65" s="30"/>
      <c r="J65" s="30"/>
      <c r="K65" s="41">
        <f t="shared" si="2"/>
        <v>40</v>
      </c>
    </row>
    <row r="66" spans="2:11" ht="22.5" x14ac:dyDescent="0.2">
      <c r="B66" s="11">
        <v>1113084</v>
      </c>
      <c r="C66" s="21" t="s">
        <v>63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t="22.5" x14ac:dyDescent="0.2">
      <c r="B67" s="11">
        <v>900003</v>
      </c>
      <c r="C67" s="21" t="s">
        <v>83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ht="22.5" x14ac:dyDescent="0.2">
      <c r="B68" s="11">
        <v>900004</v>
      </c>
      <c r="C68" s="21" t="s">
        <v>64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ht="22.5" x14ac:dyDescent="0.2">
      <c r="B69" s="11">
        <v>1200002</v>
      </c>
      <c r="C69" s="21" t="s">
        <v>65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ht="22.5" x14ac:dyDescent="0.2">
      <c r="B70" s="11">
        <v>1200003</v>
      </c>
      <c r="C70" s="21" t="s">
        <v>66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t="22.5" x14ac:dyDescent="0.2">
      <c r="B71" s="11">
        <v>1200004</v>
      </c>
      <c r="C71" s="21" t="s">
        <v>67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t="22.5" x14ac:dyDescent="0.2">
      <c r="B72" s="11">
        <v>1200093</v>
      </c>
      <c r="C72" s="21" t="s">
        <v>55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ht="22.5" x14ac:dyDescent="0.2">
      <c r="B73" s="11">
        <v>1200092</v>
      </c>
      <c r="C73" s="19" t="s">
        <v>56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ht="22.5" x14ac:dyDescent="0.2">
      <c r="B74" s="22"/>
      <c r="C74" s="21" t="s">
        <v>76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ht="22.5" x14ac:dyDescent="0.2">
      <c r="B75" s="22"/>
      <c r="C75" s="21" t="s">
        <v>77</v>
      </c>
      <c r="D75" s="30"/>
      <c r="E75" s="30">
        <v>6</v>
      </c>
      <c r="F75" s="30"/>
      <c r="G75" s="30"/>
      <c r="H75" s="30"/>
      <c r="I75" s="30"/>
      <c r="J75" s="30"/>
      <c r="K75" s="41">
        <f t="shared" si="2"/>
        <v>6</v>
      </c>
    </row>
    <row r="76" spans="2:11" ht="22.5" hidden="1" x14ac:dyDescent="0.2">
      <c r="B76" s="22"/>
      <c r="C76" s="21" t="s">
        <v>92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ht="22.5" x14ac:dyDescent="0.2">
      <c r="C77" s="35"/>
      <c r="D77" s="38"/>
      <c r="E77" s="38"/>
      <c r="F77" s="38"/>
      <c r="G77" s="38"/>
      <c r="H77" s="38"/>
      <c r="I77" s="38"/>
      <c r="J77" s="38"/>
      <c r="K77" s="39"/>
    </row>
    <row r="78" spans="2:11" ht="22.5" x14ac:dyDescent="0.2">
      <c r="C78" s="35"/>
      <c r="D78" s="39">
        <f t="shared" ref="D78:J78" si="3">SUM(D7:D36,D40,D43,,D45:D54,D57:D75)</f>
        <v>30</v>
      </c>
      <c r="E78" s="39">
        <f t="shared" si="3"/>
        <v>33</v>
      </c>
      <c r="F78" s="39">
        <f t="shared" si="3"/>
        <v>47</v>
      </c>
      <c r="G78" s="39">
        <f t="shared" si="3"/>
        <v>347</v>
      </c>
      <c r="H78" s="39">
        <f t="shared" si="3"/>
        <v>0</v>
      </c>
      <c r="I78" s="39">
        <f t="shared" si="3"/>
        <v>0</v>
      </c>
      <c r="J78" s="39">
        <f t="shared" si="3"/>
        <v>0</v>
      </c>
      <c r="K78" s="39">
        <f>SUM(K7:K36,K40,K43,,K45:K54,K57:K75)</f>
        <v>457</v>
      </c>
    </row>
    <row r="79" spans="2:11" ht="22.5" x14ac:dyDescent="0.2">
      <c r="C79" s="24"/>
      <c r="D79" s="31"/>
      <c r="E79" s="60"/>
      <c r="F79" s="60"/>
      <c r="G79" s="26"/>
    </row>
    <row r="80" spans="2:11" ht="22.5" x14ac:dyDescent="0.2">
      <c r="B80" s="60" t="s">
        <v>68</v>
      </c>
      <c r="C80" s="60"/>
      <c r="D80" s="32"/>
      <c r="E80" s="51"/>
      <c r="F80" s="51"/>
      <c r="G80" s="27"/>
      <c r="H80" s="26"/>
      <c r="I80" s="60" t="s">
        <v>68</v>
      </c>
      <c r="J80" s="60"/>
      <c r="K80" s="60"/>
    </row>
    <row r="81" spans="2:11" ht="22.5" x14ac:dyDescent="0.2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 ht="22.5" x14ac:dyDescent="0.2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22.5" x14ac:dyDescent="0.2">
      <c r="D88" s="31"/>
      <c r="E88" s="31"/>
      <c r="F88" s="31"/>
      <c r="G88" s="31"/>
      <c r="H88" s="31"/>
    </row>
    <row r="89" spans="2:11" ht="22.5" x14ac:dyDescent="0.2">
      <c r="D89" s="31"/>
      <c r="E89" s="31"/>
      <c r="F89" s="31"/>
      <c r="G89" s="31"/>
      <c r="H89" s="31"/>
    </row>
    <row r="90" spans="2:11" ht="22.5" x14ac:dyDescent="0.2">
      <c r="D90" s="31"/>
      <c r="E90" s="31"/>
      <c r="F90" s="31"/>
      <c r="G90" s="31"/>
      <c r="H90" s="31"/>
    </row>
    <row r="91" spans="2:11" ht="22.5" x14ac:dyDescent="0.2">
      <c r="D91" s="31"/>
      <c r="E91" s="31"/>
      <c r="F91" s="31"/>
      <c r="G91" s="31"/>
      <c r="H91" s="31"/>
    </row>
    <row r="92" spans="2:11" ht="22.5" x14ac:dyDescent="0.2">
      <c r="D92" s="31"/>
      <c r="E92" s="31"/>
      <c r="F92" s="31"/>
      <c r="G92" s="31"/>
      <c r="H92" s="31"/>
    </row>
    <row r="93" spans="2:11" ht="22.5" x14ac:dyDescent="0.2">
      <c r="D93" s="31"/>
      <c r="E93" s="31"/>
      <c r="F93" s="31"/>
      <c r="G93" s="31"/>
      <c r="H93" s="31"/>
    </row>
    <row r="94" spans="2:11" ht="22.5" x14ac:dyDescent="0.2">
      <c r="D94" s="31"/>
      <c r="E94" s="31"/>
      <c r="F94" s="31"/>
      <c r="G94" s="31"/>
      <c r="H94" s="31"/>
    </row>
    <row r="95" spans="2:11" ht="22.5" x14ac:dyDescent="0.2">
      <c r="D95" s="31"/>
      <c r="E95" s="31"/>
      <c r="F95" s="31"/>
      <c r="G95" s="31"/>
      <c r="H95" s="31"/>
    </row>
    <row r="96" spans="2:11" ht="22.5" x14ac:dyDescent="0.2">
      <c r="D96" s="31"/>
      <c r="E96" s="31"/>
      <c r="F96" s="31"/>
      <c r="G96" s="31"/>
      <c r="H96" s="31"/>
    </row>
    <row r="97" spans="4:8" ht="22.5" x14ac:dyDescent="0.2">
      <c r="D97" s="31"/>
      <c r="E97" s="31"/>
      <c r="F97" s="31"/>
      <c r="G97" s="31"/>
      <c r="H97" s="31"/>
    </row>
    <row r="98" spans="4:8" ht="22.5" x14ac:dyDescent="0.2">
      <c r="D98" s="31"/>
      <c r="E98" s="31"/>
      <c r="F98" s="31"/>
      <c r="G98" s="31"/>
      <c r="H98" s="31"/>
    </row>
  </sheetData>
  <mergeCells count="13">
    <mergeCell ref="B56:K56"/>
    <mergeCell ref="E79:F79"/>
    <mergeCell ref="B80:C80"/>
    <mergeCell ref="E80:F80"/>
    <mergeCell ref="I80:K80"/>
    <mergeCell ref="B81:C81"/>
    <mergeCell ref="I81:K81"/>
    <mergeCell ref="B1:K1"/>
    <mergeCell ref="B2:J3"/>
    <mergeCell ref="B6:K6"/>
    <mergeCell ref="B39:K39"/>
    <mergeCell ref="B42:K42"/>
    <mergeCell ref="B44:K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9"/>
  <sheetViews>
    <sheetView tabSelected="1" topLeftCell="A36" zoomScale="60" zoomScaleNormal="60" workbookViewId="0">
      <selection activeCell="D57" sqref="D57:J75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375" style="47" hidden="1" customWidth="1"/>
    <col min="19" max="19" width="21.25" style="47" hidden="1" customWidth="1"/>
    <col min="20" max="20" width="26.25" style="47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2" t="s">
        <v>97</v>
      </c>
      <c r="C1" s="52"/>
      <c r="D1" s="52"/>
      <c r="E1" s="52"/>
      <c r="F1" s="52"/>
      <c r="G1" s="52"/>
      <c r="H1" s="52"/>
      <c r="I1" s="52"/>
      <c r="J1" s="52"/>
      <c r="K1" s="52"/>
    </row>
    <row r="2" spans="2:25" x14ac:dyDescent="0.25">
      <c r="B2" s="61"/>
      <c r="C2" s="62"/>
      <c r="D2" s="1"/>
      <c r="E2" s="63"/>
      <c r="F2" s="63"/>
      <c r="G2" s="2"/>
      <c r="H2" s="2"/>
      <c r="I2" s="2"/>
      <c r="J2" s="2"/>
      <c r="K2" s="3" t="s">
        <v>0</v>
      </c>
      <c r="L2" s="65" t="s">
        <v>81</v>
      </c>
      <c r="M2" s="65" t="s">
        <v>78</v>
      </c>
      <c r="N2" s="65" t="s">
        <v>86</v>
      </c>
      <c r="O2" s="74" t="s">
        <v>87</v>
      </c>
      <c r="P2" s="68" t="s">
        <v>1</v>
      </c>
    </row>
    <row r="3" spans="2:25" x14ac:dyDescent="0.25">
      <c r="B3" s="61"/>
      <c r="C3" s="62"/>
      <c r="D3" s="4"/>
      <c r="E3" s="64"/>
      <c r="F3" s="64"/>
      <c r="G3" s="5"/>
      <c r="H3" s="5"/>
      <c r="I3" s="5"/>
      <c r="J3" s="44"/>
      <c r="K3" s="6" t="s">
        <v>2</v>
      </c>
      <c r="L3" s="66"/>
      <c r="M3" s="66"/>
      <c r="N3" s="66"/>
      <c r="O3" s="75"/>
      <c r="P3" s="69"/>
      <c r="R3" s="47" t="s">
        <v>88</v>
      </c>
      <c r="S3" s="47" t="s">
        <v>89</v>
      </c>
      <c r="T3" s="47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7"/>
      <c r="M4" s="67"/>
      <c r="N4" s="67"/>
      <c r="O4" s="76"/>
      <c r="P4" s="70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25" ht="19.5" x14ac:dyDescent="0.25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'เย็น  '!D7+เช้า!D7+'บ่าย '!D7</f>
        <v>13</v>
      </c>
      <c r="E7" s="30">
        <f>'เย็น  '!E7+เช้า!E7+'บ่าย '!E7</f>
        <v>69</v>
      </c>
      <c r="F7" s="30">
        <f>'เย็น  '!F7+เช้า!F7+'บ่าย '!F7</f>
        <v>16</v>
      </c>
      <c r="G7" s="30">
        <f>'เย็น  '!G7+เช้า!G7+'บ่าย '!G7</f>
        <v>0</v>
      </c>
      <c r="H7" s="30">
        <f>'เย็น  '!H7+เช้า!H7+'บ่าย '!H7</f>
        <v>0</v>
      </c>
      <c r="I7" s="30">
        <f>'เย็น  '!I7+เช้า!I7+'บ่าย '!I7</f>
        <v>0</v>
      </c>
      <c r="J7" s="30">
        <f>'เย็น  '!J7+เช้า!J7+'บ่าย '!J7</f>
        <v>0</v>
      </c>
      <c r="K7" s="36">
        <f>SUM(D7:J7)</f>
        <v>98</v>
      </c>
      <c r="L7" s="11"/>
      <c r="M7" s="11"/>
      <c r="N7" s="11"/>
      <c r="O7" s="11"/>
      <c r="P7" s="46">
        <f>(L7+M7+N7+O7)-K7</f>
        <v>-98</v>
      </c>
      <c r="R7" s="47">
        <v>250</v>
      </c>
      <c r="S7" s="47">
        <v>250</v>
      </c>
      <c r="T7" s="48">
        <f>S7+R7+P7</f>
        <v>402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'เย็น  '!D8+เช้า!D8+'บ่าย '!D8</f>
        <v>0</v>
      </c>
      <c r="E8" s="30">
        <f>'เย็น  '!E8+เช้า!E8+'บ่าย '!E8</f>
        <v>0</v>
      </c>
      <c r="F8" s="30">
        <f>'เย็น  '!F8+เช้า!F8+'บ่าย '!F8</f>
        <v>0</v>
      </c>
      <c r="G8" s="30">
        <f>'เย็น  '!G8+เช้า!G8+'บ่าย '!G8</f>
        <v>0</v>
      </c>
      <c r="H8" s="30">
        <f>'เย็น  '!H8+เช้า!H8+'บ่าย '!H8</f>
        <v>0</v>
      </c>
      <c r="I8" s="30">
        <f>'เย็น  '!I8+เช้า!I8+'บ่าย '!I8</f>
        <v>0</v>
      </c>
      <c r="J8" s="30">
        <f>'เย็น  '!J8+เช้า!J8+'บ่าย '!J8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  <c r="T8" s="48">
        <f t="shared" ref="T8:T72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'เย็น  '!D9+เช้า!D9+'บ่าย '!D9</f>
        <v>10</v>
      </c>
      <c r="E9" s="30">
        <f>'เย็น  '!E9+เช้า!E9+'บ่าย '!E9</f>
        <v>1</v>
      </c>
      <c r="F9" s="30">
        <f>'เย็น  '!F9+เช้า!F9+'บ่าย '!F9</f>
        <v>20</v>
      </c>
      <c r="G9" s="30">
        <f>'เย็น  '!G9+เช้า!G9+'บ่าย '!G9</f>
        <v>1</v>
      </c>
      <c r="H9" s="30">
        <f>'เย็น  '!H9+เช้า!H9+'บ่าย '!H9</f>
        <v>0</v>
      </c>
      <c r="I9" s="30">
        <f>'เย็น  '!I9+เช้า!I9+'บ่าย '!I9</f>
        <v>0</v>
      </c>
      <c r="J9" s="30">
        <f>'เย็น  '!J9+เช้า!J9+'บ่าย '!J9</f>
        <v>0</v>
      </c>
      <c r="K9" s="36">
        <f t="shared" si="0"/>
        <v>32</v>
      </c>
      <c r="L9" s="11"/>
      <c r="M9" s="11"/>
      <c r="N9" s="11"/>
      <c r="O9" s="11"/>
      <c r="P9" s="46">
        <f t="shared" si="1"/>
        <v>-32</v>
      </c>
      <c r="R9" s="47">
        <v>10</v>
      </c>
      <c r="T9" s="48">
        <f t="shared" si="2"/>
        <v>-22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'เย็น  '!D10+เช้า!D10+'บ่าย '!D10</f>
        <v>0</v>
      </c>
      <c r="E10" s="30">
        <f>'เย็น  '!E10+เช้า!E10+'บ่าย '!E10</f>
        <v>1</v>
      </c>
      <c r="F10" s="30">
        <f>'เย็น  '!F10+เช้า!F10+'บ่าย '!F10</f>
        <v>1</v>
      </c>
      <c r="G10" s="30">
        <f>'เย็น  '!G10+เช้า!G10+'บ่าย '!G10</f>
        <v>36</v>
      </c>
      <c r="H10" s="30">
        <f>'เย็น  '!H10+เช้า!H10+'บ่าย '!H10</f>
        <v>0</v>
      </c>
      <c r="I10" s="30">
        <f>'เย็น  '!I10+เช้า!I10+'บ่าย '!I10</f>
        <v>0</v>
      </c>
      <c r="J10" s="30">
        <f>'เย็น  '!J10+เช้า!J10+'บ่าย '!J10</f>
        <v>0</v>
      </c>
      <c r="K10" s="36">
        <f t="shared" si="0"/>
        <v>38</v>
      </c>
      <c r="L10" s="11"/>
      <c r="M10" s="11"/>
      <c r="N10" s="11"/>
      <c r="O10" s="11"/>
      <c r="P10" s="46">
        <f t="shared" si="1"/>
        <v>-38</v>
      </c>
      <c r="R10" s="47">
        <v>250</v>
      </c>
      <c r="S10" s="47">
        <v>250</v>
      </c>
      <c r="T10" s="48">
        <f t="shared" si="2"/>
        <v>462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'เย็น  '!D11+เช้า!D11+'บ่าย '!D11</f>
        <v>0</v>
      </c>
      <c r="E11" s="30">
        <f>'เย็น  '!E11+เช้า!E11+'บ่าย '!E11</f>
        <v>0</v>
      </c>
      <c r="F11" s="30">
        <f>'เย็น  '!F11+เช้า!F11+'บ่าย '!F11</f>
        <v>0</v>
      </c>
      <c r="G11" s="30">
        <f>'เย็น  '!G11+เช้า!G11+'บ่าย '!G11</f>
        <v>16</v>
      </c>
      <c r="H11" s="30">
        <f>'เย็น  '!H11+เช้า!H11+'บ่าย '!H11</f>
        <v>0</v>
      </c>
      <c r="I11" s="30">
        <f>'เย็น  '!I11+เช้า!I11+'บ่าย '!I11</f>
        <v>0</v>
      </c>
      <c r="J11" s="30">
        <f>'เย็น  '!J11+เช้า!J11+'บ่าย '!J11</f>
        <v>0</v>
      </c>
      <c r="K11" s="36">
        <f t="shared" si="0"/>
        <v>16</v>
      </c>
      <c r="L11" s="11"/>
      <c r="M11" s="11"/>
      <c r="N11" s="11"/>
      <c r="O11" s="11"/>
      <c r="P11" s="46">
        <f t="shared" si="1"/>
        <v>-16</v>
      </c>
      <c r="S11" s="47">
        <v>50</v>
      </c>
      <c r="T11" s="48">
        <f t="shared" si="2"/>
        <v>34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'เย็น  '!D12+เช้า!D12+'บ่าย '!D12</f>
        <v>0</v>
      </c>
      <c r="E12" s="30">
        <f>'เย็น  '!E12+เช้า!E12+'บ่าย '!E12</f>
        <v>0</v>
      </c>
      <c r="F12" s="30">
        <f>'เย็น  '!F12+เช้า!F12+'บ่าย '!F12</f>
        <v>0</v>
      </c>
      <c r="G12" s="30">
        <f>'เย็น  '!G12+เช้า!G12+'บ่าย '!G12</f>
        <v>11</v>
      </c>
      <c r="H12" s="30">
        <f>'เย็น  '!H12+เช้า!H12+'บ่าย '!H12</f>
        <v>0</v>
      </c>
      <c r="I12" s="30">
        <f>'เย็น  '!I12+เช้า!I12+'บ่าย '!I12</f>
        <v>0</v>
      </c>
      <c r="J12" s="30">
        <f>'เย็น  '!J12+เช้า!J12+'บ่าย '!J12</f>
        <v>0</v>
      </c>
      <c r="K12" s="36">
        <f t="shared" si="0"/>
        <v>11</v>
      </c>
      <c r="L12" s="11"/>
      <c r="M12" s="11"/>
      <c r="N12" s="11"/>
      <c r="O12" s="11"/>
      <c r="P12" s="46">
        <f t="shared" si="1"/>
        <v>-11</v>
      </c>
      <c r="S12" s="47">
        <v>50</v>
      </c>
      <c r="T12" s="48">
        <f t="shared" si="2"/>
        <v>39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'เย็น  '!D13+เช้า!D13+'บ่าย '!D13</f>
        <v>0</v>
      </c>
      <c r="E13" s="30">
        <f>'เย็น  '!E13+เช้า!E13+'บ่าย '!E13</f>
        <v>0</v>
      </c>
      <c r="F13" s="30">
        <f>'เย็น  '!F13+เช้า!F13+'บ่าย '!F13</f>
        <v>0</v>
      </c>
      <c r="G13" s="30">
        <f>'เย็น  '!G13+เช้า!G13+'บ่าย '!G13</f>
        <v>14</v>
      </c>
      <c r="H13" s="30">
        <f>'เย็น  '!H13+เช้า!H13+'บ่าย '!H13</f>
        <v>0</v>
      </c>
      <c r="I13" s="30">
        <f>'เย็น  '!I13+เช้า!I13+'บ่าย '!I13</f>
        <v>0</v>
      </c>
      <c r="J13" s="30">
        <f>'เย็น  '!J13+เช้า!J13+'บ่าย '!J13</f>
        <v>0</v>
      </c>
      <c r="K13" s="36">
        <f t="shared" si="0"/>
        <v>14</v>
      </c>
      <c r="L13" s="11"/>
      <c r="M13" s="11"/>
      <c r="N13" s="11"/>
      <c r="O13" s="11"/>
      <c r="P13" s="46">
        <f t="shared" si="1"/>
        <v>-14</v>
      </c>
      <c r="S13" s="47">
        <v>50</v>
      </c>
      <c r="T13" s="48">
        <f t="shared" si="2"/>
        <v>36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'เย็น  '!D14+เช้า!D14+'บ่าย '!D14</f>
        <v>0</v>
      </c>
      <c r="E14" s="30">
        <f>'เย็น  '!E14+เช้า!E14+'บ่าย '!E14</f>
        <v>0</v>
      </c>
      <c r="F14" s="30">
        <f>'เย็น  '!F14+เช้า!F14+'บ่าย '!F14</f>
        <v>0</v>
      </c>
      <c r="G14" s="30">
        <f>'เย็น  '!G14+เช้า!G14+'บ่าย '!G14</f>
        <v>2</v>
      </c>
      <c r="H14" s="30">
        <f>'เย็น  '!H14+เช้า!H14+'บ่าย '!H14</f>
        <v>0</v>
      </c>
      <c r="I14" s="30">
        <f>'เย็น  '!I14+เช้า!I14+'บ่าย '!I14</f>
        <v>0</v>
      </c>
      <c r="J14" s="30">
        <f>'เย็น  '!J14+เช้า!J14+'บ่าย '!J14</f>
        <v>0</v>
      </c>
      <c r="K14" s="36">
        <f t="shared" si="0"/>
        <v>2</v>
      </c>
      <c r="L14" s="11"/>
      <c r="M14" s="11"/>
      <c r="N14" s="11"/>
      <c r="O14" s="11"/>
      <c r="P14" s="46">
        <f t="shared" si="1"/>
        <v>-2</v>
      </c>
      <c r="S14" s="47">
        <v>50</v>
      </c>
      <c r="T14" s="48">
        <f t="shared" si="2"/>
        <v>48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'เย็น  '!D15+เช้า!D15+'บ่าย '!D15</f>
        <v>0</v>
      </c>
      <c r="E15" s="30">
        <f>'เย็น  '!E15+เช้า!E15+'บ่าย '!E15</f>
        <v>0</v>
      </c>
      <c r="F15" s="30">
        <f>'เย็น  '!F15+เช้า!F15+'บ่าย '!F15</f>
        <v>0</v>
      </c>
      <c r="G15" s="30">
        <f>'เย็น  '!G15+เช้า!G15+'บ่าย '!G15</f>
        <v>7</v>
      </c>
      <c r="H15" s="30">
        <f>'เย็น  '!H15+เช้า!H15+'บ่าย '!H15</f>
        <v>0</v>
      </c>
      <c r="I15" s="30">
        <f>'เย็น  '!I15+เช้า!I15+'บ่าย '!I15</f>
        <v>0</v>
      </c>
      <c r="J15" s="30">
        <f>'เย็น  '!J15+เช้า!J15+'บ่าย '!J15</f>
        <v>0</v>
      </c>
      <c r="K15" s="36">
        <f t="shared" si="0"/>
        <v>7</v>
      </c>
      <c r="L15" s="11"/>
      <c r="M15" s="11"/>
      <c r="N15" s="11"/>
      <c r="O15" s="11"/>
      <c r="P15" s="46">
        <f t="shared" si="1"/>
        <v>-7</v>
      </c>
      <c r="S15" s="47">
        <v>50</v>
      </c>
      <c r="T15" s="48">
        <f t="shared" si="2"/>
        <v>43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'เย็น  '!D16+เช้า!D16+'บ่าย '!D16</f>
        <v>0</v>
      </c>
      <c r="E16" s="30">
        <f>'เย็น  '!E16+เช้า!E16+'บ่าย '!E16</f>
        <v>0</v>
      </c>
      <c r="F16" s="30">
        <f>'เย็น  '!F16+เช้า!F16+'บ่าย '!F16</f>
        <v>0</v>
      </c>
      <c r="G16" s="30">
        <f>'เย็น  '!G16+เช้า!G16+'บ่าย '!G16</f>
        <v>3</v>
      </c>
      <c r="H16" s="30">
        <f>'เย็น  '!H16+เช้า!H16+'บ่าย '!H16</f>
        <v>0</v>
      </c>
      <c r="I16" s="30">
        <f>'เย็น  '!I16+เช้า!I16+'บ่าย '!I16</f>
        <v>0</v>
      </c>
      <c r="J16" s="30">
        <f>'เย็น  '!J16+เช้า!J16+'บ่าย '!J16</f>
        <v>0</v>
      </c>
      <c r="K16" s="36">
        <f t="shared" si="0"/>
        <v>3</v>
      </c>
      <c r="L16" s="11"/>
      <c r="M16" s="11"/>
      <c r="N16" s="11"/>
      <c r="O16" s="11"/>
      <c r="P16" s="46">
        <f t="shared" si="1"/>
        <v>-3</v>
      </c>
      <c r="S16" s="47">
        <v>50</v>
      </c>
      <c r="T16" s="48">
        <f t="shared" si="2"/>
        <v>47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'เย็น  '!D17+เช้า!D17+'บ่าย '!D17</f>
        <v>0</v>
      </c>
      <c r="E17" s="30">
        <f>'เย็น  '!E17+เช้า!E17+'บ่าย '!E17</f>
        <v>0</v>
      </c>
      <c r="F17" s="30">
        <f>'เย็น  '!F17+เช้า!F17+'บ่าย '!F17</f>
        <v>0</v>
      </c>
      <c r="G17" s="30">
        <f>'เย็น  '!G17+เช้า!G17+'บ่าย '!G17</f>
        <v>9</v>
      </c>
      <c r="H17" s="30">
        <f>'เย็น  '!H17+เช้า!H17+'บ่าย '!H17</f>
        <v>0</v>
      </c>
      <c r="I17" s="30">
        <f>'เย็น  '!I17+เช้า!I17+'บ่าย '!I17</f>
        <v>0</v>
      </c>
      <c r="J17" s="30">
        <f>'เย็น  '!J17+เช้า!J17+'บ่าย '!J17</f>
        <v>0</v>
      </c>
      <c r="K17" s="36">
        <f t="shared" si="0"/>
        <v>9</v>
      </c>
      <c r="L17" s="11"/>
      <c r="M17" s="11"/>
      <c r="N17" s="11"/>
      <c r="O17" s="11"/>
      <c r="P17" s="46">
        <f t="shared" si="1"/>
        <v>-9</v>
      </c>
      <c r="S17" s="47">
        <v>50</v>
      </c>
      <c r="T17" s="48">
        <f t="shared" si="2"/>
        <v>41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'เย็น  '!D18+เช้า!D18+'บ่าย '!D18</f>
        <v>0</v>
      </c>
      <c r="E18" s="30">
        <f>'เย็น  '!E18+เช้า!E18+'บ่าย '!E18</f>
        <v>0</v>
      </c>
      <c r="F18" s="30">
        <f>'เย็น  '!F18+เช้า!F18+'บ่าย '!F18</f>
        <v>0</v>
      </c>
      <c r="G18" s="30">
        <f>'เย็น  '!G18+เช้า!G18+'บ่าย '!G18</f>
        <v>8</v>
      </c>
      <c r="H18" s="30">
        <f>'เย็น  '!H18+เช้า!H18+'บ่าย '!H18</f>
        <v>0</v>
      </c>
      <c r="I18" s="30">
        <f>'เย็น  '!I18+เช้า!I18+'บ่าย '!I18</f>
        <v>0</v>
      </c>
      <c r="J18" s="30">
        <f>'เย็น  '!J18+เช้า!J18+'บ่าย '!J18</f>
        <v>0</v>
      </c>
      <c r="K18" s="36">
        <f t="shared" si="0"/>
        <v>8</v>
      </c>
      <c r="L18" s="11"/>
      <c r="M18" s="11"/>
      <c r="N18" s="11"/>
      <c r="O18" s="11"/>
      <c r="P18" s="46">
        <f t="shared" ref="P18:P40" si="3">(L18+M18+N18+O18)-K18</f>
        <v>-8</v>
      </c>
      <c r="S18" s="47">
        <v>50</v>
      </c>
      <c r="T18" s="48">
        <f t="shared" si="2"/>
        <v>42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'เย็น  '!D19+เช้า!D19+'บ่าย '!D19</f>
        <v>0</v>
      </c>
      <c r="E19" s="30">
        <f>'เย็น  '!E19+เช้า!E19+'บ่าย '!E19</f>
        <v>0</v>
      </c>
      <c r="F19" s="30">
        <f>'เย็น  '!F19+เช้า!F19+'บ่าย '!F19</f>
        <v>0</v>
      </c>
      <c r="G19" s="30">
        <f>'เย็น  '!G19+เช้า!G19+'บ่าย '!G19</f>
        <v>2</v>
      </c>
      <c r="H19" s="30">
        <f>'เย็น  '!H19+เช้า!H19+'บ่าย '!H19</f>
        <v>0</v>
      </c>
      <c r="I19" s="30">
        <f>'เย็น  '!I19+เช้า!I19+'บ่าย '!I19</f>
        <v>0</v>
      </c>
      <c r="J19" s="30">
        <f>'เย็น  '!J19+เช้า!J19+'บ่าย '!J19</f>
        <v>0</v>
      </c>
      <c r="K19" s="36">
        <f t="shared" si="0"/>
        <v>2</v>
      </c>
      <c r="L19" s="11"/>
      <c r="M19" s="11"/>
      <c r="N19" s="11"/>
      <c r="O19" s="11"/>
      <c r="P19" s="46">
        <f t="shared" si="3"/>
        <v>-2</v>
      </c>
      <c r="S19" s="47">
        <v>50</v>
      </c>
      <c r="T19" s="48">
        <f t="shared" si="2"/>
        <v>48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'เย็น  '!D20+เช้า!D20+'บ่าย '!D20</f>
        <v>0</v>
      </c>
      <c r="E20" s="30">
        <f>'เย็น  '!E20+เช้า!E20+'บ่าย '!E20</f>
        <v>0</v>
      </c>
      <c r="F20" s="30">
        <f>'เย็น  '!F20+เช้า!F20+'บ่าย '!F20</f>
        <v>0</v>
      </c>
      <c r="G20" s="30">
        <f>'เย็น  '!G20+เช้า!G20+'บ่าย '!G20</f>
        <v>9</v>
      </c>
      <c r="H20" s="30">
        <f>'เย็น  '!H20+เช้า!H20+'บ่าย '!H20</f>
        <v>0</v>
      </c>
      <c r="I20" s="30">
        <f>'เย็น  '!I20+เช้า!I20+'บ่าย '!I20</f>
        <v>0</v>
      </c>
      <c r="J20" s="30">
        <f>'เย็น  '!J20+เช้า!J20+'บ่าย '!J20</f>
        <v>0</v>
      </c>
      <c r="K20" s="36">
        <f t="shared" si="0"/>
        <v>9</v>
      </c>
      <c r="L20" s="11"/>
      <c r="M20" s="11"/>
      <c r="N20" s="11"/>
      <c r="O20" s="11"/>
      <c r="P20" s="46">
        <f t="shared" si="3"/>
        <v>-9</v>
      </c>
      <c r="S20" s="47">
        <v>50</v>
      </c>
      <c r="T20" s="48">
        <f t="shared" si="2"/>
        <v>41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'เย็น  '!D21+เช้า!D21+'บ่าย '!D21</f>
        <v>0</v>
      </c>
      <c r="E21" s="30">
        <f>'เย็น  '!E21+เช้า!E21+'บ่าย '!E21</f>
        <v>0</v>
      </c>
      <c r="F21" s="30">
        <f>'เย็น  '!F21+เช้า!F21+'บ่าย '!F21</f>
        <v>0</v>
      </c>
      <c r="G21" s="30">
        <f>'เย็น  '!G21+เช้า!G21+'บ่าย '!G21</f>
        <v>14</v>
      </c>
      <c r="H21" s="30">
        <f>'เย็น  '!H21+เช้า!H21+'บ่าย '!H21</f>
        <v>0</v>
      </c>
      <c r="I21" s="30">
        <f>'เย็น  '!I21+เช้า!I21+'บ่าย '!I21</f>
        <v>0</v>
      </c>
      <c r="J21" s="30">
        <f>'เย็น  '!J21+เช้า!J21+'บ่าย '!J21</f>
        <v>0</v>
      </c>
      <c r="K21" s="36">
        <f t="shared" si="0"/>
        <v>14</v>
      </c>
      <c r="L21" s="11"/>
      <c r="M21" s="11"/>
      <c r="N21" s="11"/>
      <c r="O21" s="11"/>
      <c r="P21" s="46">
        <f t="shared" si="3"/>
        <v>-14</v>
      </c>
      <c r="S21" s="47">
        <v>50</v>
      </c>
      <c r="T21" s="48">
        <f t="shared" si="2"/>
        <v>36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'เย็น  '!D22+เช้า!D22+'บ่าย '!D22</f>
        <v>0</v>
      </c>
      <c r="E22" s="30">
        <f>'เย็น  '!E22+เช้า!E22+'บ่าย '!E22</f>
        <v>0</v>
      </c>
      <c r="F22" s="30">
        <f>'เย็น  '!F22+เช้า!F22+'บ่าย '!F22</f>
        <v>0</v>
      </c>
      <c r="G22" s="30">
        <f>'เย็น  '!G22+เช้า!G22+'บ่าย '!G22</f>
        <v>12</v>
      </c>
      <c r="H22" s="30">
        <f>'เย็น  '!H22+เช้า!H22+'บ่าย '!H22</f>
        <v>0</v>
      </c>
      <c r="I22" s="30">
        <f>'เย็น  '!I22+เช้า!I22+'บ่าย '!I22</f>
        <v>0</v>
      </c>
      <c r="J22" s="30">
        <f>'เย็น  '!J22+เช้า!J22+'บ่าย '!J22</f>
        <v>0</v>
      </c>
      <c r="K22" s="36">
        <f t="shared" si="0"/>
        <v>12</v>
      </c>
      <c r="L22" s="11"/>
      <c r="M22" s="11"/>
      <c r="N22" s="11"/>
      <c r="O22" s="11"/>
      <c r="P22" s="46">
        <f t="shared" si="3"/>
        <v>-12</v>
      </c>
      <c r="S22" s="47">
        <v>50</v>
      </c>
      <c r="T22" s="48">
        <f t="shared" si="2"/>
        <v>38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'เย็น  '!D23+เช้า!D23+'บ่าย '!D23</f>
        <v>0</v>
      </c>
      <c r="E23" s="30">
        <f>'เย็น  '!E23+เช้า!E23+'บ่าย '!E23</f>
        <v>0</v>
      </c>
      <c r="F23" s="30">
        <f>'เย็น  '!F23+เช้า!F23+'บ่าย '!F23</f>
        <v>0</v>
      </c>
      <c r="G23" s="30">
        <f>'เย็น  '!G23+เช้า!G23+'บ่าย '!G23</f>
        <v>9</v>
      </c>
      <c r="H23" s="30">
        <f>'เย็น  '!H23+เช้า!H23+'บ่าย '!H23</f>
        <v>0</v>
      </c>
      <c r="I23" s="30">
        <f>'เย็น  '!I23+เช้า!I23+'บ่าย '!I23</f>
        <v>0</v>
      </c>
      <c r="J23" s="30">
        <f>'เย็น  '!J23+เช้า!J23+'บ่าย '!J23</f>
        <v>0</v>
      </c>
      <c r="K23" s="36">
        <f t="shared" si="0"/>
        <v>9</v>
      </c>
      <c r="L23" s="11"/>
      <c r="M23" s="11"/>
      <c r="N23" s="11"/>
      <c r="O23" s="11"/>
      <c r="P23" s="46">
        <f t="shared" si="3"/>
        <v>-9</v>
      </c>
      <c r="S23" s="47">
        <v>50</v>
      </c>
      <c r="T23" s="48">
        <f t="shared" si="2"/>
        <v>41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'เย็น  '!D24+เช้า!D24+'บ่าย '!D24</f>
        <v>0</v>
      </c>
      <c r="E24" s="30">
        <f>'เย็น  '!E24+เช้า!E24+'บ่าย '!E24</f>
        <v>0</v>
      </c>
      <c r="F24" s="30">
        <f>'เย็น  '!F24+เช้า!F24+'บ่าย '!F24</f>
        <v>0</v>
      </c>
      <c r="G24" s="30">
        <f>'เย็น  '!G24+เช้า!G24+'บ่าย '!G24</f>
        <v>0</v>
      </c>
      <c r="H24" s="30">
        <f>'เย็น  '!H24+เช้า!H24+'บ่าย '!H24</f>
        <v>0</v>
      </c>
      <c r="I24" s="30">
        <f>'เย็น  '!I24+เช้า!I24+'บ่าย '!I24</f>
        <v>0</v>
      </c>
      <c r="J24" s="30">
        <f>'เย็น  '!J24+เช้า!J24+'บ่าย '!J24</f>
        <v>0</v>
      </c>
      <c r="K24" s="36">
        <f t="shared" si="0"/>
        <v>0</v>
      </c>
      <c r="L24" s="11"/>
      <c r="M24" s="11"/>
      <c r="N24" s="11"/>
      <c r="O24" s="11"/>
      <c r="P24" s="46">
        <f t="shared" si="3"/>
        <v>0</v>
      </c>
      <c r="S24" s="47">
        <v>50</v>
      </c>
      <c r="T24" s="48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'เย็น  '!D25+เช้า!D25+'บ่าย '!D25</f>
        <v>0</v>
      </c>
      <c r="E25" s="30">
        <f>'เย็น  '!E25+เช้า!E25+'บ่าย '!E25</f>
        <v>0</v>
      </c>
      <c r="F25" s="30">
        <f>'เย็น  '!F25+เช้า!F25+'บ่าย '!F25</f>
        <v>0</v>
      </c>
      <c r="G25" s="30">
        <f>'เย็น  '!G25+เช้า!G25+'บ่าย '!G25</f>
        <v>0</v>
      </c>
      <c r="H25" s="30">
        <f>'เย็น  '!H25+เช้า!H25+'บ่าย '!H25</f>
        <v>0</v>
      </c>
      <c r="I25" s="30">
        <f>'เย็น  '!I25+เช้า!I25+'บ่าย '!I25</f>
        <v>0</v>
      </c>
      <c r="J25" s="30">
        <f>'เย็น  '!J25+เช้า!J25+'บ่าย '!J25</f>
        <v>0</v>
      </c>
      <c r="K25" s="36">
        <f t="shared" si="0"/>
        <v>0</v>
      </c>
      <c r="L25" s="11"/>
      <c r="M25" s="11"/>
      <c r="N25" s="11"/>
      <c r="O25" s="11"/>
      <c r="P25" s="46">
        <f t="shared" si="3"/>
        <v>0</v>
      </c>
      <c r="S25" s="47">
        <v>50</v>
      </c>
      <c r="T25" s="48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'เย็น  '!D26+เช้า!D26+'บ่าย '!D26</f>
        <v>0</v>
      </c>
      <c r="E26" s="30">
        <f>'เย็น  '!E26+เช้า!E26+'บ่าย '!E26</f>
        <v>0</v>
      </c>
      <c r="F26" s="30">
        <f>'เย็น  '!F26+เช้า!F26+'บ่าย '!F26</f>
        <v>0</v>
      </c>
      <c r="G26" s="30">
        <f>'เย็น  '!G26+เช้า!G26+'บ่าย '!G26</f>
        <v>0</v>
      </c>
      <c r="H26" s="30">
        <f>'เย็น  '!H26+เช้า!H26+'บ่าย '!H26</f>
        <v>0</v>
      </c>
      <c r="I26" s="30">
        <f>'เย็น  '!I26+เช้า!I26+'บ่าย '!I26</f>
        <v>0</v>
      </c>
      <c r="J26" s="30">
        <f>'เย็น  '!J26+เช้า!J26+'บ่าย '!J26</f>
        <v>0</v>
      </c>
      <c r="K26" s="36">
        <f t="shared" si="0"/>
        <v>0</v>
      </c>
      <c r="L26" s="11"/>
      <c r="M26" s="11"/>
      <c r="N26" s="11"/>
      <c r="O26" s="11"/>
      <c r="P26" s="46">
        <f t="shared" si="3"/>
        <v>0</v>
      </c>
      <c r="T26" s="48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'เย็น  '!D27+เช้า!D27+'บ่าย '!D27</f>
        <v>5</v>
      </c>
      <c r="E27" s="30">
        <f>'เย็น  '!E27+เช้า!E27+'บ่าย '!E27</f>
        <v>2</v>
      </c>
      <c r="F27" s="30">
        <f>'เย็น  '!F27+เช้า!F27+'บ่าย '!F27</f>
        <v>0</v>
      </c>
      <c r="G27" s="30">
        <f>'เย็น  '!G27+เช้า!G27+'บ่าย '!G27</f>
        <v>10</v>
      </c>
      <c r="H27" s="30">
        <f>'เย็น  '!H27+เช้า!H27+'บ่าย '!H27</f>
        <v>0</v>
      </c>
      <c r="I27" s="30">
        <f>'เย็น  '!I27+เช้า!I27+'บ่าย '!I27</f>
        <v>0</v>
      </c>
      <c r="J27" s="30">
        <f>'เย็น  '!J27+เช้า!J27+'บ่าย '!J27</f>
        <v>0</v>
      </c>
      <c r="K27" s="36">
        <f t="shared" si="0"/>
        <v>17</v>
      </c>
      <c r="L27" s="11"/>
      <c r="M27" s="11"/>
      <c r="N27" s="11"/>
      <c r="O27" s="11"/>
      <c r="P27" s="46">
        <f t="shared" si="3"/>
        <v>-17</v>
      </c>
      <c r="S27" s="47">
        <v>40</v>
      </c>
      <c r="T27" s="48">
        <f t="shared" si="2"/>
        <v>23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'เย็น  '!D28+เช้า!D28+'บ่าย '!D28</f>
        <v>5</v>
      </c>
      <c r="E28" s="30">
        <f>'เย็น  '!E28+เช้า!E28+'บ่าย '!E28</f>
        <v>2</v>
      </c>
      <c r="F28" s="30">
        <f>'เย็น  '!F28+เช้า!F28+'บ่าย '!F28</f>
        <v>0</v>
      </c>
      <c r="G28" s="30">
        <f>'เย็น  '!G28+เช้า!G28+'บ่าย '!G28</f>
        <v>10</v>
      </c>
      <c r="H28" s="30">
        <f>'เย็น  '!H28+เช้า!H28+'บ่าย '!H28</f>
        <v>0</v>
      </c>
      <c r="I28" s="30">
        <f>'เย็น  '!I28+เช้า!I28+'บ่าย '!I28</f>
        <v>0</v>
      </c>
      <c r="J28" s="30">
        <f>'เย็น  '!J28+เช้า!J28+'บ่าย '!J28</f>
        <v>0</v>
      </c>
      <c r="K28" s="36">
        <f t="shared" si="0"/>
        <v>17</v>
      </c>
      <c r="L28" s="11"/>
      <c r="M28" s="11"/>
      <c r="N28" s="11"/>
      <c r="O28" s="11"/>
      <c r="P28" s="46">
        <f t="shared" si="3"/>
        <v>-17</v>
      </c>
      <c r="S28" s="47">
        <v>40</v>
      </c>
      <c r="T28" s="48">
        <f t="shared" si="2"/>
        <v>23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'เย็น  '!D29+เช้า!D29+'บ่าย '!D29</f>
        <v>5</v>
      </c>
      <c r="E29" s="30">
        <f>'เย็น  '!E29+เช้า!E29+'บ่าย '!E29</f>
        <v>2</v>
      </c>
      <c r="F29" s="30">
        <f>'เย็น  '!F29+เช้า!F29+'บ่าย '!F29</f>
        <v>0</v>
      </c>
      <c r="G29" s="30">
        <f>'เย็น  '!G29+เช้า!G29+'บ่าย '!G29</f>
        <v>9</v>
      </c>
      <c r="H29" s="30">
        <f>'เย็น  '!H29+เช้า!H29+'บ่าย '!H29</f>
        <v>0</v>
      </c>
      <c r="I29" s="30">
        <f>'เย็น  '!I29+เช้า!I29+'บ่าย '!I29</f>
        <v>0</v>
      </c>
      <c r="J29" s="30">
        <f>'เย็น  '!J29+เช้า!J29+'บ่าย '!J29</f>
        <v>0</v>
      </c>
      <c r="K29" s="36">
        <f t="shared" si="0"/>
        <v>16</v>
      </c>
      <c r="L29" s="11"/>
      <c r="M29" s="11"/>
      <c r="N29" s="11"/>
      <c r="O29" s="11"/>
      <c r="P29" s="46">
        <f t="shared" si="3"/>
        <v>-16</v>
      </c>
      <c r="S29" s="47">
        <v>40</v>
      </c>
      <c r="T29" s="48">
        <f t="shared" si="2"/>
        <v>24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'เย็น  '!D30+เช้า!D30+'บ่าย '!D30</f>
        <v>5</v>
      </c>
      <c r="E30" s="30">
        <f>'เย็น  '!E30+เช้า!E30+'บ่าย '!E30</f>
        <v>2</v>
      </c>
      <c r="F30" s="30">
        <f>'เย็น  '!F30+เช้า!F30+'บ่าย '!F30</f>
        <v>0</v>
      </c>
      <c r="G30" s="30">
        <f>'เย็น  '!G30+เช้า!G30+'บ่าย '!G30</f>
        <v>9</v>
      </c>
      <c r="H30" s="30">
        <f>'เย็น  '!H30+เช้า!H30+'บ่าย '!H30</f>
        <v>0</v>
      </c>
      <c r="I30" s="30">
        <f>'เย็น  '!I30+เช้า!I30+'บ่าย '!I30</f>
        <v>0</v>
      </c>
      <c r="J30" s="30">
        <f>'เย็น  '!J30+เช้า!J30+'บ่าย '!J30</f>
        <v>0</v>
      </c>
      <c r="K30" s="36">
        <f t="shared" si="0"/>
        <v>16</v>
      </c>
      <c r="L30" s="11"/>
      <c r="M30" s="11"/>
      <c r="N30" s="11"/>
      <c r="O30" s="11"/>
      <c r="P30" s="46">
        <f t="shared" si="3"/>
        <v>-16</v>
      </c>
      <c r="S30" s="47">
        <v>40</v>
      </c>
      <c r="T30" s="48">
        <f t="shared" si="2"/>
        <v>24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'เย็น  '!D31+เช้า!D31+'บ่าย '!D31</f>
        <v>5</v>
      </c>
      <c r="E31" s="30">
        <f>'เย็น  '!E31+เช้า!E31+'บ่าย '!E31</f>
        <v>2</v>
      </c>
      <c r="F31" s="30">
        <f>'เย็น  '!F31+เช้า!F31+'บ่าย '!F31</f>
        <v>0</v>
      </c>
      <c r="G31" s="30">
        <f>'เย็น  '!G31+เช้า!G31+'บ่าย '!G31</f>
        <v>9</v>
      </c>
      <c r="H31" s="30">
        <f>'เย็น  '!H31+เช้า!H31+'บ่าย '!H31</f>
        <v>0</v>
      </c>
      <c r="I31" s="30">
        <f>'เย็น  '!I31+เช้า!I31+'บ่าย '!I31</f>
        <v>0</v>
      </c>
      <c r="J31" s="30">
        <f>'เย็น  '!J31+เช้า!J31+'บ่าย '!J31</f>
        <v>0</v>
      </c>
      <c r="K31" s="36">
        <f t="shared" si="0"/>
        <v>16</v>
      </c>
      <c r="L31" s="11"/>
      <c r="M31" s="11"/>
      <c r="N31" s="11"/>
      <c r="O31" s="11"/>
      <c r="P31" s="46">
        <f t="shared" si="3"/>
        <v>-16</v>
      </c>
      <c r="S31" s="47">
        <v>40</v>
      </c>
      <c r="T31" s="48">
        <f t="shared" si="2"/>
        <v>24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'เย็น  '!D32+เช้า!D32+'บ่าย '!D32</f>
        <v>5</v>
      </c>
      <c r="E32" s="30">
        <f>'เย็น  '!E32+เช้า!E32+'บ่าย '!E32</f>
        <v>2</v>
      </c>
      <c r="F32" s="30">
        <f>'เย็น  '!F32+เช้า!F32+'บ่าย '!F32</f>
        <v>0</v>
      </c>
      <c r="G32" s="30">
        <f>'เย็น  '!G32+เช้า!G32+'บ่าย '!G32</f>
        <v>8</v>
      </c>
      <c r="H32" s="30">
        <f>'เย็น  '!H32+เช้า!H32+'บ่าย '!H32</f>
        <v>0</v>
      </c>
      <c r="I32" s="30">
        <f>'เย็น  '!I32+เช้า!I32+'บ่าย '!I32</f>
        <v>0</v>
      </c>
      <c r="J32" s="30">
        <f>'เย็น  '!J32+เช้า!J32+'บ่าย '!J32</f>
        <v>0</v>
      </c>
      <c r="K32" s="36">
        <f t="shared" si="0"/>
        <v>15</v>
      </c>
      <c r="L32" s="11"/>
      <c r="M32" s="11"/>
      <c r="N32" s="11"/>
      <c r="O32" s="11"/>
      <c r="P32" s="46">
        <f t="shared" si="3"/>
        <v>-15</v>
      </c>
      <c r="S32" s="47">
        <v>40</v>
      </c>
      <c r="T32" s="48">
        <f t="shared" si="2"/>
        <v>25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'เย็น  '!D33+เช้า!D33+'บ่าย '!D33</f>
        <v>5</v>
      </c>
      <c r="E33" s="30">
        <f>'เย็น  '!E33+เช้า!E33+'บ่าย '!E33</f>
        <v>2</v>
      </c>
      <c r="F33" s="30">
        <f>'เย็น  '!F33+เช้า!F33+'บ่าย '!F33</f>
        <v>0</v>
      </c>
      <c r="G33" s="30">
        <f>'เย็น  '!G33+เช้า!G33+'บ่าย '!G33</f>
        <v>8</v>
      </c>
      <c r="H33" s="30">
        <f>'เย็น  '!H33+เช้า!H33+'บ่าย '!H33</f>
        <v>0</v>
      </c>
      <c r="I33" s="30">
        <f>'เย็น  '!I33+เช้า!I33+'บ่าย '!I33</f>
        <v>0</v>
      </c>
      <c r="J33" s="30">
        <f>'เย็น  '!J33+เช้า!J33+'บ่าย '!J33</f>
        <v>0</v>
      </c>
      <c r="K33" s="36">
        <f t="shared" si="0"/>
        <v>15</v>
      </c>
      <c r="L33" s="11"/>
      <c r="M33" s="11"/>
      <c r="N33" s="11"/>
      <c r="O33" s="11"/>
      <c r="P33" s="46">
        <f t="shared" si="3"/>
        <v>-15</v>
      </c>
      <c r="S33" s="47">
        <v>40</v>
      </c>
      <c r="T33" s="48">
        <f t="shared" si="2"/>
        <v>25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'เย็น  '!D34+เช้า!D34+'บ่าย '!D34</f>
        <v>5</v>
      </c>
      <c r="E34" s="30">
        <f>'เย็น  '!E34+เช้า!E34+'บ่าย '!E34</f>
        <v>2</v>
      </c>
      <c r="F34" s="30">
        <f>'เย็น  '!F34+เช้า!F34+'บ่าย '!F34</f>
        <v>0</v>
      </c>
      <c r="G34" s="30">
        <f>'เย็น  '!G34+เช้า!G34+'บ่าย '!G34</f>
        <v>8</v>
      </c>
      <c r="H34" s="30">
        <f>'เย็น  '!H34+เช้า!H34+'บ่าย '!H34</f>
        <v>0</v>
      </c>
      <c r="I34" s="30">
        <f>'เย็น  '!I34+เช้า!I34+'บ่าย '!I34</f>
        <v>0</v>
      </c>
      <c r="J34" s="30">
        <f>'เย็น  '!J34+เช้า!J34+'บ่าย '!J34</f>
        <v>0</v>
      </c>
      <c r="K34" s="36">
        <f t="shared" si="0"/>
        <v>15</v>
      </c>
      <c r="L34" s="11"/>
      <c r="M34" s="11"/>
      <c r="N34" s="11"/>
      <c r="O34" s="11"/>
      <c r="P34" s="46">
        <f t="shared" si="3"/>
        <v>-15</v>
      </c>
      <c r="S34" s="47">
        <v>40</v>
      </c>
      <c r="T34" s="48">
        <f t="shared" si="2"/>
        <v>25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'เย็น  '!D35+เช้า!D35+'บ่าย '!D35</f>
        <v>5</v>
      </c>
      <c r="E35" s="30">
        <f>'เย็น  '!E35+เช้า!E35+'บ่าย '!E35</f>
        <v>2</v>
      </c>
      <c r="F35" s="30">
        <f>'เย็น  '!F35+เช้า!F35+'บ่าย '!F35</f>
        <v>0</v>
      </c>
      <c r="G35" s="30">
        <f>'เย็น  '!G35+เช้า!G35+'บ่าย '!G35</f>
        <v>8</v>
      </c>
      <c r="H35" s="30">
        <f>'เย็น  '!H35+เช้า!H35+'บ่าย '!H35</f>
        <v>0</v>
      </c>
      <c r="I35" s="30">
        <f>'เย็น  '!I35+เช้า!I35+'บ่าย '!I35</f>
        <v>0</v>
      </c>
      <c r="J35" s="30">
        <f>'เย็น  '!J35+เช้า!J35+'บ่าย '!J35</f>
        <v>0</v>
      </c>
      <c r="K35" s="36">
        <f t="shared" si="0"/>
        <v>15</v>
      </c>
      <c r="L35" s="11"/>
      <c r="M35" s="11"/>
      <c r="N35" s="11"/>
      <c r="O35" s="11"/>
      <c r="P35" s="46">
        <f t="shared" si="3"/>
        <v>-15</v>
      </c>
      <c r="S35" s="47">
        <v>40</v>
      </c>
      <c r="T35" s="48">
        <f t="shared" si="2"/>
        <v>25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'เย็น  '!D36+เช้า!D36+'บ่าย '!D36</f>
        <v>5</v>
      </c>
      <c r="E36" s="30">
        <f>'เย็น  '!E36+เช้า!E36+'บ่าย '!E36</f>
        <v>2</v>
      </c>
      <c r="F36" s="30">
        <f>'เย็น  '!F36+เช้า!F36+'บ่าย '!F36</f>
        <v>0</v>
      </c>
      <c r="G36" s="30">
        <f>'เย็น  '!G36+เช้า!G36+'บ่าย '!G36</f>
        <v>8</v>
      </c>
      <c r="H36" s="30">
        <f>'เย็น  '!H36+เช้า!H36+'บ่าย '!H36</f>
        <v>0</v>
      </c>
      <c r="I36" s="30">
        <f>'เย็น  '!I36+เช้า!I36+'บ่าย '!I36</f>
        <v>0</v>
      </c>
      <c r="J36" s="30">
        <f>'เย็น  '!J36+เช้า!J36+'บ่าย '!J36</f>
        <v>0</v>
      </c>
      <c r="K36" s="36">
        <f t="shared" si="0"/>
        <v>15</v>
      </c>
      <c r="L36" s="11"/>
      <c r="M36" s="11"/>
      <c r="N36" s="11"/>
      <c r="O36" s="11"/>
      <c r="P36" s="46">
        <f t="shared" si="3"/>
        <v>-15</v>
      </c>
      <c r="S36" s="47">
        <v>40</v>
      </c>
      <c r="T36" s="48">
        <f t="shared" si="2"/>
        <v>25</v>
      </c>
      <c r="W36">
        <v>1111008</v>
      </c>
      <c r="X36" t="s">
        <v>42</v>
      </c>
      <c r="Y36">
        <v>250</v>
      </c>
    </row>
    <row r="37" spans="2:25" x14ac:dyDescent="0.25">
      <c r="B37" s="11">
        <v>1111010</v>
      </c>
      <c r="C37" s="15" t="s">
        <v>38</v>
      </c>
      <c r="D37" s="30">
        <f>'เย็น  '!D37+เช้า!D37+'บ่าย '!D37</f>
        <v>0</v>
      </c>
      <c r="E37" s="30">
        <f>'เย็น  '!E37+เช้า!E37+'บ่าย '!E37</f>
        <v>0</v>
      </c>
      <c r="F37" s="30">
        <f>'เย็น  '!F37+เช้า!F37+'บ่าย '!F37</f>
        <v>0</v>
      </c>
      <c r="G37" s="30">
        <f>'เย็น  '!G37+เช้า!G37+'บ่าย '!G37</f>
        <v>0</v>
      </c>
      <c r="H37" s="30">
        <f>'เย็น  '!H37+เช้า!H37+'บ่าย '!H37</f>
        <v>0</v>
      </c>
      <c r="I37" s="30">
        <f>'เย็น  '!I37+เช้า!I37+'บ่าย '!I37</f>
        <v>0</v>
      </c>
      <c r="J37" s="30">
        <f>'เย็น  '!J37+เช้า!J37+'บ่าย '!J37</f>
        <v>0</v>
      </c>
      <c r="K37" s="36">
        <f t="shared" ref="K37" si="4">SUM(D37:J37)</f>
        <v>0</v>
      </c>
      <c r="L37" s="11"/>
      <c r="M37" s="11"/>
      <c r="N37" s="11"/>
      <c r="O37" s="11"/>
      <c r="P37" s="46">
        <f t="shared" si="3"/>
        <v>0</v>
      </c>
      <c r="T37" s="48">
        <f t="shared" si="2"/>
        <v>0</v>
      </c>
    </row>
    <row r="38" spans="2:25" x14ac:dyDescent="0.25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5">SUM(D38:J38)</f>
        <v>0</v>
      </c>
      <c r="L38" s="11"/>
      <c r="M38" s="11"/>
      <c r="N38" s="11"/>
      <c r="O38" s="11"/>
      <c r="P38" s="46">
        <f t="shared" si="3"/>
        <v>0</v>
      </c>
      <c r="T38" s="48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71" t="s">
        <v>39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3"/>
      <c r="T39" s="48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'เย็น  '!D40+เช้า!D40+'บ่าย '!D40</f>
        <v>0</v>
      </c>
      <c r="E40" s="30">
        <f>'เย็น  '!E40+เช้า!E40+'บ่าย '!E40</f>
        <v>1</v>
      </c>
      <c r="F40" s="30">
        <f>'เย็น  '!F40+เช้า!F40+'บ่าย '!F40</f>
        <v>9</v>
      </c>
      <c r="G40" s="30">
        <f>'เย็น  '!G40+เช้า!G40+'บ่าย '!G40</f>
        <v>0</v>
      </c>
      <c r="H40" s="30">
        <f>'เย็น  '!H40+เช้า!H40+'บ่าย '!H40</f>
        <v>0</v>
      </c>
      <c r="I40" s="30">
        <f>'เย็น  '!I40+เช้า!I40+'บ่าย '!I40</f>
        <v>0</v>
      </c>
      <c r="J40" s="30">
        <f>'เย็น  '!J40+เช้า!J40+'บ่าย '!J40</f>
        <v>0</v>
      </c>
      <c r="K40" s="36">
        <f>SUM(D40:J40)</f>
        <v>10</v>
      </c>
      <c r="L40" s="11"/>
      <c r="M40" s="11"/>
      <c r="N40" s="11"/>
      <c r="O40" s="11"/>
      <c r="P40" s="46">
        <f t="shared" si="3"/>
        <v>-10</v>
      </c>
      <c r="S40" s="47">
        <v>20</v>
      </c>
      <c r="T40" s="48">
        <f t="shared" si="2"/>
        <v>10</v>
      </c>
      <c r="W40">
        <v>1124021</v>
      </c>
      <c r="X40" t="s">
        <v>62</v>
      </c>
      <c r="Y40">
        <v>400</v>
      </c>
    </row>
    <row r="41" spans="2:25" x14ac:dyDescent="0.25">
      <c r="B41" s="11">
        <v>1111020</v>
      </c>
      <c r="C41" s="19" t="s">
        <v>100</v>
      </c>
      <c r="D41" s="30">
        <f>'เย็น  '!D41+เช้า!D41+'บ่าย '!D41</f>
        <v>1</v>
      </c>
      <c r="E41" s="30">
        <f>'เย็น  '!E41+เช้า!E41+'บ่าย '!E41</f>
        <v>0</v>
      </c>
      <c r="F41" s="30">
        <f>'เย็น  '!F41+เช้า!F41+'บ่าย '!F41</f>
        <v>0</v>
      </c>
      <c r="G41" s="30">
        <f>'เย็น  '!G41+เช้า!G41+'บ่าย '!G41</f>
        <v>0</v>
      </c>
      <c r="H41" s="30">
        <f>'เย็น  '!H41+เช้า!H41+'บ่าย '!H41</f>
        <v>0</v>
      </c>
      <c r="I41" s="30">
        <f>'เย็น  '!I41+เช้า!I41+'บ่าย '!I41</f>
        <v>0</v>
      </c>
      <c r="J41" s="30">
        <f>'เย็น  '!J41+เช้า!J41+'บ่าย '!J41</f>
        <v>0</v>
      </c>
      <c r="K41" s="36">
        <f>SUM(D41:J41)</f>
        <v>1</v>
      </c>
      <c r="L41" s="49"/>
      <c r="M41" s="49"/>
      <c r="N41" s="49"/>
      <c r="O41" s="49"/>
      <c r="P41" s="50"/>
      <c r="T41" s="48"/>
    </row>
    <row r="42" spans="2:25" ht="19.5" x14ac:dyDescent="0.25">
      <c r="B42" s="71" t="s">
        <v>41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3"/>
      <c r="T42" s="48">
        <f t="shared" si="2"/>
        <v>0</v>
      </c>
    </row>
    <row r="43" spans="2:25" x14ac:dyDescent="0.25">
      <c r="B43" s="11">
        <v>1111008</v>
      </c>
      <c r="C43" s="19" t="s">
        <v>42</v>
      </c>
      <c r="D43" s="30">
        <f>'เย็น  '!D43+เช้า!D43+'บ่าย '!D43</f>
        <v>0</v>
      </c>
      <c r="E43" s="30">
        <f>'เย็น  '!E43+เช้า!E43+'บ่าย '!E43</f>
        <v>0</v>
      </c>
      <c r="F43" s="30">
        <f>'เย็น  '!F43+เช้า!F43+'บ่าย '!F43</f>
        <v>0</v>
      </c>
      <c r="G43" s="30">
        <f>'เย็น  '!G43+เช้า!G43+'บ่าย '!G43</f>
        <v>76</v>
      </c>
      <c r="H43" s="30">
        <f>'เย็น  '!H43+เช้า!H43+'บ่าย '!H43</f>
        <v>0</v>
      </c>
      <c r="I43" s="30">
        <f>'เย็น  '!I43+เช้า!I43+'บ่าย '!I43</f>
        <v>0</v>
      </c>
      <c r="J43" s="30">
        <f>'เย็น  '!J43+เช้า!J43+'บ่าย '!J43</f>
        <v>0</v>
      </c>
      <c r="K43" s="36">
        <f>SUM(D43:J43)</f>
        <v>76</v>
      </c>
      <c r="L43" s="11"/>
      <c r="M43" s="11"/>
      <c r="N43" s="11"/>
      <c r="O43" s="11"/>
      <c r="P43" s="46">
        <f t="shared" ref="P43:P68" si="6">(L43+M43+N43+O43)-K43</f>
        <v>-76</v>
      </c>
      <c r="S43" s="47">
        <v>250</v>
      </c>
      <c r="T43" s="48">
        <f t="shared" si="2"/>
        <v>174</v>
      </c>
    </row>
    <row r="44" spans="2:25" ht="19.5" x14ac:dyDescent="0.25">
      <c r="B44" s="71" t="s">
        <v>43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3"/>
      <c r="T44" s="48">
        <f t="shared" si="2"/>
        <v>0</v>
      </c>
    </row>
    <row r="45" spans="2:25" x14ac:dyDescent="0.25">
      <c r="B45" s="11">
        <v>1112009</v>
      </c>
      <c r="C45" s="19" t="s">
        <v>44</v>
      </c>
      <c r="D45" s="30">
        <f>'เย็น  '!D45+เช้า!D45+'บ่าย '!D45</f>
        <v>7</v>
      </c>
      <c r="E45" s="30">
        <f>'เย็น  '!E45+เช้า!E45+'บ่าย '!E45</f>
        <v>9</v>
      </c>
      <c r="F45" s="30">
        <f>'เย็น  '!F45+เช้า!F45+'บ่าย '!F45</f>
        <v>5</v>
      </c>
      <c r="G45" s="30">
        <f>'เย็น  '!G45+เช้า!G45+'บ่าย '!G45</f>
        <v>46</v>
      </c>
      <c r="H45" s="30">
        <f>'เย็น  '!H45+เช้า!H45+'บ่าย '!H45</f>
        <v>0</v>
      </c>
      <c r="I45" s="30">
        <f>'เย็น  '!I45+เช้า!I45+'บ่าย '!I45</f>
        <v>0</v>
      </c>
      <c r="J45" s="30">
        <f>'เย็น  '!J45+เช้า!J45+'บ่าย '!J45</f>
        <v>0</v>
      </c>
      <c r="K45" s="36">
        <f>SUM(D45:J45)</f>
        <v>67</v>
      </c>
      <c r="L45" s="11"/>
      <c r="M45" s="11"/>
      <c r="N45" s="11"/>
      <c r="O45" s="11"/>
      <c r="P45" s="46">
        <f t="shared" si="6"/>
        <v>-67</v>
      </c>
      <c r="R45" s="47">
        <v>100</v>
      </c>
      <c r="T45" s="48">
        <f t="shared" si="2"/>
        <v>33</v>
      </c>
    </row>
    <row r="46" spans="2:25" x14ac:dyDescent="0.25">
      <c r="B46" s="11">
        <v>1112011</v>
      </c>
      <c r="C46" s="19" t="s">
        <v>45</v>
      </c>
      <c r="D46" s="30">
        <f>'เย็น  '!D46+เช้า!D46+'บ่าย '!D46</f>
        <v>18</v>
      </c>
      <c r="E46" s="30">
        <f>'เย็น  '!E46+เช้า!E46+'บ่าย '!E46</f>
        <v>14</v>
      </c>
      <c r="F46" s="30">
        <f>'เย็น  '!F46+เช้า!F46+'บ่าย '!F46</f>
        <v>15</v>
      </c>
      <c r="G46" s="30">
        <f>'เย็น  '!G46+เช้า!G46+'บ่าย '!G46</f>
        <v>44</v>
      </c>
      <c r="H46" s="30">
        <f>'เย็น  '!H46+เช้า!H46+'บ่าย '!H46</f>
        <v>0</v>
      </c>
      <c r="I46" s="30">
        <f>'เย็น  '!I46+เช้า!I46+'บ่าย '!I46</f>
        <v>0</v>
      </c>
      <c r="J46" s="30">
        <f>'เย็น  '!J46+เช้า!J46+'บ่าย '!J46</f>
        <v>0</v>
      </c>
      <c r="K46" s="36">
        <f t="shared" ref="K46:K55" si="7">SUM(D46:J46)</f>
        <v>91</v>
      </c>
      <c r="L46" s="11"/>
      <c r="M46" s="11"/>
      <c r="N46" s="11"/>
      <c r="O46" s="11"/>
      <c r="P46" s="46">
        <f t="shared" si="6"/>
        <v>-91</v>
      </c>
      <c r="R46" s="47">
        <v>100</v>
      </c>
      <c r="T46" s="48">
        <f t="shared" si="2"/>
        <v>9</v>
      </c>
    </row>
    <row r="47" spans="2:25" x14ac:dyDescent="0.25">
      <c r="B47" s="11">
        <v>1112003</v>
      </c>
      <c r="C47" s="19" t="s">
        <v>46</v>
      </c>
      <c r="D47" s="30">
        <f>'เย็น  '!D47+เช้า!D47+'บ่าย '!D47</f>
        <v>0</v>
      </c>
      <c r="E47" s="30">
        <f>'เย็น  '!E47+เช้า!E47+'บ่าย '!E47</f>
        <v>0</v>
      </c>
      <c r="F47" s="30">
        <f>'เย็น  '!F47+เช้า!F47+'บ่าย '!F47</f>
        <v>0</v>
      </c>
      <c r="G47" s="30">
        <f>'เย็น  '!G47+เช้า!G47+'บ่าย '!G47</f>
        <v>0</v>
      </c>
      <c r="H47" s="30">
        <f>'เย็น  '!H47+เช้า!H47+'บ่าย '!H47</f>
        <v>0</v>
      </c>
      <c r="I47" s="30">
        <f>'เย็น  '!I47+เช้า!I47+'บ่าย '!I47</f>
        <v>0</v>
      </c>
      <c r="J47" s="30">
        <f>'เย็น  '!J47+เช้า!J47+'บ่าย '!J47</f>
        <v>0</v>
      </c>
      <c r="K47" s="36">
        <f t="shared" si="7"/>
        <v>0</v>
      </c>
      <c r="L47" s="11"/>
      <c r="M47" s="11"/>
      <c r="N47" s="11"/>
      <c r="O47" s="11"/>
      <c r="P47" s="46">
        <f t="shared" si="6"/>
        <v>0</v>
      </c>
      <c r="R47" s="47">
        <v>20</v>
      </c>
      <c r="T47" s="48">
        <f t="shared" si="2"/>
        <v>20</v>
      </c>
    </row>
    <row r="48" spans="2:25" x14ac:dyDescent="0.25">
      <c r="B48" s="11">
        <v>1112005</v>
      </c>
      <c r="C48" s="19" t="s">
        <v>47</v>
      </c>
      <c r="D48" s="30">
        <f>'เย็น  '!D48+เช้า!D48+'บ่าย '!D48</f>
        <v>1</v>
      </c>
      <c r="E48" s="30">
        <f>'เย็น  '!E48+เช้า!E48+'บ่าย '!E48</f>
        <v>0</v>
      </c>
      <c r="F48" s="30">
        <f>'เย็น  '!F48+เช้า!F48+'บ่าย '!F48</f>
        <v>0</v>
      </c>
      <c r="G48" s="30">
        <f>'เย็น  '!G48+เช้า!G48+'บ่าย '!G48</f>
        <v>0</v>
      </c>
      <c r="H48" s="30">
        <f>'เย็น  '!H48+เช้า!H48+'บ่าย '!H48</f>
        <v>0</v>
      </c>
      <c r="I48" s="30">
        <f>'เย็น  '!I48+เช้า!I48+'บ่าย '!I48</f>
        <v>0</v>
      </c>
      <c r="J48" s="30">
        <f>'เย็น  '!J48+เช้า!J48+'บ่าย '!J48</f>
        <v>0</v>
      </c>
      <c r="K48" s="36">
        <f t="shared" si="7"/>
        <v>1</v>
      </c>
      <c r="L48" s="11"/>
      <c r="M48" s="11"/>
      <c r="N48" s="11"/>
      <c r="O48" s="11"/>
      <c r="P48" s="46">
        <f t="shared" si="6"/>
        <v>-1</v>
      </c>
      <c r="R48" s="47">
        <v>20</v>
      </c>
      <c r="T48" s="48">
        <f t="shared" si="2"/>
        <v>19</v>
      </c>
    </row>
    <row r="49" spans="2:20" x14ac:dyDescent="0.25">
      <c r="B49" s="11">
        <v>1112007</v>
      </c>
      <c r="C49" s="19" t="s">
        <v>48</v>
      </c>
      <c r="D49" s="30">
        <f>'เย็น  '!D49+เช้า!D49+'บ่าย '!D49</f>
        <v>0</v>
      </c>
      <c r="E49" s="30">
        <f>'เย็น  '!E49+เช้า!E49+'บ่าย '!E49</f>
        <v>0</v>
      </c>
      <c r="F49" s="30">
        <f>'เย็น  '!F49+เช้า!F49+'บ่าย '!F49</f>
        <v>0</v>
      </c>
      <c r="G49" s="30">
        <f>'เย็น  '!G49+เช้า!G49+'บ่าย '!G49</f>
        <v>0</v>
      </c>
      <c r="H49" s="30">
        <f>'เย็น  '!H49+เช้า!H49+'บ่าย '!H49</f>
        <v>0</v>
      </c>
      <c r="I49" s="30">
        <f>'เย็น  '!I49+เช้า!I49+'บ่าย '!I49</f>
        <v>0</v>
      </c>
      <c r="J49" s="30">
        <f>'เย็น  '!J49+เช้า!J49+'บ่าย '!J49</f>
        <v>0</v>
      </c>
      <c r="K49" s="36">
        <f t="shared" si="7"/>
        <v>0</v>
      </c>
      <c r="L49" s="11"/>
      <c r="M49" s="11"/>
      <c r="N49" s="11"/>
      <c r="O49" s="11"/>
      <c r="P49" s="46">
        <f t="shared" si="6"/>
        <v>0</v>
      </c>
      <c r="T49" s="48">
        <f t="shared" si="2"/>
        <v>0</v>
      </c>
    </row>
    <row r="50" spans="2:20" x14ac:dyDescent="0.25">
      <c r="B50" s="11">
        <v>1112019</v>
      </c>
      <c r="C50" s="19" t="s">
        <v>49</v>
      </c>
      <c r="D50" s="30">
        <f>'เย็น  '!D50+เช้า!D50+'บ่าย '!D50</f>
        <v>0</v>
      </c>
      <c r="E50" s="30">
        <f>'เย็น  '!E50+เช้า!E50+'บ่าย '!E50</f>
        <v>0</v>
      </c>
      <c r="F50" s="30">
        <f>'เย็น  '!F50+เช้า!F50+'บ่าย '!F50</f>
        <v>0</v>
      </c>
      <c r="G50" s="30">
        <f>'เย็น  '!G50+เช้า!G50+'บ่าย '!G50</f>
        <v>0</v>
      </c>
      <c r="H50" s="30">
        <f>'เย็น  '!H50+เช้า!H50+'บ่าย '!H50</f>
        <v>0</v>
      </c>
      <c r="I50" s="30">
        <f>'เย็น  '!I50+เช้า!I50+'บ่าย '!I50</f>
        <v>0</v>
      </c>
      <c r="J50" s="30">
        <f>'เย็น  '!J50+เช้า!J50+'บ่าย '!J50</f>
        <v>0</v>
      </c>
      <c r="K50" s="36">
        <f t="shared" si="7"/>
        <v>0</v>
      </c>
      <c r="L50" s="11"/>
      <c r="M50" s="11"/>
      <c r="N50" s="11"/>
      <c r="O50" s="11"/>
      <c r="P50" s="46">
        <f t="shared" si="6"/>
        <v>0</v>
      </c>
      <c r="T50" s="48">
        <f t="shared" si="2"/>
        <v>0</v>
      </c>
    </row>
    <row r="51" spans="2:20" x14ac:dyDescent="0.25">
      <c r="B51" s="11">
        <v>1112017</v>
      </c>
      <c r="C51" s="19" t="s">
        <v>50</v>
      </c>
      <c r="D51" s="30">
        <f>'เย็น  '!D51+เช้า!D51+'บ่าย '!D51</f>
        <v>1</v>
      </c>
      <c r="E51" s="30">
        <f>'เย็น  '!E51+เช้า!E51+'บ่าย '!E51</f>
        <v>0</v>
      </c>
      <c r="F51" s="30">
        <f>'เย็น  '!F51+เช้า!F51+'บ่าย '!F51</f>
        <v>0</v>
      </c>
      <c r="G51" s="30">
        <f>'เย็น  '!G51+เช้า!G51+'บ่าย '!G51</f>
        <v>0</v>
      </c>
      <c r="H51" s="30">
        <f>'เย็น  '!H51+เช้า!H51+'บ่าย '!H51</f>
        <v>0</v>
      </c>
      <c r="I51" s="30">
        <f>'เย็น  '!I51+เช้า!I51+'บ่าย '!I51</f>
        <v>0</v>
      </c>
      <c r="J51" s="30">
        <f>'เย็น  '!J51+เช้า!J51+'บ่าย '!J51</f>
        <v>0</v>
      </c>
      <c r="K51" s="36">
        <f t="shared" si="7"/>
        <v>1</v>
      </c>
      <c r="L51" s="11"/>
      <c r="M51" s="11"/>
      <c r="N51" s="11"/>
      <c r="O51" s="11"/>
      <c r="P51" s="46">
        <f t="shared" si="6"/>
        <v>-1</v>
      </c>
      <c r="R51" s="47">
        <v>20</v>
      </c>
      <c r="T51" s="48">
        <f t="shared" si="2"/>
        <v>19</v>
      </c>
    </row>
    <row r="52" spans="2:20" x14ac:dyDescent="0.25">
      <c r="B52" s="11">
        <v>1112015</v>
      </c>
      <c r="C52" s="19" t="s">
        <v>51</v>
      </c>
      <c r="D52" s="30">
        <f>'เย็น  '!D52+เช้า!D52+'บ่าย '!D52</f>
        <v>2</v>
      </c>
      <c r="E52" s="30">
        <f>'เย็น  '!E52+เช้า!E52+'บ่าย '!E52</f>
        <v>0</v>
      </c>
      <c r="F52" s="30">
        <f>'เย็น  '!F52+เช้า!F52+'บ่าย '!F52</f>
        <v>0</v>
      </c>
      <c r="G52" s="30">
        <f>'เย็น  '!G52+เช้า!G52+'บ่าย '!G52</f>
        <v>0</v>
      </c>
      <c r="H52" s="30">
        <f>'เย็น  '!H52+เช้า!H52+'บ่าย '!H52</f>
        <v>0</v>
      </c>
      <c r="I52" s="30">
        <f>'เย็น  '!I52+เช้า!I52+'บ่าย '!I52</f>
        <v>0</v>
      </c>
      <c r="J52" s="30">
        <f>'เย็น  '!J52+เช้า!J52+'บ่าย '!J52</f>
        <v>0</v>
      </c>
      <c r="K52" s="36">
        <f t="shared" si="7"/>
        <v>2</v>
      </c>
      <c r="L52" s="11"/>
      <c r="M52" s="11"/>
      <c r="N52" s="11"/>
      <c r="O52" s="11"/>
      <c r="P52" s="46">
        <f t="shared" si="6"/>
        <v>-2</v>
      </c>
      <c r="R52" s="47">
        <v>20</v>
      </c>
      <c r="T52" s="48">
        <f t="shared" si="2"/>
        <v>18</v>
      </c>
    </row>
    <row r="53" spans="2:20" x14ac:dyDescent="0.25">
      <c r="B53" s="11">
        <v>1112013</v>
      </c>
      <c r="C53" s="19" t="s">
        <v>52</v>
      </c>
      <c r="D53" s="30">
        <f>'เย็น  '!D53+เช้า!D53+'บ่าย '!D53</f>
        <v>5</v>
      </c>
      <c r="E53" s="30">
        <f>'เย็น  '!E53+เช้า!E53+'บ่าย '!E53</f>
        <v>7</v>
      </c>
      <c r="F53" s="30">
        <f>'เย็น  '!F53+เช้า!F53+'บ่าย '!F53</f>
        <v>7</v>
      </c>
      <c r="G53" s="30">
        <f>'เย็น  '!G53+เช้า!G53+'บ่าย '!G53</f>
        <v>44</v>
      </c>
      <c r="H53" s="30">
        <f>'เย็น  '!H53+เช้า!H53+'บ่าย '!H53</f>
        <v>0</v>
      </c>
      <c r="I53" s="30">
        <f>'เย็น  '!I53+เช้า!I53+'บ่าย '!I53</f>
        <v>0</v>
      </c>
      <c r="J53" s="30">
        <f>'เย็น  '!J53+เช้า!J53+'บ่าย '!J53</f>
        <v>0</v>
      </c>
      <c r="K53" s="36">
        <f t="shared" si="7"/>
        <v>63</v>
      </c>
      <c r="L53" s="11"/>
      <c r="M53" s="11"/>
      <c r="N53" s="11"/>
      <c r="O53" s="11"/>
      <c r="P53" s="46">
        <f t="shared" si="6"/>
        <v>-63</v>
      </c>
      <c r="R53" s="47">
        <v>100</v>
      </c>
      <c r="T53" s="48">
        <f t="shared" si="2"/>
        <v>37</v>
      </c>
    </row>
    <row r="54" spans="2:20" x14ac:dyDescent="0.25">
      <c r="B54" s="11">
        <v>1124043</v>
      </c>
      <c r="C54" s="19" t="s">
        <v>53</v>
      </c>
      <c r="D54" s="30">
        <f>เช้า!D54+'เย็น  '!D54+บ่าย!D56</f>
        <v>0</v>
      </c>
      <c r="E54" s="30">
        <f>เช้า!E54+'เย็น  '!E54+บ่าย!E56</f>
        <v>0</v>
      </c>
      <c r="F54" s="30">
        <f>เช้า!F54+'เย็น  '!F54+บ่าย!F56</f>
        <v>0</v>
      </c>
      <c r="G54" s="30">
        <f>เช้า!G54+'เย็น  '!G54+บ่าย!G56</f>
        <v>0</v>
      </c>
      <c r="H54" s="30">
        <f>เช้า!H54+'เย็น  '!H54+บ่าย!H56</f>
        <v>0</v>
      </c>
      <c r="I54" s="30">
        <f>เช้า!I54+'เย็น  '!I54+บ่าย!I56</f>
        <v>0</v>
      </c>
      <c r="J54" s="30">
        <f>เช้า!J54+'เย็น  '!J54+บ่าย!J56</f>
        <v>0</v>
      </c>
      <c r="K54" s="36">
        <f t="shared" si="7"/>
        <v>0</v>
      </c>
      <c r="L54" s="11"/>
      <c r="M54" s="11"/>
      <c r="N54" s="11"/>
      <c r="O54" s="11"/>
      <c r="P54" s="46">
        <f t="shared" si="6"/>
        <v>0</v>
      </c>
      <c r="T54" s="48">
        <f t="shared" si="2"/>
        <v>0</v>
      </c>
    </row>
    <row r="55" spans="2:20" x14ac:dyDescent="0.25">
      <c r="B55" s="18"/>
      <c r="C55" s="18" t="s">
        <v>1</v>
      </c>
      <c r="D55" s="18"/>
      <c r="E55" s="18"/>
      <c r="F55" s="18"/>
      <c r="G55" s="18"/>
      <c r="H55" s="18"/>
      <c r="I55" s="18"/>
      <c r="J55" s="20"/>
      <c r="K55" s="36">
        <f t="shared" si="7"/>
        <v>0</v>
      </c>
      <c r="L55" s="11"/>
      <c r="M55" s="11"/>
      <c r="N55" s="11"/>
      <c r="O55" s="11"/>
      <c r="P55" s="46">
        <f>SUM(P45:P54)</f>
        <v>-225</v>
      </c>
      <c r="T55" s="48">
        <f t="shared" si="2"/>
        <v>-225</v>
      </c>
    </row>
    <row r="56" spans="2:20" ht="19.5" x14ac:dyDescent="0.25">
      <c r="B56" s="71" t="s">
        <v>54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3"/>
      <c r="T56" s="48">
        <f t="shared" si="2"/>
        <v>0</v>
      </c>
    </row>
    <row r="57" spans="2:20" x14ac:dyDescent="0.25">
      <c r="B57" s="11">
        <v>1100003</v>
      </c>
      <c r="C57" s="21" t="s">
        <v>73</v>
      </c>
      <c r="D57" s="30">
        <f>'เย็น  '!D57+เช้า!D57+'บ่าย '!D57</f>
        <v>0</v>
      </c>
      <c r="E57" s="30">
        <f>'เย็น  '!E57+เช้า!E57+'บ่าย '!E57</f>
        <v>1</v>
      </c>
      <c r="F57" s="30">
        <f>'เย็น  '!F57+เช้า!F57+'บ่าย '!F57</f>
        <v>0</v>
      </c>
      <c r="G57" s="30">
        <f>'เย็น  '!G57+เช้า!G57+'บ่าย '!G57</f>
        <v>0</v>
      </c>
      <c r="H57" s="30">
        <f>'เย็น  '!H57+เช้า!H57+'บ่าย '!H57</f>
        <v>0</v>
      </c>
      <c r="I57" s="30">
        <f>'เย็น  '!I57+เช้า!I57+'บ่าย '!I57</f>
        <v>0</v>
      </c>
      <c r="J57" s="30">
        <f>'เย็น  '!J57+เช้า!J57+'บ่าย '!J57</f>
        <v>0</v>
      </c>
      <c r="K57" s="36">
        <f>SUM(D57:J57)</f>
        <v>1</v>
      </c>
      <c r="L57" s="11"/>
      <c r="M57" s="11"/>
      <c r="N57" s="11"/>
      <c r="O57" s="11"/>
      <c r="P57" s="46">
        <f t="shared" si="6"/>
        <v>-1</v>
      </c>
      <c r="T57" s="48">
        <f t="shared" si="2"/>
        <v>-1</v>
      </c>
    </row>
    <row r="58" spans="2:20" x14ac:dyDescent="0.25">
      <c r="B58" s="11">
        <v>1100001</v>
      </c>
      <c r="C58" s="21" t="s">
        <v>74</v>
      </c>
      <c r="D58" s="30">
        <f>'เย็น  '!D58+เช้า!D58+'บ่าย '!D58</f>
        <v>0</v>
      </c>
      <c r="E58" s="30">
        <f>'เย็น  '!E58+เช้า!E58+'บ่าย '!E58</f>
        <v>0</v>
      </c>
      <c r="F58" s="30">
        <f>'เย็น  '!F58+เช้า!F58+'บ่าย '!F58</f>
        <v>0</v>
      </c>
      <c r="G58" s="30">
        <f>'เย็น  '!G58+เช้า!G58+'บ่าย '!G58</f>
        <v>0</v>
      </c>
      <c r="H58" s="30">
        <f>'เย็น  '!H58+เช้า!H58+'บ่าย '!H58</f>
        <v>0</v>
      </c>
      <c r="I58" s="30">
        <f>'เย็น  '!I58+เช้า!I58+'บ่าย '!I58</f>
        <v>0</v>
      </c>
      <c r="J58" s="30">
        <f>'เย็น  '!J58+เช้า!J58+'บ่าย '!J58</f>
        <v>0</v>
      </c>
      <c r="K58" s="36">
        <f t="shared" ref="K58:K76" si="8">SUM(D58:J58)</f>
        <v>0</v>
      </c>
      <c r="L58" s="11"/>
      <c r="M58" s="11"/>
      <c r="N58" s="11"/>
      <c r="O58" s="11"/>
      <c r="P58" s="46">
        <f t="shared" si="6"/>
        <v>0</v>
      </c>
      <c r="T58" s="48">
        <f t="shared" si="2"/>
        <v>0</v>
      </c>
    </row>
    <row r="59" spans="2:20" x14ac:dyDescent="0.25">
      <c r="B59" s="11">
        <v>1100002</v>
      </c>
      <c r="C59" s="21" t="s">
        <v>75</v>
      </c>
      <c r="D59" s="30">
        <f>'เย็น  '!D59+เช้า!D59+'บ่าย '!D59</f>
        <v>2</v>
      </c>
      <c r="E59" s="30">
        <f>'เย็น  '!E59+เช้า!E59+'บ่าย '!E59</f>
        <v>3</v>
      </c>
      <c r="F59" s="30">
        <f>'เย็น  '!F59+เช้า!F59+'บ่าย '!F59</f>
        <v>0</v>
      </c>
      <c r="G59" s="30">
        <f>'เย็น  '!G59+เช้า!G59+'บ่าย '!G59</f>
        <v>2</v>
      </c>
      <c r="H59" s="30">
        <f>'เย็น  '!H59+เช้า!H59+'บ่าย '!H59</f>
        <v>0</v>
      </c>
      <c r="I59" s="30">
        <f>'เย็น  '!I59+เช้า!I59+'บ่าย '!I59</f>
        <v>0</v>
      </c>
      <c r="J59" s="30">
        <f>'เย็น  '!J59+เช้า!J59+'บ่าย '!J59</f>
        <v>0</v>
      </c>
      <c r="K59" s="36">
        <f t="shared" si="8"/>
        <v>7</v>
      </c>
      <c r="L59" s="11"/>
      <c r="M59" s="11"/>
      <c r="N59" s="11"/>
      <c r="O59" s="11"/>
      <c r="P59" s="46">
        <f t="shared" si="6"/>
        <v>-7</v>
      </c>
      <c r="T59" s="48">
        <f t="shared" si="2"/>
        <v>-7</v>
      </c>
    </row>
    <row r="60" spans="2:20" x14ac:dyDescent="0.25">
      <c r="B60" s="11">
        <v>1200001</v>
      </c>
      <c r="C60" s="21" t="s">
        <v>57</v>
      </c>
      <c r="D60" s="30">
        <f>'เย็น  '!D60+เช้า!D60+'บ่าย '!D60</f>
        <v>0</v>
      </c>
      <c r="E60" s="30">
        <f>'เย็น  '!E60+เช้า!E60+'บ่าย '!E60</f>
        <v>0</v>
      </c>
      <c r="F60" s="30">
        <f>'เย็น  '!F60+เช้า!F60+'บ่าย '!F60</f>
        <v>0</v>
      </c>
      <c r="G60" s="30">
        <f>'เย็น  '!G60+เช้า!G60+'บ่าย '!G60</f>
        <v>0</v>
      </c>
      <c r="H60" s="30">
        <f>'เย็น  '!H60+เช้า!H60+'บ่าย '!H60</f>
        <v>0</v>
      </c>
      <c r="I60" s="30">
        <f>'เย็น  '!I60+เช้า!I60+'บ่าย '!I60</f>
        <v>0</v>
      </c>
      <c r="J60" s="30">
        <f>'เย็น  '!J60+เช้า!J60+'บ่าย '!J60</f>
        <v>0</v>
      </c>
      <c r="K60" s="36">
        <f t="shared" si="8"/>
        <v>0</v>
      </c>
      <c r="L60" s="11"/>
      <c r="M60" s="11"/>
      <c r="N60" s="11"/>
      <c r="O60" s="11"/>
      <c r="P60" s="46">
        <f t="shared" si="6"/>
        <v>0</v>
      </c>
      <c r="T60" s="48">
        <f t="shared" si="2"/>
        <v>0</v>
      </c>
    </row>
    <row r="61" spans="2:20" x14ac:dyDescent="0.25">
      <c r="B61" s="11">
        <v>1005761</v>
      </c>
      <c r="C61" s="21" t="s">
        <v>58</v>
      </c>
      <c r="D61" s="30">
        <f>'เย็น  '!D61+เช้า!D61+'บ่าย '!D61</f>
        <v>0</v>
      </c>
      <c r="E61" s="30">
        <f>'เย็น  '!E61+เช้า!E61+'บ่าย '!E61</f>
        <v>2</v>
      </c>
      <c r="F61" s="30">
        <f>'เย็น  '!F61+เช้า!F61+'บ่าย '!F61</f>
        <v>0</v>
      </c>
      <c r="G61" s="30">
        <f>'เย็น  '!G61+เช้า!G61+'บ่าย '!G61</f>
        <v>0</v>
      </c>
      <c r="H61" s="30">
        <f>'เย็น  '!H61+เช้า!H61+'บ่าย '!H61</f>
        <v>0</v>
      </c>
      <c r="I61" s="30">
        <f>'เย็น  '!I61+เช้า!I61+'บ่าย '!I61</f>
        <v>0</v>
      </c>
      <c r="J61" s="30">
        <f>'เย็น  '!J61+เช้า!J61+'บ่าย '!J61</f>
        <v>0</v>
      </c>
      <c r="K61" s="36">
        <f t="shared" si="8"/>
        <v>2</v>
      </c>
      <c r="L61" s="11"/>
      <c r="M61" s="11"/>
      <c r="N61" s="11"/>
      <c r="O61" s="11"/>
      <c r="P61" s="46">
        <f t="shared" si="6"/>
        <v>-2</v>
      </c>
      <c r="T61" s="48">
        <f t="shared" si="2"/>
        <v>-2</v>
      </c>
    </row>
    <row r="62" spans="2:20" x14ac:dyDescent="0.25">
      <c r="B62" s="11">
        <v>1114501</v>
      </c>
      <c r="C62" s="21" t="s">
        <v>59</v>
      </c>
      <c r="D62" s="30">
        <f>'เย็น  '!D62+เช้า!D62+'บ่าย '!D62</f>
        <v>0</v>
      </c>
      <c r="E62" s="30">
        <f>'เย็น  '!E62+เช้า!E62+'บ่าย '!E62</f>
        <v>15</v>
      </c>
      <c r="F62" s="30">
        <f>'เย็น  '!F62+เช้า!F62+'บ่าย '!F62</f>
        <v>15</v>
      </c>
      <c r="G62" s="30">
        <f>'เย็น  '!G62+เช้า!G62+'บ่าย '!G62</f>
        <v>133</v>
      </c>
      <c r="H62" s="30">
        <f>'เย็น  '!H62+เช้า!H62+'บ่าย '!H62</f>
        <v>0</v>
      </c>
      <c r="I62" s="30">
        <f>'เย็น  '!I62+เช้า!I62+'บ่าย '!I62</f>
        <v>0</v>
      </c>
      <c r="J62" s="30">
        <f>'เย็น  '!J62+เช้า!J62+'บ่าย '!J62</f>
        <v>0</v>
      </c>
      <c r="K62" s="36">
        <f t="shared" si="8"/>
        <v>163</v>
      </c>
      <c r="L62" s="11"/>
      <c r="M62" s="11"/>
      <c r="N62" s="11"/>
      <c r="O62" s="11"/>
      <c r="P62" s="46">
        <f t="shared" si="6"/>
        <v>-163</v>
      </c>
      <c r="T62" s="48">
        <f t="shared" si="2"/>
        <v>-163</v>
      </c>
    </row>
    <row r="63" spans="2:20" x14ac:dyDescent="0.25">
      <c r="B63" s="11">
        <v>1114502</v>
      </c>
      <c r="C63" s="21" t="s">
        <v>60</v>
      </c>
      <c r="D63" s="30">
        <f>'เย็น  '!D63+เช้า!D63+'บ่าย '!D63</f>
        <v>0</v>
      </c>
      <c r="E63" s="30">
        <f>'เย็น  '!E63+เช้า!E63+'บ่าย '!E63</f>
        <v>2</v>
      </c>
      <c r="F63" s="30">
        <f>'เย็น  '!F63+เช้า!F63+'บ่าย '!F63</f>
        <v>3</v>
      </c>
      <c r="G63" s="30">
        <f>'เย็น  '!G63+เช้า!G63+'บ่าย '!G63</f>
        <v>132</v>
      </c>
      <c r="H63" s="30">
        <f>'เย็น  '!H63+เช้า!H63+'บ่าย '!H63</f>
        <v>0</v>
      </c>
      <c r="I63" s="30">
        <f>'เย็น  '!I63+เช้า!I63+'บ่าย '!I63</f>
        <v>0</v>
      </c>
      <c r="J63" s="30">
        <f>'เย็น  '!J63+เช้า!J63+'บ่าย '!J63</f>
        <v>0</v>
      </c>
      <c r="K63" s="36">
        <f t="shared" si="8"/>
        <v>137</v>
      </c>
      <c r="L63" s="11"/>
      <c r="M63" s="11"/>
      <c r="N63" s="11"/>
      <c r="O63" s="11"/>
      <c r="P63" s="46">
        <f t="shared" si="6"/>
        <v>-137</v>
      </c>
      <c r="S63" s="47">
        <v>400</v>
      </c>
      <c r="T63" s="48">
        <f t="shared" si="2"/>
        <v>263</v>
      </c>
    </row>
    <row r="64" spans="2:20" x14ac:dyDescent="0.25">
      <c r="B64" s="11">
        <v>1114503</v>
      </c>
      <c r="C64" s="21" t="s">
        <v>61</v>
      </c>
      <c r="D64" s="30">
        <f>'เย็น  '!D64+เช้า!D64+'บ่าย '!D64</f>
        <v>0</v>
      </c>
      <c r="E64" s="30">
        <f>'เย็น  '!E64+เช้า!E64+'บ่าย '!E64</f>
        <v>5</v>
      </c>
      <c r="F64" s="30">
        <f>'เย็น  '!F64+เช้า!F64+'บ่าย '!F64</f>
        <v>12</v>
      </c>
      <c r="G64" s="30">
        <f>'เย็น  '!G64+เช้า!G64+'บ่าย '!G64</f>
        <v>132</v>
      </c>
      <c r="H64" s="30">
        <f>'เย็น  '!H64+เช้า!H64+'บ่าย '!H64</f>
        <v>0</v>
      </c>
      <c r="I64" s="30">
        <f>'เย็น  '!I64+เช้า!I64+'บ่าย '!I64</f>
        <v>0</v>
      </c>
      <c r="J64" s="30">
        <f>'เย็น  '!J64+เช้า!J64+'บ่าย '!J64</f>
        <v>0</v>
      </c>
      <c r="K64" s="36">
        <f t="shared" si="8"/>
        <v>149</v>
      </c>
      <c r="L64" s="11"/>
      <c r="M64" s="11"/>
      <c r="N64" s="11"/>
      <c r="O64" s="11"/>
      <c r="P64" s="46">
        <f t="shared" si="6"/>
        <v>-149</v>
      </c>
      <c r="T64" s="48">
        <f t="shared" si="2"/>
        <v>-149</v>
      </c>
    </row>
    <row r="65" spans="2:20" x14ac:dyDescent="0.25">
      <c r="B65" s="11">
        <v>1124021</v>
      </c>
      <c r="C65" s="21" t="s">
        <v>62</v>
      </c>
      <c r="D65" s="30">
        <f>'เย็น  '!D65+เช้า!D65+'บ่าย '!D65</f>
        <v>3</v>
      </c>
      <c r="E65" s="30">
        <f>'เย็น  '!E65+เช้า!E65+'บ่าย '!E65</f>
        <v>14</v>
      </c>
      <c r="F65" s="30">
        <f>'เย็น  '!F65+เช้า!F65+'บ่าย '!F65</f>
        <v>42</v>
      </c>
      <c r="G65" s="30">
        <f>'เย็น  '!G65+เช้า!G65+'บ่าย '!G65</f>
        <v>58</v>
      </c>
      <c r="H65" s="30">
        <f>'เย็น  '!H65+เช้า!H65+'บ่าย '!H65</f>
        <v>0</v>
      </c>
      <c r="I65" s="30">
        <f>'เย็น  '!I65+เช้า!I65+'บ่าย '!I65</f>
        <v>0</v>
      </c>
      <c r="J65" s="30">
        <f>'เย็น  '!J65+เช้า!J65+'บ่าย '!J65</f>
        <v>0</v>
      </c>
      <c r="K65" s="36">
        <f t="shared" si="8"/>
        <v>117</v>
      </c>
      <c r="L65" s="11"/>
      <c r="M65" s="11"/>
      <c r="N65" s="11"/>
      <c r="O65" s="11"/>
      <c r="P65" s="46">
        <f t="shared" si="6"/>
        <v>-117</v>
      </c>
      <c r="R65" s="47">
        <v>400</v>
      </c>
      <c r="T65" s="48">
        <f t="shared" si="2"/>
        <v>283</v>
      </c>
    </row>
    <row r="66" spans="2:20" x14ac:dyDescent="0.25">
      <c r="B66" s="11">
        <v>1113084</v>
      </c>
      <c r="C66" s="21" t="s">
        <v>63</v>
      </c>
      <c r="D66" s="30">
        <f>'เย็น  '!D66+เช้า!D66+'บ่าย '!D66</f>
        <v>0</v>
      </c>
      <c r="E66" s="30">
        <f>'เย็น  '!E66+เช้า!E66+'บ่าย '!E66</f>
        <v>0</v>
      </c>
      <c r="F66" s="30">
        <f>'เย็น  '!F66+เช้า!F66+'บ่าย '!F66</f>
        <v>0</v>
      </c>
      <c r="G66" s="30">
        <f>'เย็น  '!G66+เช้า!G66+'บ่าย '!G66</f>
        <v>0</v>
      </c>
      <c r="H66" s="30">
        <f>'เย็น  '!H66+เช้า!H66+'บ่าย '!H66</f>
        <v>0</v>
      </c>
      <c r="I66" s="30">
        <f>'เย็น  '!I66+เช้า!I66+'บ่าย '!I66</f>
        <v>0</v>
      </c>
      <c r="J66" s="30">
        <f>'เย็น  '!J66+เช้า!J66+'บ่าย '!J66</f>
        <v>0</v>
      </c>
      <c r="K66" s="36">
        <f t="shared" si="8"/>
        <v>0</v>
      </c>
      <c r="L66" s="11"/>
      <c r="M66" s="11"/>
      <c r="N66" s="11"/>
      <c r="O66" s="11"/>
      <c r="P66" s="46">
        <f t="shared" si="6"/>
        <v>0</v>
      </c>
      <c r="T66" s="48">
        <f t="shared" si="2"/>
        <v>0</v>
      </c>
    </row>
    <row r="67" spans="2:20" x14ac:dyDescent="0.25">
      <c r="B67" s="11">
        <v>900003</v>
      </c>
      <c r="C67" s="21" t="s">
        <v>83</v>
      </c>
      <c r="D67" s="30">
        <f>'เย็น  '!D67+เช้า!D67+'บ่าย '!D67</f>
        <v>0</v>
      </c>
      <c r="E67" s="30">
        <f>'เย็น  '!E67+เช้า!E67+'บ่าย '!E67</f>
        <v>0</v>
      </c>
      <c r="F67" s="30">
        <f>'เย็น  '!F67+เช้า!F67+'บ่าย '!F67</f>
        <v>0</v>
      </c>
      <c r="G67" s="30">
        <f>'เย็น  '!G67+เช้า!G67+'บ่าย '!G67</f>
        <v>0</v>
      </c>
      <c r="H67" s="30">
        <f>'เย็น  '!H67+เช้า!H67+'บ่าย '!H67</f>
        <v>0</v>
      </c>
      <c r="I67" s="30">
        <f>'เย็น  '!I67+เช้า!I67+'บ่าย '!I67</f>
        <v>0</v>
      </c>
      <c r="J67" s="30">
        <f>'เย็น  '!J67+เช้า!J67+'บ่าย '!J67</f>
        <v>0</v>
      </c>
      <c r="K67" s="36">
        <f t="shared" si="8"/>
        <v>0</v>
      </c>
      <c r="L67" s="11"/>
      <c r="M67" s="11"/>
      <c r="N67" s="11"/>
      <c r="O67" s="11"/>
      <c r="P67" s="46">
        <f t="shared" si="6"/>
        <v>0</v>
      </c>
      <c r="T67" s="48">
        <f t="shared" si="2"/>
        <v>0</v>
      </c>
    </row>
    <row r="68" spans="2:20" x14ac:dyDescent="0.25">
      <c r="B68" s="11">
        <v>900004</v>
      </c>
      <c r="C68" s="21" t="s">
        <v>64</v>
      </c>
      <c r="D68" s="30">
        <f>'เย็น  '!D68+เช้า!D68+'บ่าย '!D68</f>
        <v>0</v>
      </c>
      <c r="E68" s="30">
        <f>'เย็น  '!E68+เช้า!E68+'บ่าย '!E68</f>
        <v>0</v>
      </c>
      <c r="F68" s="30">
        <f>'เย็น  '!F68+เช้า!F68+'บ่าย '!F68</f>
        <v>0</v>
      </c>
      <c r="G68" s="30">
        <f>'เย็น  '!G68+เช้า!G68+'บ่าย '!G68</f>
        <v>0</v>
      </c>
      <c r="H68" s="30">
        <f>'เย็น  '!H68+เช้า!H68+'บ่าย '!H68</f>
        <v>0</v>
      </c>
      <c r="I68" s="30">
        <f>'เย็น  '!I68+เช้า!I68+'บ่าย '!I68</f>
        <v>0</v>
      </c>
      <c r="J68" s="30">
        <f>'เย็น  '!J68+เช้า!J68+'บ่าย '!J68</f>
        <v>0</v>
      </c>
      <c r="K68" s="36">
        <f t="shared" si="8"/>
        <v>0</v>
      </c>
      <c r="L68" s="11"/>
      <c r="M68" s="11"/>
      <c r="N68" s="11"/>
      <c r="O68" s="11"/>
      <c r="P68" s="46">
        <f t="shared" si="6"/>
        <v>0</v>
      </c>
      <c r="T68" s="48">
        <f t="shared" si="2"/>
        <v>0</v>
      </c>
    </row>
    <row r="69" spans="2:20" x14ac:dyDescent="0.25">
      <c r="B69" s="11">
        <v>1200002</v>
      </c>
      <c r="C69" s="21" t="s">
        <v>65</v>
      </c>
      <c r="D69" s="30">
        <f>'เย็น  '!D69+เช้า!D69+'บ่าย '!D69</f>
        <v>0</v>
      </c>
      <c r="E69" s="30">
        <f>'เย็น  '!E69+เช้า!E69+'บ่าย '!E69</f>
        <v>2</v>
      </c>
      <c r="F69" s="30">
        <f>'เย็น  '!F69+เช้า!F69+'บ่าย '!F69</f>
        <v>0</v>
      </c>
      <c r="G69" s="30">
        <f>'เย็น  '!G69+เช้า!G69+'บ่าย '!G69</f>
        <v>0</v>
      </c>
      <c r="H69" s="30">
        <f>'เย็น  '!H69+เช้า!H69+'บ่าย '!H69</f>
        <v>0</v>
      </c>
      <c r="I69" s="30">
        <f>'เย็น  '!I69+เช้า!I69+'บ่าย '!I69</f>
        <v>0</v>
      </c>
      <c r="J69" s="30">
        <f>'เย็น  '!J69+เช้า!J69+'บ่าย '!J69</f>
        <v>0</v>
      </c>
      <c r="K69" s="36">
        <f t="shared" si="8"/>
        <v>2</v>
      </c>
      <c r="L69" s="11"/>
      <c r="M69" s="11"/>
      <c r="N69" s="11"/>
      <c r="O69" s="11"/>
      <c r="P69" s="46">
        <f t="shared" ref="P69:P76" si="9">(L69+M69+N69+O69)-K69</f>
        <v>-2</v>
      </c>
      <c r="T69" s="48">
        <f t="shared" si="2"/>
        <v>-2</v>
      </c>
    </row>
    <row r="70" spans="2:20" x14ac:dyDescent="0.25">
      <c r="B70" s="11">
        <v>1200003</v>
      </c>
      <c r="C70" s="21" t="s">
        <v>66</v>
      </c>
      <c r="D70" s="30">
        <f>'เย็น  '!D70+เช้า!D70+'บ่าย '!D70</f>
        <v>0</v>
      </c>
      <c r="E70" s="30">
        <f>'เย็น  '!E70+เช้า!E70+'บ่าย '!E70</f>
        <v>0</v>
      </c>
      <c r="F70" s="30">
        <f>'เย็น  '!F70+เช้า!F70+'บ่าย '!F70</f>
        <v>0</v>
      </c>
      <c r="G70" s="30">
        <f>'เย็น  '!G70+เช้า!G70+'บ่าย '!G70</f>
        <v>0</v>
      </c>
      <c r="H70" s="30">
        <f>'เย็น  '!H70+เช้า!H70+'บ่าย '!H70</f>
        <v>0</v>
      </c>
      <c r="I70" s="30">
        <f>'เย็น  '!I70+เช้า!I70+'บ่าย '!I70</f>
        <v>0</v>
      </c>
      <c r="J70" s="30">
        <f>'เย็น  '!J70+เช้า!J70+'บ่าย '!J70</f>
        <v>0</v>
      </c>
      <c r="K70" s="36">
        <f t="shared" si="8"/>
        <v>0</v>
      </c>
      <c r="L70" s="11"/>
      <c r="M70" s="11"/>
      <c r="N70" s="11"/>
      <c r="O70" s="11"/>
      <c r="P70" s="46">
        <f t="shared" si="9"/>
        <v>0</v>
      </c>
      <c r="T70" s="48">
        <f t="shared" si="2"/>
        <v>0</v>
      </c>
    </row>
    <row r="71" spans="2:20" x14ac:dyDescent="0.25">
      <c r="B71" s="11">
        <v>1200004</v>
      </c>
      <c r="C71" s="21" t="s">
        <v>67</v>
      </c>
      <c r="D71" s="30">
        <f>'เย็น  '!D71+เช้า!D71+'บ่าย '!D71</f>
        <v>0</v>
      </c>
      <c r="E71" s="30">
        <f>'เย็น  '!E71+เช้า!E71+'บ่าย '!E71</f>
        <v>0</v>
      </c>
      <c r="F71" s="30">
        <f>'เย็น  '!F71+เช้า!F71+'บ่าย '!F71</f>
        <v>0</v>
      </c>
      <c r="G71" s="30">
        <f>'เย็น  '!G71+เช้า!G71+'บ่าย '!G71</f>
        <v>0</v>
      </c>
      <c r="H71" s="30">
        <f>'เย็น  '!H71+เช้า!H71+'บ่าย '!H71</f>
        <v>0</v>
      </c>
      <c r="I71" s="30">
        <f>'เย็น  '!I71+เช้า!I71+'บ่าย '!I71</f>
        <v>0</v>
      </c>
      <c r="J71" s="30">
        <f>'เย็น  '!J71+เช้า!J71+'บ่าย '!J71</f>
        <v>0</v>
      </c>
      <c r="K71" s="36">
        <f t="shared" si="8"/>
        <v>0</v>
      </c>
      <c r="L71" s="11"/>
      <c r="M71" s="11"/>
      <c r="N71" s="11"/>
      <c r="O71" s="11"/>
      <c r="P71" s="46">
        <f t="shared" si="9"/>
        <v>0</v>
      </c>
      <c r="T71" s="48">
        <f t="shared" si="2"/>
        <v>0</v>
      </c>
    </row>
    <row r="72" spans="2:20" x14ac:dyDescent="0.25">
      <c r="B72" s="11">
        <v>1200093</v>
      </c>
      <c r="C72" s="21" t="s">
        <v>55</v>
      </c>
      <c r="D72" s="30">
        <f>'เย็น  '!D72+เช้า!D72+'บ่าย '!D72</f>
        <v>0</v>
      </c>
      <c r="E72" s="30">
        <f>'เย็น  '!E72+เช้า!E72+'บ่าย '!E72</f>
        <v>0</v>
      </c>
      <c r="F72" s="30">
        <f>'เย็น  '!F72+เช้า!F72+'บ่าย '!F72</f>
        <v>0</v>
      </c>
      <c r="G72" s="30">
        <f>'เย็น  '!G72+เช้า!G72+'บ่าย '!G72</f>
        <v>0</v>
      </c>
      <c r="H72" s="30">
        <f>'เย็น  '!H72+เช้า!H72+'บ่าย '!H72</f>
        <v>0</v>
      </c>
      <c r="I72" s="30">
        <f>'เย็น  '!I72+เช้า!I72+'บ่าย '!I72</f>
        <v>0</v>
      </c>
      <c r="J72" s="30">
        <f>'เย็น  '!J72+เช้า!J72+'บ่าย '!J72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  <c r="T72" s="48">
        <f t="shared" si="2"/>
        <v>0</v>
      </c>
    </row>
    <row r="73" spans="2:20" x14ac:dyDescent="0.25">
      <c r="B73" s="11">
        <v>1200092</v>
      </c>
      <c r="C73" s="19" t="s">
        <v>56</v>
      </c>
      <c r="D73" s="30">
        <f>'เย็น  '!D73+เช้า!D73+'บ่าย '!D73</f>
        <v>0</v>
      </c>
      <c r="E73" s="30">
        <f>'เย็น  '!E73+เช้า!E73+'บ่าย '!E73</f>
        <v>0</v>
      </c>
      <c r="F73" s="30">
        <f>'เย็น  '!F73+เช้า!F73+'บ่าย '!F73</f>
        <v>0</v>
      </c>
      <c r="G73" s="30">
        <f>'เย็น  '!G73+เช้า!G73+'บ่าย '!G73</f>
        <v>0</v>
      </c>
      <c r="H73" s="30">
        <f>'เย็น  '!H73+เช้า!H73+'บ่าย '!H73</f>
        <v>0</v>
      </c>
      <c r="I73" s="30">
        <f>'เย็น  '!I73+เช้า!I73+'บ่าย '!I73</f>
        <v>0</v>
      </c>
      <c r="J73" s="30">
        <f>'เย็น  '!J73+เช้า!J73+'บ่าย '!J73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  <c r="T73" s="48">
        <f t="shared" ref="T73:T75" si="10">S73+R73+P73</f>
        <v>0</v>
      </c>
    </row>
    <row r="74" spans="2:20" x14ac:dyDescent="0.25">
      <c r="B74" s="22"/>
      <c r="C74" s="21" t="s">
        <v>76</v>
      </c>
      <c r="D74" s="30">
        <f>'เย็น  '!D74+เช้า!D74+'บ่าย '!D74</f>
        <v>0</v>
      </c>
      <c r="E74" s="30">
        <f>'เย็น  '!E74+เช้า!E74+'บ่าย '!E74</f>
        <v>0</v>
      </c>
      <c r="F74" s="30">
        <f>'เย็น  '!F74+เช้า!F74+'บ่าย '!F74</f>
        <v>0</v>
      </c>
      <c r="G74" s="30">
        <f>'เย็น  '!G74+เช้า!G74+'บ่าย '!G74</f>
        <v>0</v>
      </c>
      <c r="H74" s="30">
        <f>'เย็น  '!H74+เช้า!H74+'บ่าย '!H74</f>
        <v>0</v>
      </c>
      <c r="I74" s="30">
        <f>'เย็น  '!I74+เช้า!I74+'บ่าย '!I74</f>
        <v>0</v>
      </c>
      <c r="J74" s="30">
        <f>'เย็น  '!J74+เช้า!J74+'บ่าย '!J74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  <c r="T74" s="48">
        <f t="shared" si="10"/>
        <v>0</v>
      </c>
    </row>
    <row r="75" spans="2:20" x14ac:dyDescent="0.25">
      <c r="B75" s="22"/>
      <c r="C75" s="21" t="s">
        <v>77</v>
      </c>
      <c r="D75" s="30">
        <f>'เย็น  '!D75+เช้า!D75+'บ่าย '!D75</f>
        <v>0</v>
      </c>
      <c r="E75" s="30">
        <f>'เย็น  '!E75+เช้า!E75+'บ่าย '!E75</f>
        <v>7</v>
      </c>
      <c r="F75" s="30">
        <f>'เย็น  '!F75+เช้า!F75+'บ่าย '!F75</f>
        <v>0</v>
      </c>
      <c r="G75" s="30">
        <f>'เย็น  '!G75+เช้า!G75+'บ่าย '!G75</f>
        <v>0</v>
      </c>
      <c r="H75" s="30">
        <f>'เย็น  '!H75+เช้า!H75+'บ่าย '!H75</f>
        <v>0</v>
      </c>
      <c r="I75" s="30">
        <f>'เย็น  '!I75+เช้า!I75+'บ่าย '!I75</f>
        <v>0</v>
      </c>
      <c r="J75" s="30">
        <f>'เย็น  '!J75+เช้า!J75+'บ่าย '!J75</f>
        <v>3</v>
      </c>
      <c r="K75" s="36">
        <f t="shared" si="8"/>
        <v>10</v>
      </c>
      <c r="L75" s="11"/>
      <c r="M75" s="11"/>
      <c r="N75" s="11"/>
      <c r="O75" s="11"/>
      <c r="P75" s="46">
        <f t="shared" si="9"/>
        <v>-10</v>
      </c>
      <c r="T75" s="48">
        <f t="shared" si="10"/>
        <v>-10</v>
      </c>
    </row>
    <row r="76" spans="2:20" x14ac:dyDescent="0.25">
      <c r="B76" s="22">
        <v>20052721</v>
      </c>
      <c r="C76" s="21" t="s">
        <v>82</v>
      </c>
      <c r="D76" s="30">
        <f>เช้า!D76+'เย็น  '!D76+บ่าย!D78</f>
        <v>0</v>
      </c>
      <c r="E76" s="30">
        <f>เช้า!E76+'เย็น  '!E76+บ่าย!E78</f>
        <v>0</v>
      </c>
      <c r="F76" s="30">
        <f>เช้า!F76+'เย็น  '!F76+บ่าย!F78</f>
        <v>0</v>
      </c>
      <c r="G76" s="30">
        <f>เช้า!G76+'เย็น  '!G76+บ่าย!G78</f>
        <v>0</v>
      </c>
      <c r="H76" s="30">
        <f>เช้า!H76+'เย็น  '!H76+บ่าย!H78</f>
        <v>0</v>
      </c>
      <c r="I76" s="30">
        <f>เช้า!I76+'เย็น  '!I76+บ่าย!I78</f>
        <v>0</v>
      </c>
      <c r="J76" s="30">
        <f>เช้า!J76+'เย็น  '!J76+บ่าย!J78</f>
        <v>0</v>
      </c>
      <c r="K76" s="36">
        <f t="shared" si="8"/>
        <v>0</v>
      </c>
      <c r="L76" s="11"/>
      <c r="M76" s="11"/>
      <c r="N76" s="11"/>
      <c r="O76" s="11"/>
      <c r="P76" s="46">
        <f t="shared" si="9"/>
        <v>0</v>
      </c>
    </row>
    <row r="77" spans="2:20" ht="40.5" customHeight="1" x14ac:dyDescent="0.25">
      <c r="C77" s="35"/>
      <c r="D77" s="39">
        <f t="shared" ref="D77:J77" si="11">SUM(D7:D38,D40:D41,D43,D45:D54,D57:D76)</f>
        <v>113</v>
      </c>
      <c r="E77" s="39">
        <f t="shared" si="11"/>
        <v>173</v>
      </c>
      <c r="F77" s="39">
        <f t="shared" si="11"/>
        <v>145</v>
      </c>
      <c r="G77" s="39">
        <f t="shared" si="11"/>
        <v>907</v>
      </c>
      <c r="H77" s="39">
        <f t="shared" si="11"/>
        <v>0</v>
      </c>
      <c r="I77" s="39">
        <f t="shared" si="11"/>
        <v>0</v>
      </c>
      <c r="J77" s="39">
        <f t="shared" si="11"/>
        <v>3</v>
      </c>
      <c r="K77" s="39">
        <f>SUM(K7:K38,K40:K41,K43,K45:K54,K57:K76)</f>
        <v>1341</v>
      </c>
      <c r="L77" s="38">
        <f>SUM(L57:L76,L45:L53,L43:L43,L40:L40,L7:L37)</f>
        <v>0</v>
      </c>
      <c r="M77" s="38">
        <f>SUM(M57:M76,M45:M53,M43:M43,M40:M40,M7:M37)</f>
        <v>0</v>
      </c>
      <c r="N77" s="38">
        <f>SUM(N57:N76,N45:N53,N43:N43,N40:N40,N7:N37)</f>
        <v>0</v>
      </c>
      <c r="O77" s="38">
        <f>SUM(O57:O76,O45:O53,O43:O43,O40:O40,O7:O37)</f>
        <v>0</v>
      </c>
      <c r="P77" s="38">
        <f>SUM(P57:P76,P45:P53,P43:P43,P40:P40,P7:P37)</f>
        <v>-1340</v>
      </c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B79" s="37"/>
      <c r="C79" s="35"/>
      <c r="D79" s="38"/>
      <c r="E79" s="38"/>
      <c r="F79" s="38"/>
      <c r="G79" s="38"/>
      <c r="H79" s="38"/>
      <c r="I79" s="38"/>
      <c r="J79" s="38"/>
      <c r="K79" s="39"/>
    </row>
    <row r="80" spans="2:20" x14ac:dyDescent="0.25">
      <c r="C80" s="24"/>
      <c r="D80" s="31"/>
      <c r="E80" s="60"/>
      <c r="F80" s="60"/>
      <c r="G80" s="26"/>
      <c r="K80" s="40"/>
    </row>
    <row r="81" spans="2:11" x14ac:dyDescent="0.25">
      <c r="B81" s="60" t="s">
        <v>68</v>
      </c>
      <c r="C81" s="60"/>
      <c r="D81" s="32"/>
      <c r="E81" s="51"/>
      <c r="F81" s="51"/>
      <c r="G81" s="27"/>
      <c r="H81" s="26"/>
      <c r="I81" s="60" t="s">
        <v>68</v>
      </c>
      <c r="J81" s="60"/>
      <c r="K81" s="60"/>
    </row>
    <row r="82" spans="2:11" x14ac:dyDescent="0.25">
      <c r="B82" s="51" t="s">
        <v>69</v>
      </c>
      <c r="C82" s="51"/>
      <c r="D82" s="33"/>
      <c r="E82" s="33"/>
      <c r="F82" s="33"/>
      <c r="G82" s="33"/>
      <c r="H82" s="33"/>
      <c r="I82" s="51" t="s">
        <v>70</v>
      </c>
      <c r="J82" s="51"/>
      <c r="K82" s="51"/>
    </row>
    <row r="83" spans="2:11" x14ac:dyDescent="0.25">
      <c r="B83" s="31"/>
      <c r="C83" s="31"/>
      <c r="D83" s="33"/>
      <c r="E83" s="33"/>
      <c r="F83" s="33"/>
      <c r="G83" s="33"/>
      <c r="H83" s="33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  <row r="99" spans="4:8" x14ac:dyDescent="0.25">
      <c r="D99" s="31"/>
      <c r="E99" s="31"/>
      <c r="F99" s="31"/>
      <c r="G99" s="31"/>
      <c r="H99" s="31"/>
    </row>
  </sheetData>
  <mergeCells count="19">
    <mergeCell ref="B82:C82"/>
    <mergeCell ref="I82:K82"/>
    <mergeCell ref="P2:P4"/>
    <mergeCell ref="B6:P6"/>
    <mergeCell ref="B39:P39"/>
    <mergeCell ref="B42:P42"/>
    <mergeCell ref="B44:P44"/>
    <mergeCell ref="O2:O4"/>
    <mergeCell ref="B56:P56"/>
    <mergeCell ref="E80:F80"/>
    <mergeCell ref="B81:C81"/>
    <mergeCell ref="E81:F81"/>
    <mergeCell ref="I81:K81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เย็น  </vt:lpstr>
      <vt:lpstr>บ่าย</vt:lpstr>
      <vt:lpstr>เช้า</vt:lpstr>
      <vt:lpstr>บ่าย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2024-11-19T06:21:21Z</cp:lastPrinted>
  <dcterms:created xsi:type="dcterms:W3CDTF">2024-04-30T05:21:27Z</dcterms:created>
  <dcterms:modified xsi:type="dcterms:W3CDTF">2024-11-20T05:54:24Z</dcterms:modified>
</cp:coreProperties>
</file>