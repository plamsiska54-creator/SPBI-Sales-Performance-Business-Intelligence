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9EC9EDB-A289-494F-943F-1ACCD254EE3E}" xr6:coauthVersionLast="47" xr6:coauthVersionMax="47" xr10:uidLastSave="{00000000-0000-0000-0000-000000000000}"/>
  <bookViews>
    <workbookView xWindow="-75" yWindow="810" windowWidth="17745" windowHeight="13560" firstSheet="1" activeTab="3" xr2:uid="{55C9AAA3-F459-48EC-A639-AACFFC6390F5}"/>
  </bookViews>
  <sheets>
    <sheet name="เย็น 102" sheetId="4" state="hidden" r:id="rId1"/>
    <sheet name="เย็น " sheetId="6" r:id="rId2"/>
    <sheet name="เช้า " sheetId="3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5" i="5" l="1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14" i="5"/>
  <c r="N91" i="5"/>
  <c r="N92" i="5"/>
  <c r="N93" i="5"/>
  <c r="N94" i="5"/>
  <c r="N95" i="5"/>
  <c r="N96" i="5"/>
  <c r="N97" i="5"/>
  <c r="N98" i="5"/>
  <c r="N90" i="5"/>
  <c r="N80" i="5"/>
  <c r="N81" i="5"/>
  <c r="N82" i="5"/>
  <c r="N83" i="5"/>
  <c r="N84" i="5"/>
  <c r="N85" i="5"/>
  <c r="N86" i="5"/>
  <c r="N87" i="5"/>
  <c r="N79" i="5"/>
  <c r="N70" i="5"/>
  <c r="N71" i="5"/>
  <c r="N72" i="5"/>
  <c r="N73" i="5"/>
  <c r="N74" i="5"/>
  <c r="N75" i="5"/>
  <c r="N76" i="5"/>
  <c r="N69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7" i="5"/>
  <c r="N88" i="5"/>
  <c r="N77" i="5"/>
  <c r="N67" i="5"/>
  <c r="D115" i="5" l="1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D137" i="5"/>
  <c r="E137" i="5"/>
  <c r="F137" i="5"/>
  <c r="G137" i="5"/>
  <c r="H137" i="5"/>
  <c r="I137" i="5"/>
  <c r="J137" i="5"/>
  <c r="D90" i="5"/>
  <c r="E90" i="5"/>
  <c r="F90" i="5"/>
  <c r="G90" i="5"/>
  <c r="H90" i="5"/>
  <c r="I90" i="5"/>
  <c r="J90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87" i="5"/>
  <c r="E87" i="5"/>
  <c r="F87" i="5"/>
  <c r="G87" i="5"/>
  <c r="H87" i="5"/>
  <c r="I87" i="5"/>
  <c r="J87" i="5"/>
  <c r="D69" i="5"/>
  <c r="E69" i="5"/>
  <c r="F69" i="5"/>
  <c r="G69" i="5"/>
  <c r="H69" i="5"/>
  <c r="D70" i="5"/>
  <c r="E70" i="5"/>
  <c r="F70" i="5"/>
  <c r="G70" i="5"/>
  <c r="H70" i="5"/>
  <c r="D71" i="5"/>
  <c r="E71" i="5"/>
  <c r="F71" i="5"/>
  <c r="G71" i="5"/>
  <c r="H71" i="5"/>
  <c r="D72" i="5"/>
  <c r="E72" i="5"/>
  <c r="F72" i="5"/>
  <c r="G72" i="5"/>
  <c r="H72" i="5"/>
  <c r="D73" i="5"/>
  <c r="E73" i="5"/>
  <c r="F73" i="5"/>
  <c r="G73" i="5"/>
  <c r="H73" i="5"/>
  <c r="D74" i="5"/>
  <c r="E74" i="5"/>
  <c r="F74" i="5"/>
  <c r="G74" i="5"/>
  <c r="H74" i="5"/>
  <c r="D75" i="5"/>
  <c r="E75" i="5"/>
  <c r="F75" i="5"/>
  <c r="G75" i="5"/>
  <c r="H75" i="5"/>
  <c r="D76" i="5"/>
  <c r="E76" i="5"/>
  <c r="F76" i="5"/>
  <c r="G76" i="5"/>
  <c r="H76" i="5"/>
  <c r="E114" i="5" l="1"/>
  <c r="F114" i="5"/>
  <c r="G114" i="5"/>
  <c r="H114" i="5"/>
  <c r="I114" i="5"/>
  <c r="J114" i="5"/>
  <c r="D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E79" i="5"/>
  <c r="F79" i="5"/>
  <c r="G79" i="5"/>
  <c r="H79" i="5"/>
  <c r="I79" i="5"/>
  <c r="J79" i="5"/>
  <c r="D7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69" i="5"/>
  <c r="J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E7" i="5"/>
  <c r="F7" i="5"/>
  <c r="G7" i="5"/>
  <c r="H7" i="5"/>
  <c r="I7" i="5"/>
  <c r="J7" i="5"/>
  <c r="D7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K103" i="5"/>
  <c r="K104" i="5"/>
  <c r="K105" i="5"/>
  <c r="K106" i="5"/>
  <c r="K107" i="5"/>
  <c r="K108" i="5"/>
  <c r="K109" i="5"/>
  <c r="K110" i="5"/>
  <c r="K111" i="5"/>
  <c r="K102" i="5"/>
  <c r="K112" i="5" l="1"/>
  <c r="K88" i="5"/>
  <c r="K67" i="5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14" i="4"/>
  <c r="K91" i="4"/>
  <c r="K92" i="4"/>
  <c r="K93" i="4"/>
  <c r="K94" i="4"/>
  <c r="K95" i="4"/>
  <c r="K96" i="4"/>
  <c r="K97" i="4"/>
  <c r="K98" i="4"/>
  <c r="K99" i="4"/>
  <c r="K90" i="4"/>
  <c r="K80" i="4"/>
  <c r="K81" i="4"/>
  <c r="K82" i="4"/>
  <c r="K83" i="4"/>
  <c r="K84" i="4"/>
  <c r="K85" i="4"/>
  <c r="K86" i="4"/>
  <c r="K87" i="4"/>
  <c r="K79" i="4"/>
  <c r="K70" i="4"/>
  <c r="K71" i="4"/>
  <c r="K72" i="4"/>
  <c r="K73" i="4"/>
  <c r="K74" i="4"/>
  <c r="K75" i="4"/>
  <c r="K76" i="4"/>
  <c r="K69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7" i="4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K114" i="5"/>
  <c r="K115" i="5"/>
  <c r="K137" i="5"/>
  <c r="K66" i="5"/>
  <c r="K127" i="5"/>
  <c r="H138" i="5"/>
  <c r="J138" i="5"/>
  <c r="K76" i="5"/>
  <c r="K72" i="5"/>
  <c r="D138" i="5"/>
  <c r="G138" i="5"/>
  <c r="F138" i="5"/>
  <c r="I138" i="5"/>
  <c r="E138" i="5"/>
  <c r="K53" i="5"/>
  <c r="K50" i="5"/>
  <c r="K46" i="5"/>
  <c r="K37" i="5"/>
  <c r="K33" i="5"/>
  <c r="K29" i="5"/>
  <c r="K27" i="5"/>
  <c r="K11" i="5"/>
  <c r="K79" i="5"/>
  <c r="K119" i="5"/>
  <c r="K81" i="5"/>
  <c r="K73" i="5"/>
  <c r="K74" i="5"/>
  <c r="K59" i="5"/>
  <c r="K35" i="5"/>
  <c r="K15" i="5"/>
  <c r="K43" i="5"/>
  <c r="K39" i="5"/>
  <c r="K23" i="5"/>
  <c r="K19" i="5"/>
  <c r="K133" i="5"/>
  <c r="K132" i="5"/>
  <c r="K128" i="5"/>
  <c r="K126" i="5"/>
  <c r="K120" i="5"/>
  <c r="K116" i="5"/>
  <c r="K135" i="5"/>
  <c r="K134" i="5"/>
  <c r="K131" i="5"/>
  <c r="K129" i="5"/>
  <c r="K121" i="5"/>
  <c r="K117" i="5"/>
  <c r="K99" i="5"/>
  <c r="K97" i="5"/>
  <c r="K94" i="5"/>
  <c r="K93" i="5"/>
  <c r="K96" i="5"/>
  <c r="K95" i="5"/>
  <c r="K84" i="5"/>
  <c r="K80" i="5"/>
  <c r="K83" i="5"/>
  <c r="K85" i="5"/>
  <c r="K86" i="5"/>
  <c r="K82" i="5"/>
  <c r="K71" i="5"/>
  <c r="K70" i="5"/>
  <c r="K56" i="5"/>
  <c r="K36" i="5"/>
  <c r="K32" i="5"/>
  <c r="K28" i="5"/>
  <c r="K24" i="5"/>
  <c r="K20" i="5"/>
  <c r="K16" i="5"/>
  <c r="K12" i="5"/>
  <c r="K8" i="5"/>
  <c r="K55" i="5"/>
  <c r="K31" i="5"/>
  <c r="K49" i="5"/>
  <c r="K21" i="5"/>
  <c r="K17" i="5"/>
  <c r="K13" i="5"/>
  <c r="K9" i="5"/>
  <c r="K54" i="5"/>
  <c r="K38" i="5"/>
  <c r="K34" i="5"/>
  <c r="K30" i="5"/>
  <c r="K22" i="5"/>
  <c r="K18" i="5"/>
  <c r="K14" i="5"/>
  <c r="K10" i="5"/>
  <c r="K63" i="5"/>
  <c r="K51" i="5"/>
  <c r="K47" i="5"/>
  <c r="K64" i="5"/>
  <c r="K60" i="5"/>
  <c r="K52" i="5"/>
  <c r="K48" i="5"/>
  <c r="K45" i="5"/>
  <c r="K41" i="5"/>
  <c r="K62" i="5"/>
  <c r="K58" i="5"/>
  <c r="K42" i="5"/>
  <c r="K25" i="5"/>
  <c r="K92" i="5"/>
  <c r="K118" i="5"/>
  <c r="K136" i="5"/>
  <c r="K130" i="5"/>
  <c r="K122" i="5"/>
  <c r="K65" i="5"/>
  <c r="K61" i="5"/>
  <c r="K57" i="5"/>
  <c r="K44" i="5"/>
  <c r="K90" i="5"/>
  <c r="K69" i="5"/>
  <c r="K7" i="5"/>
  <c r="K125" i="5"/>
  <c r="K124" i="5"/>
  <c r="K98" i="5"/>
  <c r="K91" i="5"/>
  <c r="K87" i="5"/>
  <c r="K123" i="5"/>
  <c r="K40" i="5"/>
  <c r="K26" i="5"/>
  <c r="L138" i="5"/>
  <c r="M138" i="5"/>
  <c r="K100" i="5" l="1"/>
  <c r="K138" i="5"/>
  <c r="K103" i="3"/>
  <c r="K104" i="3"/>
  <c r="K105" i="3"/>
  <c r="K106" i="3"/>
  <c r="K107" i="3"/>
  <c r="K108" i="3"/>
  <c r="K109" i="3"/>
  <c r="K110" i="3"/>
  <c r="K111" i="3"/>
  <c r="K102" i="3"/>
  <c r="K103" i="4"/>
  <c r="K104" i="4"/>
  <c r="K105" i="4"/>
  <c r="K106" i="4"/>
  <c r="K107" i="4"/>
  <c r="K108" i="4"/>
  <c r="K109" i="4"/>
  <c r="K110" i="4"/>
  <c r="K111" i="4"/>
  <c r="K102" i="4"/>
  <c r="K67" i="3" l="1"/>
  <c r="K100" i="4"/>
  <c r="K112" i="3" l="1"/>
  <c r="K112" i="4"/>
  <c r="K139" i="3" l="1"/>
  <c r="N138" i="5" l="1"/>
</calcChain>
</file>

<file path=xl/sharedStrings.xml><?xml version="1.0" encoding="utf-8"?>
<sst xmlns="http://schemas.openxmlformats.org/spreadsheetml/2006/main" count="615" uniqueCount="156">
  <si>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</si>
  <si>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</si>
  <si>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</si>
  <si>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</si>
  <si>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</si>
  <si>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</si>
  <si>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</si>
  <si>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</si>
  <si>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</si>
  <si>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</si>
  <si>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</si>
  <si>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</si>
  <si>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</si>
  <si>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</si>
  <si>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</si>
  <si>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</si>
  <si>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</si>
  <si>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</si>
  <si>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</si>
  <si>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</si>
  <si>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</si>
  <si>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</si>
  <si>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</si>
  <si>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</si>
  <si>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</si>
  <si>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</si>
  <si>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</si>
  <si>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</si>
  <si>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</si>
  <si>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</si>
  <si>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</si>
  <si>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</si>
  <si>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</si>
  <si>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</si>
  <si>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</si>
  <si>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</si>
  <si>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</si>
  <si>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</si>
  <si>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</si>
  <si>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</si>
  <si>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</si>
  <si>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</si>
  <si>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</si>
  <si>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</si>
  <si>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</si>
  <si>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</si>
  <si>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</si>
  <si>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</si>
  <si>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</si>
  <si>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</si>
  <si>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</si>
  <si>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</si>
  <si>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</si>
  <si>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</si>
  <si>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</si>
  <si>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</si>
  <si>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</si>
  <si>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</si>
  <si>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</si>
  <si>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</si>
  <si>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</si>
  <si>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</si>
  <si>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</si>
  <si>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</si>
  <si>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</si>
  <si>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</si>
  <si>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</si>
  <si>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</si>
  <si>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</si>
  <si>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</si>
  <si>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</si>
  <si>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</si>
  <si>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</si>
  <si>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</si>
  <si>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</si>
  <si>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</si>
  <si>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</si>
  <si>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</si>
  <si>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</si>
  <si>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</si>
  <si>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</si>
  <si>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</si>
  <si>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</si>
  <si>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</si>
  <si>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</si>
  <si>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</si>
  <si>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</si>
  <si>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</si>
  <si>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</si>
  <si>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</si>
  <si>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</si>
  <si>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</si>
  <si>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</si>
  <si>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</si>
  <si>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</si>
  <si>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</si>
  <si>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</si>
  <si>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</si>
  <si>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</si>
  <si>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</si>
  <si>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</si>
  <si>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</si>
  <si>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</si>
  <si>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</si>
  <si>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</si>
  <si>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</si>
  <si>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</si>
  <si>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</si>
  <si>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</si>
  <si>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</si>
  <si>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</si>
  <si>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</si>
  <si>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</si>
  <si>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</si>
  <si>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</si>
  <si>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</si>
  <si>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</si>
  <si>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</si>
  <si>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</si>
  <si>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</si>
  <si>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</si>
  <si>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</si>
  <si>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</si>
  <si>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</si>
  <si>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</si>
  <si>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</si>
  <si>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</si>
  <si>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</si>
  <si>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</si>
  <si>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</si>
  <si>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ครีมฮอร์นไส้เนย บลูเบอรี่</t>
  </si>
  <si>
    <t>ครีมฮอร์นไส้เนย สตรอเบอรี่</t>
  </si>
  <si>
    <t>ครีมฮอร์นไส้เนย โอรีโอ้</t>
  </si>
  <si>
    <t>ชิฟฟอนไส้วิปครีมรวมรส 8 ชิ้น</t>
  </si>
  <si>
    <t>ครีมฮอร์นไส้เนย คละรสทั้งฝอยไม่ฝอย</t>
  </si>
  <si>
    <t>ชิฟฟอนแบบกล่องสุ่มอะไรก็ได้ที่มี</t>
  </si>
  <si>
    <t>เค้กลอดช่อง 1 ปอนด์</t>
  </si>
  <si>
    <t>เค้กลอดช่อง 2 ปอนด์</t>
  </si>
  <si>
    <t>ยอดฟอแคส</t>
  </si>
  <si>
    <t>ชิฟฟอนแยกชิ้น ทุเรียน</t>
  </si>
  <si>
    <t>ชิฟฟอนแยกชิ้น ตาล</t>
  </si>
  <si>
    <t>ชิฟฟอนเค้กฝอยทอง</t>
  </si>
  <si>
    <t>ยอดสตอค</t>
  </si>
  <si>
    <t>แซนวิชโบราณ</t>
  </si>
  <si>
    <t>ติ๊กตอก 2</t>
  </si>
  <si>
    <t>เค้กไข่ไต้หวัน</t>
  </si>
  <si>
    <t>กล่องเปล่าชิฟอน ล</t>
  </si>
  <si>
    <t>ปังไก่หยองน้ำสลัด</t>
  </si>
  <si>
    <t>ปังไก่หยองพริกเผา</t>
  </si>
  <si>
    <t>โดนัทไส้แยมสตอเบอรี่ 2 ชิ้น</t>
  </si>
  <si>
    <t>ชอยส์</t>
  </si>
  <si>
    <t>ติ๊กตอก2</t>
  </si>
  <si>
    <t>ยอดจริง ออนไลน์ วันที่  25/10/2567 - เย็น</t>
  </si>
  <si>
    <t>ยอดจริง ออนไลน์ วันที่  13/11/2567 - เย็น</t>
  </si>
  <si>
    <t>ยอดจริง ออนไลน์ วันที่ 13/11/2567  -เช้า</t>
  </si>
  <si>
    <t>ยอดจริง ออนไลน์ วันที่ 13/11/2567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</si>
</sst>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1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K174"/>
  <sheetViews>
    <sheetView topLeftCell="A7" zoomScale="60" zoomScaleNormal="60" workbookViewId="0">
      <selection activeCell="F28" sqref="F28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7.5703125" style="26" customWidth="1"/>
  </cols>
  <sheetData>
    <row r="1" spans="2:11">
      <c r="B1" s="66" t="s">
        <v>152</v>
      </c>
      <c r="C1" s="66"/>
      <c r="D1" s="66"/>
      <c r="E1" s="66"/>
      <c r="F1" s="66"/>
      <c r="G1" s="66"/>
      <c r="H1" s="66"/>
      <c r="I1" s="66"/>
      <c r="J1" s="66"/>
      <c r="K1" s="66"/>
    </row>
    <row r="2" spans="2:11">
      <c r="B2" s="67"/>
      <c r="C2" s="68"/>
      <c r="D2" s="1"/>
      <c r="E2" s="69"/>
      <c r="F2" s="69"/>
      <c r="G2" s="2"/>
      <c r="H2" s="2"/>
      <c r="I2" s="2"/>
      <c r="J2" s="2"/>
      <c r="K2" s="3" t="s">
        <v>0</v>
      </c>
    </row>
    <row r="3" spans="2:11">
      <c r="B3" s="67"/>
      <c r="C3" s="68"/>
      <c r="D3" s="4"/>
      <c r="E3" s="70"/>
      <c r="F3" s="70"/>
      <c r="G3" s="5"/>
      <c r="H3" s="5"/>
      <c r="I3" s="5"/>
      <c r="J3" s="54"/>
      <c r="K3" s="6" t="s">
        <v>2</v>
      </c>
    </row>
    <row r="4" spans="2:11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144</v>
      </c>
      <c r="I4" s="9" t="s">
        <v>9</v>
      </c>
      <c r="J4" s="55" t="s">
        <v>150</v>
      </c>
      <c r="K4" s="10" t="s">
        <v>10</v>
      </c>
    </row>
    <row r="5" spans="2:11">
      <c r="B5" s="11"/>
      <c r="C5" s="12"/>
      <c r="D5" s="13"/>
      <c r="E5" s="9"/>
      <c r="F5" s="9"/>
      <c r="G5" s="9"/>
      <c r="H5" s="9"/>
      <c r="I5" s="9"/>
      <c r="J5" s="55"/>
      <c r="K5" s="14"/>
    </row>
    <row r="6" spans="2:11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</row>
    <row r="7" spans="2:11">
      <c r="B7" s="11">
        <v>1111002</v>
      </c>
      <c r="C7" s="15" t="s">
        <v>111</v>
      </c>
      <c r="D7" s="33"/>
      <c r="E7" s="33"/>
      <c r="F7" s="33"/>
      <c r="G7" s="33"/>
      <c r="H7" s="33"/>
      <c r="I7" s="33"/>
      <c r="J7" s="56"/>
      <c r="K7" s="39">
        <f>SUM(D7:J7)</f>
        <v>0</v>
      </c>
    </row>
    <row r="8" spans="2:11">
      <c r="B8" s="11"/>
      <c r="C8" s="15" t="s">
        <v>135</v>
      </c>
      <c r="D8" s="33"/>
      <c r="E8" s="33"/>
      <c r="F8" s="33"/>
      <c r="G8" s="33"/>
      <c r="H8" s="33"/>
      <c r="I8" s="33"/>
      <c r="J8" s="56"/>
      <c r="K8" s="39">
        <f t="shared" ref="K8:K66" si="0">SUM(D8:J8)</f>
        <v>0</v>
      </c>
    </row>
    <row r="9" spans="2:1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56"/>
      <c r="K9" s="39">
        <f t="shared" si="0"/>
        <v>0</v>
      </c>
    </row>
    <row r="10" spans="2:1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56"/>
      <c r="K10" s="39">
        <f t="shared" si="0"/>
        <v>0</v>
      </c>
    </row>
    <row r="11" spans="2:1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56"/>
      <c r="K11" s="39">
        <f t="shared" si="0"/>
        <v>0</v>
      </c>
    </row>
    <row r="12" spans="2:1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56"/>
      <c r="K12" s="39">
        <f t="shared" si="0"/>
        <v>0</v>
      </c>
    </row>
    <row r="13" spans="2:1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56"/>
      <c r="K13" s="39">
        <f t="shared" si="0"/>
        <v>0</v>
      </c>
    </row>
    <row r="14" spans="2:1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56"/>
      <c r="K14" s="39">
        <f t="shared" si="0"/>
        <v>0</v>
      </c>
    </row>
    <row r="15" spans="2:1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56"/>
      <c r="K15" s="39">
        <f t="shared" si="0"/>
        <v>0</v>
      </c>
    </row>
    <row r="16" spans="2:1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56"/>
      <c r="K16" s="39">
        <f t="shared" si="0"/>
        <v>0</v>
      </c>
    </row>
    <row r="17" spans="2:1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56"/>
      <c r="K17" s="39">
        <f t="shared" si="0"/>
        <v>0</v>
      </c>
    </row>
    <row r="18" spans="2:1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56"/>
      <c r="K18" s="39">
        <f t="shared" si="0"/>
        <v>0</v>
      </c>
    </row>
    <row r="19" spans="2:1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56"/>
      <c r="K19" s="39">
        <f t="shared" si="0"/>
        <v>0</v>
      </c>
    </row>
    <row r="20" spans="2:1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56"/>
      <c r="K20" s="39">
        <f t="shared" si="0"/>
        <v>0</v>
      </c>
    </row>
    <row r="21" spans="2:1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56"/>
      <c r="K21" s="39">
        <f t="shared" si="0"/>
        <v>0</v>
      </c>
    </row>
    <row r="22" spans="2:1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56"/>
      <c r="K22" s="39">
        <f t="shared" si="0"/>
        <v>0</v>
      </c>
    </row>
    <row r="23" spans="2:1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56"/>
      <c r="K23" s="39">
        <f t="shared" si="0"/>
        <v>0</v>
      </c>
    </row>
    <row r="24" spans="2:1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56"/>
      <c r="K24" s="39">
        <f t="shared" si="0"/>
        <v>0</v>
      </c>
    </row>
    <row r="25" spans="2:11">
      <c r="B25" s="11">
        <v>1111056</v>
      </c>
      <c r="C25" s="15" t="s">
        <v>28</v>
      </c>
      <c r="D25" s="33"/>
      <c r="E25" s="33"/>
      <c r="F25" s="33"/>
      <c r="G25" s="33"/>
      <c r="H25" s="33"/>
      <c r="I25" s="33"/>
      <c r="J25" s="56"/>
      <c r="K25" s="39">
        <f t="shared" si="0"/>
        <v>0</v>
      </c>
    </row>
    <row r="26" spans="2:11">
      <c r="B26" s="11">
        <v>1004055</v>
      </c>
      <c r="C26" s="15" t="s">
        <v>112</v>
      </c>
      <c r="D26" s="33"/>
      <c r="E26" s="33"/>
      <c r="F26" s="33"/>
      <c r="G26" s="33"/>
      <c r="H26" s="33"/>
      <c r="I26" s="33"/>
      <c r="J26" s="56"/>
      <c r="K26" s="39">
        <f t="shared" si="0"/>
        <v>0</v>
      </c>
    </row>
    <row r="27" spans="2:1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56"/>
      <c r="K27" s="39">
        <f t="shared" si="0"/>
        <v>0</v>
      </c>
    </row>
    <row r="28" spans="2:1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56"/>
      <c r="K28" s="39">
        <f t="shared" si="0"/>
        <v>0</v>
      </c>
    </row>
    <row r="29" spans="2:1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56"/>
      <c r="K29" s="39">
        <f t="shared" si="0"/>
        <v>0</v>
      </c>
    </row>
    <row r="30" spans="2:1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56"/>
      <c r="K30" s="39">
        <f t="shared" si="0"/>
        <v>0</v>
      </c>
    </row>
    <row r="31" spans="2:1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56"/>
      <c r="K31" s="39">
        <f t="shared" si="0"/>
        <v>0</v>
      </c>
    </row>
    <row r="32" spans="2:1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56"/>
      <c r="K32" s="39">
        <f t="shared" si="0"/>
        <v>0</v>
      </c>
    </row>
    <row r="33" spans="2:1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56"/>
      <c r="K33" s="39">
        <f t="shared" si="0"/>
        <v>0</v>
      </c>
    </row>
    <row r="34" spans="2:1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56"/>
      <c r="K34" s="39">
        <f t="shared" si="0"/>
        <v>0</v>
      </c>
    </row>
    <row r="35" spans="2:1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56"/>
      <c r="K35" s="39">
        <f t="shared" si="0"/>
        <v>0</v>
      </c>
    </row>
    <row r="36" spans="2:1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56"/>
      <c r="K36" s="39">
        <f t="shared" si="0"/>
        <v>0</v>
      </c>
    </row>
    <row r="37" spans="2:1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56"/>
      <c r="K37" s="39">
        <f t="shared" si="0"/>
        <v>0</v>
      </c>
    </row>
    <row r="38" spans="2:1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56"/>
      <c r="K38" s="39">
        <f t="shared" si="0"/>
        <v>0</v>
      </c>
    </row>
    <row r="39" spans="2:1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56"/>
      <c r="K39" s="39">
        <f t="shared" si="0"/>
        <v>0</v>
      </c>
    </row>
    <row r="40" spans="2:11">
      <c r="B40" s="11">
        <v>1111057</v>
      </c>
      <c r="C40" s="15" t="s">
        <v>30</v>
      </c>
      <c r="D40" s="33"/>
      <c r="E40" s="33"/>
      <c r="F40" s="33"/>
      <c r="G40" s="33"/>
      <c r="H40" s="33"/>
      <c r="I40" s="33"/>
      <c r="J40" s="56"/>
      <c r="K40" s="39">
        <f t="shared" si="0"/>
        <v>0</v>
      </c>
    </row>
    <row r="41" spans="2:11">
      <c r="B41" s="11">
        <v>1111058</v>
      </c>
      <c r="C41" s="15" t="s">
        <v>31</v>
      </c>
      <c r="D41" s="33"/>
      <c r="E41" s="33"/>
      <c r="F41" s="33"/>
      <c r="G41" s="33"/>
      <c r="H41" s="33"/>
      <c r="I41" s="33"/>
      <c r="J41" s="56"/>
      <c r="K41" s="39">
        <f t="shared" si="0"/>
        <v>0</v>
      </c>
    </row>
    <row r="42" spans="2:11">
      <c r="B42" s="11">
        <v>1111059</v>
      </c>
      <c r="C42" s="15" t="s">
        <v>32</v>
      </c>
      <c r="D42" s="33"/>
      <c r="E42" s="33"/>
      <c r="F42" s="33"/>
      <c r="G42" s="33"/>
      <c r="H42" s="33"/>
      <c r="I42" s="33"/>
      <c r="J42" s="56"/>
      <c r="K42" s="39">
        <f t="shared" si="0"/>
        <v>0</v>
      </c>
    </row>
    <row r="43" spans="2:11">
      <c r="B43" s="11">
        <v>1111060</v>
      </c>
      <c r="C43" s="15" t="s">
        <v>33</v>
      </c>
      <c r="D43" s="33"/>
      <c r="E43" s="33"/>
      <c r="F43" s="33"/>
      <c r="G43" s="33"/>
      <c r="H43" s="33"/>
      <c r="I43" s="33"/>
      <c r="J43" s="56"/>
      <c r="K43" s="39">
        <f t="shared" si="0"/>
        <v>0</v>
      </c>
    </row>
    <row r="44" spans="2:11">
      <c r="B44" s="11">
        <v>1111061</v>
      </c>
      <c r="C44" s="15" t="s">
        <v>34</v>
      </c>
      <c r="D44" s="33"/>
      <c r="E44" s="33"/>
      <c r="F44" s="33"/>
      <c r="G44" s="33"/>
      <c r="H44" s="33"/>
      <c r="I44" s="33"/>
      <c r="J44" s="56"/>
      <c r="K44" s="39">
        <f t="shared" si="0"/>
        <v>0</v>
      </c>
    </row>
    <row r="45" spans="2:11">
      <c r="B45" s="11">
        <v>1111062</v>
      </c>
      <c r="C45" s="15" t="s">
        <v>35</v>
      </c>
      <c r="D45" s="33"/>
      <c r="E45" s="33"/>
      <c r="F45" s="33"/>
      <c r="G45" s="33"/>
      <c r="H45" s="33"/>
      <c r="I45" s="33"/>
      <c r="J45" s="56"/>
      <c r="K45" s="39">
        <f t="shared" si="0"/>
        <v>0</v>
      </c>
    </row>
    <row r="46" spans="2:11">
      <c r="B46" s="11">
        <v>1111063</v>
      </c>
      <c r="C46" s="15" t="s">
        <v>36</v>
      </c>
      <c r="D46" s="33"/>
      <c r="E46" s="33"/>
      <c r="F46" s="33"/>
      <c r="G46" s="33"/>
      <c r="H46" s="33"/>
      <c r="I46" s="33"/>
      <c r="J46" s="56"/>
      <c r="K46" s="39">
        <f t="shared" si="0"/>
        <v>0</v>
      </c>
    </row>
    <row r="47" spans="2:11">
      <c r="B47" s="11">
        <v>1111064</v>
      </c>
      <c r="C47" s="15" t="s">
        <v>37</v>
      </c>
      <c r="D47" s="33"/>
      <c r="E47" s="33"/>
      <c r="F47" s="33"/>
      <c r="G47" s="33"/>
      <c r="H47" s="33"/>
      <c r="I47" s="33"/>
      <c r="J47" s="56"/>
      <c r="K47" s="39">
        <f t="shared" si="0"/>
        <v>0</v>
      </c>
    </row>
    <row r="48" spans="2:11">
      <c r="B48" s="11">
        <v>1111065</v>
      </c>
      <c r="C48" s="15" t="s">
        <v>38</v>
      </c>
      <c r="D48" s="33"/>
      <c r="E48" s="33"/>
      <c r="F48" s="33"/>
      <c r="G48" s="33"/>
      <c r="H48" s="33"/>
      <c r="I48" s="33"/>
      <c r="J48" s="56"/>
      <c r="K48" s="39">
        <f t="shared" si="0"/>
        <v>0</v>
      </c>
    </row>
    <row r="49" spans="2:11">
      <c r="B49" s="11">
        <v>1111066</v>
      </c>
      <c r="C49" s="15" t="s">
        <v>39</v>
      </c>
      <c r="D49" s="33"/>
      <c r="E49" s="33"/>
      <c r="F49" s="33"/>
      <c r="G49" s="33"/>
      <c r="H49" s="33"/>
      <c r="I49" s="33"/>
      <c r="J49" s="56"/>
      <c r="K49" s="39">
        <f t="shared" si="0"/>
        <v>0</v>
      </c>
    </row>
    <row r="50" spans="2:11">
      <c r="B50" s="11">
        <v>1111067</v>
      </c>
      <c r="C50" s="15" t="s">
        <v>40</v>
      </c>
      <c r="D50" s="33"/>
      <c r="E50" s="33"/>
      <c r="F50" s="33"/>
      <c r="G50" s="33"/>
      <c r="H50" s="33"/>
      <c r="I50" s="33"/>
      <c r="J50" s="56"/>
      <c r="K50" s="39">
        <f t="shared" si="0"/>
        <v>0</v>
      </c>
    </row>
    <row r="51" spans="2:11">
      <c r="B51" s="11">
        <v>1111068</v>
      </c>
      <c r="C51" s="15" t="s">
        <v>41</v>
      </c>
      <c r="D51" s="33"/>
      <c r="E51" s="33"/>
      <c r="F51" s="33"/>
      <c r="G51" s="33"/>
      <c r="H51" s="33"/>
      <c r="I51" s="33"/>
      <c r="J51" s="56"/>
      <c r="K51" s="39">
        <f t="shared" si="0"/>
        <v>0</v>
      </c>
    </row>
    <row r="52" spans="2:11">
      <c r="B52" s="11">
        <v>1111069</v>
      </c>
      <c r="C52" s="15" t="s">
        <v>42</v>
      </c>
      <c r="D52" s="33"/>
      <c r="E52" s="33"/>
      <c r="F52" s="33"/>
      <c r="G52" s="33"/>
      <c r="H52" s="33"/>
      <c r="I52" s="33"/>
      <c r="J52" s="56"/>
      <c r="K52" s="39">
        <f t="shared" si="0"/>
        <v>0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56"/>
      <c r="K53" s="39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56"/>
      <c r="K54" s="39">
        <f t="shared" si="0"/>
        <v>0</v>
      </c>
    </row>
    <row r="55" spans="2:1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56"/>
      <c r="K55" s="39">
        <f t="shared" si="0"/>
        <v>0</v>
      </c>
    </row>
    <row r="56" spans="2:11">
      <c r="B56" s="11">
        <v>1111074</v>
      </c>
      <c r="C56" s="15" t="s">
        <v>44</v>
      </c>
      <c r="D56" s="33"/>
      <c r="E56" s="33"/>
      <c r="F56" s="33"/>
      <c r="G56" s="33"/>
      <c r="H56" s="33"/>
      <c r="I56" s="33"/>
      <c r="J56" s="56"/>
      <c r="K56" s="39">
        <f t="shared" si="0"/>
        <v>0</v>
      </c>
    </row>
    <row r="57" spans="2:11">
      <c r="B57" s="11">
        <v>1111075</v>
      </c>
      <c r="C57" s="15" t="s">
        <v>45</v>
      </c>
      <c r="D57" s="33"/>
      <c r="E57" s="33"/>
      <c r="F57" s="33"/>
      <c r="G57" s="33"/>
      <c r="H57" s="33"/>
      <c r="I57" s="33"/>
      <c r="J57" s="56"/>
      <c r="K57" s="39">
        <f t="shared" si="0"/>
        <v>0</v>
      </c>
    </row>
    <row r="58" spans="2:11">
      <c r="B58" s="11">
        <v>1111076</v>
      </c>
      <c r="C58" s="15" t="s">
        <v>46</v>
      </c>
      <c r="D58" s="33"/>
      <c r="E58" s="33"/>
      <c r="F58" s="33"/>
      <c r="G58" s="33"/>
      <c r="H58" s="33"/>
      <c r="I58" s="33"/>
      <c r="J58" s="56"/>
      <c r="K58" s="39">
        <f t="shared" si="0"/>
        <v>0</v>
      </c>
    </row>
    <row r="59" spans="2:11">
      <c r="B59" s="11">
        <v>1111077</v>
      </c>
      <c r="C59" s="15" t="s">
        <v>47</v>
      </c>
      <c r="D59" s="33"/>
      <c r="E59" s="33"/>
      <c r="F59" s="33"/>
      <c r="G59" s="33"/>
      <c r="H59" s="33"/>
      <c r="I59" s="33"/>
      <c r="J59" s="56"/>
      <c r="K59" s="39">
        <f t="shared" si="0"/>
        <v>0</v>
      </c>
    </row>
    <row r="60" spans="2:11">
      <c r="B60" s="11">
        <v>1111078</v>
      </c>
      <c r="C60" s="15" t="s">
        <v>48</v>
      </c>
      <c r="D60" s="33"/>
      <c r="E60" s="33"/>
      <c r="F60" s="33"/>
      <c r="G60" s="33"/>
      <c r="H60" s="33"/>
      <c r="I60" s="33"/>
      <c r="J60" s="56"/>
      <c r="K60" s="39">
        <f t="shared" si="0"/>
        <v>0</v>
      </c>
    </row>
    <row r="61" spans="2:11">
      <c r="B61" s="11">
        <v>1111079</v>
      </c>
      <c r="C61" s="15" t="s">
        <v>49</v>
      </c>
      <c r="D61" s="33"/>
      <c r="E61" s="33"/>
      <c r="F61" s="33"/>
      <c r="G61" s="33"/>
      <c r="H61" s="33"/>
      <c r="I61" s="33"/>
      <c r="J61" s="56"/>
      <c r="K61" s="39">
        <f t="shared" si="0"/>
        <v>0</v>
      </c>
    </row>
    <row r="62" spans="2:11">
      <c r="B62" s="11">
        <v>1111080</v>
      </c>
      <c r="C62" s="15" t="s">
        <v>50</v>
      </c>
      <c r="D62" s="33"/>
      <c r="E62" s="33"/>
      <c r="F62" s="33"/>
      <c r="G62" s="33"/>
      <c r="H62" s="33"/>
      <c r="I62" s="33"/>
      <c r="J62" s="56"/>
      <c r="K62" s="39">
        <f t="shared" si="0"/>
        <v>0</v>
      </c>
    </row>
    <row r="63" spans="2:11">
      <c r="B63" s="11">
        <v>1111081</v>
      </c>
      <c r="C63" s="15" t="s">
        <v>51</v>
      </c>
      <c r="D63" s="33"/>
      <c r="E63" s="33"/>
      <c r="F63" s="33"/>
      <c r="G63" s="33"/>
      <c r="H63" s="33"/>
      <c r="I63" s="33"/>
      <c r="J63" s="56"/>
      <c r="K63" s="39">
        <f t="shared" si="0"/>
        <v>0</v>
      </c>
    </row>
    <row r="64" spans="2:11">
      <c r="B64" s="11">
        <v>1111082</v>
      </c>
      <c r="C64" s="15" t="s">
        <v>52</v>
      </c>
      <c r="D64" s="33"/>
      <c r="E64" s="33"/>
      <c r="F64" s="33"/>
      <c r="G64" s="33"/>
      <c r="H64" s="33"/>
      <c r="I64" s="33"/>
      <c r="J64" s="56"/>
      <c r="K64" s="39">
        <f t="shared" si="0"/>
        <v>0</v>
      </c>
    </row>
    <row r="65" spans="2:11">
      <c r="B65" s="11">
        <v>1111083</v>
      </c>
      <c r="C65" s="15" t="s">
        <v>53</v>
      </c>
      <c r="D65" s="33"/>
      <c r="E65" s="33"/>
      <c r="F65" s="33"/>
      <c r="G65" s="33"/>
      <c r="H65" s="33"/>
      <c r="I65" s="33"/>
      <c r="J65" s="56"/>
      <c r="K65" s="39">
        <f t="shared" si="0"/>
        <v>0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56"/>
      <c r="K66" s="39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19"/>
    </row>
    <row r="68" spans="2:11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</row>
    <row r="69" spans="2:11">
      <c r="B69" s="11">
        <v>1111009</v>
      </c>
      <c r="C69" s="20" t="s">
        <v>56</v>
      </c>
      <c r="D69" s="33"/>
      <c r="E69" s="33"/>
      <c r="F69" s="33"/>
      <c r="G69" s="33"/>
      <c r="H69" s="33"/>
      <c r="I69" s="33"/>
      <c r="J69" s="56"/>
      <c r="K69" s="39">
        <f>SUM(D69:J69)</f>
        <v>0</v>
      </c>
    </row>
    <row r="70" spans="2:1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56"/>
      <c r="K70" s="39">
        <f t="shared" ref="K70:K76" si="1">SUM(D70:J70)</f>
        <v>0</v>
      </c>
    </row>
    <row r="71" spans="2:1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56"/>
      <c r="K71" s="39">
        <f t="shared" si="1"/>
        <v>0</v>
      </c>
    </row>
    <row r="72" spans="2:1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56"/>
      <c r="K72" s="39">
        <f t="shared" si="1"/>
        <v>0</v>
      </c>
    </row>
    <row r="73" spans="2:1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56"/>
      <c r="K73" s="39">
        <f t="shared" si="1"/>
        <v>0</v>
      </c>
    </row>
    <row r="74" spans="2:1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56"/>
      <c r="K74" s="39">
        <f t="shared" si="1"/>
        <v>0</v>
      </c>
    </row>
    <row r="75" spans="2:1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56"/>
      <c r="K75" s="39">
        <f t="shared" si="1"/>
        <v>0</v>
      </c>
    </row>
    <row r="76" spans="2:1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56"/>
      <c r="K76" s="39">
        <f t="shared" si="1"/>
        <v>0</v>
      </c>
    </row>
    <row r="77" spans="2:1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19"/>
    </row>
    <row r="78" spans="2:11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</row>
    <row r="79" spans="2:1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56"/>
      <c r="K79" s="39">
        <f>SUM(D79:J79)</f>
        <v>0</v>
      </c>
    </row>
    <row r="80" spans="2:1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56"/>
      <c r="K80" s="39">
        <f t="shared" ref="K80:K87" si="2">SUM(D80:J80)</f>
        <v>0</v>
      </c>
    </row>
    <row r="81" spans="2:1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56"/>
      <c r="K81" s="39">
        <f t="shared" si="2"/>
        <v>0</v>
      </c>
    </row>
    <row r="82" spans="2:1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56"/>
      <c r="K82" s="39">
        <f t="shared" si="2"/>
        <v>0</v>
      </c>
    </row>
    <row r="83" spans="2:1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56"/>
      <c r="K83" s="39">
        <f t="shared" si="2"/>
        <v>0</v>
      </c>
    </row>
    <row r="84" spans="2:1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56"/>
      <c r="K84" s="39">
        <f t="shared" si="2"/>
        <v>0</v>
      </c>
    </row>
    <row r="85" spans="2:1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56"/>
      <c r="K85" s="39">
        <f t="shared" si="2"/>
        <v>0</v>
      </c>
    </row>
    <row r="86" spans="2:1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56"/>
      <c r="K86" s="39">
        <f t="shared" si="2"/>
        <v>0</v>
      </c>
    </row>
    <row r="87" spans="2:11">
      <c r="B87" s="11">
        <v>1111008</v>
      </c>
      <c r="C87" s="20" t="s">
        <v>73</v>
      </c>
      <c r="D87" s="33"/>
      <c r="E87" s="33"/>
      <c r="F87" s="33"/>
      <c r="G87" s="33"/>
      <c r="H87" s="33"/>
      <c r="I87" s="33"/>
      <c r="J87" s="56"/>
      <c r="K87" s="39">
        <f t="shared" si="2"/>
        <v>0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19"/>
    </row>
    <row r="89" spans="2:11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</row>
    <row r="90" spans="2:11">
      <c r="B90" s="11">
        <v>1112009</v>
      </c>
      <c r="C90" s="20" t="s">
        <v>75</v>
      </c>
      <c r="D90" s="33"/>
      <c r="E90" s="33"/>
      <c r="F90" s="33"/>
      <c r="G90" s="33"/>
      <c r="H90" s="33"/>
      <c r="I90" s="33"/>
      <c r="J90" s="56"/>
      <c r="K90" s="39">
        <f>SUM(D90:J90)</f>
        <v>0</v>
      </c>
    </row>
    <row r="91" spans="2:11">
      <c r="B91" s="11">
        <v>1112011</v>
      </c>
      <c r="C91" s="20" t="s">
        <v>76</v>
      </c>
      <c r="D91" s="33"/>
      <c r="E91" s="33"/>
      <c r="F91" s="33"/>
      <c r="G91" s="33"/>
      <c r="H91" s="33"/>
      <c r="I91" s="33"/>
      <c r="J91" s="56"/>
      <c r="K91" s="39">
        <f t="shared" ref="K91:K99" si="3">SUM(D91:J91)</f>
        <v>0</v>
      </c>
    </row>
    <row r="92" spans="2:11">
      <c r="B92" s="11">
        <v>1112003</v>
      </c>
      <c r="C92" s="20" t="s">
        <v>77</v>
      </c>
      <c r="D92" s="33"/>
      <c r="E92" s="33"/>
      <c r="F92" s="33"/>
      <c r="G92" s="33"/>
      <c r="H92" s="33"/>
      <c r="I92" s="33"/>
      <c r="J92" s="56"/>
      <c r="K92" s="39">
        <f t="shared" si="3"/>
        <v>0</v>
      </c>
    </row>
    <row r="93" spans="2:11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56"/>
      <c r="K93" s="39">
        <f t="shared" si="3"/>
        <v>0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56"/>
      <c r="K94" s="39">
        <f t="shared" si="3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56"/>
      <c r="K95" s="39">
        <f t="shared" si="3"/>
        <v>0</v>
      </c>
    </row>
    <row r="96" spans="2:11">
      <c r="B96" s="11">
        <v>1112017</v>
      </c>
      <c r="C96" s="20" t="s">
        <v>81</v>
      </c>
      <c r="D96" s="33"/>
      <c r="E96" s="33"/>
      <c r="F96" s="33"/>
      <c r="G96" s="33"/>
      <c r="H96" s="33"/>
      <c r="I96" s="33"/>
      <c r="J96" s="56"/>
      <c r="K96" s="39">
        <f t="shared" si="3"/>
        <v>0</v>
      </c>
    </row>
    <row r="97" spans="2:11">
      <c r="B97" s="11">
        <v>1112015</v>
      </c>
      <c r="C97" s="20" t="s">
        <v>82</v>
      </c>
      <c r="D97" s="33"/>
      <c r="E97" s="33"/>
      <c r="F97" s="33"/>
      <c r="G97" s="33"/>
      <c r="H97" s="33"/>
      <c r="I97" s="33"/>
      <c r="J97" s="56"/>
      <c r="K97" s="39">
        <f t="shared" si="3"/>
        <v>0</v>
      </c>
    </row>
    <row r="98" spans="2:11">
      <c r="B98" s="11">
        <v>1112013</v>
      </c>
      <c r="C98" s="20" t="s">
        <v>83</v>
      </c>
      <c r="D98" s="33"/>
      <c r="E98" s="33"/>
      <c r="F98" s="33"/>
      <c r="G98" s="33"/>
      <c r="H98" s="33"/>
      <c r="I98" s="33"/>
      <c r="J98" s="56"/>
      <c r="K98" s="39">
        <f t="shared" si="3"/>
        <v>0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56"/>
      <c r="K99" s="39">
        <f t="shared" si="3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9">
        <f t="shared" ref="K100" si="4">SUM(D100:I100)</f>
        <v>0</v>
      </c>
    </row>
    <row r="101" spans="2:11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</row>
    <row r="102" spans="2:1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56"/>
      <c r="K102" s="39">
        <f>SUM(D102:G102)</f>
        <v>0</v>
      </c>
    </row>
    <row r="103" spans="2:1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56"/>
      <c r="K103" s="39">
        <f t="shared" ref="K103:K111" si="5">SUM(D103:G103)</f>
        <v>0</v>
      </c>
    </row>
    <row r="104" spans="2:1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56"/>
      <c r="K104" s="39">
        <f t="shared" si="5"/>
        <v>0</v>
      </c>
    </row>
    <row r="105" spans="2:1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56"/>
      <c r="K105" s="39">
        <f t="shared" si="5"/>
        <v>0</v>
      </c>
    </row>
    <row r="106" spans="2:1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56"/>
      <c r="K106" s="39">
        <f t="shared" si="5"/>
        <v>0</v>
      </c>
    </row>
    <row r="107" spans="2:1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56"/>
      <c r="K107" s="39">
        <f t="shared" si="5"/>
        <v>0</v>
      </c>
    </row>
    <row r="108" spans="2:1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56"/>
      <c r="K108" s="39">
        <f t="shared" si="5"/>
        <v>0</v>
      </c>
    </row>
    <row r="109" spans="2:1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56"/>
      <c r="K109" s="39">
        <f t="shared" si="5"/>
        <v>0</v>
      </c>
    </row>
    <row r="110" spans="2:1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56"/>
      <c r="K110" s="39">
        <f t="shared" si="5"/>
        <v>0</v>
      </c>
    </row>
    <row r="111" spans="2:11">
      <c r="B111" s="11"/>
      <c r="C111" s="20" t="s">
        <v>84</v>
      </c>
      <c r="D111" s="33"/>
      <c r="E111" s="33"/>
      <c r="F111" s="33"/>
      <c r="G111" s="33"/>
      <c r="H111" s="33"/>
      <c r="I111" s="33"/>
      <c r="J111" s="56"/>
      <c r="K111" s="39">
        <f t="shared" si="5"/>
        <v>0</v>
      </c>
    </row>
    <row r="112" spans="2:1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19">
        <f>SUM(K102:K110)</f>
        <v>0</v>
      </c>
    </row>
    <row r="113" spans="2:11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</row>
    <row r="114" spans="2:1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56"/>
      <c r="K114" s="39">
        <f>SUM(D114:J114)</f>
        <v>0</v>
      </c>
    </row>
    <row r="115" spans="2:1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56"/>
      <c r="K115" s="39">
        <f t="shared" ref="K115:K153" si="6">SUM(D115:J115)</f>
        <v>0</v>
      </c>
    </row>
    <row r="116" spans="2:1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56"/>
      <c r="K116" s="39">
        <f t="shared" si="6"/>
        <v>0</v>
      </c>
    </row>
    <row r="117" spans="2:1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56"/>
      <c r="K117" s="39">
        <f t="shared" si="6"/>
        <v>0</v>
      </c>
    </row>
    <row r="118" spans="2:11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56"/>
      <c r="K118" s="39">
        <f t="shared" si="6"/>
        <v>0</v>
      </c>
    </row>
    <row r="119" spans="2:11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56"/>
      <c r="K119" s="39">
        <f t="shared" si="6"/>
        <v>0</v>
      </c>
    </row>
    <row r="120" spans="2:11">
      <c r="B120" s="11">
        <v>1100002</v>
      </c>
      <c r="C120" s="22" t="s">
        <v>127</v>
      </c>
      <c r="D120" s="33"/>
      <c r="E120" s="33"/>
      <c r="F120" s="33"/>
      <c r="G120" s="33"/>
      <c r="H120" s="33"/>
      <c r="I120" s="33"/>
      <c r="J120" s="56"/>
      <c r="K120" s="39">
        <f t="shared" si="6"/>
        <v>0</v>
      </c>
    </row>
    <row r="121" spans="2:11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56"/>
      <c r="K121" s="39">
        <f t="shared" si="6"/>
        <v>0</v>
      </c>
    </row>
    <row r="122" spans="2:11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56"/>
      <c r="K122" s="39">
        <f t="shared" si="6"/>
        <v>0</v>
      </c>
    </row>
    <row r="123" spans="2:11">
      <c r="B123" s="11">
        <v>1114501</v>
      </c>
      <c r="C123" s="22" t="s">
        <v>95</v>
      </c>
      <c r="D123" s="33"/>
      <c r="E123" s="33"/>
      <c r="F123" s="33"/>
      <c r="G123" s="33"/>
      <c r="H123" s="33"/>
      <c r="I123" s="33"/>
      <c r="J123" s="56"/>
      <c r="K123" s="39">
        <f t="shared" si="6"/>
        <v>0</v>
      </c>
    </row>
    <row r="124" spans="2:11">
      <c r="B124" s="11">
        <v>1114502</v>
      </c>
      <c r="C124" s="22" t="s">
        <v>96</v>
      </c>
      <c r="D124" s="33"/>
      <c r="E124" s="33"/>
      <c r="F124" s="33"/>
      <c r="G124" s="33"/>
      <c r="H124" s="33"/>
      <c r="I124" s="33"/>
      <c r="J124" s="56"/>
      <c r="K124" s="39">
        <f t="shared" si="6"/>
        <v>0</v>
      </c>
    </row>
    <row r="125" spans="2:11">
      <c r="B125" s="11">
        <v>1114503</v>
      </c>
      <c r="C125" s="22" t="s">
        <v>97</v>
      </c>
      <c r="D125" s="33"/>
      <c r="E125" s="33"/>
      <c r="F125" s="33"/>
      <c r="G125" s="33"/>
      <c r="H125" s="33"/>
      <c r="I125" s="33"/>
      <c r="J125" s="56"/>
      <c r="K125" s="39">
        <f t="shared" si="6"/>
        <v>0</v>
      </c>
    </row>
    <row r="126" spans="2:11">
      <c r="B126" s="11">
        <v>1113175</v>
      </c>
      <c r="C126" s="22" t="s">
        <v>130</v>
      </c>
      <c r="D126" s="33"/>
      <c r="E126" s="33"/>
      <c r="F126" s="33"/>
      <c r="G126" s="33"/>
      <c r="H126" s="33"/>
      <c r="I126" s="33"/>
      <c r="J126" s="56"/>
      <c r="K126" s="39">
        <f t="shared" si="6"/>
        <v>0</v>
      </c>
    </row>
    <row r="127" spans="2:11">
      <c r="B127" s="11">
        <v>1113176</v>
      </c>
      <c r="C127" s="22" t="s">
        <v>131</v>
      </c>
      <c r="D127" s="33"/>
      <c r="E127" s="33"/>
      <c r="F127" s="33"/>
      <c r="G127" s="33"/>
      <c r="H127" s="33"/>
      <c r="I127" s="33"/>
      <c r="J127" s="56"/>
      <c r="K127" s="39">
        <f t="shared" si="6"/>
        <v>0</v>
      </c>
    </row>
    <row r="128" spans="2:11">
      <c r="B128" s="11">
        <v>1113177</v>
      </c>
      <c r="C128" s="22" t="s">
        <v>132</v>
      </c>
      <c r="D128" s="33"/>
      <c r="E128" s="33"/>
      <c r="F128" s="33"/>
      <c r="G128" s="33"/>
      <c r="H128" s="33"/>
      <c r="I128" s="33"/>
      <c r="J128" s="56"/>
      <c r="K128" s="39">
        <f t="shared" si="6"/>
        <v>0</v>
      </c>
    </row>
    <row r="129" spans="2:11">
      <c r="B129" s="11"/>
      <c r="C129" s="22" t="s">
        <v>134</v>
      </c>
      <c r="D129" s="33"/>
      <c r="E129" s="33"/>
      <c r="F129" s="33"/>
      <c r="G129" s="33"/>
      <c r="H129" s="33"/>
      <c r="I129" s="33"/>
      <c r="J129" s="56"/>
      <c r="K129" s="39">
        <f t="shared" si="6"/>
        <v>0</v>
      </c>
    </row>
    <row r="130" spans="2:11">
      <c r="B130" s="11">
        <v>1124021</v>
      </c>
      <c r="C130" s="22" t="s">
        <v>98</v>
      </c>
      <c r="D130" s="33"/>
      <c r="E130" s="33"/>
      <c r="F130" s="33"/>
      <c r="G130" s="33"/>
      <c r="H130" s="33"/>
      <c r="I130" s="33"/>
      <c r="J130" s="56"/>
      <c r="K130" s="39">
        <f t="shared" si="6"/>
        <v>0</v>
      </c>
    </row>
    <row r="131" spans="2:11">
      <c r="B131" s="11">
        <v>1113084</v>
      </c>
      <c r="C131" s="22" t="s">
        <v>99</v>
      </c>
      <c r="D131" s="33"/>
      <c r="E131" s="33"/>
      <c r="F131" s="33"/>
      <c r="G131" s="33"/>
      <c r="H131" s="33"/>
      <c r="I131" s="33"/>
      <c r="J131" s="56"/>
      <c r="K131" s="39">
        <f t="shared" si="6"/>
        <v>0</v>
      </c>
    </row>
    <row r="132" spans="2:11">
      <c r="B132" s="11">
        <v>900003</v>
      </c>
      <c r="C132" s="22" t="s">
        <v>146</v>
      </c>
      <c r="D132" s="33"/>
      <c r="E132" s="33"/>
      <c r="F132" s="33"/>
      <c r="G132" s="33"/>
      <c r="H132" s="33"/>
      <c r="I132" s="33"/>
      <c r="J132" s="56"/>
      <c r="K132" s="39">
        <f t="shared" si="6"/>
        <v>0</v>
      </c>
    </row>
    <row r="133" spans="2:11">
      <c r="B133" s="11">
        <v>900004</v>
      </c>
      <c r="C133" s="22" t="s">
        <v>100</v>
      </c>
      <c r="D133" s="33"/>
      <c r="E133" s="33"/>
      <c r="F133" s="33"/>
      <c r="G133" s="33"/>
      <c r="H133" s="33"/>
      <c r="I133" s="33"/>
      <c r="J133" s="56"/>
      <c r="K133" s="39">
        <f t="shared" si="6"/>
        <v>0</v>
      </c>
    </row>
    <row r="134" spans="2:11">
      <c r="B134" s="11">
        <v>1004093</v>
      </c>
      <c r="C134" s="22" t="s">
        <v>101</v>
      </c>
      <c r="D134" s="33"/>
      <c r="E134" s="33"/>
      <c r="F134" s="33"/>
      <c r="G134" s="33"/>
      <c r="H134" s="33"/>
      <c r="I134" s="33"/>
      <c r="J134" s="56"/>
      <c r="K134" s="39">
        <f t="shared" si="6"/>
        <v>0</v>
      </c>
    </row>
    <row r="135" spans="2:11">
      <c r="B135" s="11">
        <v>1004092</v>
      </c>
      <c r="C135" s="22" t="s">
        <v>102</v>
      </c>
      <c r="D135" s="33"/>
      <c r="E135" s="33"/>
      <c r="F135" s="33"/>
      <c r="G135" s="33"/>
      <c r="H135" s="33"/>
      <c r="I135" s="33"/>
      <c r="J135" s="56"/>
      <c r="K135" s="39">
        <f t="shared" si="6"/>
        <v>0</v>
      </c>
    </row>
    <row r="136" spans="2:11">
      <c r="B136" s="11">
        <v>1004091</v>
      </c>
      <c r="C136" s="22" t="s">
        <v>103</v>
      </c>
      <c r="D136" s="33"/>
      <c r="E136" s="33"/>
      <c r="F136" s="33"/>
      <c r="G136" s="33"/>
      <c r="H136" s="33"/>
      <c r="I136" s="33"/>
      <c r="J136" s="56"/>
      <c r="K136" s="39">
        <f t="shared" si="6"/>
        <v>0</v>
      </c>
    </row>
    <row r="137" spans="2:11">
      <c r="B137" s="11">
        <v>1200002</v>
      </c>
      <c r="C137" s="22" t="s">
        <v>104</v>
      </c>
      <c r="D137" s="33"/>
      <c r="E137" s="33"/>
      <c r="F137" s="33"/>
      <c r="G137" s="33"/>
      <c r="H137" s="33"/>
      <c r="I137" s="33"/>
      <c r="J137" s="56"/>
      <c r="K137" s="39">
        <f t="shared" si="6"/>
        <v>0</v>
      </c>
    </row>
    <row r="138" spans="2:11">
      <c r="B138" s="11">
        <v>1200003</v>
      </c>
      <c r="C138" s="22" t="s">
        <v>105</v>
      </c>
      <c r="D138" s="33"/>
      <c r="E138" s="33"/>
      <c r="F138" s="33"/>
      <c r="G138" s="33"/>
      <c r="H138" s="33"/>
      <c r="I138" s="33"/>
      <c r="J138" s="56"/>
      <c r="K138" s="39">
        <f t="shared" si="6"/>
        <v>0</v>
      </c>
    </row>
    <row r="139" spans="2:11">
      <c r="B139" s="11">
        <v>1200004</v>
      </c>
      <c r="C139" s="22" t="s">
        <v>106</v>
      </c>
      <c r="D139" s="33"/>
      <c r="E139" s="33"/>
      <c r="F139" s="33"/>
      <c r="G139" s="33"/>
      <c r="H139" s="33"/>
      <c r="I139" s="33"/>
      <c r="J139" s="56"/>
      <c r="K139" s="39">
        <f t="shared" si="6"/>
        <v>0</v>
      </c>
    </row>
    <row r="140" spans="2:11">
      <c r="B140" s="11">
        <v>1200093</v>
      </c>
      <c r="C140" s="22" t="s">
        <v>91</v>
      </c>
      <c r="D140" s="33"/>
      <c r="E140" s="33"/>
      <c r="F140" s="33"/>
      <c r="G140" s="33"/>
      <c r="H140" s="33"/>
      <c r="I140" s="33"/>
      <c r="J140" s="56"/>
      <c r="K140" s="39">
        <f t="shared" si="6"/>
        <v>0</v>
      </c>
    </row>
    <row r="141" spans="2:11">
      <c r="B141" s="11">
        <v>1200092</v>
      </c>
      <c r="C141" s="20" t="s">
        <v>92</v>
      </c>
      <c r="D141" s="33"/>
      <c r="E141" s="33"/>
      <c r="F141" s="33"/>
      <c r="G141" s="33"/>
      <c r="H141" s="33"/>
      <c r="I141" s="33"/>
      <c r="J141" s="56"/>
      <c r="K141" s="39">
        <f t="shared" si="6"/>
        <v>0</v>
      </c>
    </row>
    <row r="142" spans="2:11">
      <c r="B142" s="23"/>
      <c r="C142" s="22" t="s">
        <v>128</v>
      </c>
      <c r="D142" s="33"/>
      <c r="E142" s="33"/>
      <c r="F142" s="33"/>
      <c r="G142" s="33"/>
      <c r="H142" s="33"/>
      <c r="I142" s="33"/>
      <c r="J142" s="56"/>
      <c r="K142" s="39">
        <f t="shared" si="6"/>
        <v>0</v>
      </c>
    </row>
    <row r="143" spans="2:11">
      <c r="B143" s="23"/>
      <c r="C143" s="22" t="s">
        <v>129</v>
      </c>
      <c r="D143" s="33"/>
      <c r="E143" s="33"/>
      <c r="F143" s="33"/>
      <c r="G143" s="33"/>
      <c r="H143" s="33"/>
      <c r="I143" s="33"/>
      <c r="J143" s="56"/>
      <c r="K143" s="39">
        <f t="shared" si="6"/>
        <v>0</v>
      </c>
    </row>
    <row r="144" spans="2:11">
      <c r="B144" s="23">
        <v>1113157</v>
      </c>
      <c r="C144" s="22" t="s">
        <v>107</v>
      </c>
      <c r="D144" s="33"/>
      <c r="E144" s="33"/>
      <c r="F144" s="33"/>
      <c r="G144" s="33"/>
      <c r="H144" s="33"/>
      <c r="I144" s="33"/>
      <c r="J144" s="56"/>
      <c r="K144" s="39">
        <f t="shared" si="6"/>
        <v>0</v>
      </c>
    </row>
    <row r="145" spans="2:11">
      <c r="B145" s="27"/>
      <c r="C145" s="22" t="s">
        <v>136</v>
      </c>
      <c r="D145" s="33"/>
      <c r="E145" s="33"/>
      <c r="F145" s="33"/>
      <c r="G145" s="33"/>
      <c r="H145" s="33"/>
      <c r="I145" s="33"/>
      <c r="J145" s="56"/>
      <c r="K145" s="39">
        <f t="shared" si="6"/>
        <v>0</v>
      </c>
    </row>
    <row r="146" spans="2:11">
      <c r="B146" s="27"/>
      <c r="C146" s="22" t="s">
        <v>137</v>
      </c>
      <c r="D146" s="33"/>
      <c r="E146" s="33"/>
      <c r="F146" s="33"/>
      <c r="G146" s="33"/>
      <c r="H146" s="33"/>
      <c r="I146" s="33"/>
      <c r="J146" s="56"/>
      <c r="K146" s="39">
        <f t="shared" si="6"/>
        <v>0</v>
      </c>
    </row>
    <row r="147" spans="2:11">
      <c r="B147" s="27">
        <v>1111006</v>
      </c>
      <c r="C147" s="28" t="s">
        <v>133</v>
      </c>
      <c r="D147" s="33"/>
      <c r="E147" s="33"/>
      <c r="F147" s="33"/>
      <c r="G147" s="33"/>
      <c r="H147" s="33"/>
      <c r="I147" s="33"/>
      <c r="J147" s="56"/>
      <c r="K147" s="39">
        <f t="shared" si="6"/>
        <v>0</v>
      </c>
    </row>
    <row r="148" spans="2:11">
      <c r="B148" s="23"/>
      <c r="C148" s="22" t="s">
        <v>141</v>
      </c>
      <c r="D148" s="33"/>
      <c r="E148" s="33"/>
      <c r="F148" s="33"/>
      <c r="G148" s="33"/>
      <c r="H148" s="33"/>
      <c r="I148" s="33"/>
      <c r="J148" s="56"/>
      <c r="K148" s="39">
        <f t="shared" si="6"/>
        <v>0</v>
      </c>
    </row>
    <row r="149" spans="2:11">
      <c r="B149" s="23">
        <v>20052721</v>
      </c>
      <c r="C149" s="22" t="s">
        <v>143</v>
      </c>
      <c r="D149" s="33"/>
      <c r="E149" s="33"/>
      <c r="F149" s="33"/>
      <c r="G149" s="33"/>
      <c r="H149" s="33"/>
      <c r="I149" s="33"/>
      <c r="J149" s="56"/>
      <c r="K149" s="39">
        <f t="shared" si="6"/>
        <v>0</v>
      </c>
    </row>
    <row r="150" spans="2:11">
      <c r="B150" s="11">
        <v>1113023</v>
      </c>
      <c r="C150" s="22" t="s">
        <v>145</v>
      </c>
      <c r="D150" s="42"/>
      <c r="E150" s="42"/>
      <c r="F150" s="42"/>
      <c r="G150" s="42"/>
      <c r="H150" s="42"/>
      <c r="I150" s="42"/>
      <c r="J150" s="57"/>
      <c r="K150" s="39">
        <f t="shared" si="6"/>
        <v>0</v>
      </c>
    </row>
    <row r="151" spans="2:11">
      <c r="B151" s="11">
        <v>1300008</v>
      </c>
      <c r="C151" s="22" t="s">
        <v>147</v>
      </c>
      <c r="D151" s="42"/>
      <c r="E151" s="42"/>
      <c r="F151" s="42"/>
      <c r="G151" s="42"/>
      <c r="H151" s="42"/>
      <c r="I151" s="42"/>
      <c r="J151" s="57"/>
      <c r="K151" s="39">
        <f t="shared" si="6"/>
        <v>0</v>
      </c>
    </row>
    <row r="152" spans="2:11">
      <c r="B152" s="11">
        <v>1300009</v>
      </c>
      <c r="C152" s="22" t="s">
        <v>148</v>
      </c>
      <c r="D152" s="42"/>
      <c r="E152" s="42"/>
      <c r="F152" s="42"/>
      <c r="G152" s="42"/>
      <c r="H152" s="42"/>
      <c r="I152" s="42"/>
      <c r="J152" s="57"/>
      <c r="K152" s="39">
        <f t="shared" si="6"/>
        <v>0</v>
      </c>
    </row>
    <row r="153" spans="2:11">
      <c r="B153" s="11">
        <v>1124051</v>
      </c>
      <c r="C153" s="22" t="s">
        <v>149</v>
      </c>
      <c r="D153" s="42"/>
      <c r="E153" s="42"/>
      <c r="F153" s="42"/>
      <c r="G153" s="42"/>
      <c r="H153" s="42"/>
      <c r="I153" s="42"/>
      <c r="J153" s="57"/>
      <c r="K153" s="39">
        <f t="shared" si="6"/>
        <v>0</v>
      </c>
    </row>
    <row r="154" spans="2:11">
      <c r="C154" s="38"/>
      <c r="D154" s="40"/>
      <c r="E154" s="40"/>
      <c r="F154" s="40"/>
      <c r="G154" s="40"/>
      <c r="H154" s="40"/>
      <c r="I154" s="40"/>
      <c r="J154" s="40"/>
      <c r="K154" s="41"/>
    </row>
    <row r="155" spans="2:11">
      <c r="C155" s="25"/>
      <c r="D155" s="34"/>
      <c r="E155" s="63"/>
      <c r="F155" s="63"/>
      <c r="G155" s="29"/>
      <c r="K155" s="41"/>
    </row>
    <row r="156" spans="2:11">
      <c r="B156" s="63" t="s">
        <v>108</v>
      </c>
      <c r="C156" s="63"/>
      <c r="D156" s="35"/>
      <c r="E156" s="62"/>
      <c r="F156" s="62"/>
      <c r="G156" s="30"/>
      <c r="H156" s="29"/>
      <c r="I156" s="63" t="s">
        <v>108</v>
      </c>
      <c r="J156" s="63"/>
      <c r="K156" s="63"/>
    </row>
    <row r="157" spans="2:11">
      <c r="B157" s="62" t="s">
        <v>109</v>
      </c>
      <c r="C157" s="62"/>
      <c r="D157" s="36"/>
      <c r="E157" s="36"/>
      <c r="F157" s="36"/>
      <c r="G157" s="36"/>
      <c r="H157" s="36"/>
      <c r="I157" s="62" t="s">
        <v>110</v>
      </c>
      <c r="J157" s="62"/>
      <c r="K157" s="62"/>
    </row>
    <row r="158" spans="2:11">
      <c r="B158" s="34"/>
      <c r="C158" s="34"/>
      <c r="D158" s="36"/>
      <c r="E158" s="36"/>
      <c r="F158" s="36"/>
      <c r="G158" s="36"/>
      <c r="H158" s="36"/>
      <c r="I158" s="34"/>
      <c r="J158" s="34"/>
      <c r="K158" s="37"/>
    </row>
    <row r="159" spans="2:11" ht="15">
      <c r="B159" s="34"/>
      <c r="C159" s="34"/>
      <c r="D159" s="34"/>
      <c r="E159" s="34"/>
      <c r="F159" s="34"/>
      <c r="G159" s="34"/>
      <c r="H159" s="34"/>
      <c r="I159" s="34"/>
      <c r="J159" s="34"/>
      <c r="K159" s="37"/>
    </row>
    <row r="160" spans="2:11" ht="15">
      <c r="B160" s="34"/>
      <c r="C160" s="34"/>
      <c r="D160" s="34"/>
      <c r="E160" s="34"/>
      <c r="F160" s="34"/>
      <c r="G160" s="34"/>
      <c r="H160" s="34"/>
      <c r="I160" s="34"/>
      <c r="J160" s="34"/>
      <c r="K160" s="37"/>
    </row>
    <row r="161" spans="2:11" ht="15">
      <c r="B161" s="34"/>
      <c r="C161" s="34"/>
      <c r="D161" s="34"/>
      <c r="E161" s="34"/>
      <c r="F161" s="34"/>
      <c r="G161" s="34"/>
      <c r="H161" s="34"/>
      <c r="I161" s="34"/>
      <c r="J161" s="34"/>
      <c r="K161" s="37"/>
    </row>
    <row r="162" spans="2:11" ht="15">
      <c r="B162" s="34"/>
      <c r="C162" s="34"/>
      <c r="D162" s="34"/>
      <c r="E162" s="34"/>
      <c r="F162" s="34"/>
      <c r="G162" s="34"/>
      <c r="H162" s="34"/>
      <c r="I162" s="34"/>
      <c r="J162" s="34"/>
      <c r="K162" s="37"/>
    </row>
    <row r="163" spans="2:11" ht="15">
      <c r="B163" s="34"/>
      <c r="C163" s="34"/>
      <c r="D163" s="34"/>
      <c r="E163" s="34"/>
      <c r="F163" s="34"/>
      <c r="G163" s="34"/>
      <c r="H163" s="34"/>
      <c r="I163" s="34"/>
      <c r="J163" s="34"/>
      <c r="K163" s="37"/>
    </row>
    <row r="164" spans="2:11">
      <c r="D164" s="34"/>
      <c r="E164" s="34"/>
      <c r="F164" s="34"/>
      <c r="G164" s="34"/>
      <c r="H164" s="34"/>
    </row>
    <row r="165" spans="2:11">
      <c r="D165" s="34"/>
      <c r="E165" s="34"/>
      <c r="F165" s="34"/>
      <c r="G165" s="34"/>
      <c r="H165" s="34"/>
    </row>
    <row r="166" spans="2:11">
      <c r="D166" s="34"/>
      <c r="E166" s="34"/>
      <c r="F166" s="34"/>
      <c r="G166" s="34"/>
      <c r="H166" s="34"/>
    </row>
    <row r="167" spans="2:11">
      <c r="D167" s="34"/>
      <c r="E167" s="34"/>
      <c r="F167" s="34"/>
      <c r="G167" s="34"/>
      <c r="H167" s="34"/>
    </row>
    <row r="168" spans="2:11">
      <c r="D168" s="34"/>
      <c r="E168" s="34"/>
      <c r="F168" s="34"/>
      <c r="G168" s="34"/>
      <c r="H168" s="34"/>
    </row>
    <row r="169" spans="2:11">
      <c r="D169" s="34"/>
      <c r="E169" s="34"/>
      <c r="F169" s="34"/>
      <c r="G169" s="34"/>
      <c r="H169" s="34"/>
    </row>
    <row r="170" spans="2:11">
      <c r="D170" s="34"/>
      <c r="E170" s="34"/>
      <c r="F170" s="34"/>
      <c r="G170" s="34"/>
      <c r="H170" s="34"/>
    </row>
    <row r="171" spans="2:11">
      <c r="D171" s="34"/>
      <c r="E171" s="34"/>
      <c r="F171" s="34"/>
      <c r="G171" s="34"/>
      <c r="H171" s="34"/>
    </row>
    <row r="172" spans="2:11">
      <c r="D172" s="34"/>
      <c r="E172" s="34"/>
      <c r="F172" s="34"/>
      <c r="G172" s="34"/>
      <c r="H172" s="34"/>
    </row>
    <row r="173" spans="2:11">
      <c r="D173" s="34"/>
      <c r="E173" s="34"/>
      <c r="F173" s="34"/>
      <c r="G173" s="34"/>
      <c r="H173" s="34"/>
    </row>
    <row r="174" spans="2:11">
      <c r="D174" s="34"/>
      <c r="E174" s="34"/>
      <c r="F174" s="34"/>
      <c r="G174" s="34"/>
      <c r="H174" s="34"/>
    </row>
  </sheetData>
  <mergeCells count="15">
    <mergeCell ref="B6:K6"/>
    <mergeCell ref="B1:K1"/>
    <mergeCell ref="B2:C3"/>
    <mergeCell ref="E2:F3"/>
    <mergeCell ref="E155:F155"/>
    <mergeCell ref="B68:K68"/>
    <mergeCell ref="B78:K78"/>
    <mergeCell ref="B89:K89"/>
    <mergeCell ref="B101:K101"/>
    <mergeCell ref="B113:K113"/>
    <mergeCell ref="B157:C157"/>
    <mergeCell ref="I157:K157"/>
    <mergeCell ref="B156:C156"/>
    <mergeCell ref="E156:F156"/>
    <mergeCell ref="I156:K156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zoomScale="60" zoomScaleNormal="60" workbookViewId="0">
      <selection activeCell="A101" sqref="A101:XFD112"/>
    </sheetView>
  </sheetViews>
  <sheetFormatPr defaultRowHeight="23.25"/>
  <cols>
    <col min="2" max="2" width="22.140625" style="24" customWidth="1"/>
    <col min="3" max="3" width="59.140625" style="24" customWidth="1"/>
    <col min="4" max="4" width="14.42578125" style="16" hidden="1" customWidth="1"/>
    <col min="5" max="7" width="14.42578125" style="16" customWidth="1"/>
    <col min="8" max="9" width="14.42578125" style="16" hidden="1" customWidth="1"/>
    <col min="10" max="10" width="14.42578125" style="16" customWidth="1"/>
    <col min="11" max="11" width="17.5703125" style="26" customWidth="1"/>
  </cols>
  <sheetData>
    <row r="1" spans="2:11">
      <c r="B1" s="66" t="s">
        <v>153</v>
      </c>
      <c r="C1" s="66"/>
      <c r="D1" s="66"/>
      <c r="E1" s="66"/>
      <c r="F1" s="66"/>
      <c r="G1" s="66"/>
      <c r="H1" s="66"/>
      <c r="I1" s="66"/>
      <c r="J1" s="66"/>
      <c r="K1" s="66"/>
    </row>
    <row r="2" spans="2:11">
      <c r="B2" s="67"/>
      <c r="C2" s="67"/>
      <c r="D2" s="48"/>
      <c r="E2" s="72"/>
      <c r="F2" s="72"/>
      <c r="G2" s="49"/>
      <c r="H2" s="49"/>
      <c r="I2" s="49"/>
      <c r="J2" s="49"/>
      <c r="K2" s="50" t="s">
        <v>0</v>
      </c>
    </row>
    <row r="3" spans="2:11">
      <c r="B3" s="67"/>
      <c r="C3" s="67"/>
      <c r="D3" s="48"/>
      <c r="E3" s="72"/>
      <c r="F3" s="72"/>
      <c r="G3" s="49"/>
      <c r="H3" s="49"/>
      <c r="I3" s="49"/>
      <c r="J3" s="49"/>
      <c r="K3" s="50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9" t="s">
        <v>150</v>
      </c>
      <c r="K4" s="50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51"/>
    </row>
    <row r="6" spans="2:11" ht="21">
      <c r="B6" s="71" t="s">
        <v>11</v>
      </c>
      <c r="C6" s="71"/>
      <c r="D6" s="71"/>
      <c r="E6" s="71"/>
      <c r="F6" s="71"/>
      <c r="G6" s="71"/>
      <c r="H6" s="71"/>
      <c r="I6" s="71"/>
      <c r="J6" s="71"/>
      <c r="K6" s="71"/>
    </row>
    <row r="7" spans="2:11">
      <c r="B7" s="11">
        <v>1111002</v>
      </c>
      <c r="C7" s="15" t="s">
        <v>111</v>
      </c>
      <c r="D7" s="33"/>
      <c r="E7" s="33">
        <v>23</v>
      </c>
      <c r="F7" s="33">
        <v>56</v>
      </c>
      <c r="G7" s="33"/>
      <c r="H7" s="33"/>
      <c r="I7" s="33"/>
      <c r="J7" s="33"/>
      <c r="K7" s="47">
        <f>SUM(D7:J7)</f>
        <v>79</v>
      </c>
    </row>
    <row r="8" spans="2:11">
      <c r="B8" s="11"/>
      <c r="C8" s="15" t="s">
        <v>135</v>
      </c>
      <c r="D8" s="33"/>
      <c r="E8" s="33"/>
      <c r="F8" s="33"/>
      <c r="G8" s="33"/>
      <c r="H8" s="33"/>
      <c r="I8" s="33"/>
      <c r="J8" s="33"/>
      <c r="K8" s="47">
        <f t="shared" ref="K8:K66" si="0">SUM(D8:J8)</f>
        <v>0</v>
      </c>
    </row>
    <row r="9" spans="2:1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33"/>
      <c r="K9" s="47">
        <f t="shared" si="0"/>
        <v>0</v>
      </c>
    </row>
    <row r="10" spans="2:1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33"/>
      <c r="K10" s="47">
        <f t="shared" si="0"/>
        <v>0</v>
      </c>
    </row>
    <row r="11" spans="2:1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33"/>
      <c r="K11" s="47">
        <f t="shared" si="0"/>
        <v>0</v>
      </c>
    </row>
    <row r="12" spans="2:1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33"/>
      <c r="K12" s="47">
        <f t="shared" si="0"/>
        <v>0</v>
      </c>
    </row>
    <row r="13" spans="2:1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33"/>
      <c r="K13" s="47">
        <f t="shared" si="0"/>
        <v>0</v>
      </c>
    </row>
    <row r="14" spans="2:1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33"/>
      <c r="K14" s="47">
        <f t="shared" si="0"/>
        <v>0</v>
      </c>
    </row>
    <row r="15" spans="2:1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33"/>
      <c r="K15" s="47">
        <f t="shared" si="0"/>
        <v>0</v>
      </c>
    </row>
    <row r="16" spans="2:1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33"/>
      <c r="K16" s="47">
        <f t="shared" si="0"/>
        <v>0</v>
      </c>
    </row>
    <row r="17" spans="2:1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33"/>
      <c r="K17" s="47">
        <f t="shared" si="0"/>
        <v>0</v>
      </c>
    </row>
    <row r="18" spans="2:1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33"/>
      <c r="K18" s="47">
        <f t="shared" si="0"/>
        <v>0</v>
      </c>
    </row>
    <row r="19" spans="2:1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33"/>
      <c r="K19" s="47">
        <f t="shared" si="0"/>
        <v>0</v>
      </c>
    </row>
    <row r="20" spans="2:1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33"/>
      <c r="K20" s="47">
        <f t="shared" si="0"/>
        <v>0</v>
      </c>
    </row>
    <row r="21" spans="2:1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33"/>
      <c r="K21" s="47">
        <f t="shared" si="0"/>
        <v>0</v>
      </c>
    </row>
    <row r="22" spans="2:1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33"/>
      <c r="K22" s="47">
        <f t="shared" si="0"/>
        <v>0</v>
      </c>
    </row>
    <row r="23" spans="2:1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33"/>
      <c r="K23" s="47">
        <f t="shared" si="0"/>
        <v>0</v>
      </c>
    </row>
    <row r="24" spans="2:1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33"/>
      <c r="K24" s="47">
        <f t="shared" si="0"/>
        <v>0</v>
      </c>
    </row>
    <row r="25" spans="2:11">
      <c r="B25" s="11">
        <v>1111056</v>
      </c>
      <c r="C25" s="15" t="s">
        <v>28</v>
      </c>
      <c r="D25" s="33"/>
      <c r="E25" s="33">
        <v>5</v>
      </c>
      <c r="F25" s="33">
        <v>17</v>
      </c>
      <c r="G25" s="33">
        <v>3</v>
      </c>
      <c r="H25" s="33"/>
      <c r="I25" s="33"/>
      <c r="J25" s="33"/>
      <c r="K25" s="47">
        <f t="shared" si="0"/>
        <v>25</v>
      </c>
    </row>
    <row r="26" spans="2:11">
      <c r="B26" s="11">
        <v>1004055</v>
      </c>
      <c r="C26" s="15" t="s">
        <v>112</v>
      </c>
      <c r="D26" s="33"/>
      <c r="E26" s="33">
        <v>10</v>
      </c>
      <c r="F26" s="33"/>
      <c r="G26" s="33">
        <v>54</v>
      </c>
      <c r="H26" s="33"/>
      <c r="I26" s="33"/>
      <c r="J26" s="33"/>
      <c r="K26" s="47">
        <f t="shared" si="0"/>
        <v>64</v>
      </c>
    </row>
    <row r="27" spans="2:1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33"/>
      <c r="K27" s="47">
        <f t="shared" si="0"/>
        <v>0</v>
      </c>
    </row>
    <row r="28" spans="2:1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33"/>
      <c r="K28" s="47">
        <f t="shared" si="0"/>
        <v>0</v>
      </c>
    </row>
    <row r="29" spans="2:1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33"/>
      <c r="K29" s="47">
        <f t="shared" si="0"/>
        <v>0</v>
      </c>
    </row>
    <row r="30" spans="2:1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33"/>
      <c r="K30" s="47">
        <f t="shared" si="0"/>
        <v>0</v>
      </c>
    </row>
    <row r="31" spans="2:1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33"/>
      <c r="K31" s="47">
        <f t="shared" si="0"/>
        <v>0</v>
      </c>
    </row>
    <row r="32" spans="2:1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33"/>
      <c r="K32" s="47">
        <f t="shared" si="0"/>
        <v>0</v>
      </c>
    </row>
    <row r="33" spans="2:1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33"/>
      <c r="K33" s="47">
        <f t="shared" si="0"/>
        <v>0</v>
      </c>
    </row>
    <row r="34" spans="2:1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33"/>
      <c r="K34" s="47">
        <f t="shared" si="0"/>
        <v>0</v>
      </c>
    </row>
    <row r="35" spans="2:1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33"/>
      <c r="K35" s="47">
        <f t="shared" si="0"/>
        <v>0</v>
      </c>
    </row>
    <row r="36" spans="2:1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33"/>
      <c r="K36" s="47">
        <f t="shared" si="0"/>
        <v>0</v>
      </c>
    </row>
    <row r="37" spans="2:1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33"/>
      <c r="K37" s="47">
        <f t="shared" si="0"/>
        <v>0</v>
      </c>
    </row>
    <row r="38" spans="2:1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33"/>
      <c r="K38" s="47">
        <f t="shared" si="0"/>
        <v>0</v>
      </c>
    </row>
    <row r="39" spans="2:1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33"/>
      <c r="K39" s="47">
        <f t="shared" si="0"/>
        <v>0</v>
      </c>
    </row>
    <row r="40" spans="2:11">
      <c r="B40" s="11">
        <v>1111057</v>
      </c>
      <c r="C40" s="15" t="s">
        <v>30</v>
      </c>
      <c r="D40" s="33"/>
      <c r="E40" s="33"/>
      <c r="F40" s="33">
        <v>1</v>
      </c>
      <c r="G40" s="33"/>
      <c r="H40" s="33"/>
      <c r="I40" s="33"/>
      <c r="J40" s="33"/>
      <c r="K40" s="47">
        <f t="shared" si="0"/>
        <v>1</v>
      </c>
    </row>
    <row r="41" spans="2:11">
      <c r="B41" s="11">
        <v>1111058</v>
      </c>
      <c r="C41" s="15" t="s">
        <v>31</v>
      </c>
      <c r="D41" s="33"/>
      <c r="E41" s="33"/>
      <c r="F41" s="33">
        <v>1</v>
      </c>
      <c r="G41" s="33"/>
      <c r="H41" s="33"/>
      <c r="I41" s="33"/>
      <c r="J41" s="33"/>
      <c r="K41" s="47">
        <f t="shared" si="0"/>
        <v>1</v>
      </c>
    </row>
    <row r="42" spans="2:11">
      <c r="B42" s="11">
        <v>1111059</v>
      </c>
      <c r="C42" s="15" t="s">
        <v>32</v>
      </c>
      <c r="D42" s="33"/>
      <c r="E42" s="33"/>
      <c r="F42" s="33"/>
      <c r="G42" s="33"/>
      <c r="H42" s="33"/>
      <c r="I42" s="33"/>
      <c r="J42" s="33"/>
      <c r="K42" s="47">
        <f t="shared" si="0"/>
        <v>0</v>
      </c>
    </row>
    <row r="43" spans="2:11">
      <c r="B43" s="11">
        <v>1111060</v>
      </c>
      <c r="C43" s="15" t="s">
        <v>33</v>
      </c>
      <c r="D43" s="33"/>
      <c r="E43" s="33"/>
      <c r="F43" s="33"/>
      <c r="G43" s="33"/>
      <c r="H43" s="33"/>
      <c r="I43" s="33"/>
      <c r="J43" s="33"/>
      <c r="K43" s="47">
        <f t="shared" si="0"/>
        <v>0</v>
      </c>
    </row>
    <row r="44" spans="2:11">
      <c r="B44" s="11">
        <v>1111061</v>
      </c>
      <c r="C44" s="15" t="s">
        <v>34</v>
      </c>
      <c r="D44" s="33"/>
      <c r="E44" s="33"/>
      <c r="F44" s="33"/>
      <c r="G44" s="33"/>
      <c r="H44" s="33"/>
      <c r="I44" s="33"/>
      <c r="J44" s="33"/>
      <c r="K44" s="47">
        <f t="shared" si="0"/>
        <v>0</v>
      </c>
    </row>
    <row r="45" spans="2:11">
      <c r="B45" s="11">
        <v>1111062</v>
      </c>
      <c r="C45" s="15" t="s">
        <v>35</v>
      </c>
      <c r="D45" s="33"/>
      <c r="E45" s="33"/>
      <c r="F45" s="33"/>
      <c r="G45" s="33"/>
      <c r="H45" s="33"/>
      <c r="I45" s="33"/>
      <c r="J45" s="33"/>
      <c r="K45" s="47">
        <f t="shared" si="0"/>
        <v>0</v>
      </c>
    </row>
    <row r="46" spans="2:11">
      <c r="B46" s="11">
        <v>1111063</v>
      </c>
      <c r="C46" s="15" t="s">
        <v>36</v>
      </c>
      <c r="D46" s="33"/>
      <c r="E46" s="33"/>
      <c r="F46" s="33"/>
      <c r="G46" s="33"/>
      <c r="H46" s="33"/>
      <c r="I46" s="33"/>
      <c r="J46" s="33"/>
      <c r="K46" s="47">
        <f t="shared" si="0"/>
        <v>0</v>
      </c>
    </row>
    <row r="47" spans="2:11">
      <c r="B47" s="11">
        <v>1111064</v>
      </c>
      <c r="C47" s="15" t="s">
        <v>37</v>
      </c>
      <c r="D47" s="33"/>
      <c r="E47" s="33"/>
      <c r="F47" s="33"/>
      <c r="G47" s="33"/>
      <c r="H47" s="33"/>
      <c r="I47" s="33"/>
      <c r="J47" s="33"/>
      <c r="K47" s="47">
        <f t="shared" si="0"/>
        <v>0</v>
      </c>
    </row>
    <row r="48" spans="2:11">
      <c r="B48" s="11">
        <v>1111065</v>
      </c>
      <c r="C48" s="15" t="s">
        <v>38</v>
      </c>
      <c r="D48" s="33"/>
      <c r="E48" s="33"/>
      <c r="F48" s="33"/>
      <c r="G48" s="33"/>
      <c r="H48" s="33"/>
      <c r="I48" s="33"/>
      <c r="J48" s="33"/>
      <c r="K48" s="47">
        <f t="shared" si="0"/>
        <v>0</v>
      </c>
    </row>
    <row r="49" spans="2:11">
      <c r="B49" s="11">
        <v>1111066</v>
      </c>
      <c r="C49" s="15" t="s">
        <v>39</v>
      </c>
      <c r="D49" s="33"/>
      <c r="E49" s="33"/>
      <c r="F49" s="33"/>
      <c r="G49" s="33"/>
      <c r="H49" s="33"/>
      <c r="I49" s="33"/>
      <c r="J49" s="33"/>
      <c r="K49" s="47">
        <f t="shared" si="0"/>
        <v>0</v>
      </c>
    </row>
    <row r="50" spans="2:11">
      <c r="B50" s="11">
        <v>1111067</v>
      </c>
      <c r="C50" s="15" t="s">
        <v>40</v>
      </c>
      <c r="D50" s="33"/>
      <c r="E50" s="33"/>
      <c r="F50" s="33"/>
      <c r="G50" s="33"/>
      <c r="H50" s="33"/>
      <c r="I50" s="33"/>
      <c r="J50" s="33"/>
      <c r="K50" s="47">
        <f t="shared" si="0"/>
        <v>0</v>
      </c>
    </row>
    <row r="51" spans="2:11">
      <c r="B51" s="11">
        <v>1111068</v>
      </c>
      <c r="C51" s="15" t="s">
        <v>41</v>
      </c>
      <c r="D51" s="33"/>
      <c r="E51" s="33"/>
      <c r="F51" s="33"/>
      <c r="G51" s="33"/>
      <c r="H51" s="33"/>
      <c r="I51" s="33"/>
      <c r="J51" s="33"/>
      <c r="K51" s="47">
        <f t="shared" si="0"/>
        <v>0</v>
      </c>
    </row>
    <row r="52" spans="2:11">
      <c r="B52" s="11">
        <v>1111069</v>
      </c>
      <c r="C52" s="15" t="s">
        <v>42</v>
      </c>
      <c r="D52" s="33"/>
      <c r="E52" s="33"/>
      <c r="F52" s="33"/>
      <c r="G52" s="33"/>
      <c r="H52" s="33"/>
      <c r="I52" s="33"/>
      <c r="J52" s="33"/>
      <c r="K52" s="47">
        <f t="shared" si="0"/>
        <v>0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33"/>
      <c r="K53" s="47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33"/>
      <c r="K54" s="47">
        <f t="shared" si="0"/>
        <v>0</v>
      </c>
    </row>
    <row r="55" spans="2:1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33"/>
      <c r="K55" s="47">
        <f t="shared" si="0"/>
        <v>0</v>
      </c>
    </row>
    <row r="56" spans="2:11">
      <c r="B56" s="11">
        <v>1111074</v>
      </c>
      <c r="C56" s="15" t="s">
        <v>44</v>
      </c>
      <c r="D56" s="33"/>
      <c r="E56" s="33">
        <v>3</v>
      </c>
      <c r="F56" s="33"/>
      <c r="G56" s="33"/>
      <c r="H56" s="33"/>
      <c r="I56" s="33"/>
      <c r="J56" s="33"/>
      <c r="K56" s="47">
        <f t="shared" si="0"/>
        <v>3</v>
      </c>
    </row>
    <row r="57" spans="2:11">
      <c r="B57" s="11">
        <v>1111075</v>
      </c>
      <c r="C57" s="15" t="s">
        <v>45</v>
      </c>
      <c r="D57" s="33"/>
      <c r="E57" s="33">
        <v>3</v>
      </c>
      <c r="F57" s="33"/>
      <c r="G57" s="33"/>
      <c r="H57" s="33"/>
      <c r="I57" s="33"/>
      <c r="J57" s="33"/>
      <c r="K57" s="47">
        <f t="shared" si="0"/>
        <v>3</v>
      </c>
    </row>
    <row r="58" spans="2:11">
      <c r="B58" s="11">
        <v>1111076</v>
      </c>
      <c r="C58" s="15" t="s">
        <v>46</v>
      </c>
      <c r="D58" s="33"/>
      <c r="E58" s="33">
        <v>3</v>
      </c>
      <c r="F58" s="33"/>
      <c r="G58" s="33"/>
      <c r="H58" s="33"/>
      <c r="I58" s="33"/>
      <c r="J58" s="33"/>
      <c r="K58" s="47">
        <f t="shared" si="0"/>
        <v>3</v>
      </c>
    </row>
    <row r="59" spans="2:11">
      <c r="B59" s="11">
        <v>1111077</v>
      </c>
      <c r="C59" s="15" t="s">
        <v>47</v>
      </c>
      <c r="D59" s="33"/>
      <c r="E59" s="33">
        <v>4</v>
      </c>
      <c r="F59" s="33"/>
      <c r="G59" s="33"/>
      <c r="H59" s="33"/>
      <c r="I59" s="33"/>
      <c r="J59" s="33"/>
      <c r="K59" s="47">
        <f t="shared" si="0"/>
        <v>4</v>
      </c>
    </row>
    <row r="60" spans="2:11">
      <c r="B60" s="11">
        <v>1111078</v>
      </c>
      <c r="C60" s="15" t="s">
        <v>48</v>
      </c>
      <c r="D60" s="33"/>
      <c r="E60" s="33">
        <v>3</v>
      </c>
      <c r="F60" s="33"/>
      <c r="G60" s="33"/>
      <c r="H60" s="33"/>
      <c r="I60" s="33"/>
      <c r="J60" s="33"/>
      <c r="K60" s="47">
        <f t="shared" si="0"/>
        <v>3</v>
      </c>
    </row>
    <row r="61" spans="2:11">
      <c r="B61" s="11">
        <v>1111079</v>
      </c>
      <c r="C61" s="15" t="s">
        <v>49</v>
      </c>
      <c r="D61" s="33"/>
      <c r="E61" s="33">
        <v>4</v>
      </c>
      <c r="F61" s="33"/>
      <c r="G61" s="33"/>
      <c r="H61" s="33"/>
      <c r="I61" s="33"/>
      <c r="J61" s="33"/>
      <c r="K61" s="47">
        <f t="shared" si="0"/>
        <v>4</v>
      </c>
    </row>
    <row r="62" spans="2:11">
      <c r="B62" s="11">
        <v>1111080</v>
      </c>
      <c r="C62" s="15" t="s">
        <v>50</v>
      </c>
      <c r="D62" s="33"/>
      <c r="E62" s="33">
        <v>4</v>
      </c>
      <c r="F62" s="33"/>
      <c r="G62" s="33"/>
      <c r="H62" s="33"/>
      <c r="I62" s="33"/>
      <c r="J62" s="33"/>
      <c r="K62" s="47">
        <f t="shared" si="0"/>
        <v>4</v>
      </c>
    </row>
    <row r="63" spans="2:11">
      <c r="B63" s="11">
        <v>1111081</v>
      </c>
      <c r="C63" s="15" t="s">
        <v>51</v>
      </c>
      <c r="D63" s="33"/>
      <c r="E63" s="33">
        <v>3</v>
      </c>
      <c r="F63" s="33"/>
      <c r="G63" s="33"/>
      <c r="H63" s="33"/>
      <c r="I63" s="33"/>
      <c r="J63" s="33"/>
      <c r="K63" s="47">
        <f t="shared" si="0"/>
        <v>3</v>
      </c>
    </row>
    <row r="64" spans="2:11">
      <c r="B64" s="11">
        <v>1111082</v>
      </c>
      <c r="C64" s="15" t="s">
        <v>52</v>
      </c>
      <c r="D64" s="33"/>
      <c r="E64" s="33">
        <v>3</v>
      </c>
      <c r="F64" s="33"/>
      <c r="G64" s="33"/>
      <c r="H64" s="33"/>
      <c r="I64" s="33"/>
      <c r="J64" s="33"/>
      <c r="K64" s="47">
        <f t="shared" si="0"/>
        <v>3</v>
      </c>
    </row>
    <row r="65" spans="2:11">
      <c r="B65" s="11">
        <v>1111083</v>
      </c>
      <c r="C65" s="15" t="s">
        <v>53</v>
      </c>
      <c r="D65" s="33"/>
      <c r="E65" s="33"/>
      <c r="F65" s="33"/>
      <c r="G65" s="33"/>
      <c r="H65" s="33"/>
      <c r="I65" s="33"/>
      <c r="J65" s="33"/>
      <c r="K65" s="47">
        <f t="shared" si="0"/>
        <v>0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33"/>
      <c r="K66" s="47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7">
        <f t="shared" ref="K67" si="1">SUM(D67:I67)</f>
        <v>0</v>
      </c>
    </row>
    <row r="68" spans="2:11" ht="21">
      <c r="B68" s="71" t="s">
        <v>55</v>
      </c>
      <c r="C68" s="71"/>
      <c r="D68" s="71"/>
      <c r="E68" s="71"/>
      <c r="F68" s="71"/>
      <c r="G68" s="71"/>
      <c r="H68" s="71"/>
      <c r="I68" s="71"/>
      <c r="J68" s="71"/>
      <c r="K68" s="71"/>
    </row>
    <row r="69" spans="2:11">
      <c r="B69" s="11">
        <v>1111009</v>
      </c>
      <c r="C69" s="20" t="s">
        <v>56</v>
      </c>
      <c r="D69" s="33"/>
      <c r="E69" s="33">
        <v>2</v>
      </c>
      <c r="F69" s="33">
        <v>7</v>
      </c>
      <c r="G69" s="33"/>
      <c r="H69" s="33"/>
      <c r="I69" s="33"/>
      <c r="J69" s="33"/>
      <c r="K69" s="47">
        <f>SUM(D69:J69)</f>
        <v>9</v>
      </c>
    </row>
    <row r="70" spans="2:1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33"/>
      <c r="K70" s="47">
        <f t="shared" ref="K70:K76" si="2">SUM(D70:J70)</f>
        <v>0</v>
      </c>
    </row>
    <row r="71" spans="2:1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33"/>
      <c r="K71" s="47">
        <f t="shared" si="2"/>
        <v>0</v>
      </c>
    </row>
    <row r="72" spans="2:1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33"/>
      <c r="K72" s="47">
        <f t="shared" si="2"/>
        <v>0</v>
      </c>
    </row>
    <row r="73" spans="2:1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33"/>
      <c r="K73" s="47">
        <f t="shared" si="2"/>
        <v>0</v>
      </c>
    </row>
    <row r="74" spans="2:1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33"/>
      <c r="K74" s="47">
        <f t="shared" si="2"/>
        <v>0</v>
      </c>
    </row>
    <row r="75" spans="2:1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33"/>
      <c r="K75" s="47">
        <f t="shared" si="2"/>
        <v>0</v>
      </c>
    </row>
    <row r="76" spans="2:11">
      <c r="B76" s="11">
        <v>1111020</v>
      </c>
      <c r="C76" s="20" t="s">
        <v>63</v>
      </c>
      <c r="D76" s="33"/>
      <c r="E76" s="33"/>
      <c r="F76" s="33"/>
      <c r="G76" s="33">
        <v>1</v>
      </c>
      <c r="H76" s="33"/>
      <c r="I76" s="33"/>
      <c r="J76" s="33"/>
      <c r="K76" s="47">
        <f t="shared" si="2"/>
        <v>1</v>
      </c>
    </row>
    <row r="77" spans="2:11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3"/>
    </row>
    <row r="78" spans="2:11" ht="21">
      <c r="B78" s="71" t="s">
        <v>64</v>
      </c>
      <c r="C78" s="71"/>
      <c r="D78" s="71"/>
      <c r="E78" s="71"/>
      <c r="F78" s="71"/>
      <c r="G78" s="71"/>
      <c r="H78" s="71"/>
      <c r="I78" s="71"/>
      <c r="J78" s="71"/>
      <c r="K78" s="71"/>
    </row>
    <row r="79" spans="2:1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33"/>
      <c r="K79" s="47">
        <f>SUM(D79:J79)</f>
        <v>0</v>
      </c>
    </row>
    <row r="80" spans="2:1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33"/>
      <c r="K80" s="47">
        <f t="shared" ref="K80:K87" si="3">SUM(D80:J80)</f>
        <v>0</v>
      </c>
    </row>
    <row r="81" spans="2:1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33"/>
      <c r="K81" s="47">
        <f t="shared" si="3"/>
        <v>0</v>
      </c>
    </row>
    <row r="82" spans="2:1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33"/>
      <c r="K82" s="47">
        <f t="shared" si="3"/>
        <v>0</v>
      </c>
    </row>
    <row r="83" spans="2:1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33"/>
      <c r="K83" s="47">
        <f t="shared" si="3"/>
        <v>0</v>
      </c>
    </row>
    <row r="84" spans="2:1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33"/>
      <c r="K84" s="47">
        <f t="shared" si="3"/>
        <v>0</v>
      </c>
    </row>
    <row r="85" spans="2:1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33"/>
      <c r="K85" s="47">
        <f t="shared" si="3"/>
        <v>0</v>
      </c>
    </row>
    <row r="86" spans="2:1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33"/>
      <c r="K86" s="47">
        <f t="shared" si="3"/>
        <v>0</v>
      </c>
    </row>
    <row r="87" spans="2:11">
      <c r="B87" s="11">
        <v>1111008</v>
      </c>
      <c r="C87" s="20" t="s">
        <v>73</v>
      </c>
      <c r="D87" s="33"/>
      <c r="E87" s="33">
        <v>3</v>
      </c>
      <c r="F87" s="33"/>
      <c r="G87" s="33">
        <v>87</v>
      </c>
      <c r="H87" s="33"/>
      <c r="I87" s="33"/>
      <c r="J87" s="33"/>
      <c r="K87" s="47">
        <f t="shared" si="3"/>
        <v>90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3"/>
    </row>
    <row r="89" spans="2:11" ht="21">
      <c r="B89" s="71" t="s">
        <v>74</v>
      </c>
      <c r="C89" s="71"/>
      <c r="D89" s="71"/>
      <c r="E89" s="71"/>
      <c r="F89" s="71"/>
      <c r="G89" s="71"/>
      <c r="H89" s="71"/>
      <c r="I89" s="71"/>
      <c r="J89" s="71"/>
      <c r="K89" s="71"/>
    </row>
    <row r="90" spans="2:11">
      <c r="B90" s="11">
        <v>1112009</v>
      </c>
      <c r="C90" s="20" t="s">
        <v>75</v>
      </c>
      <c r="D90" s="33"/>
      <c r="E90" s="33">
        <v>7</v>
      </c>
      <c r="F90" s="33">
        <v>10</v>
      </c>
      <c r="G90" s="33">
        <v>9</v>
      </c>
      <c r="H90" s="33"/>
      <c r="I90" s="33"/>
      <c r="J90" s="33"/>
      <c r="K90" s="47">
        <f>SUM(D90:J90)</f>
        <v>26</v>
      </c>
    </row>
    <row r="91" spans="2:11">
      <c r="B91" s="11">
        <v>1112011</v>
      </c>
      <c r="C91" s="20" t="s">
        <v>76</v>
      </c>
      <c r="D91" s="33"/>
      <c r="E91" s="33">
        <v>7</v>
      </c>
      <c r="F91" s="33">
        <v>14</v>
      </c>
      <c r="G91" s="33">
        <v>9</v>
      </c>
      <c r="H91" s="33"/>
      <c r="I91" s="33"/>
      <c r="J91" s="33">
        <v>1</v>
      </c>
      <c r="K91" s="47">
        <f t="shared" ref="K91:K99" si="4">SUM(D91:J91)</f>
        <v>31</v>
      </c>
    </row>
    <row r="92" spans="2:11">
      <c r="B92" s="11">
        <v>1112003</v>
      </c>
      <c r="C92" s="20" t="s">
        <v>77</v>
      </c>
      <c r="D92" s="33"/>
      <c r="E92" s="33"/>
      <c r="F92" s="33"/>
      <c r="G92" s="33"/>
      <c r="H92" s="33"/>
      <c r="I92" s="33"/>
      <c r="J92" s="33"/>
      <c r="K92" s="47">
        <f t="shared" si="4"/>
        <v>0</v>
      </c>
    </row>
    <row r="93" spans="2:11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33"/>
      <c r="K93" s="47">
        <f t="shared" si="4"/>
        <v>0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33"/>
      <c r="K94" s="47">
        <f t="shared" si="4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33"/>
      <c r="K95" s="47">
        <f t="shared" si="4"/>
        <v>0</v>
      </c>
    </row>
    <row r="96" spans="2:11">
      <c r="B96" s="11">
        <v>1112017</v>
      </c>
      <c r="C96" s="20" t="s">
        <v>81</v>
      </c>
      <c r="D96" s="33"/>
      <c r="E96" s="33"/>
      <c r="F96" s="33"/>
      <c r="G96" s="33"/>
      <c r="H96" s="33"/>
      <c r="I96" s="33"/>
      <c r="J96" s="33"/>
      <c r="K96" s="47">
        <f t="shared" si="4"/>
        <v>0</v>
      </c>
    </row>
    <row r="97" spans="2:11">
      <c r="B97" s="11">
        <v>1112015</v>
      </c>
      <c r="C97" s="20" t="s">
        <v>82</v>
      </c>
      <c r="D97" s="33"/>
      <c r="E97" s="33"/>
      <c r="F97" s="33"/>
      <c r="G97" s="33"/>
      <c r="H97" s="33"/>
      <c r="I97" s="33"/>
      <c r="J97" s="33"/>
      <c r="K97" s="47">
        <f t="shared" si="4"/>
        <v>0</v>
      </c>
    </row>
    <row r="98" spans="2:11">
      <c r="B98" s="11">
        <v>1112013</v>
      </c>
      <c r="C98" s="20" t="s">
        <v>83</v>
      </c>
      <c r="D98" s="33"/>
      <c r="E98" s="33">
        <v>6</v>
      </c>
      <c r="F98" s="33">
        <v>14</v>
      </c>
      <c r="G98" s="33">
        <v>9</v>
      </c>
      <c r="H98" s="33"/>
      <c r="I98" s="33"/>
      <c r="J98" s="33"/>
      <c r="K98" s="47">
        <f t="shared" si="4"/>
        <v>29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33"/>
      <c r="K99" s="47">
        <f t="shared" si="4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7"/>
    </row>
    <row r="101" spans="2:11" ht="21" hidden="1">
      <c r="B101" s="71" t="s">
        <v>85</v>
      </c>
      <c r="C101" s="71"/>
      <c r="D101" s="71"/>
      <c r="E101" s="71"/>
      <c r="F101" s="71"/>
      <c r="G101" s="71"/>
      <c r="H101" s="71"/>
      <c r="I101" s="71"/>
      <c r="J101" s="71"/>
      <c r="K101" s="71"/>
    </row>
    <row r="102" spans="2:11" hidden="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33"/>
      <c r="K102" s="47">
        <f>SUM(D102:H102)</f>
        <v>0</v>
      </c>
    </row>
    <row r="103" spans="2:11" hidden="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33"/>
      <c r="K103" s="47">
        <f t="shared" ref="K103:K111" si="5">SUM(D103:H103)</f>
        <v>0</v>
      </c>
    </row>
    <row r="104" spans="2:11" hidden="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33"/>
      <c r="K104" s="47">
        <f t="shared" si="5"/>
        <v>0</v>
      </c>
    </row>
    <row r="105" spans="2:11" hidden="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33"/>
      <c r="K105" s="47">
        <f t="shared" si="5"/>
        <v>0</v>
      </c>
    </row>
    <row r="106" spans="2:11" hidden="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33"/>
      <c r="K106" s="47">
        <f t="shared" si="5"/>
        <v>0</v>
      </c>
    </row>
    <row r="107" spans="2:11" hidden="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33"/>
      <c r="K107" s="47">
        <f t="shared" si="5"/>
        <v>0</v>
      </c>
    </row>
    <row r="108" spans="2:11" hidden="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33"/>
      <c r="K108" s="47">
        <f t="shared" si="5"/>
        <v>0</v>
      </c>
    </row>
    <row r="109" spans="2:11" hidden="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33"/>
      <c r="K109" s="47">
        <f t="shared" si="5"/>
        <v>0</v>
      </c>
    </row>
    <row r="110" spans="2:11" hidden="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33"/>
      <c r="K110" s="47">
        <f t="shared" si="5"/>
        <v>0</v>
      </c>
    </row>
    <row r="111" spans="2:11" hidden="1">
      <c r="B111" s="11"/>
      <c r="C111" s="20" t="s">
        <v>84</v>
      </c>
      <c r="D111" s="33"/>
      <c r="E111" s="33"/>
      <c r="F111" s="33"/>
      <c r="G111" s="33"/>
      <c r="H111" s="33"/>
      <c r="I111" s="33"/>
      <c r="J111" s="33"/>
      <c r="K111" s="47">
        <f t="shared" si="5"/>
        <v>0</v>
      </c>
    </row>
    <row r="112" spans="2:11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52">
        <f>SUM(K102:K110)</f>
        <v>0</v>
      </c>
    </row>
    <row r="113" spans="2:11" ht="21">
      <c r="B113" s="71" t="s">
        <v>86</v>
      </c>
      <c r="C113" s="71"/>
      <c r="D113" s="71"/>
      <c r="E113" s="71"/>
      <c r="F113" s="71"/>
      <c r="G113" s="71"/>
      <c r="H113" s="71"/>
      <c r="I113" s="71"/>
      <c r="J113" s="71"/>
      <c r="K113" s="71"/>
    </row>
    <row r="114" spans="2:1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33"/>
      <c r="K114" s="47">
        <f>SUM(D114:J114)</f>
        <v>0</v>
      </c>
    </row>
    <row r="115" spans="2:1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33"/>
      <c r="K115" s="47">
        <f t="shared" ref="K115:K137" si="6">SUM(D115:J115)</f>
        <v>0</v>
      </c>
    </row>
    <row r="116" spans="2:1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33"/>
      <c r="K116" s="47">
        <f t="shared" si="6"/>
        <v>0</v>
      </c>
    </row>
    <row r="117" spans="2:1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33"/>
      <c r="K117" s="47">
        <f t="shared" si="6"/>
        <v>0</v>
      </c>
    </row>
    <row r="118" spans="2:11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33"/>
      <c r="K118" s="47">
        <f t="shared" si="6"/>
        <v>0</v>
      </c>
    </row>
    <row r="119" spans="2:11">
      <c r="B119" s="11">
        <v>1100001</v>
      </c>
      <c r="C119" s="22" t="s">
        <v>126</v>
      </c>
      <c r="D119" s="33"/>
      <c r="E119" s="33">
        <v>3</v>
      </c>
      <c r="F119" s="33"/>
      <c r="G119" s="33"/>
      <c r="H119" s="33"/>
      <c r="I119" s="33"/>
      <c r="J119" s="33"/>
      <c r="K119" s="47">
        <f t="shared" si="6"/>
        <v>3</v>
      </c>
    </row>
    <row r="120" spans="2:11">
      <c r="B120" s="11">
        <v>1100002</v>
      </c>
      <c r="C120" s="22" t="s">
        <v>127</v>
      </c>
      <c r="D120" s="33"/>
      <c r="E120" s="33">
        <v>3</v>
      </c>
      <c r="F120" s="33">
        <v>2</v>
      </c>
      <c r="G120" s="33">
        <v>2</v>
      </c>
      <c r="H120" s="33"/>
      <c r="I120" s="33"/>
      <c r="J120" s="33"/>
      <c r="K120" s="47">
        <f t="shared" si="6"/>
        <v>7</v>
      </c>
    </row>
    <row r="121" spans="2:11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33"/>
      <c r="K121" s="47">
        <f t="shared" si="6"/>
        <v>0</v>
      </c>
    </row>
    <row r="122" spans="2:11">
      <c r="B122" s="11">
        <v>1005761</v>
      </c>
      <c r="C122" s="22" t="s">
        <v>94</v>
      </c>
      <c r="D122" s="33"/>
      <c r="E122" s="33">
        <v>1</v>
      </c>
      <c r="F122" s="33"/>
      <c r="G122" s="33"/>
      <c r="H122" s="33"/>
      <c r="I122" s="33"/>
      <c r="J122" s="33"/>
      <c r="K122" s="47">
        <f t="shared" si="6"/>
        <v>1</v>
      </c>
    </row>
    <row r="123" spans="2:11">
      <c r="B123" s="11">
        <v>1114501</v>
      </c>
      <c r="C123" s="22" t="s">
        <v>95</v>
      </c>
      <c r="D123" s="33"/>
      <c r="E123" s="33">
        <v>8</v>
      </c>
      <c r="F123" s="33">
        <v>16</v>
      </c>
      <c r="G123" s="33">
        <v>195</v>
      </c>
      <c r="H123" s="33"/>
      <c r="I123" s="33"/>
      <c r="J123" s="33">
        <v>1</v>
      </c>
      <c r="K123" s="47">
        <f t="shared" si="6"/>
        <v>220</v>
      </c>
    </row>
    <row r="124" spans="2:11">
      <c r="B124" s="11">
        <v>1114502</v>
      </c>
      <c r="C124" s="22" t="s">
        <v>96</v>
      </c>
      <c r="D124" s="33"/>
      <c r="E124" s="33">
        <v>10</v>
      </c>
      <c r="F124" s="33">
        <v>15</v>
      </c>
      <c r="G124" s="33">
        <v>195</v>
      </c>
      <c r="H124" s="33"/>
      <c r="I124" s="33"/>
      <c r="J124" s="33"/>
      <c r="K124" s="47">
        <f t="shared" si="6"/>
        <v>220</v>
      </c>
    </row>
    <row r="125" spans="2:11">
      <c r="B125" s="11">
        <v>1114503</v>
      </c>
      <c r="C125" s="22" t="s">
        <v>97</v>
      </c>
      <c r="D125" s="33"/>
      <c r="E125" s="33">
        <v>7</v>
      </c>
      <c r="F125" s="33">
        <v>5</v>
      </c>
      <c r="G125" s="33">
        <v>195</v>
      </c>
      <c r="H125" s="33"/>
      <c r="I125" s="33"/>
      <c r="J125" s="33"/>
      <c r="K125" s="47">
        <f t="shared" si="6"/>
        <v>207</v>
      </c>
    </row>
    <row r="126" spans="2:11">
      <c r="B126" s="11">
        <v>1124021</v>
      </c>
      <c r="C126" s="22" t="s">
        <v>98</v>
      </c>
      <c r="D126" s="33"/>
      <c r="E126" s="33">
        <v>12</v>
      </c>
      <c r="F126" s="33">
        <v>64</v>
      </c>
      <c r="G126" s="33">
        <v>12</v>
      </c>
      <c r="H126" s="33"/>
      <c r="I126" s="33"/>
      <c r="J126" s="33"/>
      <c r="K126" s="47">
        <f t="shared" si="6"/>
        <v>88</v>
      </c>
    </row>
    <row r="127" spans="2:11">
      <c r="B127" s="11">
        <v>1113084</v>
      </c>
      <c r="C127" s="22" t="s">
        <v>99</v>
      </c>
      <c r="D127" s="33"/>
      <c r="E127" s="33">
        <v>1</v>
      </c>
      <c r="F127" s="33"/>
      <c r="G127" s="33"/>
      <c r="H127" s="33"/>
      <c r="I127" s="33"/>
      <c r="J127" s="33"/>
      <c r="K127" s="47">
        <f t="shared" si="6"/>
        <v>1</v>
      </c>
    </row>
    <row r="128" spans="2:11">
      <c r="B128" s="11">
        <v>900003</v>
      </c>
      <c r="C128" s="22" t="s">
        <v>146</v>
      </c>
      <c r="D128" s="33"/>
      <c r="E128" s="33"/>
      <c r="F128" s="33"/>
      <c r="G128" s="33"/>
      <c r="H128" s="33"/>
      <c r="I128" s="33"/>
      <c r="J128" s="33"/>
      <c r="K128" s="47">
        <f t="shared" si="6"/>
        <v>0</v>
      </c>
    </row>
    <row r="129" spans="2:11">
      <c r="B129" s="11">
        <v>900004</v>
      </c>
      <c r="C129" s="22" t="s">
        <v>100</v>
      </c>
      <c r="D129" s="33"/>
      <c r="E129" s="33"/>
      <c r="F129" s="33"/>
      <c r="G129" s="33"/>
      <c r="H129" s="33"/>
      <c r="I129" s="33"/>
      <c r="J129" s="33"/>
      <c r="K129" s="47">
        <f t="shared" si="6"/>
        <v>0</v>
      </c>
    </row>
    <row r="130" spans="2:11">
      <c r="B130" s="11">
        <v>1200002</v>
      </c>
      <c r="C130" s="22" t="s">
        <v>104</v>
      </c>
      <c r="D130" s="33"/>
      <c r="E130" s="33"/>
      <c r="F130" s="33"/>
      <c r="G130" s="33"/>
      <c r="H130" s="33"/>
      <c r="I130" s="33"/>
      <c r="J130" s="33"/>
      <c r="K130" s="47">
        <f t="shared" si="6"/>
        <v>0</v>
      </c>
    </row>
    <row r="131" spans="2:11">
      <c r="B131" s="11">
        <v>1200003</v>
      </c>
      <c r="C131" s="22" t="s">
        <v>105</v>
      </c>
      <c r="D131" s="33"/>
      <c r="E131" s="33"/>
      <c r="F131" s="33"/>
      <c r="G131" s="33"/>
      <c r="H131" s="33"/>
      <c r="I131" s="33"/>
      <c r="J131" s="33"/>
      <c r="K131" s="47">
        <f t="shared" si="6"/>
        <v>0</v>
      </c>
    </row>
    <row r="132" spans="2:11">
      <c r="B132" s="11">
        <v>1200004</v>
      </c>
      <c r="C132" s="22" t="s">
        <v>106</v>
      </c>
      <c r="D132" s="33"/>
      <c r="E132" s="33"/>
      <c r="F132" s="33"/>
      <c r="G132" s="33"/>
      <c r="H132" s="33"/>
      <c r="I132" s="33"/>
      <c r="J132" s="33"/>
      <c r="K132" s="47">
        <f t="shared" si="6"/>
        <v>0</v>
      </c>
    </row>
    <row r="133" spans="2:11">
      <c r="B133" s="11">
        <v>1200093</v>
      </c>
      <c r="C133" s="22" t="s">
        <v>91</v>
      </c>
      <c r="D133" s="33"/>
      <c r="E133" s="33"/>
      <c r="F133" s="33"/>
      <c r="G133" s="33"/>
      <c r="H133" s="33"/>
      <c r="I133" s="33"/>
      <c r="J133" s="33"/>
      <c r="K133" s="47">
        <f t="shared" si="6"/>
        <v>0</v>
      </c>
    </row>
    <row r="134" spans="2:11">
      <c r="B134" s="11">
        <v>1200092</v>
      </c>
      <c r="C134" s="20" t="s">
        <v>92</v>
      </c>
      <c r="D134" s="33"/>
      <c r="E134" s="33"/>
      <c r="F134" s="33"/>
      <c r="G134" s="33"/>
      <c r="H134" s="33"/>
      <c r="I134" s="33"/>
      <c r="J134" s="33"/>
      <c r="K134" s="47">
        <f t="shared" si="6"/>
        <v>0</v>
      </c>
    </row>
    <row r="135" spans="2:11">
      <c r="B135" s="23"/>
      <c r="C135" s="22" t="s">
        <v>128</v>
      </c>
      <c r="D135" s="33"/>
      <c r="E135" s="33"/>
      <c r="F135" s="33"/>
      <c r="G135" s="33"/>
      <c r="H135" s="33"/>
      <c r="I135" s="33"/>
      <c r="J135" s="33">
        <v>3</v>
      </c>
      <c r="K135" s="47">
        <f t="shared" si="6"/>
        <v>3</v>
      </c>
    </row>
    <row r="136" spans="2:11">
      <c r="B136" s="23"/>
      <c r="C136" s="22" t="s">
        <v>129</v>
      </c>
      <c r="D136" s="33"/>
      <c r="E136" s="33">
        <v>1</v>
      </c>
      <c r="F136" s="33"/>
      <c r="G136" s="33"/>
      <c r="H136" s="33"/>
      <c r="I136" s="33"/>
      <c r="J136" s="33">
        <v>3</v>
      </c>
      <c r="K136" s="47">
        <f t="shared" si="6"/>
        <v>4</v>
      </c>
    </row>
    <row r="137" spans="2:11">
      <c r="B137" s="23">
        <v>20052721</v>
      </c>
      <c r="C137" s="22" t="s">
        <v>143</v>
      </c>
      <c r="D137" s="33"/>
      <c r="E137" s="33"/>
      <c r="F137" s="33"/>
      <c r="G137" s="33"/>
      <c r="H137" s="33"/>
      <c r="I137" s="33"/>
      <c r="J137" s="33"/>
      <c r="K137" s="47">
        <f t="shared" si="6"/>
        <v>0</v>
      </c>
    </row>
    <row r="138" spans="2:11">
      <c r="C138" s="38"/>
      <c r="D138" s="44"/>
      <c r="E138" s="44"/>
      <c r="F138" s="44"/>
      <c r="G138" s="44"/>
      <c r="H138" s="44"/>
      <c r="I138" s="44"/>
      <c r="J138" s="44"/>
      <c r="K138" s="45"/>
    </row>
    <row r="139" spans="2:11">
      <c r="C139" s="38"/>
      <c r="D139" s="45">
        <f t="shared" ref="D139:I139" si="7">SUM(D114:D137,D102:D111,D90:D99,D79:D87,D69:D76,D7:D66)</f>
        <v>0</v>
      </c>
      <c r="E139" s="45">
        <f t="shared" si="7"/>
        <v>139</v>
      </c>
      <c r="F139" s="45">
        <f t="shared" si="7"/>
        <v>222</v>
      </c>
      <c r="G139" s="45">
        <f t="shared" si="7"/>
        <v>771</v>
      </c>
      <c r="H139" s="45">
        <f t="shared" si="7"/>
        <v>0</v>
      </c>
      <c r="I139" s="45">
        <f t="shared" si="7"/>
        <v>0</v>
      </c>
      <c r="J139" s="45"/>
      <c r="K139" s="45">
        <f>SUM(K114:K137,K102:K111,K90:K99,K79:K87,K69:K76,K7:K66)</f>
        <v>1140</v>
      </c>
    </row>
    <row r="140" spans="2:11">
      <c r="C140" s="25"/>
      <c r="D140" s="34"/>
      <c r="E140" s="63"/>
      <c r="F140" s="63"/>
      <c r="G140" s="29"/>
    </row>
    <row r="141" spans="2:11">
      <c r="B141" s="63" t="s">
        <v>108</v>
      </c>
      <c r="C141" s="63"/>
      <c r="D141" s="35"/>
      <c r="E141" s="62"/>
      <c r="F141" s="62"/>
      <c r="G141" s="30"/>
      <c r="H141" s="29"/>
      <c r="I141" s="63" t="s">
        <v>108</v>
      </c>
      <c r="J141" s="63"/>
      <c r="K141" s="63"/>
    </row>
    <row r="142" spans="2:11">
      <c r="B142" s="62" t="s">
        <v>109</v>
      </c>
      <c r="C142" s="62"/>
      <c r="D142" s="36"/>
      <c r="E142" s="36"/>
      <c r="F142" s="36"/>
      <c r="G142" s="36"/>
      <c r="H142" s="36"/>
      <c r="I142" s="62" t="s">
        <v>110</v>
      </c>
      <c r="J142" s="62"/>
      <c r="K142" s="62"/>
    </row>
    <row r="143" spans="2:11">
      <c r="B143" s="34"/>
      <c r="C143" s="34"/>
      <c r="D143" s="36"/>
      <c r="E143" s="36"/>
      <c r="F143" s="36"/>
      <c r="G143" s="36"/>
      <c r="H143" s="36"/>
      <c r="I143" s="34"/>
      <c r="J143" s="34"/>
      <c r="K143" s="37"/>
    </row>
    <row r="144" spans="2:11" ht="15">
      <c r="B144" s="34"/>
      <c r="C144" s="34"/>
      <c r="D144" s="34"/>
      <c r="E144" s="34"/>
      <c r="F144" s="34"/>
      <c r="G144" s="34"/>
      <c r="H144" s="34"/>
      <c r="I144" s="34"/>
      <c r="J144" s="34"/>
      <c r="K144" s="37"/>
    </row>
    <row r="145" spans="2:11" ht="15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5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5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5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>
      <c r="D149" s="34"/>
      <c r="E149" s="34"/>
      <c r="F149" s="34"/>
      <c r="G149" s="34"/>
      <c r="H149" s="34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</sheetData>
  <mergeCells count="15">
    <mergeCell ref="B78:K78"/>
    <mergeCell ref="B1:K1"/>
    <mergeCell ref="B2:C3"/>
    <mergeCell ref="E2:F3"/>
    <mergeCell ref="B6:K6"/>
    <mergeCell ref="B68:K68"/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topLeftCell="A95" zoomScale="60" zoomScaleNormal="60" workbookViewId="0">
      <selection activeCell="A101" sqref="A101:XFD112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7.5703125" style="26" customWidth="1"/>
  </cols>
  <sheetData>
    <row r="1" spans="2:11">
      <c r="B1" s="66" t="s">
        <v>154</v>
      </c>
      <c r="C1" s="66"/>
      <c r="D1" s="66"/>
      <c r="E1" s="66"/>
      <c r="F1" s="66"/>
      <c r="G1" s="66"/>
      <c r="H1" s="66"/>
      <c r="I1" s="66"/>
      <c r="J1" s="66"/>
      <c r="K1" s="66"/>
    </row>
    <row r="2" spans="2:11">
      <c r="B2" s="67"/>
      <c r="C2" s="67"/>
      <c r="D2" s="48"/>
      <c r="E2" s="72"/>
      <c r="F2" s="72"/>
      <c r="G2" s="49"/>
      <c r="H2" s="49"/>
      <c r="I2" s="49"/>
      <c r="J2" s="49"/>
      <c r="K2" s="50" t="s">
        <v>0</v>
      </c>
    </row>
    <row r="3" spans="2:11">
      <c r="B3" s="67"/>
      <c r="C3" s="67"/>
      <c r="D3" s="48"/>
      <c r="E3" s="72"/>
      <c r="F3" s="72"/>
      <c r="G3" s="49"/>
      <c r="H3" s="49"/>
      <c r="I3" s="49"/>
      <c r="J3" s="49"/>
      <c r="K3" s="50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9" t="s">
        <v>150</v>
      </c>
      <c r="K4" s="50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51"/>
    </row>
    <row r="6" spans="2:11" ht="21">
      <c r="B6" s="71" t="s">
        <v>11</v>
      </c>
      <c r="C6" s="71"/>
      <c r="D6" s="71"/>
      <c r="E6" s="71"/>
      <c r="F6" s="71"/>
      <c r="G6" s="71"/>
      <c r="H6" s="71"/>
      <c r="I6" s="71"/>
      <c r="J6" s="71"/>
      <c r="K6" s="71"/>
    </row>
    <row r="7" spans="2:11">
      <c r="B7" s="11">
        <v>1111002</v>
      </c>
      <c r="C7" s="15" t="s">
        <v>111</v>
      </c>
      <c r="D7" s="33"/>
      <c r="E7" s="33">
        <v>20</v>
      </c>
      <c r="F7" s="33">
        <v>48</v>
      </c>
      <c r="G7" s="33">
        <v>1</v>
      </c>
      <c r="H7" s="33"/>
      <c r="I7" s="33"/>
      <c r="J7" s="33"/>
      <c r="K7" s="47">
        <f>SUM(D7:J7)</f>
        <v>69</v>
      </c>
    </row>
    <row r="8" spans="2:11" hidden="1">
      <c r="B8" s="11"/>
      <c r="C8" s="15" t="s">
        <v>135</v>
      </c>
      <c r="D8" s="33"/>
      <c r="E8" s="33"/>
      <c r="F8" s="33"/>
      <c r="G8" s="33"/>
      <c r="H8" s="33"/>
      <c r="I8" s="33"/>
      <c r="J8" s="33"/>
      <c r="K8" s="47">
        <f t="shared" ref="K8:K66" si="0">SUM(D8:J8)</f>
        <v>0</v>
      </c>
    </row>
    <row r="9" spans="2:11" hidden="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33"/>
      <c r="K9" s="47">
        <f t="shared" si="0"/>
        <v>0</v>
      </c>
    </row>
    <row r="10" spans="2:11" hidden="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33"/>
      <c r="K10" s="47">
        <f t="shared" si="0"/>
        <v>0</v>
      </c>
    </row>
    <row r="11" spans="2:11" hidden="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33"/>
      <c r="K11" s="47">
        <f t="shared" si="0"/>
        <v>0</v>
      </c>
    </row>
    <row r="12" spans="2:11" hidden="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33"/>
      <c r="K12" s="47">
        <f t="shared" si="0"/>
        <v>0</v>
      </c>
    </row>
    <row r="13" spans="2:11" hidden="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33"/>
      <c r="K13" s="47">
        <f t="shared" si="0"/>
        <v>0</v>
      </c>
    </row>
    <row r="14" spans="2:11" hidden="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33"/>
      <c r="K14" s="47">
        <f t="shared" si="0"/>
        <v>0</v>
      </c>
    </row>
    <row r="15" spans="2:11" hidden="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33"/>
      <c r="K15" s="47">
        <f t="shared" si="0"/>
        <v>0</v>
      </c>
    </row>
    <row r="16" spans="2:11" hidden="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33"/>
      <c r="K16" s="47">
        <f t="shared" si="0"/>
        <v>0</v>
      </c>
    </row>
    <row r="17" spans="2:11" hidden="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33"/>
      <c r="K17" s="47">
        <f t="shared" si="0"/>
        <v>0</v>
      </c>
    </row>
    <row r="18" spans="2:11" hidden="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33"/>
      <c r="K18" s="47">
        <f t="shared" si="0"/>
        <v>0</v>
      </c>
    </row>
    <row r="19" spans="2:11" hidden="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33"/>
      <c r="K19" s="47">
        <f t="shared" si="0"/>
        <v>0</v>
      </c>
    </row>
    <row r="20" spans="2:11" hidden="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33"/>
      <c r="K20" s="47">
        <f t="shared" si="0"/>
        <v>0</v>
      </c>
    </row>
    <row r="21" spans="2:11" hidden="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33"/>
      <c r="K21" s="47">
        <f t="shared" si="0"/>
        <v>0</v>
      </c>
    </row>
    <row r="22" spans="2:11" hidden="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33"/>
      <c r="K22" s="47">
        <f t="shared" si="0"/>
        <v>0</v>
      </c>
    </row>
    <row r="23" spans="2:11" hidden="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33"/>
      <c r="K23" s="47">
        <f t="shared" si="0"/>
        <v>0</v>
      </c>
    </row>
    <row r="24" spans="2:11" hidden="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33"/>
      <c r="K24" s="47">
        <f t="shared" si="0"/>
        <v>0</v>
      </c>
    </row>
    <row r="25" spans="2:11">
      <c r="B25" s="11">
        <v>1111056</v>
      </c>
      <c r="C25" s="15" t="s">
        <v>28</v>
      </c>
      <c r="D25" s="33"/>
      <c r="E25" s="33">
        <v>1</v>
      </c>
      <c r="F25" s="33">
        <v>3</v>
      </c>
      <c r="G25" s="33">
        <v>1</v>
      </c>
      <c r="H25" s="33"/>
      <c r="I25" s="33"/>
      <c r="J25" s="33"/>
      <c r="K25" s="47">
        <f t="shared" si="0"/>
        <v>5</v>
      </c>
    </row>
    <row r="26" spans="2:11">
      <c r="B26" s="11">
        <v>1004055</v>
      </c>
      <c r="C26" s="15" t="s">
        <v>112</v>
      </c>
      <c r="D26" s="33"/>
      <c r="E26" s="33">
        <v>18</v>
      </c>
      <c r="F26" s="33"/>
      <c r="G26" s="33">
        <v>69</v>
      </c>
      <c r="H26" s="33"/>
      <c r="I26" s="33"/>
      <c r="J26" s="33"/>
      <c r="K26" s="47">
        <f t="shared" si="0"/>
        <v>87</v>
      </c>
    </row>
    <row r="27" spans="2:11" hidden="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33"/>
      <c r="K27" s="47">
        <f t="shared" si="0"/>
        <v>0</v>
      </c>
    </row>
    <row r="28" spans="2:11" hidden="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33"/>
      <c r="K28" s="47">
        <f t="shared" si="0"/>
        <v>0</v>
      </c>
    </row>
    <row r="29" spans="2:11" hidden="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33"/>
      <c r="K29" s="47">
        <f t="shared" si="0"/>
        <v>0</v>
      </c>
    </row>
    <row r="30" spans="2:11" hidden="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33"/>
      <c r="K30" s="47">
        <f t="shared" si="0"/>
        <v>0</v>
      </c>
    </row>
    <row r="31" spans="2:11" hidden="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33"/>
      <c r="K31" s="47">
        <f t="shared" si="0"/>
        <v>0</v>
      </c>
    </row>
    <row r="32" spans="2:11" hidden="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33"/>
      <c r="K32" s="47">
        <f t="shared" si="0"/>
        <v>0</v>
      </c>
    </row>
    <row r="33" spans="2:11" hidden="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33"/>
      <c r="K33" s="47">
        <f t="shared" si="0"/>
        <v>0</v>
      </c>
    </row>
    <row r="34" spans="2:11" hidden="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33"/>
      <c r="K34" s="47">
        <f t="shared" si="0"/>
        <v>0</v>
      </c>
    </row>
    <row r="35" spans="2:11" hidden="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33"/>
      <c r="K35" s="47">
        <f t="shared" si="0"/>
        <v>0</v>
      </c>
    </row>
    <row r="36" spans="2:11" hidden="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33"/>
      <c r="K36" s="47">
        <f t="shared" si="0"/>
        <v>0</v>
      </c>
    </row>
    <row r="37" spans="2:11" hidden="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33"/>
      <c r="K37" s="47">
        <f t="shared" si="0"/>
        <v>0</v>
      </c>
    </row>
    <row r="38" spans="2:11" hidden="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33"/>
      <c r="K38" s="47">
        <f t="shared" si="0"/>
        <v>0</v>
      </c>
    </row>
    <row r="39" spans="2:11" hidden="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33"/>
      <c r="K39" s="47">
        <f t="shared" si="0"/>
        <v>0</v>
      </c>
    </row>
    <row r="40" spans="2:11">
      <c r="B40" s="11">
        <v>1111057</v>
      </c>
      <c r="C40" s="15" t="s">
        <v>30</v>
      </c>
      <c r="D40" s="33">
        <v>16</v>
      </c>
      <c r="E40" s="33"/>
      <c r="F40" s="33">
        <v>1</v>
      </c>
      <c r="G40" s="33">
        <v>1</v>
      </c>
      <c r="H40" s="33"/>
      <c r="I40" s="33"/>
      <c r="J40" s="33"/>
      <c r="K40" s="47">
        <f t="shared" si="0"/>
        <v>18</v>
      </c>
    </row>
    <row r="41" spans="2:11">
      <c r="B41" s="11">
        <v>1111058</v>
      </c>
      <c r="C41" s="15" t="s">
        <v>31</v>
      </c>
      <c r="D41" s="33">
        <v>16</v>
      </c>
      <c r="E41" s="33"/>
      <c r="F41" s="33"/>
      <c r="G41" s="33"/>
      <c r="H41" s="33"/>
      <c r="I41" s="33"/>
      <c r="J41" s="33"/>
      <c r="K41" s="47">
        <f t="shared" si="0"/>
        <v>16</v>
      </c>
    </row>
    <row r="42" spans="2:11">
      <c r="B42" s="11">
        <v>1111059</v>
      </c>
      <c r="C42" s="15" t="s">
        <v>32</v>
      </c>
      <c r="D42" s="33">
        <v>16</v>
      </c>
      <c r="E42" s="33"/>
      <c r="F42" s="33"/>
      <c r="G42" s="33"/>
      <c r="H42" s="33"/>
      <c r="I42" s="33"/>
      <c r="J42" s="33"/>
      <c r="K42" s="47">
        <f t="shared" si="0"/>
        <v>16</v>
      </c>
    </row>
    <row r="43" spans="2:11">
      <c r="B43" s="11">
        <v>1111060</v>
      </c>
      <c r="C43" s="15" t="s">
        <v>33</v>
      </c>
      <c r="D43" s="33">
        <v>16</v>
      </c>
      <c r="E43" s="33"/>
      <c r="F43" s="33"/>
      <c r="G43" s="33"/>
      <c r="H43" s="33"/>
      <c r="I43" s="33"/>
      <c r="J43" s="33"/>
      <c r="K43" s="47">
        <f t="shared" si="0"/>
        <v>16</v>
      </c>
    </row>
    <row r="44" spans="2:11">
      <c r="B44" s="11">
        <v>1111061</v>
      </c>
      <c r="C44" s="15" t="s">
        <v>34</v>
      </c>
      <c r="D44" s="33">
        <v>16</v>
      </c>
      <c r="E44" s="33"/>
      <c r="F44" s="33"/>
      <c r="G44" s="33"/>
      <c r="H44" s="33"/>
      <c r="I44" s="33"/>
      <c r="J44" s="33"/>
      <c r="K44" s="47">
        <f t="shared" si="0"/>
        <v>16</v>
      </c>
    </row>
    <row r="45" spans="2:11">
      <c r="B45" s="11">
        <v>1111062</v>
      </c>
      <c r="C45" s="15" t="s">
        <v>35</v>
      </c>
      <c r="D45" s="33">
        <v>15</v>
      </c>
      <c r="E45" s="33"/>
      <c r="F45" s="33"/>
      <c r="G45" s="33"/>
      <c r="H45" s="33"/>
      <c r="I45" s="33"/>
      <c r="J45" s="33"/>
      <c r="K45" s="47">
        <f t="shared" si="0"/>
        <v>15</v>
      </c>
    </row>
    <row r="46" spans="2:11">
      <c r="B46" s="11">
        <v>1111063</v>
      </c>
      <c r="C46" s="15" t="s">
        <v>36</v>
      </c>
      <c r="D46" s="33">
        <v>15</v>
      </c>
      <c r="E46" s="33"/>
      <c r="F46" s="33"/>
      <c r="G46" s="33"/>
      <c r="H46" s="33"/>
      <c r="I46" s="33"/>
      <c r="J46" s="33"/>
      <c r="K46" s="47">
        <f t="shared" si="0"/>
        <v>15</v>
      </c>
    </row>
    <row r="47" spans="2:11">
      <c r="B47" s="11">
        <v>1111064</v>
      </c>
      <c r="C47" s="15" t="s">
        <v>37</v>
      </c>
      <c r="D47" s="33">
        <v>15</v>
      </c>
      <c r="E47" s="33"/>
      <c r="F47" s="33"/>
      <c r="G47" s="33"/>
      <c r="H47" s="33"/>
      <c r="I47" s="33"/>
      <c r="J47" s="33"/>
      <c r="K47" s="47">
        <f t="shared" si="0"/>
        <v>15</v>
      </c>
    </row>
    <row r="48" spans="2:11">
      <c r="B48" s="11">
        <v>1111065</v>
      </c>
      <c r="C48" s="15" t="s">
        <v>38</v>
      </c>
      <c r="D48" s="33">
        <v>15</v>
      </c>
      <c r="E48" s="33"/>
      <c r="F48" s="33"/>
      <c r="G48" s="33"/>
      <c r="H48" s="33"/>
      <c r="I48" s="33"/>
      <c r="J48" s="33"/>
      <c r="K48" s="47">
        <f t="shared" si="0"/>
        <v>15</v>
      </c>
    </row>
    <row r="49" spans="2:11">
      <c r="B49" s="11">
        <v>1111066</v>
      </c>
      <c r="C49" s="15" t="s">
        <v>39</v>
      </c>
      <c r="D49" s="33">
        <v>15</v>
      </c>
      <c r="E49" s="33"/>
      <c r="F49" s="33"/>
      <c r="G49" s="33"/>
      <c r="H49" s="33"/>
      <c r="I49" s="33"/>
      <c r="J49" s="33"/>
      <c r="K49" s="47">
        <f t="shared" si="0"/>
        <v>15</v>
      </c>
    </row>
    <row r="50" spans="2:11">
      <c r="B50" s="11">
        <v>1111067</v>
      </c>
      <c r="C50" s="15" t="s">
        <v>40</v>
      </c>
      <c r="D50" s="33">
        <v>15</v>
      </c>
      <c r="E50" s="33"/>
      <c r="F50" s="33"/>
      <c r="G50" s="33"/>
      <c r="H50" s="33"/>
      <c r="I50" s="33"/>
      <c r="J50" s="33"/>
      <c r="K50" s="47">
        <f t="shared" si="0"/>
        <v>15</v>
      </c>
    </row>
    <row r="51" spans="2:11">
      <c r="B51" s="11">
        <v>1111068</v>
      </c>
      <c r="C51" s="15" t="s">
        <v>41</v>
      </c>
      <c r="D51" s="33">
        <v>15</v>
      </c>
      <c r="E51" s="33"/>
      <c r="F51" s="33"/>
      <c r="G51" s="33"/>
      <c r="H51" s="33"/>
      <c r="I51" s="33"/>
      <c r="J51" s="33"/>
      <c r="K51" s="47">
        <f t="shared" si="0"/>
        <v>15</v>
      </c>
    </row>
    <row r="52" spans="2:11">
      <c r="B52" s="11">
        <v>1111069</v>
      </c>
      <c r="C52" s="15" t="s">
        <v>42</v>
      </c>
      <c r="D52" s="33">
        <v>15</v>
      </c>
      <c r="E52" s="33"/>
      <c r="F52" s="33"/>
      <c r="G52" s="33"/>
      <c r="H52" s="33"/>
      <c r="I52" s="33"/>
      <c r="J52" s="33"/>
      <c r="K52" s="47">
        <f t="shared" si="0"/>
        <v>15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33"/>
      <c r="K53" s="47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33"/>
      <c r="K54" s="47">
        <f t="shared" si="0"/>
        <v>0</v>
      </c>
    </row>
    <row r="55" spans="2:11" hidden="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33"/>
      <c r="K55" s="47">
        <f t="shared" si="0"/>
        <v>0</v>
      </c>
    </row>
    <row r="56" spans="2:11">
      <c r="B56" s="11">
        <v>1111074</v>
      </c>
      <c r="C56" s="15" t="s">
        <v>44</v>
      </c>
      <c r="D56" s="33">
        <v>3</v>
      </c>
      <c r="E56" s="33">
        <v>1</v>
      </c>
      <c r="F56" s="33"/>
      <c r="G56" s="33">
        <v>1</v>
      </c>
      <c r="H56" s="33"/>
      <c r="I56" s="33"/>
      <c r="J56" s="33"/>
      <c r="K56" s="47">
        <f t="shared" si="0"/>
        <v>5</v>
      </c>
    </row>
    <row r="57" spans="2:11">
      <c r="B57" s="11">
        <v>1111075</v>
      </c>
      <c r="C57" s="15" t="s">
        <v>45</v>
      </c>
      <c r="D57" s="33">
        <v>3</v>
      </c>
      <c r="E57" s="33">
        <v>1</v>
      </c>
      <c r="F57" s="33"/>
      <c r="G57" s="33">
        <v>1</v>
      </c>
      <c r="H57" s="33"/>
      <c r="I57" s="33"/>
      <c r="J57" s="33"/>
      <c r="K57" s="47">
        <f t="shared" si="0"/>
        <v>5</v>
      </c>
    </row>
    <row r="58" spans="2:11">
      <c r="B58" s="11">
        <v>1111076</v>
      </c>
      <c r="C58" s="15" t="s">
        <v>46</v>
      </c>
      <c r="D58" s="33">
        <v>3</v>
      </c>
      <c r="E58" s="33">
        <v>1</v>
      </c>
      <c r="F58" s="33"/>
      <c r="G58" s="33">
        <v>1</v>
      </c>
      <c r="H58" s="33"/>
      <c r="I58" s="33"/>
      <c r="J58" s="33"/>
      <c r="K58" s="47">
        <f t="shared" si="0"/>
        <v>5</v>
      </c>
    </row>
    <row r="59" spans="2:11">
      <c r="B59" s="11">
        <v>1111077</v>
      </c>
      <c r="C59" s="15" t="s">
        <v>47</v>
      </c>
      <c r="D59" s="33">
        <v>3</v>
      </c>
      <c r="E59" s="33">
        <v>1</v>
      </c>
      <c r="F59" s="33"/>
      <c r="G59" s="33">
        <v>1</v>
      </c>
      <c r="H59" s="33"/>
      <c r="I59" s="33"/>
      <c r="J59" s="33"/>
      <c r="K59" s="47">
        <f t="shared" si="0"/>
        <v>5</v>
      </c>
    </row>
    <row r="60" spans="2:11">
      <c r="B60" s="11">
        <v>1111078</v>
      </c>
      <c r="C60" s="15" t="s">
        <v>48</v>
      </c>
      <c r="D60" s="33">
        <v>3</v>
      </c>
      <c r="E60" s="33">
        <v>1</v>
      </c>
      <c r="F60" s="33"/>
      <c r="G60" s="33">
        <v>1</v>
      </c>
      <c r="H60" s="33"/>
      <c r="I60" s="33"/>
      <c r="J60" s="33"/>
      <c r="K60" s="47">
        <f t="shared" si="0"/>
        <v>5</v>
      </c>
    </row>
    <row r="61" spans="2:11">
      <c r="B61" s="11">
        <v>1111079</v>
      </c>
      <c r="C61" s="15" t="s">
        <v>49</v>
      </c>
      <c r="D61" s="33">
        <v>3</v>
      </c>
      <c r="E61" s="33">
        <v>1</v>
      </c>
      <c r="F61" s="33"/>
      <c r="G61" s="33">
        <v>1</v>
      </c>
      <c r="H61" s="33"/>
      <c r="I61" s="33"/>
      <c r="J61" s="33"/>
      <c r="K61" s="47">
        <f t="shared" si="0"/>
        <v>5</v>
      </c>
    </row>
    <row r="62" spans="2:11">
      <c r="B62" s="11">
        <v>1111080</v>
      </c>
      <c r="C62" s="15" t="s">
        <v>50</v>
      </c>
      <c r="D62" s="33">
        <v>3</v>
      </c>
      <c r="E62" s="33">
        <v>1</v>
      </c>
      <c r="F62" s="33"/>
      <c r="G62" s="33">
        <v>1</v>
      </c>
      <c r="H62" s="33"/>
      <c r="I62" s="33"/>
      <c r="J62" s="33"/>
      <c r="K62" s="47">
        <f t="shared" si="0"/>
        <v>5</v>
      </c>
    </row>
    <row r="63" spans="2:11">
      <c r="B63" s="11">
        <v>1111081</v>
      </c>
      <c r="C63" s="15" t="s">
        <v>51</v>
      </c>
      <c r="D63" s="33">
        <v>3</v>
      </c>
      <c r="E63" s="33">
        <v>1</v>
      </c>
      <c r="F63" s="33"/>
      <c r="G63" s="33">
        <v>1</v>
      </c>
      <c r="H63" s="33"/>
      <c r="I63" s="33"/>
      <c r="J63" s="33"/>
      <c r="K63" s="47">
        <f t="shared" si="0"/>
        <v>5</v>
      </c>
    </row>
    <row r="64" spans="2:11">
      <c r="B64" s="11">
        <v>1111082</v>
      </c>
      <c r="C64" s="15" t="s">
        <v>52</v>
      </c>
      <c r="D64" s="33">
        <v>3</v>
      </c>
      <c r="E64" s="33">
        <v>1</v>
      </c>
      <c r="F64" s="33"/>
      <c r="G64" s="33">
        <v>1</v>
      </c>
      <c r="H64" s="33"/>
      <c r="I64" s="33"/>
      <c r="J64" s="33"/>
      <c r="K64" s="47">
        <f t="shared" si="0"/>
        <v>5</v>
      </c>
    </row>
    <row r="65" spans="2:11">
      <c r="B65" s="11">
        <v>1111083</v>
      </c>
      <c r="C65" s="15" t="s">
        <v>53</v>
      </c>
      <c r="D65" s="33">
        <v>3</v>
      </c>
      <c r="E65" s="33">
        <v>1</v>
      </c>
      <c r="F65" s="33"/>
      <c r="G65" s="33">
        <v>1</v>
      </c>
      <c r="H65" s="33"/>
      <c r="I65" s="33"/>
      <c r="J65" s="33"/>
      <c r="K65" s="47">
        <f t="shared" si="0"/>
        <v>5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33"/>
      <c r="K66" s="47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7">
        <f t="shared" ref="K67" si="1">SUM(D67:I67)</f>
        <v>0</v>
      </c>
    </row>
    <row r="68" spans="2:11" ht="21">
      <c r="B68" s="71" t="s">
        <v>55</v>
      </c>
      <c r="C68" s="71"/>
      <c r="D68" s="71"/>
      <c r="E68" s="71"/>
      <c r="F68" s="71"/>
      <c r="G68" s="71"/>
      <c r="H68" s="71"/>
      <c r="I68" s="71"/>
      <c r="J68" s="71"/>
      <c r="K68" s="71"/>
    </row>
    <row r="69" spans="2:11">
      <c r="B69" s="11">
        <v>1111009</v>
      </c>
      <c r="C69" s="20" t="s">
        <v>56</v>
      </c>
      <c r="D69" s="33">
        <v>3</v>
      </c>
      <c r="E69" s="33"/>
      <c r="F69" s="33">
        <v>2</v>
      </c>
      <c r="G69" s="33"/>
      <c r="H69" s="33"/>
      <c r="I69" s="33"/>
      <c r="J69" s="33"/>
      <c r="K69" s="47">
        <f>SUM(D69:J69)</f>
        <v>5</v>
      </c>
    </row>
    <row r="70" spans="2:1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33"/>
      <c r="K70" s="47">
        <f t="shared" ref="K70:K76" si="2">SUM(D70:J70)</f>
        <v>0</v>
      </c>
    </row>
    <row r="71" spans="2:1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33"/>
      <c r="K71" s="47">
        <f t="shared" si="2"/>
        <v>0</v>
      </c>
    </row>
    <row r="72" spans="2:1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33"/>
      <c r="K72" s="47">
        <f t="shared" si="2"/>
        <v>0</v>
      </c>
    </row>
    <row r="73" spans="2:1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33"/>
      <c r="K73" s="47">
        <f t="shared" si="2"/>
        <v>0</v>
      </c>
    </row>
    <row r="74" spans="2:1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33"/>
      <c r="K74" s="47">
        <f t="shared" si="2"/>
        <v>0</v>
      </c>
    </row>
    <row r="75" spans="2:1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33"/>
      <c r="K75" s="47">
        <f t="shared" si="2"/>
        <v>0</v>
      </c>
    </row>
    <row r="76" spans="2:1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33"/>
      <c r="K76" s="47">
        <f t="shared" si="2"/>
        <v>0</v>
      </c>
    </row>
    <row r="77" spans="2:11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3"/>
    </row>
    <row r="78" spans="2:11" ht="21">
      <c r="B78" s="71" t="s">
        <v>64</v>
      </c>
      <c r="C78" s="71"/>
      <c r="D78" s="71"/>
      <c r="E78" s="71"/>
      <c r="F78" s="71"/>
      <c r="G78" s="71"/>
      <c r="H78" s="71"/>
      <c r="I78" s="71"/>
      <c r="J78" s="71"/>
      <c r="K78" s="71"/>
    </row>
    <row r="79" spans="2:1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33"/>
      <c r="K79" s="47">
        <f>SUM(D79:J79)</f>
        <v>0</v>
      </c>
    </row>
    <row r="80" spans="2:1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33"/>
      <c r="K80" s="47">
        <f t="shared" ref="K80:K87" si="3">SUM(D80:J80)</f>
        <v>0</v>
      </c>
    </row>
    <row r="81" spans="2:1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33"/>
      <c r="K81" s="47">
        <f t="shared" si="3"/>
        <v>0</v>
      </c>
    </row>
    <row r="82" spans="2:1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33"/>
      <c r="K82" s="47">
        <f t="shared" si="3"/>
        <v>0</v>
      </c>
    </row>
    <row r="83" spans="2:1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33"/>
      <c r="K83" s="47">
        <f t="shared" si="3"/>
        <v>0</v>
      </c>
    </row>
    <row r="84" spans="2:1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33"/>
      <c r="K84" s="47">
        <f t="shared" si="3"/>
        <v>0</v>
      </c>
    </row>
    <row r="85" spans="2:1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33"/>
      <c r="K85" s="47">
        <f t="shared" si="3"/>
        <v>0</v>
      </c>
    </row>
    <row r="86" spans="2:1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33"/>
      <c r="K86" s="47">
        <f t="shared" si="3"/>
        <v>0</v>
      </c>
    </row>
    <row r="87" spans="2:11">
      <c r="B87" s="11">
        <v>1111008</v>
      </c>
      <c r="C87" s="20" t="s">
        <v>73</v>
      </c>
      <c r="D87" s="33"/>
      <c r="E87" s="33">
        <v>3</v>
      </c>
      <c r="F87" s="33"/>
      <c r="G87" s="33">
        <v>48</v>
      </c>
      <c r="H87" s="33"/>
      <c r="I87" s="33"/>
      <c r="J87" s="33"/>
      <c r="K87" s="47">
        <f t="shared" si="3"/>
        <v>51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3"/>
    </row>
    <row r="89" spans="2:11" ht="21">
      <c r="B89" s="71" t="s">
        <v>74</v>
      </c>
      <c r="C89" s="71"/>
      <c r="D89" s="71"/>
      <c r="E89" s="71"/>
      <c r="F89" s="71"/>
      <c r="G89" s="71"/>
      <c r="H89" s="71"/>
      <c r="I89" s="71"/>
      <c r="J89" s="71"/>
      <c r="K89" s="71"/>
    </row>
    <row r="90" spans="2:11">
      <c r="B90" s="11">
        <v>1112009</v>
      </c>
      <c r="C90" s="20" t="s">
        <v>75</v>
      </c>
      <c r="D90" s="33"/>
      <c r="E90" s="33">
        <v>3</v>
      </c>
      <c r="F90" s="33">
        <v>1</v>
      </c>
      <c r="G90" s="33">
        <v>17</v>
      </c>
      <c r="H90" s="33"/>
      <c r="I90" s="33"/>
      <c r="J90" s="33"/>
      <c r="K90" s="47">
        <f>SUM(D90:J90)</f>
        <v>21</v>
      </c>
    </row>
    <row r="91" spans="2:11">
      <c r="B91" s="11">
        <v>1112011</v>
      </c>
      <c r="C91" s="20" t="s">
        <v>76</v>
      </c>
      <c r="D91" s="33">
        <v>3</v>
      </c>
      <c r="E91" s="33">
        <v>3</v>
      </c>
      <c r="F91" s="33">
        <v>14</v>
      </c>
      <c r="G91" s="33">
        <v>17</v>
      </c>
      <c r="H91" s="33"/>
      <c r="I91" s="33"/>
      <c r="J91" s="33"/>
      <c r="K91" s="47">
        <f t="shared" ref="K91:K99" si="4">SUM(D91:J91)</f>
        <v>37</v>
      </c>
    </row>
    <row r="92" spans="2:11">
      <c r="B92" s="11">
        <v>1112003</v>
      </c>
      <c r="C92" s="20" t="s">
        <v>77</v>
      </c>
      <c r="D92" s="33">
        <v>3</v>
      </c>
      <c r="E92" s="33"/>
      <c r="F92" s="33"/>
      <c r="G92" s="33">
        <v>2</v>
      </c>
      <c r="H92" s="33"/>
      <c r="I92" s="33"/>
      <c r="J92" s="33"/>
      <c r="K92" s="47">
        <f t="shared" si="4"/>
        <v>5</v>
      </c>
    </row>
    <row r="93" spans="2:11">
      <c r="B93" s="11">
        <v>1112005</v>
      </c>
      <c r="C93" s="20" t="s">
        <v>78</v>
      </c>
      <c r="D93" s="33">
        <v>2</v>
      </c>
      <c r="E93" s="33"/>
      <c r="F93" s="33"/>
      <c r="G93" s="33"/>
      <c r="H93" s="33"/>
      <c r="I93" s="33"/>
      <c r="J93" s="33"/>
      <c r="K93" s="47">
        <f t="shared" si="4"/>
        <v>2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33"/>
      <c r="K94" s="47">
        <f t="shared" si="4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33"/>
      <c r="K95" s="47">
        <f t="shared" si="4"/>
        <v>0</v>
      </c>
    </row>
    <row r="96" spans="2:11">
      <c r="B96" s="11">
        <v>1112017</v>
      </c>
      <c r="C96" s="20" t="s">
        <v>81</v>
      </c>
      <c r="D96" s="33">
        <v>2</v>
      </c>
      <c r="E96" s="33"/>
      <c r="F96" s="33"/>
      <c r="G96" s="33">
        <v>2</v>
      </c>
      <c r="H96" s="33"/>
      <c r="I96" s="33"/>
      <c r="J96" s="33"/>
      <c r="K96" s="47">
        <f t="shared" si="4"/>
        <v>4</v>
      </c>
    </row>
    <row r="97" spans="2:11">
      <c r="B97" s="11">
        <v>1112015</v>
      </c>
      <c r="C97" s="20" t="s">
        <v>82</v>
      </c>
      <c r="D97" s="33"/>
      <c r="E97" s="33"/>
      <c r="F97" s="33"/>
      <c r="G97" s="33">
        <v>2</v>
      </c>
      <c r="H97" s="33"/>
      <c r="I97" s="33"/>
      <c r="J97" s="33"/>
      <c r="K97" s="47">
        <f t="shared" si="4"/>
        <v>2</v>
      </c>
    </row>
    <row r="98" spans="2:11">
      <c r="B98" s="11">
        <v>1112013</v>
      </c>
      <c r="C98" s="20" t="s">
        <v>83</v>
      </c>
      <c r="D98" s="33">
        <v>2</v>
      </c>
      <c r="E98" s="33">
        <v>3</v>
      </c>
      <c r="F98" s="33">
        <v>1</v>
      </c>
      <c r="G98" s="33">
        <v>17</v>
      </c>
      <c r="H98" s="33"/>
      <c r="I98" s="33"/>
      <c r="J98" s="33"/>
      <c r="K98" s="47">
        <f t="shared" si="4"/>
        <v>23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33"/>
      <c r="K99" s="47">
        <f t="shared" si="4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7"/>
    </row>
    <row r="101" spans="2:11" ht="21" hidden="1">
      <c r="B101" s="71" t="s">
        <v>85</v>
      </c>
      <c r="C101" s="71"/>
      <c r="D101" s="71"/>
      <c r="E101" s="71"/>
      <c r="F101" s="71"/>
      <c r="G101" s="71"/>
      <c r="H101" s="71"/>
      <c r="I101" s="71"/>
      <c r="J101" s="71"/>
      <c r="K101" s="71"/>
    </row>
    <row r="102" spans="2:11" hidden="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33"/>
      <c r="K102" s="47">
        <f>SUM(D102:H102)</f>
        <v>0</v>
      </c>
    </row>
    <row r="103" spans="2:11" hidden="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33"/>
      <c r="K103" s="47">
        <f t="shared" ref="K103:K111" si="5">SUM(D103:H103)</f>
        <v>0</v>
      </c>
    </row>
    <row r="104" spans="2:11" hidden="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33"/>
      <c r="K104" s="47">
        <f t="shared" si="5"/>
        <v>0</v>
      </c>
    </row>
    <row r="105" spans="2:11" hidden="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33"/>
      <c r="K105" s="47">
        <f t="shared" si="5"/>
        <v>0</v>
      </c>
    </row>
    <row r="106" spans="2:11" hidden="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33"/>
      <c r="K106" s="47">
        <f t="shared" si="5"/>
        <v>0</v>
      </c>
    </row>
    <row r="107" spans="2:11" hidden="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33"/>
      <c r="K107" s="47">
        <f t="shared" si="5"/>
        <v>0</v>
      </c>
    </row>
    <row r="108" spans="2:11" hidden="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33"/>
      <c r="K108" s="47">
        <f t="shared" si="5"/>
        <v>0</v>
      </c>
    </row>
    <row r="109" spans="2:11" hidden="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33"/>
      <c r="K109" s="47">
        <f t="shared" si="5"/>
        <v>0</v>
      </c>
    </row>
    <row r="110" spans="2:11" hidden="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33"/>
      <c r="K110" s="47">
        <f t="shared" si="5"/>
        <v>0</v>
      </c>
    </row>
    <row r="111" spans="2:11" hidden="1">
      <c r="B111" s="11"/>
      <c r="C111" s="20" t="s">
        <v>84</v>
      </c>
      <c r="D111" s="33"/>
      <c r="E111" s="33"/>
      <c r="F111" s="33"/>
      <c r="G111" s="33"/>
      <c r="H111" s="33"/>
      <c r="I111" s="33"/>
      <c r="J111" s="33"/>
      <c r="K111" s="47">
        <f t="shared" si="5"/>
        <v>0</v>
      </c>
    </row>
    <row r="112" spans="2:11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52">
        <f>SUM(K102:K110)</f>
        <v>0</v>
      </c>
    </row>
    <row r="113" spans="2:11" ht="21">
      <c r="B113" s="71" t="s">
        <v>86</v>
      </c>
      <c r="C113" s="71"/>
      <c r="D113" s="71"/>
      <c r="E113" s="71"/>
      <c r="F113" s="71"/>
      <c r="G113" s="71"/>
      <c r="H113" s="71"/>
      <c r="I113" s="71"/>
      <c r="J113" s="71"/>
      <c r="K113" s="71"/>
    </row>
    <row r="114" spans="2:1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33"/>
      <c r="K114" s="47">
        <f>SUM(D114:J114)</f>
        <v>0</v>
      </c>
    </row>
    <row r="115" spans="2:1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33"/>
      <c r="K115" s="47">
        <f t="shared" ref="K115:K137" si="6">SUM(D115:J115)</f>
        <v>0</v>
      </c>
    </row>
    <row r="116" spans="2:1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33"/>
      <c r="K116" s="47">
        <f t="shared" si="6"/>
        <v>0</v>
      </c>
    </row>
    <row r="117" spans="2:1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33"/>
      <c r="K117" s="47">
        <f t="shared" si="6"/>
        <v>0</v>
      </c>
    </row>
    <row r="118" spans="2:11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33"/>
      <c r="K118" s="47">
        <f t="shared" si="6"/>
        <v>0</v>
      </c>
    </row>
    <row r="119" spans="2:11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33"/>
      <c r="K119" s="47">
        <f t="shared" si="6"/>
        <v>0</v>
      </c>
    </row>
    <row r="120" spans="2:11">
      <c r="B120" s="11">
        <v>1100002</v>
      </c>
      <c r="C120" s="22" t="s">
        <v>127</v>
      </c>
      <c r="D120" s="33"/>
      <c r="E120" s="33">
        <v>2</v>
      </c>
      <c r="F120" s="33">
        <v>3</v>
      </c>
      <c r="G120" s="33">
        <v>2</v>
      </c>
      <c r="H120" s="33"/>
      <c r="I120" s="33"/>
      <c r="J120" s="33"/>
      <c r="K120" s="47">
        <f t="shared" si="6"/>
        <v>7</v>
      </c>
    </row>
    <row r="121" spans="2:11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33"/>
      <c r="K121" s="47">
        <f t="shared" si="6"/>
        <v>0</v>
      </c>
    </row>
    <row r="122" spans="2:11">
      <c r="B122" s="11">
        <v>1005761</v>
      </c>
      <c r="C122" s="22" t="s">
        <v>94</v>
      </c>
      <c r="D122" s="33"/>
      <c r="E122" s="33">
        <v>1</v>
      </c>
      <c r="F122" s="33"/>
      <c r="G122" s="33"/>
      <c r="H122" s="33"/>
      <c r="I122" s="33"/>
      <c r="J122" s="33"/>
      <c r="K122" s="47">
        <f t="shared" si="6"/>
        <v>1</v>
      </c>
    </row>
    <row r="123" spans="2:11">
      <c r="B123" s="11">
        <v>1114501</v>
      </c>
      <c r="C123" s="22" t="s">
        <v>95</v>
      </c>
      <c r="D123" s="33">
        <v>2</v>
      </c>
      <c r="E123" s="33">
        <v>3</v>
      </c>
      <c r="F123" s="33">
        <v>3</v>
      </c>
      <c r="G123" s="33">
        <v>122</v>
      </c>
      <c r="H123" s="33"/>
      <c r="I123" s="33"/>
      <c r="J123" s="33"/>
      <c r="K123" s="47">
        <f t="shared" si="6"/>
        <v>130</v>
      </c>
    </row>
    <row r="124" spans="2:11">
      <c r="B124" s="11">
        <v>1114502</v>
      </c>
      <c r="C124" s="22" t="s">
        <v>96</v>
      </c>
      <c r="D124" s="33">
        <v>4</v>
      </c>
      <c r="E124" s="33">
        <v>3</v>
      </c>
      <c r="F124" s="33">
        <v>5</v>
      </c>
      <c r="G124" s="33">
        <v>122</v>
      </c>
      <c r="H124" s="33"/>
      <c r="I124" s="33"/>
      <c r="J124" s="33"/>
      <c r="K124" s="47">
        <f t="shared" si="6"/>
        <v>134</v>
      </c>
    </row>
    <row r="125" spans="2:11">
      <c r="B125" s="11">
        <v>1114503</v>
      </c>
      <c r="C125" s="22" t="s">
        <v>97</v>
      </c>
      <c r="D125" s="33">
        <v>2</v>
      </c>
      <c r="E125" s="33">
        <v>4</v>
      </c>
      <c r="F125" s="33">
        <v>2</v>
      </c>
      <c r="G125" s="33">
        <v>122</v>
      </c>
      <c r="H125" s="33"/>
      <c r="I125" s="33"/>
      <c r="J125" s="33"/>
      <c r="K125" s="47">
        <f t="shared" si="6"/>
        <v>130</v>
      </c>
    </row>
    <row r="126" spans="2:11">
      <c r="B126" s="11">
        <v>1124021</v>
      </c>
      <c r="C126" s="22" t="s">
        <v>98</v>
      </c>
      <c r="D126" s="33"/>
      <c r="E126" s="33">
        <v>6</v>
      </c>
      <c r="F126" s="33">
        <v>32</v>
      </c>
      <c r="G126" s="33">
        <v>18</v>
      </c>
      <c r="H126" s="33"/>
      <c r="I126" s="33"/>
      <c r="J126" s="33"/>
      <c r="K126" s="47">
        <f t="shared" si="6"/>
        <v>56</v>
      </c>
    </row>
    <row r="127" spans="2:11">
      <c r="B127" s="11">
        <v>1113084</v>
      </c>
      <c r="C127" s="22" t="s">
        <v>99</v>
      </c>
      <c r="D127" s="33"/>
      <c r="E127" s="33">
        <v>1</v>
      </c>
      <c r="F127" s="33"/>
      <c r="G127" s="33"/>
      <c r="H127" s="33"/>
      <c r="I127" s="33"/>
      <c r="J127" s="33"/>
      <c r="K127" s="47">
        <f t="shared" si="6"/>
        <v>1</v>
      </c>
    </row>
    <row r="128" spans="2:11">
      <c r="B128" s="11">
        <v>900003</v>
      </c>
      <c r="C128" s="22" t="s">
        <v>146</v>
      </c>
      <c r="D128" s="33"/>
      <c r="E128" s="33"/>
      <c r="F128" s="33"/>
      <c r="G128" s="33"/>
      <c r="H128" s="33"/>
      <c r="I128" s="33"/>
      <c r="J128" s="33"/>
      <c r="K128" s="47">
        <f t="shared" si="6"/>
        <v>0</v>
      </c>
    </row>
    <row r="129" spans="2:11">
      <c r="B129" s="11">
        <v>900004</v>
      </c>
      <c r="C129" s="22" t="s">
        <v>100</v>
      </c>
      <c r="D129" s="33"/>
      <c r="E129" s="33"/>
      <c r="F129" s="33"/>
      <c r="G129" s="33"/>
      <c r="H129" s="33"/>
      <c r="I129" s="33"/>
      <c r="J129" s="33"/>
      <c r="K129" s="47">
        <f t="shared" si="6"/>
        <v>0</v>
      </c>
    </row>
    <row r="130" spans="2:11">
      <c r="B130" s="11">
        <v>1200002</v>
      </c>
      <c r="C130" s="22" t="s">
        <v>104</v>
      </c>
      <c r="D130" s="33"/>
      <c r="E130" s="33"/>
      <c r="F130" s="33"/>
      <c r="G130" s="33"/>
      <c r="H130" s="33"/>
      <c r="I130" s="33"/>
      <c r="J130" s="33"/>
      <c r="K130" s="47">
        <f t="shared" si="6"/>
        <v>0</v>
      </c>
    </row>
    <row r="131" spans="2:11">
      <c r="B131" s="11">
        <v>1200003</v>
      </c>
      <c r="C131" s="22" t="s">
        <v>105</v>
      </c>
      <c r="D131" s="33"/>
      <c r="E131" s="33"/>
      <c r="F131" s="33"/>
      <c r="G131" s="33"/>
      <c r="H131" s="33"/>
      <c r="I131" s="33"/>
      <c r="J131" s="33"/>
      <c r="K131" s="47">
        <f t="shared" si="6"/>
        <v>0</v>
      </c>
    </row>
    <row r="132" spans="2:11">
      <c r="B132" s="11">
        <v>1200004</v>
      </c>
      <c r="C132" s="22" t="s">
        <v>106</v>
      </c>
      <c r="D132" s="33"/>
      <c r="E132" s="33"/>
      <c r="F132" s="33"/>
      <c r="G132" s="33"/>
      <c r="H132" s="33"/>
      <c r="I132" s="33"/>
      <c r="J132" s="33"/>
      <c r="K132" s="47">
        <f t="shared" si="6"/>
        <v>0</v>
      </c>
    </row>
    <row r="133" spans="2:11">
      <c r="B133" s="11">
        <v>1200093</v>
      </c>
      <c r="C133" s="22" t="s">
        <v>91</v>
      </c>
      <c r="D133" s="33"/>
      <c r="E133" s="33"/>
      <c r="F133" s="33"/>
      <c r="G133" s="33"/>
      <c r="H133" s="33"/>
      <c r="I133" s="33"/>
      <c r="J133" s="33"/>
      <c r="K133" s="47">
        <f t="shared" si="6"/>
        <v>0</v>
      </c>
    </row>
    <row r="134" spans="2:11">
      <c r="B134" s="11">
        <v>1200092</v>
      </c>
      <c r="C134" s="20" t="s">
        <v>92</v>
      </c>
      <c r="D134" s="33"/>
      <c r="E134" s="33"/>
      <c r="F134" s="33"/>
      <c r="G134" s="33"/>
      <c r="H134" s="33"/>
      <c r="I134" s="33"/>
      <c r="J134" s="33"/>
      <c r="K134" s="47">
        <f t="shared" si="6"/>
        <v>0</v>
      </c>
    </row>
    <row r="135" spans="2:11">
      <c r="B135" s="23"/>
      <c r="C135" s="22" t="s">
        <v>128</v>
      </c>
      <c r="D135" s="33"/>
      <c r="E135" s="33"/>
      <c r="F135" s="33"/>
      <c r="G135" s="33"/>
      <c r="H135" s="33"/>
      <c r="I135" s="33"/>
      <c r="J135" s="33"/>
      <c r="K135" s="47">
        <f t="shared" si="6"/>
        <v>0</v>
      </c>
    </row>
    <row r="136" spans="2:11">
      <c r="B136" s="23"/>
      <c r="C136" s="22" t="s">
        <v>129</v>
      </c>
      <c r="D136" s="33"/>
      <c r="E136" s="33">
        <v>2</v>
      </c>
      <c r="F136" s="33"/>
      <c r="G136" s="33"/>
      <c r="H136" s="33"/>
      <c r="I136" s="33"/>
      <c r="J136" s="33"/>
      <c r="K136" s="47">
        <f t="shared" si="6"/>
        <v>2</v>
      </c>
    </row>
    <row r="137" spans="2:11">
      <c r="B137" s="23">
        <v>20052721</v>
      </c>
      <c r="C137" s="22" t="s">
        <v>143</v>
      </c>
      <c r="D137" s="33"/>
      <c r="E137" s="33"/>
      <c r="F137" s="33"/>
      <c r="G137" s="33"/>
      <c r="H137" s="33"/>
      <c r="I137" s="33"/>
      <c r="J137" s="33"/>
      <c r="K137" s="47">
        <f t="shared" si="6"/>
        <v>0</v>
      </c>
    </row>
    <row r="138" spans="2:11">
      <c r="C138" s="38"/>
      <c r="D138" s="44"/>
      <c r="E138" s="44"/>
      <c r="F138" s="44"/>
      <c r="G138" s="44"/>
      <c r="H138" s="44"/>
      <c r="I138" s="44"/>
      <c r="J138" s="44"/>
      <c r="K138" s="45"/>
    </row>
    <row r="139" spans="2:11">
      <c r="C139" s="38"/>
      <c r="D139" s="45">
        <f t="shared" ref="D139:I139" si="7">SUM(D114:D137,D102:D111,D90:D99,D79:D87,D69:D76,D7:D66)</f>
        <v>253</v>
      </c>
      <c r="E139" s="45">
        <f t="shared" si="7"/>
        <v>83</v>
      </c>
      <c r="F139" s="45">
        <f t="shared" si="7"/>
        <v>115</v>
      </c>
      <c r="G139" s="45">
        <f t="shared" si="7"/>
        <v>573</v>
      </c>
      <c r="H139" s="45">
        <f t="shared" si="7"/>
        <v>0</v>
      </c>
      <c r="I139" s="45">
        <f t="shared" si="7"/>
        <v>0</v>
      </c>
      <c r="J139" s="45"/>
      <c r="K139" s="45">
        <f>SUM(K114:K137,K102:K111,K90:K99,K79:K87,K69:K76,K7:K66)</f>
        <v>1024</v>
      </c>
    </row>
    <row r="140" spans="2:11">
      <c r="C140" s="25"/>
      <c r="D140" s="34"/>
      <c r="E140" s="63"/>
      <c r="F140" s="63"/>
      <c r="G140" s="29"/>
    </row>
    <row r="141" spans="2:11">
      <c r="B141" s="63" t="s">
        <v>108</v>
      </c>
      <c r="C141" s="63"/>
      <c r="D141" s="35"/>
      <c r="E141" s="62"/>
      <c r="F141" s="62"/>
      <c r="G141" s="30"/>
      <c r="H141" s="29"/>
      <c r="I141" s="63" t="s">
        <v>108</v>
      </c>
      <c r="J141" s="63"/>
      <c r="K141" s="63"/>
    </row>
    <row r="142" spans="2:11">
      <c r="B142" s="62" t="s">
        <v>109</v>
      </c>
      <c r="C142" s="62"/>
      <c r="D142" s="36"/>
      <c r="E142" s="36"/>
      <c r="F142" s="36"/>
      <c r="G142" s="36"/>
      <c r="H142" s="36"/>
      <c r="I142" s="62" t="s">
        <v>110</v>
      </c>
      <c r="J142" s="62"/>
      <c r="K142" s="62"/>
    </row>
    <row r="143" spans="2:11">
      <c r="B143" s="34"/>
      <c r="C143" s="34"/>
      <c r="D143" s="36"/>
      <c r="E143" s="36"/>
      <c r="F143" s="36"/>
      <c r="G143" s="36"/>
      <c r="H143" s="36"/>
      <c r="I143" s="34"/>
      <c r="J143" s="34"/>
      <c r="K143" s="37"/>
    </row>
    <row r="144" spans="2:11" ht="15">
      <c r="B144" s="34"/>
      <c r="C144" s="34"/>
      <c r="D144" s="34"/>
      <c r="E144" s="34"/>
      <c r="F144" s="34"/>
      <c r="G144" s="34"/>
      <c r="H144" s="34"/>
      <c r="I144" s="34"/>
      <c r="J144" s="34"/>
      <c r="K144" s="37"/>
    </row>
    <row r="145" spans="2:11" ht="15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5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5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5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>
      <c r="D149" s="34"/>
      <c r="E149" s="34"/>
      <c r="F149" s="34"/>
      <c r="G149" s="34"/>
      <c r="H149" s="34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</sheetData>
  <mergeCells count="15">
    <mergeCell ref="B1:K1"/>
    <mergeCell ref="B2:C3"/>
    <mergeCell ref="E2:F3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Q160"/>
  <sheetViews>
    <sheetView tabSelected="1" topLeftCell="A94" zoomScale="50" zoomScaleNormal="50" workbookViewId="0">
      <selection activeCell="A101" sqref="A101:XFD112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9" width="14.42578125" style="16" hidden="1" customWidth="1"/>
    <col min="10" max="10" width="14.42578125" style="16" customWidth="1"/>
    <col min="11" max="11" width="17.5703125" style="26" customWidth="1"/>
    <col min="12" max="13" width="14.42578125" style="24" customWidth="1"/>
    <col min="14" max="14" width="14.42578125" style="31" customWidth="1"/>
    <col min="15" max="15" width="9.140625" customWidth="1"/>
    <col min="16" max="16" width="7.42578125" customWidth="1"/>
    <col min="17" max="17" width="22.7109375" customWidth="1"/>
  </cols>
  <sheetData>
    <row r="1" spans="2:14">
      <c r="B1" s="66" t="s">
        <v>155</v>
      </c>
      <c r="C1" s="66"/>
      <c r="D1" s="66"/>
      <c r="E1" s="66"/>
      <c r="F1" s="66"/>
      <c r="G1" s="66"/>
      <c r="H1" s="66"/>
      <c r="I1" s="66"/>
      <c r="J1" s="66"/>
      <c r="K1" s="66"/>
    </row>
    <row r="2" spans="2:14">
      <c r="B2" s="67"/>
      <c r="C2" s="68"/>
      <c r="D2" s="1"/>
      <c r="E2" s="69"/>
      <c r="F2" s="69"/>
      <c r="G2" s="2"/>
      <c r="H2" s="2"/>
      <c r="I2" s="2"/>
      <c r="J2" s="2"/>
      <c r="K2" s="3" t="s">
        <v>0</v>
      </c>
      <c r="L2" s="77" t="s">
        <v>138</v>
      </c>
      <c r="M2" s="77" t="s">
        <v>142</v>
      </c>
      <c r="N2" s="73" t="s">
        <v>1</v>
      </c>
    </row>
    <row r="3" spans="2:14">
      <c r="B3" s="67"/>
      <c r="C3" s="68"/>
      <c r="D3" s="4"/>
      <c r="E3" s="70"/>
      <c r="F3" s="70"/>
      <c r="G3" s="5"/>
      <c r="H3" s="5"/>
      <c r="I3" s="5"/>
      <c r="J3" s="54"/>
      <c r="K3" s="6" t="s">
        <v>2</v>
      </c>
      <c r="L3" s="78"/>
      <c r="M3" s="78"/>
      <c r="N3" s="74"/>
    </row>
    <row r="4" spans="2:14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55" t="s">
        <v>150</v>
      </c>
      <c r="K4" s="10" t="s">
        <v>10</v>
      </c>
      <c r="L4" s="79"/>
      <c r="M4" s="79"/>
      <c r="N4" s="75"/>
    </row>
    <row r="5" spans="2:14">
      <c r="B5" s="11"/>
      <c r="C5" s="12"/>
      <c r="D5" s="13"/>
      <c r="E5" s="9"/>
      <c r="F5" s="9"/>
      <c r="G5" s="9"/>
      <c r="H5" s="9"/>
      <c r="I5" s="9"/>
      <c r="J5" s="55"/>
      <c r="K5" s="14"/>
      <c r="L5" s="11"/>
      <c r="M5" s="11"/>
      <c r="N5" s="32"/>
    </row>
    <row r="6" spans="2:14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76"/>
    </row>
    <row r="7" spans="2:14">
      <c r="B7" s="11">
        <v>1111002</v>
      </c>
      <c r="C7" s="15" t="s">
        <v>111</v>
      </c>
      <c r="D7" s="33">
        <f>'เย็น 102'!D7+'เช้า '!D7+'เย็น '!D7</f>
        <v>0</v>
      </c>
      <c r="E7" s="33">
        <f>'เย็น 102'!E7+'เช้า '!E7+'เย็น '!E7</f>
        <v>43</v>
      </c>
      <c r="F7" s="33">
        <f>'เย็น 102'!F7+'เช้า '!F7+'เย็น '!F7</f>
        <v>104</v>
      </c>
      <c r="G7" s="33">
        <f>'เย็น 102'!G7+'เช้า '!G7+'เย็น '!G7</f>
        <v>1</v>
      </c>
      <c r="H7" s="33">
        <f>'เย็น 102'!H7+'เช้า '!H7+'เย็น '!H7</f>
        <v>0</v>
      </c>
      <c r="I7" s="33">
        <f>'เย็น 102'!I7+'เช้า '!I7+'เย็น '!I7</f>
        <v>0</v>
      </c>
      <c r="J7" s="33">
        <f>'เย็น 102'!J7+'เช้า '!J7+'เย็น '!J7</f>
        <v>0</v>
      </c>
      <c r="K7" s="39">
        <f>SUM(D7:J7)</f>
        <v>148</v>
      </c>
      <c r="L7" s="11">
        <v>150</v>
      </c>
      <c r="M7" s="11">
        <v>116</v>
      </c>
      <c r="N7" s="58">
        <f>SUM(L7+M7)-K7</f>
        <v>118</v>
      </c>
    </row>
    <row r="8" spans="2:14">
      <c r="B8" s="11"/>
      <c r="C8" s="15" t="s">
        <v>135</v>
      </c>
      <c r="D8" s="33">
        <f>'เย็น 102'!D8+'เช้า '!D8+'เย็น '!D8</f>
        <v>0</v>
      </c>
      <c r="E8" s="33">
        <f>'เย็น 102'!E8+'เช้า '!E8+'เย็น '!E8</f>
        <v>0</v>
      </c>
      <c r="F8" s="33">
        <f>'เย็น 102'!F8+'เช้า '!F8+'เย็น '!F8</f>
        <v>0</v>
      </c>
      <c r="G8" s="33">
        <f>'เย็น 102'!G8+'เช้า '!G8+'เย็น '!G8</f>
        <v>0</v>
      </c>
      <c r="H8" s="33">
        <f>'เย็น 102'!H8+'เช้า '!H8+'เย็น '!H8</f>
        <v>0</v>
      </c>
      <c r="I8" s="33">
        <f>'เย็น 102'!I8+'เช้า '!I8+'เย็น '!I8</f>
        <v>0</v>
      </c>
      <c r="J8" s="33">
        <f>'เย็น 102'!J8+'เช้า '!J8+'เย็น '!J8</f>
        <v>0</v>
      </c>
      <c r="K8" s="39">
        <f t="shared" ref="K8:K67" si="0">SUM(D8:J8)</f>
        <v>0</v>
      </c>
      <c r="L8" s="11"/>
      <c r="M8" s="11"/>
      <c r="N8" s="58">
        <f t="shared" ref="N8:N66" si="1">SUM(L8+M8)-K8</f>
        <v>0</v>
      </c>
    </row>
    <row r="9" spans="2:14">
      <c r="B9" s="11">
        <v>1111084</v>
      </c>
      <c r="C9" s="15" t="s">
        <v>12</v>
      </c>
      <c r="D9" s="33">
        <f>'เย็น 102'!D9+'เช้า '!D9+'เย็น '!D9</f>
        <v>0</v>
      </c>
      <c r="E9" s="33">
        <f>'เย็น 102'!E9+'เช้า '!E9+'เย็น '!E9</f>
        <v>0</v>
      </c>
      <c r="F9" s="33">
        <f>'เย็น 102'!F9+'เช้า '!F9+'เย็น '!F9</f>
        <v>0</v>
      </c>
      <c r="G9" s="33">
        <f>'เย็น 102'!G9+'เช้า '!G9+'เย็น '!G9</f>
        <v>0</v>
      </c>
      <c r="H9" s="33">
        <f>'เย็น 102'!H9+'เช้า '!H9+'เย็น '!H9</f>
        <v>0</v>
      </c>
      <c r="I9" s="33">
        <f>'เย็น 102'!I9+'เช้า '!I9+'เย็น '!I9</f>
        <v>0</v>
      </c>
      <c r="J9" s="33">
        <f>'เย็น 102'!J9+'เช้า '!J9+'เย็น '!J9</f>
        <v>0</v>
      </c>
      <c r="K9" s="39">
        <f t="shared" si="0"/>
        <v>0</v>
      </c>
      <c r="L9" s="11"/>
      <c r="M9" s="11"/>
      <c r="N9" s="58">
        <f t="shared" si="1"/>
        <v>0</v>
      </c>
    </row>
    <row r="10" spans="2:14">
      <c r="B10" s="11">
        <v>1111085</v>
      </c>
      <c r="C10" s="15" t="s">
        <v>13</v>
      </c>
      <c r="D10" s="33">
        <f>'เย็น 102'!D10+'เช้า '!D10+'เย็น '!D10</f>
        <v>0</v>
      </c>
      <c r="E10" s="33">
        <f>'เย็น 102'!E10+'เช้า '!E10+'เย็น '!E10</f>
        <v>0</v>
      </c>
      <c r="F10" s="33">
        <f>'เย็น 102'!F10+'เช้า '!F10+'เย็น '!F10</f>
        <v>0</v>
      </c>
      <c r="G10" s="33">
        <f>'เย็น 102'!G10+'เช้า '!G10+'เย็น '!G10</f>
        <v>0</v>
      </c>
      <c r="H10" s="33">
        <f>'เย็น 102'!H10+'เช้า '!H10+'เย็น '!H10</f>
        <v>0</v>
      </c>
      <c r="I10" s="33">
        <f>'เย็น 102'!I10+'เช้า '!I10+'เย็น '!I10</f>
        <v>0</v>
      </c>
      <c r="J10" s="33">
        <f>'เย็น 102'!J10+'เช้า '!J10+'เย็น '!J10</f>
        <v>0</v>
      </c>
      <c r="K10" s="39">
        <f t="shared" si="0"/>
        <v>0</v>
      </c>
      <c r="L10" s="11"/>
      <c r="M10" s="11"/>
      <c r="N10" s="58">
        <f t="shared" si="1"/>
        <v>0</v>
      </c>
    </row>
    <row r="11" spans="2:14">
      <c r="B11" s="11">
        <v>1111086</v>
      </c>
      <c r="C11" s="15" t="s">
        <v>14</v>
      </c>
      <c r="D11" s="33">
        <f>'เย็น 102'!D11+'เช้า '!D11+'เย็น '!D11</f>
        <v>0</v>
      </c>
      <c r="E11" s="33">
        <f>'เย็น 102'!E11+'เช้า '!E11+'เย็น '!E11</f>
        <v>0</v>
      </c>
      <c r="F11" s="33">
        <f>'เย็น 102'!F11+'เช้า '!F11+'เย็น '!F11</f>
        <v>0</v>
      </c>
      <c r="G11" s="33">
        <f>'เย็น 102'!G11+'เช้า '!G11+'เย็น '!G11</f>
        <v>0</v>
      </c>
      <c r="H11" s="33">
        <f>'เย็น 102'!H11+'เช้า '!H11+'เย็น '!H11</f>
        <v>0</v>
      </c>
      <c r="I11" s="33">
        <f>'เย็น 102'!I11+'เช้า '!I11+'เย็น '!I11</f>
        <v>0</v>
      </c>
      <c r="J11" s="33">
        <f>'เย็น 102'!J11+'เช้า '!J11+'เย็น '!J11</f>
        <v>0</v>
      </c>
      <c r="K11" s="39">
        <f t="shared" si="0"/>
        <v>0</v>
      </c>
      <c r="L11" s="11"/>
      <c r="M11" s="11"/>
      <c r="N11" s="58">
        <f t="shared" si="1"/>
        <v>0</v>
      </c>
    </row>
    <row r="12" spans="2:14">
      <c r="B12" s="11">
        <v>1111087</v>
      </c>
      <c r="C12" s="15" t="s">
        <v>15</v>
      </c>
      <c r="D12" s="33">
        <f>'เย็น 102'!D12+'เช้า '!D12+'เย็น '!D12</f>
        <v>0</v>
      </c>
      <c r="E12" s="33">
        <f>'เย็น 102'!E12+'เช้า '!E12+'เย็น '!E12</f>
        <v>0</v>
      </c>
      <c r="F12" s="33">
        <f>'เย็น 102'!F12+'เช้า '!F12+'เย็น '!F12</f>
        <v>0</v>
      </c>
      <c r="G12" s="33">
        <f>'เย็น 102'!G12+'เช้า '!G12+'เย็น '!G12</f>
        <v>0</v>
      </c>
      <c r="H12" s="33">
        <f>'เย็น 102'!H12+'เช้า '!H12+'เย็น '!H12</f>
        <v>0</v>
      </c>
      <c r="I12" s="33">
        <f>'เย็น 102'!I12+'เช้า '!I12+'เย็น '!I12</f>
        <v>0</v>
      </c>
      <c r="J12" s="33">
        <f>'เย็น 102'!J12+'เช้า '!J12+'เย็น '!J12</f>
        <v>0</v>
      </c>
      <c r="K12" s="39">
        <f t="shared" si="0"/>
        <v>0</v>
      </c>
      <c r="L12" s="11"/>
      <c r="M12" s="11"/>
      <c r="N12" s="58">
        <f t="shared" si="1"/>
        <v>0</v>
      </c>
    </row>
    <row r="13" spans="2:14">
      <c r="B13" s="11">
        <v>1111088</v>
      </c>
      <c r="C13" s="15" t="s">
        <v>16</v>
      </c>
      <c r="D13" s="33">
        <f>'เย็น 102'!D13+'เช้า '!D13+'เย็น '!D13</f>
        <v>0</v>
      </c>
      <c r="E13" s="33">
        <f>'เย็น 102'!E13+'เช้า '!E13+'เย็น '!E13</f>
        <v>0</v>
      </c>
      <c r="F13" s="33">
        <f>'เย็น 102'!F13+'เช้า '!F13+'เย็น '!F13</f>
        <v>0</v>
      </c>
      <c r="G13" s="33">
        <f>'เย็น 102'!G13+'เช้า '!G13+'เย็น '!G13</f>
        <v>0</v>
      </c>
      <c r="H13" s="33">
        <f>'เย็น 102'!H13+'เช้า '!H13+'เย็น '!H13</f>
        <v>0</v>
      </c>
      <c r="I13" s="33">
        <f>'เย็น 102'!I13+'เช้า '!I13+'เย็น '!I13</f>
        <v>0</v>
      </c>
      <c r="J13" s="33">
        <f>'เย็น 102'!J13+'เช้า '!J13+'เย็น '!J13</f>
        <v>0</v>
      </c>
      <c r="K13" s="39">
        <f t="shared" si="0"/>
        <v>0</v>
      </c>
      <c r="L13" s="11"/>
      <c r="M13" s="11"/>
      <c r="N13" s="58">
        <f t="shared" si="1"/>
        <v>0</v>
      </c>
    </row>
    <row r="14" spans="2:14">
      <c r="B14" s="11">
        <v>1111089</v>
      </c>
      <c r="C14" s="15" t="s">
        <v>17</v>
      </c>
      <c r="D14" s="33">
        <f>'เย็น 102'!D14+'เช้า '!D14+'เย็น '!D14</f>
        <v>0</v>
      </c>
      <c r="E14" s="33">
        <f>'เย็น 102'!E14+'เช้า '!E14+'เย็น '!E14</f>
        <v>0</v>
      </c>
      <c r="F14" s="33">
        <f>'เย็น 102'!F14+'เช้า '!F14+'เย็น '!F14</f>
        <v>0</v>
      </c>
      <c r="G14" s="33">
        <f>'เย็น 102'!G14+'เช้า '!G14+'เย็น '!G14</f>
        <v>0</v>
      </c>
      <c r="H14" s="33">
        <f>'เย็น 102'!H14+'เช้า '!H14+'เย็น '!H14</f>
        <v>0</v>
      </c>
      <c r="I14" s="33">
        <f>'เย็น 102'!I14+'เช้า '!I14+'เย็น '!I14</f>
        <v>0</v>
      </c>
      <c r="J14" s="33">
        <f>'เย็น 102'!J14+'เช้า '!J14+'เย็น '!J14</f>
        <v>0</v>
      </c>
      <c r="K14" s="39">
        <f t="shared" si="0"/>
        <v>0</v>
      </c>
      <c r="L14" s="11"/>
      <c r="M14" s="11"/>
      <c r="N14" s="58">
        <f t="shared" si="1"/>
        <v>0</v>
      </c>
    </row>
    <row r="15" spans="2:14">
      <c r="B15" s="11">
        <v>1111090</v>
      </c>
      <c r="C15" s="15" t="s">
        <v>18</v>
      </c>
      <c r="D15" s="33">
        <f>'เย็น 102'!D15+'เช้า '!D15+'เย็น '!D15</f>
        <v>0</v>
      </c>
      <c r="E15" s="33">
        <f>'เย็น 102'!E15+'เช้า '!E15+'เย็น '!E15</f>
        <v>0</v>
      </c>
      <c r="F15" s="33">
        <f>'เย็น 102'!F15+'เช้า '!F15+'เย็น '!F15</f>
        <v>0</v>
      </c>
      <c r="G15" s="33">
        <f>'เย็น 102'!G15+'เช้า '!G15+'เย็น '!G15</f>
        <v>0</v>
      </c>
      <c r="H15" s="33">
        <f>'เย็น 102'!H15+'เช้า '!H15+'เย็น '!H15</f>
        <v>0</v>
      </c>
      <c r="I15" s="33">
        <f>'เย็น 102'!I15+'เช้า '!I15+'เย็น '!I15</f>
        <v>0</v>
      </c>
      <c r="J15" s="33">
        <f>'เย็น 102'!J15+'เช้า '!J15+'เย็น '!J15</f>
        <v>0</v>
      </c>
      <c r="K15" s="39">
        <f t="shared" si="0"/>
        <v>0</v>
      </c>
      <c r="L15" s="11"/>
      <c r="M15" s="11"/>
      <c r="N15" s="58">
        <f t="shared" si="1"/>
        <v>0</v>
      </c>
    </row>
    <row r="16" spans="2:14">
      <c r="B16" s="11">
        <v>1111091</v>
      </c>
      <c r="C16" s="15" t="s">
        <v>19</v>
      </c>
      <c r="D16" s="33">
        <f>'เย็น 102'!D16+'เช้า '!D16+'เย็น '!D16</f>
        <v>0</v>
      </c>
      <c r="E16" s="33">
        <f>'เย็น 102'!E16+'เช้า '!E16+'เย็น '!E16</f>
        <v>0</v>
      </c>
      <c r="F16" s="33">
        <f>'เย็น 102'!F16+'เช้า '!F16+'เย็น '!F16</f>
        <v>0</v>
      </c>
      <c r="G16" s="33">
        <f>'เย็น 102'!G16+'เช้า '!G16+'เย็น '!G16</f>
        <v>0</v>
      </c>
      <c r="H16" s="33">
        <f>'เย็น 102'!H16+'เช้า '!H16+'เย็น '!H16</f>
        <v>0</v>
      </c>
      <c r="I16" s="33">
        <f>'เย็น 102'!I16+'เช้า '!I16+'เย็น '!I16</f>
        <v>0</v>
      </c>
      <c r="J16" s="33">
        <f>'เย็น 102'!J16+'เช้า '!J16+'เย็น '!J16</f>
        <v>0</v>
      </c>
      <c r="K16" s="39">
        <f t="shared" si="0"/>
        <v>0</v>
      </c>
      <c r="L16" s="11"/>
      <c r="M16" s="11"/>
      <c r="N16" s="58">
        <f t="shared" si="1"/>
        <v>0</v>
      </c>
    </row>
    <row r="17" spans="2:14">
      <c r="B17" s="11">
        <v>1111092</v>
      </c>
      <c r="C17" s="15" t="s">
        <v>20</v>
      </c>
      <c r="D17" s="33">
        <f>'เย็น 102'!D17+'เช้า '!D17+'เย็น '!D17</f>
        <v>0</v>
      </c>
      <c r="E17" s="33">
        <f>'เย็น 102'!E17+'เช้า '!E17+'เย็น '!E17</f>
        <v>0</v>
      </c>
      <c r="F17" s="33">
        <f>'เย็น 102'!F17+'เช้า '!F17+'เย็น '!F17</f>
        <v>0</v>
      </c>
      <c r="G17" s="33">
        <f>'เย็น 102'!G17+'เช้า '!G17+'เย็น '!G17</f>
        <v>0</v>
      </c>
      <c r="H17" s="33">
        <f>'เย็น 102'!H17+'เช้า '!H17+'เย็น '!H17</f>
        <v>0</v>
      </c>
      <c r="I17" s="33">
        <f>'เย็น 102'!I17+'เช้า '!I17+'เย็น '!I17</f>
        <v>0</v>
      </c>
      <c r="J17" s="33">
        <f>'เย็น 102'!J17+'เช้า '!J17+'เย็น '!J17</f>
        <v>0</v>
      </c>
      <c r="K17" s="39">
        <f t="shared" si="0"/>
        <v>0</v>
      </c>
      <c r="L17" s="11"/>
      <c r="M17" s="11"/>
      <c r="N17" s="58">
        <f t="shared" si="1"/>
        <v>0</v>
      </c>
    </row>
    <row r="18" spans="2:14">
      <c r="B18" s="11">
        <v>1111093</v>
      </c>
      <c r="C18" s="15" t="s">
        <v>21</v>
      </c>
      <c r="D18" s="33">
        <f>'เย็น 102'!D18+'เช้า '!D18+'เย็น '!D18</f>
        <v>0</v>
      </c>
      <c r="E18" s="33">
        <f>'เย็น 102'!E18+'เช้า '!E18+'เย็น '!E18</f>
        <v>0</v>
      </c>
      <c r="F18" s="33">
        <f>'เย็น 102'!F18+'เช้า '!F18+'เย็น '!F18</f>
        <v>0</v>
      </c>
      <c r="G18" s="33">
        <f>'เย็น 102'!G18+'เช้า '!G18+'เย็น '!G18</f>
        <v>0</v>
      </c>
      <c r="H18" s="33">
        <f>'เย็น 102'!H18+'เช้า '!H18+'เย็น '!H18</f>
        <v>0</v>
      </c>
      <c r="I18" s="33">
        <f>'เย็น 102'!I18+'เช้า '!I18+'เย็น '!I18</f>
        <v>0</v>
      </c>
      <c r="J18" s="33">
        <f>'เย็น 102'!J18+'เช้า '!J18+'เย็น '!J18</f>
        <v>0</v>
      </c>
      <c r="K18" s="39">
        <f t="shared" si="0"/>
        <v>0</v>
      </c>
      <c r="L18" s="11"/>
      <c r="M18" s="11"/>
      <c r="N18" s="58">
        <f t="shared" si="1"/>
        <v>0</v>
      </c>
    </row>
    <row r="19" spans="2:14">
      <c r="B19" s="11">
        <v>1111094</v>
      </c>
      <c r="C19" s="15" t="s">
        <v>22</v>
      </c>
      <c r="D19" s="33">
        <f>'เย็น 102'!D19+'เช้า '!D19+'เย็น '!D19</f>
        <v>0</v>
      </c>
      <c r="E19" s="33">
        <f>'เย็น 102'!E19+'เช้า '!E19+'เย็น '!E19</f>
        <v>0</v>
      </c>
      <c r="F19" s="33">
        <f>'เย็น 102'!F19+'เช้า '!F19+'เย็น '!F19</f>
        <v>0</v>
      </c>
      <c r="G19" s="33">
        <f>'เย็น 102'!G19+'เช้า '!G19+'เย็น '!G19</f>
        <v>0</v>
      </c>
      <c r="H19" s="33">
        <f>'เย็น 102'!H19+'เช้า '!H19+'เย็น '!H19</f>
        <v>0</v>
      </c>
      <c r="I19" s="33">
        <f>'เย็น 102'!I19+'เช้า '!I19+'เย็น '!I19</f>
        <v>0</v>
      </c>
      <c r="J19" s="33">
        <f>'เย็น 102'!J19+'เช้า '!J19+'เย็น '!J19</f>
        <v>0</v>
      </c>
      <c r="K19" s="39">
        <f t="shared" si="0"/>
        <v>0</v>
      </c>
      <c r="L19" s="11"/>
      <c r="M19" s="11"/>
      <c r="N19" s="58">
        <f t="shared" si="1"/>
        <v>0</v>
      </c>
    </row>
    <row r="20" spans="2:14">
      <c r="B20" s="11">
        <v>1111095</v>
      </c>
      <c r="C20" s="15" t="s">
        <v>23</v>
      </c>
      <c r="D20" s="33">
        <f>'เย็น 102'!D20+'เช้า '!D20+'เย็น '!D20</f>
        <v>0</v>
      </c>
      <c r="E20" s="33">
        <f>'เย็น 102'!E20+'เช้า '!E20+'เย็น '!E20</f>
        <v>0</v>
      </c>
      <c r="F20" s="33">
        <f>'เย็น 102'!F20+'เช้า '!F20+'เย็น '!F20</f>
        <v>0</v>
      </c>
      <c r="G20" s="33">
        <f>'เย็น 102'!G20+'เช้า '!G20+'เย็น '!G20</f>
        <v>0</v>
      </c>
      <c r="H20" s="33">
        <f>'เย็น 102'!H20+'เช้า '!H20+'เย็น '!H20</f>
        <v>0</v>
      </c>
      <c r="I20" s="33">
        <f>'เย็น 102'!I20+'เช้า '!I20+'เย็น '!I20</f>
        <v>0</v>
      </c>
      <c r="J20" s="33">
        <f>'เย็น 102'!J20+'เช้า '!J20+'เย็น '!J20</f>
        <v>0</v>
      </c>
      <c r="K20" s="39">
        <f t="shared" si="0"/>
        <v>0</v>
      </c>
      <c r="L20" s="11"/>
      <c r="M20" s="11"/>
      <c r="N20" s="58">
        <f t="shared" si="1"/>
        <v>0</v>
      </c>
    </row>
    <row r="21" spans="2:14">
      <c r="B21" s="11">
        <v>1111096</v>
      </c>
      <c r="C21" s="15" t="s">
        <v>24</v>
      </c>
      <c r="D21" s="33">
        <f>'เย็น 102'!D21+'เช้า '!D21+'เย็น '!D21</f>
        <v>0</v>
      </c>
      <c r="E21" s="33">
        <f>'เย็น 102'!E21+'เช้า '!E21+'เย็น '!E21</f>
        <v>0</v>
      </c>
      <c r="F21" s="33">
        <f>'เย็น 102'!F21+'เช้า '!F21+'เย็น '!F21</f>
        <v>0</v>
      </c>
      <c r="G21" s="33">
        <f>'เย็น 102'!G21+'เช้า '!G21+'เย็น '!G21</f>
        <v>0</v>
      </c>
      <c r="H21" s="33">
        <f>'เย็น 102'!H21+'เช้า '!H21+'เย็น '!H21</f>
        <v>0</v>
      </c>
      <c r="I21" s="33">
        <f>'เย็น 102'!I21+'เช้า '!I21+'เย็น '!I21</f>
        <v>0</v>
      </c>
      <c r="J21" s="33">
        <f>'เย็น 102'!J21+'เช้า '!J21+'เย็น '!J21</f>
        <v>0</v>
      </c>
      <c r="K21" s="39">
        <f t="shared" si="0"/>
        <v>0</v>
      </c>
      <c r="L21" s="11"/>
      <c r="M21" s="11"/>
      <c r="N21" s="58">
        <f t="shared" si="1"/>
        <v>0</v>
      </c>
    </row>
    <row r="22" spans="2:14">
      <c r="B22" s="11">
        <v>1111097</v>
      </c>
      <c r="C22" s="15" t="s">
        <v>25</v>
      </c>
      <c r="D22" s="33">
        <f>'เย็น 102'!D22+'เช้า '!D22+'เย็น '!D22</f>
        <v>0</v>
      </c>
      <c r="E22" s="33">
        <f>'เย็น 102'!E22+'เช้า '!E22+'เย็น '!E22</f>
        <v>0</v>
      </c>
      <c r="F22" s="33">
        <f>'เย็น 102'!F22+'เช้า '!F22+'เย็น '!F22</f>
        <v>0</v>
      </c>
      <c r="G22" s="33">
        <f>'เย็น 102'!G22+'เช้า '!G22+'เย็น '!G22</f>
        <v>0</v>
      </c>
      <c r="H22" s="33">
        <f>'เย็น 102'!H22+'เช้า '!H22+'เย็น '!H22</f>
        <v>0</v>
      </c>
      <c r="I22" s="33">
        <f>'เย็น 102'!I22+'เช้า '!I22+'เย็น '!I22</f>
        <v>0</v>
      </c>
      <c r="J22" s="33">
        <f>'เย็น 102'!J22+'เช้า '!J22+'เย็น '!J22</f>
        <v>0</v>
      </c>
      <c r="K22" s="39">
        <f t="shared" si="0"/>
        <v>0</v>
      </c>
      <c r="L22" s="11"/>
      <c r="M22" s="11"/>
      <c r="N22" s="58">
        <f t="shared" si="1"/>
        <v>0</v>
      </c>
    </row>
    <row r="23" spans="2:14">
      <c r="B23" s="11">
        <v>1111098</v>
      </c>
      <c r="C23" s="15" t="s">
        <v>26</v>
      </c>
      <c r="D23" s="33">
        <f>'เย็น 102'!D23+'เช้า '!D23+'เย็น '!D23</f>
        <v>0</v>
      </c>
      <c r="E23" s="33">
        <f>'เย็น 102'!E23+'เช้า '!E23+'เย็น '!E23</f>
        <v>0</v>
      </c>
      <c r="F23" s="33">
        <f>'เย็น 102'!F23+'เช้า '!F23+'เย็น '!F23</f>
        <v>0</v>
      </c>
      <c r="G23" s="33">
        <f>'เย็น 102'!G23+'เช้า '!G23+'เย็น '!G23</f>
        <v>0</v>
      </c>
      <c r="H23" s="33">
        <f>'เย็น 102'!H23+'เช้า '!H23+'เย็น '!H23</f>
        <v>0</v>
      </c>
      <c r="I23" s="33">
        <f>'เย็น 102'!I23+'เช้า '!I23+'เย็น '!I23</f>
        <v>0</v>
      </c>
      <c r="J23" s="33">
        <f>'เย็น 102'!J23+'เช้า '!J23+'เย็น '!J23</f>
        <v>0</v>
      </c>
      <c r="K23" s="39">
        <f t="shared" si="0"/>
        <v>0</v>
      </c>
      <c r="L23" s="11"/>
      <c r="M23" s="11"/>
      <c r="N23" s="58">
        <f t="shared" si="1"/>
        <v>0</v>
      </c>
    </row>
    <row r="24" spans="2:14">
      <c r="B24" s="11">
        <v>1111043</v>
      </c>
      <c r="C24" s="15" t="s">
        <v>27</v>
      </c>
      <c r="D24" s="33">
        <f>'เย็น 102'!D24+'เช้า '!D24+'เย็น '!D24</f>
        <v>0</v>
      </c>
      <c r="E24" s="33">
        <f>'เย็น 102'!E24+'เช้า '!E24+'เย็น '!E24</f>
        <v>0</v>
      </c>
      <c r="F24" s="33">
        <f>'เย็น 102'!F24+'เช้า '!F24+'เย็น '!F24</f>
        <v>0</v>
      </c>
      <c r="G24" s="33">
        <f>'เย็น 102'!G24+'เช้า '!G24+'เย็น '!G24</f>
        <v>0</v>
      </c>
      <c r="H24" s="33">
        <f>'เย็น 102'!H24+'เช้า '!H24+'เย็น '!H24</f>
        <v>0</v>
      </c>
      <c r="I24" s="33">
        <f>'เย็น 102'!I24+'เช้า '!I24+'เย็น '!I24</f>
        <v>0</v>
      </c>
      <c r="J24" s="33">
        <f>'เย็น 102'!J24+'เช้า '!J24+'เย็น '!J24</f>
        <v>0</v>
      </c>
      <c r="K24" s="39">
        <f t="shared" si="0"/>
        <v>0</v>
      </c>
      <c r="L24" s="11"/>
      <c r="M24" s="11"/>
      <c r="N24" s="58">
        <f t="shared" si="1"/>
        <v>0</v>
      </c>
    </row>
    <row r="25" spans="2:14">
      <c r="B25" s="11">
        <v>1111056</v>
      </c>
      <c r="C25" s="15" t="s">
        <v>28</v>
      </c>
      <c r="D25" s="33">
        <f>'เย็น 102'!D25+'เช้า '!D25+'เย็น '!D25</f>
        <v>0</v>
      </c>
      <c r="E25" s="33">
        <f>'เย็น 102'!E25+'เช้า '!E25+'เย็น '!E25</f>
        <v>6</v>
      </c>
      <c r="F25" s="33">
        <f>'เย็น 102'!F25+'เช้า '!F25+'เย็น '!F25</f>
        <v>20</v>
      </c>
      <c r="G25" s="33">
        <f>'เย็น 102'!G25+'เช้า '!G25+'เย็น '!G25</f>
        <v>4</v>
      </c>
      <c r="H25" s="33">
        <f>'เย็น 102'!H25+'เช้า '!H25+'เย็น '!H25</f>
        <v>0</v>
      </c>
      <c r="I25" s="33">
        <f>'เย็น 102'!I25+'เช้า '!I25+'เย็น '!I25</f>
        <v>0</v>
      </c>
      <c r="J25" s="33">
        <f>'เย็น 102'!J25+'เช้า '!J25+'เย็น '!J25</f>
        <v>0</v>
      </c>
      <c r="K25" s="39">
        <f t="shared" si="0"/>
        <v>30</v>
      </c>
      <c r="L25" s="11">
        <v>30</v>
      </c>
      <c r="M25" s="11">
        <v>3</v>
      </c>
      <c r="N25" s="58">
        <f t="shared" si="1"/>
        <v>3</v>
      </c>
    </row>
    <row r="26" spans="2:14">
      <c r="B26" s="11">
        <v>1004055</v>
      </c>
      <c r="C26" s="15" t="s">
        <v>112</v>
      </c>
      <c r="D26" s="33">
        <f>'เย็น 102'!D26+'เช้า '!D26+'เย็น '!D26</f>
        <v>0</v>
      </c>
      <c r="E26" s="33">
        <f>'เย็น 102'!E26+'เช้า '!E26+'เย็น '!E26</f>
        <v>28</v>
      </c>
      <c r="F26" s="33">
        <f>'เย็น 102'!F26+'เช้า '!F26+'เย็น '!F26</f>
        <v>0</v>
      </c>
      <c r="G26" s="33">
        <f>'เย็น 102'!G26+'เช้า '!G26+'เย็น '!G26</f>
        <v>123</v>
      </c>
      <c r="H26" s="33">
        <f>'เย็น 102'!H26+'เช้า '!H26+'เย็น '!H26</f>
        <v>0</v>
      </c>
      <c r="I26" s="33">
        <f>'เย็น 102'!I26+'เช้า '!I26+'เย็น '!I26</f>
        <v>0</v>
      </c>
      <c r="J26" s="33">
        <f>'เย็น 102'!J26+'เช้า '!J26+'เย็น '!J26</f>
        <v>0</v>
      </c>
      <c r="K26" s="39">
        <f t="shared" si="0"/>
        <v>151</v>
      </c>
      <c r="L26" s="11"/>
      <c r="M26" s="11">
        <v>586</v>
      </c>
      <c r="N26" s="58">
        <f t="shared" si="1"/>
        <v>435</v>
      </c>
    </row>
    <row r="27" spans="2:14">
      <c r="B27" s="11">
        <v>1004055</v>
      </c>
      <c r="C27" s="15" t="s">
        <v>113</v>
      </c>
      <c r="D27" s="33">
        <f>'เย็น 102'!D27+'เช้า '!D27+'เย็น '!D27</f>
        <v>0</v>
      </c>
      <c r="E27" s="33">
        <f>'เย็น 102'!E27+'เช้า '!E27+'เย็น '!E27</f>
        <v>0</v>
      </c>
      <c r="F27" s="33">
        <f>'เย็น 102'!F27+'เช้า '!F27+'เย็น '!F27</f>
        <v>0</v>
      </c>
      <c r="G27" s="33">
        <f>'เย็น 102'!G27+'เช้า '!G27+'เย็น '!G27</f>
        <v>0</v>
      </c>
      <c r="H27" s="33">
        <f>'เย็น 102'!H27+'เช้า '!H27+'เย็น '!H27</f>
        <v>0</v>
      </c>
      <c r="I27" s="33">
        <f>'เย็น 102'!I27+'เช้า '!I27+'เย็น '!I27</f>
        <v>0</v>
      </c>
      <c r="J27" s="33">
        <f>'เย็น 102'!J27+'เช้า '!J27+'เย็น '!J27</f>
        <v>0</v>
      </c>
      <c r="K27" s="39">
        <f t="shared" si="0"/>
        <v>0</v>
      </c>
      <c r="L27" s="11"/>
      <c r="M27" s="11"/>
      <c r="N27" s="58">
        <f t="shared" si="1"/>
        <v>0</v>
      </c>
    </row>
    <row r="28" spans="2:14">
      <c r="B28" s="11">
        <v>1004055</v>
      </c>
      <c r="C28" s="15" t="s">
        <v>114</v>
      </c>
      <c r="D28" s="33">
        <f>'เย็น 102'!D28+'เช้า '!D28+'เย็น '!D28</f>
        <v>0</v>
      </c>
      <c r="E28" s="33">
        <f>'เย็น 102'!E28+'เช้า '!E28+'เย็น '!E28</f>
        <v>0</v>
      </c>
      <c r="F28" s="33">
        <f>'เย็น 102'!F28+'เช้า '!F28+'เย็น '!F28</f>
        <v>0</v>
      </c>
      <c r="G28" s="33">
        <f>'เย็น 102'!G28+'เช้า '!G28+'เย็น '!G28</f>
        <v>0</v>
      </c>
      <c r="H28" s="33">
        <f>'เย็น 102'!H28+'เช้า '!H28+'เย็น '!H28</f>
        <v>0</v>
      </c>
      <c r="I28" s="33">
        <f>'เย็น 102'!I28+'เช้า '!I28+'เย็น '!I28</f>
        <v>0</v>
      </c>
      <c r="J28" s="33">
        <f>'เย็น 102'!J28+'เช้า '!J28+'เย็น '!J28</f>
        <v>0</v>
      </c>
      <c r="K28" s="39">
        <f t="shared" si="0"/>
        <v>0</v>
      </c>
      <c r="L28" s="11"/>
      <c r="M28" s="11"/>
      <c r="N28" s="58">
        <f t="shared" si="1"/>
        <v>0</v>
      </c>
    </row>
    <row r="29" spans="2:14">
      <c r="B29" s="11">
        <v>1004055</v>
      </c>
      <c r="C29" s="15" t="s">
        <v>115</v>
      </c>
      <c r="D29" s="33">
        <f>'เย็น 102'!D29+'เช้า '!D29+'เย็น '!D29</f>
        <v>0</v>
      </c>
      <c r="E29" s="33">
        <f>'เย็น 102'!E29+'เช้า '!E29+'เย็น '!E29</f>
        <v>0</v>
      </c>
      <c r="F29" s="33">
        <f>'เย็น 102'!F29+'เช้า '!F29+'เย็น '!F29</f>
        <v>0</v>
      </c>
      <c r="G29" s="33">
        <f>'เย็น 102'!G29+'เช้า '!G29+'เย็น '!G29</f>
        <v>0</v>
      </c>
      <c r="H29" s="33">
        <f>'เย็น 102'!H29+'เช้า '!H29+'เย็น '!H29</f>
        <v>0</v>
      </c>
      <c r="I29" s="33">
        <f>'เย็น 102'!I29+'เช้า '!I29+'เย็น '!I29</f>
        <v>0</v>
      </c>
      <c r="J29" s="33">
        <f>'เย็น 102'!J29+'เช้า '!J29+'เย็น '!J29</f>
        <v>0</v>
      </c>
      <c r="K29" s="39">
        <f t="shared" si="0"/>
        <v>0</v>
      </c>
      <c r="L29" s="11"/>
      <c r="M29" s="11"/>
      <c r="N29" s="58">
        <f t="shared" si="1"/>
        <v>0</v>
      </c>
    </row>
    <row r="30" spans="2:14">
      <c r="B30" s="11">
        <v>1004055</v>
      </c>
      <c r="C30" s="15" t="s">
        <v>116</v>
      </c>
      <c r="D30" s="33">
        <f>'เย็น 102'!D30+'เช้า '!D30+'เย็น '!D30</f>
        <v>0</v>
      </c>
      <c r="E30" s="33">
        <f>'เย็น 102'!E30+'เช้า '!E30+'เย็น '!E30</f>
        <v>0</v>
      </c>
      <c r="F30" s="33">
        <f>'เย็น 102'!F30+'เช้า '!F30+'เย็น '!F30</f>
        <v>0</v>
      </c>
      <c r="G30" s="33">
        <f>'เย็น 102'!G30+'เช้า '!G30+'เย็น '!G30</f>
        <v>0</v>
      </c>
      <c r="H30" s="33">
        <f>'เย็น 102'!H30+'เช้า '!H30+'เย็น '!H30</f>
        <v>0</v>
      </c>
      <c r="I30" s="33">
        <f>'เย็น 102'!I30+'เช้า '!I30+'เย็น '!I30</f>
        <v>0</v>
      </c>
      <c r="J30" s="33">
        <f>'เย็น 102'!J30+'เช้า '!J30+'เย็น '!J30</f>
        <v>0</v>
      </c>
      <c r="K30" s="39">
        <f t="shared" si="0"/>
        <v>0</v>
      </c>
      <c r="L30" s="11"/>
      <c r="M30" s="11"/>
      <c r="N30" s="58">
        <f t="shared" si="1"/>
        <v>0</v>
      </c>
    </row>
    <row r="31" spans="2:14">
      <c r="B31" s="11">
        <v>1004055</v>
      </c>
      <c r="C31" s="15" t="s">
        <v>117</v>
      </c>
      <c r="D31" s="33">
        <f>'เย็น 102'!D31+'เช้า '!D31+'เย็น '!D31</f>
        <v>0</v>
      </c>
      <c r="E31" s="33">
        <f>'เย็น 102'!E31+'เช้า '!E31+'เย็น '!E31</f>
        <v>0</v>
      </c>
      <c r="F31" s="33">
        <f>'เย็น 102'!F31+'เช้า '!F31+'เย็น '!F31</f>
        <v>0</v>
      </c>
      <c r="G31" s="33">
        <f>'เย็น 102'!G31+'เช้า '!G31+'เย็น '!G31</f>
        <v>0</v>
      </c>
      <c r="H31" s="33">
        <f>'เย็น 102'!H31+'เช้า '!H31+'เย็น '!H31</f>
        <v>0</v>
      </c>
      <c r="I31" s="33">
        <f>'เย็น 102'!I31+'เช้า '!I31+'เย็น '!I31</f>
        <v>0</v>
      </c>
      <c r="J31" s="33">
        <f>'เย็น 102'!J31+'เช้า '!J31+'เย็น '!J31</f>
        <v>0</v>
      </c>
      <c r="K31" s="39">
        <f t="shared" si="0"/>
        <v>0</v>
      </c>
      <c r="L31" s="11"/>
      <c r="M31" s="11"/>
      <c r="N31" s="58">
        <f t="shared" si="1"/>
        <v>0</v>
      </c>
    </row>
    <row r="32" spans="2:14">
      <c r="B32" s="11">
        <v>1004055</v>
      </c>
      <c r="C32" s="15" t="s">
        <v>118</v>
      </c>
      <c r="D32" s="33">
        <f>'เย็น 102'!D32+'เช้า '!D32+'เย็น '!D32</f>
        <v>0</v>
      </c>
      <c r="E32" s="33">
        <f>'เย็น 102'!E32+'เช้า '!E32+'เย็น '!E32</f>
        <v>0</v>
      </c>
      <c r="F32" s="33">
        <f>'เย็น 102'!F32+'เช้า '!F32+'เย็น '!F32</f>
        <v>0</v>
      </c>
      <c r="G32" s="33">
        <f>'เย็น 102'!G32+'เช้า '!G32+'เย็น '!G32</f>
        <v>0</v>
      </c>
      <c r="H32" s="33">
        <f>'เย็น 102'!H32+'เช้า '!H32+'เย็น '!H32</f>
        <v>0</v>
      </c>
      <c r="I32" s="33">
        <f>'เย็น 102'!I32+'เช้า '!I32+'เย็น '!I32</f>
        <v>0</v>
      </c>
      <c r="J32" s="33">
        <f>'เย็น 102'!J32+'เช้า '!J32+'เย็น '!J32</f>
        <v>0</v>
      </c>
      <c r="K32" s="39">
        <f t="shared" si="0"/>
        <v>0</v>
      </c>
      <c r="L32" s="11"/>
      <c r="M32" s="11"/>
      <c r="N32" s="58">
        <f t="shared" si="1"/>
        <v>0</v>
      </c>
    </row>
    <row r="33" spans="2:14">
      <c r="B33" s="11">
        <v>1004055</v>
      </c>
      <c r="C33" s="15" t="s">
        <v>119</v>
      </c>
      <c r="D33" s="33">
        <f>'เย็น 102'!D33+'เช้า '!D33+'เย็น '!D33</f>
        <v>0</v>
      </c>
      <c r="E33" s="33">
        <f>'เย็น 102'!E33+'เช้า '!E33+'เย็น '!E33</f>
        <v>0</v>
      </c>
      <c r="F33" s="33">
        <f>'เย็น 102'!F33+'เช้า '!F33+'เย็น '!F33</f>
        <v>0</v>
      </c>
      <c r="G33" s="33">
        <f>'เย็น 102'!G33+'เช้า '!G33+'เย็น '!G33</f>
        <v>0</v>
      </c>
      <c r="H33" s="33">
        <f>'เย็น 102'!H33+'เช้า '!H33+'เย็น '!H33</f>
        <v>0</v>
      </c>
      <c r="I33" s="33">
        <f>'เย็น 102'!I33+'เช้า '!I33+'เย็น '!I33</f>
        <v>0</v>
      </c>
      <c r="J33" s="33">
        <f>'เย็น 102'!J33+'เช้า '!J33+'เย็น '!J33</f>
        <v>0</v>
      </c>
      <c r="K33" s="39">
        <f t="shared" si="0"/>
        <v>0</v>
      </c>
      <c r="L33" s="11"/>
      <c r="M33" s="11"/>
      <c r="N33" s="58">
        <f t="shared" si="1"/>
        <v>0</v>
      </c>
    </row>
    <row r="34" spans="2:14">
      <c r="B34" s="11">
        <v>1004055</v>
      </c>
      <c r="C34" s="15" t="s">
        <v>29</v>
      </c>
      <c r="D34" s="33">
        <f>'เย็น 102'!D34+'เช้า '!D34+'เย็น '!D34</f>
        <v>0</v>
      </c>
      <c r="E34" s="33">
        <f>'เย็น 102'!E34+'เช้า '!E34+'เย็น '!E34</f>
        <v>0</v>
      </c>
      <c r="F34" s="33">
        <f>'เย็น 102'!F34+'เช้า '!F34+'เย็น '!F34</f>
        <v>0</v>
      </c>
      <c r="G34" s="33">
        <f>'เย็น 102'!G34+'เช้า '!G34+'เย็น '!G34</f>
        <v>0</v>
      </c>
      <c r="H34" s="33">
        <f>'เย็น 102'!H34+'เช้า '!H34+'เย็น '!H34</f>
        <v>0</v>
      </c>
      <c r="I34" s="33">
        <f>'เย็น 102'!I34+'เช้า '!I34+'เย็น '!I34</f>
        <v>0</v>
      </c>
      <c r="J34" s="33">
        <f>'เย็น 102'!J34+'เช้า '!J34+'เย็น '!J34</f>
        <v>0</v>
      </c>
      <c r="K34" s="39">
        <f t="shared" si="0"/>
        <v>0</v>
      </c>
      <c r="L34" s="11"/>
      <c r="M34" s="11"/>
      <c r="N34" s="58">
        <f t="shared" si="1"/>
        <v>0</v>
      </c>
    </row>
    <row r="35" spans="2:14">
      <c r="B35" s="11">
        <v>1004055</v>
      </c>
      <c r="C35" s="15" t="s">
        <v>120</v>
      </c>
      <c r="D35" s="33">
        <f>'เย็น 102'!D35+'เช้า '!D35+'เย็น '!D35</f>
        <v>0</v>
      </c>
      <c r="E35" s="33">
        <f>'เย็น 102'!E35+'เช้า '!E35+'เย็น '!E35</f>
        <v>0</v>
      </c>
      <c r="F35" s="33">
        <f>'เย็น 102'!F35+'เช้า '!F35+'เย็น '!F35</f>
        <v>0</v>
      </c>
      <c r="G35" s="33">
        <f>'เย็น 102'!G35+'เช้า '!G35+'เย็น '!G35</f>
        <v>0</v>
      </c>
      <c r="H35" s="33">
        <f>'เย็น 102'!H35+'เช้า '!H35+'เย็น '!H35</f>
        <v>0</v>
      </c>
      <c r="I35" s="33">
        <f>'เย็น 102'!I35+'เช้า '!I35+'เย็น '!I35</f>
        <v>0</v>
      </c>
      <c r="J35" s="33">
        <f>'เย็น 102'!J35+'เช้า '!J35+'เย็น '!J35</f>
        <v>0</v>
      </c>
      <c r="K35" s="39">
        <f t="shared" si="0"/>
        <v>0</v>
      </c>
      <c r="L35" s="11"/>
      <c r="M35" s="11"/>
      <c r="N35" s="58">
        <f t="shared" si="1"/>
        <v>0</v>
      </c>
    </row>
    <row r="36" spans="2:14">
      <c r="B36" s="11">
        <v>1004055</v>
      </c>
      <c r="C36" s="15" t="s">
        <v>121</v>
      </c>
      <c r="D36" s="33">
        <f>'เย็น 102'!D36+'เช้า '!D36+'เย็น '!D36</f>
        <v>0</v>
      </c>
      <c r="E36" s="33">
        <f>'เย็น 102'!E36+'เช้า '!E36+'เย็น '!E36</f>
        <v>0</v>
      </c>
      <c r="F36" s="33">
        <f>'เย็น 102'!F36+'เช้า '!F36+'เย็น '!F36</f>
        <v>0</v>
      </c>
      <c r="G36" s="33">
        <f>'เย็น 102'!G36+'เช้า '!G36+'เย็น '!G36</f>
        <v>0</v>
      </c>
      <c r="H36" s="33">
        <f>'เย็น 102'!H36+'เช้า '!H36+'เย็น '!H36</f>
        <v>0</v>
      </c>
      <c r="I36" s="33">
        <f>'เย็น 102'!I36+'เช้า '!I36+'เย็น '!I36</f>
        <v>0</v>
      </c>
      <c r="J36" s="33">
        <f>'เย็น 102'!J36+'เช้า '!J36+'เย็น '!J36</f>
        <v>0</v>
      </c>
      <c r="K36" s="39">
        <f t="shared" si="0"/>
        <v>0</v>
      </c>
      <c r="L36" s="11"/>
      <c r="M36" s="11"/>
      <c r="N36" s="58">
        <f t="shared" si="1"/>
        <v>0</v>
      </c>
    </row>
    <row r="37" spans="2:14">
      <c r="B37" s="11">
        <v>1004055</v>
      </c>
      <c r="C37" s="15" t="s">
        <v>122</v>
      </c>
      <c r="D37" s="33">
        <f>'เย็น 102'!D37+'เช้า '!D37+'เย็น '!D37</f>
        <v>0</v>
      </c>
      <c r="E37" s="33">
        <f>'เย็น 102'!E37+'เช้า '!E37+'เย็น '!E37</f>
        <v>0</v>
      </c>
      <c r="F37" s="33">
        <f>'เย็น 102'!F37+'เช้า '!F37+'เย็น '!F37</f>
        <v>0</v>
      </c>
      <c r="G37" s="33">
        <f>'เย็น 102'!G37+'เช้า '!G37+'เย็น '!G37</f>
        <v>0</v>
      </c>
      <c r="H37" s="33">
        <f>'เย็น 102'!H37+'เช้า '!H37+'เย็น '!H37</f>
        <v>0</v>
      </c>
      <c r="I37" s="33">
        <f>'เย็น 102'!I37+'เช้า '!I37+'เย็น '!I37</f>
        <v>0</v>
      </c>
      <c r="J37" s="33">
        <f>'เย็น 102'!J37+'เช้า '!J37+'เย็น '!J37</f>
        <v>0</v>
      </c>
      <c r="K37" s="39">
        <f t="shared" si="0"/>
        <v>0</v>
      </c>
      <c r="L37" s="11"/>
      <c r="M37" s="11"/>
      <c r="N37" s="58">
        <f t="shared" si="1"/>
        <v>0</v>
      </c>
    </row>
    <row r="38" spans="2:14">
      <c r="B38" s="11">
        <v>1004055</v>
      </c>
      <c r="C38" s="15" t="s">
        <v>123</v>
      </c>
      <c r="D38" s="33">
        <f>'เย็น 102'!D38+'เช้า '!D38+'เย็น '!D38</f>
        <v>0</v>
      </c>
      <c r="E38" s="33">
        <f>'เย็น 102'!E38+'เช้า '!E38+'เย็น '!E38</f>
        <v>0</v>
      </c>
      <c r="F38" s="33">
        <f>'เย็น 102'!F38+'เช้า '!F38+'เย็น '!F38</f>
        <v>0</v>
      </c>
      <c r="G38" s="33">
        <f>'เย็น 102'!G38+'เช้า '!G38+'เย็น '!G38</f>
        <v>0</v>
      </c>
      <c r="H38" s="33">
        <f>'เย็น 102'!H38+'เช้า '!H38+'เย็น '!H38</f>
        <v>0</v>
      </c>
      <c r="I38" s="33">
        <f>'เย็น 102'!I38+'เช้า '!I38+'เย็น '!I38</f>
        <v>0</v>
      </c>
      <c r="J38" s="33">
        <f>'เย็น 102'!J38+'เช้า '!J38+'เย็น '!J38</f>
        <v>0</v>
      </c>
      <c r="K38" s="39">
        <f t="shared" si="0"/>
        <v>0</v>
      </c>
      <c r="L38" s="11"/>
      <c r="M38" s="11"/>
      <c r="N38" s="58">
        <f t="shared" si="1"/>
        <v>0</v>
      </c>
    </row>
    <row r="39" spans="2:14">
      <c r="B39" s="11">
        <v>1004055</v>
      </c>
      <c r="C39" s="15" t="s">
        <v>124</v>
      </c>
      <c r="D39" s="33">
        <f>'เย็น 102'!D39+'เช้า '!D39+'เย็น '!D39</f>
        <v>0</v>
      </c>
      <c r="E39" s="33">
        <f>'เย็น 102'!E39+'เช้า '!E39+'เย็น '!E39</f>
        <v>0</v>
      </c>
      <c r="F39" s="33">
        <f>'เย็น 102'!F39+'เช้า '!F39+'เย็น '!F39</f>
        <v>0</v>
      </c>
      <c r="G39" s="33">
        <f>'เย็น 102'!G39+'เช้า '!G39+'เย็น '!G39</f>
        <v>0</v>
      </c>
      <c r="H39" s="33">
        <f>'เย็น 102'!H39+'เช้า '!H39+'เย็น '!H39</f>
        <v>0</v>
      </c>
      <c r="I39" s="33">
        <f>'เย็น 102'!I39+'เช้า '!I39+'เย็น '!I39</f>
        <v>0</v>
      </c>
      <c r="J39" s="33">
        <f>'เย็น 102'!J39+'เช้า '!J39+'เย็น '!J39</f>
        <v>0</v>
      </c>
      <c r="K39" s="39">
        <f t="shared" si="0"/>
        <v>0</v>
      </c>
      <c r="L39" s="11"/>
      <c r="M39" s="11"/>
      <c r="N39" s="58">
        <f t="shared" si="1"/>
        <v>0</v>
      </c>
    </row>
    <row r="40" spans="2:14">
      <c r="B40" s="11">
        <v>1111057</v>
      </c>
      <c r="C40" s="15" t="s">
        <v>30</v>
      </c>
      <c r="D40" s="33">
        <f>'เย็น 102'!D40+'เช้า '!D40+'เย็น '!D40</f>
        <v>16</v>
      </c>
      <c r="E40" s="33">
        <f>'เย็น 102'!E40+'เช้า '!E40+'เย็น '!E40</f>
        <v>0</v>
      </c>
      <c r="F40" s="33">
        <f>'เย็น 102'!F40+'เช้า '!F40+'เย็น '!F40</f>
        <v>2</v>
      </c>
      <c r="G40" s="33">
        <f>'เย็น 102'!G40+'เช้า '!G40+'เย็น '!G40</f>
        <v>1</v>
      </c>
      <c r="H40" s="33">
        <f>'เย็น 102'!H40+'เช้า '!H40+'เย็น '!H40</f>
        <v>0</v>
      </c>
      <c r="I40" s="33">
        <f>'เย็น 102'!I40+'เช้า '!I40+'เย็น '!I40</f>
        <v>0</v>
      </c>
      <c r="J40" s="33">
        <f>'เย็น 102'!J40+'เช้า '!J40+'เย็น '!J40</f>
        <v>0</v>
      </c>
      <c r="K40" s="39">
        <f t="shared" si="0"/>
        <v>19</v>
      </c>
      <c r="L40" s="11"/>
      <c r="M40" s="11"/>
      <c r="N40" s="58">
        <f t="shared" si="1"/>
        <v>-19</v>
      </c>
    </row>
    <row r="41" spans="2:14">
      <c r="B41" s="11">
        <v>1111058</v>
      </c>
      <c r="C41" s="15" t="s">
        <v>31</v>
      </c>
      <c r="D41" s="33">
        <f>'เย็น 102'!D41+'เช้า '!D41+'เย็น '!D41</f>
        <v>16</v>
      </c>
      <c r="E41" s="33">
        <f>'เย็น 102'!E41+'เช้า '!E41+'เย็น '!E41</f>
        <v>0</v>
      </c>
      <c r="F41" s="33">
        <f>'เย็น 102'!F41+'เช้า '!F41+'เย็น '!F41</f>
        <v>1</v>
      </c>
      <c r="G41" s="33">
        <f>'เย็น 102'!G41+'เช้า '!G41+'เย็น '!G41</f>
        <v>0</v>
      </c>
      <c r="H41" s="33">
        <f>'เย็น 102'!H41+'เช้า '!H41+'เย็น '!H41</f>
        <v>0</v>
      </c>
      <c r="I41" s="33">
        <f>'เย็น 102'!I41+'เช้า '!I41+'เย็น '!I41</f>
        <v>0</v>
      </c>
      <c r="J41" s="33">
        <f>'เย็น 102'!J41+'เช้า '!J41+'เย็น '!J41</f>
        <v>0</v>
      </c>
      <c r="K41" s="39">
        <f t="shared" si="0"/>
        <v>17</v>
      </c>
      <c r="L41" s="11"/>
      <c r="M41" s="11"/>
      <c r="N41" s="58">
        <f t="shared" si="1"/>
        <v>-17</v>
      </c>
    </row>
    <row r="42" spans="2:14">
      <c r="B42" s="11">
        <v>1111059</v>
      </c>
      <c r="C42" s="15" t="s">
        <v>32</v>
      </c>
      <c r="D42" s="33">
        <f>'เย็น 102'!D42+'เช้า '!D42+'เย็น '!D42</f>
        <v>16</v>
      </c>
      <c r="E42" s="33">
        <f>'เย็น 102'!E42+'เช้า '!E42+'เย็น '!E42</f>
        <v>0</v>
      </c>
      <c r="F42" s="33">
        <f>'เย็น 102'!F42+'เช้า '!F42+'เย็น '!F42</f>
        <v>0</v>
      </c>
      <c r="G42" s="33">
        <f>'เย็น 102'!G42+'เช้า '!G42+'เย็น '!G42</f>
        <v>0</v>
      </c>
      <c r="H42" s="33">
        <f>'เย็น 102'!H42+'เช้า '!H42+'เย็น '!H42</f>
        <v>0</v>
      </c>
      <c r="I42" s="33">
        <f>'เย็น 102'!I42+'เช้า '!I42+'เย็น '!I42</f>
        <v>0</v>
      </c>
      <c r="J42" s="33">
        <f>'เย็น 102'!J42+'เช้า '!J42+'เย็น '!J42</f>
        <v>0</v>
      </c>
      <c r="K42" s="39">
        <f t="shared" si="0"/>
        <v>16</v>
      </c>
      <c r="L42" s="11"/>
      <c r="M42" s="11"/>
      <c r="N42" s="58">
        <f t="shared" si="1"/>
        <v>-16</v>
      </c>
    </row>
    <row r="43" spans="2:14">
      <c r="B43" s="11">
        <v>1111060</v>
      </c>
      <c r="C43" s="15" t="s">
        <v>33</v>
      </c>
      <c r="D43" s="33">
        <f>'เย็น 102'!D43+'เช้า '!D43+'เย็น '!D43</f>
        <v>16</v>
      </c>
      <c r="E43" s="33">
        <f>'เย็น 102'!E43+'เช้า '!E43+'เย็น '!E43</f>
        <v>0</v>
      </c>
      <c r="F43" s="33">
        <f>'เย็น 102'!F43+'เช้า '!F43+'เย็น '!F43</f>
        <v>0</v>
      </c>
      <c r="G43" s="33">
        <f>'เย็น 102'!G43+'เช้า '!G43+'เย็น '!G43</f>
        <v>0</v>
      </c>
      <c r="H43" s="33">
        <f>'เย็น 102'!H43+'เช้า '!H43+'เย็น '!H43</f>
        <v>0</v>
      </c>
      <c r="I43" s="33">
        <f>'เย็น 102'!I43+'เช้า '!I43+'เย็น '!I43</f>
        <v>0</v>
      </c>
      <c r="J43" s="33">
        <f>'เย็น 102'!J43+'เช้า '!J43+'เย็น '!J43</f>
        <v>0</v>
      </c>
      <c r="K43" s="39">
        <f t="shared" si="0"/>
        <v>16</v>
      </c>
      <c r="L43" s="11"/>
      <c r="M43" s="11"/>
      <c r="N43" s="58">
        <f t="shared" si="1"/>
        <v>-16</v>
      </c>
    </row>
    <row r="44" spans="2:14">
      <c r="B44" s="11">
        <v>1111061</v>
      </c>
      <c r="C44" s="15" t="s">
        <v>34</v>
      </c>
      <c r="D44" s="33">
        <f>'เย็น 102'!D44+'เช้า '!D44+'เย็น '!D44</f>
        <v>16</v>
      </c>
      <c r="E44" s="33">
        <f>'เย็น 102'!E44+'เช้า '!E44+'เย็น '!E44</f>
        <v>0</v>
      </c>
      <c r="F44" s="33">
        <f>'เย็น 102'!F44+'เช้า '!F44+'เย็น '!F44</f>
        <v>0</v>
      </c>
      <c r="G44" s="33">
        <f>'เย็น 102'!G44+'เช้า '!G44+'เย็น '!G44</f>
        <v>0</v>
      </c>
      <c r="H44" s="33">
        <f>'เย็น 102'!H44+'เช้า '!H44+'เย็น '!H44</f>
        <v>0</v>
      </c>
      <c r="I44" s="33">
        <f>'เย็น 102'!I44+'เช้า '!I44+'เย็น '!I44</f>
        <v>0</v>
      </c>
      <c r="J44" s="33">
        <f>'เย็น 102'!J44+'เช้า '!J44+'เย็น '!J44</f>
        <v>0</v>
      </c>
      <c r="K44" s="39">
        <f t="shared" si="0"/>
        <v>16</v>
      </c>
      <c r="L44" s="11"/>
      <c r="M44" s="11"/>
      <c r="N44" s="58">
        <f t="shared" si="1"/>
        <v>-16</v>
      </c>
    </row>
    <row r="45" spans="2:14">
      <c r="B45" s="11">
        <v>1111062</v>
      </c>
      <c r="C45" s="15" t="s">
        <v>35</v>
      </c>
      <c r="D45" s="33">
        <f>'เย็น 102'!D45+'เช้า '!D45+'เย็น '!D45</f>
        <v>15</v>
      </c>
      <c r="E45" s="33">
        <f>'เย็น 102'!E45+'เช้า '!E45+'เย็น '!E45</f>
        <v>0</v>
      </c>
      <c r="F45" s="33">
        <f>'เย็น 102'!F45+'เช้า '!F45+'เย็น '!F45</f>
        <v>0</v>
      </c>
      <c r="G45" s="33">
        <f>'เย็น 102'!G45+'เช้า '!G45+'เย็น '!G45</f>
        <v>0</v>
      </c>
      <c r="H45" s="33">
        <f>'เย็น 102'!H45+'เช้า '!H45+'เย็น '!H45</f>
        <v>0</v>
      </c>
      <c r="I45" s="33">
        <f>'เย็น 102'!I45+'เช้า '!I45+'เย็น '!I45</f>
        <v>0</v>
      </c>
      <c r="J45" s="33">
        <f>'เย็น 102'!J45+'เช้า '!J45+'เย็น '!J45</f>
        <v>0</v>
      </c>
      <c r="K45" s="39">
        <f t="shared" si="0"/>
        <v>15</v>
      </c>
      <c r="L45" s="11"/>
      <c r="M45" s="11"/>
      <c r="N45" s="58">
        <f t="shared" si="1"/>
        <v>-15</v>
      </c>
    </row>
    <row r="46" spans="2:14">
      <c r="B46" s="11">
        <v>1111063</v>
      </c>
      <c r="C46" s="15" t="s">
        <v>36</v>
      </c>
      <c r="D46" s="33">
        <f>'เย็น 102'!D46+'เช้า '!D46+'เย็น '!D46</f>
        <v>15</v>
      </c>
      <c r="E46" s="33">
        <f>'เย็น 102'!E46+'เช้า '!E46+'เย็น '!E46</f>
        <v>0</v>
      </c>
      <c r="F46" s="33">
        <f>'เย็น 102'!F46+'เช้า '!F46+'เย็น '!F46</f>
        <v>0</v>
      </c>
      <c r="G46" s="33">
        <f>'เย็น 102'!G46+'เช้า '!G46+'เย็น '!G46</f>
        <v>0</v>
      </c>
      <c r="H46" s="33">
        <f>'เย็น 102'!H46+'เช้า '!H46+'เย็น '!H46</f>
        <v>0</v>
      </c>
      <c r="I46" s="33">
        <f>'เย็น 102'!I46+'เช้า '!I46+'เย็น '!I46</f>
        <v>0</v>
      </c>
      <c r="J46" s="33">
        <f>'เย็น 102'!J46+'เช้า '!J46+'เย็น '!J46</f>
        <v>0</v>
      </c>
      <c r="K46" s="39">
        <f t="shared" si="0"/>
        <v>15</v>
      </c>
      <c r="L46" s="11"/>
      <c r="M46" s="11"/>
      <c r="N46" s="58">
        <f t="shared" si="1"/>
        <v>-15</v>
      </c>
    </row>
    <row r="47" spans="2:14">
      <c r="B47" s="11">
        <v>1111064</v>
      </c>
      <c r="C47" s="15" t="s">
        <v>37</v>
      </c>
      <c r="D47" s="33">
        <f>'เย็น 102'!D47+'เช้า '!D47+'เย็น '!D47</f>
        <v>15</v>
      </c>
      <c r="E47" s="33">
        <f>'เย็น 102'!E47+'เช้า '!E47+'เย็น '!E47</f>
        <v>0</v>
      </c>
      <c r="F47" s="33">
        <f>'เย็น 102'!F47+'เช้า '!F47+'เย็น '!F47</f>
        <v>0</v>
      </c>
      <c r="G47" s="33">
        <f>'เย็น 102'!G47+'เช้า '!G47+'เย็น '!G47</f>
        <v>0</v>
      </c>
      <c r="H47" s="33">
        <f>'เย็น 102'!H47+'เช้า '!H47+'เย็น '!H47</f>
        <v>0</v>
      </c>
      <c r="I47" s="33">
        <f>'เย็น 102'!I47+'เช้า '!I47+'เย็น '!I47</f>
        <v>0</v>
      </c>
      <c r="J47" s="33">
        <f>'เย็น 102'!J47+'เช้า '!J47+'เย็น '!J47</f>
        <v>0</v>
      </c>
      <c r="K47" s="39">
        <f t="shared" si="0"/>
        <v>15</v>
      </c>
      <c r="L47" s="11"/>
      <c r="M47" s="11"/>
      <c r="N47" s="58">
        <f t="shared" si="1"/>
        <v>-15</v>
      </c>
    </row>
    <row r="48" spans="2:14">
      <c r="B48" s="11">
        <v>1111065</v>
      </c>
      <c r="C48" s="15" t="s">
        <v>38</v>
      </c>
      <c r="D48" s="33">
        <f>'เย็น 102'!D48+'เช้า '!D48+'เย็น '!D48</f>
        <v>15</v>
      </c>
      <c r="E48" s="33">
        <f>'เย็น 102'!E48+'เช้า '!E48+'เย็น '!E48</f>
        <v>0</v>
      </c>
      <c r="F48" s="33">
        <f>'เย็น 102'!F48+'เช้า '!F48+'เย็น '!F48</f>
        <v>0</v>
      </c>
      <c r="G48" s="33">
        <f>'เย็น 102'!G48+'เช้า '!G48+'เย็น '!G48</f>
        <v>0</v>
      </c>
      <c r="H48" s="33">
        <f>'เย็น 102'!H48+'เช้า '!H48+'เย็น '!H48</f>
        <v>0</v>
      </c>
      <c r="I48" s="33">
        <f>'เย็น 102'!I48+'เช้า '!I48+'เย็น '!I48</f>
        <v>0</v>
      </c>
      <c r="J48" s="33">
        <f>'เย็น 102'!J48+'เช้า '!J48+'เย็น '!J48</f>
        <v>0</v>
      </c>
      <c r="K48" s="39">
        <f t="shared" si="0"/>
        <v>15</v>
      </c>
      <c r="L48" s="11"/>
      <c r="M48" s="11"/>
      <c r="N48" s="58">
        <f t="shared" si="1"/>
        <v>-15</v>
      </c>
    </row>
    <row r="49" spans="2:17">
      <c r="B49" s="11">
        <v>1111066</v>
      </c>
      <c r="C49" s="15" t="s">
        <v>39</v>
      </c>
      <c r="D49" s="33">
        <f>'เย็น 102'!D49+'เช้า '!D49+'เย็น '!D49</f>
        <v>15</v>
      </c>
      <c r="E49" s="33">
        <f>'เย็น 102'!E49+'เช้า '!E49+'เย็น '!E49</f>
        <v>0</v>
      </c>
      <c r="F49" s="33">
        <f>'เย็น 102'!F49+'เช้า '!F49+'เย็น '!F49</f>
        <v>0</v>
      </c>
      <c r="G49" s="33">
        <f>'เย็น 102'!G49+'เช้า '!G49+'เย็น '!G49</f>
        <v>0</v>
      </c>
      <c r="H49" s="33">
        <f>'เย็น 102'!H49+'เช้า '!H49+'เย็น '!H49</f>
        <v>0</v>
      </c>
      <c r="I49" s="33">
        <f>'เย็น 102'!I49+'เช้า '!I49+'เย็น '!I49</f>
        <v>0</v>
      </c>
      <c r="J49" s="33">
        <f>'เย็น 102'!J49+'เช้า '!J49+'เย็น '!J49</f>
        <v>0</v>
      </c>
      <c r="K49" s="39">
        <f t="shared" si="0"/>
        <v>15</v>
      </c>
      <c r="L49" s="11"/>
      <c r="M49" s="11"/>
      <c r="N49" s="58">
        <f t="shared" si="1"/>
        <v>-15</v>
      </c>
    </row>
    <row r="50" spans="2:17">
      <c r="B50" s="11">
        <v>1111067</v>
      </c>
      <c r="C50" s="15" t="s">
        <v>40</v>
      </c>
      <c r="D50" s="33">
        <f>'เย็น 102'!D50+'เช้า '!D50+'เย็น '!D50</f>
        <v>15</v>
      </c>
      <c r="E50" s="33">
        <f>'เย็น 102'!E50+'เช้า '!E50+'เย็น '!E50</f>
        <v>0</v>
      </c>
      <c r="F50" s="33">
        <f>'เย็น 102'!F50+'เช้า '!F50+'เย็น '!F50</f>
        <v>0</v>
      </c>
      <c r="G50" s="33">
        <f>'เย็น 102'!G50+'เช้า '!G50+'เย็น '!G50</f>
        <v>0</v>
      </c>
      <c r="H50" s="33">
        <f>'เย็น 102'!H50+'เช้า '!H50+'เย็น '!H50</f>
        <v>0</v>
      </c>
      <c r="I50" s="33">
        <f>'เย็น 102'!I50+'เช้า '!I50+'เย็น '!I50</f>
        <v>0</v>
      </c>
      <c r="J50" s="33">
        <f>'เย็น 102'!J50+'เช้า '!J50+'เย็น '!J50</f>
        <v>0</v>
      </c>
      <c r="K50" s="39">
        <f t="shared" si="0"/>
        <v>15</v>
      </c>
      <c r="L50" s="11"/>
      <c r="M50" s="11"/>
      <c r="N50" s="58">
        <f t="shared" si="1"/>
        <v>-15</v>
      </c>
    </row>
    <row r="51" spans="2:17">
      <c r="B51" s="11">
        <v>1111068</v>
      </c>
      <c r="C51" s="15" t="s">
        <v>41</v>
      </c>
      <c r="D51" s="33">
        <f>'เย็น 102'!D51+'เช้า '!D51+'เย็น '!D51</f>
        <v>15</v>
      </c>
      <c r="E51" s="33">
        <f>'เย็น 102'!E51+'เช้า '!E51+'เย็น '!E51</f>
        <v>0</v>
      </c>
      <c r="F51" s="33">
        <f>'เย็น 102'!F51+'เช้า '!F51+'เย็น '!F51</f>
        <v>0</v>
      </c>
      <c r="G51" s="33">
        <f>'เย็น 102'!G51+'เช้า '!G51+'เย็น '!G51</f>
        <v>0</v>
      </c>
      <c r="H51" s="33">
        <f>'เย็น 102'!H51+'เช้า '!H51+'เย็น '!H51</f>
        <v>0</v>
      </c>
      <c r="I51" s="33">
        <f>'เย็น 102'!I51+'เช้า '!I51+'เย็น '!I51</f>
        <v>0</v>
      </c>
      <c r="J51" s="33">
        <f>'เย็น 102'!J51+'เช้า '!J51+'เย็น '!J51</f>
        <v>0</v>
      </c>
      <c r="K51" s="39">
        <f t="shared" si="0"/>
        <v>15</v>
      </c>
      <c r="L51" s="11"/>
      <c r="M51" s="11"/>
      <c r="N51" s="58">
        <f t="shared" si="1"/>
        <v>-15</v>
      </c>
    </row>
    <row r="52" spans="2:17">
      <c r="B52" s="11">
        <v>1111069</v>
      </c>
      <c r="C52" s="15" t="s">
        <v>42</v>
      </c>
      <c r="D52" s="33">
        <f>'เย็น 102'!D52+'เช้า '!D52+'เย็น '!D52</f>
        <v>15</v>
      </c>
      <c r="E52" s="33">
        <f>'เย็น 102'!E52+'เช้า '!E52+'เย็น '!E52</f>
        <v>0</v>
      </c>
      <c r="F52" s="33">
        <f>'เย็น 102'!F52+'เช้า '!F52+'เย็น '!F52</f>
        <v>0</v>
      </c>
      <c r="G52" s="33">
        <f>'เย็น 102'!G52+'เช้า '!G52+'เย็น '!G52</f>
        <v>0</v>
      </c>
      <c r="H52" s="33">
        <f>'เย็น 102'!H52+'เช้า '!H52+'เย็น '!H52</f>
        <v>0</v>
      </c>
      <c r="I52" s="33">
        <f>'เย็น 102'!I52+'เช้า '!I52+'เย็น '!I52</f>
        <v>0</v>
      </c>
      <c r="J52" s="33">
        <f>'เย็น 102'!J52+'เช้า '!J52+'เย็น '!J52</f>
        <v>0</v>
      </c>
      <c r="K52" s="39">
        <f t="shared" si="0"/>
        <v>15</v>
      </c>
      <c r="L52" s="11"/>
      <c r="M52" s="11"/>
      <c r="N52" s="58">
        <f t="shared" si="1"/>
        <v>-15</v>
      </c>
      <c r="P52" s="60"/>
      <c r="Q52" s="59"/>
    </row>
    <row r="53" spans="2:17">
      <c r="B53" s="11">
        <v>1111070</v>
      </c>
      <c r="C53" s="15" t="s">
        <v>139</v>
      </c>
      <c r="D53" s="33">
        <f>'เย็น 102'!D53+'เช้า '!D53+'เย็น '!D53</f>
        <v>0</v>
      </c>
      <c r="E53" s="33">
        <f>'เย็น 102'!E53+'เช้า '!E53+'เย็น '!E53</f>
        <v>0</v>
      </c>
      <c r="F53" s="33">
        <f>'เย็น 102'!F53+'เช้า '!F53+'เย็น '!F53</f>
        <v>0</v>
      </c>
      <c r="G53" s="33">
        <f>'เย็น 102'!G53+'เช้า '!G53+'เย็น '!G53</f>
        <v>0</v>
      </c>
      <c r="H53" s="33">
        <f>'เย็น 102'!H53+'เช้า '!H53+'เย็น '!H53</f>
        <v>0</v>
      </c>
      <c r="I53" s="33">
        <f>'เย็น 102'!I53+'เช้า '!I53+'เย็น '!I53</f>
        <v>0</v>
      </c>
      <c r="J53" s="33">
        <f>'เย็น 102'!J53+'เช้า '!J53+'เย็น '!J53</f>
        <v>0</v>
      </c>
      <c r="K53" s="39">
        <f t="shared" si="0"/>
        <v>0</v>
      </c>
      <c r="L53" s="11"/>
      <c r="M53" s="11"/>
      <c r="N53" s="58">
        <f t="shared" si="1"/>
        <v>0</v>
      </c>
    </row>
    <row r="54" spans="2:17">
      <c r="B54" s="11">
        <v>1111071</v>
      </c>
      <c r="C54" s="15" t="s">
        <v>140</v>
      </c>
      <c r="D54" s="33">
        <f>'เย็น 102'!D54+'เช้า '!D54+'เย็น '!D54</f>
        <v>0</v>
      </c>
      <c r="E54" s="33">
        <f>'เย็น 102'!E54+'เช้า '!E54+'เย็น '!E54</f>
        <v>0</v>
      </c>
      <c r="F54" s="33">
        <f>'เย็น 102'!F54+'เช้า '!F54+'เย็น '!F54</f>
        <v>0</v>
      </c>
      <c r="G54" s="33">
        <f>'เย็น 102'!G54+'เช้า '!G54+'เย็น '!G54</f>
        <v>0</v>
      </c>
      <c r="H54" s="33">
        <f>'เย็น 102'!H54+'เช้า '!H54+'เย็น '!H54</f>
        <v>0</v>
      </c>
      <c r="I54" s="33">
        <f>'เย็น 102'!I54+'เช้า '!I54+'เย็น '!I54</f>
        <v>0</v>
      </c>
      <c r="J54" s="33">
        <f>'เย็น 102'!J54+'เช้า '!J54+'เย็น '!J54</f>
        <v>0</v>
      </c>
      <c r="K54" s="39">
        <f t="shared" si="0"/>
        <v>0</v>
      </c>
      <c r="L54" s="11"/>
      <c r="M54" s="11"/>
      <c r="N54" s="58">
        <f t="shared" si="1"/>
        <v>0</v>
      </c>
    </row>
    <row r="55" spans="2:17">
      <c r="B55" s="11">
        <v>1111001</v>
      </c>
      <c r="C55" s="15" t="s">
        <v>43</v>
      </c>
      <c r="D55" s="33">
        <f>'เย็น 102'!D55+'เช้า '!D55+'เย็น '!D55</f>
        <v>0</v>
      </c>
      <c r="E55" s="33">
        <f>'เย็น 102'!E55+'เช้า '!E55+'เย็น '!E55</f>
        <v>0</v>
      </c>
      <c r="F55" s="33">
        <f>'เย็น 102'!F55+'เช้า '!F55+'เย็น '!F55</f>
        <v>0</v>
      </c>
      <c r="G55" s="33">
        <f>'เย็น 102'!G55+'เช้า '!G55+'เย็น '!G55</f>
        <v>0</v>
      </c>
      <c r="H55" s="33">
        <f>'เย็น 102'!H55+'เช้า '!H55+'เย็น '!H55</f>
        <v>0</v>
      </c>
      <c r="I55" s="33">
        <f>'เย็น 102'!I55+'เช้า '!I55+'เย็น '!I55</f>
        <v>0</v>
      </c>
      <c r="J55" s="33">
        <f>'เย็น 102'!J55+'เช้า '!J55+'เย็น '!J55</f>
        <v>0</v>
      </c>
      <c r="K55" s="39">
        <f t="shared" si="0"/>
        <v>0</v>
      </c>
      <c r="L55" s="11"/>
      <c r="M55" s="11"/>
      <c r="N55" s="58">
        <f t="shared" si="1"/>
        <v>0</v>
      </c>
    </row>
    <row r="56" spans="2:17">
      <c r="B56" s="11">
        <v>1111074</v>
      </c>
      <c r="C56" s="15" t="s">
        <v>44</v>
      </c>
      <c r="D56" s="33">
        <f>'เย็น 102'!D56+'เช้า '!D56+'เย็น '!D56</f>
        <v>3</v>
      </c>
      <c r="E56" s="33">
        <f>'เย็น 102'!E56+'เช้า '!E56+'เย็น '!E56</f>
        <v>4</v>
      </c>
      <c r="F56" s="33">
        <f>'เย็น 102'!F56+'เช้า '!F56+'เย็น '!F56</f>
        <v>0</v>
      </c>
      <c r="G56" s="33">
        <f>'เย็น 102'!G56+'เช้า '!G56+'เย็น '!G56</f>
        <v>1</v>
      </c>
      <c r="H56" s="33">
        <f>'เย็น 102'!H56+'เช้า '!H56+'เย็น '!H56</f>
        <v>0</v>
      </c>
      <c r="I56" s="33">
        <f>'เย็น 102'!I56+'เช้า '!I56+'เย็น '!I56</f>
        <v>0</v>
      </c>
      <c r="J56" s="33">
        <f>'เย็น 102'!J56+'เช้า '!J56+'เย็น '!J56</f>
        <v>0</v>
      </c>
      <c r="K56" s="39">
        <f t="shared" si="0"/>
        <v>8</v>
      </c>
      <c r="L56" s="11"/>
      <c r="M56" s="11"/>
      <c r="N56" s="58">
        <f t="shared" si="1"/>
        <v>-8</v>
      </c>
    </row>
    <row r="57" spans="2:17">
      <c r="B57" s="11">
        <v>1111075</v>
      </c>
      <c r="C57" s="15" t="s">
        <v>45</v>
      </c>
      <c r="D57" s="33">
        <f>'เย็น 102'!D57+'เช้า '!D57+'เย็น '!D57</f>
        <v>3</v>
      </c>
      <c r="E57" s="33">
        <f>'เย็น 102'!E57+'เช้า '!E57+'เย็น '!E57</f>
        <v>4</v>
      </c>
      <c r="F57" s="33">
        <f>'เย็น 102'!F57+'เช้า '!F57+'เย็น '!F57</f>
        <v>0</v>
      </c>
      <c r="G57" s="33">
        <f>'เย็น 102'!G57+'เช้า '!G57+'เย็น '!G57</f>
        <v>1</v>
      </c>
      <c r="H57" s="33">
        <f>'เย็น 102'!H57+'เช้า '!H57+'เย็น '!H57</f>
        <v>0</v>
      </c>
      <c r="I57" s="33">
        <f>'เย็น 102'!I57+'เช้า '!I57+'เย็น '!I57</f>
        <v>0</v>
      </c>
      <c r="J57" s="33">
        <f>'เย็น 102'!J57+'เช้า '!J57+'เย็น '!J57</f>
        <v>0</v>
      </c>
      <c r="K57" s="39">
        <f t="shared" si="0"/>
        <v>8</v>
      </c>
      <c r="L57" s="11"/>
      <c r="M57" s="11"/>
      <c r="N57" s="58">
        <f t="shared" si="1"/>
        <v>-8</v>
      </c>
    </row>
    <row r="58" spans="2:17">
      <c r="B58" s="11">
        <v>1111076</v>
      </c>
      <c r="C58" s="15" t="s">
        <v>46</v>
      </c>
      <c r="D58" s="33">
        <f>'เย็น 102'!D58+'เช้า '!D58+'เย็น '!D58</f>
        <v>3</v>
      </c>
      <c r="E58" s="33">
        <f>'เย็น 102'!E58+'เช้า '!E58+'เย็น '!E58</f>
        <v>4</v>
      </c>
      <c r="F58" s="33">
        <f>'เย็น 102'!F58+'เช้า '!F58+'เย็น '!F58</f>
        <v>0</v>
      </c>
      <c r="G58" s="33">
        <f>'เย็น 102'!G58+'เช้า '!G58+'เย็น '!G58</f>
        <v>1</v>
      </c>
      <c r="H58" s="33">
        <f>'เย็น 102'!H58+'เช้า '!H58+'เย็น '!H58</f>
        <v>0</v>
      </c>
      <c r="I58" s="33">
        <f>'เย็น 102'!I58+'เช้า '!I58+'เย็น '!I58</f>
        <v>0</v>
      </c>
      <c r="J58" s="33">
        <f>'เย็น 102'!J58+'เช้า '!J58+'เย็น '!J58</f>
        <v>0</v>
      </c>
      <c r="K58" s="39">
        <f t="shared" si="0"/>
        <v>8</v>
      </c>
      <c r="L58" s="11"/>
      <c r="M58" s="11"/>
      <c r="N58" s="58">
        <f t="shared" si="1"/>
        <v>-8</v>
      </c>
    </row>
    <row r="59" spans="2:17">
      <c r="B59" s="11">
        <v>1111077</v>
      </c>
      <c r="C59" s="15" t="s">
        <v>47</v>
      </c>
      <c r="D59" s="33">
        <f>'เย็น 102'!D59+'เช้า '!D59+'เย็น '!D59</f>
        <v>3</v>
      </c>
      <c r="E59" s="33">
        <f>'เย็น 102'!E59+'เช้า '!E59+'เย็น '!E59</f>
        <v>5</v>
      </c>
      <c r="F59" s="33">
        <f>'เย็น 102'!F59+'เช้า '!F59+'เย็น '!F59</f>
        <v>0</v>
      </c>
      <c r="G59" s="33">
        <f>'เย็น 102'!G59+'เช้า '!G59+'เย็น '!G59</f>
        <v>1</v>
      </c>
      <c r="H59" s="33">
        <f>'เย็น 102'!H59+'เช้า '!H59+'เย็น '!H59</f>
        <v>0</v>
      </c>
      <c r="I59" s="33">
        <f>'เย็น 102'!I59+'เช้า '!I59+'เย็น '!I59</f>
        <v>0</v>
      </c>
      <c r="J59" s="33">
        <f>'เย็น 102'!J59+'เช้า '!J59+'เย็น '!J59</f>
        <v>0</v>
      </c>
      <c r="K59" s="39">
        <f t="shared" si="0"/>
        <v>9</v>
      </c>
      <c r="L59" s="11"/>
      <c r="M59" s="11"/>
      <c r="N59" s="58">
        <f t="shared" si="1"/>
        <v>-9</v>
      </c>
    </row>
    <row r="60" spans="2:17">
      <c r="B60" s="11">
        <v>1111078</v>
      </c>
      <c r="C60" s="15" t="s">
        <v>48</v>
      </c>
      <c r="D60" s="33">
        <f>'เย็น 102'!D60+'เช้า '!D60+'เย็น '!D60</f>
        <v>3</v>
      </c>
      <c r="E60" s="33">
        <f>'เย็น 102'!E60+'เช้า '!E60+'เย็น '!E60</f>
        <v>4</v>
      </c>
      <c r="F60" s="33">
        <f>'เย็น 102'!F60+'เช้า '!F60+'เย็น '!F60</f>
        <v>0</v>
      </c>
      <c r="G60" s="33">
        <f>'เย็น 102'!G60+'เช้า '!G60+'เย็น '!G60</f>
        <v>1</v>
      </c>
      <c r="H60" s="33">
        <f>'เย็น 102'!H60+'เช้า '!H60+'เย็น '!H60</f>
        <v>0</v>
      </c>
      <c r="I60" s="33">
        <f>'เย็น 102'!I60+'เช้า '!I60+'เย็น '!I60</f>
        <v>0</v>
      </c>
      <c r="J60" s="33">
        <f>'เย็น 102'!J60+'เช้า '!J60+'เย็น '!J60</f>
        <v>0</v>
      </c>
      <c r="K60" s="39">
        <f t="shared" si="0"/>
        <v>8</v>
      </c>
      <c r="L60" s="11"/>
      <c r="M60" s="11"/>
      <c r="N60" s="58">
        <f t="shared" si="1"/>
        <v>-8</v>
      </c>
    </row>
    <row r="61" spans="2:17">
      <c r="B61" s="11">
        <v>1111079</v>
      </c>
      <c r="C61" s="15" t="s">
        <v>49</v>
      </c>
      <c r="D61" s="33">
        <f>'เย็น 102'!D61+'เช้า '!D61+'เย็น '!D61</f>
        <v>3</v>
      </c>
      <c r="E61" s="33">
        <f>'เย็น 102'!E61+'เช้า '!E61+'เย็น '!E61</f>
        <v>5</v>
      </c>
      <c r="F61" s="33">
        <f>'เย็น 102'!F61+'เช้า '!F61+'เย็น '!F61</f>
        <v>0</v>
      </c>
      <c r="G61" s="33">
        <f>'เย็น 102'!G61+'เช้า '!G61+'เย็น '!G61</f>
        <v>1</v>
      </c>
      <c r="H61" s="33">
        <f>'เย็น 102'!H61+'เช้า '!H61+'เย็น '!H61</f>
        <v>0</v>
      </c>
      <c r="I61" s="33">
        <f>'เย็น 102'!I61+'เช้า '!I61+'เย็น '!I61</f>
        <v>0</v>
      </c>
      <c r="J61" s="33">
        <f>'เย็น 102'!J61+'เช้า '!J61+'เย็น '!J61</f>
        <v>0</v>
      </c>
      <c r="K61" s="39">
        <f t="shared" si="0"/>
        <v>9</v>
      </c>
      <c r="L61" s="11"/>
      <c r="M61" s="11"/>
      <c r="N61" s="58">
        <f t="shared" si="1"/>
        <v>-9</v>
      </c>
    </row>
    <row r="62" spans="2:17">
      <c r="B62" s="11">
        <v>1111080</v>
      </c>
      <c r="C62" s="15" t="s">
        <v>50</v>
      </c>
      <c r="D62" s="33">
        <f>'เย็น 102'!D62+'เช้า '!D62+'เย็น '!D62</f>
        <v>3</v>
      </c>
      <c r="E62" s="33">
        <f>'เย็น 102'!E62+'เช้า '!E62+'เย็น '!E62</f>
        <v>5</v>
      </c>
      <c r="F62" s="33">
        <f>'เย็น 102'!F62+'เช้า '!F62+'เย็น '!F62</f>
        <v>0</v>
      </c>
      <c r="G62" s="33">
        <f>'เย็น 102'!G62+'เช้า '!G62+'เย็น '!G62</f>
        <v>1</v>
      </c>
      <c r="H62" s="33">
        <f>'เย็น 102'!H62+'เช้า '!H62+'เย็น '!H62</f>
        <v>0</v>
      </c>
      <c r="I62" s="33">
        <f>'เย็น 102'!I62+'เช้า '!I62+'เย็น '!I62</f>
        <v>0</v>
      </c>
      <c r="J62" s="33">
        <f>'เย็น 102'!J62+'เช้า '!J62+'เย็น '!J62</f>
        <v>0</v>
      </c>
      <c r="K62" s="39">
        <f t="shared" si="0"/>
        <v>9</v>
      </c>
      <c r="L62" s="11"/>
      <c r="M62" s="11"/>
      <c r="N62" s="58">
        <f t="shared" si="1"/>
        <v>-9</v>
      </c>
    </row>
    <row r="63" spans="2:17">
      <c r="B63" s="11">
        <v>1111081</v>
      </c>
      <c r="C63" s="15" t="s">
        <v>51</v>
      </c>
      <c r="D63" s="33">
        <f>'เย็น 102'!D63+'เช้า '!D63+'เย็น '!D63</f>
        <v>3</v>
      </c>
      <c r="E63" s="33">
        <f>'เย็น 102'!E63+'เช้า '!E63+'เย็น '!E63</f>
        <v>4</v>
      </c>
      <c r="F63" s="33">
        <f>'เย็น 102'!F63+'เช้า '!F63+'เย็น '!F63</f>
        <v>0</v>
      </c>
      <c r="G63" s="33">
        <f>'เย็น 102'!G63+'เช้า '!G63+'เย็น '!G63</f>
        <v>1</v>
      </c>
      <c r="H63" s="33">
        <f>'เย็น 102'!H63+'เช้า '!H63+'เย็น '!H63</f>
        <v>0</v>
      </c>
      <c r="I63" s="33">
        <f>'เย็น 102'!I63+'เช้า '!I63+'เย็น '!I63</f>
        <v>0</v>
      </c>
      <c r="J63" s="33">
        <f>'เย็น 102'!J63+'เช้า '!J63+'เย็น '!J63</f>
        <v>0</v>
      </c>
      <c r="K63" s="39">
        <f t="shared" si="0"/>
        <v>8</v>
      </c>
      <c r="L63" s="11"/>
      <c r="M63" s="11"/>
      <c r="N63" s="58">
        <f t="shared" si="1"/>
        <v>-8</v>
      </c>
    </row>
    <row r="64" spans="2:17">
      <c r="B64" s="11">
        <v>1111082</v>
      </c>
      <c r="C64" s="15" t="s">
        <v>52</v>
      </c>
      <c r="D64" s="33">
        <f>'เย็น 102'!D64+'เช้า '!D64+'เย็น '!D64</f>
        <v>3</v>
      </c>
      <c r="E64" s="33">
        <f>'เย็น 102'!E64+'เช้า '!E64+'เย็น '!E64</f>
        <v>4</v>
      </c>
      <c r="F64" s="33">
        <f>'เย็น 102'!F64+'เช้า '!F64+'เย็น '!F64</f>
        <v>0</v>
      </c>
      <c r="G64" s="33">
        <f>'เย็น 102'!G64+'เช้า '!G64+'เย็น '!G64</f>
        <v>1</v>
      </c>
      <c r="H64" s="33">
        <f>'เย็น 102'!H64+'เช้า '!H64+'เย็น '!H64</f>
        <v>0</v>
      </c>
      <c r="I64" s="33">
        <f>'เย็น 102'!I64+'เช้า '!I64+'เย็น '!I64</f>
        <v>0</v>
      </c>
      <c r="J64" s="33">
        <f>'เย็น 102'!J64+'เช้า '!J64+'เย็น '!J64</f>
        <v>0</v>
      </c>
      <c r="K64" s="39">
        <f t="shared" si="0"/>
        <v>8</v>
      </c>
      <c r="L64" s="11"/>
      <c r="M64" s="11"/>
      <c r="N64" s="58">
        <f t="shared" si="1"/>
        <v>-8</v>
      </c>
    </row>
    <row r="65" spans="2:17">
      <c r="B65" s="11">
        <v>1111083</v>
      </c>
      <c r="C65" s="15" t="s">
        <v>53</v>
      </c>
      <c r="D65" s="33">
        <f>'เย็น 102'!D65+'เช้า '!D65+'เย็น '!D65</f>
        <v>3</v>
      </c>
      <c r="E65" s="33">
        <f>'เย็น 102'!E65+'เช้า '!E65+'เย็น '!E65</f>
        <v>1</v>
      </c>
      <c r="F65" s="33">
        <f>'เย็น 102'!F65+'เช้า '!F65+'เย็น '!F65</f>
        <v>0</v>
      </c>
      <c r="G65" s="33">
        <f>'เย็น 102'!G65+'เช้า '!G65+'เย็น '!G65</f>
        <v>1</v>
      </c>
      <c r="H65" s="33">
        <f>'เย็น 102'!H65+'เช้า '!H65+'เย็น '!H65</f>
        <v>0</v>
      </c>
      <c r="I65" s="33">
        <f>'เย็น 102'!I65+'เช้า '!I65+'เย็น '!I65</f>
        <v>0</v>
      </c>
      <c r="J65" s="33">
        <f>'เย็น 102'!J65+'เช้า '!J65+'เย็น '!J65</f>
        <v>0</v>
      </c>
      <c r="K65" s="39">
        <f t="shared" si="0"/>
        <v>5</v>
      </c>
      <c r="L65" s="11"/>
      <c r="M65" s="11"/>
      <c r="N65" s="58">
        <f t="shared" si="1"/>
        <v>-5</v>
      </c>
      <c r="P65" s="61"/>
      <c r="Q65" s="59"/>
    </row>
    <row r="66" spans="2:17">
      <c r="B66" s="11">
        <v>1111010</v>
      </c>
      <c r="C66" s="15" t="s">
        <v>54</v>
      </c>
      <c r="D66" s="33">
        <f>'เย็น 102'!D66+'เช้า '!D66+'เย็น '!D66</f>
        <v>0</v>
      </c>
      <c r="E66" s="33">
        <f>'เย็น 102'!E66+'เช้า '!E66+'เย็น '!E66</f>
        <v>0</v>
      </c>
      <c r="F66" s="33">
        <f>'เย็น 102'!F66+'เช้า '!F66+'เย็น '!F66</f>
        <v>0</v>
      </c>
      <c r="G66" s="33">
        <f>'เย็น 102'!G66+'เช้า '!G66+'เย็น '!G66</f>
        <v>0</v>
      </c>
      <c r="H66" s="33">
        <f>'เย็น 102'!H66+'เช้า '!H66+'เย็น '!H66</f>
        <v>0</v>
      </c>
      <c r="I66" s="33">
        <f>'เย็น 102'!I66+'เช้า '!I66+'เย็น '!I66</f>
        <v>0</v>
      </c>
      <c r="J66" s="33">
        <f>'เย็น 102'!J66+'เช้า '!J66+'เย็น '!J66</f>
        <v>0</v>
      </c>
      <c r="K66" s="39">
        <f t="shared" si="0"/>
        <v>0</v>
      </c>
      <c r="L66" s="11"/>
      <c r="M66" s="11"/>
      <c r="N66" s="58">
        <f t="shared" si="1"/>
        <v>0</v>
      </c>
    </row>
    <row r="67" spans="2:17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39">
        <f t="shared" si="0"/>
        <v>0</v>
      </c>
      <c r="L67" s="11"/>
      <c r="M67" s="11"/>
      <c r="N67" s="58">
        <f t="shared" ref="N8:N67" si="2">SUM(L67:M67)-K67</f>
        <v>0</v>
      </c>
    </row>
    <row r="68" spans="2:17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76"/>
    </row>
    <row r="69" spans="2:17">
      <c r="B69" s="11">
        <v>1111009</v>
      </c>
      <c r="C69" s="20" t="s">
        <v>56</v>
      </c>
      <c r="D69" s="33">
        <f>'เย็น 102'!D69+'เช้า '!D69+'เย็น '!D69</f>
        <v>3</v>
      </c>
      <c r="E69" s="33">
        <f>'เย็น 102'!E69+'เช้า '!E69+'เย็น '!E69</f>
        <v>2</v>
      </c>
      <c r="F69" s="33">
        <f>'เย็น 102'!F69+'เช้า '!F69+'เย็น '!F69</f>
        <v>9</v>
      </c>
      <c r="G69" s="33">
        <f>'เย็น 102'!G69+'เช้า '!G69+'เย็น '!G69</f>
        <v>0</v>
      </c>
      <c r="H69" s="33">
        <f>'เย็น 102'!H69+'เช้า '!H69+'เย็น '!H69</f>
        <v>0</v>
      </c>
      <c r="I69" s="33">
        <f>'เย็น 102'!I69+'เช้า '!I69+'เย็น '!I69</f>
        <v>0</v>
      </c>
      <c r="J69" s="33">
        <f>'เย็น 102'!J69+'เช้า '!J69+'เย็น '!J69</f>
        <v>0</v>
      </c>
      <c r="K69" s="39">
        <f>SUM(D69:J69)</f>
        <v>14</v>
      </c>
      <c r="L69" s="11">
        <v>25</v>
      </c>
      <c r="M69" s="11">
        <v>69</v>
      </c>
      <c r="N69" s="58">
        <f t="shared" ref="N69:N76" si="3">SUM(L69+M69)-K69</f>
        <v>80</v>
      </c>
    </row>
    <row r="70" spans="2:17">
      <c r="B70" s="11">
        <v>1111023</v>
      </c>
      <c r="C70" s="20" t="s">
        <v>57</v>
      </c>
      <c r="D70" s="33">
        <f>'เย็น 102'!D70+'เช้า '!D70+'เย็น '!D70</f>
        <v>0</v>
      </c>
      <c r="E70" s="33">
        <f>'เย็น 102'!E70+'เช้า '!E70+'เย็น '!E70</f>
        <v>0</v>
      </c>
      <c r="F70" s="33">
        <f>'เย็น 102'!F70+'เช้า '!F70+'เย็น '!F70</f>
        <v>0</v>
      </c>
      <c r="G70" s="33">
        <f>'เย็น 102'!G70+'เช้า '!G70+'เย็น '!G70</f>
        <v>0</v>
      </c>
      <c r="H70" s="33">
        <f>'เย็น 102'!H70+'เช้า '!H70+'เย็น '!H70</f>
        <v>0</v>
      </c>
      <c r="I70" s="33">
        <f>'เย็น 102'!I70+'เช้า '!I70+'เย็น '!I70</f>
        <v>0</v>
      </c>
      <c r="J70" s="33">
        <f>'เย็น 102'!J70+'เช้า '!J70+'เย็น '!J70</f>
        <v>0</v>
      </c>
      <c r="K70" s="39">
        <f t="shared" ref="K70:K76" si="4">SUM(D70:J70)</f>
        <v>0</v>
      </c>
      <c r="L70" s="11"/>
      <c r="M70" s="11"/>
      <c r="N70" s="58">
        <f t="shared" si="3"/>
        <v>0</v>
      </c>
    </row>
    <row r="71" spans="2:17">
      <c r="B71" s="11">
        <v>1111016</v>
      </c>
      <c r="C71" s="20" t="s">
        <v>58</v>
      </c>
      <c r="D71" s="33">
        <f>'เย็น 102'!D71+'เช้า '!D71+'เย็น '!D71</f>
        <v>0</v>
      </c>
      <c r="E71" s="33">
        <f>'เย็น 102'!E71+'เช้า '!E71+'เย็น '!E71</f>
        <v>0</v>
      </c>
      <c r="F71" s="33">
        <f>'เย็น 102'!F71+'เช้า '!F71+'เย็น '!F71</f>
        <v>0</v>
      </c>
      <c r="G71" s="33">
        <f>'เย็น 102'!G71+'เช้า '!G71+'เย็น '!G71</f>
        <v>0</v>
      </c>
      <c r="H71" s="33">
        <f>'เย็น 102'!H71+'เช้า '!H71+'เย็น '!H71</f>
        <v>0</v>
      </c>
      <c r="I71" s="33">
        <f>'เย็น 102'!I71+'เช้า '!I71+'เย็น '!I71</f>
        <v>0</v>
      </c>
      <c r="J71" s="33">
        <f>'เย็น 102'!J71+'เช้า '!J71+'เย็น '!J71</f>
        <v>0</v>
      </c>
      <c r="K71" s="39">
        <f t="shared" si="4"/>
        <v>0</v>
      </c>
      <c r="L71" s="11"/>
      <c r="M71" s="11"/>
      <c r="N71" s="58">
        <f t="shared" si="3"/>
        <v>0</v>
      </c>
    </row>
    <row r="72" spans="2:17">
      <c r="B72" s="11">
        <v>1111014</v>
      </c>
      <c r="C72" s="20" t="s">
        <v>59</v>
      </c>
      <c r="D72" s="33">
        <f>'เย็น 102'!D72+'เช้า '!D72+'เย็น '!D72</f>
        <v>0</v>
      </c>
      <c r="E72" s="33">
        <f>'เย็น 102'!E72+'เช้า '!E72+'เย็น '!E72</f>
        <v>0</v>
      </c>
      <c r="F72" s="33">
        <f>'เย็น 102'!F72+'เช้า '!F72+'เย็น '!F72</f>
        <v>0</v>
      </c>
      <c r="G72" s="33">
        <f>'เย็น 102'!G72+'เช้า '!G72+'เย็น '!G72</f>
        <v>0</v>
      </c>
      <c r="H72" s="33">
        <f>'เย็น 102'!H72+'เช้า '!H72+'เย็น '!H72</f>
        <v>0</v>
      </c>
      <c r="I72" s="33">
        <f>'เย็น 102'!I72+'เช้า '!I72+'เย็น '!I72</f>
        <v>0</v>
      </c>
      <c r="J72" s="33">
        <f>'เย็น 102'!J72+'เช้า '!J72+'เย็น '!J72</f>
        <v>0</v>
      </c>
      <c r="K72" s="39">
        <f t="shared" si="4"/>
        <v>0</v>
      </c>
      <c r="L72" s="11"/>
      <c r="M72" s="11"/>
      <c r="N72" s="58">
        <f t="shared" si="3"/>
        <v>0</v>
      </c>
    </row>
    <row r="73" spans="2:17">
      <c r="B73" s="11">
        <v>1111025</v>
      </c>
      <c r="C73" s="20" t="s">
        <v>60</v>
      </c>
      <c r="D73" s="33">
        <f>'เย็น 102'!D73+'เช้า '!D73+'เย็น '!D73</f>
        <v>0</v>
      </c>
      <c r="E73" s="33">
        <f>'เย็น 102'!E73+'เช้า '!E73+'เย็น '!E73</f>
        <v>0</v>
      </c>
      <c r="F73" s="33">
        <f>'เย็น 102'!F73+'เช้า '!F73+'เย็น '!F73</f>
        <v>0</v>
      </c>
      <c r="G73" s="33">
        <f>'เย็น 102'!G73+'เช้า '!G73+'เย็น '!G73</f>
        <v>0</v>
      </c>
      <c r="H73" s="33">
        <f>'เย็น 102'!H73+'เช้า '!H73+'เย็น '!H73</f>
        <v>0</v>
      </c>
      <c r="I73" s="33">
        <f>'เย็น 102'!I73+'เช้า '!I73+'เย็น '!I73</f>
        <v>0</v>
      </c>
      <c r="J73" s="33">
        <f>'เย็น 102'!J73+'เช้า '!J73+'เย็น '!J73</f>
        <v>0</v>
      </c>
      <c r="K73" s="39">
        <f t="shared" si="4"/>
        <v>0</v>
      </c>
      <c r="L73" s="11"/>
      <c r="M73" s="11"/>
      <c r="N73" s="58">
        <f t="shared" si="3"/>
        <v>0</v>
      </c>
    </row>
    <row r="74" spans="2:17">
      <c r="B74" s="11">
        <v>1111018</v>
      </c>
      <c r="C74" s="20" t="s">
        <v>61</v>
      </c>
      <c r="D74" s="33">
        <f>'เย็น 102'!D74+'เช้า '!D74+'เย็น '!D74</f>
        <v>0</v>
      </c>
      <c r="E74" s="33">
        <f>'เย็น 102'!E74+'เช้า '!E74+'เย็น '!E74</f>
        <v>0</v>
      </c>
      <c r="F74" s="33">
        <f>'เย็น 102'!F74+'เช้า '!F74+'เย็น '!F74</f>
        <v>0</v>
      </c>
      <c r="G74" s="33">
        <f>'เย็น 102'!G74+'เช้า '!G74+'เย็น '!G74</f>
        <v>0</v>
      </c>
      <c r="H74" s="33">
        <f>'เย็น 102'!H74+'เช้า '!H74+'เย็น '!H74</f>
        <v>0</v>
      </c>
      <c r="I74" s="33">
        <f>'เย็น 102'!I74+'เช้า '!I74+'เย็น '!I74</f>
        <v>0</v>
      </c>
      <c r="J74" s="33">
        <f>'เย็น 102'!J74+'เช้า '!J74+'เย็น '!J74</f>
        <v>0</v>
      </c>
      <c r="K74" s="39">
        <f t="shared" si="4"/>
        <v>0</v>
      </c>
      <c r="L74" s="11"/>
      <c r="M74" s="11"/>
      <c r="N74" s="58">
        <f t="shared" si="3"/>
        <v>0</v>
      </c>
    </row>
    <row r="75" spans="2:17">
      <c r="B75" s="11">
        <v>1111012</v>
      </c>
      <c r="C75" s="20" t="s">
        <v>62</v>
      </c>
      <c r="D75" s="33">
        <f>'เย็น 102'!D75+'เช้า '!D75+'เย็น '!D75</f>
        <v>0</v>
      </c>
      <c r="E75" s="33">
        <f>'เย็น 102'!E75+'เช้า '!E75+'เย็น '!E75</f>
        <v>0</v>
      </c>
      <c r="F75" s="33">
        <f>'เย็น 102'!F75+'เช้า '!F75+'เย็น '!F75</f>
        <v>0</v>
      </c>
      <c r="G75" s="33">
        <f>'เย็น 102'!G75+'เช้า '!G75+'เย็น '!G75</f>
        <v>0</v>
      </c>
      <c r="H75" s="33">
        <f>'เย็น 102'!H75+'เช้า '!H75+'เย็น '!H75</f>
        <v>0</v>
      </c>
      <c r="I75" s="33">
        <f>'เย็น 102'!I75+'เช้า '!I75+'เย็น '!I75</f>
        <v>0</v>
      </c>
      <c r="J75" s="33">
        <f>'เย็น 102'!J75+'เช้า '!J75+'เย็น '!J75</f>
        <v>0</v>
      </c>
      <c r="K75" s="39">
        <f t="shared" si="4"/>
        <v>0</v>
      </c>
      <c r="L75" s="11"/>
      <c r="M75" s="11"/>
      <c r="N75" s="58">
        <f t="shared" si="3"/>
        <v>0</v>
      </c>
    </row>
    <row r="76" spans="2:17">
      <c r="B76" s="11">
        <v>1111020</v>
      </c>
      <c r="C76" s="20" t="s">
        <v>63</v>
      </c>
      <c r="D76" s="33">
        <f>'เย็น 102'!D76+'เช้า '!D76+'เย็น '!D76</f>
        <v>0</v>
      </c>
      <c r="E76" s="33">
        <f>'เย็น 102'!E76+'เช้า '!E76+'เย็น '!E76</f>
        <v>0</v>
      </c>
      <c r="F76" s="33">
        <f>'เย็น 102'!F76+'เช้า '!F76+'เย็น '!F76</f>
        <v>0</v>
      </c>
      <c r="G76" s="33">
        <f>'เย็น 102'!G76+'เช้า '!G76+'เย็น '!G76</f>
        <v>1</v>
      </c>
      <c r="H76" s="33">
        <f>'เย็น 102'!H76+'เช้า '!H76+'เย็น '!H76</f>
        <v>0</v>
      </c>
      <c r="I76" s="33">
        <f>'เย็น 102'!I76+'เช้า '!I76+'เย็น '!I76</f>
        <v>0</v>
      </c>
      <c r="J76" s="33">
        <f>'เย็น 102'!J76+'เช้า '!J76+'เย็น '!J76</f>
        <v>0</v>
      </c>
      <c r="K76" s="39">
        <f t="shared" si="4"/>
        <v>1</v>
      </c>
      <c r="L76" s="11"/>
      <c r="M76" s="11"/>
      <c r="N76" s="58">
        <f t="shared" si="3"/>
        <v>-1</v>
      </c>
    </row>
    <row r="77" spans="2:17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39"/>
      <c r="L77" s="11"/>
      <c r="M77" s="11"/>
      <c r="N77" s="58">
        <f t="shared" ref="N70:N100" si="5">SUM(L74:M74)-K74</f>
        <v>0</v>
      </c>
    </row>
    <row r="78" spans="2:17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76"/>
    </row>
    <row r="79" spans="2:17">
      <c r="B79" s="11">
        <v>1111022</v>
      </c>
      <c r="C79" s="20" t="s">
        <v>65</v>
      </c>
      <c r="D79" s="33">
        <f>'เย็น 102'!D79+'เช้า '!D79+'เย็น '!D79</f>
        <v>0</v>
      </c>
      <c r="E79" s="33">
        <f>'เย็น 102'!E79+'เช้า '!E79+'เย็น '!E79</f>
        <v>0</v>
      </c>
      <c r="F79" s="33">
        <f>'เย็น 102'!F79+'เช้า '!F79+'เย็น '!F79</f>
        <v>0</v>
      </c>
      <c r="G79" s="33">
        <f>'เย็น 102'!G79+'เช้า '!G79+'เย็น '!G79</f>
        <v>0</v>
      </c>
      <c r="H79" s="33">
        <f>'เย็น 102'!H79+'เช้า '!H79+'เย็น '!H79</f>
        <v>0</v>
      </c>
      <c r="I79" s="33">
        <f>'เย็น 102'!I79+'เช้า '!I79+'เย็น '!I79</f>
        <v>0</v>
      </c>
      <c r="J79" s="33">
        <f>'เย็น 102'!J79+'เช้า '!J79+'เย็น '!J79</f>
        <v>0</v>
      </c>
      <c r="K79" s="39">
        <f>SUM(D79:J79)</f>
        <v>0</v>
      </c>
      <c r="L79" s="11"/>
      <c r="M79" s="11"/>
      <c r="N79" s="58">
        <f t="shared" ref="N79:N87" si="6">SUM(L79+M79)-K79</f>
        <v>0</v>
      </c>
    </row>
    <row r="80" spans="2:17">
      <c r="B80" s="11">
        <v>1111015</v>
      </c>
      <c r="C80" s="20" t="s">
        <v>66</v>
      </c>
      <c r="D80" s="33">
        <f>'เย็น 102'!D80+'เช้า '!D80+'เย็น '!D80</f>
        <v>0</v>
      </c>
      <c r="E80" s="33">
        <f>'เย็น 102'!E80+'เช้า '!E80+'เย็น '!E80</f>
        <v>0</v>
      </c>
      <c r="F80" s="33">
        <f>'เย็น 102'!F80+'เช้า '!F80+'เย็น '!F80</f>
        <v>0</v>
      </c>
      <c r="G80" s="33">
        <f>'เย็น 102'!G80+'เช้า '!G80+'เย็น '!G80</f>
        <v>0</v>
      </c>
      <c r="H80" s="33">
        <f>'เย็น 102'!H80+'เช้า '!H80+'เย็น '!H80</f>
        <v>0</v>
      </c>
      <c r="I80" s="33">
        <f>'เย็น 102'!I80+'เช้า '!I80+'เย็น '!I80</f>
        <v>0</v>
      </c>
      <c r="J80" s="33">
        <f>'เย็น 102'!J80+'เช้า '!J80+'เย็น '!J80</f>
        <v>0</v>
      </c>
      <c r="K80" s="39">
        <f t="shared" ref="K80:K87" si="7">SUM(D80:J80)</f>
        <v>0</v>
      </c>
      <c r="L80" s="11"/>
      <c r="M80" s="11"/>
      <c r="N80" s="58">
        <f t="shared" si="6"/>
        <v>0</v>
      </c>
    </row>
    <row r="81" spans="2:14">
      <c r="B81" s="11">
        <v>1111013</v>
      </c>
      <c r="C81" s="20" t="s">
        <v>67</v>
      </c>
      <c r="D81" s="33">
        <f>'เย็น 102'!D81+'เช้า '!D81+'เย็น '!D81</f>
        <v>0</v>
      </c>
      <c r="E81" s="33">
        <f>'เย็น 102'!E81+'เช้า '!E81+'เย็น '!E81</f>
        <v>0</v>
      </c>
      <c r="F81" s="33">
        <f>'เย็น 102'!F81+'เช้า '!F81+'เย็น '!F81</f>
        <v>0</v>
      </c>
      <c r="G81" s="33">
        <f>'เย็น 102'!G81+'เช้า '!G81+'เย็น '!G81</f>
        <v>0</v>
      </c>
      <c r="H81" s="33">
        <f>'เย็น 102'!H81+'เช้า '!H81+'เย็น '!H81</f>
        <v>0</v>
      </c>
      <c r="I81" s="33">
        <f>'เย็น 102'!I81+'เช้า '!I81+'เย็น '!I81</f>
        <v>0</v>
      </c>
      <c r="J81" s="33">
        <f>'เย็น 102'!J81+'เช้า '!J81+'เย็น '!J81</f>
        <v>0</v>
      </c>
      <c r="K81" s="39">
        <f t="shared" si="7"/>
        <v>0</v>
      </c>
      <c r="L81" s="11"/>
      <c r="M81" s="11"/>
      <c r="N81" s="58">
        <f t="shared" si="6"/>
        <v>0</v>
      </c>
    </row>
    <row r="82" spans="2:14">
      <c r="B82" s="11">
        <v>1111024</v>
      </c>
      <c r="C82" s="20" t="s">
        <v>68</v>
      </c>
      <c r="D82" s="33">
        <f>'เย็น 102'!D82+'เช้า '!D82+'เย็น '!D82</f>
        <v>0</v>
      </c>
      <c r="E82" s="33">
        <f>'เย็น 102'!E82+'เช้า '!E82+'เย็น '!E82</f>
        <v>0</v>
      </c>
      <c r="F82" s="33">
        <f>'เย็น 102'!F82+'เช้า '!F82+'เย็น '!F82</f>
        <v>0</v>
      </c>
      <c r="G82" s="33">
        <f>'เย็น 102'!G82+'เช้า '!G82+'เย็น '!G82</f>
        <v>0</v>
      </c>
      <c r="H82" s="33">
        <f>'เย็น 102'!H82+'เช้า '!H82+'เย็น '!H82</f>
        <v>0</v>
      </c>
      <c r="I82" s="33">
        <f>'เย็น 102'!I82+'เช้า '!I82+'เย็น '!I82</f>
        <v>0</v>
      </c>
      <c r="J82" s="33">
        <f>'เย็น 102'!J82+'เช้า '!J82+'เย็น '!J82</f>
        <v>0</v>
      </c>
      <c r="K82" s="39">
        <f t="shared" si="7"/>
        <v>0</v>
      </c>
      <c r="L82" s="11"/>
      <c r="M82" s="11"/>
      <c r="N82" s="58">
        <f t="shared" si="6"/>
        <v>0</v>
      </c>
    </row>
    <row r="83" spans="2:14">
      <c r="B83" s="11">
        <v>1111017</v>
      </c>
      <c r="C83" s="20" t="s">
        <v>69</v>
      </c>
      <c r="D83" s="33">
        <f>'เย็น 102'!D83+'เช้า '!D83+'เย็น '!D83</f>
        <v>0</v>
      </c>
      <c r="E83" s="33">
        <f>'เย็น 102'!E83+'เช้า '!E83+'เย็น '!E83</f>
        <v>0</v>
      </c>
      <c r="F83" s="33">
        <f>'เย็น 102'!F83+'เช้า '!F83+'เย็น '!F83</f>
        <v>0</v>
      </c>
      <c r="G83" s="33">
        <f>'เย็น 102'!G83+'เช้า '!G83+'เย็น '!G83</f>
        <v>0</v>
      </c>
      <c r="H83" s="33">
        <f>'เย็น 102'!H83+'เช้า '!H83+'เย็น '!H83</f>
        <v>0</v>
      </c>
      <c r="I83" s="33">
        <f>'เย็น 102'!I83+'เช้า '!I83+'เย็น '!I83</f>
        <v>0</v>
      </c>
      <c r="J83" s="33">
        <f>'เย็น 102'!J83+'เช้า '!J83+'เย็น '!J83</f>
        <v>0</v>
      </c>
      <c r="K83" s="39">
        <f t="shared" si="7"/>
        <v>0</v>
      </c>
      <c r="L83" s="11"/>
      <c r="M83" s="11"/>
      <c r="N83" s="58">
        <f t="shared" si="6"/>
        <v>0</v>
      </c>
    </row>
    <row r="84" spans="2:14">
      <c r="B84" s="11">
        <v>1111011</v>
      </c>
      <c r="C84" s="20" t="s">
        <v>70</v>
      </c>
      <c r="D84" s="33">
        <f>'เย็น 102'!D84+'เช้า '!D84+'เย็น '!D84</f>
        <v>0</v>
      </c>
      <c r="E84" s="33">
        <f>'เย็น 102'!E84+'เช้า '!E84+'เย็น '!E84</f>
        <v>0</v>
      </c>
      <c r="F84" s="33">
        <f>'เย็น 102'!F84+'เช้า '!F84+'เย็น '!F84</f>
        <v>0</v>
      </c>
      <c r="G84" s="33">
        <f>'เย็น 102'!G84+'เช้า '!G84+'เย็น '!G84</f>
        <v>0</v>
      </c>
      <c r="H84" s="33">
        <f>'เย็น 102'!H84+'เช้า '!H84+'เย็น '!H84</f>
        <v>0</v>
      </c>
      <c r="I84" s="33">
        <f>'เย็น 102'!I84+'เช้า '!I84+'เย็น '!I84</f>
        <v>0</v>
      </c>
      <c r="J84" s="33">
        <f>'เย็น 102'!J84+'เช้า '!J84+'เย็น '!J84</f>
        <v>0</v>
      </c>
      <c r="K84" s="39">
        <f t="shared" si="7"/>
        <v>0</v>
      </c>
      <c r="L84" s="11"/>
      <c r="M84" s="11"/>
      <c r="N84" s="58">
        <f t="shared" si="6"/>
        <v>0</v>
      </c>
    </row>
    <row r="85" spans="2:14">
      <c r="B85" s="11">
        <v>1111019</v>
      </c>
      <c r="C85" s="20" t="s">
        <v>71</v>
      </c>
      <c r="D85" s="33">
        <f>'เย็น 102'!D85+'เช้า '!D85+'เย็น '!D85</f>
        <v>0</v>
      </c>
      <c r="E85" s="33">
        <f>'เย็น 102'!E85+'เช้า '!E85+'เย็น '!E85</f>
        <v>0</v>
      </c>
      <c r="F85" s="33">
        <f>'เย็น 102'!F85+'เช้า '!F85+'เย็น '!F85</f>
        <v>0</v>
      </c>
      <c r="G85" s="33">
        <f>'เย็น 102'!G85+'เช้า '!G85+'เย็น '!G85</f>
        <v>0</v>
      </c>
      <c r="H85" s="33">
        <f>'เย็น 102'!H85+'เช้า '!H85+'เย็น '!H85</f>
        <v>0</v>
      </c>
      <c r="I85" s="33">
        <f>'เย็น 102'!I85+'เช้า '!I85+'เย็น '!I85</f>
        <v>0</v>
      </c>
      <c r="J85" s="33">
        <f>'เย็น 102'!J85+'เช้า '!J85+'เย็น '!J85</f>
        <v>0</v>
      </c>
      <c r="K85" s="39">
        <f t="shared" si="7"/>
        <v>0</v>
      </c>
      <c r="L85" s="11"/>
      <c r="M85" s="11"/>
      <c r="N85" s="58">
        <f t="shared" si="6"/>
        <v>0</v>
      </c>
    </row>
    <row r="86" spans="2:14">
      <c r="B86" s="11">
        <v>1113081</v>
      </c>
      <c r="C86" s="20" t="s">
        <v>72</v>
      </c>
      <c r="D86" s="33">
        <f>'เย็น 102'!D86+'เช้า '!D86+'เย็น '!D86</f>
        <v>0</v>
      </c>
      <c r="E86" s="33">
        <f>'เย็น 102'!E86+'เช้า '!E86+'เย็น '!E86</f>
        <v>0</v>
      </c>
      <c r="F86" s="33">
        <f>'เย็น 102'!F86+'เช้า '!F86+'เย็น '!F86</f>
        <v>0</v>
      </c>
      <c r="G86" s="33">
        <f>'เย็น 102'!G86+'เช้า '!G86+'เย็น '!G86</f>
        <v>0</v>
      </c>
      <c r="H86" s="33">
        <f>'เย็น 102'!H86+'เช้า '!H86+'เย็น '!H86</f>
        <v>0</v>
      </c>
      <c r="I86" s="33">
        <f>'เย็น 102'!I86+'เช้า '!I86+'เย็น '!I86</f>
        <v>0</v>
      </c>
      <c r="J86" s="33">
        <f>'เย็น 102'!J86+'เช้า '!J86+'เย็น '!J86</f>
        <v>0</v>
      </c>
      <c r="K86" s="39">
        <f t="shared" si="7"/>
        <v>0</v>
      </c>
      <c r="L86" s="11"/>
      <c r="M86" s="11"/>
      <c r="N86" s="58">
        <f t="shared" si="6"/>
        <v>0</v>
      </c>
    </row>
    <row r="87" spans="2:14">
      <c r="B87" s="11">
        <v>1111008</v>
      </c>
      <c r="C87" s="20" t="s">
        <v>73</v>
      </c>
      <c r="D87" s="33">
        <f>'เย็น 102'!D87+'เช้า '!D87+'เย็น '!D87</f>
        <v>0</v>
      </c>
      <c r="E87" s="33">
        <f>'เย็น 102'!E87+'เช้า '!E87+'เย็น '!E87</f>
        <v>6</v>
      </c>
      <c r="F87" s="33">
        <f>'เย็น 102'!F87+'เช้า '!F87+'เย็น '!F87</f>
        <v>0</v>
      </c>
      <c r="G87" s="33">
        <f>'เย็น 102'!G87+'เช้า '!G87+'เย็น '!G87</f>
        <v>135</v>
      </c>
      <c r="H87" s="33">
        <f>'เย็น 102'!H87+'เช้า '!H87+'เย็น '!H87</f>
        <v>0</v>
      </c>
      <c r="I87" s="33">
        <f>'เย็น 102'!I87+'เช้า '!I87+'เย็น '!I87</f>
        <v>0</v>
      </c>
      <c r="J87" s="33">
        <f>'เย็น 102'!J87+'เช้า '!J87+'เย็น '!J87</f>
        <v>0</v>
      </c>
      <c r="K87" s="39">
        <f t="shared" si="7"/>
        <v>141</v>
      </c>
      <c r="L87" s="11"/>
      <c r="M87" s="11">
        <v>534</v>
      </c>
      <c r="N87" s="58">
        <f t="shared" si="6"/>
        <v>393</v>
      </c>
    </row>
    <row r="88" spans="2:14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39">
        <f>SUM(D88:J88)</f>
        <v>0</v>
      </c>
      <c r="L88" s="11"/>
      <c r="M88" s="11"/>
      <c r="N88" s="58">
        <f t="shared" si="5"/>
        <v>0</v>
      </c>
    </row>
    <row r="89" spans="2:14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76"/>
    </row>
    <row r="90" spans="2:14">
      <c r="B90" s="11">
        <v>1112009</v>
      </c>
      <c r="C90" s="20" t="s">
        <v>75</v>
      </c>
      <c r="D90" s="33">
        <f>'เย็น 102'!D90+'เช้า '!D90+'เย็น '!D90</f>
        <v>0</v>
      </c>
      <c r="E90" s="33">
        <f>'เย็น 102'!E90+'เช้า '!E90+'เย็น '!E90</f>
        <v>10</v>
      </c>
      <c r="F90" s="33">
        <f>'เย็น 102'!F90+'เช้า '!F90+'เย็น '!F90</f>
        <v>11</v>
      </c>
      <c r="G90" s="33">
        <f>'เย็น 102'!G90+'เช้า '!G90+'เย็น '!G90</f>
        <v>26</v>
      </c>
      <c r="H90" s="33">
        <f>'เย็น 102'!H90+'เช้า '!H90+'เย็น '!H90</f>
        <v>0</v>
      </c>
      <c r="I90" s="33">
        <f>'เย็น 102'!I90+'เช้า '!I90+'เย็น '!I90</f>
        <v>0</v>
      </c>
      <c r="J90" s="33">
        <f>'เย็น 102'!J90+'เช้า '!J90+'เย็น '!J90</f>
        <v>0</v>
      </c>
      <c r="K90" s="39">
        <f>SUM(D90:J90)</f>
        <v>47</v>
      </c>
      <c r="L90" s="11">
        <v>110</v>
      </c>
      <c r="M90" s="11">
        <v>50</v>
      </c>
      <c r="N90" s="58">
        <f t="shared" ref="N90:N98" si="8">SUM(L90+M90)-K90</f>
        <v>113</v>
      </c>
    </row>
    <row r="91" spans="2:14">
      <c r="B91" s="11">
        <v>1112011</v>
      </c>
      <c r="C91" s="20" t="s">
        <v>76</v>
      </c>
      <c r="D91" s="33">
        <f>'เย็น 102'!D91+'เช้า '!D91+'เย็น '!D91</f>
        <v>3</v>
      </c>
      <c r="E91" s="33">
        <f>'เย็น 102'!E91+'เช้า '!E91+'เย็น '!E91</f>
        <v>10</v>
      </c>
      <c r="F91" s="33">
        <f>'เย็น 102'!F91+'เช้า '!F91+'เย็น '!F91</f>
        <v>28</v>
      </c>
      <c r="G91" s="33">
        <f>'เย็น 102'!G91+'เช้า '!G91+'เย็น '!G91</f>
        <v>26</v>
      </c>
      <c r="H91" s="33">
        <f>'เย็น 102'!H91+'เช้า '!H91+'เย็น '!H91</f>
        <v>0</v>
      </c>
      <c r="I91" s="33">
        <f>'เย็น 102'!I91+'เช้า '!I91+'เย็น '!I91</f>
        <v>0</v>
      </c>
      <c r="J91" s="33">
        <f>'เย็น 102'!J91+'เช้า '!J91+'เย็น '!J91</f>
        <v>1</v>
      </c>
      <c r="K91" s="39">
        <f t="shared" ref="K91:K99" si="9">SUM(D91:J91)</f>
        <v>68</v>
      </c>
      <c r="L91" s="11">
        <v>110</v>
      </c>
      <c r="M91" s="11">
        <v>5</v>
      </c>
      <c r="N91" s="58">
        <f t="shared" si="8"/>
        <v>47</v>
      </c>
    </row>
    <row r="92" spans="2:14">
      <c r="B92" s="11">
        <v>1112003</v>
      </c>
      <c r="C92" s="20" t="s">
        <v>77</v>
      </c>
      <c r="D92" s="33">
        <f>'เย็น 102'!D92+'เช้า '!D92+'เย็น '!D92</f>
        <v>3</v>
      </c>
      <c r="E92" s="33">
        <f>'เย็น 102'!E92+'เช้า '!E92+'เย็น '!E92</f>
        <v>0</v>
      </c>
      <c r="F92" s="33">
        <f>'เย็น 102'!F92+'เช้า '!F92+'เย็น '!F92</f>
        <v>0</v>
      </c>
      <c r="G92" s="33">
        <f>'เย็น 102'!G92+'เช้า '!G92+'เย็น '!G92</f>
        <v>2</v>
      </c>
      <c r="H92" s="33">
        <f>'เย็น 102'!H92+'เช้า '!H92+'เย็น '!H92</f>
        <v>0</v>
      </c>
      <c r="I92" s="33">
        <f>'เย็น 102'!I92+'เช้า '!I92+'เย็น '!I92</f>
        <v>0</v>
      </c>
      <c r="J92" s="33">
        <f>'เย็น 102'!J92+'เช้า '!J92+'เย็น '!J92</f>
        <v>0</v>
      </c>
      <c r="K92" s="39">
        <f t="shared" si="9"/>
        <v>5</v>
      </c>
      <c r="L92" s="11">
        <v>30</v>
      </c>
      <c r="M92" s="11">
        <v>1</v>
      </c>
      <c r="N92" s="58">
        <f t="shared" si="8"/>
        <v>26</v>
      </c>
    </row>
    <row r="93" spans="2:14">
      <c r="B93" s="11">
        <v>1112005</v>
      </c>
      <c r="C93" s="20" t="s">
        <v>78</v>
      </c>
      <c r="D93" s="33">
        <f>'เย็น 102'!D93+'เช้า '!D93+'เย็น '!D93</f>
        <v>2</v>
      </c>
      <c r="E93" s="33">
        <f>'เย็น 102'!E93+'เช้า '!E93+'เย็น '!E93</f>
        <v>0</v>
      </c>
      <c r="F93" s="33">
        <f>'เย็น 102'!F93+'เช้า '!F93+'เย็น '!F93</f>
        <v>0</v>
      </c>
      <c r="G93" s="33">
        <f>'เย็น 102'!G93+'เช้า '!G93+'เย็น '!G93</f>
        <v>0</v>
      </c>
      <c r="H93" s="33">
        <f>'เย็น 102'!H93+'เช้า '!H93+'เย็น '!H93</f>
        <v>0</v>
      </c>
      <c r="I93" s="33">
        <f>'เย็น 102'!I93+'เช้า '!I93+'เย็น '!I93</f>
        <v>0</v>
      </c>
      <c r="J93" s="33">
        <f>'เย็น 102'!J93+'เช้า '!J93+'เย็น '!J93</f>
        <v>0</v>
      </c>
      <c r="K93" s="39">
        <f t="shared" si="9"/>
        <v>2</v>
      </c>
      <c r="L93" s="11">
        <v>30</v>
      </c>
      <c r="M93" s="11">
        <v>35</v>
      </c>
      <c r="N93" s="58">
        <f t="shared" si="8"/>
        <v>63</v>
      </c>
    </row>
    <row r="94" spans="2:14">
      <c r="B94" s="11">
        <v>1112007</v>
      </c>
      <c r="C94" s="20" t="s">
        <v>79</v>
      </c>
      <c r="D94" s="33">
        <f>'เย็น 102'!D94+'เช้า '!D94+'เย็น '!D94</f>
        <v>0</v>
      </c>
      <c r="E94" s="33">
        <f>'เย็น 102'!E94+'เช้า '!E94+'เย็น '!E94</f>
        <v>0</v>
      </c>
      <c r="F94" s="33">
        <f>'เย็น 102'!F94+'เช้า '!F94+'เย็น '!F94</f>
        <v>0</v>
      </c>
      <c r="G94" s="33">
        <f>'เย็น 102'!G94+'เช้า '!G94+'เย็น '!G94</f>
        <v>0</v>
      </c>
      <c r="H94" s="33">
        <f>'เย็น 102'!H94+'เช้า '!H94+'เย็น '!H94</f>
        <v>0</v>
      </c>
      <c r="I94" s="33">
        <f>'เย็น 102'!I94+'เช้า '!I94+'เย็น '!I94</f>
        <v>0</v>
      </c>
      <c r="J94" s="33">
        <f>'เย็น 102'!J94+'เช้า '!J94+'เย็น '!J94</f>
        <v>0</v>
      </c>
      <c r="K94" s="39">
        <f t="shared" si="9"/>
        <v>0</v>
      </c>
      <c r="L94" s="11"/>
      <c r="M94" s="11"/>
      <c r="N94" s="58">
        <f t="shared" si="8"/>
        <v>0</v>
      </c>
    </row>
    <row r="95" spans="2:14">
      <c r="B95" s="11">
        <v>1112019</v>
      </c>
      <c r="C95" s="20" t="s">
        <v>80</v>
      </c>
      <c r="D95" s="33">
        <f>'เย็น 102'!D95+'เช้า '!D95+'เย็น '!D95</f>
        <v>0</v>
      </c>
      <c r="E95" s="33">
        <f>'เย็น 102'!E95+'เช้า '!E95+'เย็น '!E95</f>
        <v>0</v>
      </c>
      <c r="F95" s="33">
        <f>'เย็น 102'!F95+'เช้า '!F95+'เย็น '!F95</f>
        <v>0</v>
      </c>
      <c r="G95" s="33">
        <f>'เย็น 102'!G95+'เช้า '!G95+'เย็น '!G95</f>
        <v>0</v>
      </c>
      <c r="H95" s="33">
        <f>'เย็น 102'!H95+'เช้า '!H95+'เย็น '!H95</f>
        <v>0</v>
      </c>
      <c r="I95" s="33">
        <f>'เย็น 102'!I95+'เช้า '!I95+'เย็น '!I95</f>
        <v>0</v>
      </c>
      <c r="J95" s="33">
        <f>'เย็น 102'!J95+'เช้า '!J95+'เย็น '!J95</f>
        <v>0</v>
      </c>
      <c r="K95" s="39">
        <f t="shared" si="9"/>
        <v>0</v>
      </c>
      <c r="L95" s="11"/>
      <c r="M95" s="11"/>
      <c r="N95" s="58">
        <f t="shared" si="8"/>
        <v>0</v>
      </c>
    </row>
    <row r="96" spans="2:14">
      <c r="B96" s="11">
        <v>1112017</v>
      </c>
      <c r="C96" s="20" t="s">
        <v>81</v>
      </c>
      <c r="D96" s="33">
        <f>'เย็น 102'!D96+'เช้า '!D96+'เย็น '!D96</f>
        <v>2</v>
      </c>
      <c r="E96" s="33">
        <f>'เย็น 102'!E96+'เช้า '!E96+'เย็น '!E96</f>
        <v>0</v>
      </c>
      <c r="F96" s="33">
        <f>'เย็น 102'!F96+'เช้า '!F96+'เย็น '!F96</f>
        <v>0</v>
      </c>
      <c r="G96" s="33">
        <f>'เย็น 102'!G96+'เช้า '!G96+'เย็น '!G96</f>
        <v>2</v>
      </c>
      <c r="H96" s="33">
        <f>'เย็น 102'!H96+'เช้า '!H96+'เย็น '!H96</f>
        <v>0</v>
      </c>
      <c r="I96" s="33">
        <f>'เย็น 102'!I96+'เช้า '!I96+'เย็น '!I96</f>
        <v>0</v>
      </c>
      <c r="J96" s="33">
        <f>'เย็น 102'!J96+'เช้า '!J96+'เย็น '!J96</f>
        <v>0</v>
      </c>
      <c r="K96" s="39">
        <f t="shared" si="9"/>
        <v>4</v>
      </c>
      <c r="L96" s="11">
        <v>30</v>
      </c>
      <c r="M96" s="11">
        <v>12</v>
      </c>
      <c r="N96" s="58">
        <f t="shared" si="8"/>
        <v>38</v>
      </c>
    </row>
    <row r="97" spans="2:14">
      <c r="B97" s="11">
        <v>1112015</v>
      </c>
      <c r="C97" s="20" t="s">
        <v>82</v>
      </c>
      <c r="D97" s="33">
        <f>'เย็น 102'!D97+'เช้า '!D97+'เย็น '!D97</f>
        <v>0</v>
      </c>
      <c r="E97" s="33">
        <f>'เย็น 102'!E97+'เช้า '!E97+'เย็น '!E97</f>
        <v>0</v>
      </c>
      <c r="F97" s="33">
        <f>'เย็น 102'!F97+'เช้า '!F97+'เย็น '!F97</f>
        <v>0</v>
      </c>
      <c r="G97" s="33">
        <f>'เย็น 102'!G97+'เช้า '!G97+'เย็น '!G97</f>
        <v>2</v>
      </c>
      <c r="H97" s="33">
        <f>'เย็น 102'!H97+'เช้า '!H97+'เย็น '!H97</f>
        <v>0</v>
      </c>
      <c r="I97" s="33">
        <f>'เย็น 102'!I97+'เช้า '!I97+'เย็น '!I97</f>
        <v>0</v>
      </c>
      <c r="J97" s="33">
        <f>'เย็น 102'!J97+'เช้า '!J97+'เย็น '!J97</f>
        <v>0</v>
      </c>
      <c r="K97" s="39">
        <f t="shared" si="9"/>
        <v>2</v>
      </c>
      <c r="L97" s="11">
        <v>30</v>
      </c>
      <c r="M97" s="11">
        <v>3</v>
      </c>
      <c r="N97" s="58">
        <f t="shared" si="8"/>
        <v>31</v>
      </c>
    </row>
    <row r="98" spans="2:14">
      <c r="B98" s="11">
        <v>1112013</v>
      </c>
      <c r="C98" s="20" t="s">
        <v>83</v>
      </c>
      <c r="D98" s="33">
        <f>'เย็น 102'!D98+'เช้า '!D98+'เย็น '!D98</f>
        <v>2</v>
      </c>
      <c r="E98" s="33">
        <f>'เย็น 102'!E98+'เช้า '!E98+'เย็น '!E98</f>
        <v>9</v>
      </c>
      <c r="F98" s="33">
        <f>'เย็น 102'!F98+'เช้า '!F98+'เย็น '!F98</f>
        <v>15</v>
      </c>
      <c r="G98" s="33">
        <f>'เย็น 102'!G98+'เช้า '!G98+'เย็น '!G98</f>
        <v>26</v>
      </c>
      <c r="H98" s="33">
        <f>'เย็น 102'!H98+'เช้า '!H98+'เย็น '!H98</f>
        <v>0</v>
      </c>
      <c r="I98" s="33">
        <f>'เย็น 102'!I98+'เช้า '!I98+'เย็น '!I98</f>
        <v>0</v>
      </c>
      <c r="J98" s="33">
        <f>'เย็น 102'!J98+'เช้า '!J98+'เย็น '!J98</f>
        <v>0</v>
      </c>
      <c r="K98" s="39">
        <f t="shared" si="9"/>
        <v>52</v>
      </c>
      <c r="L98" s="11">
        <v>110</v>
      </c>
      <c r="M98" s="11">
        <v>47</v>
      </c>
      <c r="N98" s="58">
        <f t="shared" si="8"/>
        <v>105</v>
      </c>
    </row>
    <row r="99" spans="2:14">
      <c r="B99" s="11">
        <v>1124043</v>
      </c>
      <c r="C99" s="20" t="s">
        <v>84</v>
      </c>
      <c r="D99" s="33">
        <f>'เย็น 102'!D99+'เช้า '!D99+'เย็น '!D99</f>
        <v>0</v>
      </c>
      <c r="E99" s="33">
        <f>'เย็น 102'!E99+'เช้า '!E99+'เย็น '!E99</f>
        <v>0</v>
      </c>
      <c r="F99" s="33">
        <f>'เย็น 102'!F99+'เช้า '!F99+'เย็น '!F99</f>
        <v>0</v>
      </c>
      <c r="G99" s="33">
        <f>'เย็น 102'!G99+'เช้า '!G99+'เย็น '!G99</f>
        <v>0</v>
      </c>
      <c r="H99" s="33">
        <f>'เย็น 102'!H99+'เช้า '!H99+'เย็น '!H99</f>
        <v>0</v>
      </c>
      <c r="I99" s="33">
        <f>'เย็น 102'!I99+'เช้า '!I99+'เย็น '!I99</f>
        <v>0</v>
      </c>
      <c r="J99" s="33">
        <f>'เย็น 102'!J99+'เช้า '!J99+'เย็น '!J99</f>
        <v>0</v>
      </c>
      <c r="K99" s="39">
        <f t="shared" si="9"/>
        <v>0</v>
      </c>
      <c r="L99" s="11"/>
      <c r="M99" s="11"/>
      <c r="N99" s="58"/>
    </row>
    <row r="100" spans="2:14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9">
        <f>SUM(K90:K99)</f>
        <v>180</v>
      </c>
      <c r="L100" s="11"/>
      <c r="M100" s="11"/>
      <c r="N100" s="58"/>
    </row>
    <row r="101" spans="2:14" ht="21" hidden="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76"/>
    </row>
    <row r="102" spans="2:14" hidden="1">
      <c r="B102" s="11">
        <v>1112008</v>
      </c>
      <c r="C102" s="20" t="s">
        <v>75</v>
      </c>
      <c r="D102" s="33">
        <f>'เย็น 102'!D102+'เช้า '!D102+'เย็น '!D102</f>
        <v>0</v>
      </c>
      <c r="E102" s="33">
        <f>'เย็น 102'!E102+'เช้า '!E102+'เย็น '!E102</f>
        <v>0</v>
      </c>
      <c r="F102" s="33">
        <f>'เย็น 102'!F102+'เช้า '!F102+'เย็น '!F102</f>
        <v>0</v>
      </c>
      <c r="G102" s="33">
        <f>'เย็น 102'!G102+'เช้า '!G102+'เย็น '!G102</f>
        <v>0</v>
      </c>
      <c r="H102" s="33">
        <f>'เย็น 102'!H102+'เช้า '!H102+'เย็น '!H102</f>
        <v>0</v>
      </c>
      <c r="I102" s="33">
        <f>'เย็น 102'!I102+'เช้า '!I102+'เย็น '!I102</f>
        <v>0</v>
      </c>
      <c r="J102" s="33">
        <f>'เย็น 102'!J102+'เช้า '!J102+'เย็น '!J102</f>
        <v>0</v>
      </c>
      <c r="K102" s="39">
        <f>SUM(D102:J102)</f>
        <v>0</v>
      </c>
      <c r="L102" s="11"/>
      <c r="M102" s="11"/>
      <c r="N102" s="58"/>
    </row>
    <row r="103" spans="2:14" hidden="1">
      <c r="B103" s="11">
        <v>1112010</v>
      </c>
      <c r="C103" s="20" t="s">
        <v>76</v>
      </c>
      <c r="D103" s="33">
        <f>'เย็น 102'!D103+'เช้า '!D103+'เย็น '!D103</f>
        <v>0</v>
      </c>
      <c r="E103" s="33">
        <f>'เย็น 102'!E103+'เช้า '!E103+'เย็น '!E103</f>
        <v>0</v>
      </c>
      <c r="F103" s="33">
        <f>'เย็น 102'!F103+'เช้า '!F103+'เย็น '!F103</f>
        <v>0</v>
      </c>
      <c r="G103" s="33">
        <f>'เย็น 102'!G103+'เช้า '!G103+'เย็น '!G103</f>
        <v>0</v>
      </c>
      <c r="H103" s="33">
        <f>'เย็น 102'!H103+'เช้า '!H103+'เย็น '!H103</f>
        <v>0</v>
      </c>
      <c r="I103" s="33">
        <f>'เย็น 102'!I103+'เช้า '!I103+'เย็น '!I103</f>
        <v>0</v>
      </c>
      <c r="J103" s="33">
        <f>'เย็น 102'!J103+'เช้า '!J103+'เย็น '!J103</f>
        <v>0</v>
      </c>
      <c r="K103" s="39">
        <f t="shared" ref="K103:K111" si="10">SUM(D103:J103)</f>
        <v>0</v>
      </c>
      <c r="L103" s="11"/>
      <c r="M103" s="11"/>
      <c r="N103" s="58"/>
    </row>
    <row r="104" spans="2:14" hidden="1">
      <c r="B104" s="11">
        <v>1112002</v>
      </c>
      <c r="C104" s="20" t="s">
        <v>77</v>
      </c>
      <c r="D104" s="33">
        <f>'เย็น 102'!D104+'เช้า '!D104+'เย็น '!D104</f>
        <v>0</v>
      </c>
      <c r="E104" s="33">
        <f>'เย็น 102'!E104+'เช้า '!E104+'เย็น '!E104</f>
        <v>0</v>
      </c>
      <c r="F104" s="33">
        <f>'เย็น 102'!F104+'เช้า '!F104+'เย็น '!F104</f>
        <v>0</v>
      </c>
      <c r="G104" s="33">
        <f>'เย็น 102'!G104+'เช้า '!G104+'เย็น '!G104</f>
        <v>0</v>
      </c>
      <c r="H104" s="33">
        <f>'เย็น 102'!H104+'เช้า '!H104+'เย็น '!H104</f>
        <v>0</v>
      </c>
      <c r="I104" s="33">
        <f>'เย็น 102'!I104+'เช้า '!I104+'เย็น '!I104</f>
        <v>0</v>
      </c>
      <c r="J104" s="33">
        <f>'เย็น 102'!J104+'เช้า '!J104+'เย็น '!J104</f>
        <v>0</v>
      </c>
      <c r="K104" s="39">
        <f t="shared" si="10"/>
        <v>0</v>
      </c>
      <c r="L104" s="11"/>
      <c r="M104" s="11"/>
      <c r="N104" s="58"/>
    </row>
    <row r="105" spans="2:14" hidden="1">
      <c r="B105" s="11">
        <v>1112004</v>
      </c>
      <c r="C105" s="20" t="s">
        <v>78</v>
      </c>
      <c r="D105" s="33">
        <f>'เย็น 102'!D105+'เช้า '!D105+'เย็น '!D105</f>
        <v>0</v>
      </c>
      <c r="E105" s="33">
        <f>'เย็น 102'!E105+'เช้า '!E105+'เย็น '!E105</f>
        <v>0</v>
      </c>
      <c r="F105" s="33">
        <f>'เย็น 102'!F105+'เช้า '!F105+'เย็น '!F105</f>
        <v>0</v>
      </c>
      <c r="G105" s="33">
        <f>'เย็น 102'!G105+'เช้า '!G105+'เย็น '!G105</f>
        <v>0</v>
      </c>
      <c r="H105" s="33">
        <f>'เย็น 102'!H105+'เช้า '!H105+'เย็น '!H105</f>
        <v>0</v>
      </c>
      <c r="I105" s="33">
        <f>'เย็น 102'!I105+'เช้า '!I105+'เย็น '!I105</f>
        <v>0</v>
      </c>
      <c r="J105" s="33">
        <f>'เย็น 102'!J105+'เช้า '!J105+'เย็น '!J105</f>
        <v>0</v>
      </c>
      <c r="K105" s="39">
        <f t="shared" si="10"/>
        <v>0</v>
      </c>
      <c r="L105" s="11"/>
      <c r="M105" s="11"/>
      <c r="N105" s="58"/>
    </row>
    <row r="106" spans="2:14" hidden="1">
      <c r="B106" s="11">
        <v>1112006</v>
      </c>
      <c r="C106" s="20" t="s">
        <v>79</v>
      </c>
      <c r="D106" s="33">
        <f>'เย็น 102'!D106+'เช้า '!D106+'เย็น '!D106</f>
        <v>0</v>
      </c>
      <c r="E106" s="33">
        <f>'เย็น 102'!E106+'เช้า '!E106+'เย็น '!E106</f>
        <v>0</v>
      </c>
      <c r="F106" s="33">
        <f>'เย็น 102'!F106+'เช้า '!F106+'เย็น '!F106</f>
        <v>0</v>
      </c>
      <c r="G106" s="33">
        <f>'เย็น 102'!G106+'เช้า '!G106+'เย็น '!G106</f>
        <v>0</v>
      </c>
      <c r="H106" s="33">
        <f>'เย็น 102'!H106+'เช้า '!H106+'เย็น '!H106</f>
        <v>0</v>
      </c>
      <c r="I106" s="33">
        <f>'เย็น 102'!I106+'เช้า '!I106+'เย็น '!I106</f>
        <v>0</v>
      </c>
      <c r="J106" s="33">
        <f>'เย็น 102'!J106+'เช้า '!J106+'เย็น '!J106</f>
        <v>0</v>
      </c>
      <c r="K106" s="39">
        <f t="shared" si="10"/>
        <v>0</v>
      </c>
      <c r="L106" s="11"/>
      <c r="M106" s="11"/>
      <c r="N106" s="58"/>
    </row>
    <row r="107" spans="2:14" hidden="1">
      <c r="B107" s="11">
        <v>1112018</v>
      </c>
      <c r="C107" s="20" t="s">
        <v>80</v>
      </c>
      <c r="D107" s="33">
        <f>'เย็น 102'!D107+'เช้า '!D107+'เย็น '!D107</f>
        <v>0</v>
      </c>
      <c r="E107" s="33">
        <f>'เย็น 102'!E107+'เช้า '!E107+'เย็น '!E107</f>
        <v>0</v>
      </c>
      <c r="F107" s="33">
        <f>'เย็น 102'!F107+'เช้า '!F107+'เย็น '!F107</f>
        <v>0</v>
      </c>
      <c r="G107" s="33">
        <f>'เย็น 102'!G107+'เช้า '!G107+'เย็น '!G107</f>
        <v>0</v>
      </c>
      <c r="H107" s="33">
        <f>'เย็น 102'!H107+'เช้า '!H107+'เย็น '!H107</f>
        <v>0</v>
      </c>
      <c r="I107" s="33">
        <f>'เย็น 102'!I107+'เช้า '!I107+'เย็น '!I107</f>
        <v>0</v>
      </c>
      <c r="J107" s="33">
        <f>'เย็น 102'!J107+'เช้า '!J107+'เย็น '!J107</f>
        <v>0</v>
      </c>
      <c r="K107" s="39">
        <f t="shared" si="10"/>
        <v>0</v>
      </c>
      <c r="L107" s="11"/>
      <c r="M107" s="11"/>
      <c r="N107" s="58"/>
    </row>
    <row r="108" spans="2:14" hidden="1">
      <c r="B108" s="11">
        <v>1112016</v>
      </c>
      <c r="C108" s="20" t="s">
        <v>81</v>
      </c>
      <c r="D108" s="33">
        <f>'เย็น 102'!D108+'เช้า '!D108+'เย็น '!D108</f>
        <v>0</v>
      </c>
      <c r="E108" s="33">
        <f>'เย็น 102'!E108+'เช้า '!E108+'เย็น '!E108</f>
        <v>0</v>
      </c>
      <c r="F108" s="33">
        <f>'เย็น 102'!F108+'เช้า '!F108+'เย็น '!F108</f>
        <v>0</v>
      </c>
      <c r="G108" s="33">
        <f>'เย็น 102'!G108+'เช้า '!G108+'เย็น '!G108</f>
        <v>0</v>
      </c>
      <c r="H108" s="33">
        <f>'เย็น 102'!H108+'เช้า '!H108+'เย็น '!H108</f>
        <v>0</v>
      </c>
      <c r="I108" s="33">
        <f>'เย็น 102'!I108+'เช้า '!I108+'เย็น '!I108</f>
        <v>0</v>
      </c>
      <c r="J108" s="33">
        <f>'เย็น 102'!J108+'เช้า '!J108+'เย็น '!J108</f>
        <v>0</v>
      </c>
      <c r="K108" s="39">
        <f t="shared" si="10"/>
        <v>0</v>
      </c>
      <c r="L108" s="11"/>
      <c r="M108" s="11"/>
      <c r="N108" s="58"/>
    </row>
    <row r="109" spans="2:14" hidden="1">
      <c r="B109" s="11">
        <v>1112014</v>
      </c>
      <c r="C109" s="20" t="s">
        <v>82</v>
      </c>
      <c r="D109" s="33">
        <f>'เย็น 102'!D109+'เช้า '!D109+'เย็น '!D109</f>
        <v>0</v>
      </c>
      <c r="E109" s="33">
        <f>'เย็น 102'!E109+'เช้า '!E109+'เย็น '!E109</f>
        <v>0</v>
      </c>
      <c r="F109" s="33">
        <f>'เย็น 102'!F109+'เช้า '!F109+'เย็น '!F109</f>
        <v>0</v>
      </c>
      <c r="G109" s="33">
        <f>'เย็น 102'!G109+'เช้า '!G109+'เย็น '!G109</f>
        <v>0</v>
      </c>
      <c r="H109" s="33">
        <f>'เย็น 102'!H109+'เช้า '!H109+'เย็น '!H109</f>
        <v>0</v>
      </c>
      <c r="I109" s="33">
        <f>'เย็น 102'!I109+'เช้า '!I109+'เย็น '!I109</f>
        <v>0</v>
      </c>
      <c r="J109" s="33">
        <f>'เย็น 102'!J109+'เช้า '!J109+'เย็น '!J109</f>
        <v>0</v>
      </c>
      <c r="K109" s="39">
        <f t="shared" si="10"/>
        <v>0</v>
      </c>
      <c r="L109" s="11"/>
      <c r="M109" s="11"/>
      <c r="N109" s="58"/>
    </row>
    <row r="110" spans="2:14" hidden="1">
      <c r="B110" s="11">
        <v>1112012</v>
      </c>
      <c r="C110" s="20" t="s">
        <v>83</v>
      </c>
      <c r="D110" s="33">
        <f>'เย็น 102'!D110+'เช้า '!D110+'เย็น '!D110</f>
        <v>0</v>
      </c>
      <c r="E110" s="33">
        <f>'เย็น 102'!E110+'เช้า '!E110+'เย็น '!E110</f>
        <v>0</v>
      </c>
      <c r="F110" s="33">
        <f>'เย็น 102'!F110+'เช้า '!F110+'เย็น '!F110</f>
        <v>0</v>
      </c>
      <c r="G110" s="33">
        <f>'เย็น 102'!G110+'เช้า '!G110+'เย็น '!G110</f>
        <v>0</v>
      </c>
      <c r="H110" s="33">
        <f>'เย็น 102'!H110+'เช้า '!H110+'เย็น '!H110</f>
        <v>0</v>
      </c>
      <c r="I110" s="33">
        <f>'เย็น 102'!I110+'เช้า '!I110+'เย็น '!I110</f>
        <v>0</v>
      </c>
      <c r="J110" s="33">
        <f>'เย็น 102'!J110+'เช้า '!J110+'เย็น '!J110</f>
        <v>0</v>
      </c>
      <c r="K110" s="39">
        <f t="shared" si="10"/>
        <v>0</v>
      </c>
      <c r="L110" s="11"/>
      <c r="M110" s="11"/>
      <c r="N110" s="58"/>
    </row>
    <row r="111" spans="2:14" hidden="1">
      <c r="B111" s="11"/>
      <c r="C111" s="20" t="s">
        <v>84</v>
      </c>
      <c r="D111" s="33">
        <f>'เย็น 102'!D111+'เช้า '!D111+'เย็น '!D111</f>
        <v>0</v>
      </c>
      <c r="E111" s="33">
        <f>'เย็น 102'!E111+'เช้า '!E111+'เย็น '!E111</f>
        <v>0</v>
      </c>
      <c r="F111" s="33">
        <f>'เย็น 102'!F111+'เช้า '!F111+'เย็น '!F111</f>
        <v>0</v>
      </c>
      <c r="G111" s="33">
        <f>'เย็น 102'!G111+'เช้า '!G111+'เย็น '!G111</f>
        <v>0</v>
      </c>
      <c r="H111" s="33">
        <f>'เย็น 102'!H111+'เช้า '!H111+'เย็น '!H111</f>
        <v>0</v>
      </c>
      <c r="I111" s="33">
        <f>'เย็น 102'!I111+'เช้า '!I111+'เย็น '!I111</f>
        <v>0</v>
      </c>
      <c r="J111" s="33">
        <f>'เย็น 102'!J111+'เช้า '!J111+'เย็น '!J111</f>
        <v>0</v>
      </c>
      <c r="K111" s="39">
        <f t="shared" si="10"/>
        <v>0</v>
      </c>
      <c r="L111" s="11"/>
      <c r="M111" s="11"/>
      <c r="N111" s="58"/>
    </row>
    <row r="112" spans="2:14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39">
        <f t="shared" ref="K112" si="11">SUM(D112:J112)</f>
        <v>0</v>
      </c>
      <c r="L112" s="11"/>
      <c r="M112" s="11"/>
      <c r="N112" s="58"/>
    </row>
    <row r="113" spans="2:14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76"/>
    </row>
    <row r="114" spans="2:14">
      <c r="B114" s="11">
        <v>1113170</v>
      </c>
      <c r="C114" s="22" t="s">
        <v>87</v>
      </c>
      <c r="D114" s="33">
        <f>'เย็น 102'!D114+'เช้า '!D114+'เย็น '!D114</f>
        <v>0</v>
      </c>
      <c r="E114" s="33">
        <f>'เย็น 102'!E114+'เช้า '!E114+'เย็น '!E114</f>
        <v>0</v>
      </c>
      <c r="F114" s="33">
        <f>'เย็น 102'!F114+'เช้า '!F114+'เย็น '!F114</f>
        <v>0</v>
      </c>
      <c r="G114" s="33">
        <f>'เย็น 102'!G114+'เช้า '!G114+'เย็น '!G114</f>
        <v>0</v>
      </c>
      <c r="H114" s="33">
        <f>'เย็น 102'!H114+'เช้า '!H114+'เย็น '!H114</f>
        <v>0</v>
      </c>
      <c r="I114" s="33">
        <f>'เย็น 102'!I114+'เช้า '!I114+'เย็น '!I114</f>
        <v>0</v>
      </c>
      <c r="J114" s="33">
        <f>'เย็น 102'!J114+'เช้า '!J114+'เย็น '!J114</f>
        <v>0</v>
      </c>
      <c r="K114" s="39">
        <f>SUM(D114:J114)</f>
        <v>0</v>
      </c>
      <c r="L114" s="11"/>
      <c r="M114" s="11"/>
      <c r="N114" s="58">
        <f t="shared" ref="N114:N137" si="12">SUM(L114+M114)-K114</f>
        <v>0</v>
      </c>
    </row>
    <row r="115" spans="2:14">
      <c r="B115" s="11">
        <v>1113171</v>
      </c>
      <c r="C115" s="22" t="s">
        <v>88</v>
      </c>
      <c r="D115" s="33">
        <f>'เย็น 102'!D115+'เช้า '!D115+'เย็น '!D115</f>
        <v>0</v>
      </c>
      <c r="E115" s="33">
        <f>'เย็น 102'!E115+'เช้า '!E115+'เย็น '!E115</f>
        <v>0</v>
      </c>
      <c r="F115" s="33">
        <f>'เย็น 102'!F115+'เช้า '!F115+'เย็น '!F115</f>
        <v>0</v>
      </c>
      <c r="G115" s="33">
        <f>'เย็น 102'!G115+'เช้า '!G115+'เย็น '!G115</f>
        <v>0</v>
      </c>
      <c r="H115" s="33">
        <f>'เย็น 102'!H115+'เช้า '!H115+'เย็น '!H115</f>
        <v>0</v>
      </c>
      <c r="I115" s="33">
        <f>'เย็น 102'!I115+'เช้า '!I115+'เย็น '!I115</f>
        <v>0</v>
      </c>
      <c r="J115" s="33">
        <f>'เย็น 102'!J115+'เช้า '!J115+'เย็น '!J115</f>
        <v>0</v>
      </c>
      <c r="K115" s="39">
        <f t="shared" ref="K115:K137" si="13">SUM(D115:J115)</f>
        <v>0</v>
      </c>
      <c r="L115" s="11"/>
      <c r="M115" s="11"/>
      <c r="N115" s="58">
        <f t="shared" si="12"/>
        <v>0</v>
      </c>
    </row>
    <row r="116" spans="2:14">
      <c r="B116" s="11">
        <v>1113172</v>
      </c>
      <c r="C116" s="22" t="s">
        <v>89</v>
      </c>
      <c r="D116" s="33">
        <f>'เย็น 102'!D116+'เช้า '!D116+'เย็น '!D116</f>
        <v>0</v>
      </c>
      <c r="E116" s="33">
        <f>'เย็น 102'!E116+'เช้า '!E116+'เย็น '!E116</f>
        <v>0</v>
      </c>
      <c r="F116" s="33">
        <f>'เย็น 102'!F116+'เช้า '!F116+'เย็น '!F116</f>
        <v>0</v>
      </c>
      <c r="G116" s="33">
        <f>'เย็น 102'!G116+'เช้า '!G116+'เย็น '!G116</f>
        <v>0</v>
      </c>
      <c r="H116" s="33">
        <f>'เย็น 102'!H116+'เช้า '!H116+'เย็น '!H116</f>
        <v>0</v>
      </c>
      <c r="I116" s="33">
        <f>'เย็น 102'!I116+'เช้า '!I116+'เย็น '!I116</f>
        <v>0</v>
      </c>
      <c r="J116" s="33">
        <f>'เย็น 102'!J116+'เช้า '!J116+'เย็น '!J116</f>
        <v>0</v>
      </c>
      <c r="K116" s="39">
        <f t="shared" si="13"/>
        <v>0</v>
      </c>
      <c r="L116" s="11"/>
      <c r="M116" s="11"/>
      <c r="N116" s="58">
        <f t="shared" si="12"/>
        <v>0</v>
      </c>
    </row>
    <row r="117" spans="2:14">
      <c r="B117" s="11">
        <v>1113173</v>
      </c>
      <c r="C117" s="22" t="s">
        <v>90</v>
      </c>
      <c r="D117" s="33">
        <f>'เย็น 102'!D117+'เช้า '!D117+'เย็น '!D117</f>
        <v>0</v>
      </c>
      <c r="E117" s="33">
        <f>'เย็น 102'!E117+'เช้า '!E117+'เย็น '!E117</f>
        <v>0</v>
      </c>
      <c r="F117" s="33">
        <f>'เย็น 102'!F117+'เช้า '!F117+'เย็น '!F117</f>
        <v>0</v>
      </c>
      <c r="G117" s="33">
        <f>'เย็น 102'!G117+'เช้า '!G117+'เย็น '!G117</f>
        <v>0</v>
      </c>
      <c r="H117" s="33">
        <f>'เย็น 102'!H117+'เช้า '!H117+'เย็น '!H117</f>
        <v>0</v>
      </c>
      <c r="I117" s="33">
        <f>'เย็น 102'!I117+'เช้า '!I117+'เย็น '!I117</f>
        <v>0</v>
      </c>
      <c r="J117" s="33">
        <f>'เย็น 102'!J117+'เช้า '!J117+'เย็น '!J117</f>
        <v>0</v>
      </c>
      <c r="K117" s="39">
        <f t="shared" si="13"/>
        <v>0</v>
      </c>
      <c r="L117" s="11"/>
      <c r="M117" s="11"/>
      <c r="N117" s="58">
        <f t="shared" si="12"/>
        <v>0</v>
      </c>
    </row>
    <row r="118" spans="2:14">
      <c r="B118" s="11">
        <v>1100003</v>
      </c>
      <c r="C118" s="22" t="s">
        <v>125</v>
      </c>
      <c r="D118" s="33">
        <f>'เย็น 102'!D118+'เช้า '!D118+'เย็น '!D118</f>
        <v>0</v>
      </c>
      <c r="E118" s="33">
        <f>'เย็น 102'!E118+'เช้า '!E118+'เย็น '!E118</f>
        <v>0</v>
      </c>
      <c r="F118" s="33">
        <f>'เย็น 102'!F118+'เช้า '!F118+'เย็น '!F118</f>
        <v>0</v>
      </c>
      <c r="G118" s="33">
        <f>'เย็น 102'!G118+'เช้า '!G118+'เย็น '!G118</f>
        <v>0</v>
      </c>
      <c r="H118" s="33">
        <f>'เย็น 102'!H118+'เช้า '!H118+'เย็น '!H118</f>
        <v>0</v>
      </c>
      <c r="I118" s="33">
        <f>'เย็น 102'!I118+'เช้า '!I118+'เย็น '!I118</f>
        <v>0</v>
      </c>
      <c r="J118" s="33">
        <f>'เย็น 102'!J118+'เช้า '!J118+'เย็น '!J118</f>
        <v>0</v>
      </c>
      <c r="K118" s="39">
        <f t="shared" si="13"/>
        <v>0</v>
      </c>
      <c r="L118" s="11"/>
      <c r="M118" s="11">
        <v>31</v>
      </c>
      <c r="N118" s="58">
        <f t="shared" si="12"/>
        <v>31</v>
      </c>
    </row>
    <row r="119" spans="2:14">
      <c r="B119" s="11">
        <v>1100001</v>
      </c>
      <c r="C119" s="22" t="s">
        <v>126</v>
      </c>
      <c r="D119" s="33">
        <f>'เย็น 102'!D119+'เช้า '!D119+'เย็น '!D119</f>
        <v>0</v>
      </c>
      <c r="E119" s="33">
        <f>'เย็น 102'!E119+'เช้า '!E119+'เย็น '!E119</f>
        <v>3</v>
      </c>
      <c r="F119" s="33">
        <f>'เย็น 102'!F119+'เช้า '!F119+'เย็น '!F119</f>
        <v>0</v>
      </c>
      <c r="G119" s="33">
        <f>'เย็น 102'!G119+'เช้า '!G119+'เย็น '!G119</f>
        <v>0</v>
      </c>
      <c r="H119" s="33">
        <f>'เย็น 102'!H119+'เช้า '!H119+'เย็น '!H119</f>
        <v>0</v>
      </c>
      <c r="I119" s="33">
        <f>'เย็น 102'!I119+'เช้า '!I119+'เย็น '!I119</f>
        <v>0</v>
      </c>
      <c r="J119" s="33">
        <f>'เย็น 102'!J119+'เช้า '!J119+'เย็น '!J119</f>
        <v>0</v>
      </c>
      <c r="K119" s="39">
        <f t="shared" si="13"/>
        <v>3</v>
      </c>
      <c r="L119" s="11"/>
      <c r="M119" s="11">
        <v>81</v>
      </c>
      <c r="N119" s="58">
        <f t="shared" si="12"/>
        <v>78</v>
      </c>
    </row>
    <row r="120" spans="2:14">
      <c r="B120" s="11">
        <v>1100002</v>
      </c>
      <c r="C120" s="22" t="s">
        <v>127</v>
      </c>
      <c r="D120" s="33">
        <f>'เย็น 102'!D120+'เช้า '!D120+'เย็น '!D120</f>
        <v>0</v>
      </c>
      <c r="E120" s="33">
        <f>'เย็น 102'!E120+'เช้า '!E120+'เย็น '!E120</f>
        <v>5</v>
      </c>
      <c r="F120" s="33">
        <f>'เย็น 102'!F120+'เช้า '!F120+'เย็น '!F120</f>
        <v>5</v>
      </c>
      <c r="G120" s="33">
        <f>'เย็น 102'!G120+'เช้า '!G120+'เย็น '!G120</f>
        <v>4</v>
      </c>
      <c r="H120" s="33">
        <f>'เย็น 102'!H120+'เช้า '!H120+'เย็น '!H120</f>
        <v>0</v>
      </c>
      <c r="I120" s="33">
        <f>'เย็น 102'!I120+'เช้า '!I120+'เย็น '!I120</f>
        <v>0</v>
      </c>
      <c r="J120" s="33">
        <f>'เย็น 102'!J120+'เช้า '!J120+'เย็น '!J120</f>
        <v>0</v>
      </c>
      <c r="K120" s="39">
        <f t="shared" si="13"/>
        <v>14</v>
      </c>
      <c r="L120" s="11"/>
      <c r="M120" s="11"/>
      <c r="N120" s="58">
        <f t="shared" si="12"/>
        <v>-14</v>
      </c>
    </row>
    <row r="121" spans="2:14">
      <c r="B121" s="11">
        <v>1200001</v>
      </c>
      <c r="C121" s="22" t="s">
        <v>93</v>
      </c>
      <c r="D121" s="33">
        <f>'เย็น 102'!D121+'เช้า '!D121+'เย็น '!D121</f>
        <v>0</v>
      </c>
      <c r="E121" s="33">
        <f>'เย็น 102'!E121+'เช้า '!E121+'เย็น '!E121</f>
        <v>0</v>
      </c>
      <c r="F121" s="33">
        <f>'เย็น 102'!F121+'เช้า '!F121+'เย็น '!F121</f>
        <v>0</v>
      </c>
      <c r="G121" s="33">
        <f>'เย็น 102'!G121+'เช้า '!G121+'เย็น '!G121</f>
        <v>0</v>
      </c>
      <c r="H121" s="33">
        <f>'เย็น 102'!H121+'เช้า '!H121+'เย็น '!H121</f>
        <v>0</v>
      </c>
      <c r="I121" s="33">
        <f>'เย็น 102'!I121+'เช้า '!I121+'เย็น '!I121</f>
        <v>0</v>
      </c>
      <c r="J121" s="33">
        <f>'เย็น 102'!J121+'เช้า '!J121+'เย็น '!J121</f>
        <v>0</v>
      </c>
      <c r="K121" s="39">
        <f t="shared" si="13"/>
        <v>0</v>
      </c>
      <c r="L121" s="11"/>
      <c r="M121" s="11">
        <v>210</v>
      </c>
      <c r="N121" s="58">
        <f t="shared" si="12"/>
        <v>210</v>
      </c>
    </row>
    <row r="122" spans="2:14">
      <c r="B122" s="11">
        <v>1005761</v>
      </c>
      <c r="C122" s="22" t="s">
        <v>94</v>
      </c>
      <c r="D122" s="33">
        <f>'เย็น 102'!D122+'เช้า '!D122+'เย็น '!D122</f>
        <v>0</v>
      </c>
      <c r="E122" s="33">
        <f>'เย็น 102'!E122+'เช้า '!E122+'เย็น '!E122</f>
        <v>2</v>
      </c>
      <c r="F122" s="33">
        <f>'เย็น 102'!F122+'เช้า '!F122+'เย็น '!F122</f>
        <v>0</v>
      </c>
      <c r="G122" s="33">
        <f>'เย็น 102'!G122+'เช้า '!G122+'เย็น '!G122</f>
        <v>0</v>
      </c>
      <c r="H122" s="33">
        <f>'เย็น 102'!H122+'เช้า '!H122+'เย็น '!H122</f>
        <v>0</v>
      </c>
      <c r="I122" s="33">
        <f>'เย็น 102'!I122+'เช้า '!I122+'เย็น '!I122</f>
        <v>0</v>
      </c>
      <c r="J122" s="33">
        <f>'เย็น 102'!J122+'เช้า '!J122+'เย็น '!J122</f>
        <v>0</v>
      </c>
      <c r="K122" s="39">
        <f t="shared" si="13"/>
        <v>2</v>
      </c>
      <c r="L122" s="11"/>
      <c r="M122" s="11">
        <v>66</v>
      </c>
      <c r="N122" s="58">
        <f t="shared" si="12"/>
        <v>64</v>
      </c>
    </row>
    <row r="123" spans="2:14">
      <c r="B123" s="11">
        <v>1114501</v>
      </c>
      <c r="C123" s="22" t="s">
        <v>95</v>
      </c>
      <c r="D123" s="33">
        <f>'เย็น 102'!D123+'เช้า '!D123+'เย็น '!D123</f>
        <v>2</v>
      </c>
      <c r="E123" s="33">
        <f>'เย็น 102'!E123+'เช้า '!E123+'เย็น '!E123</f>
        <v>11</v>
      </c>
      <c r="F123" s="33">
        <f>'เย็น 102'!F123+'เช้า '!F123+'เย็น '!F123</f>
        <v>19</v>
      </c>
      <c r="G123" s="33">
        <f>'เย็น 102'!G123+'เช้า '!G123+'เย็น '!G123</f>
        <v>317</v>
      </c>
      <c r="H123" s="33">
        <f>'เย็น 102'!H123+'เช้า '!H123+'เย็น '!H123</f>
        <v>0</v>
      </c>
      <c r="I123" s="33">
        <f>'เย็น 102'!I123+'เช้า '!I123+'เย็น '!I123</f>
        <v>0</v>
      </c>
      <c r="J123" s="33">
        <f>'เย็น 102'!J123+'เช้า '!J123+'เย็น '!J123</f>
        <v>1</v>
      </c>
      <c r="K123" s="39">
        <f t="shared" si="13"/>
        <v>350</v>
      </c>
      <c r="L123" s="11">
        <v>300</v>
      </c>
      <c r="M123" s="11">
        <v>481</v>
      </c>
      <c r="N123" s="58">
        <f t="shared" si="12"/>
        <v>431</v>
      </c>
    </row>
    <row r="124" spans="2:14">
      <c r="B124" s="11">
        <v>1114502</v>
      </c>
      <c r="C124" s="22" t="s">
        <v>96</v>
      </c>
      <c r="D124" s="33">
        <f>'เย็น 102'!D124+'เช้า '!D124+'เย็น '!D124</f>
        <v>4</v>
      </c>
      <c r="E124" s="33">
        <f>'เย็น 102'!E124+'เช้า '!E124+'เย็น '!E124</f>
        <v>13</v>
      </c>
      <c r="F124" s="33">
        <f>'เย็น 102'!F124+'เช้า '!F124+'เย็น '!F124</f>
        <v>20</v>
      </c>
      <c r="G124" s="33">
        <f>'เย็น 102'!G124+'เช้า '!G124+'เย็น '!G124</f>
        <v>317</v>
      </c>
      <c r="H124" s="33">
        <f>'เย็น 102'!H124+'เช้า '!H124+'เย็น '!H124</f>
        <v>0</v>
      </c>
      <c r="I124" s="33">
        <f>'เย็น 102'!I124+'เช้า '!I124+'เย็น '!I124</f>
        <v>0</v>
      </c>
      <c r="J124" s="33">
        <f>'เย็น 102'!J124+'เช้า '!J124+'เย็น '!J124</f>
        <v>0</v>
      </c>
      <c r="K124" s="39">
        <f t="shared" si="13"/>
        <v>354</v>
      </c>
      <c r="L124" s="11">
        <v>300</v>
      </c>
      <c r="M124" s="11">
        <v>560</v>
      </c>
      <c r="N124" s="58">
        <f t="shared" si="12"/>
        <v>506</v>
      </c>
    </row>
    <row r="125" spans="2:14">
      <c r="B125" s="11">
        <v>1114503</v>
      </c>
      <c r="C125" s="22" t="s">
        <v>97</v>
      </c>
      <c r="D125" s="33">
        <f>'เย็น 102'!D125+'เช้า '!D125+'เย็น '!D125</f>
        <v>2</v>
      </c>
      <c r="E125" s="33">
        <f>'เย็น 102'!E125+'เช้า '!E125+'เย็น '!E125</f>
        <v>11</v>
      </c>
      <c r="F125" s="33">
        <f>'เย็น 102'!F125+'เช้า '!F125+'เย็น '!F125</f>
        <v>7</v>
      </c>
      <c r="G125" s="33">
        <f>'เย็น 102'!G125+'เช้า '!G125+'เย็น '!G125</f>
        <v>317</v>
      </c>
      <c r="H125" s="33">
        <f>'เย็น 102'!H125+'เช้า '!H125+'เย็น '!H125</f>
        <v>0</v>
      </c>
      <c r="I125" s="33">
        <f>'เย็น 102'!I125+'เช้า '!I125+'เย็น '!I125</f>
        <v>0</v>
      </c>
      <c r="J125" s="33">
        <f>'เย็น 102'!J125+'เช้า '!J125+'เย็น '!J125</f>
        <v>0</v>
      </c>
      <c r="K125" s="39">
        <f t="shared" si="13"/>
        <v>337</v>
      </c>
      <c r="L125" s="11">
        <v>300</v>
      </c>
      <c r="M125" s="11">
        <v>284</v>
      </c>
      <c r="N125" s="58">
        <f t="shared" si="12"/>
        <v>247</v>
      </c>
    </row>
    <row r="126" spans="2:14">
      <c r="B126" s="11">
        <v>1124021</v>
      </c>
      <c r="C126" s="22" t="s">
        <v>98</v>
      </c>
      <c r="D126" s="33">
        <f>'เย็น 102'!D130+'เช้า '!D126+'เย็น '!D126</f>
        <v>0</v>
      </c>
      <c r="E126" s="33">
        <f>'เย็น 102'!E130+'เช้า '!E126+'เย็น '!E126</f>
        <v>18</v>
      </c>
      <c r="F126" s="33">
        <f>'เย็น 102'!F130+'เช้า '!F126+'เย็น '!F126</f>
        <v>96</v>
      </c>
      <c r="G126" s="33">
        <f>'เย็น 102'!G130+'เช้า '!G126+'เย็น '!G126</f>
        <v>30</v>
      </c>
      <c r="H126" s="33">
        <f>'เย็น 102'!H130+'เช้า '!H126+'เย็น '!H126</f>
        <v>0</v>
      </c>
      <c r="I126" s="33">
        <f>'เย็น 102'!I130+'เช้า '!I126+'เย็น '!I126</f>
        <v>0</v>
      </c>
      <c r="J126" s="33">
        <f>'เย็น 102'!J130+'เช้า '!J126+'เย็น '!J126</f>
        <v>0</v>
      </c>
      <c r="K126" s="39">
        <f t="shared" si="13"/>
        <v>144</v>
      </c>
      <c r="L126" s="11"/>
      <c r="M126" s="11">
        <v>919</v>
      </c>
      <c r="N126" s="58">
        <f t="shared" si="12"/>
        <v>775</v>
      </c>
    </row>
    <row r="127" spans="2:14">
      <c r="B127" s="11">
        <v>1113084</v>
      </c>
      <c r="C127" s="22" t="s">
        <v>99</v>
      </c>
      <c r="D127" s="33">
        <f>'เย็น 102'!D131+'เช้า '!D127+'เย็น '!D127</f>
        <v>0</v>
      </c>
      <c r="E127" s="33">
        <f>'เย็น 102'!E131+'เช้า '!E127+'เย็น '!E127</f>
        <v>2</v>
      </c>
      <c r="F127" s="33">
        <f>'เย็น 102'!F131+'เช้า '!F127+'เย็น '!F127</f>
        <v>0</v>
      </c>
      <c r="G127" s="33">
        <f>'เย็น 102'!G131+'เช้า '!G127+'เย็น '!G127</f>
        <v>0</v>
      </c>
      <c r="H127" s="33">
        <f>'เย็น 102'!H131+'เช้า '!H127+'เย็น '!H127</f>
        <v>0</v>
      </c>
      <c r="I127" s="33">
        <f>'เย็น 102'!I131+'เช้า '!I127+'เย็น '!I127</f>
        <v>0</v>
      </c>
      <c r="J127" s="33">
        <f>'เย็น 102'!J131+'เช้า '!J127+'เย็น '!J127</f>
        <v>0</v>
      </c>
      <c r="K127" s="39">
        <f t="shared" si="13"/>
        <v>2</v>
      </c>
      <c r="L127" s="11"/>
      <c r="M127" s="11">
        <v>10</v>
      </c>
      <c r="N127" s="58">
        <f t="shared" si="12"/>
        <v>8</v>
      </c>
    </row>
    <row r="128" spans="2:14">
      <c r="B128" s="11">
        <v>900003</v>
      </c>
      <c r="C128" s="22" t="s">
        <v>146</v>
      </c>
      <c r="D128" s="33">
        <f>'เย็น 102'!D132+'เช้า '!D128+'เย็น '!D128</f>
        <v>0</v>
      </c>
      <c r="E128" s="33">
        <f>'เย็น 102'!E132+'เช้า '!E128+'เย็น '!E128</f>
        <v>0</v>
      </c>
      <c r="F128" s="33">
        <f>'เย็น 102'!F132+'เช้า '!F128+'เย็น '!F128</f>
        <v>0</v>
      </c>
      <c r="G128" s="33">
        <f>'เย็น 102'!G132+'เช้า '!G128+'เย็น '!G128</f>
        <v>0</v>
      </c>
      <c r="H128" s="33">
        <f>'เย็น 102'!H132+'เช้า '!H128+'เย็น '!H128</f>
        <v>0</v>
      </c>
      <c r="I128" s="33">
        <f>'เย็น 102'!I132+'เช้า '!I128+'เย็น '!I128</f>
        <v>0</v>
      </c>
      <c r="J128" s="33">
        <f>'เย็น 102'!J132+'เช้า '!J128+'เย็น '!J128</f>
        <v>0</v>
      </c>
      <c r="K128" s="39">
        <f t="shared" si="13"/>
        <v>0</v>
      </c>
      <c r="L128" s="11"/>
      <c r="M128" s="11"/>
      <c r="N128" s="58">
        <f t="shared" si="12"/>
        <v>0</v>
      </c>
    </row>
    <row r="129" spans="2:14">
      <c r="B129" s="11">
        <v>900004</v>
      </c>
      <c r="C129" s="22" t="s">
        <v>100</v>
      </c>
      <c r="D129" s="33">
        <f>'เย็น 102'!D133+'เช้า '!D129+'เย็น '!D129</f>
        <v>0</v>
      </c>
      <c r="E129" s="33">
        <f>'เย็น 102'!E133+'เช้า '!E129+'เย็น '!E129</f>
        <v>0</v>
      </c>
      <c r="F129" s="33">
        <f>'เย็น 102'!F133+'เช้า '!F129+'เย็น '!F129</f>
        <v>0</v>
      </c>
      <c r="G129" s="33">
        <f>'เย็น 102'!G133+'เช้า '!G129+'เย็น '!G129</f>
        <v>0</v>
      </c>
      <c r="H129" s="33">
        <f>'เย็น 102'!H133+'เช้า '!H129+'เย็น '!H129</f>
        <v>0</v>
      </c>
      <c r="I129" s="33">
        <f>'เย็น 102'!I133+'เช้า '!I129+'เย็น '!I129</f>
        <v>0</v>
      </c>
      <c r="J129" s="33">
        <f>'เย็น 102'!J133+'เช้า '!J129+'เย็น '!J129</f>
        <v>0</v>
      </c>
      <c r="K129" s="39">
        <f t="shared" si="13"/>
        <v>0</v>
      </c>
      <c r="L129" s="11"/>
      <c r="M129" s="11"/>
      <c r="N129" s="58">
        <f t="shared" si="12"/>
        <v>0</v>
      </c>
    </row>
    <row r="130" spans="2:14">
      <c r="B130" s="11">
        <v>1200002</v>
      </c>
      <c r="C130" s="22" t="s">
        <v>104</v>
      </c>
      <c r="D130" s="33">
        <f>'เย็น 102'!D137+'เช้า '!D130+'เย็น '!D130</f>
        <v>0</v>
      </c>
      <c r="E130" s="33">
        <f>'เย็น 102'!E137+'เช้า '!E130+'เย็น '!E130</f>
        <v>0</v>
      </c>
      <c r="F130" s="33">
        <f>'เย็น 102'!F137+'เช้า '!F130+'เย็น '!F130</f>
        <v>0</v>
      </c>
      <c r="G130" s="33">
        <f>'เย็น 102'!G137+'เช้า '!G130+'เย็น '!G130</f>
        <v>0</v>
      </c>
      <c r="H130" s="33">
        <f>'เย็น 102'!H137+'เช้า '!H130+'เย็น '!H130</f>
        <v>0</v>
      </c>
      <c r="I130" s="33">
        <f>'เย็น 102'!I137+'เช้า '!I130+'เย็น '!I130</f>
        <v>0</v>
      </c>
      <c r="J130" s="33">
        <f>'เย็น 102'!J137+'เช้า '!J130+'เย็น '!J130</f>
        <v>0</v>
      </c>
      <c r="K130" s="39">
        <f t="shared" si="13"/>
        <v>0</v>
      </c>
      <c r="L130" s="11"/>
      <c r="M130" s="11">
        <v>65</v>
      </c>
      <c r="N130" s="58">
        <f t="shared" si="12"/>
        <v>65</v>
      </c>
    </row>
    <row r="131" spans="2:14">
      <c r="B131" s="11">
        <v>1200003</v>
      </c>
      <c r="C131" s="22" t="s">
        <v>105</v>
      </c>
      <c r="D131" s="33">
        <f>'เย็น 102'!D138+'เช้า '!D131+'เย็น '!D131</f>
        <v>0</v>
      </c>
      <c r="E131" s="33">
        <f>'เย็น 102'!E138+'เช้า '!E131+'เย็น '!E131</f>
        <v>0</v>
      </c>
      <c r="F131" s="33">
        <f>'เย็น 102'!F138+'เช้า '!F131+'เย็น '!F131</f>
        <v>0</v>
      </c>
      <c r="G131" s="33">
        <f>'เย็น 102'!G138+'เช้า '!G131+'เย็น '!G131</f>
        <v>0</v>
      </c>
      <c r="H131" s="33">
        <f>'เย็น 102'!H138+'เช้า '!H131+'เย็น '!H131</f>
        <v>0</v>
      </c>
      <c r="I131" s="33">
        <f>'เย็น 102'!I138+'เช้า '!I131+'เย็น '!I131</f>
        <v>0</v>
      </c>
      <c r="J131" s="33">
        <f>'เย็น 102'!J138+'เช้า '!J131+'เย็น '!J131</f>
        <v>0</v>
      </c>
      <c r="K131" s="39">
        <f t="shared" si="13"/>
        <v>0</v>
      </c>
      <c r="L131" s="11"/>
      <c r="M131" s="11"/>
      <c r="N131" s="58">
        <f t="shared" si="12"/>
        <v>0</v>
      </c>
    </row>
    <row r="132" spans="2:14">
      <c r="B132" s="11">
        <v>1200004</v>
      </c>
      <c r="C132" s="22" t="s">
        <v>106</v>
      </c>
      <c r="D132" s="33">
        <f>'เย็น 102'!D139+'เช้า '!D132+'เย็น '!D132</f>
        <v>0</v>
      </c>
      <c r="E132" s="33">
        <f>'เย็น 102'!E139+'เช้า '!E132+'เย็น '!E132</f>
        <v>0</v>
      </c>
      <c r="F132" s="33">
        <f>'เย็น 102'!F139+'เช้า '!F132+'เย็น '!F132</f>
        <v>0</v>
      </c>
      <c r="G132" s="33">
        <f>'เย็น 102'!G139+'เช้า '!G132+'เย็น '!G132</f>
        <v>0</v>
      </c>
      <c r="H132" s="33">
        <f>'เย็น 102'!H139+'เช้า '!H132+'เย็น '!H132</f>
        <v>0</v>
      </c>
      <c r="I132" s="33">
        <f>'เย็น 102'!I139+'เช้า '!I132+'เย็น '!I132</f>
        <v>0</v>
      </c>
      <c r="J132" s="33">
        <f>'เย็น 102'!J139+'เช้า '!J132+'เย็น '!J132</f>
        <v>0</v>
      </c>
      <c r="K132" s="39">
        <f t="shared" si="13"/>
        <v>0</v>
      </c>
      <c r="L132" s="11"/>
      <c r="M132" s="11"/>
      <c r="N132" s="58">
        <f t="shared" si="12"/>
        <v>0</v>
      </c>
    </row>
    <row r="133" spans="2:14">
      <c r="B133" s="11">
        <v>1200093</v>
      </c>
      <c r="C133" s="22" t="s">
        <v>91</v>
      </c>
      <c r="D133" s="33">
        <f>'เย็น 102'!D140+'เช้า '!D133+'เย็น '!D133</f>
        <v>0</v>
      </c>
      <c r="E133" s="33">
        <f>'เย็น 102'!E140+'เช้า '!E133+'เย็น '!E133</f>
        <v>0</v>
      </c>
      <c r="F133" s="33">
        <f>'เย็น 102'!F140+'เช้า '!F133+'เย็น '!F133</f>
        <v>0</v>
      </c>
      <c r="G133" s="33">
        <f>'เย็น 102'!G140+'เช้า '!G133+'เย็น '!G133</f>
        <v>0</v>
      </c>
      <c r="H133" s="33">
        <f>'เย็น 102'!H140+'เช้า '!H133+'เย็น '!H133</f>
        <v>0</v>
      </c>
      <c r="I133" s="33">
        <f>'เย็น 102'!I140+'เช้า '!I133+'เย็น '!I133</f>
        <v>0</v>
      </c>
      <c r="J133" s="33">
        <f>'เย็น 102'!J140+'เช้า '!J133+'เย็น '!J133</f>
        <v>0</v>
      </c>
      <c r="K133" s="39">
        <f t="shared" si="13"/>
        <v>0</v>
      </c>
      <c r="L133" s="11"/>
      <c r="M133" s="11"/>
      <c r="N133" s="58">
        <f t="shared" si="12"/>
        <v>0</v>
      </c>
    </row>
    <row r="134" spans="2:14">
      <c r="B134" s="11">
        <v>1200092</v>
      </c>
      <c r="C134" s="20" t="s">
        <v>92</v>
      </c>
      <c r="D134" s="33">
        <f>'เย็น 102'!D141+'เช้า '!D134+'เย็น '!D134</f>
        <v>0</v>
      </c>
      <c r="E134" s="33">
        <f>'เย็น 102'!E141+'เช้า '!E134+'เย็น '!E134</f>
        <v>0</v>
      </c>
      <c r="F134" s="33">
        <f>'เย็น 102'!F141+'เช้า '!F134+'เย็น '!F134</f>
        <v>0</v>
      </c>
      <c r="G134" s="33">
        <f>'เย็น 102'!G141+'เช้า '!G134+'เย็น '!G134</f>
        <v>0</v>
      </c>
      <c r="H134" s="33">
        <f>'เย็น 102'!H141+'เช้า '!H134+'เย็น '!H134</f>
        <v>0</v>
      </c>
      <c r="I134" s="33">
        <f>'เย็น 102'!I141+'เช้า '!I134+'เย็น '!I134</f>
        <v>0</v>
      </c>
      <c r="J134" s="33">
        <f>'เย็น 102'!J141+'เช้า '!J134+'เย็น '!J134</f>
        <v>0</v>
      </c>
      <c r="K134" s="39">
        <f t="shared" si="13"/>
        <v>0</v>
      </c>
      <c r="L134" s="11"/>
      <c r="M134" s="11"/>
      <c r="N134" s="58">
        <f t="shared" si="12"/>
        <v>0</v>
      </c>
    </row>
    <row r="135" spans="2:14">
      <c r="B135" s="23"/>
      <c r="C135" s="22" t="s">
        <v>128</v>
      </c>
      <c r="D135" s="33">
        <f>'เย็น 102'!D142+'เช้า '!D135+'เย็น '!D135</f>
        <v>0</v>
      </c>
      <c r="E135" s="33">
        <f>'เย็น 102'!E142+'เช้า '!E135+'เย็น '!E135</f>
        <v>0</v>
      </c>
      <c r="F135" s="33">
        <f>'เย็น 102'!F142+'เช้า '!F135+'เย็น '!F135</f>
        <v>0</v>
      </c>
      <c r="G135" s="33">
        <f>'เย็น 102'!G142+'เช้า '!G135+'เย็น '!G135</f>
        <v>0</v>
      </c>
      <c r="H135" s="33">
        <f>'เย็น 102'!H142+'เช้า '!H135+'เย็น '!H135</f>
        <v>0</v>
      </c>
      <c r="I135" s="33">
        <f>'เย็น 102'!I142+'เช้า '!I135+'เย็น '!I135</f>
        <v>0</v>
      </c>
      <c r="J135" s="33">
        <f>'เย็น 102'!J142+'เช้า '!J135+'เย็น '!J135</f>
        <v>3</v>
      </c>
      <c r="K135" s="39">
        <f t="shared" si="13"/>
        <v>3</v>
      </c>
      <c r="L135" s="11"/>
      <c r="M135" s="11"/>
      <c r="N135" s="58">
        <f t="shared" si="12"/>
        <v>-3</v>
      </c>
    </row>
    <row r="136" spans="2:14">
      <c r="B136" s="23"/>
      <c r="C136" s="22" t="s">
        <v>129</v>
      </c>
      <c r="D136" s="33">
        <f>'เย็น 102'!D143+'เช้า '!D136+'เย็น '!D136</f>
        <v>0</v>
      </c>
      <c r="E136" s="33">
        <f>'เย็น 102'!E143+'เช้า '!E136+'เย็น '!E136</f>
        <v>3</v>
      </c>
      <c r="F136" s="33">
        <f>'เย็น 102'!F143+'เช้า '!F136+'เย็น '!F136</f>
        <v>0</v>
      </c>
      <c r="G136" s="33">
        <f>'เย็น 102'!G143+'เช้า '!G136+'เย็น '!G136</f>
        <v>0</v>
      </c>
      <c r="H136" s="33">
        <f>'เย็น 102'!H143+'เช้า '!H136+'เย็น '!H136</f>
        <v>0</v>
      </c>
      <c r="I136" s="33">
        <f>'เย็น 102'!I143+'เช้า '!I136+'เย็น '!I136</f>
        <v>0</v>
      </c>
      <c r="J136" s="33">
        <f>'เย็น 102'!J143+'เช้า '!J136+'เย็น '!J136</f>
        <v>3</v>
      </c>
      <c r="K136" s="39">
        <f t="shared" si="13"/>
        <v>6</v>
      </c>
      <c r="L136" s="11"/>
      <c r="M136" s="11"/>
      <c r="N136" s="58">
        <f t="shared" si="12"/>
        <v>-6</v>
      </c>
    </row>
    <row r="137" spans="2:14">
      <c r="B137" s="23">
        <v>20052721</v>
      </c>
      <c r="C137" s="22" t="s">
        <v>143</v>
      </c>
      <c r="D137" s="33">
        <f>'เย็น 102'!D149+'เช้า '!D137+'เย็น '!D137</f>
        <v>0</v>
      </c>
      <c r="E137" s="33">
        <f>'เย็น 102'!E149+'เช้า '!E137+'เย็น '!E137</f>
        <v>0</v>
      </c>
      <c r="F137" s="33">
        <f>'เย็น 102'!F149+'เช้า '!F137+'เย็น '!F137</f>
        <v>0</v>
      </c>
      <c r="G137" s="33">
        <f>'เย็น 102'!G149+'เช้า '!G137+'เย็น '!G137</f>
        <v>0</v>
      </c>
      <c r="H137" s="33">
        <f>'เย็น 102'!H149+'เช้า '!H137+'เย็น '!H137</f>
        <v>0</v>
      </c>
      <c r="I137" s="33">
        <f>'เย็น 102'!I149+'เช้า '!I137+'เย็น '!I137</f>
        <v>0</v>
      </c>
      <c r="J137" s="33">
        <f>'เย็น 102'!J149+'เช้า '!J137+'เย็น '!J137</f>
        <v>0</v>
      </c>
      <c r="K137" s="39">
        <f t="shared" si="13"/>
        <v>0</v>
      </c>
      <c r="L137" s="11"/>
      <c r="M137" s="11"/>
      <c r="N137" s="58">
        <f t="shared" si="12"/>
        <v>0</v>
      </c>
    </row>
    <row r="138" spans="2:14" ht="40.5" customHeight="1">
      <c r="C138" s="38"/>
      <c r="D138" s="39">
        <f t="shared" ref="D138:K138" si="14">SUM(D114:D137,D90:D99,D79:D87,D69:D76,D7:D66)</f>
        <v>253</v>
      </c>
      <c r="E138" s="39">
        <f t="shared" si="14"/>
        <v>222</v>
      </c>
      <c r="F138" s="39">
        <f t="shared" si="14"/>
        <v>337</v>
      </c>
      <c r="G138" s="39">
        <f t="shared" si="14"/>
        <v>1344</v>
      </c>
      <c r="H138" s="39">
        <f t="shared" si="14"/>
        <v>0</v>
      </c>
      <c r="I138" s="39">
        <f t="shared" si="14"/>
        <v>0</v>
      </c>
      <c r="J138" s="39">
        <f t="shared" si="14"/>
        <v>8</v>
      </c>
      <c r="K138" s="39">
        <f t="shared" si="14"/>
        <v>2164</v>
      </c>
      <c r="L138" s="44">
        <f>SUM(L114:L137,L90:L98,L79:L87,L69:L76,L7:L66)</f>
        <v>1555</v>
      </c>
      <c r="M138" s="44">
        <f>SUM(M114:M137,M90:M98,M79:M87,M69:M76,M7:M66)</f>
        <v>4168</v>
      </c>
      <c r="N138" s="44">
        <f>SUM(N114:N137,N90:N98,N79:N87,N69:N76,N7:N69)</f>
        <v>3639</v>
      </c>
    </row>
    <row r="139" spans="2:14">
      <c r="B139" s="43"/>
      <c r="C139" s="38"/>
      <c r="D139" s="44"/>
      <c r="E139" s="44"/>
      <c r="F139" s="44"/>
      <c r="G139" s="44"/>
      <c r="H139" s="44"/>
      <c r="I139" s="44"/>
      <c r="J139" s="44"/>
      <c r="K139" s="45"/>
    </row>
    <row r="140" spans="2:14">
      <c r="B140" s="43"/>
      <c r="C140" s="38"/>
      <c r="D140" s="44"/>
      <c r="E140" s="44"/>
      <c r="F140" s="44"/>
      <c r="G140" s="44"/>
      <c r="H140" s="44"/>
      <c r="I140" s="44"/>
      <c r="J140" s="44"/>
      <c r="K140" s="45"/>
    </row>
    <row r="141" spans="2:14">
      <c r="C141" s="25"/>
      <c r="D141" s="34"/>
      <c r="E141" s="63"/>
      <c r="F141" s="63"/>
      <c r="G141" s="29"/>
      <c r="K141" s="46"/>
    </row>
    <row r="142" spans="2:14">
      <c r="B142" s="63" t="s">
        <v>108</v>
      </c>
      <c r="C142" s="63"/>
      <c r="D142" s="35"/>
      <c r="E142" s="62"/>
      <c r="F142" s="62"/>
      <c r="G142" s="30"/>
      <c r="H142" s="29"/>
      <c r="I142" s="63" t="s">
        <v>108</v>
      </c>
      <c r="J142" s="63"/>
      <c r="K142" s="63"/>
    </row>
    <row r="143" spans="2:14">
      <c r="B143" s="62" t="s">
        <v>109</v>
      </c>
      <c r="C143" s="62"/>
      <c r="D143" s="36"/>
      <c r="E143" s="36"/>
      <c r="F143" s="36"/>
      <c r="G143" s="36"/>
      <c r="H143" s="36"/>
      <c r="I143" s="62" t="s">
        <v>110</v>
      </c>
      <c r="J143" s="62"/>
      <c r="K143" s="62"/>
    </row>
    <row r="144" spans="2:14">
      <c r="B144" s="34"/>
      <c r="C144" s="34"/>
      <c r="D144" s="36"/>
      <c r="E144" s="36"/>
      <c r="F144" s="36"/>
      <c r="G144" s="36"/>
      <c r="H144" s="36"/>
      <c r="I144" s="34"/>
      <c r="J144" s="34"/>
      <c r="K144" s="37"/>
    </row>
    <row r="145" spans="2:11" ht="21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21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21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21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 ht="21">
      <c r="B149" s="34"/>
      <c r="C149" s="34"/>
      <c r="D149" s="34"/>
      <c r="E149" s="34"/>
      <c r="F149" s="34"/>
      <c r="G149" s="34"/>
      <c r="H149" s="34"/>
      <c r="I149" s="34"/>
      <c r="J149" s="34"/>
      <c r="K149" s="37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  <row r="160" spans="2:11">
      <c r="D160" s="34"/>
      <c r="E160" s="34"/>
      <c r="F160" s="34"/>
      <c r="G160" s="34"/>
      <c r="H160" s="34"/>
    </row>
  </sheetData>
  <mergeCells count="18">
    <mergeCell ref="B1:K1"/>
    <mergeCell ref="B2:C3"/>
    <mergeCell ref="E2:F3"/>
    <mergeCell ref="L2:L4"/>
    <mergeCell ref="B143:C143"/>
    <mergeCell ref="I143:K143"/>
    <mergeCell ref="N2:N4"/>
    <mergeCell ref="B6:N6"/>
    <mergeCell ref="B68:N68"/>
    <mergeCell ref="B78:N78"/>
    <mergeCell ref="B89:N89"/>
    <mergeCell ref="B101:N101"/>
    <mergeCell ref="M2:M4"/>
    <mergeCell ref="B113:N113"/>
    <mergeCell ref="E141:F141"/>
    <mergeCell ref="B142:C142"/>
    <mergeCell ref="E142:F142"/>
    <mergeCell ref="I142:K142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102</vt:lpstr>
      <vt:lpstr>เย็น </vt:lpstr>
      <vt:lpstr>เช้า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HP</cp:lastModifiedBy>
  <cp:lastPrinted>2024-10-30T00:45:46Z</cp:lastPrinted>
  <dcterms:created xsi:type="dcterms:W3CDTF">2024-04-30T05:21:27Z</dcterms:created>
  <dcterms:modified xsi:type="dcterms:W3CDTF">2024-11-13T00:36:00Z</dcterms:modified>
</cp:coreProperties>
</file>