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รวมโฟลเดอร์\ยอดจริง\67\"/>
    </mc:Choice>
  </mc:AlternateContent>
  <xr:revisionPtr revIDLastSave="0" documentId="13_ncr:1_{350E04D1-E65C-42B6-9D0B-A6DDB1A84103}" xr6:coauthVersionLast="47" xr6:coauthVersionMax="47" xr10:uidLastSave="{00000000-0000-0000-0000-000000000000}"/>
  <bookViews>
    <workbookView xWindow="4800" yWindow="375" windowWidth="23700" windowHeight="13080" firstSheet="2" activeTab="2" xr2:uid="{55C9AAA3-F459-48EC-A639-AACFFC6390F5}"/>
  </bookViews>
  <sheets>
    <sheet name="เย็น 386" sheetId="6" r:id="rId1"/>
    <sheet name="เช้า 212" sheetId="3" r:id="rId2"/>
    <sheet name="รวม" sheetId="5" r:id="rId3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W91" i="5" l="1"/>
  <c r="W92" i="5"/>
  <c r="W93" i="5"/>
  <c r="W94" i="5"/>
  <c r="W95" i="5"/>
  <c r="W96" i="5"/>
  <c r="W97" i="5"/>
  <c r="W98" i="5"/>
  <c r="W90" i="5"/>
  <c r="W124" i="5"/>
  <c r="W125" i="5"/>
  <c r="W126" i="5"/>
  <c r="W123" i="5"/>
  <c r="U124" i="5"/>
  <c r="U125" i="5"/>
  <c r="U126" i="5"/>
  <c r="U123" i="5"/>
  <c r="U118" i="5"/>
  <c r="U91" i="5"/>
  <c r="U92" i="5"/>
  <c r="U93" i="5"/>
  <c r="U94" i="5"/>
  <c r="U95" i="5"/>
  <c r="U96" i="5"/>
  <c r="U97" i="5"/>
  <c r="U98" i="5"/>
  <c r="U90" i="5"/>
  <c r="U87" i="5"/>
  <c r="U69" i="5"/>
  <c r="U26" i="5"/>
  <c r="U7" i="5"/>
  <c r="S8" i="5"/>
  <c r="S9" i="5"/>
  <c r="S10" i="5"/>
  <c r="S11" i="5"/>
  <c r="S12" i="5"/>
  <c r="S13" i="5"/>
  <c r="S14" i="5"/>
  <c r="S15" i="5"/>
  <c r="S16" i="5"/>
  <c r="S17" i="5"/>
  <c r="S18" i="5"/>
  <c r="S19" i="5"/>
  <c r="S20" i="5"/>
  <c r="S21" i="5"/>
  <c r="S22" i="5"/>
  <c r="S23" i="5"/>
  <c r="S24" i="5"/>
  <c r="S26" i="5"/>
  <c r="S27" i="5"/>
  <c r="S28" i="5"/>
  <c r="S29" i="5"/>
  <c r="S30" i="5"/>
  <c r="S31" i="5"/>
  <c r="S32" i="5"/>
  <c r="S33" i="5"/>
  <c r="S34" i="5"/>
  <c r="S35" i="5"/>
  <c r="S36" i="5"/>
  <c r="S37" i="5"/>
  <c r="S38" i="5"/>
  <c r="S39" i="5"/>
  <c r="S66" i="5"/>
  <c r="S67" i="5"/>
  <c r="S68" i="5"/>
  <c r="S69" i="5"/>
  <c r="S70" i="5"/>
  <c r="S71" i="5"/>
  <c r="S72" i="5"/>
  <c r="S73" i="5"/>
  <c r="S74" i="5"/>
  <c r="S75" i="5"/>
  <c r="S76" i="5"/>
  <c r="S77" i="5"/>
  <c r="S78" i="5"/>
  <c r="S79" i="5"/>
  <c r="S80" i="5"/>
  <c r="S81" i="5"/>
  <c r="S82" i="5"/>
  <c r="S83" i="5"/>
  <c r="S84" i="5"/>
  <c r="S85" i="5"/>
  <c r="S86" i="5"/>
  <c r="S87" i="5"/>
  <c r="S88" i="5"/>
  <c r="S89" i="5"/>
  <c r="S90" i="5"/>
  <c r="S91" i="5"/>
  <c r="S92" i="5"/>
  <c r="S93" i="5"/>
  <c r="S94" i="5"/>
  <c r="S95" i="5"/>
  <c r="S96" i="5"/>
  <c r="S97" i="5"/>
  <c r="S98" i="5"/>
  <c r="S99" i="5"/>
  <c r="S100" i="5"/>
  <c r="S101" i="5"/>
  <c r="S102" i="5"/>
  <c r="S103" i="5"/>
  <c r="S104" i="5"/>
  <c r="S105" i="5"/>
  <c r="S106" i="5"/>
  <c r="S107" i="5"/>
  <c r="S108" i="5"/>
  <c r="S109" i="5"/>
  <c r="S110" i="5"/>
  <c r="S111" i="5"/>
  <c r="S112" i="5"/>
  <c r="S113" i="5"/>
  <c r="S114" i="5"/>
  <c r="S115" i="5"/>
  <c r="S116" i="5"/>
  <c r="S117" i="5"/>
  <c r="S118" i="5"/>
  <c r="S119" i="5"/>
  <c r="S120" i="5"/>
  <c r="S121" i="5"/>
  <c r="S122" i="5"/>
  <c r="S123" i="5"/>
  <c r="S124" i="5"/>
  <c r="S125" i="5"/>
  <c r="S126" i="5"/>
  <c r="S127" i="5"/>
  <c r="S128" i="5"/>
  <c r="S129" i="5"/>
  <c r="S130" i="5"/>
  <c r="S7" i="5"/>
  <c r="D137" i="5" l="1"/>
  <c r="E137" i="5"/>
  <c r="F137" i="5"/>
  <c r="G137" i="5"/>
  <c r="H137" i="5"/>
  <c r="I137" i="5"/>
  <c r="J137" i="5"/>
  <c r="D115" i="5"/>
  <c r="E115" i="5"/>
  <c r="F115" i="5"/>
  <c r="G115" i="5"/>
  <c r="H115" i="5"/>
  <c r="I115" i="5"/>
  <c r="J115" i="5"/>
  <c r="D116" i="5"/>
  <c r="E116" i="5"/>
  <c r="F116" i="5"/>
  <c r="G116" i="5"/>
  <c r="H116" i="5"/>
  <c r="I116" i="5"/>
  <c r="J116" i="5"/>
  <c r="D117" i="5"/>
  <c r="E117" i="5"/>
  <c r="F117" i="5"/>
  <c r="G117" i="5"/>
  <c r="H117" i="5"/>
  <c r="I117" i="5"/>
  <c r="J117" i="5"/>
  <c r="D118" i="5"/>
  <c r="E118" i="5"/>
  <c r="F118" i="5"/>
  <c r="G118" i="5"/>
  <c r="H118" i="5"/>
  <c r="I118" i="5"/>
  <c r="J118" i="5"/>
  <c r="D119" i="5"/>
  <c r="E119" i="5"/>
  <c r="F119" i="5"/>
  <c r="G119" i="5"/>
  <c r="H119" i="5"/>
  <c r="I119" i="5"/>
  <c r="J119" i="5"/>
  <c r="D120" i="5"/>
  <c r="E120" i="5"/>
  <c r="F120" i="5"/>
  <c r="G120" i="5"/>
  <c r="H120" i="5"/>
  <c r="I120" i="5"/>
  <c r="J120" i="5"/>
  <c r="D121" i="5"/>
  <c r="E121" i="5"/>
  <c r="F121" i="5"/>
  <c r="G121" i="5"/>
  <c r="H121" i="5"/>
  <c r="I121" i="5"/>
  <c r="J121" i="5"/>
  <c r="D122" i="5"/>
  <c r="E122" i="5"/>
  <c r="F122" i="5"/>
  <c r="G122" i="5"/>
  <c r="H122" i="5"/>
  <c r="I122" i="5"/>
  <c r="J122" i="5"/>
  <c r="D123" i="5"/>
  <c r="E123" i="5"/>
  <c r="F123" i="5"/>
  <c r="G123" i="5"/>
  <c r="H123" i="5"/>
  <c r="I123" i="5"/>
  <c r="J123" i="5"/>
  <c r="D124" i="5"/>
  <c r="E124" i="5"/>
  <c r="F124" i="5"/>
  <c r="G124" i="5"/>
  <c r="H124" i="5"/>
  <c r="I124" i="5"/>
  <c r="J124" i="5"/>
  <c r="D125" i="5"/>
  <c r="E125" i="5"/>
  <c r="F125" i="5"/>
  <c r="G125" i="5"/>
  <c r="H125" i="5"/>
  <c r="I125" i="5"/>
  <c r="J125" i="5"/>
  <c r="D126" i="5"/>
  <c r="E126" i="5"/>
  <c r="F126" i="5"/>
  <c r="G126" i="5"/>
  <c r="H126" i="5"/>
  <c r="I126" i="5"/>
  <c r="J126" i="5"/>
  <c r="D127" i="5"/>
  <c r="E127" i="5"/>
  <c r="F127" i="5"/>
  <c r="G127" i="5"/>
  <c r="H127" i="5"/>
  <c r="I127" i="5"/>
  <c r="J127" i="5"/>
  <c r="D128" i="5"/>
  <c r="E128" i="5"/>
  <c r="F128" i="5"/>
  <c r="G128" i="5"/>
  <c r="H128" i="5"/>
  <c r="I128" i="5"/>
  <c r="J128" i="5"/>
  <c r="D129" i="5"/>
  <c r="E129" i="5"/>
  <c r="F129" i="5"/>
  <c r="G129" i="5"/>
  <c r="H129" i="5"/>
  <c r="I129" i="5"/>
  <c r="J129" i="5"/>
  <c r="D130" i="5"/>
  <c r="E130" i="5"/>
  <c r="F130" i="5"/>
  <c r="G130" i="5"/>
  <c r="H130" i="5"/>
  <c r="I130" i="5"/>
  <c r="J130" i="5"/>
  <c r="D131" i="5"/>
  <c r="E131" i="5"/>
  <c r="F131" i="5"/>
  <c r="G131" i="5"/>
  <c r="H131" i="5"/>
  <c r="I131" i="5"/>
  <c r="J131" i="5"/>
  <c r="D132" i="5"/>
  <c r="E132" i="5"/>
  <c r="F132" i="5"/>
  <c r="G132" i="5"/>
  <c r="H132" i="5"/>
  <c r="I132" i="5"/>
  <c r="J132" i="5"/>
  <c r="D133" i="5"/>
  <c r="E133" i="5"/>
  <c r="F133" i="5"/>
  <c r="G133" i="5"/>
  <c r="H133" i="5"/>
  <c r="I133" i="5"/>
  <c r="J133" i="5"/>
  <c r="D134" i="5"/>
  <c r="E134" i="5"/>
  <c r="F134" i="5"/>
  <c r="G134" i="5"/>
  <c r="H134" i="5"/>
  <c r="I134" i="5"/>
  <c r="J134" i="5"/>
  <c r="D135" i="5"/>
  <c r="E135" i="5"/>
  <c r="F135" i="5"/>
  <c r="G135" i="5"/>
  <c r="H135" i="5"/>
  <c r="I135" i="5"/>
  <c r="J135" i="5"/>
  <c r="D136" i="5"/>
  <c r="E136" i="5"/>
  <c r="F136" i="5"/>
  <c r="G136" i="5"/>
  <c r="H136" i="5"/>
  <c r="I136" i="5"/>
  <c r="J136" i="5"/>
  <c r="E114" i="5"/>
  <c r="F114" i="5"/>
  <c r="G114" i="5"/>
  <c r="H114" i="5"/>
  <c r="I114" i="5"/>
  <c r="J114" i="5"/>
  <c r="D114" i="5"/>
  <c r="D91" i="5"/>
  <c r="E91" i="5"/>
  <c r="F91" i="5"/>
  <c r="G91" i="5"/>
  <c r="H91" i="5"/>
  <c r="I91" i="5"/>
  <c r="J91" i="5"/>
  <c r="D92" i="5"/>
  <c r="E92" i="5"/>
  <c r="F92" i="5"/>
  <c r="G92" i="5"/>
  <c r="H92" i="5"/>
  <c r="I92" i="5"/>
  <c r="J92" i="5"/>
  <c r="D93" i="5"/>
  <c r="E93" i="5"/>
  <c r="F93" i="5"/>
  <c r="G93" i="5"/>
  <c r="H93" i="5"/>
  <c r="I93" i="5"/>
  <c r="J93" i="5"/>
  <c r="D94" i="5"/>
  <c r="E94" i="5"/>
  <c r="F94" i="5"/>
  <c r="G94" i="5"/>
  <c r="H94" i="5"/>
  <c r="I94" i="5"/>
  <c r="J94" i="5"/>
  <c r="D95" i="5"/>
  <c r="E95" i="5"/>
  <c r="F95" i="5"/>
  <c r="G95" i="5"/>
  <c r="H95" i="5"/>
  <c r="I95" i="5"/>
  <c r="J95" i="5"/>
  <c r="D96" i="5"/>
  <c r="E96" i="5"/>
  <c r="F96" i="5"/>
  <c r="G96" i="5"/>
  <c r="H96" i="5"/>
  <c r="I96" i="5"/>
  <c r="J96" i="5"/>
  <c r="D97" i="5"/>
  <c r="E97" i="5"/>
  <c r="F97" i="5"/>
  <c r="G97" i="5"/>
  <c r="H97" i="5"/>
  <c r="I97" i="5"/>
  <c r="J97" i="5"/>
  <c r="D98" i="5"/>
  <c r="E98" i="5"/>
  <c r="F98" i="5"/>
  <c r="G98" i="5"/>
  <c r="H98" i="5"/>
  <c r="I98" i="5"/>
  <c r="J98" i="5"/>
  <c r="D99" i="5"/>
  <c r="E99" i="5"/>
  <c r="F99" i="5"/>
  <c r="G99" i="5"/>
  <c r="H99" i="5"/>
  <c r="I99" i="5"/>
  <c r="J99" i="5"/>
  <c r="E90" i="5"/>
  <c r="F90" i="5"/>
  <c r="G90" i="5"/>
  <c r="H90" i="5"/>
  <c r="I90" i="5"/>
  <c r="J90" i="5"/>
  <c r="D90" i="5"/>
  <c r="D80" i="5"/>
  <c r="E80" i="5"/>
  <c r="F80" i="5"/>
  <c r="G80" i="5"/>
  <c r="H80" i="5"/>
  <c r="I80" i="5"/>
  <c r="J80" i="5"/>
  <c r="D81" i="5"/>
  <c r="E81" i="5"/>
  <c r="F81" i="5"/>
  <c r="G81" i="5"/>
  <c r="H81" i="5"/>
  <c r="I81" i="5"/>
  <c r="J81" i="5"/>
  <c r="D82" i="5"/>
  <c r="E82" i="5"/>
  <c r="F82" i="5"/>
  <c r="G82" i="5"/>
  <c r="H82" i="5"/>
  <c r="I82" i="5"/>
  <c r="J82" i="5"/>
  <c r="D83" i="5"/>
  <c r="E83" i="5"/>
  <c r="F83" i="5"/>
  <c r="G83" i="5"/>
  <c r="H83" i="5"/>
  <c r="I83" i="5"/>
  <c r="J83" i="5"/>
  <c r="D84" i="5"/>
  <c r="E84" i="5"/>
  <c r="F84" i="5"/>
  <c r="G84" i="5"/>
  <c r="H84" i="5"/>
  <c r="I84" i="5"/>
  <c r="J84" i="5"/>
  <c r="D85" i="5"/>
  <c r="E85" i="5"/>
  <c r="F85" i="5"/>
  <c r="G85" i="5"/>
  <c r="H85" i="5"/>
  <c r="I85" i="5"/>
  <c r="J85" i="5"/>
  <c r="D86" i="5"/>
  <c r="E86" i="5"/>
  <c r="F86" i="5"/>
  <c r="G86" i="5"/>
  <c r="H86" i="5"/>
  <c r="I86" i="5"/>
  <c r="J86" i="5"/>
  <c r="D87" i="5"/>
  <c r="E87" i="5"/>
  <c r="F87" i="5"/>
  <c r="G87" i="5"/>
  <c r="H87" i="5"/>
  <c r="I87" i="5"/>
  <c r="J87" i="5"/>
  <c r="E79" i="5"/>
  <c r="F79" i="5"/>
  <c r="G79" i="5"/>
  <c r="H79" i="5"/>
  <c r="I79" i="5"/>
  <c r="J79" i="5"/>
  <c r="D79" i="5"/>
  <c r="D70" i="5"/>
  <c r="E70" i="5"/>
  <c r="F70" i="5"/>
  <c r="G70" i="5"/>
  <c r="H70" i="5"/>
  <c r="I70" i="5"/>
  <c r="J70" i="5"/>
  <c r="D71" i="5"/>
  <c r="E71" i="5"/>
  <c r="F71" i="5"/>
  <c r="G71" i="5"/>
  <c r="H71" i="5"/>
  <c r="I71" i="5"/>
  <c r="J71" i="5"/>
  <c r="D72" i="5"/>
  <c r="E72" i="5"/>
  <c r="F72" i="5"/>
  <c r="G72" i="5"/>
  <c r="H72" i="5"/>
  <c r="I72" i="5"/>
  <c r="J72" i="5"/>
  <c r="D73" i="5"/>
  <c r="E73" i="5"/>
  <c r="F73" i="5"/>
  <c r="G73" i="5"/>
  <c r="H73" i="5"/>
  <c r="I73" i="5"/>
  <c r="J73" i="5"/>
  <c r="D74" i="5"/>
  <c r="E74" i="5"/>
  <c r="F74" i="5"/>
  <c r="G74" i="5"/>
  <c r="H74" i="5"/>
  <c r="I74" i="5"/>
  <c r="J74" i="5"/>
  <c r="D75" i="5"/>
  <c r="E75" i="5"/>
  <c r="F75" i="5"/>
  <c r="G75" i="5"/>
  <c r="H75" i="5"/>
  <c r="I75" i="5"/>
  <c r="J75" i="5"/>
  <c r="D76" i="5"/>
  <c r="E76" i="5"/>
  <c r="F76" i="5"/>
  <c r="G76" i="5"/>
  <c r="H76" i="5"/>
  <c r="I76" i="5"/>
  <c r="J76" i="5"/>
  <c r="D77" i="5"/>
  <c r="E77" i="5"/>
  <c r="F77" i="5"/>
  <c r="G77" i="5"/>
  <c r="H77" i="5"/>
  <c r="I77" i="5"/>
  <c r="J77" i="5"/>
  <c r="E69" i="5"/>
  <c r="F69" i="5"/>
  <c r="G69" i="5"/>
  <c r="H69" i="5"/>
  <c r="I69" i="5"/>
  <c r="J69" i="5"/>
  <c r="D69" i="5"/>
  <c r="D8" i="5"/>
  <c r="E8" i="5"/>
  <c r="F8" i="5"/>
  <c r="G8" i="5"/>
  <c r="H8" i="5"/>
  <c r="I8" i="5"/>
  <c r="J8" i="5"/>
  <c r="D9" i="5"/>
  <c r="E9" i="5"/>
  <c r="F9" i="5"/>
  <c r="G9" i="5"/>
  <c r="H9" i="5"/>
  <c r="I9" i="5"/>
  <c r="J9" i="5"/>
  <c r="D10" i="5"/>
  <c r="E10" i="5"/>
  <c r="F10" i="5"/>
  <c r="G10" i="5"/>
  <c r="H10" i="5"/>
  <c r="I10" i="5"/>
  <c r="J10" i="5"/>
  <c r="D11" i="5"/>
  <c r="E11" i="5"/>
  <c r="F11" i="5"/>
  <c r="G11" i="5"/>
  <c r="H11" i="5"/>
  <c r="I11" i="5"/>
  <c r="J11" i="5"/>
  <c r="D12" i="5"/>
  <c r="E12" i="5"/>
  <c r="F12" i="5"/>
  <c r="G12" i="5"/>
  <c r="H12" i="5"/>
  <c r="I12" i="5"/>
  <c r="J12" i="5"/>
  <c r="D13" i="5"/>
  <c r="E13" i="5"/>
  <c r="F13" i="5"/>
  <c r="G13" i="5"/>
  <c r="H13" i="5"/>
  <c r="I13" i="5"/>
  <c r="J13" i="5"/>
  <c r="D14" i="5"/>
  <c r="E14" i="5"/>
  <c r="F14" i="5"/>
  <c r="G14" i="5"/>
  <c r="H14" i="5"/>
  <c r="I14" i="5"/>
  <c r="J14" i="5"/>
  <c r="D15" i="5"/>
  <c r="E15" i="5"/>
  <c r="F15" i="5"/>
  <c r="G15" i="5"/>
  <c r="H15" i="5"/>
  <c r="I15" i="5"/>
  <c r="J15" i="5"/>
  <c r="D16" i="5"/>
  <c r="E16" i="5"/>
  <c r="F16" i="5"/>
  <c r="G16" i="5"/>
  <c r="H16" i="5"/>
  <c r="I16" i="5"/>
  <c r="J16" i="5"/>
  <c r="D17" i="5"/>
  <c r="E17" i="5"/>
  <c r="F17" i="5"/>
  <c r="G17" i="5"/>
  <c r="H17" i="5"/>
  <c r="I17" i="5"/>
  <c r="J17" i="5"/>
  <c r="D18" i="5"/>
  <c r="E18" i="5"/>
  <c r="F18" i="5"/>
  <c r="G18" i="5"/>
  <c r="H18" i="5"/>
  <c r="I18" i="5"/>
  <c r="J18" i="5"/>
  <c r="D19" i="5"/>
  <c r="E19" i="5"/>
  <c r="F19" i="5"/>
  <c r="G19" i="5"/>
  <c r="H19" i="5"/>
  <c r="I19" i="5"/>
  <c r="J19" i="5"/>
  <c r="D20" i="5"/>
  <c r="E20" i="5"/>
  <c r="F20" i="5"/>
  <c r="G20" i="5"/>
  <c r="H20" i="5"/>
  <c r="I20" i="5"/>
  <c r="J20" i="5"/>
  <c r="D21" i="5"/>
  <c r="E21" i="5"/>
  <c r="F21" i="5"/>
  <c r="G21" i="5"/>
  <c r="H21" i="5"/>
  <c r="I21" i="5"/>
  <c r="J21" i="5"/>
  <c r="D22" i="5"/>
  <c r="E22" i="5"/>
  <c r="F22" i="5"/>
  <c r="G22" i="5"/>
  <c r="H22" i="5"/>
  <c r="I22" i="5"/>
  <c r="J22" i="5"/>
  <c r="D23" i="5"/>
  <c r="E23" i="5"/>
  <c r="F23" i="5"/>
  <c r="G23" i="5"/>
  <c r="H23" i="5"/>
  <c r="I23" i="5"/>
  <c r="J23" i="5"/>
  <c r="D24" i="5"/>
  <c r="E24" i="5"/>
  <c r="F24" i="5"/>
  <c r="G24" i="5"/>
  <c r="H24" i="5"/>
  <c r="I24" i="5"/>
  <c r="J24" i="5"/>
  <c r="D25" i="5"/>
  <c r="E25" i="5"/>
  <c r="F25" i="5"/>
  <c r="G25" i="5"/>
  <c r="H25" i="5"/>
  <c r="I25" i="5"/>
  <c r="J25" i="5"/>
  <c r="D26" i="5"/>
  <c r="E26" i="5"/>
  <c r="F26" i="5"/>
  <c r="G26" i="5"/>
  <c r="H26" i="5"/>
  <c r="I26" i="5"/>
  <c r="J26" i="5"/>
  <c r="D27" i="5"/>
  <c r="E27" i="5"/>
  <c r="F27" i="5"/>
  <c r="G27" i="5"/>
  <c r="H27" i="5"/>
  <c r="I27" i="5"/>
  <c r="J27" i="5"/>
  <c r="D28" i="5"/>
  <c r="E28" i="5"/>
  <c r="F28" i="5"/>
  <c r="G28" i="5"/>
  <c r="H28" i="5"/>
  <c r="I28" i="5"/>
  <c r="J28" i="5"/>
  <c r="D29" i="5"/>
  <c r="E29" i="5"/>
  <c r="F29" i="5"/>
  <c r="G29" i="5"/>
  <c r="H29" i="5"/>
  <c r="I29" i="5"/>
  <c r="J29" i="5"/>
  <c r="D30" i="5"/>
  <c r="E30" i="5"/>
  <c r="F30" i="5"/>
  <c r="G30" i="5"/>
  <c r="H30" i="5"/>
  <c r="I30" i="5"/>
  <c r="J30" i="5"/>
  <c r="D31" i="5"/>
  <c r="E31" i="5"/>
  <c r="F31" i="5"/>
  <c r="G31" i="5"/>
  <c r="H31" i="5"/>
  <c r="I31" i="5"/>
  <c r="J31" i="5"/>
  <c r="D32" i="5"/>
  <c r="E32" i="5"/>
  <c r="F32" i="5"/>
  <c r="G32" i="5"/>
  <c r="H32" i="5"/>
  <c r="I32" i="5"/>
  <c r="J32" i="5"/>
  <c r="D33" i="5"/>
  <c r="E33" i="5"/>
  <c r="F33" i="5"/>
  <c r="G33" i="5"/>
  <c r="H33" i="5"/>
  <c r="I33" i="5"/>
  <c r="J33" i="5"/>
  <c r="D34" i="5"/>
  <c r="E34" i="5"/>
  <c r="F34" i="5"/>
  <c r="G34" i="5"/>
  <c r="H34" i="5"/>
  <c r="I34" i="5"/>
  <c r="J34" i="5"/>
  <c r="D35" i="5"/>
  <c r="E35" i="5"/>
  <c r="F35" i="5"/>
  <c r="G35" i="5"/>
  <c r="H35" i="5"/>
  <c r="I35" i="5"/>
  <c r="J35" i="5"/>
  <c r="D36" i="5"/>
  <c r="E36" i="5"/>
  <c r="F36" i="5"/>
  <c r="G36" i="5"/>
  <c r="H36" i="5"/>
  <c r="I36" i="5"/>
  <c r="J36" i="5"/>
  <c r="D37" i="5"/>
  <c r="E37" i="5"/>
  <c r="F37" i="5"/>
  <c r="G37" i="5"/>
  <c r="H37" i="5"/>
  <c r="I37" i="5"/>
  <c r="J37" i="5"/>
  <c r="D38" i="5"/>
  <c r="E38" i="5"/>
  <c r="F38" i="5"/>
  <c r="G38" i="5"/>
  <c r="H38" i="5"/>
  <c r="I38" i="5"/>
  <c r="J38" i="5"/>
  <c r="D39" i="5"/>
  <c r="E39" i="5"/>
  <c r="F39" i="5"/>
  <c r="G39" i="5"/>
  <c r="H39" i="5"/>
  <c r="I39" i="5"/>
  <c r="J39" i="5"/>
  <c r="D40" i="5"/>
  <c r="E40" i="5"/>
  <c r="F40" i="5"/>
  <c r="G40" i="5"/>
  <c r="H40" i="5"/>
  <c r="I40" i="5"/>
  <c r="J40" i="5"/>
  <c r="D41" i="5"/>
  <c r="E41" i="5"/>
  <c r="F41" i="5"/>
  <c r="G41" i="5"/>
  <c r="H41" i="5"/>
  <c r="I41" i="5"/>
  <c r="J41" i="5"/>
  <c r="D42" i="5"/>
  <c r="E42" i="5"/>
  <c r="F42" i="5"/>
  <c r="G42" i="5"/>
  <c r="H42" i="5"/>
  <c r="I42" i="5"/>
  <c r="J42" i="5"/>
  <c r="D43" i="5"/>
  <c r="E43" i="5"/>
  <c r="F43" i="5"/>
  <c r="G43" i="5"/>
  <c r="H43" i="5"/>
  <c r="I43" i="5"/>
  <c r="J43" i="5"/>
  <c r="D44" i="5"/>
  <c r="E44" i="5"/>
  <c r="F44" i="5"/>
  <c r="G44" i="5"/>
  <c r="H44" i="5"/>
  <c r="I44" i="5"/>
  <c r="J44" i="5"/>
  <c r="D45" i="5"/>
  <c r="E45" i="5"/>
  <c r="F45" i="5"/>
  <c r="G45" i="5"/>
  <c r="H45" i="5"/>
  <c r="I45" i="5"/>
  <c r="J45" i="5"/>
  <c r="D46" i="5"/>
  <c r="E46" i="5"/>
  <c r="F46" i="5"/>
  <c r="G46" i="5"/>
  <c r="H46" i="5"/>
  <c r="I46" i="5"/>
  <c r="J46" i="5"/>
  <c r="D47" i="5"/>
  <c r="E47" i="5"/>
  <c r="F47" i="5"/>
  <c r="G47" i="5"/>
  <c r="H47" i="5"/>
  <c r="I47" i="5"/>
  <c r="J47" i="5"/>
  <c r="D48" i="5"/>
  <c r="E48" i="5"/>
  <c r="F48" i="5"/>
  <c r="G48" i="5"/>
  <c r="H48" i="5"/>
  <c r="I48" i="5"/>
  <c r="J48" i="5"/>
  <c r="D49" i="5"/>
  <c r="E49" i="5"/>
  <c r="F49" i="5"/>
  <c r="G49" i="5"/>
  <c r="H49" i="5"/>
  <c r="I49" i="5"/>
  <c r="J49" i="5"/>
  <c r="D50" i="5"/>
  <c r="E50" i="5"/>
  <c r="F50" i="5"/>
  <c r="G50" i="5"/>
  <c r="H50" i="5"/>
  <c r="I50" i="5"/>
  <c r="J50" i="5"/>
  <c r="D51" i="5"/>
  <c r="E51" i="5"/>
  <c r="F51" i="5"/>
  <c r="G51" i="5"/>
  <c r="H51" i="5"/>
  <c r="I51" i="5"/>
  <c r="J51" i="5"/>
  <c r="D52" i="5"/>
  <c r="E52" i="5"/>
  <c r="F52" i="5"/>
  <c r="G52" i="5"/>
  <c r="H52" i="5"/>
  <c r="I52" i="5"/>
  <c r="J52" i="5"/>
  <c r="D53" i="5"/>
  <c r="E53" i="5"/>
  <c r="F53" i="5"/>
  <c r="G53" i="5"/>
  <c r="H53" i="5"/>
  <c r="I53" i="5"/>
  <c r="J53" i="5"/>
  <c r="D54" i="5"/>
  <c r="E54" i="5"/>
  <c r="F54" i="5"/>
  <c r="G54" i="5"/>
  <c r="H54" i="5"/>
  <c r="I54" i="5"/>
  <c r="J54" i="5"/>
  <c r="E55" i="5"/>
  <c r="F55" i="5"/>
  <c r="G55" i="5"/>
  <c r="H55" i="5"/>
  <c r="I55" i="5"/>
  <c r="J55" i="5"/>
  <c r="D56" i="5"/>
  <c r="E56" i="5"/>
  <c r="F56" i="5"/>
  <c r="G56" i="5"/>
  <c r="H56" i="5"/>
  <c r="I56" i="5"/>
  <c r="J56" i="5"/>
  <c r="D57" i="5"/>
  <c r="E57" i="5"/>
  <c r="F57" i="5"/>
  <c r="G57" i="5"/>
  <c r="H57" i="5"/>
  <c r="I57" i="5"/>
  <c r="J57" i="5"/>
  <c r="D58" i="5"/>
  <c r="E58" i="5"/>
  <c r="F58" i="5"/>
  <c r="G58" i="5"/>
  <c r="H58" i="5"/>
  <c r="I58" i="5"/>
  <c r="J58" i="5"/>
  <c r="D59" i="5"/>
  <c r="E59" i="5"/>
  <c r="F59" i="5"/>
  <c r="G59" i="5"/>
  <c r="H59" i="5"/>
  <c r="I59" i="5"/>
  <c r="J59" i="5"/>
  <c r="D60" i="5"/>
  <c r="E60" i="5"/>
  <c r="F60" i="5"/>
  <c r="G60" i="5"/>
  <c r="H60" i="5"/>
  <c r="I60" i="5"/>
  <c r="J60" i="5"/>
  <c r="D61" i="5"/>
  <c r="E61" i="5"/>
  <c r="F61" i="5"/>
  <c r="G61" i="5"/>
  <c r="H61" i="5"/>
  <c r="I61" i="5"/>
  <c r="J61" i="5"/>
  <c r="D62" i="5"/>
  <c r="E62" i="5"/>
  <c r="F62" i="5"/>
  <c r="G62" i="5"/>
  <c r="H62" i="5"/>
  <c r="I62" i="5"/>
  <c r="J62" i="5"/>
  <c r="D63" i="5"/>
  <c r="E63" i="5"/>
  <c r="F63" i="5"/>
  <c r="G63" i="5"/>
  <c r="H63" i="5"/>
  <c r="I63" i="5"/>
  <c r="J63" i="5"/>
  <c r="D64" i="5"/>
  <c r="E64" i="5"/>
  <c r="F64" i="5"/>
  <c r="G64" i="5"/>
  <c r="H64" i="5"/>
  <c r="I64" i="5"/>
  <c r="J64" i="5"/>
  <c r="D65" i="5"/>
  <c r="E65" i="5"/>
  <c r="F65" i="5"/>
  <c r="G65" i="5"/>
  <c r="H65" i="5"/>
  <c r="I65" i="5"/>
  <c r="J65" i="5"/>
  <c r="D66" i="5"/>
  <c r="E66" i="5"/>
  <c r="F66" i="5"/>
  <c r="G66" i="5"/>
  <c r="H66" i="5"/>
  <c r="I66" i="5"/>
  <c r="J66" i="5"/>
  <c r="E7" i="5"/>
  <c r="F7" i="5"/>
  <c r="G7" i="5"/>
  <c r="H7" i="5"/>
  <c r="I7" i="5"/>
  <c r="J7" i="5"/>
  <c r="D7" i="5"/>
  <c r="D103" i="5"/>
  <c r="E103" i="5"/>
  <c r="F103" i="5"/>
  <c r="G103" i="5"/>
  <c r="H103" i="5"/>
  <c r="I103" i="5"/>
  <c r="J103" i="5"/>
  <c r="D104" i="5"/>
  <c r="E104" i="5"/>
  <c r="F104" i="5"/>
  <c r="G104" i="5"/>
  <c r="H104" i="5"/>
  <c r="I104" i="5"/>
  <c r="J104" i="5"/>
  <c r="D105" i="5"/>
  <c r="E105" i="5"/>
  <c r="F105" i="5"/>
  <c r="G105" i="5"/>
  <c r="H105" i="5"/>
  <c r="I105" i="5"/>
  <c r="J105" i="5"/>
  <c r="D106" i="5"/>
  <c r="E106" i="5"/>
  <c r="F106" i="5"/>
  <c r="G106" i="5"/>
  <c r="H106" i="5"/>
  <c r="I106" i="5"/>
  <c r="J106" i="5"/>
  <c r="D107" i="5"/>
  <c r="E107" i="5"/>
  <c r="F107" i="5"/>
  <c r="G107" i="5"/>
  <c r="H107" i="5"/>
  <c r="I107" i="5"/>
  <c r="J107" i="5"/>
  <c r="D108" i="5"/>
  <c r="E108" i="5"/>
  <c r="F108" i="5"/>
  <c r="G108" i="5"/>
  <c r="H108" i="5"/>
  <c r="I108" i="5"/>
  <c r="J108" i="5"/>
  <c r="D109" i="5"/>
  <c r="E109" i="5"/>
  <c r="F109" i="5"/>
  <c r="G109" i="5"/>
  <c r="H109" i="5"/>
  <c r="I109" i="5"/>
  <c r="J109" i="5"/>
  <c r="D110" i="5"/>
  <c r="E110" i="5"/>
  <c r="F110" i="5"/>
  <c r="G110" i="5"/>
  <c r="H110" i="5"/>
  <c r="I110" i="5"/>
  <c r="J110" i="5"/>
  <c r="D111" i="5"/>
  <c r="E111" i="5"/>
  <c r="F111" i="5"/>
  <c r="G111" i="5"/>
  <c r="H111" i="5"/>
  <c r="I111" i="5"/>
  <c r="J111" i="5"/>
  <c r="E102" i="5"/>
  <c r="F102" i="5"/>
  <c r="G102" i="5"/>
  <c r="H102" i="5"/>
  <c r="I102" i="5"/>
  <c r="J102" i="5"/>
  <c r="D102" i="5"/>
  <c r="G138" i="5" l="1"/>
  <c r="J138" i="5"/>
  <c r="F138" i="5"/>
  <c r="I138" i="5"/>
  <c r="E138" i="5"/>
  <c r="D138" i="5"/>
  <c r="H138" i="5"/>
  <c r="K114" i="5"/>
  <c r="I139" i="6"/>
  <c r="H139" i="6"/>
  <c r="G139" i="6"/>
  <c r="F139" i="6"/>
  <c r="E139" i="6"/>
  <c r="D139" i="6"/>
  <c r="K137" i="6"/>
  <c r="K136" i="6"/>
  <c r="K135" i="6"/>
  <c r="K134" i="6"/>
  <c r="K133" i="6"/>
  <c r="K132" i="6"/>
  <c r="K131" i="6"/>
  <c r="K130" i="6"/>
  <c r="K129" i="6"/>
  <c r="K128" i="6"/>
  <c r="K127" i="6"/>
  <c r="K126" i="6"/>
  <c r="K125" i="6"/>
  <c r="K124" i="6"/>
  <c r="K123" i="6"/>
  <c r="K122" i="6"/>
  <c r="K121" i="6"/>
  <c r="K120" i="6"/>
  <c r="K119" i="6"/>
  <c r="K118" i="6"/>
  <c r="K117" i="6"/>
  <c r="K116" i="6"/>
  <c r="K115" i="6"/>
  <c r="K114" i="6"/>
  <c r="K111" i="6"/>
  <c r="K110" i="6"/>
  <c r="K109" i="6"/>
  <c r="K108" i="6"/>
  <c r="K107" i="6"/>
  <c r="K106" i="6"/>
  <c r="K105" i="6"/>
  <c r="K104" i="6"/>
  <c r="K103" i="6"/>
  <c r="K102" i="6"/>
  <c r="K99" i="6"/>
  <c r="K98" i="6"/>
  <c r="K97" i="6"/>
  <c r="K96" i="6"/>
  <c r="K95" i="6"/>
  <c r="K94" i="6"/>
  <c r="K93" i="6"/>
  <c r="K92" i="6"/>
  <c r="K91" i="6"/>
  <c r="K90" i="6"/>
  <c r="K87" i="6"/>
  <c r="K86" i="6"/>
  <c r="K85" i="6"/>
  <c r="K84" i="6"/>
  <c r="K83" i="6"/>
  <c r="K82" i="6"/>
  <c r="K81" i="6"/>
  <c r="K80" i="6"/>
  <c r="K79" i="6"/>
  <c r="K76" i="6"/>
  <c r="K75" i="6"/>
  <c r="K74" i="6"/>
  <c r="K73" i="6"/>
  <c r="K72" i="6"/>
  <c r="K71" i="6"/>
  <c r="K70" i="6"/>
  <c r="K69" i="6"/>
  <c r="K67" i="6"/>
  <c r="K66" i="6"/>
  <c r="K65" i="6"/>
  <c r="K64" i="6"/>
  <c r="K63" i="6"/>
  <c r="K62" i="6"/>
  <c r="K61" i="6"/>
  <c r="K60" i="6"/>
  <c r="K59" i="6"/>
  <c r="K58" i="6"/>
  <c r="K57" i="6"/>
  <c r="K56" i="6"/>
  <c r="K55" i="6"/>
  <c r="K54" i="6"/>
  <c r="K53" i="6"/>
  <c r="K52" i="6"/>
  <c r="K51" i="6"/>
  <c r="K50" i="6"/>
  <c r="K49" i="6"/>
  <c r="K48" i="6"/>
  <c r="K47" i="6"/>
  <c r="K46" i="6"/>
  <c r="K45" i="6"/>
  <c r="K44" i="6"/>
  <c r="K43" i="6"/>
  <c r="K42" i="6"/>
  <c r="K41" i="6"/>
  <c r="K40" i="6"/>
  <c r="K39" i="6"/>
  <c r="K38" i="6"/>
  <c r="K37" i="6"/>
  <c r="K36" i="6"/>
  <c r="K35" i="6"/>
  <c r="K34" i="6"/>
  <c r="K33" i="6"/>
  <c r="K32" i="6"/>
  <c r="K31" i="6"/>
  <c r="K30" i="6"/>
  <c r="K29" i="6"/>
  <c r="K28" i="6"/>
  <c r="K27" i="6"/>
  <c r="K26" i="6"/>
  <c r="K25" i="6"/>
  <c r="K24" i="6"/>
  <c r="K23" i="6"/>
  <c r="K22" i="6"/>
  <c r="K21" i="6"/>
  <c r="K20" i="6"/>
  <c r="K19" i="6"/>
  <c r="K18" i="6"/>
  <c r="K17" i="6"/>
  <c r="K16" i="6"/>
  <c r="K15" i="6"/>
  <c r="K14" i="6"/>
  <c r="K13" i="6"/>
  <c r="K12" i="6"/>
  <c r="K11" i="6"/>
  <c r="K10" i="6"/>
  <c r="K9" i="6"/>
  <c r="K8" i="6"/>
  <c r="K7" i="6"/>
  <c r="K112" i="6" l="1"/>
  <c r="K139" i="6"/>
  <c r="P77" i="5"/>
  <c r="K103" i="5"/>
  <c r="P103" i="5" s="1"/>
  <c r="K104" i="5"/>
  <c r="P104" i="5" s="1"/>
  <c r="K105" i="5"/>
  <c r="P105" i="5" s="1"/>
  <c r="K106" i="5"/>
  <c r="P106" i="5" s="1"/>
  <c r="K107" i="5"/>
  <c r="P107" i="5" s="1"/>
  <c r="K108" i="5"/>
  <c r="P108" i="5" s="1"/>
  <c r="K109" i="5"/>
  <c r="P109" i="5" s="1"/>
  <c r="K110" i="5"/>
  <c r="P110" i="5" s="1"/>
  <c r="K111" i="5"/>
  <c r="P111" i="5" s="1"/>
  <c r="K102" i="5"/>
  <c r="P102" i="5" s="1"/>
  <c r="K112" i="5" l="1"/>
  <c r="P112" i="5" s="1"/>
  <c r="K88" i="5"/>
  <c r="P88" i="5" s="1"/>
  <c r="K67" i="5"/>
  <c r="P67" i="5" s="1"/>
  <c r="K115" i="3"/>
  <c r="K116" i="3"/>
  <c r="K117" i="3"/>
  <c r="K118" i="3"/>
  <c r="K119" i="3"/>
  <c r="K120" i="3"/>
  <c r="K121" i="3"/>
  <c r="K122" i="3"/>
  <c r="K123" i="3"/>
  <c r="K124" i="3"/>
  <c r="K125" i="3"/>
  <c r="K126" i="3"/>
  <c r="K127" i="3"/>
  <c r="K128" i="3"/>
  <c r="K129" i="3"/>
  <c r="K130" i="3"/>
  <c r="K131" i="3"/>
  <c r="K132" i="3"/>
  <c r="K133" i="3"/>
  <c r="K134" i="3"/>
  <c r="K135" i="3"/>
  <c r="K136" i="3"/>
  <c r="K137" i="3"/>
  <c r="K114" i="3"/>
  <c r="K91" i="3"/>
  <c r="K92" i="3"/>
  <c r="K93" i="3"/>
  <c r="K94" i="3"/>
  <c r="K95" i="3"/>
  <c r="K96" i="3"/>
  <c r="K97" i="3"/>
  <c r="K98" i="3"/>
  <c r="K99" i="3"/>
  <c r="K90" i="3"/>
  <c r="K80" i="3"/>
  <c r="K81" i="3"/>
  <c r="K82" i="3"/>
  <c r="K83" i="3"/>
  <c r="K84" i="3"/>
  <c r="K85" i="3"/>
  <c r="K86" i="3"/>
  <c r="K87" i="3"/>
  <c r="K79" i="3"/>
  <c r="K70" i="3"/>
  <c r="K71" i="3"/>
  <c r="K72" i="3"/>
  <c r="K73" i="3"/>
  <c r="K74" i="3"/>
  <c r="K75" i="3"/>
  <c r="K76" i="3"/>
  <c r="K69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33" i="3"/>
  <c r="K34" i="3"/>
  <c r="K35" i="3"/>
  <c r="K36" i="3"/>
  <c r="K37" i="3"/>
  <c r="K38" i="3"/>
  <c r="K39" i="3"/>
  <c r="K40" i="3"/>
  <c r="K41" i="3"/>
  <c r="K42" i="3"/>
  <c r="K43" i="3"/>
  <c r="K44" i="3"/>
  <c r="K45" i="3"/>
  <c r="K46" i="3"/>
  <c r="K47" i="3"/>
  <c r="K48" i="3"/>
  <c r="K49" i="3"/>
  <c r="K50" i="3"/>
  <c r="K51" i="3"/>
  <c r="K52" i="3"/>
  <c r="K53" i="3"/>
  <c r="K54" i="3"/>
  <c r="K55" i="3"/>
  <c r="K56" i="3"/>
  <c r="K57" i="3"/>
  <c r="K58" i="3"/>
  <c r="K59" i="3"/>
  <c r="K60" i="3"/>
  <c r="K61" i="3"/>
  <c r="K62" i="3"/>
  <c r="K63" i="3"/>
  <c r="K64" i="3"/>
  <c r="K65" i="3"/>
  <c r="K66" i="3"/>
  <c r="K7" i="3"/>
  <c r="D139" i="3"/>
  <c r="E139" i="3"/>
  <c r="F139" i="3"/>
  <c r="G139" i="3"/>
  <c r="H139" i="3"/>
  <c r="I139" i="3"/>
  <c r="K75" i="5" l="1"/>
  <c r="P75" i="5" s="1"/>
  <c r="P114" i="5"/>
  <c r="K115" i="5"/>
  <c r="P115" i="5" s="1"/>
  <c r="K137" i="5"/>
  <c r="P137" i="5" s="1"/>
  <c r="K66" i="5"/>
  <c r="P66" i="5" s="1"/>
  <c r="K127" i="5"/>
  <c r="P127" i="5" s="1"/>
  <c r="K76" i="5"/>
  <c r="P76" i="5" s="1"/>
  <c r="K72" i="5"/>
  <c r="P72" i="5" s="1"/>
  <c r="K53" i="5"/>
  <c r="P53" i="5" s="1"/>
  <c r="K50" i="5"/>
  <c r="P50" i="5" s="1"/>
  <c r="K46" i="5"/>
  <c r="P46" i="5" s="1"/>
  <c r="K37" i="5"/>
  <c r="P37" i="5" s="1"/>
  <c r="K33" i="5"/>
  <c r="P33" i="5" s="1"/>
  <c r="K29" i="5"/>
  <c r="P29" i="5" s="1"/>
  <c r="K27" i="5"/>
  <c r="K11" i="5"/>
  <c r="P11" i="5" s="1"/>
  <c r="K79" i="5"/>
  <c r="P79" i="5" s="1"/>
  <c r="K119" i="5"/>
  <c r="P119" i="5" s="1"/>
  <c r="K81" i="5"/>
  <c r="P81" i="5" s="1"/>
  <c r="K73" i="5"/>
  <c r="P73" i="5" s="1"/>
  <c r="K74" i="5"/>
  <c r="P74" i="5" s="1"/>
  <c r="K59" i="5"/>
  <c r="P59" i="5" s="1"/>
  <c r="K35" i="5"/>
  <c r="P35" i="5" s="1"/>
  <c r="K15" i="5"/>
  <c r="P15" i="5" s="1"/>
  <c r="K43" i="5"/>
  <c r="P43" i="5" s="1"/>
  <c r="K39" i="5"/>
  <c r="P39" i="5" s="1"/>
  <c r="K23" i="5"/>
  <c r="P23" i="5" s="1"/>
  <c r="K19" i="5"/>
  <c r="P19" i="5" s="1"/>
  <c r="K133" i="5"/>
  <c r="P133" i="5" s="1"/>
  <c r="K132" i="5"/>
  <c r="P132" i="5" s="1"/>
  <c r="K128" i="5"/>
  <c r="P128" i="5" s="1"/>
  <c r="K126" i="5"/>
  <c r="P126" i="5" s="1"/>
  <c r="K120" i="5"/>
  <c r="P120" i="5" s="1"/>
  <c r="K116" i="5"/>
  <c r="P116" i="5" s="1"/>
  <c r="K135" i="5"/>
  <c r="P135" i="5" s="1"/>
  <c r="K134" i="5"/>
  <c r="P134" i="5" s="1"/>
  <c r="K131" i="5"/>
  <c r="P131" i="5" s="1"/>
  <c r="K129" i="5"/>
  <c r="P129" i="5" s="1"/>
  <c r="K121" i="5"/>
  <c r="P121" i="5" s="1"/>
  <c r="K117" i="5"/>
  <c r="P117" i="5" s="1"/>
  <c r="K99" i="5"/>
  <c r="P99" i="5" s="1"/>
  <c r="K97" i="5"/>
  <c r="P97" i="5" s="1"/>
  <c r="K94" i="5"/>
  <c r="P94" i="5" s="1"/>
  <c r="K93" i="5"/>
  <c r="P93" i="5" s="1"/>
  <c r="K96" i="5"/>
  <c r="P96" i="5" s="1"/>
  <c r="K95" i="5"/>
  <c r="P95" i="5" s="1"/>
  <c r="K84" i="5"/>
  <c r="P84" i="5" s="1"/>
  <c r="K80" i="5"/>
  <c r="P80" i="5" s="1"/>
  <c r="K83" i="5"/>
  <c r="P83" i="5" s="1"/>
  <c r="K85" i="5"/>
  <c r="P85" i="5" s="1"/>
  <c r="K86" i="5"/>
  <c r="P86" i="5" s="1"/>
  <c r="K82" i="5"/>
  <c r="P82" i="5" s="1"/>
  <c r="K71" i="5"/>
  <c r="P71" i="5" s="1"/>
  <c r="K70" i="5"/>
  <c r="P70" i="5" s="1"/>
  <c r="K56" i="5"/>
  <c r="P56" i="5" s="1"/>
  <c r="K36" i="5"/>
  <c r="P36" i="5" s="1"/>
  <c r="K32" i="5"/>
  <c r="P32" i="5" s="1"/>
  <c r="K28" i="5"/>
  <c r="P28" i="5" s="1"/>
  <c r="K24" i="5"/>
  <c r="P24" i="5" s="1"/>
  <c r="K20" i="5"/>
  <c r="P20" i="5" s="1"/>
  <c r="K16" i="5"/>
  <c r="P16" i="5" s="1"/>
  <c r="K12" i="5"/>
  <c r="P12" i="5" s="1"/>
  <c r="K8" i="5"/>
  <c r="P8" i="5" s="1"/>
  <c r="K55" i="5"/>
  <c r="P55" i="5" s="1"/>
  <c r="K31" i="5"/>
  <c r="P31" i="5" s="1"/>
  <c r="K49" i="5"/>
  <c r="P49" i="5" s="1"/>
  <c r="K21" i="5"/>
  <c r="P21" i="5" s="1"/>
  <c r="K17" i="5"/>
  <c r="P17" i="5" s="1"/>
  <c r="K13" i="5"/>
  <c r="P13" i="5" s="1"/>
  <c r="K9" i="5"/>
  <c r="P9" i="5" s="1"/>
  <c r="K54" i="5"/>
  <c r="P54" i="5" s="1"/>
  <c r="K38" i="5"/>
  <c r="P38" i="5" s="1"/>
  <c r="K34" i="5"/>
  <c r="P34" i="5" s="1"/>
  <c r="K30" i="5"/>
  <c r="P30" i="5" s="1"/>
  <c r="K22" i="5"/>
  <c r="P22" i="5" s="1"/>
  <c r="K18" i="5"/>
  <c r="P18" i="5" s="1"/>
  <c r="K14" i="5"/>
  <c r="P14" i="5" s="1"/>
  <c r="K10" i="5"/>
  <c r="P10" i="5" s="1"/>
  <c r="K63" i="5"/>
  <c r="P63" i="5" s="1"/>
  <c r="K51" i="5"/>
  <c r="P51" i="5" s="1"/>
  <c r="K47" i="5"/>
  <c r="P47" i="5" s="1"/>
  <c r="K64" i="5"/>
  <c r="P64" i="5" s="1"/>
  <c r="K60" i="5"/>
  <c r="P60" i="5" s="1"/>
  <c r="K52" i="5"/>
  <c r="P52" i="5" s="1"/>
  <c r="K48" i="5"/>
  <c r="P48" i="5" s="1"/>
  <c r="K45" i="5"/>
  <c r="P45" i="5" s="1"/>
  <c r="K41" i="5"/>
  <c r="P41" i="5" s="1"/>
  <c r="K62" i="5"/>
  <c r="P62" i="5" s="1"/>
  <c r="K58" i="5"/>
  <c r="P58" i="5" s="1"/>
  <c r="K42" i="5"/>
  <c r="P42" i="5" s="1"/>
  <c r="K25" i="5"/>
  <c r="P25" i="5" s="1"/>
  <c r="K92" i="5"/>
  <c r="P92" i="5" s="1"/>
  <c r="K118" i="5"/>
  <c r="P118" i="5" s="1"/>
  <c r="K136" i="5"/>
  <c r="P136" i="5" s="1"/>
  <c r="K130" i="5"/>
  <c r="P130" i="5" s="1"/>
  <c r="K122" i="5"/>
  <c r="P122" i="5" s="1"/>
  <c r="K65" i="5"/>
  <c r="P65" i="5" s="1"/>
  <c r="K61" i="5"/>
  <c r="P61" i="5" s="1"/>
  <c r="K57" i="5"/>
  <c r="P57" i="5" s="1"/>
  <c r="K44" i="5"/>
  <c r="P44" i="5" s="1"/>
  <c r="K90" i="5"/>
  <c r="K69" i="5"/>
  <c r="P69" i="5" s="1"/>
  <c r="K7" i="5"/>
  <c r="P7" i="5" s="1"/>
  <c r="K125" i="5"/>
  <c r="P125" i="5" s="1"/>
  <c r="K124" i="5"/>
  <c r="P124" i="5" s="1"/>
  <c r="K98" i="5"/>
  <c r="P98" i="5" s="1"/>
  <c r="K91" i="5"/>
  <c r="P91" i="5" s="1"/>
  <c r="K87" i="5"/>
  <c r="P87" i="5" s="1"/>
  <c r="K123" i="5"/>
  <c r="P123" i="5" s="1"/>
  <c r="K40" i="5"/>
  <c r="P40" i="5" s="1"/>
  <c r="K26" i="5"/>
  <c r="P26" i="5" s="1"/>
  <c r="L138" i="5"/>
  <c r="N138" i="5"/>
  <c r="O138" i="5"/>
  <c r="P27" i="5" l="1"/>
  <c r="K138" i="5"/>
  <c r="P90" i="5"/>
  <c r="P100" i="5" s="1"/>
  <c r="K100" i="5"/>
  <c r="K103" i="3"/>
  <c r="K104" i="3"/>
  <c r="K105" i="3"/>
  <c r="K106" i="3"/>
  <c r="K107" i="3"/>
  <c r="K108" i="3"/>
  <c r="K109" i="3"/>
  <c r="K110" i="3"/>
  <c r="K111" i="3"/>
  <c r="K102" i="3"/>
  <c r="K67" i="3" l="1"/>
  <c r="K112" i="3" l="1"/>
  <c r="K139" i="3" l="1"/>
  <c r="P138" i="5" l="1"/>
</calcChain>
</file>

<file path=xl/sharedStrings.xml><?xml version="1.0" encoding="utf-8"?>
<sst xmlns="http://schemas.openxmlformats.org/spreadsheetml/2006/main" count="452" uniqueCount="140">
  <si>
    <t>ยอดรวมผลิต</t>
  </si>
  <si>
    <t>รวม</t>
  </si>
  <si>
    <t>จำนวน</t>
  </si>
  <si>
    <t>รหัสสินค้า</t>
  </si>
  <si>
    <t>สินค้า</t>
  </si>
  <si>
    <t>ปณ</t>
  </si>
  <si>
    <t>ชอปปี้</t>
  </si>
  <si>
    <t>ลาซาด้า</t>
  </si>
  <si>
    <t>ติ๊กตอก</t>
  </si>
  <si>
    <t>ติ๊กตอก3</t>
  </si>
  <si>
    <t>(กล่อง)</t>
  </si>
  <si>
    <t>ชิฟฟอนรวมรส</t>
  </si>
  <si>
    <t>ชิฟฟอน 8 ชิ้น กาแฟล้วน</t>
  </si>
  <si>
    <t>ชิฟฟอน 8 ชิ้น บลูเบอรี่ล้วน</t>
  </si>
  <si>
    <t>ชิฟฟอน 8 ชิ้น มะพร้าวล้วน</t>
  </si>
  <si>
    <t>ชิฟฟอน 8 ชิ้น สตอเบอรี่ล้วน</t>
  </si>
  <si>
    <t>ชิฟฟอน 8 ชิ้น ส้มล้วน</t>
  </si>
  <si>
    <t>ชิฟฟอน 8 ชิ้น เนยล้วน</t>
  </si>
  <si>
    <t>ชิฟฟอน 8 ชิ้น เผือกล้วน</t>
  </si>
  <si>
    <t>ชิฟฟอน 8 ชิ้น ใบเตยล้วน</t>
  </si>
  <si>
    <t>ชิฟฟอน 8 ชิ้น กล้วยหอม</t>
  </si>
  <si>
    <t>ชิฟฟอน 8 ชิ้น โกโก้ล้วน</t>
  </si>
  <si>
    <t>ชิฟฟอน 8 ชิ้น ชาไทยล้วน</t>
  </si>
  <si>
    <t>ชิฟฟอน 8 ชิ้น ชาเขียวล้วน</t>
  </si>
  <si>
    <t>ชิฟฟอน 8 ชิ้น สับปะรดล้วน</t>
  </si>
  <si>
    <t>ชิฟฟอน 8 ชิ้น ตาลล้วน</t>
  </si>
  <si>
    <t>ชิฟฟอน 8 ชิ้น ทุเรียนล้วน</t>
  </si>
  <si>
    <t>ชิฟฟอน 8 ชิ้น มะลิ</t>
  </si>
  <si>
    <t>ชิฟฟอน 8 ชิ้น รวมรสยอดฮิต</t>
  </si>
  <si>
    <t>ชิฟฟอน 4 ชิ้น เผือกล้วน</t>
  </si>
  <si>
    <t>ชิฟฟอนแยกชิ้น กาแฟ</t>
  </si>
  <si>
    <t>ชิฟฟอนแยกชิ้น ชาเขียว</t>
  </si>
  <si>
    <t>ชิฟฟอนแยกชิ้น ใบเตย</t>
  </si>
  <si>
    <t>ชิฟฟอนแยกชิ้น กล้วยหอม</t>
  </si>
  <si>
    <t>ชิฟฟอนแยกชิ้น ชาไทย</t>
  </si>
  <si>
    <t>ชิฟฟอนแยกชิ้น โกโก้</t>
  </si>
  <si>
    <t>ชิฟฟอนแยกชิ้น ส้ม</t>
  </si>
  <si>
    <t>ชิฟฟอนแยกชิ้น เผือก</t>
  </si>
  <si>
    <t>ชิฟฟอนแยกชิ้น สับปะรด</t>
  </si>
  <si>
    <t>ชิฟฟอนแยกชิ้น สตอเบอรี่</t>
  </si>
  <si>
    <t>ชิฟฟอนแยกชิ้น มะพร้าว</t>
  </si>
  <si>
    <t>ชิฟฟอนแยกชิ้น เนย</t>
  </si>
  <si>
    <t>ชิฟฟอนแยกชิ้น บลูเบอรี่</t>
  </si>
  <si>
    <t>ชิฟฟอนแยกชิ้น คละรส</t>
  </si>
  <si>
    <t>ชิฟฟอนไส้แยมแยกชิ้น มะพร้าว</t>
  </si>
  <si>
    <t>ชิฟฟอนไส้แยมแยกชิ้น สตอเบอรี่</t>
  </si>
  <si>
    <t>ชิฟฟอนไส้แยมแยกชิ้น ส้ม</t>
  </si>
  <si>
    <t>ชิฟฟอนไส้แยมแยกชิ้น บลูเบอรี่</t>
  </si>
  <si>
    <t>ชิฟฟอนไส้แยมแยกชิ้น นมชมพู</t>
  </si>
  <si>
    <t>ชิฟฟอนไส้แยมแยกชิ้น ชอคโกแลต</t>
  </si>
  <si>
    <t>ชิฟฟอนไส้แยมแยกชิ้น ฝอยทอง</t>
  </si>
  <si>
    <t>ชิฟฟอนไส้แยมแยกชิ้น วนิลา</t>
  </si>
  <si>
    <t>ชิฟฟอนไส้แยมแยกชิ้น ใบเตย</t>
  </si>
  <si>
    <t>ชิฟฟอนไส้แยมแยกชิ้น เมล่อน</t>
  </si>
  <si>
    <t>ชิฟฟอนไส้แยมแยกชิ้น คละรส</t>
  </si>
  <si>
    <t>ชิฟฟอนไส้แยม 6 ชิ้น</t>
  </si>
  <si>
    <t>ชิฟฟอนไส้แยมรวมรส 6 ชิ้น</t>
  </si>
  <si>
    <t xml:space="preserve">ชิฟฟอนไส้แยมรสสตอเบอร์รี่ล้วน 6 ชิ้น </t>
  </si>
  <si>
    <t>ชิฟฟอนไส้แยมรสมะพร้าวล้วน 6 ชิ้น</t>
  </si>
  <si>
    <t xml:space="preserve">ชิฟฟอนไส้แยมรสช็อกโกแลตนูเทลล่าล้วน 6 ชิ้น </t>
  </si>
  <si>
    <t>ชิฟฟอนไส้แยมรสส้มล้วน 6 ชิ้น</t>
  </si>
  <si>
    <t>ชิฟฟอนไส้แยมรสบลูเบอร์รี่ล้วน 6 ชิ้น</t>
  </si>
  <si>
    <t>ชิฟฟอนไส้แยมรสนมชมพูฮอกไกโดล้วน 6 ชิ้น</t>
  </si>
  <si>
    <t>ชิฟฟอนไส้แยมฝอยทองไส้ทะลัก 6 ชิ้น</t>
  </si>
  <si>
    <t>ชิฟฟอนไส้แยม 3 ชิ้น</t>
  </si>
  <si>
    <t xml:space="preserve">ชิฟฟอนไส้แยมรสสตอเบอร์รี่ล้วน 3 ชิ้น </t>
  </si>
  <si>
    <t>ชิฟฟอนไส้แยมรสมะพร้าวล้วน 3 ชิ้น</t>
  </si>
  <si>
    <t xml:space="preserve">ชิฟฟอนไส้แยมรสช็อกโกแลตนูเทลล่าล้วน 3 ชิ้น </t>
  </si>
  <si>
    <t>ชิฟฟอนไส้แยมรสส้มล้วน 3 ชิ้น</t>
  </si>
  <si>
    <t>ชิฟฟอนไส้แยมรสบลูเบอร์รี่ล้วน 3 ชิ้น</t>
  </si>
  <si>
    <t>ชิฟฟอนไส้แยมรสนมชมพูฮอกไกโดล้วน 3 ชิ้น</t>
  </si>
  <si>
    <t>ชิฟฟอนไส้แยมฝอยทองไส้ทะลัก 3 ชิ้น</t>
  </si>
  <si>
    <t>ชิฟฟอนไส้แยม วนิลา/ใบเตย/เมล่อน</t>
  </si>
  <si>
    <t>ชิฟฟอนไส้แยมรวมรส 3 ชิ้น</t>
  </si>
  <si>
    <t>เบาหวิว ล 110 กรัม</t>
  </si>
  <si>
    <t xml:space="preserve">มะพร้าว </t>
  </si>
  <si>
    <t xml:space="preserve">ฝอยทอง </t>
  </si>
  <si>
    <t xml:space="preserve">กาแฟ </t>
  </si>
  <si>
    <t xml:space="preserve">เนยนม </t>
  </si>
  <si>
    <t xml:space="preserve">ใบเตย </t>
  </si>
  <si>
    <t>ทุเรียน</t>
  </si>
  <si>
    <t xml:space="preserve">ตาลหอม </t>
  </si>
  <si>
    <t>กล้วยหอมมะพร้าวเผา</t>
  </si>
  <si>
    <t>เผือกมะพร้าวอ่อน</t>
  </si>
  <si>
    <t>เบาหวิว คละรส</t>
  </si>
  <si>
    <t>เบาหวิว ญ 300 กรัม</t>
  </si>
  <si>
    <t>อื่นๆ</t>
  </si>
  <si>
    <t>ขนมเปี๊ยะถั่วฝอยทองไข่เค็ม 450 กรัม</t>
  </si>
  <si>
    <t>ขนมเปี๊ยะฟักถั่วไข่เค็ม 450 กรัม</t>
  </si>
  <si>
    <t>ขนมเปี๊ยะเผือกฝอยทองไข่เค็ม 450 กรัม</t>
  </si>
  <si>
    <t>ขนมเปี๊ยะงาดำฝอยทองไข่เค็ม 450 กรัม</t>
  </si>
  <si>
    <t>ท็อฟฟี่ถั่ว ครึ่งกิโล</t>
  </si>
  <si>
    <t>ท็อฟฟี่ถั่ว 1 กิโล</t>
  </si>
  <si>
    <t>คอนเฟลค</t>
  </si>
  <si>
    <t>ปังกรอบคาราเมล(ถุง)</t>
  </si>
  <si>
    <t>ครีมฮอร์นไส้เนย วนิลา</t>
  </si>
  <si>
    <t>ครีมฮอร์นไส้เนย ใบเตย</t>
  </si>
  <si>
    <t>ครีมฮอร์นไส้เนย ชอค</t>
  </si>
  <si>
    <t>ขนมปังหั่นสไลด์</t>
  </si>
  <si>
    <t>ปังเนยนิ่ม กล่อง 2 ชิ้น</t>
  </si>
  <si>
    <t>กล่องเปล่าชิฟอน ญ</t>
  </si>
  <si>
    <t>ทอฟฟี่ถั่ว กล่อง</t>
  </si>
  <si>
    <t>ทอฟฟี่ถั่ว กระเช้า</t>
  </si>
  <si>
    <t>ทอฟฟี่ถั่ว กระปุก</t>
  </si>
  <si>
    <t>….....................................................................................</t>
  </si>
  <si>
    <t>ผู้จัดทำ</t>
  </si>
  <si>
    <t>ผู้รับทราบ</t>
  </si>
  <si>
    <t>ชิฟฟอนรวมรส 8 ชิ้น</t>
  </si>
  <si>
    <t>ชิฟฟอนรวมรส 4 ชิ้น</t>
  </si>
  <si>
    <t>ชิฟฟอน 4 ชิ้น โกโก้ล้วน</t>
  </si>
  <si>
    <t>ชิฟฟอน 4 ชิ้น มะพร้าวล้วน</t>
  </si>
  <si>
    <t>ชิฟฟอน 4 ชิ้น เนยล้วน</t>
  </si>
  <si>
    <t>ชิฟฟอน 4 ชิ้น กาแฟล้วน</t>
  </si>
  <si>
    <t>ชิฟฟอน 4 ชิ้น ใบเตยล้วน</t>
  </si>
  <si>
    <t>ชิฟฟอน 4 ชิ้น บลูเบอร์รี่ล้วน</t>
  </si>
  <si>
    <t>ชิฟฟอน 4 ชิ้น ส้มล้วน</t>
  </si>
  <si>
    <t>ชิฟฟอน 4 ชิ้น สตอเบอรี่ล้วน</t>
  </si>
  <si>
    <t>ชิฟฟอน 4 ชิ้น กล้วยหอมล้วน</t>
  </si>
  <si>
    <t>ชิฟฟอน 4 ชิ้น ชาเขียวล้วน</t>
  </si>
  <si>
    <t>ชิฟฟอน 4 ชิ้น ชาไทยล้วน</t>
  </si>
  <si>
    <t>ชิฟฟอน 4 ชิ้น สับปะรดล้วน</t>
  </si>
  <si>
    <t>เมอแรงค์ กระปุก</t>
  </si>
  <si>
    <t>พายสับปรด 1 ชิ้น</t>
  </si>
  <si>
    <t>พายสับปรด 1 กล่อง</t>
  </si>
  <si>
    <t>เศษขนมปังปลา5กก.</t>
  </si>
  <si>
    <t>เศษขนมปังปลา1กก.</t>
  </si>
  <si>
    <t>ชิฟฟอนแบบกล่องสุ่มอะไรก็ได้ที่มี</t>
  </si>
  <si>
    <t>ยอดฟอแคส</t>
  </si>
  <si>
    <t>ชิฟฟอนแยกชิ้น ทุเรียน</t>
  </si>
  <si>
    <t>ชิฟฟอนแยกชิ้น ตาล</t>
  </si>
  <si>
    <t>ยอดสตอค</t>
  </si>
  <si>
    <t>แซนวิชโบราณ</t>
  </si>
  <si>
    <t>กล่องเปล่าชิฟอน ล</t>
  </si>
  <si>
    <t>ชอยส์</t>
  </si>
  <si>
    <t>ติ๊กตอก2</t>
  </si>
  <si>
    <t>รับเกิน</t>
  </si>
  <si>
    <t>ยังไม่ได้รับเข้า</t>
  </si>
  <si>
    <t>ยอดจริง ออนไลน์ วันที่  2/11/2567 - เช้า</t>
  </si>
  <si>
    <t>ยอดจริง ออนไลน์ วันที่  2/11/2567 - เย็น</t>
  </si>
  <si>
    <t>ยอดจริง ออนไลน์ วันที่ 2/11/2567 - รวม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</si>
</sst>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7" formatCode="0;\-0;;"/>
  </numFmts>
  <fonts count="11" x14ac:knownFonts="1">
    <font>
      <sz val="11"/>
      <color theme="1"/>
      <name val="Tahoma"/>
      <family val="2"/>
      <charset val="222"/>
      <scheme val="minor"/>
    </font>
    <font>
      <sz val="18"/>
      <color theme="1"/>
      <name val="Tahoma"/>
      <family val="2"/>
      <scheme val="minor"/>
    </font>
    <font>
      <sz val="16"/>
      <color theme="1"/>
      <name val="Tahoma"/>
      <family val="2"/>
      <scheme val="minor"/>
    </font>
    <font>
      <sz val="16"/>
      <name val="Tahoma"/>
      <family val="2"/>
      <scheme val="minor"/>
    </font>
    <font>
      <sz val="18"/>
      <color theme="1"/>
      <name val="Tahoma"/>
      <family val="2"/>
      <charset val="222"/>
      <scheme val="minor"/>
    </font>
    <font>
      <sz val="18"/>
      <name val="Tahoma"/>
      <family val="2"/>
      <scheme val="minor"/>
    </font>
    <font>
      <sz val="18"/>
      <color rgb="FFFF0000"/>
      <name val="Tahoma"/>
      <family val="2"/>
      <scheme val="minor"/>
    </font>
    <font>
      <sz val="18"/>
      <color rgb="FFFF0000"/>
      <name val="Tahoma"/>
      <family val="2"/>
      <charset val="222"/>
      <scheme val="minor"/>
    </font>
    <font>
      <sz val="16"/>
      <color rgb="FFFF0000"/>
      <name val="Tahoma"/>
      <family val="2"/>
      <scheme val="minor"/>
    </font>
    <font>
      <sz val="8"/>
      <name val="Tahoma"/>
      <family val="2"/>
      <charset val="222"/>
      <scheme val="minor"/>
    </font>
    <font>
      <sz val="16"/>
      <color theme="1"/>
      <name val="Tahoma"/>
      <family val="2"/>
      <charset val="22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6B5B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4">
    <xf numFmtId="0" fontId="0" fillId="0" borderId="0" xfId="0"/>
    <xf numFmtId="0" fontId="3" fillId="3" borderId="4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1" fillId="5" borderId="5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1" fillId="5" borderId="7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1" fillId="5" borderId="9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6" fillId="5" borderId="9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2" fillId="8" borderId="2" xfId="0" applyFont="1" applyFill="1" applyBorder="1" applyAlignment="1">
      <alignment horizontal="center" vertical="center"/>
    </xf>
    <xf numFmtId="0" fontId="3" fillId="8" borderId="2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3" fillId="8" borderId="3" xfId="0" applyFont="1" applyFill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6" fillId="5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8" fillId="9" borderId="0" xfId="0" applyFont="1" applyFill="1" applyAlignment="1">
      <alignment horizontal="center" vertical="center"/>
    </xf>
    <xf numFmtId="0" fontId="8" fillId="9" borderId="2" xfId="0" applyFont="1" applyFill="1" applyBorder="1" applyAlignment="1">
      <alignment horizontal="center" vertical="center"/>
    </xf>
    <xf numFmtId="187" fontId="3" fillId="2" borderId="2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0" fillId="5" borderId="0" xfId="0" applyFill="1" applyAlignment="1">
      <alignment vertical="center"/>
    </xf>
    <xf numFmtId="0" fontId="2" fillId="0" borderId="0" xfId="0" applyFont="1" applyAlignment="1">
      <alignment vertical="center"/>
    </xf>
    <xf numFmtId="187" fontId="6" fillId="5" borderId="3" xfId="0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187" fontId="3" fillId="2" borderId="0" xfId="0" applyNumberFormat="1" applyFont="1" applyFill="1" applyAlignment="1">
      <alignment horizontal="center" vertical="center"/>
    </xf>
    <xf numFmtId="187" fontId="6" fillId="5" borderId="0" xfId="0" applyNumberFormat="1" applyFont="1" applyFill="1" applyAlignment="1">
      <alignment horizontal="center" vertical="center"/>
    </xf>
    <xf numFmtId="187" fontId="6" fillId="10" borderId="0" xfId="0" applyNumberFormat="1" applyFont="1" applyFill="1" applyAlignment="1">
      <alignment horizontal="center" vertical="center"/>
    </xf>
    <xf numFmtId="187" fontId="6" fillId="5" borderId="2" xfId="0" applyNumberFormat="1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/>
    </xf>
    <xf numFmtId="0" fontId="6" fillId="5" borderId="2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187" fontId="5" fillId="5" borderId="2" xfId="0" applyNumberFormat="1" applyFont="1" applyFill="1" applyBorder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187" fontId="8" fillId="9" borderId="2" xfId="0" applyNumberFormat="1" applyFont="1" applyFill="1" applyBorder="1" applyAlignment="1">
      <alignment horizontal="center" vertical="center"/>
    </xf>
    <xf numFmtId="0" fontId="10" fillId="0" borderId="0" xfId="0" applyFont="1"/>
    <xf numFmtId="187" fontId="10" fillId="0" borderId="0" xfId="0" applyNumberFormat="1" applyFont="1"/>
    <xf numFmtId="0" fontId="2" fillId="7" borderId="2" xfId="0" applyFont="1" applyFill="1" applyBorder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8" fillId="9" borderId="6" xfId="0" applyFont="1" applyFill="1" applyBorder="1" applyAlignment="1">
      <alignment horizontal="center" vertical="center"/>
    </xf>
    <xf numFmtId="0" fontId="8" fillId="9" borderId="8" xfId="0" applyFont="1" applyFill="1" applyBorder="1" applyAlignment="1">
      <alignment horizontal="center" vertical="center"/>
    </xf>
    <xf numFmtId="0" fontId="8" fillId="9" borderId="10" xfId="0" applyFont="1" applyFill="1" applyBorder="1" applyAlignment="1">
      <alignment horizontal="center" vertical="center"/>
    </xf>
    <xf numFmtId="0" fontId="2" fillId="7" borderId="3" xfId="0" applyFont="1" applyFill="1" applyBorder="1" applyAlignment="1">
      <alignment horizontal="center" vertical="center"/>
    </xf>
    <xf numFmtId="0" fontId="2" fillId="7" borderId="11" xfId="0" applyFont="1" applyFill="1" applyBorder="1" applyAlignment="1">
      <alignment horizontal="center" vertical="center"/>
    </xf>
    <xf numFmtId="0" fontId="2" fillId="7" borderId="12" xfId="0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674B9-1857-448C-B924-85786AB7DE8B}">
  <dimension ref="B1:K159"/>
  <sheetViews>
    <sheetView zoomScale="60" zoomScaleNormal="60" workbookViewId="0">
      <selection activeCell="D135" sqref="D135:H136"/>
    </sheetView>
  </sheetViews>
  <sheetFormatPr defaultRowHeight="22.5" x14ac:dyDescent="0.2"/>
  <cols>
    <col min="2" max="2" width="22.125" style="23" customWidth="1"/>
    <col min="3" max="3" width="59.125" style="23" customWidth="1"/>
    <col min="4" max="8" width="14.375" style="16" customWidth="1"/>
    <col min="9" max="10" width="14.375" style="16" hidden="1" customWidth="1"/>
    <col min="11" max="11" width="17.625" style="25" customWidth="1"/>
  </cols>
  <sheetData>
    <row r="1" spans="2:11" x14ac:dyDescent="0.2">
      <c r="B1" s="54" t="s">
        <v>138</v>
      </c>
      <c r="C1" s="54"/>
      <c r="D1" s="54"/>
      <c r="E1" s="54"/>
      <c r="F1" s="54"/>
      <c r="G1" s="54"/>
      <c r="H1" s="54"/>
      <c r="I1" s="54"/>
      <c r="J1" s="54"/>
      <c r="K1" s="54"/>
    </row>
    <row r="2" spans="2:11" x14ac:dyDescent="0.2">
      <c r="B2" s="55"/>
      <c r="C2" s="55"/>
      <c r="D2" s="42"/>
      <c r="E2" s="56"/>
      <c r="F2" s="56"/>
      <c r="G2" s="43"/>
      <c r="H2" s="43"/>
      <c r="I2" s="43"/>
      <c r="J2" s="43"/>
      <c r="K2" s="44" t="s">
        <v>0</v>
      </c>
    </row>
    <row r="3" spans="2:11" x14ac:dyDescent="0.2">
      <c r="B3" s="55"/>
      <c r="C3" s="55"/>
      <c r="D3" s="42"/>
      <c r="E3" s="56"/>
      <c r="F3" s="56"/>
      <c r="G3" s="43"/>
      <c r="H3" s="43"/>
      <c r="I3" s="43"/>
      <c r="J3" s="43"/>
      <c r="K3" s="44" t="s">
        <v>2</v>
      </c>
    </row>
    <row r="4" spans="2:11" x14ac:dyDescent="0.2">
      <c r="B4" s="7" t="s">
        <v>3</v>
      </c>
      <c r="C4" s="7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134</v>
      </c>
      <c r="I4" s="9" t="s">
        <v>9</v>
      </c>
      <c r="J4" s="9" t="s">
        <v>133</v>
      </c>
      <c r="K4" s="44" t="s">
        <v>10</v>
      </c>
    </row>
    <row r="5" spans="2:11" x14ac:dyDescent="0.2">
      <c r="B5" s="11"/>
      <c r="C5" s="11"/>
      <c r="D5" s="9"/>
      <c r="E5" s="9"/>
      <c r="F5" s="9"/>
      <c r="G5" s="9"/>
      <c r="H5" s="9"/>
      <c r="I5" s="9"/>
      <c r="J5" s="9"/>
      <c r="K5" s="45"/>
    </row>
    <row r="6" spans="2:11" ht="19.5" x14ac:dyDescent="0.2">
      <c r="B6" s="53" t="s">
        <v>11</v>
      </c>
      <c r="C6" s="53"/>
      <c r="D6" s="53"/>
      <c r="E6" s="53"/>
      <c r="F6" s="53"/>
      <c r="G6" s="53"/>
      <c r="H6" s="53"/>
      <c r="I6" s="53"/>
      <c r="J6" s="53"/>
      <c r="K6" s="53"/>
    </row>
    <row r="7" spans="2:11" x14ac:dyDescent="0.2">
      <c r="B7" s="11">
        <v>1111002</v>
      </c>
      <c r="C7" s="15" t="s">
        <v>107</v>
      </c>
      <c r="D7" s="30"/>
      <c r="E7" s="30">
        <v>16</v>
      </c>
      <c r="F7" s="30">
        <v>19</v>
      </c>
      <c r="G7" s="30"/>
      <c r="H7" s="30"/>
      <c r="I7" s="30"/>
      <c r="J7" s="30"/>
      <c r="K7" s="41">
        <f>SUM(D7:J7)</f>
        <v>35</v>
      </c>
    </row>
    <row r="8" spans="2:11" x14ac:dyDescent="0.2">
      <c r="B8" s="11"/>
      <c r="C8" s="15" t="s">
        <v>126</v>
      </c>
      <c r="D8" s="30"/>
      <c r="E8" s="30"/>
      <c r="F8" s="30"/>
      <c r="G8" s="30"/>
      <c r="H8" s="30"/>
      <c r="I8" s="30"/>
      <c r="J8" s="30"/>
      <c r="K8" s="41">
        <f t="shared" ref="K8:K66" si="0">SUM(D8:J8)</f>
        <v>0</v>
      </c>
    </row>
    <row r="9" spans="2:11" x14ac:dyDescent="0.2">
      <c r="B9" s="11">
        <v>1111084</v>
      </c>
      <c r="C9" s="15" t="s">
        <v>12</v>
      </c>
      <c r="D9" s="30"/>
      <c r="E9" s="30"/>
      <c r="F9" s="30"/>
      <c r="G9" s="30"/>
      <c r="H9" s="30"/>
      <c r="I9" s="30"/>
      <c r="J9" s="30"/>
      <c r="K9" s="41">
        <f t="shared" si="0"/>
        <v>0</v>
      </c>
    </row>
    <row r="10" spans="2:11" x14ac:dyDescent="0.2">
      <c r="B10" s="11">
        <v>1111085</v>
      </c>
      <c r="C10" s="15" t="s">
        <v>13</v>
      </c>
      <c r="D10" s="30"/>
      <c r="E10" s="30"/>
      <c r="F10" s="30"/>
      <c r="G10" s="30"/>
      <c r="H10" s="30"/>
      <c r="I10" s="30"/>
      <c r="J10" s="30"/>
      <c r="K10" s="41">
        <f t="shared" si="0"/>
        <v>0</v>
      </c>
    </row>
    <row r="11" spans="2:11" x14ac:dyDescent="0.2">
      <c r="B11" s="11">
        <v>1111086</v>
      </c>
      <c r="C11" s="15" t="s">
        <v>14</v>
      </c>
      <c r="D11" s="30"/>
      <c r="E11" s="30"/>
      <c r="F11" s="30"/>
      <c r="G11" s="30"/>
      <c r="H11" s="30"/>
      <c r="I11" s="30"/>
      <c r="J11" s="30"/>
      <c r="K11" s="41">
        <f t="shared" si="0"/>
        <v>0</v>
      </c>
    </row>
    <row r="12" spans="2:11" x14ac:dyDescent="0.2">
      <c r="B12" s="11">
        <v>1111087</v>
      </c>
      <c r="C12" s="15" t="s">
        <v>15</v>
      </c>
      <c r="D12" s="30"/>
      <c r="E12" s="30"/>
      <c r="F12" s="30"/>
      <c r="G12" s="30"/>
      <c r="H12" s="30"/>
      <c r="I12" s="30"/>
      <c r="J12" s="30"/>
      <c r="K12" s="41">
        <f t="shared" si="0"/>
        <v>0</v>
      </c>
    </row>
    <row r="13" spans="2:11" x14ac:dyDescent="0.2">
      <c r="B13" s="11">
        <v>1111088</v>
      </c>
      <c r="C13" s="15" t="s">
        <v>16</v>
      </c>
      <c r="D13" s="30"/>
      <c r="E13" s="30"/>
      <c r="F13" s="30"/>
      <c r="G13" s="30"/>
      <c r="H13" s="30"/>
      <c r="I13" s="30"/>
      <c r="J13" s="30"/>
      <c r="K13" s="41">
        <f t="shared" si="0"/>
        <v>0</v>
      </c>
    </row>
    <row r="14" spans="2:11" x14ac:dyDescent="0.2">
      <c r="B14" s="11">
        <v>1111089</v>
      </c>
      <c r="C14" s="15" t="s">
        <v>17</v>
      </c>
      <c r="D14" s="30"/>
      <c r="E14" s="30"/>
      <c r="F14" s="30"/>
      <c r="G14" s="30"/>
      <c r="H14" s="30"/>
      <c r="I14" s="30"/>
      <c r="J14" s="30"/>
      <c r="K14" s="41">
        <f t="shared" si="0"/>
        <v>0</v>
      </c>
    </row>
    <row r="15" spans="2:11" x14ac:dyDescent="0.2">
      <c r="B15" s="11">
        <v>1111090</v>
      </c>
      <c r="C15" s="15" t="s">
        <v>18</v>
      </c>
      <c r="D15" s="30"/>
      <c r="E15" s="30"/>
      <c r="F15" s="30"/>
      <c r="G15" s="30"/>
      <c r="H15" s="30"/>
      <c r="I15" s="30"/>
      <c r="J15" s="30"/>
      <c r="K15" s="41">
        <f t="shared" si="0"/>
        <v>0</v>
      </c>
    </row>
    <row r="16" spans="2:11" x14ac:dyDescent="0.2">
      <c r="B16" s="11">
        <v>1111091</v>
      </c>
      <c r="C16" s="15" t="s">
        <v>19</v>
      </c>
      <c r="D16" s="30"/>
      <c r="E16" s="30"/>
      <c r="F16" s="30"/>
      <c r="G16" s="30"/>
      <c r="H16" s="30"/>
      <c r="I16" s="30"/>
      <c r="J16" s="30"/>
      <c r="K16" s="41">
        <f t="shared" si="0"/>
        <v>0</v>
      </c>
    </row>
    <row r="17" spans="2:11" x14ac:dyDescent="0.2">
      <c r="B17" s="11">
        <v>1111092</v>
      </c>
      <c r="C17" s="15" t="s">
        <v>20</v>
      </c>
      <c r="D17" s="30"/>
      <c r="E17" s="30"/>
      <c r="F17" s="30"/>
      <c r="G17" s="30"/>
      <c r="H17" s="30"/>
      <c r="I17" s="30"/>
      <c r="J17" s="30"/>
      <c r="K17" s="41">
        <f t="shared" si="0"/>
        <v>0</v>
      </c>
    </row>
    <row r="18" spans="2:11" x14ac:dyDescent="0.2">
      <c r="B18" s="11">
        <v>1111093</v>
      </c>
      <c r="C18" s="15" t="s">
        <v>21</v>
      </c>
      <c r="D18" s="30"/>
      <c r="E18" s="30"/>
      <c r="F18" s="30"/>
      <c r="G18" s="30"/>
      <c r="H18" s="30"/>
      <c r="I18" s="30"/>
      <c r="J18" s="30"/>
      <c r="K18" s="41">
        <f t="shared" si="0"/>
        <v>0</v>
      </c>
    </row>
    <row r="19" spans="2:11" x14ac:dyDescent="0.2">
      <c r="B19" s="11">
        <v>1111094</v>
      </c>
      <c r="C19" s="15" t="s">
        <v>22</v>
      </c>
      <c r="D19" s="30"/>
      <c r="E19" s="30"/>
      <c r="F19" s="30"/>
      <c r="G19" s="30"/>
      <c r="H19" s="30"/>
      <c r="I19" s="30"/>
      <c r="J19" s="30"/>
      <c r="K19" s="41">
        <f t="shared" si="0"/>
        <v>0</v>
      </c>
    </row>
    <row r="20" spans="2:11" x14ac:dyDescent="0.2">
      <c r="B20" s="11">
        <v>1111095</v>
      </c>
      <c r="C20" s="15" t="s">
        <v>23</v>
      </c>
      <c r="D20" s="30"/>
      <c r="E20" s="30"/>
      <c r="F20" s="30"/>
      <c r="G20" s="30"/>
      <c r="H20" s="30"/>
      <c r="I20" s="30"/>
      <c r="J20" s="30"/>
      <c r="K20" s="41">
        <f t="shared" si="0"/>
        <v>0</v>
      </c>
    </row>
    <row r="21" spans="2:11" x14ac:dyDescent="0.2">
      <c r="B21" s="11">
        <v>1111096</v>
      </c>
      <c r="C21" s="15" t="s">
        <v>24</v>
      </c>
      <c r="D21" s="30"/>
      <c r="E21" s="30"/>
      <c r="F21" s="30"/>
      <c r="G21" s="30"/>
      <c r="H21" s="30"/>
      <c r="I21" s="30"/>
      <c r="J21" s="30"/>
      <c r="K21" s="41">
        <f t="shared" si="0"/>
        <v>0</v>
      </c>
    </row>
    <row r="22" spans="2:11" x14ac:dyDescent="0.2">
      <c r="B22" s="11">
        <v>1111097</v>
      </c>
      <c r="C22" s="15" t="s">
        <v>25</v>
      </c>
      <c r="D22" s="30"/>
      <c r="E22" s="30"/>
      <c r="F22" s="30"/>
      <c r="G22" s="30"/>
      <c r="H22" s="30"/>
      <c r="I22" s="30"/>
      <c r="J22" s="30"/>
      <c r="K22" s="41">
        <f t="shared" si="0"/>
        <v>0</v>
      </c>
    </row>
    <row r="23" spans="2:11" x14ac:dyDescent="0.2">
      <c r="B23" s="11">
        <v>1111098</v>
      </c>
      <c r="C23" s="15" t="s">
        <v>26</v>
      </c>
      <c r="D23" s="30"/>
      <c r="E23" s="30"/>
      <c r="F23" s="30"/>
      <c r="G23" s="30"/>
      <c r="H23" s="30"/>
      <c r="I23" s="30"/>
      <c r="J23" s="30"/>
      <c r="K23" s="41">
        <f t="shared" si="0"/>
        <v>0</v>
      </c>
    </row>
    <row r="24" spans="2:11" x14ac:dyDescent="0.2">
      <c r="B24" s="11">
        <v>1111043</v>
      </c>
      <c r="C24" s="15" t="s">
        <v>27</v>
      </c>
      <c r="D24" s="30"/>
      <c r="E24" s="30"/>
      <c r="F24" s="30"/>
      <c r="G24" s="30"/>
      <c r="H24" s="30"/>
      <c r="I24" s="30"/>
      <c r="J24" s="30"/>
      <c r="K24" s="41">
        <f t="shared" si="0"/>
        <v>0</v>
      </c>
    </row>
    <row r="25" spans="2:11" x14ac:dyDescent="0.2">
      <c r="B25" s="11">
        <v>1111056</v>
      </c>
      <c r="C25" s="15" t="s">
        <v>28</v>
      </c>
      <c r="D25" s="30"/>
      <c r="E25" s="30">
        <v>1</v>
      </c>
      <c r="F25" s="30">
        <v>3</v>
      </c>
      <c r="G25" s="30">
        <v>1</v>
      </c>
      <c r="H25" s="30"/>
      <c r="I25" s="30"/>
      <c r="J25" s="30"/>
      <c r="K25" s="41">
        <f t="shared" si="0"/>
        <v>5</v>
      </c>
    </row>
    <row r="26" spans="2:11" x14ac:dyDescent="0.2">
      <c r="B26" s="11">
        <v>1004055</v>
      </c>
      <c r="C26" s="15" t="s">
        <v>108</v>
      </c>
      <c r="D26" s="30"/>
      <c r="E26" s="30"/>
      <c r="F26" s="30"/>
      <c r="G26" s="30">
        <v>67</v>
      </c>
      <c r="H26" s="30"/>
      <c r="I26" s="30"/>
      <c r="J26" s="30"/>
      <c r="K26" s="41">
        <f t="shared" si="0"/>
        <v>67</v>
      </c>
    </row>
    <row r="27" spans="2:11" x14ac:dyDescent="0.2">
      <c r="B27" s="11">
        <v>1004055</v>
      </c>
      <c r="C27" s="15" t="s">
        <v>109</v>
      </c>
      <c r="D27" s="30"/>
      <c r="E27" s="30"/>
      <c r="F27" s="30"/>
      <c r="G27" s="30"/>
      <c r="H27" s="30"/>
      <c r="I27" s="30"/>
      <c r="J27" s="30"/>
      <c r="K27" s="41">
        <f t="shared" si="0"/>
        <v>0</v>
      </c>
    </row>
    <row r="28" spans="2:11" x14ac:dyDescent="0.2">
      <c r="B28" s="11">
        <v>1004055</v>
      </c>
      <c r="C28" s="15" t="s">
        <v>110</v>
      </c>
      <c r="D28" s="30"/>
      <c r="E28" s="30"/>
      <c r="F28" s="30"/>
      <c r="G28" s="30"/>
      <c r="H28" s="30"/>
      <c r="I28" s="30"/>
      <c r="J28" s="30"/>
      <c r="K28" s="41">
        <f t="shared" si="0"/>
        <v>0</v>
      </c>
    </row>
    <row r="29" spans="2:11" x14ac:dyDescent="0.2">
      <c r="B29" s="11">
        <v>1004055</v>
      </c>
      <c r="C29" s="15" t="s">
        <v>111</v>
      </c>
      <c r="D29" s="30"/>
      <c r="E29" s="30"/>
      <c r="F29" s="30"/>
      <c r="G29" s="30"/>
      <c r="H29" s="30"/>
      <c r="I29" s="30"/>
      <c r="J29" s="30"/>
      <c r="K29" s="41">
        <f t="shared" si="0"/>
        <v>0</v>
      </c>
    </row>
    <row r="30" spans="2:11" x14ac:dyDescent="0.2">
      <c r="B30" s="11">
        <v>1004055</v>
      </c>
      <c r="C30" s="15" t="s">
        <v>112</v>
      </c>
      <c r="D30" s="30"/>
      <c r="E30" s="30"/>
      <c r="F30" s="30"/>
      <c r="G30" s="30"/>
      <c r="H30" s="30"/>
      <c r="I30" s="30"/>
      <c r="J30" s="30"/>
      <c r="K30" s="41">
        <f t="shared" si="0"/>
        <v>0</v>
      </c>
    </row>
    <row r="31" spans="2:11" x14ac:dyDescent="0.2">
      <c r="B31" s="11">
        <v>1004055</v>
      </c>
      <c r="C31" s="15" t="s">
        <v>113</v>
      </c>
      <c r="D31" s="30"/>
      <c r="E31" s="30"/>
      <c r="F31" s="30"/>
      <c r="G31" s="30"/>
      <c r="H31" s="30"/>
      <c r="I31" s="30"/>
      <c r="J31" s="30"/>
      <c r="K31" s="41">
        <f t="shared" si="0"/>
        <v>0</v>
      </c>
    </row>
    <row r="32" spans="2:11" x14ac:dyDescent="0.2">
      <c r="B32" s="11">
        <v>1004055</v>
      </c>
      <c r="C32" s="15" t="s">
        <v>114</v>
      </c>
      <c r="D32" s="30"/>
      <c r="E32" s="30"/>
      <c r="F32" s="30"/>
      <c r="G32" s="30"/>
      <c r="H32" s="30"/>
      <c r="I32" s="30"/>
      <c r="J32" s="30"/>
      <c r="K32" s="41">
        <f t="shared" si="0"/>
        <v>0</v>
      </c>
    </row>
    <row r="33" spans="2:11" x14ac:dyDescent="0.2">
      <c r="B33" s="11">
        <v>1004055</v>
      </c>
      <c r="C33" s="15" t="s">
        <v>115</v>
      </c>
      <c r="D33" s="30"/>
      <c r="E33" s="30"/>
      <c r="F33" s="30"/>
      <c r="G33" s="30"/>
      <c r="H33" s="30"/>
      <c r="I33" s="30"/>
      <c r="J33" s="30"/>
      <c r="K33" s="41">
        <f t="shared" si="0"/>
        <v>0</v>
      </c>
    </row>
    <row r="34" spans="2:11" x14ac:dyDescent="0.2">
      <c r="B34" s="11">
        <v>1004055</v>
      </c>
      <c r="C34" s="15" t="s">
        <v>29</v>
      </c>
      <c r="D34" s="30"/>
      <c r="E34" s="30"/>
      <c r="F34" s="30"/>
      <c r="G34" s="30"/>
      <c r="H34" s="30"/>
      <c r="I34" s="30"/>
      <c r="J34" s="30"/>
      <c r="K34" s="41">
        <f t="shared" si="0"/>
        <v>0</v>
      </c>
    </row>
    <row r="35" spans="2:11" x14ac:dyDescent="0.2">
      <c r="B35" s="11">
        <v>1004055</v>
      </c>
      <c r="C35" s="15" t="s">
        <v>116</v>
      </c>
      <c r="D35" s="30"/>
      <c r="E35" s="30"/>
      <c r="F35" s="30"/>
      <c r="G35" s="30"/>
      <c r="H35" s="30"/>
      <c r="I35" s="30"/>
      <c r="J35" s="30"/>
      <c r="K35" s="41">
        <f t="shared" si="0"/>
        <v>0</v>
      </c>
    </row>
    <row r="36" spans="2:11" x14ac:dyDescent="0.2">
      <c r="B36" s="11">
        <v>1004055</v>
      </c>
      <c r="C36" s="15" t="s">
        <v>117</v>
      </c>
      <c r="D36" s="30"/>
      <c r="E36" s="30"/>
      <c r="F36" s="30"/>
      <c r="G36" s="30"/>
      <c r="H36" s="30"/>
      <c r="I36" s="30"/>
      <c r="J36" s="30"/>
      <c r="K36" s="41">
        <f t="shared" si="0"/>
        <v>0</v>
      </c>
    </row>
    <row r="37" spans="2:11" x14ac:dyDescent="0.2">
      <c r="B37" s="11">
        <v>1004055</v>
      </c>
      <c r="C37" s="15" t="s">
        <v>118</v>
      </c>
      <c r="D37" s="30"/>
      <c r="E37" s="30"/>
      <c r="F37" s="30"/>
      <c r="G37" s="30"/>
      <c r="H37" s="30"/>
      <c r="I37" s="30"/>
      <c r="J37" s="30"/>
      <c r="K37" s="41">
        <f t="shared" si="0"/>
        <v>0</v>
      </c>
    </row>
    <row r="38" spans="2:11" x14ac:dyDescent="0.2">
      <c r="B38" s="11">
        <v>1004055</v>
      </c>
      <c r="C38" s="15" t="s">
        <v>119</v>
      </c>
      <c r="D38" s="30"/>
      <c r="E38" s="30"/>
      <c r="F38" s="30"/>
      <c r="G38" s="30"/>
      <c r="H38" s="30"/>
      <c r="I38" s="30"/>
      <c r="J38" s="30"/>
      <c r="K38" s="41">
        <f t="shared" si="0"/>
        <v>0</v>
      </c>
    </row>
    <row r="39" spans="2:11" x14ac:dyDescent="0.2">
      <c r="B39" s="11">
        <v>1004055</v>
      </c>
      <c r="C39" s="15" t="s">
        <v>120</v>
      </c>
      <c r="D39" s="30"/>
      <c r="E39" s="30"/>
      <c r="F39" s="30"/>
      <c r="G39" s="30"/>
      <c r="H39" s="30"/>
      <c r="I39" s="30"/>
      <c r="J39" s="30"/>
      <c r="K39" s="41">
        <f t="shared" si="0"/>
        <v>0</v>
      </c>
    </row>
    <row r="40" spans="2:11" x14ac:dyDescent="0.2">
      <c r="B40" s="11">
        <v>1111057</v>
      </c>
      <c r="C40" s="15" t="s">
        <v>30</v>
      </c>
      <c r="D40" s="30"/>
      <c r="E40" s="30"/>
      <c r="F40" s="30">
        <v>1</v>
      </c>
      <c r="G40" s="30">
        <v>1</v>
      </c>
      <c r="H40" s="30">
        <v>1</v>
      </c>
      <c r="I40" s="30"/>
      <c r="J40" s="30"/>
      <c r="K40" s="41">
        <f t="shared" si="0"/>
        <v>3</v>
      </c>
    </row>
    <row r="41" spans="2:11" x14ac:dyDescent="0.2">
      <c r="B41" s="11">
        <v>1111058</v>
      </c>
      <c r="C41" s="15" t="s">
        <v>31</v>
      </c>
      <c r="D41" s="30"/>
      <c r="E41" s="30"/>
      <c r="F41" s="30">
        <v>1</v>
      </c>
      <c r="G41" s="30">
        <v>1</v>
      </c>
      <c r="H41" s="30">
        <v>1</v>
      </c>
      <c r="I41" s="30"/>
      <c r="J41" s="30"/>
      <c r="K41" s="41">
        <f t="shared" si="0"/>
        <v>3</v>
      </c>
    </row>
    <row r="42" spans="2:11" x14ac:dyDescent="0.2">
      <c r="B42" s="11">
        <v>1111059</v>
      </c>
      <c r="C42" s="15" t="s">
        <v>32</v>
      </c>
      <c r="D42" s="30"/>
      <c r="E42" s="30"/>
      <c r="F42" s="30">
        <v>1</v>
      </c>
      <c r="G42" s="30">
        <v>1</v>
      </c>
      <c r="H42" s="30">
        <v>1</v>
      </c>
      <c r="I42" s="30"/>
      <c r="J42" s="30"/>
      <c r="K42" s="41">
        <f t="shared" si="0"/>
        <v>3</v>
      </c>
    </row>
    <row r="43" spans="2:11" x14ac:dyDescent="0.2">
      <c r="B43" s="11">
        <v>1111060</v>
      </c>
      <c r="C43" s="15" t="s">
        <v>33</v>
      </c>
      <c r="D43" s="30"/>
      <c r="E43" s="30"/>
      <c r="F43" s="30">
        <v>1</v>
      </c>
      <c r="G43" s="30"/>
      <c r="H43" s="30">
        <v>1</v>
      </c>
      <c r="I43" s="30"/>
      <c r="J43" s="30"/>
      <c r="K43" s="41">
        <f t="shared" si="0"/>
        <v>2</v>
      </c>
    </row>
    <row r="44" spans="2:11" x14ac:dyDescent="0.2">
      <c r="B44" s="11">
        <v>1111061</v>
      </c>
      <c r="C44" s="15" t="s">
        <v>34</v>
      </c>
      <c r="D44" s="30"/>
      <c r="E44" s="30"/>
      <c r="F44" s="30"/>
      <c r="G44" s="30"/>
      <c r="H44" s="30"/>
      <c r="I44" s="30"/>
      <c r="J44" s="30"/>
      <c r="K44" s="41">
        <f t="shared" si="0"/>
        <v>0</v>
      </c>
    </row>
    <row r="45" spans="2:11" x14ac:dyDescent="0.2">
      <c r="B45" s="11">
        <v>1111062</v>
      </c>
      <c r="C45" s="15" t="s">
        <v>35</v>
      </c>
      <c r="D45" s="30"/>
      <c r="E45" s="30"/>
      <c r="F45" s="30"/>
      <c r="G45" s="30"/>
      <c r="H45" s="30"/>
      <c r="I45" s="30"/>
      <c r="J45" s="30"/>
      <c r="K45" s="41">
        <f t="shared" si="0"/>
        <v>0</v>
      </c>
    </row>
    <row r="46" spans="2:11" x14ac:dyDescent="0.2">
      <c r="B46" s="11">
        <v>1111063</v>
      </c>
      <c r="C46" s="15" t="s">
        <v>36</v>
      </c>
      <c r="D46" s="30"/>
      <c r="E46" s="30"/>
      <c r="F46" s="30">
        <v>1</v>
      </c>
      <c r="G46" s="30"/>
      <c r="H46" s="30">
        <v>1</v>
      </c>
      <c r="I46" s="30"/>
      <c r="J46" s="30"/>
      <c r="K46" s="41">
        <f t="shared" si="0"/>
        <v>2</v>
      </c>
    </row>
    <row r="47" spans="2:11" x14ac:dyDescent="0.2">
      <c r="B47" s="11">
        <v>1111064</v>
      </c>
      <c r="C47" s="15" t="s">
        <v>37</v>
      </c>
      <c r="D47" s="30"/>
      <c r="E47" s="30"/>
      <c r="F47" s="30"/>
      <c r="G47" s="30"/>
      <c r="H47" s="30"/>
      <c r="I47" s="30"/>
      <c r="J47" s="30"/>
      <c r="K47" s="41">
        <f t="shared" si="0"/>
        <v>0</v>
      </c>
    </row>
    <row r="48" spans="2:11" x14ac:dyDescent="0.2">
      <c r="B48" s="11">
        <v>1111065</v>
      </c>
      <c r="C48" s="15" t="s">
        <v>38</v>
      </c>
      <c r="D48" s="30"/>
      <c r="E48" s="30"/>
      <c r="F48" s="30">
        <v>1</v>
      </c>
      <c r="G48" s="30"/>
      <c r="H48" s="30">
        <v>1</v>
      </c>
      <c r="I48" s="30"/>
      <c r="J48" s="30"/>
      <c r="K48" s="41">
        <f t="shared" si="0"/>
        <v>2</v>
      </c>
    </row>
    <row r="49" spans="2:11" x14ac:dyDescent="0.2">
      <c r="B49" s="11">
        <v>1111066</v>
      </c>
      <c r="C49" s="15" t="s">
        <v>39</v>
      </c>
      <c r="D49" s="30"/>
      <c r="E49" s="30"/>
      <c r="F49" s="30">
        <v>1</v>
      </c>
      <c r="G49" s="30"/>
      <c r="H49" s="30">
        <v>1</v>
      </c>
      <c r="I49" s="30"/>
      <c r="J49" s="30"/>
      <c r="K49" s="41">
        <f t="shared" si="0"/>
        <v>2</v>
      </c>
    </row>
    <row r="50" spans="2:11" x14ac:dyDescent="0.2">
      <c r="B50" s="11">
        <v>1111067</v>
      </c>
      <c r="C50" s="15" t="s">
        <v>40</v>
      </c>
      <c r="D50" s="30"/>
      <c r="E50" s="30"/>
      <c r="F50" s="30">
        <v>1</v>
      </c>
      <c r="G50" s="30"/>
      <c r="H50" s="30">
        <v>1</v>
      </c>
      <c r="I50" s="30"/>
      <c r="J50" s="30"/>
      <c r="K50" s="41">
        <f t="shared" si="0"/>
        <v>2</v>
      </c>
    </row>
    <row r="51" spans="2:11" x14ac:dyDescent="0.2">
      <c r="B51" s="11">
        <v>1111068</v>
      </c>
      <c r="C51" s="15" t="s">
        <v>41</v>
      </c>
      <c r="D51" s="30"/>
      <c r="E51" s="30"/>
      <c r="F51" s="30">
        <v>1</v>
      </c>
      <c r="G51" s="30"/>
      <c r="H51" s="30">
        <v>1</v>
      </c>
      <c r="I51" s="30"/>
      <c r="J51" s="30"/>
      <c r="K51" s="41">
        <f t="shared" si="0"/>
        <v>2</v>
      </c>
    </row>
    <row r="52" spans="2:11" x14ac:dyDescent="0.2">
      <c r="B52" s="11">
        <v>1111069</v>
      </c>
      <c r="C52" s="15" t="s">
        <v>42</v>
      </c>
      <c r="D52" s="30"/>
      <c r="E52" s="30"/>
      <c r="F52" s="30">
        <v>1</v>
      </c>
      <c r="G52" s="30"/>
      <c r="H52" s="30">
        <v>1</v>
      </c>
      <c r="I52" s="30"/>
      <c r="J52" s="30"/>
      <c r="K52" s="41">
        <f t="shared" si="0"/>
        <v>2</v>
      </c>
    </row>
    <row r="53" spans="2:11" x14ac:dyDescent="0.2">
      <c r="B53" s="11">
        <v>1111070</v>
      </c>
      <c r="C53" s="15" t="s">
        <v>128</v>
      </c>
      <c r="D53" s="30"/>
      <c r="E53" s="30"/>
      <c r="F53" s="30"/>
      <c r="G53" s="30"/>
      <c r="H53" s="30"/>
      <c r="I53" s="30"/>
      <c r="J53" s="30"/>
      <c r="K53" s="41">
        <f t="shared" si="0"/>
        <v>0</v>
      </c>
    </row>
    <row r="54" spans="2:11" x14ac:dyDescent="0.2">
      <c r="B54" s="11">
        <v>1111071</v>
      </c>
      <c r="C54" s="15" t="s">
        <v>129</v>
      </c>
      <c r="D54" s="30"/>
      <c r="E54" s="30"/>
      <c r="F54" s="30"/>
      <c r="G54" s="30"/>
      <c r="H54" s="30"/>
      <c r="I54" s="30"/>
      <c r="J54" s="30"/>
      <c r="K54" s="41">
        <f t="shared" si="0"/>
        <v>0</v>
      </c>
    </row>
    <row r="55" spans="2:11" x14ac:dyDescent="0.2">
      <c r="B55" s="11">
        <v>1111001</v>
      </c>
      <c r="C55" s="15" t="s">
        <v>43</v>
      </c>
      <c r="D55" s="30"/>
      <c r="E55" s="30"/>
      <c r="F55" s="30"/>
      <c r="G55" s="30"/>
      <c r="H55" s="30"/>
      <c r="I55" s="30"/>
      <c r="J55" s="30"/>
      <c r="K55" s="41">
        <f t="shared" si="0"/>
        <v>0</v>
      </c>
    </row>
    <row r="56" spans="2:11" x14ac:dyDescent="0.2">
      <c r="B56" s="11">
        <v>1111074</v>
      </c>
      <c r="C56" s="15" t="s">
        <v>44</v>
      </c>
      <c r="D56" s="30"/>
      <c r="E56" s="30"/>
      <c r="F56" s="30">
        <v>1</v>
      </c>
      <c r="G56" s="30">
        <v>3</v>
      </c>
      <c r="H56" s="30">
        <v>3</v>
      </c>
      <c r="I56" s="30"/>
      <c r="J56" s="30"/>
      <c r="K56" s="41">
        <f t="shared" si="0"/>
        <v>7</v>
      </c>
    </row>
    <row r="57" spans="2:11" x14ac:dyDescent="0.2">
      <c r="B57" s="11">
        <v>1111075</v>
      </c>
      <c r="C57" s="15" t="s">
        <v>45</v>
      </c>
      <c r="D57" s="30"/>
      <c r="E57" s="30"/>
      <c r="F57" s="30">
        <v>1</v>
      </c>
      <c r="G57" s="30">
        <v>3</v>
      </c>
      <c r="H57" s="30">
        <v>3</v>
      </c>
      <c r="I57" s="30"/>
      <c r="J57" s="30"/>
      <c r="K57" s="41">
        <f t="shared" si="0"/>
        <v>7</v>
      </c>
    </row>
    <row r="58" spans="2:11" x14ac:dyDescent="0.2">
      <c r="B58" s="11">
        <v>1111076</v>
      </c>
      <c r="C58" s="15" t="s">
        <v>46</v>
      </c>
      <c r="D58" s="30"/>
      <c r="E58" s="30"/>
      <c r="F58" s="30">
        <v>1</v>
      </c>
      <c r="G58" s="30">
        <v>2</v>
      </c>
      <c r="H58" s="30">
        <v>3</v>
      </c>
      <c r="I58" s="30"/>
      <c r="J58" s="30"/>
      <c r="K58" s="41">
        <f t="shared" si="0"/>
        <v>6</v>
      </c>
    </row>
    <row r="59" spans="2:11" x14ac:dyDescent="0.2">
      <c r="B59" s="11">
        <v>1111077</v>
      </c>
      <c r="C59" s="15" t="s">
        <v>47</v>
      </c>
      <c r="D59" s="30"/>
      <c r="E59" s="30"/>
      <c r="F59" s="30">
        <v>1</v>
      </c>
      <c r="G59" s="30">
        <v>2</v>
      </c>
      <c r="H59" s="30">
        <v>2</v>
      </c>
      <c r="I59" s="30"/>
      <c r="J59" s="30"/>
      <c r="K59" s="41">
        <f t="shared" si="0"/>
        <v>5</v>
      </c>
    </row>
    <row r="60" spans="2:11" x14ac:dyDescent="0.2">
      <c r="B60" s="11">
        <v>1111078</v>
      </c>
      <c r="C60" s="15" t="s">
        <v>48</v>
      </c>
      <c r="D60" s="30"/>
      <c r="E60" s="30"/>
      <c r="F60" s="30">
        <v>1</v>
      </c>
      <c r="G60" s="30">
        <v>2</v>
      </c>
      <c r="H60" s="30">
        <v>2</v>
      </c>
      <c r="I60" s="30"/>
      <c r="J60" s="30"/>
      <c r="K60" s="41">
        <f t="shared" si="0"/>
        <v>5</v>
      </c>
    </row>
    <row r="61" spans="2:11" x14ac:dyDescent="0.2">
      <c r="B61" s="11">
        <v>1111079</v>
      </c>
      <c r="C61" s="15" t="s">
        <v>49</v>
      </c>
      <c r="D61" s="30"/>
      <c r="E61" s="30"/>
      <c r="F61" s="30">
        <v>1</v>
      </c>
      <c r="G61" s="30">
        <v>2</v>
      </c>
      <c r="H61" s="30">
        <v>2</v>
      </c>
      <c r="I61" s="30"/>
      <c r="J61" s="30"/>
      <c r="K61" s="41">
        <f t="shared" si="0"/>
        <v>5</v>
      </c>
    </row>
    <row r="62" spans="2:11" x14ac:dyDescent="0.2">
      <c r="B62" s="11">
        <v>1111080</v>
      </c>
      <c r="C62" s="15" t="s">
        <v>50</v>
      </c>
      <c r="D62" s="30"/>
      <c r="E62" s="30"/>
      <c r="F62" s="30">
        <v>1</v>
      </c>
      <c r="G62" s="30">
        <v>2</v>
      </c>
      <c r="H62" s="30">
        <v>2</v>
      </c>
      <c r="I62" s="30"/>
      <c r="J62" s="30"/>
      <c r="K62" s="41">
        <f t="shared" si="0"/>
        <v>5</v>
      </c>
    </row>
    <row r="63" spans="2:11" x14ac:dyDescent="0.2">
      <c r="B63" s="11">
        <v>1111081</v>
      </c>
      <c r="C63" s="15" t="s">
        <v>51</v>
      </c>
      <c r="D63" s="30"/>
      <c r="E63" s="30"/>
      <c r="F63" s="30">
        <v>1</v>
      </c>
      <c r="G63" s="30">
        <v>2</v>
      </c>
      <c r="H63" s="30">
        <v>2</v>
      </c>
      <c r="I63" s="30"/>
      <c r="J63" s="30"/>
      <c r="K63" s="41">
        <f t="shared" si="0"/>
        <v>5</v>
      </c>
    </row>
    <row r="64" spans="2:11" x14ac:dyDescent="0.2">
      <c r="B64" s="11">
        <v>1111082</v>
      </c>
      <c r="C64" s="15" t="s">
        <v>52</v>
      </c>
      <c r="D64" s="30"/>
      <c r="E64" s="30"/>
      <c r="F64" s="30">
        <v>1</v>
      </c>
      <c r="G64" s="30">
        <v>2</v>
      </c>
      <c r="H64" s="30">
        <v>2</v>
      </c>
      <c r="I64" s="30"/>
      <c r="J64" s="30"/>
      <c r="K64" s="41">
        <f t="shared" si="0"/>
        <v>5</v>
      </c>
    </row>
    <row r="65" spans="2:11" x14ac:dyDescent="0.2">
      <c r="B65" s="11">
        <v>1111083</v>
      </c>
      <c r="C65" s="15" t="s">
        <v>53</v>
      </c>
      <c r="D65" s="30"/>
      <c r="E65" s="30"/>
      <c r="F65" s="30">
        <v>1</v>
      </c>
      <c r="G65" s="30">
        <v>2</v>
      </c>
      <c r="H65" s="30">
        <v>2</v>
      </c>
      <c r="I65" s="30"/>
      <c r="J65" s="30"/>
      <c r="K65" s="41">
        <f t="shared" si="0"/>
        <v>5</v>
      </c>
    </row>
    <row r="66" spans="2:11" x14ac:dyDescent="0.2">
      <c r="B66" s="11">
        <v>1111010</v>
      </c>
      <c r="C66" s="15" t="s">
        <v>54</v>
      </c>
      <c r="D66" s="30"/>
      <c r="E66" s="30"/>
      <c r="F66" s="30"/>
      <c r="G66" s="30"/>
      <c r="H66" s="30"/>
      <c r="I66" s="30"/>
      <c r="J66" s="30"/>
      <c r="K66" s="41">
        <f t="shared" si="0"/>
        <v>0</v>
      </c>
    </row>
    <row r="67" spans="2:11" x14ac:dyDescent="0.2">
      <c r="B67" s="17"/>
      <c r="C67" s="17" t="s">
        <v>1</v>
      </c>
      <c r="D67" s="18"/>
      <c r="E67" s="18"/>
      <c r="F67" s="18"/>
      <c r="G67" s="18"/>
      <c r="H67" s="18"/>
      <c r="I67" s="18"/>
      <c r="J67" s="18"/>
      <c r="K67" s="41">
        <f t="shared" ref="K67" si="1">SUM(D67:I67)</f>
        <v>0</v>
      </c>
    </row>
    <row r="68" spans="2:11" ht="19.5" x14ac:dyDescent="0.2">
      <c r="B68" s="53" t="s">
        <v>55</v>
      </c>
      <c r="C68" s="53"/>
      <c r="D68" s="53"/>
      <c r="E68" s="53"/>
      <c r="F68" s="53"/>
      <c r="G68" s="53"/>
      <c r="H68" s="53"/>
      <c r="I68" s="53"/>
      <c r="J68" s="53"/>
      <c r="K68" s="53"/>
    </row>
    <row r="69" spans="2:11" x14ac:dyDescent="0.2">
      <c r="B69" s="11">
        <v>1111009</v>
      </c>
      <c r="C69" s="19" t="s">
        <v>56</v>
      </c>
      <c r="D69" s="30"/>
      <c r="E69" s="30">
        <v>1</v>
      </c>
      <c r="F69" s="30">
        <v>3</v>
      </c>
      <c r="G69" s="30">
        <v>2</v>
      </c>
      <c r="H69" s="30"/>
      <c r="I69" s="30"/>
      <c r="J69" s="30"/>
      <c r="K69" s="41">
        <f>SUM(D69:J69)</f>
        <v>6</v>
      </c>
    </row>
    <row r="70" spans="2:11" x14ac:dyDescent="0.2">
      <c r="B70" s="11">
        <v>1111023</v>
      </c>
      <c r="C70" s="19" t="s">
        <v>57</v>
      </c>
      <c r="D70" s="30"/>
      <c r="E70" s="30"/>
      <c r="F70" s="30"/>
      <c r="G70" s="30"/>
      <c r="H70" s="30"/>
      <c r="I70" s="30"/>
      <c r="J70" s="30"/>
      <c r="K70" s="41">
        <f t="shared" ref="K70:K76" si="2">SUM(D70:J70)</f>
        <v>0</v>
      </c>
    </row>
    <row r="71" spans="2:11" x14ac:dyDescent="0.2">
      <c r="B71" s="11">
        <v>1111016</v>
      </c>
      <c r="C71" s="19" t="s">
        <v>58</v>
      </c>
      <c r="D71" s="30"/>
      <c r="E71" s="30"/>
      <c r="F71" s="30"/>
      <c r="G71" s="30"/>
      <c r="H71" s="30"/>
      <c r="I71" s="30"/>
      <c r="J71" s="30"/>
      <c r="K71" s="41">
        <f t="shared" si="2"/>
        <v>0</v>
      </c>
    </row>
    <row r="72" spans="2:11" x14ac:dyDescent="0.2">
      <c r="B72" s="11">
        <v>1111014</v>
      </c>
      <c r="C72" s="19" t="s">
        <v>59</v>
      </c>
      <c r="D72" s="30"/>
      <c r="E72" s="30"/>
      <c r="F72" s="30"/>
      <c r="G72" s="30"/>
      <c r="H72" s="30"/>
      <c r="I72" s="30"/>
      <c r="J72" s="30"/>
      <c r="K72" s="41">
        <f t="shared" si="2"/>
        <v>0</v>
      </c>
    </row>
    <row r="73" spans="2:11" x14ac:dyDescent="0.2">
      <c r="B73" s="11">
        <v>1111025</v>
      </c>
      <c r="C73" s="19" t="s">
        <v>60</v>
      </c>
      <c r="D73" s="30"/>
      <c r="E73" s="30"/>
      <c r="F73" s="30"/>
      <c r="G73" s="30"/>
      <c r="H73" s="30"/>
      <c r="I73" s="30"/>
      <c r="J73" s="30"/>
      <c r="K73" s="41">
        <f t="shared" si="2"/>
        <v>0</v>
      </c>
    </row>
    <row r="74" spans="2:11" x14ac:dyDescent="0.2">
      <c r="B74" s="11">
        <v>1111018</v>
      </c>
      <c r="C74" s="19" t="s">
        <v>61</v>
      </c>
      <c r="D74" s="30"/>
      <c r="E74" s="30"/>
      <c r="F74" s="30"/>
      <c r="G74" s="30"/>
      <c r="H74" s="30"/>
      <c r="I74" s="30"/>
      <c r="J74" s="30"/>
      <c r="K74" s="41">
        <f t="shared" si="2"/>
        <v>0</v>
      </c>
    </row>
    <row r="75" spans="2:11" x14ac:dyDescent="0.2">
      <c r="B75" s="11">
        <v>1111012</v>
      </c>
      <c r="C75" s="19" t="s">
        <v>62</v>
      </c>
      <c r="D75" s="30"/>
      <c r="E75" s="30"/>
      <c r="F75" s="30"/>
      <c r="G75" s="30"/>
      <c r="H75" s="30"/>
      <c r="I75" s="30"/>
      <c r="J75" s="30"/>
      <c r="K75" s="41">
        <f t="shared" si="2"/>
        <v>0</v>
      </c>
    </row>
    <row r="76" spans="2:11" x14ac:dyDescent="0.2">
      <c r="B76" s="11">
        <v>1111020</v>
      </c>
      <c r="C76" s="19" t="s">
        <v>63</v>
      </c>
      <c r="D76" s="30"/>
      <c r="E76" s="30"/>
      <c r="F76" s="30"/>
      <c r="G76" s="30"/>
      <c r="H76" s="30"/>
      <c r="I76" s="30"/>
      <c r="J76" s="30"/>
      <c r="K76" s="41">
        <f t="shared" si="2"/>
        <v>0</v>
      </c>
    </row>
    <row r="77" spans="2:11" x14ac:dyDescent="0.2">
      <c r="B77" s="18"/>
      <c r="C77" s="18" t="s">
        <v>1</v>
      </c>
      <c r="D77" s="18"/>
      <c r="E77" s="18"/>
      <c r="F77" s="18"/>
      <c r="G77" s="18"/>
      <c r="H77" s="18"/>
      <c r="I77" s="18"/>
      <c r="J77" s="18"/>
      <c r="K77" s="47"/>
    </row>
    <row r="78" spans="2:11" ht="19.5" x14ac:dyDescent="0.2">
      <c r="B78" s="53" t="s">
        <v>64</v>
      </c>
      <c r="C78" s="53"/>
      <c r="D78" s="53"/>
      <c r="E78" s="53"/>
      <c r="F78" s="53"/>
      <c r="G78" s="53"/>
      <c r="H78" s="53"/>
      <c r="I78" s="53"/>
      <c r="J78" s="53"/>
      <c r="K78" s="53"/>
    </row>
    <row r="79" spans="2:11" x14ac:dyDescent="0.2">
      <c r="B79" s="11">
        <v>1111022</v>
      </c>
      <c r="C79" s="19" t="s">
        <v>65</v>
      </c>
      <c r="D79" s="30"/>
      <c r="E79" s="30"/>
      <c r="F79" s="30"/>
      <c r="G79" s="30"/>
      <c r="H79" s="30"/>
      <c r="I79" s="30"/>
      <c r="J79" s="30"/>
      <c r="K79" s="41">
        <f>SUM(D79:J79)</f>
        <v>0</v>
      </c>
    </row>
    <row r="80" spans="2:11" x14ac:dyDescent="0.2">
      <c r="B80" s="11">
        <v>1111015</v>
      </c>
      <c r="C80" s="19" t="s">
        <v>66</v>
      </c>
      <c r="D80" s="30"/>
      <c r="E80" s="30"/>
      <c r="F80" s="30"/>
      <c r="G80" s="30"/>
      <c r="H80" s="30"/>
      <c r="I80" s="30"/>
      <c r="J80" s="30"/>
      <c r="K80" s="41">
        <f t="shared" ref="K80:K87" si="3">SUM(D80:J80)</f>
        <v>0</v>
      </c>
    </row>
    <row r="81" spans="2:11" x14ac:dyDescent="0.2">
      <c r="B81" s="11">
        <v>1111013</v>
      </c>
      <c r="C81" s="19" t="s">
        <v>67</v>
      </c>
      <c r="D81" s="30"/>
      <c r="E81" s="30"/>
      <c r="F81" s="30"/>
      <c r="G81" s="30"/>
      <c r="H81" s="30"/>
      <c r="I81" s="30"/>
      <c r="J81" s="30"/>
      <c r="K81" s="41">
        <f t="shared" si="3"/>
        <v>0</v>
      </c>
    </row>
    <row r="82" spans="2:11" x14ac:dyDescent="0.2">
      <c r="B82" s="11">
        <v>1111024</v>
      </c>
      <c r="C82" s="19" t="s">
        <v>68</v>
      </c>
      <c r="D82" s="30"/>
      <c r="E82" s="30"/>
      <c r="F82" s="30"/>
      <c r="G82" s="30"/>
      <c r="H82" s="30"/>
      <c r="I82" s="30"/>
      <c r="J82" s="30"/>
      <c r="K82" s="41">
        <f t="shared" si="3"/>
        <v>0</v>
      </c>
    </row>
    <row r="83" spans="2:11" x14ac:dyDescent="0.2">
      <c r="B83" s="11">
        <v>1111017</v>
      </c>
      <c r="C83" s="19" t="s">
        <v>69</v>
      </c>
      <c r="D83" s="30"/>
      <c r="E83" s="30"/>
      <c r="F83" s="30"/>
      <c r="G83" s="30"/>
      <c r="H83" s="30"/>
      <c r="I83" s="30"/>
      <c r="J83" s="30"/>
      <c r="K83" s="41">
        <f t="shared" si="3"/>
        <v>0</v>
      </c>
    </row>
    <row r="84" spans="2:11" x14ac:dyDescent="0.2">
      <c r="B84" s="11">
        <v>1111011</v>
      </c>
      <c r="C84" s="19" t="s">
        <v>70</v>
      </c>
      <c r="D84" s="30"/>
      <c r="E84" s="30"/>
      <c r="F84" s="30"/>
      <c r="G84" s="30"/>
      <c r="H84" s="30"/>
      <c r="I84" s="30"/>
      <c r="J84" s="30"/>
      <c r="K84" s="41">
        <f t="shared" si="3"/>
        <v>0</v>
      </c>
    </row>
    <row r="85" spans="2:11" x14ac:dyDescent="0.2">
      <c r="B85" s="11">
        <v>1111019</v>
      </c>
      <c r="C85" s="19" t="s">
        <v>71</v>
      </c>
      <c r="D85" s="30"/>
      <c r="E85" s="30"/>
      <c r="F85" s="30"/>
      <c r="G85" s="30"/>
      <c r="H85" s="30"/>
      <c r="I85" s="30"/>
      <c r="J85" s="30"/>
      <c r="K85" s="41">
        <f t="shared" si="3"/>
        <v>0</v>
      </c>
    </row>
    <row r="86" spans="2:11" x14ac:dyDescent="0.2">
      <c r="B86" s="11">
        <v>1113081</v>
      </c>
      <c r="C86" s="19" t="s">
        <v>72</v>
      </c>
      <c r="D86" s="30"/>
      <c r="E86" s="30"/>
      <c r="F86" s="30"/>
      <c r="G86" s="30"/>
      <c r="H86" s="30"/>
      <c r="I86" s="30"/>
      <c r="J86" s="30"/>
      <c r="K86" s="41">
        <f t="shared" si="3"/>
        <v>0</v>
      </c>
    </row>
    <row r="87" spans="2:11" x14ac:dyDescent="0.2">
      <c r="B87" s="11">
        <v>1111008</v>
      </c>
      <c r="C87" s="19" t="s">
        <v>73</v>
      </c>
      <c r="D87" s="30"/>
      <c r="E87" s="30"/>
      <c r="F87" s="30"/>
      <c r="G87" s="30">
        <v>111</v>
      </c>
      <c r="H87" s="30">
        <v>61</v>
      </c>
      <c r="I87" s="30"/>
      <c r="J87" s="30"/>
      <c r="K87" s="41">
        <f t="shared" si="3"/>
        <v>172</v>
      </c>
    </row>
    <row r="88" spans="2:11" x14ac:dyDescent="0.2">
      <c r="B88" s="18"/>
      <c r="C88" s="18" t="s">
        <v>1</v>
      </c>
      <c r="D88" s="18"/>
      <c r="E88" s="18"/>
      <c r="F88" s="18"/>
      <c r="G88" s="18"/>
      <c r="H88" s="18"/>
      <c r="I88" s="18"/>
      <c r="J88" s="18"/>
      <c r="K88" s="47"/>
    </row>
    <row r="89" spans="2:11" ht="19.5" x14ac:dyDescent="0.2">
      <c r="B89" s="53" t="s">
        <v>74</v>
      </c>
      <c r="C89" s="53"/>
      <c r="D89" s="53"/>
      <c r="E89" s="53"/>
      <c r="F89" s="53"/>
      <c r="G89" s="53"/>
      <c r="H89" s="53"/>
      <c r="I89" s="53"/>
      <c r="J89" s="53"/>
      <c r="K89" s="53"/>
    </row>
    <row r="90" spans="2:11" x14ac:dyDescent="0.2">
      <c r="B90" s="11">
        <v>1112009</v>
      </c>
      <c r="C90" s="19" t="s">
        <v>75</v>
      </c>
      <c r="D90" s="30"/>
      <c r="E90" s="30"/>
      <c r="F90" s="30">
        <v>1</v>
      </c>
      <c r="G90" s="30">
        <v>29</v>
      </c>
      <c r="H90" s="30">
        <v>23</v>
      </c>
      <c r="I90" s="30"/>
      <c r="J90" s="30"/>
      <c r="K90" s="41">
        <f>SUM(D90:J90)</f>
        <v>53</v>
      </c>
    </row>
    <row r="91" spans="2:11" x14ac:dyDescent="0.2">
      <c r="B91" s="11">
        <v>1112011</v>
      </c>
      <c r="C91" s="19" t="s">
        <v>76</v>
      </c>
      <c r="D91" s="30"/>
      <c r="E91" s="30">
        <v>1</v>
      </c>
      <c r="F91" s="30">
        <v>2</v>
      </c>
      <c r="G91" s="30">
        <v>30</v>
      </c>
      <c r="H91" s="30">
        <v>33</v>
      </c>
      <c r="I91" s="30"/>
      <c r="J91" s="30"/>
      <c r="K91" s="41">
        <f t="shared" ref="K91:K99" si="4">SUM(D91:J91)</f>
        <v>66</v>
      </c>
    </row>
    <row r="92" spans="2:11" x14ac:dyDescent="0.2">
      <c r="B92" s="11">
        <v>1112003</v>
      </c>
      <c r="C92" s="19" t="s">
        <v>77</v>
      </c>
      <c r="D92" s="30"/>
      <c r="E92" s="30"/>
      <c r="F92" s="30"/>
      <c r="G92" s="30">
        <v>8</v>
      </c>
      <c r="H92" s="30"/>
      <c r="I92" s="30"/>
      <c r="J92" s="30"/>
      <c r="K92" s="41">
        <f t="shared" si="4"/>
        <v>8</v>
      </c>
    </row>
    <row r="93" spans="2:11" x14ac:dyDescent="0.2">
      <c r="B93" s="11">
        <v>1112005</v>
      </c>
      <c r="C93" s="19" t="s">
        <v>78</v>
      </c>
      <c r="D93" s="30"/>
      <c r="E93" s="30"/>
      <c r="F93" s="30"/>
      <c r="G93" s="30">
        <v>8</v>
      </c>
      <c r="H93" s="30"/>
      <c r="I93" s="30"/>
      <c r="J93" s="30"/>
      <c r="K93" s="41">
        <f t="shared" si="4"/>
        <v>8</v>
      </c>
    </row>
    <row r="94" spans="2:11" x14ac:dyDescent="0.2">
      <c r="B94" s="11">
        <v>1112007</v>
      </c>
      <c r="C94" s="19" t="s">
        <v>79</v>
      </c>
      <c r="D94" s="30"/>
      <c r="E94" s="30"/>
      <c r="F94" s="30"/>
      <c r="G94" s="30"/>
      <c r="H94" s="30"/>
      <c r="I94" s="30"/>
      <c r="J94" s="30"/>
      <c r="K94" s="41">
        <f t="shared" si="4"/>
        <v>0</v>
      </c>
    </row>
    <row r="95" spans="2:11" x14ac:dyDescent="0.2">
      <c r="B95" s="11">
        <v>1112019</v>
      </c>
      <c r="C95" s="19" t="s">
        <v>80</v>
      </c>
      <c r="D95" s="30"/>
      <c r="E95" s="30"/>
      <c r="F95" s="30"/>
      <c r="G95" s="30"/>
      <c r="H95" s="30"/>
      <c r="I95" s="30"/>
      <c r="J95" s="30"/>
      <c r="K95" s="41">
        <f t="shared" si="4"/>
        <v>0</v>
      </c>
    </row>
    <row r="96" spans="2:11" x14ac:dyDescent="0.2">
      <c r="B96" s="11">
        <v>1112017</v>
      </c>
      <c r="C96" s="19" t="s">
        <v>81</v>
      </c>
      <c r="D96" s="30"/>
      <c r="E96" s="30"/>
      <c r="F96" s="30"/>
      <c r="G96" s="30">
        <v>1</v>
      </c>
      <c r="H96" s="30">
        <v>10</v>
      </c>
      <c r="I96" s="30"/>
      <c r="J96" s="30"/>
      <c r="K96" s="41">
        <f t="shared" si="4"/>
        <v>11</v>
      </c>
    </row>
    <row r="97" spans="2:11" x14ac:dyDescent="0.2">
      <c r="B97" s="11">
        <v>1112015</v>
      </c>
      <c r="C97" s="19" t="s">
        <v>82</v>
      </c>
      <c r="D97" s="30"/>
      <c r="E97" s="30"/>
      <c r="F97" s="30"/>
      <c r="G97" s="30">
        <v>8</v>
      </c>
      <c r="H97" s="30"/>
      <c r="I97" s="30"/>
      <c r="J97" s="30"/>
      <c r="K97" s="41">
        <f t="shared" si="4"/>
        <v>8</v>
      </c>
    </row>
    <row r="98" spans="2:11" x14ac:dyDescent="0.2">
      <c r="B98" s="11">
        <v>1112013</v>
      </c>
      <c r="C98" s="19" t="s">
        <v>83</v>
      </c>
      <c r="D98" s="30"/>
      <c r="E98" s="30"/>
      <c r="F98" s="30">
        <v>1</v>
      </c>
      <c r="G98" s="30">
        <v>30</v>
      </c>
      <c r="H98" s="30">
        <v>33</v>
      </c>
      <c r="I98" s="30"/>
      <c r="J98" s="30"/>
      <c r="K98" s="41">
        <f t="shared" si="4"/>
        <v>64</v>
      </c>
    </row>
    <row r="99" spans="2:11" x14ac:dyDescent="0.2">
      <c r="B99" s="11">
        <v>1124043</v>
      </c>
      <c r="C99" s="19" t="s">
        <v>84</v>
      </c>
      <c r="D99" s="30"/>
      <c r="E99" s="30"/>
      <c r="F99" s="30"/>
      <c r="G99" s="30"/>
      <c r="H99" s="30"/>
      <c r="I99" s="30"/>
      <c r="J99" s="30"/>
      <c r="K99" s="41">
        <f t="shared" si="4"/>
        <v>0</v>
      </c>
    </row>
    <row r="100" spans="2:11" x14ac:dyDescent="0.2">
      <c r="B100" s="18"/>
      <c r="C100" s="18" t="s">
        <v>1</v>
      </c>
      <c r="D100" s="18"/>
      <c r="E100" s="18"/>
      <c r="F100" s="18"/>
      <c r="G100" s="18"/>
      <c r="H100" s="18"/>
      <c r="I100" s="18"/>
      <c r="J100" s="18"/>
      <c r="K100" s="41"/>
    </row>
    <row r="101" spans="2:11" ht="19.5" x14ac:dyDescent="0.2">
      <c r="B101" s="53" t="s">
        <v>85</v>
      </c>
      <c r="C101" s="53"/>
      <c r="D101" s="53"/>
      <c r="E101" s="53"/>
      <c r="F101" s="53"/>
      <c r="G101" s="53"/>
      <c r="H101" s="53"/>
      <c r="I101" s="53"/>
      <c r="J101" s="53"/>
      <c r="K101" s="53"/>
    </row>
    <row r="102" spans="2:11" x14ac:dyDescent="0.2">
      <c r="B102" s="11">
        <v>1112008</v>
      </c>
      <c r="C102" s="19" t="s">
        <v>75</v>
      </c>
      <c r="D102" s="30"/>
      <c r="E102" s="30"/>
      <c r="F102" s="30"/>
      <c r="G102" s="30"/>
      <c r="H102" s="30"/>
      <c r="I102" s="30"/>
      <c r="J102" s="30"/>
      <c r="K102" s="41">
        <f>SUM(D102:H102)</f>
        <v>0</v>
      </c>
    </row>
    <row r="103" spans="2:11" x14ac:dyDescent="0.2">
      <c r="B103" s="11">
        <v>1112010</v>
      </c>
      <c r="C103" s="19" t="s">
        <v>76</v>
      </c>
      <c r="D103" s="30"/>
      <c r="E103" s="30"/>
      <c r="F103" s="30"/>
      <c r="G103" s="30"/>
      <c r="H103" s="30"/>
      <c r="I103" s="30"/>
      <c r="J103" s="30"/>
      <c r="K103" s="41">
        <f t="shared" ref="K103:K111" si="5">SUM(D103:H103)</f>
        <v>0</v>
      </c>
    </row>
    <row r="104" spans="2:11" x14ac:dyDescent="0.2">
      <c r="B104" s="11">
        <v>1112002</v>
      </c>
      <c r="C104" s="19" t="s">
        <v>77</v>
      </c>
      <c r="D104" s="30"/>
      <c r="E104" s="30"/>
      <c r="F104" s="30"/>
      <c r="G104" s="30"/>
      <c r="H104" s="30"/>
      <c r="I104" s="30"/>
      <c r="J104" s="30"/>
      <c r="K104" s="41">
        <f t="shared" si="5"/>
        <v>0</v>
      </c>
    </row>
    <row r="105" spans="2:11" x14ac:dyDescent="0.2">
      <c r="B105" s="11">
        <v>1112004</v>
      </c>
      <c r="C105" s="19" t="s">
        <v>78</v>
      </c>
      <c r="D105" s="30"/>
      <c r="E105" s="30"/>
      <c r="F105" s="30"/>
      <c r="G105" s="30"/>
      <c r="H105" s="30"/>
      <c r="I105" s="30"/>
      <c r="J105" s="30"/>
      <c r="K105" s="41">
        <f t="shared" si="5"/>
        <v>0</v>
      </c>
    </row>
    <row r="106" spans="2:11" x14ac:dyDescent="0.2">
      <c r="B106" s="11">
        <v>1112006</v>
      </c>
      <c r="C106" s="19" t="s">
        <v>79</v>
      </c>
      <c r="D106" s="30"/>
      <c r="E106" s="30"/>
      <c r="F106" s="30"/>
      <c r="G106" s="30"/>
      <c r="H106" s="30"/>
      <c r="I106" s="30"/>
      <c r="J106" s="30"/>
      <c r="K106" s="41">
        <f t="shared" si="5"/>
        <v>0</v>
      </c>
    </row>
    <row r="107" spans="2:11" x14ac:dyDescent="0.2">
      <c r="B107" s="11">
        <v>1112018</v>
      </c>
      <c r="C107" s="19" t="s">
        <v>80</v>
      </c>
      <c r="D107" s="30"/>
      <c r="E107" s="30"/>
      <c r="F107" s="30"/>
      <c r="G107" s="30"/>
      <c r="H107" s="30"/>
      <c r="I107" s="30"/>
      <c r="J107" s="30"/>
      <c r="K107" s="41">
        <f t="shared" si="5"/>
        <v>0</v>
      </c>
    </row>
    <row r="108" spans="2:11" x14ac:dyDescent="0.2">
      <c r="B108" s="11">
        <v>1112016</v>
      </c>
      <c r="C108" s="19" t="s">
        <v>81</v>
      </c>
      <c r="D108" s="30"/>
      <c r="E108" s="30"/>
      <c r="F108" s="30"/>
      <c r="G108" s="30"/>
      <c r="H108" s="30"/>
      <c r="I108" s="30"/>
      <c r="J108" s="30"/>
      <c r="K108" s="41">
        <f t="shared" si="5"/>
        <v>0</v>
      </c>
    </row>
    <row r="109" spans="2:11" x14ac:dyDescent="0.2">
      <c r="B109" s="11">
        <v>1112014</v>
      </c>
      <c r="C109" s="19" t="s">
        <v>82</v>
      </c>
      <c r="D109" s="30"/>
      <c r="E109" s="30"/>
      <c r="F109" s="30"/>
      <c r="G109" s="30"/>
      <c r="H109" s="30"/>
      <c r="I109" s="30"/>
      <c r="J109" s="30"/>
      <c r="K109" s="41">
        <f t="shared" si="5"/>
        <v>0</v>
      </c>
    </row>
    <row r="110" spans="2:11" x14ac:dyDescent="0.2">
      <c r="B110" s="11">
        <v>1112012</v>
      </c>
      <c r="C110" s="19" t="s">
        <v>83</v>
      </c>
      <c r="D110" s="30"/>
      <c r="E110" s="30"/>
      <c r="F110" s="30"/>
      <c r="G110" s="30"/>
      <c r="H110" s="30"/>
      <c r="I110" s="30"/>
      <c r="J110" s="30"/>
      <c r="K110" s="41">
        <f t="shared" si="5"/>
        <v>0</v>
      </c>
    </row>
    <row r="111" spans="2:11" x14ac:dyDescent="0.2">
      <c r="B111" s="11"/>
      <c r="C111" s="19" t="s">
        <v>84</v>
      </c>
      <c r="D111" s="30"/>
      <c r="E111" s="30"/>
      <c r="F111" s="30"/>
      <c r="G111" s="30"/>
      <c r="H111" s="30"/>
      <c r="I111" s="30"/>
      <c r="J111" s="30"/>
      <c r="K111" s="41">
        <f t="shared" si="5"/>
        <v>0</v>
      </c>
    </row>
    <row r="112" spans="2:11" x14ac:dyDescent="0.2">
      <c r="B112" s="18"/>
      <c r="C112" s="18" t="s">
        <v>1</v>
      </c>
      <c r="D112" s="18"/>
      <c r="E112" s="18"/>
      <c r="F112" s="18"/>
      <c r="G112" s="18"/>
      <c r="H112" s="18"/>
      <c r="I112" s="18"/>
      <c r="J112" s="18"/>
      <c r="K112" s="46">
        <f>SUM(K102:K110)</f>
        <v>0</v>
      </c>
    </row>
    <row r="113" spans="2:11" ht="19.5" x14ac:dyDescent="0.2">
      <c r="B113" s="53" t="s">
        <v>86</v>
      </c>
      <c r="C113" s="53"/>
      <c r="D113" s="53"/>
      <c r="E113" s="53"/>
      <c r="F113" s="53"/>
      <c r="G113" s="53"/>
      <c r="H113" s="53"/>
      <c r="I113" s="53"/>
      <c r="J113" s="53"/>
      <c r="K113" s="53"/>
    </row>
    <row r="114" spans="2:11" x14ac:dyDescent="0.2">
      <c r="B114" s="11">
        <v>1113170</v>
      </c>
      <c r="C114" s="21" t="s">
        <v>87</v>
      </c>
      <c r="D114" s="30"/>
      <c r="E114" s="30"/>
      <c r="F114" s="30"/>
      <c r="G114" s="30"/>
      <c r="H114" s="30"/>
      <c r="I114" s="30"/>
      <c r="J114" s="30"/>
      <c r="K114" s="41">
        <f>SUM(D114:J114)</f>
        <v>0</v>
      </c>
    </row>
    <row r="115" spans="2:11" x14ac:dyDescent="0.2">
      <c r="B115" s="11">
        <v>1113171</v>
      </c>
      <c r="C115" s="21" t="s">
        <v>88</v>
      </c>
      <c r="D115" s="30"/>
      <c r="E115" s="30"/>
      <c r="F115" s="30"/>
      <c r="G115" s="30"/>
      <c r="H115" s="30"/>
      <c r="I115" s="30"/>
      <c r="J115" s="30"/>
      <c r="K115" s="41">
        <f t="shared" ref="K115:K137" si="6">SUM(D115:J115)</f>
        <v>0</v>
      </c>
    </row>
    <row r="116" spans="2:11" x14ac:dyDescent="0.2">
      <c r="B116" s="11">
        <v>1113172</v>
      </c>
      <c r="C116" s="21" t="s">
        <v>89</v>
      </c>
      <c r="D116" s="30"/>
      <c r="E116" s="30"/>
      <c r="F116" s="30"/>
      <c r="G116" s="30"/>
      <c r="H116" s="30"/>
      <c r="I116" s="30"/>
      <c r="J116" s="30"/>
      <c r="K116" s="41">
        <f t="shared" si="6"/>
        <v>0</v>
      </c>
    </row>
    <row r="117" spans="2:11" x14ac:dyDescent="0.2">
      <c r="B117" s="11">
        <v>1113173</v>
      </c>
      <c r="C117" s="21" t="s">
        <v>90</v>
      </c>
      <c r="D117" s="30"/>
      <c r="E117" s="30"/>
      <c r="F117" s="30"/>
      <c r="G117" s="30"/>
      <c r="H117" s="30"/>
      <c r="I117" s="30"/>
      <c r="J117" s="30"/>
      <c r="K117" s="41">
        <f t="shared" si="6"/>
        <v>0</v>
      </c>
    </row>
    <row r="118" spans="2:11" x14ac:dyDescent="0.2">
      <c r="B118" s="11">
        <v>1100003</v>
      </c>
      <c r="C118" s="21" t="s">
        <v>121</v>
      </c>
      <c r="D118" s="30"/>
      <c r="E118" s="30">
        <v>3</v>
      </c>
      <c r="F118" s="30"/>
      <c r="G118" s="30"/>
      <c r="H118" s="30"/>
      <c r="I118" s="30"/>
      <c r="J118" s="30"/>
      <c r="K118" s="41">
        <f t="shared" si="6"/>
        <v>3</v>
      </c>
    </row>
    <row r="119" spans="2:11" x14ac:dyDescent="0.2">
      <c r="B119" s="11">
        <v>1100001</v>
      </c>
      <c r="C119" s="21" t="s">
        <v>122</v>
      </c>
      <c r="D119" s="30"/>
      <c r="E119" s="30"/>
      <c r="F119" s="30"/>
      <c r="G119" s="30"/>
      <c r="H119" s="30"/>
      <c r="I119" s="30"/>
      <c r="J119" s="30"/>
      <c r="K119" s="41">
        <f t="shared" si="6"/>
        <v>0</v>
      </c>
    </row>
    <row r="120" spans="2:11" x14ac:dyDescent="0.2">
      <c r="B120" s="11">
        <v>1100002</v>
      </c>
      <c r="C120" s="21" t="s">
        <v>123</v>
      </c>
      <c r="D120" s="30"/>
      <c r="E120" s="30"/>
      <c r="F120" s="30"/>
      <c r="G120" s="30"/>
      <c r="H120" s="30">
        <v>1</v>
      </c>
      <c r="I120" s="30"/>
      <c r="J120" s="30"/>
      <c r="K120" s="41">
        <f t="shared" si="6"/>
        <v>1</v>
      </c>
    </row>
    <row r="121" spans="2:11" x14ac:dyDescent="0.2">
      <c r="B121" s="11">
        <v>1200001</v>
      </c>
      <c r="C121" s="21" t="s">
        <v>93</v>
      </c>
      <c r="D121" s="30"/>
      <c r="E121" s="30">
        <v>1</v>
      </c>
      <c r="F121" s="30"/>
      <c r="G121" s="30"/>
      <c r="H121" s="30"/>
      <c r="I121" s="30"/>
      <c r="J121" s="30"/>
      <c r="K121" s="41">
        <f t="shared" si="6"/>
        <v>1</v>
      </c>
    </row>
    <row r="122" spans="2:11" x14ac:dyDescent="0.2">
      <c r="B122" s="11">
        <v>1005761</v>
      </c>
      <c r="C122" s="21" t="s">
        <v>94</v>
      </c>
      <c r="D122" s="30"/>
      <c r="E122" s="30"/>
      <c r="F122" s="30"/>
      <c r="G122" s="30">
        <v>3</v>
      </c>
      <c r="H122" s="30"/>
      <c r="I122" s="30"/>
      <c r="J122" s="30"/>
      <c r="K122" s="41">
        <f t="shared" si="6"/>
        <v>3</v>
      </c>
    </row>
    <row r="123" spans="2:11" x14ac:dyDescent="0.2">
      <c r="B123" s="11">
        <v>1114501</v>
      </c>
      <c r="C123" s="21" t="s">
        <v>95</v>
      </c>
      <c r="D123" s="30"/>
      <c r="E123" s="30">
        <v>1</v>
      </c>
      <c r="F123" s="30">
        <v>6</v>
      </c>
      <c r="G123" s="30">
        <v>181</v>
      </c>
      <c r="H123" s="30">
        <v>131</v>
      </c>
      <c r="I123" s="30"/>
      <c r="J123" s="30"/>
      <c r="K123" s="41">
        <f t="shared" si="6"/>
        <v>319</v>
      </c>
    </row>
    <row r="124" spans="2:11" x14ac:dyDescent="0.2">
      <c r="B124" s="11">
        <v>1114502</v>
      </c>
      <c r="C124" s="21" t="s">
        <v>96</v>
      </c>
      <c r="D124" s="30"/>
      <c r="E124" s="30">
        <v>1</v>
      </c>
      <c r="F124" s="30">
        <v>4</v>
      </c>
      <c r="G124" s="30">
        <v>179</v>
      </c>
      <c r="H124" s="30">
        <v>131</v>
      </c>
      <c r="I124" s="30"/>
      <c r="J124" s="30"/>
      <c r="K124" s="41">
        <f t="shared" si="6"/>
        <v>315</v>
      </c>
    </row>
    <row r="125" spans="2:11" x14ac:dyDescent="0.2">
      <c r="B125" s="11">
        <v>1114503</v>
      </c>
      <c r="C125" s="21" t="s">
        <v>97</v>
      </c>
      <c r="D125" s="30"/>
      <c r="E125" s="30">
        <v>1</v>
      </c>
      <c r="F125" s="30">
        <v>4</v>
      </c>
      <c r="G125" s="30">
        <v>179</v>
      </c>
      <c r="H125" s="30">
        <v>131</v>
      </c>
      <c r="I125" s="30"/>
      <c r="J125" s="30"/>
      <c r="K125" s="41">
        <f t="shared" si="6"/>
        <v>315</v>
      </c>
    </row>
    <row r="126" spans="2:11" x14ac:dyDescent="0.2">
      <c r="B126" s="11">
        <v>1124021</v>
      </c>
      <c r="C126" s="21" t="s">
        <v>98</v>
      </c>
      <c r="D126" s="30"/>
      <c r="E126" s="30">
        <v>91</v>
      </c>
      <c r="F126" s="30">
        <v>38</v>
      </c>
      <c r="G126" s="30">
        <v>12</v>
      </c>
      <c r="H126" s="30"/>
      <c r="I126" s="30"/>
      <c r="J126" s="30"/>
      <c r="K126" s="41">
        <f t="shared" si="6"/>
        <v>141</v>
      </c>
    </row>
    <row r="127" spans="2:11" x14ac:dyDescent="0.2">
      <c r="B127" s="11">
        <v>1113084</v>
      </c>
      <c r="C127" s="21" t="s">
        <v>99</v>
      </c>
      <c r="D127" s="30"/>
      <c r="E127" s="30"/>
      <c r="F127" s="30"/>
      <c r="G127" s="30"/>
      <c r="H127" s="30"/>
      <c r="I127" s="30"/>
      <c r="J127" s="30"/>
      <c r="K127" s="41">
        <f t="shared" si="6"/>
        <v>0</v>
      </c>
    </row>
    <row r="128" spans="2:11" x14ac:dyDescent="0.2">
      <c r="B128" s="11">
        <v>900003</v>
      </c>
      <c r="C128" s="21" t="s">
        <v>132</v>
      </c>
      <c r="D128" s="30"/>
      <c r="E128" s="30"/>
      <c r="F128" s="30"/>
      <c r="G128" s="30"/>
      <c r="H128" s="30"/>
      <c r="I128" s="30"/>
      <c r="J128" s="30"/>
      <c r="K128" s="41">
        <f t="shared" si="6"/>
        <v>0</v>
      </c>
    </row>
    <row r="129" spans="2:11" x14ac:dyDescent="0.2">
      <c r="B129" s="11">
        <v>900004</v>
      </c>
      <c r="C129" s="21" t="s">
        <v>100</v>
      </c>
      <c r="D129" s="30"/>
      <c r="E129" s="30"/>
      <c r="F129" s="30"/>
      <c r="G129" s="30"/>
      <c r="H129" s="30"/>
      <c r="I129" s="30"/>
      <c r="J129" s="30"/>
      <c r="K129" s="41">
        <f t="shared" si="6"/>
        <v>0</v>
      </c>
    </row>
    <row r="130" spans="2:11" x14ac:dyDescent="0.2">
      <c r="B130" s="11">
        <v>1200002</v>
      </c>
      <c r="C130" s="21" t="s">
        <v>101</v>
      </c>
      <c r="D130" s="30"/>
      <c r="E130" s="30"/>
      <c r="F130" s="30"/>
      <c r="G130" s="30"/>
      <c r="H130" s="30"/>
      <c r="I130" s="30"/>
      <c r="J130" s="30"/>
      <c r="K130" s="41">
        <f t="shared" si="6"/>
        <v>0</v>
      </c>
    </row>
    <row r="131" spans="2:11" x14ac:dyDescent="0.2">
      <c r="B131" s="11">
        <v>1200003</v>
      </c>
      <c r="C131" s="21" t="s">
        <v>102</v>
      </c>
      <c r="D131" s="30"/>
      <c r="E131" s="30"/>
      <c r="F131" s="30"/>
      <c r="G131" s="30"/>
      <c r="H131" s="30"/>
      <c r="I131" s="30"/>
      <c r="J131" s="30"/>
      <c r="K131" s="41">
        <f t="shared" si="6"/>
        <v>0</v>
      </c>
    </row>
    <row r="132" spans="2:11" x14ac:dyDescent="0.2">
      <c r="B132" s="11">
        <v>1200004</v>
      </c>
      <c r="C132" s="21" t="s">
        <v>103</v>
      </c>
      <c r="D132" s="30"/>
      <c r="E132" s="30"/>
      <c r="F132" s="30"/>
      <c r="G132" s="30"/>
      <c r="H132" s="30"/>
      <c r="I132" s="30"/>
      <c r="J132" s="30"/>
      <c r="K132" s="41">
        <f t="shared" si="6"/>
        <v>0</v>
      </c>
    </row>
    <row r="133" spans="2:11" x14ac:dyDescent="0.2">
      <c r="B133" s="11">
        <v>1200093</v>
      </c>
      <c r="C133" s="21" t="s">
        <v>91</v>
      </c>
      <c r="D133" s="30"/>
      <c r="E133" s="30"/>
      <c r="F133" s="30"/>
      <c r="G133" s="30"/>
      <c r="H133" s="30"/>
      <c r="I133" s="30"/>
      <c r="J133" s="30"/>
      <c r="K133" s="41">
        <f t="shared" si="6"/>
        <v>0</v>
      </c>
    </row>
    <row r="134" spans="2:11" x14ac:dyDescent="0.2">
      <c r="B134" s="11">
        <v>1200092</v>
      </c>
      <c r="C134" s="19" t="s">
        <v>92</v>
      </c>
      <c r="D134" s="30"/>
      <c r="E134" s="30"/>
      <c r="F134" s="30"/>
      <c r="G134" s="30"/>
      <c r="H134" s="30"/>
      <c r="I134" s="30"/>
      <c r="J134" s="30"/>
      <c r="K134" s="41">
        <f t="shared" si="6"/>
        <v>0</v>
      </c>
    </row>
    <row r="135" spans="2:11" x14ac:dyDescent="0.2">
      <c r="B135" s="22"/>
      <c r="C135" s="21" t="s">
        <v>124</v>
      </c>
      <c r="D135" s="30"/>
      <c r="E135" s="30">
        <v>2</v>
      </c>
      <c r="F135" s="30"/>
      <c r="G135" s="30"/>
      <c r="H135" s="30"/>
      <c r="I135" s="30"/>
      <c r="J135" s="30"/>
      <c r="K135" s="41">
        <f t="shared" si="6"/>
        <v>2</v>
      </c>
    </row>
    <row r="136" spans="2:11" x14ac:dyDescent="0.2">
      <c r="B136" s="22"/>
      <c r="C136" s="21" t="s">
        <v>125</v>
      </c>
      <c r="D136" s="30"/>
      <c r="E136" s="30">
        <v>1</v>
      </c>
      <c r="F136" s="30"/>
      <c r="G136" s="30"/>
      <c r="H136" s="30"/>
      <c r="I136" s="30"/>
      <c r="J136" s="30"/>
      <c r="K136" s="41">
        <f t="shared" si="6"/>
        <v>1</v>
      </c>
    </row>
    <row r="137" spans="2:11" x14ac:dyDescent="0.2">
      <c r="B137" s="22">
        <v>20052721</v>
      </c>
      <c r="C137" s="21" t="s">
        <v>131</v>
      </c>
      <c r="D137" s="30"/>
      <c r="E137" s="30"/>
      <c r="F137" s="30"/>
      <c r="G137" s="30"/>
      <c r="H137" s="30"/>
      <c r="I137" s="30"/>
      <c r="J137" s="30"/>
      <c r="K137" s="41">
        <f t="shared" si="6"/>
        <v>0</v>
      </c>
    </row>
    <row r="138" spans="2:11" x14ac:dyDescent="0.2">
      <c r="C138" s="35"/>
      <c r="D138" s="38"/>
      <c r="E138" s="38"/>
      <c r="F138" s="38"/>
      <c r="G138" s="38"/>
      <c r="H138" s="38"/>
      <c r="I138" s="38"/>
      <c r="J138" s="38"/>
      <c r="K138" s="39"/>
    </row>
    <row r="139" spans="2:11" x14ac:dyDescent="0.2">
      <c r="C139" s="35"/>
      <c r="D139" s="39">
        <f t="shared" ref="D139:I139" si="7">SUM(D114:D137,D102:D111,D90:D99,D79:D87,D69:D76,D7:D66)</f>
        <v>0</v>
      </c>
      <c r="E139" s="39">
        <f t="shared" si="7"/>
        <v>120</v>
      </c>
      <c r="F139" s="39">
        <f t="shared" si="7"/>
        <v>101</v>
      </c>
      <c r="G139" s="39">
        <f t="shared" si="7"/>
        <v>874</v>
      </c>
      <c r="H139" s="39">
        <f t="shared" si="7"/>
        <v>587</v>
      </c>
      <c r="I139" s="39">
        <f t="shared" si="7"/>
        <v>0</v>
      </c>
      <c r="J139" s="39"/>
      <c r="K139" s="39">
        <f>SUM(K114:K137,K102:K111,K90:K99,K79:K87,K69:K76,K7:K66)</f>
        <v>1682</v>
      </c>
    </row>
    <row r="140" spans="2:11" x14ac:dyDescent="0.2">
      <c r="C140" s="24"/>
      <c r="D140" s="31"/>
      <c r="E140" s="58"/>
      <c r="F140" s="58"/>
      <c r="G140" s="26"/>
    </row>
    <row r="141" spans="2:11" x14ac:dyDescent="0.2">
      <c r="B141" s="58" t="s">
        <v>104</v>
      </c>
      <c r="C141" s="58"/>
      <c r="D141" s="32"/>
      <c r="E141" s="57"/>
      <c r="F141" s="57"/>
      <c r="G141" s="27"/>
      <c r="H141" s="26"/>
      <c r="I141" s="58" t="s">
        <v>104</v>
      </c>
      <c r="J141" s="58"/>
      <c r="K141" s="58"/>
    </row>
    <row r="142" spans="2:11" x14ac:dyDescent="0.2">
      <c r="B142" s="57" t="s">
        <v>105</v>
      </c>
      <c r="C142" s="57"/>
      <c r="D142" s="33"/>
      <c r="E142" s="33"/>
      <c r="F142" s="33"/>
      <c r="G142" s="33"/>
      <c r="H142" s="33"/>
      <c r="I142" s="57" t="s">
        <v>106</v>
      </c>
      <c r="J142" s="57"/>
      <c r="K142" s="57"/>
    </row>
    <row r="143" spans="2:11" x14ac:dyDescent="0.2">
      <c r="B143" s="31"/>
      <c r="C143" s="31"/>
      <c r="D143" s="33"/>
      <c r="E143" s="33"/>
      <c r="F143" s="33"/>
      <c r="G143" s="33"/>
      <c r="H143" s="33"/>
      <c r="I143" s="31"/>
      <c r="J143" s="31"/>
      <c r="K143" s="34"/>
    </row>
    <row r="144" spans="2:11" ht="14.25" x14ac:dyDescent="0.2">
      <c r="B144" s="31"/>
      <c r="C144" s="31"/>
      <c r="D144" s="31"/>
      <c r="E144" s="31"/>
      <c r="F144" s="31"/>
      <c r="G144" s="31"/>
      <c r="H144" s="31"/>
      <c r="I144" s="31"/>
      <c r="J144" s="31"/>
      <c r="K144" s="34"/>
    </row>
    <row r="145" spans="2:11" ht="14.25" x14ac:dyDescent="0.2">
      <c r="B145" s="31"/>
      <c r="C145" s="31"/>
      <c r="D145" s="31"/>
      <c r="E145" s="31"/>
      <c r="F145" s="31"/>
      <c r="G145" s="31"/>
      <c r="H145" s="31"/>
      <c r="I145" s="31"/>
      <c r="J145" s="31"/>
      <c r="K145" s="34"/>
    </row>
    <row r="146" spans="2:11" ht="14.25" x14ac:dyDescent="0.2">
      <c r="B146" s="31"/>
      <c r="C146" s="31"/>
      <c r="D146" s="31"/>
      <c r="E146" s="31"/>
      <c r="F146" s="31"/>
      <c r="G146" s="31"/>
      <c r="H146" s="31"/>
      <c r="I146" s="31"/>
      <c r="J146" s="31"/>
      <c r="K146" s="34"/>
    </row>
    <row r="147" spans="2:11" ht="14.25" x14ac:dyDescent="0.2">
      <c r="B147" s="31"/>
      <c r="C147" s="31"/>
      <c r="D147" s="31"/>
      <c r="E147" s="31"/>
      <c r="F147" s="31"/>
      <c r="G147" s="31"/>
      <c r="H147" s="31"/>
      <c r="I147" s="31"/>
      <c r="J147" s="31"/>
      <c r="K147" s="34"/>
    </row>
    <row r="148" spans="2:11" ht="14.25" x14ac:dyDescent="0.2">
      <c r="B148" s="31"/>
      <c r="C148" s="31"/>
      <c r="D148" s="31"/>
      <c r="E148" s="31"/>
      <c r="F148" s="31"/>
      <c r="G148" s="31"/>
      <c r="H148" s="31"/>
      <c r="I148" s="31"/>
      <c r="J148" s="31"/>
      <c r="K148" s="34"/>
    </row>
    <row r="149" spans="2:11" x14ac:dyDescent="0.2">
      <c r="D149" s="31"/>
      <c r="E149" s="31"/>
      <c r="F149" s="31"/>
      <c r="G149" s="31"/>
      <c r="H149" s="31"/>
    </row>
    <row r="150" spans="2:11" x14ac:dyDescent="0.2">
      <c r="D150" s="31"/>
      <c r="E150" s="31"/>
      <c r="F150" s="31"/>
      <c r="G150" s="31"/>
      <c r="H150" s="31"/>
    </row>
    <row r="151" spans="2:11" x14ac:dyDescent="0.2">
      <c r="D151" s="31"/>
      <c r="E151" s="31"/>
      <c r="F151" s="31"/>
      <c r="G151" s="31"/>
      <c r="H151" s="31"/>
    </row>
    <row r="152" spans="2:11" x14ac:dyDescent="0.2">
      <c r="D152" s="31"/>
      <c r="E152" s="31"/>
      <c r="F152" s="31"/>
      <c r="G152" s="31"/>
      <c r="H152" s="31"/>
    </row>
    <row r="153" spans="2:11" x14ac:dyDescent="0.2">
      <c r="D153" s="31"/>
      <c r="E153" s="31"/>
      <c r="F153" s="31"/>
      <c r="G153" s="31"/>
      <c r="H153" s="31"/>
    </row>
    <row r="154" spans="2:11" x14ac:dyDescent="0.2">
      <c r="D154" s="31"/>
      <c r="E154" s="31"/>
      <c r="F154" s="31"/>
      <c r="G154" s="31"/>
      <c r="H154" s="31"/>
    </row>
    <row r="155" spans="2:11" x14ac:dyDescent="0.2">
      <c r="D155" s="31"/>
      <c r="E155" s="31"/>
      <c r="F155" s="31"/>
      <c r="G155" s="31"/>
      <c r="H155" s="31"/>
    </row>
    <row r="156" spans="2:11" x14ac:dyDescent="0.2">
      <c r="D156" s="31"/>
      <c r="E156" s="31"/>
      <c r="F156" s="31"/>
      <c r="G156" s="31"/>
      <c r="H156" s="31"/>
    </row>
    <row r="157" spans="2:11" x14ac:dyDescent="0.2">
      <c r="D157" s="31"/>
      <c r="E157" s="31"/>
      <c r="F157" s="31"/>
      <c r="G157" s="31"/>
      <c r="H157" s="31"/>
    </row>
    <row r="158" spans="2:11" x14ac:dyDescent="0.2">
      <c r="D158" s="31"/>
      <c r="E158" s="31"/>
      <c r="F158" s="31"/>
      <c r="G158" s="31"/>
      <c r="H158" s="31"/>
    </row>
    <row r="159" spans="2:11" x14ac:dyDescent="0.2">
      <c r="D159" s="31"/>
      <c r="E159" s="31"/>
      <c r="F159" s="31"/>
      <c r="G159" s="31"/>
      <c r="H159" s="31"/>
    </row>
  </sheetData>
  <mergeCells count="15">
    <mergeCell ref="B142:C142"/>
    <mergeCell ref="I142:K142"/>
    <mergeCell ref="B89:K89"/>
    <mergeCell ref="B101:K101"/>
    <mergeCell ref="B113:K113"/>
    <mergeCell ref="E140:F140"/>
    <mergeCell ref="B141:C141"/>
    <mergeCell ref="E141:F141"/>
    <mergeCell ref="I141:K141"/>
    <mergeCell ref="B78:K78"/>
    <mergeCell ref="B1:K1"/>
    <mergeCell ref="B2:C3"/>
    <mergeCell ref="E2:F3"/>
    <mergeCell ref="B6:K6"/>
    <mergeCell ref="B68:K6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C1525-98FB-494E-BC50-15FBBA6E2A97}">
  <sheetPr>
    <pageSetUpPr fitToPage="1"/>
  </sheetPr>
  <dimension ref="B1:K159"/>
  <sheetViews>
    <sheetView zoomScale="60" zoomScaleNormal="60" workbookViewId="0">
      <selection activeCell="K56" sqref="K56:K65"/>
    </sheetView>
  </sheetViews>
  <sheetFormatPr defaultRowHeight="22.5" x14ac:dyDescent="0.2"/>
  <cols>
    <col min="2" max="2" width="22.125" style="23" customWidth="1"/>
    <col min="3" max="3" width="59.125" style="23" customWidth="1"/>
    <col min="4" max="7" width="14.375" style="16" customWidth="1"/>
    <col min="8" max="9" width="14.375" style="16" hidden="1" customWidth="1"/>
    <col min="10" max="10" width="14.375" style="16" customWidth="1"/>
    <col min="11" max="11" width="17.625" style="25" customWidth="1"/>
  </cols>
  <sheetData>
    <row r="1" spans="2:11" x14ac:dyDescent="0.2">
      <c r="B1" s="54" t="s">
        <v>137</v>
      </c>
      <c r="C1" s="54"/>
      <c r="D1" s="54"/>
      <c r="E1" s="54"/>
      <c r="F1" s="54"/>
      <c r="G1" s="54"/>
      <c r="H1" s="54"/>
      <c r="I1" s="54"/>
      <c r="J1" s="54"/>
      <c r="K1" s="54"/>
    </row>
    <row r="2" spans="2:11" x14ac:dyDescent="0.2">
      <c r="B2" s="55"/>
      <c r="C2" s="55"/>
      <c r="D2" s="42"/>
      <c r="E2" s="56"/>
      <c r="F2" s="56"/>
      <c r="G2" s="43"/>
      <c r="H2" s="43"/>
      <c r="I2" s="43"/>
      <c r="J2" s="43"/>
      <c r="K2" s="44" t="s">
        <v>0</v>
      </c>
    </row>
    <row r="3" spans="2:11" x14ac:dyDescent="0.2">
      <c r="B3" s="55"/>
      <c r="C3" s="55"/>
      <c r="D3" s="42"/>
      <c r="E3" s="56"/>
      <c r="F3" s="56"/>
      <c r="G3" s="43"/>
      <c r="H3" s="43"/>
      <c r="I3" s="43"/>
      <c r="J3" s="43"/>
      <c r="K3" s="44" t="s">
        <v>2</v>
      </c>
    </row>
    <row r="4" spans="2:11" x14ac:dyDescent="0.2">
      <c r="B4" s="7" t="s">
        <v>3</v>
      </c>
      <c r="C4" s="7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134</v>
      </c>
      <c r="I4" s="9" t="s">
        <v>9</v>
      </c>
      <c r="J4" s="9" t="s">
        <v>133</v>
      </c>
      <c r="K4" s="44" t="s">
        <v>10</v>
      </c>
    </row>
    <row r="5" spans="2:11" x14ac:dyDescent="0.2">
      <c r="B5" s="11"/>
      <c r="C5" s="11"/>
      <c r="D5" s="9"/>
      <c r="E5" s="9"/>
      <c r="F5" s="9"/>
      <c r="G5" s="9"/>
      <c r="H5" s="9"/>
      <c r="I5" s="9"/>
      <c r="J5" s="9"/>
      <c r="K5" s="45"/>
    </row>
    <row r="6" spans="2:11" ht="19.5" x14ac:dyDescent="0.2">
      <c r="B6" s="53" t="s">
        <v>11</v>
      </c>
      <c r="C6" s="53"/>
      <c r="D6" s="53"/>
      <c r="E6" s="53"/>
      <c r="F6" s="53"/>
      <c r="G6" s="53"/>
      <c r="H6" s="53"/>
      <c r="I6" s="53"/>
      <c r="J6" s="53"/>
      <c r="K6" s="53"/>
    </row>
    <row r="7" spans="2:11" x14ac:dyDescent="0.2">
      <c r="B7" s="11">
        <v>1111002</v>
      </c>
      <c r="C7" s="15" t="s">
        <v>107</v>
      </c>
      <c r="D7" s="30">
        <v>4</v>
      </c>
      <c r="E7" s="30">
        <v>5</v>
      </c>
      <c r="F7" s="30">
        <v>38</v>
      </c>
      <c r="G7" s="30"/>
      <c r="H7" s="30"/>
      <c r="I7" s="30"/>
      <c r="J7" s="30"/>
      <c r="K7" s="41">
        <f>SUM(D7:J7)</f>
        <v>47</v>
      </c>
    </row>
    <row r="8" spans="2:11" hidden="1" x14ac:dyDescent="0.2">
      <c r="B8" s="11"/>
      <c r="C8" s="15" t="s">
        <v>126</v>
      </c>
      <c r="D8" s="30"/>
      <c r="E8" s="30"/>
      <c r="F8" s="30"/>
      <c r="G8" s="30"/>
      <c r="H8" s="30"/>
      <c r="I8" s="30"/>
      <c r="J8" s="30"/>
      <c r="K8" s="41">
        <f t="shared" ref="K8:K66" si="0">SUM(D8:J8)</f>
        <v>0</v>
      </c>
    </row>
    <row r="9" spans="2:11" hidden="1" x14ac:dyDescent="0.2">
      <c r="B9" s="11">
        <v>1111084</v>
      </c>
      <c r="C9" s="15" t="s">
        <v>12</v>
      </c>
      <c r="D9" s="30"/>
      <c r="E9" s="30"/>
      <c r="F9" s="30"/>
      <c r="G9" s="30"/>
      <c r="H9" s="30"/>
      <c r="I9" s="30"/>
      <c r="J9" s="30"/>
      <c r="K9" s="41">
        <f t="shared" si="0"/>
        <v>0</v>
      </c>
    </row>
    <row r="10" spans="2:11" hidden="1" x14ac:dyDescent="0.2">
      <c r="B10" s="11">
        <v>1111085</v>
      </c>
      <c r="C10" s="15" t="s">
        <v>13</v>
      </c>
      <c r="D10" s="30"/>
      <c r="E10" s="30"/>
      <c r="F10" s="30"/>
      <c r="G10" s="30"/>
      <c r="H10" s="30"/>
      <c r="I10" s="30"/>
      <c r="J10" s="30"/>
      <c r="K10" s="41">
        <f t="shared" si="0"/>
        <v>0</v>
      </c>
    </row>
    <row r="11" spans="2:11" hidden="1" x14ac:dyDescent="0.2">
      <c r="B11" s="11">
        <v>1111086</v>
      </c>
      <c r="C11" s="15" t="s">
        <v>14</v>
      </c>
      <c r="D11" s="30"/>
      <c r="E11" s="30"/>
      <c r="F11" s="30"/>
      <c r="G11" s="30"/>
      <c r="H11" s="30"/>
      <c r="I11" s="30"/>
      <c r="J11" s="30"/>
      <c r="K11" s="41">
        <f t="shared" si="0"/>
        <v>0</v>
      </c>
    </row>
    <row r="12" spans="2:11" hidden="1" x14ac:dyDescent="0.2">
      <c r="B12" s="11">
        <v>1111087</v>
      </c>
      <c r="C12" s="15" t="s">
        <v>15</v>
      </c>
      <c r="D12" s="30"/>
      <c r="E12" s="30"/>
      <c r="F12" s="30"/>
      <c r="G12" s="30"/>
      <c r="H12" s="30"/>
      <c r="I12" s="30"/>
      <c r="J12" s="30"/>
      <c r="K12" s="41">
        <f t="shared" si="0"/>
        <v>0</v>
      </c>
    </row>
    <row r="13" spans="2:11" hidden="1" x14ac:dyDescent="0.2">
      <c r="B13" s="11">
        <v>1111088</v>
      </c>
      <c r="C13" s="15" t="s">
        <v>16</v>
      </c>
      <c r="D13" s="30"/>
      <c r="E13" s="30"/>
      <c r="F13" s="30"/>
      <c r="G13" s="30"/>
      <c r="H13" s="30"/>
      <c r="I13" s="30"/>
      <c r="J13" s="30"/>
      <c r="K13" s="41">
        <f t="shared" si="0"/>
        <v>0</v>
      </c>
    </row>
    <row r="14" spans="2:11" hidden="1" x14ac:dyDescent="0.2">
      <c r="B14" s="11">
        <v>1111089</v>
      </c>
      <c r="C14" s="15" t="s">
        <v>17</v>
      </c>
      <c r="D14" s="30"/>
      <c r="E14" s="30"/>
      <c r="F14" s="30"/>
      <c r="G14" s="30"/>
      <c r="H14" s="30"/>
      <c r="I14" s="30"/>
      <c r="J14" s="30"/>
      <c r="K14" s="41">
        <f t="shared" si="0"/>
        <v>0</v>
      </c>
    </row>
    <row r="15" spans="2:11" hidden="1" x14ac:dyDescent="0.2">
      <c r="B15" s="11">
        <v>1111090</v>
      </c>
      <c r="C15" s="15" t="s">
        <v>18</v>
      </c>
      <c r="D15" s="30"/>
      <c r="E15" s="30"/>
      <c r="F15" s="30"/>
      <c r="G15" s="30"/>
      <c r="H15" s="30"/>
      <c r="I15" s="30"/>
      <c r="J15" s="30"/>
      <c r="K15" s="41">
        <f t="shared" si="0"/>
        <v>0</v>
      </c>
    </row>
    <row r="16" spans="2:11" hidden="1" x14ac:dyDescent="0.2">
      <c r="B16" s="11">
        <v>1111091</v>
      </c>
      <c r="C16" s="15" t="s">
        <v>19</v>
      </c>
      <c r="D16" s="30"/>
      <c r="E16" s="30"/>
      <c r="F16" s="30"/>
      <c r="G16" s="30"/>
      <c r="H16" s="30"/>
      <c r="I16" s="30"/>
      <c r="J16" s="30"/>
      <c r="K16" s="41">
        <f t="shared" si="0"/>
        <v>0</v>
      </c>
    </row>
    <row r="17" spans="2:11" hidden="1" x14ac:dyDescent="0.2">
      <c r="B17" s="11">
        <v>1111092</v>
      </c>
      <c r="C17" s="15" t="s">
        <v>20</v>
      </c>
      <c r="D17" s="30"/>
      <c r="E17" s="30"/>
      <c r="F17" s="30"/>
      <c r="G17" s="30"/>
      <c r="H17" s="30"/>
      <c r="I17" s="30"/>
      <c r="J17" s="30"/>
      <c r="K17" s="41">
        <f t="shared" si="0"/>
        <v>0</v>
      </c>
    </row>
    <row r="18" spans="2:11" hidden="1" x14ac:dyDescent="0.2">
      <c r="B18" s="11">
        <v>1111093</v>
      </c>
      <c r="C18" s="15" t="s">
        <v>21</v>
      </c>
      <c r="D18" s="30"/>
      <c r="E18" s="30"/>
      <c r="F18" s="30"/>
      <c r="G18" s="30"/>
      <c r="H18" s="30"/>
      <c r="I18" s="30"/>
      <c r="J18" s="30"/>
      <c r="K18" s="41">
        <f t="shared" si="0"/>
        <v>0</v>
      </c>
    </row>
    <row r="19" spans="2:11" hidden="1" x14ac:dyDescent="0.2">
      <c r="B19" s="11">
        <v>1111094</v>
      </c>
      <c r="C19" s="15" t="s">
        <v>22</v>
      </c>
      <c r="D19" s="30"/>
      <c r="E19" s="30"/>
      <c r="F19" s="30"/>
      <c r="G19" s="30"/>
      <c r="H19" s="30"/>
      <c r="I19" s="30"/>
      <c r="J19" s="30"/>
      <c r="K19" s="41">
        <f t="shared" si="0"/>
        <v>0</v>
      </c>
    </row>
    <row r="20" spans="2:11" hidden="1" x14ac:dyDescent="0.2">
      <c r="B20" s="11">
        <v>1111095</v>
      </c>
      <c r="C20" s="15" t="s">
        <v>23</v>
      </c>
      <c r="D20" s="30"/>
      <c r="E20" s="30"/>
      <c r="F20" s="30"/>
      <c r="G20" s="30"/>
      <c r="H20" s="30"/>
      <c r="I20" s="30"/>
      <c r="J20" s="30"/>
      <c r="K20" s="41">
        <f t="shared" si="0"/>
        <v>0</v>
      </c>
    </row>
    <row r="21" spans="2:11" hidden="1" x14ac:dyDescent="0.2">
      <c r="B21" s="11">
        <v>1111096</v>
      </c>
      <c r="C21" s="15" t="s">
        <v>24</v>
      </c>
      <c r="D21" s="30"/>
      <c r="E21" s="30"/>
      <c r="F21" s="30"/>
      <c r="G21" s="30"/>
      <c r="H21" s="30"/>
      <c r="I21" s="30"/>
      <c r="J21" s="30"/>
      <c r="K21" s="41">
        <f t="shared" si="0"/>
        <v>0</v>
      </c>
    </row>
    <row r="22" spans="2:11" hidden="1" x14ac:dyDescent="0.2">
      <c r="B22" s="11">
        <v>1111097</v>
      </c>
      <c r="C22" s="15" t="s">
        <v>25</v>
      </c>
      <c r="D22" s="30"/>
      <c r="E22" s="30"/>
      <c r="F22" s="30"/>
      <c r="G22" s="30"/>
      <c r="H22" s="30"/>
      <c r="I22" s="30"/>
      <c r="J22" s="30"/>
      <c r="K22" s="41">
        <f t="shared" si="0"/>
        <v>0</v>
      </c>
    </row>
    <row r="23" spans="2:11" hidden="1" x14ac:dyDescent="0.2">
      <c r="B23" s="11">
        <v>1111098</v>
      </c>
      <c r="C23" s="15" t="s">
        <v>26</v>
      </c>
      <c r="D23" s="30"/>
      <c r="E23" s="30"/>
      <c r="F23" s="30"/>
      <c r="G23" s="30"/>
      <c r="H23" s="30"/>
      <c r="I23" s="30"/>
      <c r="J23" s="30"/>
      <c r="K23" s="41">
        <f t="shared" si="0"/>
        <v>0</v>
      </c>
    </row>
    <row r="24" spans="2:11" hidden="1" x14ac:dyDescent="0.2">
      <c r="B24" s="11">
        <v>1111043</v>
      </c>
      <c r="C24" s="15" t="s">
        <v>27</v>
      </c>
      <c r="D24" s="30"/>
      <c r="E24" s="30"/>
      <c r="F24" s="30"/>
      <c r="G24" s="30"/>
      <c r="H24" s="30"/>
      <c r="I24" s="30"/>
      <c r="J24" s="30"/>
      <c r="K24" s="41">
        <f t="shared" si="0"/>
        <v>0</v>
      </c>
    </row>
    <row r="25" spans="2:11" x14ac:dyDescent="0.2">
      <c r="B25" s="11">
        <v>1111056</v>
      </c>
      <c r="C25" s="15" t="s">
        <v>28</v>
      </c>
      <c r="D25" s="30">
        <v>4</v>
      </c>
      <c r="E25" s="30">
        <v>1</v>
      </c>
      <c r="F25" s="30"/>
      <c r="G25" s="30">
        <v>1</v>
      </c>
      <c r="H25" s="30"/>
      <c r="I25" s="30"/>
      <c r="J25" s="30"/>
      <c r="K25" s="41">
        <f t="shared" si="0"/>
        <v>6</v>
      </c>
    </row>
    <row r="26" spans="2:11" x14ac:dyDescent="0.2">
      <c r="B26" s="11">
        <v>1004055</v>
      </c>
      <c r="C26" s="15" t="s">
        <v>108</v>
      </c>
      <c r="D26" s="30"/>
      <c r="E26" s="30">
        <v>3</v>
      </c>
      <c r="F26" s="30"/>
      <c r="G26" s="30">
        <v>57</v>
      </c>
      <c r="H26" s="30"/>
      <c r="I26" s="30"/>
      <c r="J26" s="30"/>
      <c r="K26" s="41">
        <f t="shared" si="0"/>
        <v>60</v>
      </c>
    </row>
    <row r="27" spans="2:11" hidden="1" x14ac:dyDescent="0.2">
      <c r="B27" s="11">
        <v>1004055</v>
      </c>
      <c r="C27" s="15" t="s">
        <v>109</v>
      </c>
      <c r="D27" s="30"/>
      <c r="E27" s="30"/>
      <c r="F27" s="30"/>
      <c r="G27" s="30"/>
      <c r="H27" s="30"/>
      <c r="I27" s="30"/>
      <c r="J27" s="30"/>
      <c r="K27" s="41">
        <f t="shared" si="0"/>
        <v>0</v>
      </c>
    </row>
    <row r="28" spans="2:11" hidden="1" x14ac:dyDescent="0.2">
      <c r="B28" s="11">
        <v>1004055</v>
      </c>
      <c r="C28" s="15" t="s">
        <v>110</v>
      </c>
      <c r="D28" s="30"/>
      <c r="E28" s="30"/>
      <c r="F28" s="30"/>
      <c r="G28" s="30"/>
      <c r="H28" s="30"/>
      <c r="I28" s="30"/>
      <c r="J28" s="30"/>
      <c r="K28" s="41">
        <f t="shared" si="0"/>
        <v>0</v>
      </c>
    </row>
    <row r="29" spans="2:11" hidden="1" x14ac:dyDescent="0.2">
      <c r="B29" s="11">
        <v>1004055</v>
      </c>
      <c r="C29" s="15" t="s">
        <v>111</v>
      </c>
      <c r="D29" s="30"/>
      <c r="E29" s="30"/>
      <c r="F29" s="30"/>
      <c r="G29" s="30"/>
      <c r="H29" s="30"/>
      <c r="I29" s="30"/>
      <c r="J29" s="30"/>
      <c r="K29" s="41">
        <f t="shared" si="0"/>
        <v>0</v>
      </c>
    </row>
    <row r="30" spans="2:11" hidden="1" x14ac:dyDescent="0.2">
      <c r="B30" s="11">
        <v>1004055</v>
      </c>
      <c r="C30" s="15" t="s">
        <v>112</v>
      </c>
      <c r="D30" s="30"/>
      <c r="E30" s="30"/>
      <c r="F30" s="30"/>
      <c r="G30" s="30"/>
      <c r="H30" s="30"/>
      <c r="I30" s="30"/>
      <c r="J30" s="30"/>
      <c r="K30" s="41">
        <f t="shared" si="0"/>
        <v>0</v>
      </c>
    </row>
    <row r="31" spans="2:11" hidden="1" x14ac:dyDescent="0.2">
      <c r="B31" s="11">
        <v>1004055</v>
      </c>
      <c r="C31" s="15" t="s">
        <v>113</v>
      </c>
      <c r="D31" s="30"/>
      <c r="E31" s="30"/>
      <c r="F31" s="30"/>
      <c r="G31" s="30"/>
      <c r="H31" s="30"/>
      <c r="I31" s="30"/>
      <c r="J31" s="30"/>
      <c r="K31" s="41">
        <f t="shared" si="0"/>
        <v>0</v>
      </c>
    </row>
    <row r="32" spans="2:11" hidden="1" x14ac:dyDescent="0.2">
      <c r="B32" s="11">
        <v>1004055</v>
      </c>
      <c r="C32" s="15" t="s">
        <v>114</v>
      </c>
      <c r="D32" s="30"/>
      <c r="E32" s="30"/>
      <c r="F32" s="30"/>
      <c r="G32" s="30"/>
      <c r="H32" s="30"/>
      <c r="I32" s="30"/>
      <c r="J32" s="30"/>
      <c r="K32" s="41">
        <f t="shared" si="0"/>
        <v>0</v>
      </c>
    </row>
    <row r="33" spans="2:11" hidden="1" x14ac:dyDescent="0.2">
      <c r="B33" s="11">
        <v>1004055</v>
      </c>
      <c r="C33" s="15" t="s">
        <v>115</v>
      </c>
      <c r="D33" s="30"/>
      <c r="E33" s="30"/>
      <c r="F33" s="30"/>
      <c r="G33" s="30"/>
      <c r="H33" s="30"/>
      <c r="I33" s="30"/>
      <c r="J33" s="30"/>
      <c r="K33" s="41">
        <f t="shared" si="0"/>
        <v>0</v>
      </c>
    </row>
    <row r="34" spans="2:11" hidden="1" x14ac:dyDescent="0.2">
      <c r="B34" s="11">
        <v>1004055</v>
      </c>
      <c r="C34" s="15" t="s">
        <v>29</v>
      </c>
      <c r="D34" s="30"/>
      <c r="E34" s="30"/>
      <c r="F34" s="30"/>
      <c r="G34" s="30"/>
      <c r="H34" s="30"/>
      <c r="I34" s="30"/>
      <c r="J34" s="30"/>
      <c r="K34" s="41">
        <f t="shared" si="0"/>
        <v>0</v>
      </c>
    </row>
    <row r="35" spans="2:11" hidden="1" x14ac:dyDescent="0.2">
      <c r="B35" s="11">
        <v>1004055</v>
      </c>
      <c r="C35" s="15" t="s">
        <v>116</v>
      </c>
      <c r="D35" s="30"/>
      <c r="E35" s="30"/>
      <c r="F35" s="30"/>
      <c r="G35" s="30"/>
      <c r="H35" s="30"/>
      <c r="I35" s="30"/>
      <c r="J35" s="30"/>
      <c r="K35" s="41">
        <f t="shared" si="0"/>
        <v>0</v>
      </c>
    </row>
    <row r="36" spans="2:11" hidden="1" x14ac:dyDescent="0.2">
      <c r="B36" s="11">
        <v>1004055</v>
      </c>
      <c r="C36" s="15" t="s">
        <v>117</v>
      </c>
      <c r="D36" s="30"/>
      <c r="E36" s="30"/>
      <c r="F36" s="30"/>
      <c r="G36" s="30"/>
      <c r="H36" s="30"/>
      <c r="I36" s="30"/>
      <c r="J36" s="30"/>
      <c r="K36" s="41">
        <f t="shared" si="0"/>
        <v>0</v>
      </c>
    </row>
    <row r="37" spans="2:11" hidden="1" x14ac:dyDescent="0.2">
      <c r="B37" s="11">
        <v>1004055</v>
      </c>
      <c r="C37" s="15" t="s">
        <v>118</v>
      </c>
      <c r="D37" s="30"/>
      <c r="E37" s="30"/>
      <c r="F37" s="30"/>
      <c r="G37" s="30"/>
      <c r="H37" s="30"/>
      <c r="I37" s="30"/>
      <c r="J37" s="30"/>
      <c r="K37" s="41">
        <f t="shared" si="0"/>
        <v>0</v>
      </c>
    </row>
    <row r="38" spans="2:11" hidden="1" x14ac:dyDescent="0.2">
      <c r="B38" s="11">
        <v>1004055</v>
      </c>
      <c r="C38" s="15" t="s">
        <v>119</v>
      </c>
      <c r="D38" s="30"/>
      <c r="E38" s="30"/>
      <c r="F38" s="30"/>
      <c r="G38" s="30"/>
      <c r="H38" s="30"/>
      <c r="I38" s="30"/>
      <c r="J38" s="30"/>
      <c r="K38" s="41">
        <f t="shared" si="0"/>
        <v>0</v>
      </c>
    </row>
    <row r="39" spans="2:11" hidden="1" x14ac:dyDescent="0.2">
      <c r="B39" s="11">
        <v>1004055</v>
      </c>
      <c r="C39" s="15" t="s">
        <v>120</v>
      </c>
      <c r="D39" s="30"/>
      <c r="E39" s="30"/>
      <c r="F39" s="30"/>
      <c r="G39" s="30"/>
      <c r="H39" s="30"/>
      <c r="I39" s="30"/>
      <c r="J39" s="30"/>
      <c r="K39" s="41">
        <f t="shared" si="0"/>
        <v>0</v>
      </c>
    </row>
    <row r="40" spans="2:11" x14ac:dyDescent="0.2">
      <c r="B40" s="11">
        <v>1111057</v>
      </c>
      <c r="C40" s="15" t="s">
        <v>30</v>
      </c>
      <c r="D40" s="30">
        <v>1</v>
      </c>
      <c r="E40" s="30"/>
      <c r="F40" s="30"/>
      <c r="G40" s="30">
        <v>32</v>
      </c>
      <c r="H40" s="30"/>
      <c r="I40" s="30"/>
      <c r="J40" s="30">
        <v>1</v>
      </c>
      <c r="K40" s="41">
        <f t="shared" si="0"/>
        <v>34</v>
      </c>
    </row>
    <row r="41" spans="2:11" x14ac:dyDescent="0.2">
      <c r="B41" s="11">
        <v>1111058</v>
      </c>
      <c r="C41" s="15" t="s">
        <v>31</v>
      </c>
      <c r="D41" s="30">
        <v>1</v>
      </c>
      <c r="E41" s="30"/>
      <c r="F41" s="30"/>
      <c r="G41" s="30">
        <v>16</v>
      </c>
      <c r="H41" s="30"/>
      <c r="I41" s="30"/>
      <c r="J41" s="30"/>
      <c r="K41" s="41">
        <f t="shared" si="0"/>
        <v>17</v>
      </c>
    </row>
    <row r="42" spans="2:11" x14ac:dyDescent="0.2">
      <c r="B42" s="11">
        <v>1111059</v>
      </c>
      <c r="C42" s="15" t="s">
        <v>32</v>
      </c>
      <c r="D42" s="30">
        <v>1</v>
      </c>
      <c r="E42" s="30"/>
      <c r="F42" s="30"/>
      <c r="G42" s="30">
        <v>32</v>
      </c>
      <c r="H42" s="30"/>
      <c r="I42" s="30"/>
      <c r="J42" s="30"/>
      <c r="K42" s="41">
        <f t="shared" si="0"/>
        <v>33</v>
      </c>
    </row>
    <row r="43" spans="2:11" x14ac:dyDescent="0.2">
      <c r="B43" s="11">
        <v>1111060</v>
      </c>
      <c r="C43" s="15" t="s">
        <v>33</v>
      </c>
      <c r="D43" s="30"/>
      <c r="E43" s="30"/>
      <c r="F43" s="30"/>
      <c r="G43" s="30"/>
      <c r="H43" s="30"/>
      <c r="I43" s="30"/>
      <c r="J43" s="30"/>
      <c r="K43" s="41">
        <f t="shared" si="0"/>
        <v>0</v>
      </c>
    </row>
    <row r="44" spans="2:11" x14ac:dyDescent="0.2">
      <c r="B44" s="11">
        <v>1111061</v>
      </c>
      <c r="C44" s="15" t="s">
        <v>34</v>
      </c>
      <c r="D44" s="30"/>
      <c r="E44" s="30"/>
      <c r="F44" s="30"/>
      <c r="G44" s="30">
        <v>8</v>
      </c>
      <c r="H44" s="30"/>
      <c r="I44" s="30"/>
      <c r="J44" s="30"/>
      <c r="K44" s="41">
        <f t="shared" si="0"/>
        <v>8</v>
      </c>
    </row>
    <row r="45" spans="2:11" x14ac:dyDescent="0.2">
      <c r="B45" s="11">
        <v>1111062</v>
      </c>
      <c r="C45" s="15" t="s">
        <v>35</v>
      </c>
      <c r="D45" s="30"/>
      <c r="E45" s="30"/>
      <c r="F45" s="30"/>
      <c r="G45" s="30">
        <v>8</v>
      </c>
      <c r="H45" s="30"/>
      <c r="I45" s="30"/>
      <c r="J45" s="30"/>
      <c r="K45" s="41">
        <f t="shared" si="0"/>
        <v>8</v>
      </c>
    </row>
    <row r="46" spans="2:11" x14ac:dyDescent="0.2">
      <c r="B46" s="11">
        <v>1111063</v>
      </c>
      <c r="C46" s="15" t="s">
        <v>36</v>
      </c>
      <c r="D46" s="30"/>
      <c r="E46" s="30"/>
      <c r="F46" s="30"/>
      <c r="G46" s="30">
        <v>12</v>
      </c>
      <c r="H46" s="30"/>
      <c r="I46" s="30"/>
      <c r="J46" s="30"/>
      <c r="K46" s="41">
        <f t="shared" si="0"/>
        <v>12</v>
      </c>
    </row>
    <row r="47" spans="2:11" x14ac:dyDescent="0.2">
      <c r="B47" s="11">
        <v>1111064</v>
      </c>
      <c r="C47" s="15" t="s">
        <v>37</v>
      </c>
      <c r="D47" s="30"/>
      <c r="E47" s="30"/>
      <c r="F47" s="30"/>
      <c r="G47" s="30">
        <v>12</v>
      </c>
      <c r="H47" s="30"/>
      <c r="I47" s="30"/>
      <c r="J47" s="30"/>
      <c r="K47" s="41">
        <f t="shared" si="0"/>
        <v>12</v>
      </c>
    </row>
    <row r="48" spans="2:11" x14ac:dyDescent="0.2">
      <c r="B48" s="11">
        <v>1111065</v>
      </c>
      <c r="C48" s="15" t="s">
        <v>38</v>
      </c>
      <c r="D48" s="30"/>
      <c r="E48" s="30"/>
      <c r="F48" s="30"/>
      <c r="G48" s="30"/>
      <c r="H48" s="30"/>
      <c r="I48" s="30"/>
      <c r="J48" s="30"/>
      <c r="K48" s="41">
        <f t="shared" si="0"/>
        <v>0</v>
      </c>
    </row>
    <row r="49" spans="2:11" x14ac:dyDescent="0.2">
      <c r="B49" s="11">
        <v>1111066</v>
      </c>
      <c r="C49" s="15" t="s">
        <v>39</v>
      </c>
      <c r="D49" s="30"/>
      <c r="E49" s="30"/>
      <c r="F49" s="30"/>
      <c r="G49" s="30">
        <v>12</v>
      </c>
      <c r="H49" s="30"/>
      <c r="I49" s="30"/>
      <c r="J49" s="30"/>
      <c r="K49" s="41">
        <f t="shared" si="0"/>
        <v>12</v>
      </c>
    </row>
    <row r="50" spans="2:11" x14ac:dyDescent="0.2">
      <c r="B50" s="11">
        <v>1111067</v>
      </c>
      <c r="C50" s="15" t="s">
        <v>40</v>
      </c>
      <c r="D50" s="30"/>
      <c r="E50" s="30"/>
      <c r="F50" s="30"/>
      <c r="G50" s="30">
        <v>32</v>
      </c>
      <c r="H50" s="30"/>
      <c r="I50" s="30"/>
      <c r="J50" s="30"/>
      <c r="K50" s="41">
        <f t="shared" si="0"/>
        <v>32</v>
      </c>
    </row>
    <row r="51" spans="2:11" x14ac:dyDescent="0.2">
      <c r="B51" s="11">
        <v>1111068</v>
      </c>
      <c r="C51" s="15" t="s">
        <v>41</v>
      </c>
      <c r="D51" s="30"/>
      <c r="E51" s="30"/>
      <c r="F51" s="30"/>
      <c r="G51" s="30">
        <v>24</v>
      </c>
      <c r="H51" s="30"/>
      <c r="I51" s="30"/>
      <c r="J51" s="30"/>
      <c r="K51" s="41">
        <f t="shared" si="0"/>
        <v>24</v>
      </c>
    </row>
    <row r="52" spans="2:11" x14ac:dyDescent="0.2">
      <c r="B52" s="11">
        <v>1111069</v>
      </c>
      <c r="C52" s="15" t="s">
        <v>42</v>
      </c>
      <c r="D52" s="30"/>
      <c r="E52" s="30"/>
      <c r="F52" s="30"/>
      <c r="G52" s="30">
        <v>12</v>
      </c>
      <c r="H52" s="30"/>
      <c r="I52" s="30"/>
      <c r="J52" s="30"/>
      <c r="K52" s="41">
        <f t="shared" si="0"/>
        <v>12</v>
      </c>
    </row>
    <row r="53" spans="2:11" x14ac:dyDescent="0.2">
      <c r="B53" s="11">
        <v>1111070</v>
      </c>
      <c r="C53" s="15" t="s">
        <v>128</v>
      </c>
      <c r="D53" s="30"/>
      <c r="E53" s="30"/>
      <c r="F53" s="30"/>
      <c r="G53" s="30"/>
      <c r="H53" s="30"/>
      <c r="I53" s="30"/>
      <c r="J53" s="30"/>
      <c r="K53" s="41">
        <f t="shared" si="0"/>
        <v>0</v>
      </c>
    </row>
    <row r="54" spans="2:11" x14ac:dyDescent="0.2">
      <c r="B54" s="11">
        <v>1111071</v>
      </c>
      <c r="C54" s="15" t="s">
        <v>129</v>
      </c>
      <c r="D54" s="30"/>
      <c r="E54" s="30"/>
      <c r="F54" s="30"/>
      <c r="G54" s="30"/>
      <c r="H54" s="30"/>
      <c r="I54" s="30"/>
      <c r="J54" s="30"/>
      <c r="K54" s="41">
        <f t="shared" si="0"/>
        <v>0</v>
      </c>
    </row>
    <row r="55" spans="2:11" hidden="1" x14ac:dyDescent="0.2">
      <c r="B55" s="11">
        <v>1111001</v>
      </c>
      <c r="C55" s="15" t="s">
        <v>43</v>
      </c>
      <c r="D55" s="30"/>
      <c r="E55" s="30"/>
      <c r="F55" s="30"/>
      <c r="G55" s="30"/>
      <c r="H55" s="30"/>
      <c r="I55" s="30"/>
      <c r="J55" s="30"/>
      <c r="K55" s="41">
        <f t="shared" si="0"/>
        <v>0</v>
      </c>
    </row>
    <row r="56" spans="2:11" x14ac:dyDescent="0.2">
      <c r="B56" s="11">
        <v>1111074</v>
      </c>
      <c r="C56" s="15" t="s">
        <v>44</v>
      </c>
      <c r="D56" s="30"/>
      <c r="E56" s="30">
        <v>2</v>
      </c>
      <c r="F56" s="30"/>
      <c r="G56" s="30">
        <v>2</v>
      </c>
      <c r="H56" s="30"/>
      <c r="I56" s="30"/>
      <c r="J56" s="30"/>
      <c r="K56" s="41">
        <f t="shared" si="0"/>
        <v>4</v>
      </c>
    </row>
    <row r="57" spans="2:11" x14ac:dyDescent="0.2">
      <c r="B57" s="11">
        <v>1111075</v>
      </c>
      <c r="C57" s="15" t="s">
        <v>45</v>
      </c>
      <c r="D57" s="30"/>
      <c r="E57" s="30">
        <v>2</v>
      </c>
      <c r="F57" s="30"/>
      <c r="G57" s="30">
        <v>2</v>
      </c>
      <c r="H57" s="30"/>
      <c r="I57" s="30"/>
      <c r="J57" s="30"/>
      <c r="K57" s="41">
        <f t="shared" si="0"/>
        <v>4</v>
      </c>
    </row>
    <row r="58" spans="2:11" x14ac:dyDescent="0.2">
      <c r="B58" s="11">
        <v>1111076</v>
      </c>
      <c r="C58" s="15" t="s">
        <v>46</v>
      </c>
      <c r="D58" s="30"/>
      <c r="E58" s="30">
        <v>2</v>
      </c>
      <c r="F58" s="30"/>
      <c r="G58" s="30">
        <v>2</v>
      </c>
      <c r="H58" s="30"/>
      <c r="I58" s="30"/>
      <c r="J58" s="30"/>
      <c r="K58" s="41">
        <f t="shared" si="0"/>
        <v>4</v>
      </c>
    </row>
    <row r="59" spans="2:11" x14ac:dyDescent="0.2">
      <c r="B59" s="11">
        <v>1111077</v>
      </c>
      <c r="C59" s="15" t="s">
        <v>47</v>
      </c>
      <c r="D59" s="30"/>
      <c r="E59" s="30">
        <v>2</v>
      </c>
      <c r="F59" s="30"/>
      <c r="G59" s="30">
        <v>2</v>
      </c>
      <c r="H59" s="30"/>
      <c r="I59" s="30"/>
      <c r="J59" s="30"/>
      <c r="K59" s="41">
        <f t="shared" si="0"/>
        <v>4</v>
      </c>
    </row>
    <row r="60" spans="2:11" x14ac:dyDescent="0.2">
      <c r="B60" s="11">
        <v>1111078</v>
      </c>
      <c r="C60" s="15" t="s">
        <v>48</v>
      </c>
      <c r="D60" s="30"/>
      <c r="E60" s="30">
        <v>2</v>
      </c>
      <c r="F60" s="30"/>
      <c r="G60" s="30">
        <v>2</v>
      </c>
      <c r="H60" s="30"/>
      <c r="I60" s="30"/>
      <c r="J60" s="30"/>
      <c r="K60" s="41">
        <f t="shared" si="0"/>
        <v>4</v>
      </c>
    </row>
    <row r="61" spans="2:11" x14ac:dyDescent="0.2">
      <c r="B61" s="11">
        <v>1111079</v>
      </c>
      <c r="C61" s="15" t="s">
        <v>49</v>
      </c>
      <c r="D61" s="30"/>
      <c r="E61" s="30">
        <v>2</v>
      </c>
      <c r="F61" s="30"/>
      <c r="G61" s="30">
        <v>2</v>
      </c>
      <c r="H61" s="30"/>
      <c r="I61" s="30"/>
      <c r="J61" s="30"/>
      <c r="K61" s="41">
        <f t="shared" si="0"/>
        <v>4</v>
      </c>
    </row>
    <row r="62" spans="2:11" x14ac:dyDescent="0.2">
      <c r="B62" s="11">
        <v>1111080</v>
      </c>
      <c r="C62" s="15" t="s">
        <v>50</v>
      </c>
      <c r="D62" s="30"/>
      <c r="E62" s="30">
        <v>2</v>
      </c>
      <c r="F62" s="30"/>
      <c r="G62" s="30">
        <v>2</v>
      </c>
      <c r="H62" s="30"/>
      <c r="I62" s="30"/>
      <c r="J62" s="30"/>
      <c r="K62" s="41">
        <f t="shared" si="0"/>
        <v>4</v>
      </c>
    </row>
    <row r="63" spans="2:11" x14ac:dyDescent="0.2">
      <c r="B63" s="11">
        <v>1111081</v>
      </c>
      <c r="C63" s="15" t="s">
        <v>51</v>
      </c>
      <c r="D63" s="30"/>
      <c r="E63" s="30">
        <v>2</v>
      </c>
      <c r="F63" s="30"/>
      <c r="G63" s="30">
        <v>1</v>
      </c>
      <c r="H63" s="30"/>
      <c r="I63" s="30"/>
      <c r="J63" s="30"/>
      <c r="K63" s="41">
        <f t="shared" si="0"/>
        <v>3</v>
      </c>
    </row>
    <row r="64" spans="2:11" x14ac:dyDescent="0.2">
      <c r="B64" s="11">
        <v>1111082</v>
      </c>
      <c r="C64" s="15" t="s">
        <v>52</v>
      </c>
      <c r="D64" s="30"/>
      <c r="E64" s="30">
        <v>2</v>
      </c>
      <c r="F64" s="30"/>
      <c r="G64" s="30">
        <v>1</v>
      </c>
      <c r="H64" s="30"/>
      <c r="I64" s="30"/>
      <c r="J64" s="30"/>
      <c r="K64" s="41">
        <f t="shared" si="0"/>
        <v>3</v>
      </c>
    </row>
    <row r="65" spans="2:11" x14ac:dyDescent="0.2">
      <c r="B65" s="11">
        <v>1111083</v>
      </c>
      <c r="C65" s="15" t="s">
        <v>53</v>
      </c>
      <c r="D65" s="30"/>
      <c r="E65" s="30">
        <v>2</v>
      </c>
      <c r="F65" s="30"/>
      <c r="G65" s="30">
        <v>1</v>
      </c>
      <c r="H65" s="30"/>
      <c r="I65" s="30"/>
      <c r="J65" s="30"/>
      <c r="K65" s="41">
        <f t="shared" si="0"/>
        <v>3</v>
      </c>
    </row>
    <row r="66" spans="2:11" x14ac:dyDescent="0.2">
      <c r="B66" s="11">
        <v>1111010</v>
      </c>
      <c r="C66" s="15" t="s">
        <v>54</v>
      </c>
      <c r="D66" s="30"/>
      <c r="E66" s="30"/>
      <c r="F66" s="30"/>
      <c r="G66" s="30"/>
      <c r="H66" s="30"/>
      <c r="I66" s="30"/>
      <c r="J66" s="30"/>
      <c r="K66" s="41">
        <f t="shared" si="0"/>
        <v>0</v>
      </c>
    </row>
    <row r="67" spans="2:11" x14ac:dyDescent="0.2">
      <c r="B67" s="17"/>
      <c r="C67" s="17" t="s">
        <v>1</v>
      </c>
      <c r="D67" s="18"/>
      <c r="E67" s="18"/>
      <c r="F67" s="18"/>
      <c r="G67" s="18"/>
      <c r="H67" s="18"/>
      <c r="I67" s="18"/>
      <c r="J67" s="18"/>
      <c r="K67" s="41">
        <f t="shared" ref="K67" si="1">SUM(D67:I67)</f>
        <v>0</v>
      </c>
    </row>
    <row r="68" spans="2:11" ht="19.5" x14ac:dyDescent="0.2">
      <c r="B68" s="53" t="s">
        <v>55</v>
      </c>
      <c r="C68" s="53"/>
      <c r="D68" s="53"/>
      <c r="E68" s="53"/>
      <c r="F68" s="53"/>
      <c r="G68" s="53"/>
      <c r="H68" s="53"/>
      <c r="I68" s="53"/>
      <c r="J68" s="53"/>
      <c r="K68" s="53"/>
    </row>
    <row r="69" spans="2:11" x14ac:dyDescent="0.2">
      <c r="B69" s="11">
        <v>1111009</v>
      </c>
      <c r="C69" s="19" t="s">
        <v>56</v>
      </c>
      <c r="D69" s="30">
        <v>4</v>
      </c>
      <c r="E69" s="30"/>
      <c r="F69" s="30"/>
      <c r="G69" s="30">
        <v>1</v>
      </c>
      <c r="H69" s="30"/>
      <c r="I69" s="30"/>
      <c r="J69" s="30"/>
      <c r="K69" s="41">
        <f>SUM(D69:J69)</f>
        <v>5</v>
      </c>
    </row>
    <row r="70" spans="2:11" x14ac:dyDescent="0.2">
      <c r="B70" s="11">
        <v>1111023</v>
      </c>
      <c r="C70" s="19" t="s">
        <v>57</v>
      </c>
      <c r="D70" s="30"/>
      <c r="E70" s="30"/>
      <c r="F70" s="30"/>
      <c r="G70" s="30"/>
      <c r="H70" s="30"/>
      <c r="I70" s="30"/>
      <c r="J70" s="30"/>
      <c r="K70" s="41">
        <f t="shared" ref="K70:K76" si="2">SUM(D70:J70)</f>
        <v>0</v>
      </c>
    </row>
    <row r="71" spans="2:11" x14ac:dyDescent="0.2">
      <c r="B71" s="11">
        <v>1111016</v>
      </c>
      <c r="C71" s="19" t="s">
        <v>58</v>
      </c>
      <c r="D71" s="30"/>
      <c r="E71" s="30"/>
      <c r="F71" s="30"/>
      <c r="G71" s="30"/>
      <c r="H71" s="30"/>
      <c r="I71" s="30"/>
      <c r="J71" s="30"/>
      <c r="K71" s="41">
        <f t="shared" si="2"/>
        <v>0</v>
      </c>
    </row>
    <row r="72" spans="2:11" x14ac:dyDescent="0.2">
      <c r="B72" s="11">
        <v>1111014</v>
      </c>
      <c r="C72" s="19" t="s">
        <v>59</v>
      </c>
      <c r="D72" s="30"/>
      <c r="E72" s="30"/>
      <c r="F72" s="30"/>
      <c r="G72" s="30"/>
      <c r="H72" s="30"/>
      <c r="I72" s="30"/>
      <c r="J72" s="30"/>
      <c r="K72" s="41">
        <f t="shared" si="2"/>
        <v>0</v>
      </c>
    </row>
    <row r="73" spans="2:11" x14ac:dyDescent="0.2">
      <c r="B73" s="11">
        <v>1111025</v>
      </c>
      <c r="C73" s="19" t="s">
        <v>60</v>
      </c>
      <c r="D73" s="30"/>
      <c r="E73" s="30"/>
      <c r="F73" s="30"/>
      <c r="G73" s="30"/>
      <c r="H73" s="30"/>
      <c r="I73" s="30"/>
      <c r="J73" s="30"/>
      <c r="K73" s="41">
        <f t="shared" si="2"/>
        <v>0</v>
      </c>
    </row>
    <row r="74" spans="2:11" x14ac:dyDescent="0.2">
      <c r="B74" s="11">
        <v>1111018</v>
      </c>
      <c r="C74" s="19" t="s">
        <v>61</v>
      </c>
      <c r="D74" s="30"/>
      <c r="E74" s="30"/>
      <c r="F74" s="30"/>
      <c r="G74" s="30"/>
      <c r="H74" s="30"/>
      <c r="I74" s="30"/>
      <c r="J74" s="30"/>
      <c r="K74" s="41">
        <f t="shared" si="2"/>
        <v>0</v>
      </c>
    </row>
    <row r="75" spans="2:11" x14ac:dyDescent="0.2">
      <c r="B75" s="11">
        <v>1111012</v>
      </c>
      <c r="C75" s="19" t="s">
        <v>62</v>
      </c>
      <c r="D75" s="30"/>
      <c r="E75" s="30"/>
      <c r="F75" s="30"/>
      <c r="G75" s="30"/>
      <c r="H75" s="30"/>
      <c r="I75" s="30"/>
      <c r="J75" s="30"/>
      <c r="K75" s="41">
        <f t="shared" si="2"/>
        <v>0</v>
      </c>
    </row>
    <row r="76" spans="2:11" x14ac:dyDescent="0.2">
      <c r="B76" s="11">
        <v>1111020</v>
      </c>
      <c r="C76" s="19" t="s">
        <v>63</v>
      </c>
      <c r="D76" s="30"/>
      <c r="E76" s="30"/>
      <c r="F76" s="30"/>
      <c r="G76" s="30"/>
      <c r="H76" s="30"/>
      <c r="I76" s="30"/>
      <c r="J76" s="30"/>
      <c r="K76" s="41">
        <f t="shared" si="2"/>
        <v>0</v>
      </c>
    </row>
    <row r="77" spans="2:11" x14ac:dyDescent="0.2">
      <c r="B77" s="18"/>
      <c r="C77" s="18" t="s">
        <v>1</v>
      </c>
      <c r="D77" s="18"/>
      <c r="E77" s="18"/>
      <c r="F77" s="18"/>
      <c r="G77" s="18"/>
      <c r="H77" s="18"/>
      <c r="I77" s="18"/>
      <c r="J77" s="18"/>
      <c r="K77" s="47"/>
    </row>
    <row r="78" spans="2:11" ht="19.5" x14ac:dyDescent="0.2">
      <c r="B78" s="53" t="s">
        <v>64</v>
      </c>
      <c r="C78" s="53"/>
      <c r="D78" s="53"/>
      <c r="E78" s="53"/>
      <c r="F78" s="53"/>
      <c r="G78" s="53"/>
      <c r="H78" s="53"/>
      <c r="I78" s="53"/>
      <c r="J78" s="53"/>
      <c r="K78" s="53"/>
    </row>
    <row r="79" spans="2:11" x14ac:dyDescent="0.2">
      <c r="B79" s="11">
        <v>1111022</v>
      </c>
      <c r="C79" s="19" t="s">
        <v>65</v>
      </c>
      <c r="D79" s="30"/>
      <c r="E79" s="30"/>
      <c r="F79" s="30"/>
      <c r="G79" s="30"/>
      <c r="H79" s="30"/>
      <c r="I79" s="30"/>
      <c r="J79" s="30"/>
      <c r="K79" s="41">
        <f>SUM(D79:J79)</f>
        <v>0</v>
      </c>
    </row>
    <row r="80" spans="2:11" x14ac:dyDescent="0.2">
      <c r="B80" s="11">
        <v>1111015</v>
      </c>
      <c r="C80" s="19" t="s">
        <v>66</v>
      </c>
      <c r="D80" s="30"/>
      <c r="E80" s="30"/>
      <c r="F80" s="30"/>
      <c r="G80" s="30"/>
      <c r="H80" s="30"/>
      <c r="I80" s="30"/>
      <c r="J80" s="30"/>
      <c r="K80" s="41">
        <f t="shared" ref="K80:K87" si="3">SUM(D80:J80)</f>
        <v>0</v>
      </c>
    </row>
    <row r="81" spans="2:11" x14ac:dyDescent="0.2">
      <c r="B81" s="11">
        <v>1111013</v>
      </c>
      <c r="C81" s="19" t="s">
        <v>67</v>
      </c>
      <c r="D81" s="30"/>
      <c r="E81" s="30"/>
      <c r="F81" s="30"/>
      <c r="G81" s="30"/>
      <c r="H81" s="30"/>
      <c r="I81" s="30"/>
      <c r="J81" s="30"/>
      <c r="K81" s="41">
        <f t="shared" si="3"/>
        <v>0</v>
      </c>
    </row>
    <row r="82" spans="2:11" x14ac:dyDescent="0.2">
      <c r="B82" s="11">
        <v>1111024</v>
      </c>
      <c r="C82" s="19" t="s">
        <v>68</v>
      </c>
      <c r="D82" s="30"/>
      <c r="E82" s="30"/>
      <c r="F82" s="30"/>
      <c r="G82" s="30"/>
      <c r="H82" s="30"/>
      <c r="I82" s="30"/>
      <c r="J82" s="30"/>
      <c r="K82" s="41">
        <f t="shared" si="3"/>
        <v>0</v>
      </c>
    </row>
    <row r="83" spans="2:11" x14ac:dyDescent="0.2">
      <c r="B83" s="11">
        <v>1111017</v>
      </c>
      <c r="C83" s="19" t="s">
        <v>69</v>
      </c>
      <c r="D83" s="30"/>
      <c r="E83" s="30"/>
      <c r="F83" s="30"/>
      <c r="G83" s="30"/>
      <c r="H83" s="30"/>
      <c r="I83" s="30"/>
      <c r="J83" s="30"/>
      <c r="K83" s="41">
        <f t="shared" si="3"/>
        <v>0</v>
      </c>
    </row>
    <row r="84" spans="2:11" x14ac:dyDescent="0.2">
      <c r="B84" s="11">
        <v>1111011</v>
      </c>
      <c r="C84" s="19" t="s">
        <v>70</v>
      </c>
      <c r="D84" s="30"/>
      <c r="E84" s="30"/>
      <c r="F84" s="30"/>
      <c r="G84" s="30"/>
      <c r="H84" s="30"/>
      <c r="I84" s="30"/>
      <c r="J84" s="30"/>
      <c r="K84" s="41">
        <f t="shared" si="3"/>
        <v>0</v>
      </c>
    </row>
    <row r="85" spans="2:11" x14ac:dyDescent="0.2">
      <c r="B85" s="11">
        <v>1111019</v>
      </c>
      <c r="C85" s="19" t="s">
        <v>71</v>
      </c>
      <c r="D85" s="30"/>
      <c r="E85" s="30"/>
      <c r="F85" s="30"/>
      <c r="G85" s="30"/>
      <c r="H85" s="30"/>
      <c r="I85" s="30"/>
      <c r="J85" s="30"/>
      <c r="K85" s="41">
        <f t="shared" si="3"/>
        <v>0</v>
      </c>
    </row>
    <row r="86" spans="2:11" x14ac:dyDescent="0.2">
      <c r="B86" s="11">
        <v>1113081</v>
      </c>
      <c r="C86" s="19" t="s">
        <v>72</v>
      </c>
      <c r="D86" s="30"/>
      <c r="E86" s="30"/>
      <c r="F86" s="30"/>
      <c r="G86" s="30"/>
      <c r="H86" s="30"/>
      <c r="I86" s="30"/>
      <c r="J86" s="30"/>
      <c r="K86" s="41">
        <f t="shared" si="3"/>
        <v>0</v>
      </c>
    </row>
    <row r="87" spans="2:11" x14ac:dyDescent="0.2">
      <c r="B87" s="11">
        <v>1111008</v>
      </c>
      <c r="C87" s="19" t="s">
        <v>73</v>
      </c>
      <c r="D87" s="30">
        <v>6</v>
      </c>
      <c r="E87" s="30">
        <v>33</v>
      </c>
      <c r="F87" s="30"/>
      <c r="G87" s="30">
        <v>24</v>
      </c>
      <c r="H87" s="30"/>
      <c r="I87" s="30"/>
      <c r="J87" s="30"/>
      <c r="K87" s="41">
        <f t="shared" si="3"/>
        <v>63</v>
      </c>
    </row>
    <row r="88" spans="2:11" x14ac:dyDescent="0.2">
      <c r="B88" s="18"/>
      <c r="C88" s="18" t="s">
        <v>1</v>
      </c>
      <c r="D88" s="18"/>
      <c r="E88" s="18"/>
      <c r="F88" s="18"/>
      <c r="G88" s="18"/>
      <c r="H88" s="18"/>
      <c r="I88" s="18"/>
      <c r="J88" s="18"/>
      <c r="K88" s="47"/>
    </row>
    <row r="89" spans="2:11" ht="19.5" x14ac:dyDescent="0.2">
      <c r="B89" s="53" t="s">
        <v>74</v>
      </c>
      <c r="C89" s="53"/>
      <c r="D89" s="53"/>
      <c r="E89" s="53"/>
      <c r="F89" s="53"/>
      <c r="G89" s="53"/>
      <c r="H89" s="53"/>
      <c r="I89" s="53"/>
      <c r="J89" s="53"/>
      <c r="K89" s="53"/>
    </row>
    <row r="90" spans="2:11" x14ac:dyDescent="0.2">
      <c r="B90" s="11">
        <v>1112009</v>
      </c>
      <c r="C90" s="19" t="s">
        <v>75</v>
      </c>
      <c r="D90" s="30">
        <v>9</v>
      </c>
      <c r="E90" s="30">
        <v>1</v>
      </c>
      <c r="F90" s="30">
        <v>5</v>
      </c>
      <c r="G90" s="30">
        <v>11</v>
      </c>
      <c r="H90" s="30"/>
      <c r="I90" s="30"/>
      <c r="J90" s="30"/>
      <c r="K90" s="41">
        <f>SUM(D90:J90)</f>
        <v>26</v>
      </c>
    </row>
    <row r="91" spans="2:11" x14ac:dyDescent="0.2">
      <c r="B91" s="11">
        <v>1112011</v>
      </c>
      <c r="C91" s="19" t="s">
        <v>76</v>
      </c>
      <c r="D91" s="30">
        <v>9</v>
      </c>
      <c r="E91" s="30">
        <v>2</v>
      </c>
      <c r="F91" s="30">
        <v>13</v>
      </c>
      <c r="G91" s="30">
        <v>16</v>
      </c>
      <c r="H91" s="30"/>
      <c r="I91" s="30"/>
      <c r="J91" s="30"/>
      <c r="K91" s="41">
        <f t="shared" ref="K91:K99" si="4">SUM(D91:J91)</f>
        <v>40</v>
      </c>
    </row>
    <row r="92" spans="2:11" x14ac:dyDescent="0.2">
      <c r="B92" s="11">
        <v>1112003</v>
      </c>
      <c r="C92" s="19" t="s">
        <v>77</v>
      </c>
      <c r="D92" s="30"/>
      <c r="E92" s="30"/>
      <c r="F92" s="30"/>
      <c r="G92" s="30"/>
      <c r="H92" s="30"/>
      <c r="I92" s="30"/>
      <c r="J92" s="30"/>
      <c r="K92" s="41">
        <f t="shared" si="4"/>
        <v>0</v>
      </c>
    </row>
    <row r="93" spans="2:11" x14ac:dyDescent="0.2">
      <c r="B93" s="11">
        <v>1112005</v>
      </c>
      <c r="C93" s="19" t="s">
        <v>78</v>
      </c>
      <c r="D93" s="30"/>
      <c r="E93" s="30"/>
      <c r="F93" s="30"/>
      <c r="G93" s="30"/>
      <c r="H93" s="30"/>
      <c r="I93" s="30"/>
      <c r="J93" s="30"/>
      <c r="K93" s="41">
        <f t="shared" si="4"/>
        <v>0</v>
      </c>
    </row>
    <row r="94" spans="2:11" x14ac:dyDescent="0.2">
      <c r="B94" s="11">
        <v>1112007</v>
      </c>
      <c r="C94" s="19" t="s">
        <v>79</v>
      </c>
      <c r="D94" s="30"/>
      <c r="E94" s="30"/>
      <c r="F94" s="30"/>
      <c r="G94" s="30"/>
      <c r="H94" s="30"/>
      <c r="I94" s="30"/>
      <c r="J94" s="30"/>
      <c r="K94" s="41">
        <f t="shared" si="4"/>
        <v>0</v>
      </c>
    </row>
    <row r="95" spans="2:11" x14ac:dyDescent="0.2">
      <c r="B95" s="11">
        <v>1112019</v>
      </c>
      <c r="C95" s="19" t="s">
        <v>80</v>
      </c>
      <c r="D95" s="30"/>
      <c r="E95" s="30"/>
      <c r="F95" s="30"/>
      <c r="G95" s="30"/>
      <c r="H95" s="30"/>
      <c r="I95" s="30"/>
      <c r="J95" s="30"/>
      <c r="K95" s="41">
        <f t="shared" si="4"/>
        <v>0</v>
      </c>
    </row>
    <row r="96" spans="2:11" x14ac:dyDescent="0.2">
      <c r="B96" s="11">
        <v>1112017</v>
      </c>
      <c r="C96" s="19" t="s">
        <v>81</v>
      </c>
      <c r="D96" s="30">
        <v>6</v>
      </c>
      <c r="E96" s="30"/>
      <c r="F96" s="30"/>
      <c r="G96" s="30">
        <v>5</v>
      </c>
      <c r="H96" s="30"/>
      <c r="I96" s="30"/>
      <c r="J96" s="30"/>
      <c r="K96" s="41">
        <f t="shared" si="4"/>
        <v>11</v>
      </c>
    </row>
    <row r="97" spans="2:11" x14ac:dyDescent="0.2">
      <c r="B97" s="11">
        <v>1112015</v>
      </c>
      <c r="C97" s="19" t="s">
        <v>82</v>
      </c>
      <c r="D97" s="30"/>
      <c r="E97" s="30"/>
      <c r="F97" s="30"/>
      <c r="G97" s="30"/>
      <c r="H97" s="30"/>
      <c r="I97" s="30"/>
      <c r="J97" s="30"/>
      <c r="K97" s="41">
        <f t="shared" si="4"/>
        <v>0</v>
      </c>
    </row>
    <row r="98" spans="2:11" x14ac:dyDescent="0.2">
      <c r="B98" s="11">
        <v>1112013</v>
      </c>
      <c r="C98" s="19" t="s">
        <v>83</v>
      </c>
      <c r="D98" s="30">
        <v>6</v>
      </c>
      <c r="E98" s="30">
        <v>1</v>
      </c>
      <c r="F98" s="30">
        <v>5</v>
      </c>
      <c r="G98" s="30">
        <v>16</v>
      </c>
      <c r="H98" s="30"/>
      <c r="I98" s="30"/>
      <c r="J98" s="30"/>
      <c r="K98" s="41">
        <f t="shared" si="4"/>
        <v>28</v>
      </c>
    </row>
    <row r="99" spans="2:11" x14ac:dyDescent="0.2">
      <c r="B99" s="11">
        <v>1124043</v>
      </c>
      <c r="C99" s="19" t="s">
        <v>84</v>
      </c>
      <c r="D99" s="30"/>
      <c r="E99" s="30"/>
      <c r="F99" s="30"/>
      <c r="G99" s="30"/>
      <c r="H99" s="30"/>
      <c r="I99" s="30"/>
      <c r="J99" s="30"/>
      <c r="K99" s="41">
        <f t="shared" si="4"/>
        <v>0</v>
      </c>
    </row>
    <row r="100" spans="2:11" x14ac:dyDescent="0.2">
      <c r="B100" s="18"/>
      <c r="C100" s="18" t="s">
        <v>1</v>
      </c>
      <c r="D100" s="18"/>
      <c r="E100" s="18"/>
      <c r="F100" s="18"/>
      <c r="G100" s="18"/>
      <c r="H100" s="18"/>
      <c r="I100" s="18"/>
      <c r="J100" s="18"/>
      <c r="K100" s="41"/>
    </row>
    <row r="101" spans="2:11" ht="19.5" x14ac:dyDescent="0.2">
      <c r="B101" s="53" t="s">
        <v>85</v>
      </c>
      <c r="C101" s="53"/>
      <c r="D101" s="53"/>
      <c r="E101" s="53"/>
      <c r="F101" s="53"/>
      <c r="G101" s="53"/>
      <c r="H101" s="53"/>
      <c r="I101" s="53"/>
      <c r="J101" s="53"/>
      <c r="K101" s="53"/>
    </row>
    <row r="102" spans="2:11" x14ac:dyDescent="0.2">
      <c r="B102" s="11">
        <v>1112008</v>
      </c>
      <c r="C102" s="19" t="s">
        <v>75</v>
      </c>
      <c r="D102" s="30"/>
      <c r="E102" s="30"/>
      <c r="F102" s="30"/>
      <c r="G102" s="30"/>
      <c r="H102" s="30"/>
      <c r="I102" s="30"/>
      <c r="J102" s="30"/>
      <c r="K102" s="41">
        <f>SUM(D102:H102)</f>
        <v>0</v>
      </c>
    </row>
    <row r="103" spans="2:11" x14ac:dyDescent="0.2">
      <c r="B103" s="11">
        <v>1112010</v>
      </c>
      <c r="C103" s="19" t="s">
        <v>76</v>
      </c>
      <c r="D103" s="30"/>
      <c r="E103" s="30"/>
      <c r="F103" s="30"/>
      <c r="G103" s="30"/>
      <c r="H103" s="30"/>
      <c r="I103" s="30"/>
      <c r="J103" s="30"/>
      <c r="K103" s="41">
        <f t="shared" ref="K103:K111" si="5">SUM(D103:H103)</f>
        <v>0</v>
      </c>
    </row>
    <row r="104" spans="2:11" x14ac:dyDescent="0.2">
      <c r="B104" s="11">
        <v>1112002</v>
      </c>
      <c r="C104" s="19" t="s">
        <v>77</v>
      </c>
      <c r="D104" s="30"/>
      <c r="E104" s="30"/>
      <c r="F104" s="30"/>
      <c r="G104" s="30"/>
      <c r="H104" s="30"/>
      <c r="I104" s="30"/>
      <c r="J104" s="30"/>
      <c r="K104" s="41">
        <f t="shared" si="5"/>
        <v>0</v>
      </c>
    </row>
    <row r="105" spans="2:11" x14ac:dyDescent="0.2">
      <c r="B105" s="11">
        <v>1112004</v>
      </c>
      <c r="C105" s="19" t="s">
        <v>78</v>
      </c>
      <c r="D105" s="30"/>
      <c r="E105" s="30"/>
      <c r="F105" s="30"/>
      <c r="G105" s="30"/>
      <c r="H105" s="30"/>
      <c r="I105" s="30"/>
      <c r="J105" s="30"/>
      <c r="K105" s="41">
        <f t="shared" si="5"/>
        <v>0</v>
      </c>
    </row>
    <row r="106" spans="2:11" x14ac:dyDescent="0.2">
      <c r="B106" s="11">
        <v>1112006</v>
      </c>
      <c r="C106" s="19" t="s">
        <v>79</v>
      </c>
      <c r="D106" s="30"/>
      <c r="E106" s="30"/>
      <c r="F106" s="30"/>
      <c r="G106" s="30"/>
      <c r="H106" s="30"/>
      <c r="I106" s="30"/>
      <c r="J106" s="30"/>
      <c r="K106" s="41">
        <f t="shared" si="5"/>
        <v>0</v>
      </c>
    </row>
    <row r="107" spans="2:11" x14ac:dyDescent="0.2">
      <c r="B107" s="11">
        <v>1112018</v>
      </c>
      <c r="C107" s="19" t="s">
        <v>80</v>
      </c>
      <c r="D107" s="30"/>
      <c r="E107" s="30"/>
      <c r="F107" s="30"/>
      <c r="G107" s="30"/>
      <c r="H107" s="30"/>
      <c r="I107" s="30"/>
      <c r="J107" s="30"/>
      <c r="K107" s="41">
        <f t="shared" si="5"/>
        <v>0</v>
      </c>
    </row>
    <row r="108" spans="2:11" x14ac:dyDescent="0.2">
      <c r="B108" s="11">
        <v>1112016</v>
      </c>
      <c r="C108" s="19" t="s">
        <v>81</v>
      </c>
      <c r="D108" s="30"/>
      <c r="E108" s="30"/>
      <c r="F108" s="30"/>
      <c r="G108" s="30"/>
      <c r="H108" s="30"/>
      <c r="I108" s="30"/>
      <c r="J108" s="30"/>
      <c r="K108" s="41">
        <f t="shared" si="5"/>
        <v>0</v>
      </c>
    </row>
    <row r="109" spans="2:11" x14ac:dyDescent="0.2">
      <c r="B109" s="11">
        <v>1112014</v>
      </c>
      <c r="C109" s="19" t="s">
        <v>82</v>
      </c>
      <c r="D109" s="30"/>
      <c r="E109" s="30"/>
      <c r="F109" s="30"/>
      <c r="G109" s="30"/>
      <c r="H109" s="30"/>
      <c r="I109" s="30"/>
      <c r="J109" s="30"/>
      <c r="K109" s="41">
        <f t="shared" si="5"/>
        <v>0</v>
      </c>
    </row>
    <row r="110" spans="2:11" x14ac:dyDescent="0.2">
      <c r="B110" s="11">
        <v>1112012</v>
      </c>
      <c r="C110" s="19" t="s">
        <v>83</v>
      </c>
      <c r="D110" s="30"/>
      <c r="E110" s="30"/>
      <c r="F110" s="30"/>
      <c r="G110" s="30"/>
      <c r="H110" s="30"/>
      <c r="I110" s="30"/>
      <c r="J110" s="30"/>
      <c r="K110" s="41">
        <f t="shared" si="5"/>
        <v>0</v>
      </c>
    </row>
    <row r="111" spans="2:11" x14ac:dyDescent="0.2">
      <c r="B111" s="11"/>
      <c r="C111" s="19" t="s">
        <v>84</v>
      </c>
      <c r="D111" s="30"/>
      <c r="E111" s="30"/>
      <c r="F111" s="30"/>
      <c r="G111" s="30"/>
      <c r="H111" s="30"/>
      <c r="I111" s="30"/>
      <c r="J111" s="30"/>
      <c r="K111" s="41">
        <f t="shared" si="5"/>
        <v>0</v>
      </c>
    </row>
    <row r="112" spans="2:11" x14ac:dyDescent="0.2">
      <c r="B112" s="18"/>
      <c r="C112" s="18" t="s">
        <v>1</v>
      </c>
      <c r="D112" s="18"/>
      <c r="E112" s="18"/>
      <c r="F112" s="18"/>
      <c r="G112" s="18"/>
      <c r="H112" s="18"/>
      <c r="I112" s="18"/>
      <c r="J112" s="18"/>
      <c r="K112" s="46">
        <f>SUM(K102:K110)</f>
        <v>0</v>
      </c>
    </row>
    <row r="113" spans="2:11" ht="19.5" x14ac:dyDescent="0.2">
      <c r="B113" s="53" t="s">
        <v>86</v>
      </c>
      <c r="C113" s="53"/>
      <c r="D113" s="53"/>
      <c r="E113" s="53"/>
      <c r="F113" s="53"/>
      <c r="G113" s="53"/>
      <c r="H113" s="53"/>
      <c r="I113" s="53"/>
      <c r="J113" s="53"/>
      <c r="K113" s="53"/>
    </row>
    <row r="114" spans="2:11" x14ac:dyDescent="0.2">
      <c r="B114" s="11">
        <v>1113170</v>
      </c>
      <c r="C114" s="21" t="s">
        <v>87</v>
      </c>
      <c r="D114" s="30"/>
      <c r="E114" s="30"/>
      <c r="F114" s="30"/>
      <c r="G114" s="30"/>
      <c r="H114" s="30"/>
      <c r="I114" s="30"/>
      <c r="J114" s="30"/>
      <c r="K114" s="41">
        <f>SUM(D114:J114)</f>
        <v>0</v>
      </c>
    </row>
    <row r="115" spans="2:11" x14ac:dyDescent="0.2">
      <c r="B115" s="11">
        <v>1113171</v>
      </c>
      <c r="C115" s="21" t="s">
        <v>88</v>
      </c>
      <c r="D115" s="30"/>
      <c r="E115" s="30"/>
      <c r="F115" s="30"/>
      <c r="G115" s="30"/>
      <c r="H115" s="30"/>
      <c r="I115" s="30"/>
      <c r="J115" s="30"/>
      <c r="K115" s="41">
        <f t="shared" ref="K115:K137" si="6">SUM(D115:J115)</f>
        <v>0</v>
      </c>
    </row>
    <row r="116" spans="2:11" x14ac:dyDescent="0.2">
      <c r="B116" s="11">
        <v>1113172</v>
      </c>
      <c r="C116" s="21" t="s">
        <v>89</v>
      </c>
      <c r="D116" s="30"/>
      <c r="E116" s="30"/>
      <c r="F116" s="30"/>
      <c r="G116" s="30"/>
      <c r="H116" s="30"/>
      <c r="I116" s="30"/>
      <c r="J116" s="30"/>
      <c r="K116" s="41">
        <f t="shared" si="6"/>
        <v>0</v>
      </c>
    </row>
    <row r="117" spans="2:11" x14ac:dyDescent="0.2">
      <c r="B117" s="11">
        <v>1113173</v>
      </c>
      <c r="C117" s="21" t="s">
        <v>90</v>
      </c>
      <c r="D117" s="30"/>
      <c r="E117" s="30"/>
      <c r="F117" s="30"/>
      <c r="G117" s="30"/>
      <c r="H117" s="30"/>
      <c r="I117" s="30"/>
      <c r="J117" s="30"/>
      <c r="K117" s="41">
        <f t="shared" si="6"/>
        <v>0</v>
      </c>
    </row>
    <row r="118" spans="2:11" x14ac:dyDescent="0.2">
      <c r="B118" s="11">
        <v>1100003</v>
      </c>
      <c r="C118" s="21" t="s">
        <v>121</v>
      </c>
      <c r="D118" s="30"/>
      <c r="E118" s="30">
        <v>1</v>
      </c>
      <c r="F118" s="30"/>
      <c r="G118" s="30"/>
      <c r="H118" s="30"/>
      <c r="I118" s="30"/>
      <c r="J118" s="30"/>
      <c r="K118" s="41">
        <f t="shared" si="6"/>
        <v>1</v>
      </c>
    </row>
    <row r="119" spans="2:11" x14ac:dyDescent="0.2">
      <c r="B119" s="11">
        <v>1100001</v>
      </c>
      <c r="C119" s="21" t="s">
        <v>122</v>
      </c>
      <c r="D119" s="30"/>
      <c r="E119" s="30"/>
      <c r="F119" s="30"/>
      <c r="G119" s="30"/>
      <c r="H119" s="30"/>
      <c r="I119" s="30"/>
      <c r="J119" s="30"/>
      <c r="K119" s="41">
        <f t="shared" si="6"/>
        <v>0</v>
      </c>
    </row>
    <row r="120" spans="2:11" x14ac:dyDescent="0.2">
      <c r="B120" s="11">
        <v>1100002</v>
      </c>
      <c r="C120" s="21" t="s">
        <v>123</v>
      </c>
      <c r="D120" s="30"/>
      <c r="E120" s="30"/>
      <c r="F120" s="30"/>
      <c r="G120" s="30"/>
      <c r="H120" s="30"/>
      <c r="I120" s="30"/>
      <c r="J120" s="30"/>
      <c r="K120" s="41">
        <f t="shared" si="6"/>
        <v>0</v>
      </c>
    </row>
    <row r="121" spans="2:11" x14ac:dyDescent="0.2">
      <c r="B121" s="11">
        <v>1200001</v>
      </c>
      <c r="C121" s="21" t="s">
        <v>93</v>
      </c>
      <c r="D121" s="30"/>
      <c r="E121" s="30">
        <v>1</v>
      </c>
      <c r="F121" s="30"/>
      <c r="G121" s="30"/>
      <c r="H121" s="30"/>
      <c r="I121" s="30"/>
      <c r="J121" s="30"/>
      <c r="K121" s="41">
        <f t="shared" si="6"/>
        <v>1</v>
      </c>
    </row>
    <row r="122" spans="2:11" x14ac:dyDescent="0.2">
      <c r="B122" s="11">
        <v>1005761</v>
      </c>
      <c r="C122" s="21" t="s">
        <v>94</v>
      </c>
      <c r="D122" s="30">
        <v>8</v>
      </c>
      <c r="E122" s="30"/>
      <c r="F122" s="30"/>
      <c r="G122" s="30"/>
      <c r="H122" s="30"/>
      <c r="I122" s="30"/>
      <c r="J122" s="30"/>
      <c r="K122" s="41">
        <f t="shared" si="6"/>
        <v>8</v>
      </c>
    </row>
    <row r="123" spans="2:11" x14ac:dyDescent="0.2">
      <c r="B123" s="11">
        <v>1114501</v>
      </c>
      <c r="C123" s="21" t="s">
        <v>95</v>
      </c>
      <c r="D123" s="30">
        <v>1</v>
      </c>
      <c r="E123" s="30">
        <v>6</v>
      </c>
      <c r="F123" s="30">
        <v>2</v>
      </c>
      <c r="G123" s="30">
        <v>145</v>
      </c>
      <c r="H123" s="30"/>
      <c r="I123" s="30"/>
      <c r="J123" s="30"/>
      <c r="K123" s="41">
        <f t="shared" si="6"/>
        <v>154</v>
      </c>
    </row>
    <row r="124" spans="2:11" x14ac:dyDescent="0.2">
      <c r="B124" s="11">
        <v>1114502</v>
      </c>
      <c r="C124" s="21" t="s">
        <v>96</v>
      </c>
      <c r="D124" s="30">
        <v>1</v>
      </c>
      <c r="E124" s="30">
        <v>3</v>
      </c>
      <c r="F124" s="30">
        <v>3</v>
      </c>
      <c r="G124" s="30">
        <v>147</v>
      </c>
      <c r="H124" s="30"/>
      <c r="I124" s="30"/>
      <c r="J124" s="30"/>
      <c r="K124" s="41">
        <f t="shared" si="6"/>
        <v>154</v>
      </c>
    </row>
    <row r="125" spans="2:11" x14ac:dyDescent="0.2">
      <c r="B125" s="11">
        <v>1114503</v>
      </c>
      <c r="C125" s="21" t="s">
        <v>97</v>
      </c>
      <c r="D125" s="30">
        <v>1</v>
      </c>
      <c r="E125" s="30">
        <v>4</v>
      </c>
      <c r="F125" s="30">
        <v>2</v>
      </c>
      <c r="G125" s="30">
        <v>145</v>
      </c>
      <c r="H125" s="30"/>
      <c r="I125" s="30"/>
      <c r="J125" s="30"/>
      <c r="K125" s="41">
        <f t="shared" si="6"/>
        <v>152</v>
      </c>
    </row>
    <row r="126" spans="2:11" x14ac:dyDescent="0.2">
      <c r="B126" s="11">
        <v>1124021</v>
      </c>
      <c r="C126" s="21" t="s">
        <v>98</v>
      </c>
      <c r="D126" s="30">
        <v>24</v>
      </c>
      <c r="E126" s="30">
        <v>18</v>
      </c>
      <c r="F126" s="30">
        <v>12</v>
      </c>
      <c r="G126" s="30"/>
      <c r="H126" s="30"/>
      <c r="I126" s="30"/>
      <c r="J126" s="30"/>
      <c r="K126" s="41">
        <f t="shared" si="6"/>
        <v>54</v>
      </c>
    </row>
    <row r="127" spans="2:11" x14ac:dyDescent="0.2">
      <c r="B127" s="11">
        <v>1113084</v>
      </c>
      <c r="C127" s="21" t="s">
        <v>99</v>
      </c>
      <c r="D127" s="30"/>
      <c r="E127" s="30"/>
      <c r="F127" s="30"/>
      <c r="G127" s="30"/>
      <c r="H127" s="30"/>
      <c r="I127" s="30"/>
      <c r="J127" s="30"/>
      <c r="K127" s="41">
        <f t="shared" si="6"/>
        <v>0</v>
      </c>
    </row>
    <row r="128" spans="2:11" x14ac:dyDescent="0.2">
      <c r="B128" s="11">
        <v>900003</v>
      </c>
      <c r="C128" s="21" t="s">
        <v>132</v>
      </c>
      <c r="D128" s="30"/>
      <c r="E128" s="30"/>
      <c r="F128" s="30"/>
      <c r="G128" s="30"/>
      <c r="H128" s="30"/>
      <c r="I128" s="30"/>
      <c r="J128" s="30"/>
      <c r="K128" s="41">
        <f t="shared" si="6"/>
        <v>0</v>
      </c>
    </row>
    <row r="129" spans="2:11" x14ac:dyDescent="0.2">
      <c r="B129" s="11">
        <v>900004</v>
      </c>
      <c r="C129" s="21" t="s">
        <v>100</v>
      </c>
      <c r="D129" s="30"/>
      <c r="E129" s="30"/>
      <c r="F129" s="30"/>
      <c r="G129" s="30"/>
      <c r="H129" s="30"/>
      <c r="I129" s="30"/>
      <c r="J129" s="30"/>
      <c r="K129" s="41">
        <f t="shared" si="6"/>
        <v>0</v>
      </c>
    </row>
    <row r="130" spans="2:11" x14ac:dyDescent="0.2">
      <c r="B130" s="11">
        <v>1200002</v>
      </c>
      <c r="C130" s="21" t="s">
        <v>101</v>
      </c>
      <c r="D130" s="30"/>
      <c r="E130" s="30"/>
      <c r="F130" s="30"/>
      <c r="G130" s="30"/>
      <c r="H130" s="30"/>
      <c r="I130" s="30"/>
      <c r="J130" s="30"/>
      <c r="K130" s="41">
        <f t="shared" si="6"/>
        <v>0</v>
      </c>
    </row>
    <row r="131" spans="2:11" x14ac:dyDescent="0.2">
      <c r="B131" s="11">
        <v>1200003</v>
      </c>
      <c r="C131" s="21" t="s">
        <v>102</v>
      </c>
      <c r="D131" s="30"/>
      <c r="E131" s="30"/>
      <c r="F131" s="30"/>
      <c r="G131" s="30"/>
      <c r="H131" s="30"/>
      <c r="I131" s="30"/>
      <c r="J131" s="30"/>
      <c r="K131" s="41">
        <f t="shared" si="6"/>
        <v>0</v>
      </c>
    </row>
    <row r="132" spans="2:11" x14ac:dyDescent="0.2">
      <c r="B132" s="11">
        <v>1200004</v>
      </c>
      <c r="C132" s="21" t="s">
        <v>103</v>
      </c>
      <c r="D132" s="30"/>
      <c r="E132" s="30"/>
      <c r="F132" s="30"/>
      <c r="G132" s="30"/>
      <c r="H132" s="30"/>
      <c r="I132" s="30"/>
      <c r="J132" s="30"/>
      <c r="K132" s="41">
        <f t="shared" si="6"/>
        <v>0</v>
      </c>
    </row>
    <row r="133" spans="2:11" x14ac:dyDescent="0.2">
      <c r="B133" s="11">
        <v>1200093</v>
      </c>
      <c r="C133" s="21" t="s">
        <v>91</v>
      </c>
      <c r="D133" s="30"/>
      <c r="E133" s="30"/>
      <c r="F133" s="30"/>
      <c r="G133" s="30"/>
      <c r="H133" s="30"/>
      <c r="I133" s="30"/>
      <c r="J133" s="30"/>
      <c r="K133" s="41">
        <f t="shared" si="6"/>
        <v>0</v>
      </c>
    </row>
    <row r="134" spans="2:11" x14ac:dyDescent="0.2">
      <c r="B134" s="11">
        <v>1200092</v>
      </c>
      <c r="C134" s="19" t="s">
        <v>92</v>
      </c>
      <c r="D134" s="30"/>
      <c r="E134" s="30"/>
      <c r="F134" s="30"/>
      <c r="G134" s="30"/>
      <c r="H134" s="30"/>
      <c r="I134" s="30"/>
      <c r="J134" s="30"/>
      <c r="K134" s="41">
        <f t="shared" si="6"/>
        <v>0</v>
      </c>
    </row>
    <row r="135" spans="2:11" x14ac:dyDescent="0.2">
      <c r="B135" s="22"/>
      <c r="C135" s="21" t="s">
        <v>124</v>
      </c>
      <c r="D135" s="30"/>
      <c r="E135" s="30"/>
      <c r="F135" s="30"/>
      <c r="G135" s="30"/>
      <c r="H135" s="30"/>
      <c r="I135" s="30"/>
      <c r="J135" s="30"/>
      <c r="K135" s="41">
        <f t="shared" si="6"/>
        <v>0</v>
      </c>
    </row>
    <row r="136" spans="2:11" x14ac:dyDescent="0.2">
      <c r="B136" s="22"/>
      <c r="C136" s="21" t="s">
        <v>125</v>
      </c>
      <c r="D136" s="30"/>
      <c r="E136" s="30">
        <v>1</v>
      </c>
      <c r="F136" s="30"/>
      <c r="G136" s="30"/>
      <c r="H136" s="30"/>
      <c r="I136" s="30"/>
      <c r="J136" s="30">
        <v>1</v>
      </c>
      <c r="K136" s="41">
        <f t="shared" si="6"/>
        <v>2</v>
      </c>
    </row>
    <row r="137" spans="2:11" x14ac:dyDescent="0.2">
      <c r="B137" s="22">
        <v>20052721</v>
      </c>
      <c r="C137" s="21" t="s">
        <v>131</v>
      </c>
      <c r="D137" s="30"/>
      <c r="E137" s="30"/>
      <c r="F137" s="30"/>
      <c r="G137" s="30"/>
      <c r="H137" s="30"/>
      <c r="I137" s="30"/>
      <c r="J137" s="30"/>
      <c r="K137" s="41">
        <f t="shared" si="6"/>
        <v>0</v>
      </c>
    </row>
    <row r="138" spans="2:11" x14ac:dyDescent="0.2">
      <c r="C138" s="35"/>
      <c r="D138" s="38"/>
      <c r="E138" s="38"/>
      <c r="F138" s="38"/>
      <c r="G138" s="38"/>
      <c r="H138" s="38"/>
      <c r="I138" s="38"/>
      <c r="J138" s="38"/>
      <c r="K138" s="39"/>
    </row>
    <row r="139" spans="2:11" x14ac:dyDescent="0.2">
      <c r="C139" s="35"/>
      <c r="D139" s="39">
        <f t="shared" ref="D139:I139" si="7">SUM(D114:D137,D102:D111,D90:D99,D79:D87,D69:D76,D7:D66)</f>
        <v>86</v>
      </c>
      <c r="E139" s="39">
        <f t="shared" si="7"/>
        <v>100</v>
      </c>
      <c r="F139" s="39">
        <f t="shared" si="7"/>
        <v>80</v>
      </c>
      <c r="G139" s="39">
        <f t="shared" si="7"/>
        <v>785</v>
      </c>
      <c r="H139" s="39">
        <f t="shared" si="7"/>
        <v>0</v>
      </c>
      <c r="I139" s="39">
        <f t="shared" si="7"/>
        <v>0</v>
      </c>
      <c r="J139" s="39"/>
      <c r="K139" s="39">
        <f>SUM(K114:K137,K102:K111,K90:K99,K79:K87,K69:K76,K7:K66)</f>
        <v>1053</v>
      </c>
    </row>
    <row r="140" spans="2:11" x14ac:dyDescent="0.2">
      <c r="C140" s="24"/>
      <c r="D140" s="31"/>
      <c r="E140" s="58"/>
      <c r="F140" s="58"/>
      <c r="G140" s="26"/>
    </row>
    <row r="141" spans="2:11" x14ac:dyDescent="0.2">
      <c r="B141" s="58" t="s">
        <v>104</v>
      </c>
      <c r="C141" s="58"/>
      <c r="D141" s="32"/>
      <c r="E141" s="57"/>
      <c r="F141" s="57"/>
      <c r="G141" s="27"/>
      <c r="H141" s="26"/>
      <c r="I141" s="58" t="s">
        <v>104</v>
      </c>
      <c r="J141" s="58"/>
      <c r="K141" s="58"/>
    </row>
    <row r="142" spans="2:11" x14ac:dyDescent="0.2">
      <c r="B142" s="57" t="s">
        <v>105</v>
      </c>
      <c r="C142" s="57"/>
      <c r="D142" s="33"/>
      <c r="E142" s="33"/>
      <c r="F142" s="33"/>
      <c r="G142" s="33"/>
      <c r="H142" s="33"/>
      <c r="I142" s="57" t="s">
        <v>106</v>
      </c>
      <c r="J142" s="57"/>
      <c r="K142" s="57"/>
    </row>
    <row r="143" spans="2:11" x14ac:dyDescent="0.2">
      <c r="B143" s="31"/>
      <c r="C143" s="31"/>
      <c r="D143" s="33"/>
      <c r="E143" s="33"/>
      <c r="F143" s="33"/>
      <c r="G143" s="33"/>
      <c r="H143" s="33"/>
      <c r="I143" s="31"/>
      <c r="J143" s="31"/>
      <c r="K143" s="34"/>
    </row>
    <row r="144" spans="2:11" ht="14.25" x14ac:dyDescent="0.2">
      <c r="B144" s="31"/>
      <c r="C144" s="31"/>
      <c r="D144" s="31"/>
      <c r="E144" s="31"/>
      <c r="F144" s="31"/>
      <c r="G144" s="31"/>
      <c r="H144" s="31"/>
      <c r="I144" s="31"/>
      <c r="J144" s="31"/>
      <c r="K144" s="34"/>
    </row>
    <row r="145" spans="2:11" ht="14.25" x14ac:dyDescent="0.2">
      <c r="B145" s="31"/>
      <c r="C145" s="31"/>
      <c r="D145" s="31"/>
      <c r="E145" s="31"/>
      <c r="F145" s="31"/>
      <c r="G145" s="31"/>
      <c r="H145" s="31"/>
      <c r="I145" s="31"/>
      <c r="J145" s="31"/>
      <c r="K145" s="34"/>
    </row>
    <row r="146" spans="2:11" ht="14.25" x14ac:dyDescent="0.2">
      <c r="B146" s="31"/>
      <c r="C146" s="31"/>
      <c r="D146" s="31"/>
      <c r="E146" s="31"/>
      <c r="F146" s="31"/>
      <c r="G146" s="31"/>
      <c r="H146" s="31"/>
      <c r="I146" s="31"/>
      <c r="J146" s="31"/>
      <c r="K146" s="34"/>
    </row>
    <row r="147" spans="2:11" ht="14.25" x14ac:dyDescent="0.2">
      <c r="B147" s="31"/>
      <c r="C147" s="31"/>
      <c r="D147" s="31"/>
      <c r="E147" s="31"/>
      <c r="F147" s="31"/>
      <c r="G147" s="31"/>
      <c r="H147" s="31"/>
      <c r="I147" s="31"/>
      <c r="J147" s="31"/>
      <c r="K147" s="34"/>
    </row>
    <row r="148" spans="2:11" ht="14.25" x14ac:dyDescent="0.2">
      <c r="B148" s="31"/>
      <c r="C148" s="31"/>
      <c r="D148" s="31"/>
      <c r="E148" s="31"/>
      <c r="F148" s="31"/>
      <c r="G148" s="31"/>
      <c r="H148" s="31"/>
      <c r="I148" s="31"/>
      <c r="J148" s="31"/>
      <c r="K148" s="34"/>
    </row>
    <row r="149" spans="2:11" x14ac:dyDescent="0.2">
      <c r="D149" s="31"/>
      <c r="E149" s="31"/>
      <c r="F149" s="31"/>
      <c r="G149" s="31"/>
      <c r="H149" s="31"/>
    </row>
    <row r="150" spans="2:11" x14ac:dyDescent="0.2">
      <c r="D150" s="31"/>
      <c r="E150" s="31"/>
      <c r="F150" s="31"/>
      <c r="G150" s="31"/>
      <c r="H150" s="31"/>
    </row>
    <row r="151" spans="2:11" x14ac:dyDescent="0.2">
      <c r="D151" s="31"/>
      <c r="E151" s="31"/>
      <c r="F151" s="31"/>
      <c r="G151" s="31"/>
      <c r="H151" s="31"/>
    </row>
    <row r="152" spans="2:11" x14ac:dyDescent="0.2">
      <c r="D152" s="31"/>
      <c r="E152" s="31"/>
      <c r="F152" s="31"/>
      <c r="G152" s="31"/>
      <c r="H152" s="31"/>
    </row>
    <row r="153" spans="2:11" x14ac:dyDescent="0.2">
      <c r="D153" s="31"/>
      <c r="E153" s="31"/>
      <c r="F153" s="31"/>
      <c r="G153" s="31"/>
      <c r="H153" s="31"/>
    </row>
    <row r="154" spans="2:11" x14ac:dyDescent="0.2">
      <c r="D154" s="31"/>
      <c r="E154" s="31"/>
      <c r="F154" s="31"/>
      <c r="G154" s="31"/>
      <c r="H154" s="31"/>
    </row>
    <row r="155" spans="2:11" x14ac:dyDescent="0.2">
      <c r="D155" s="31"/>
      <c r="E155" s="31"/>
      <c r="F155" s="31"/>
      <c r="G155" s="31"/>
      <c r="H155" s="31"/>
    </row>
    <row r="156" spans="2:11" x14ac:dyDescent="0.2">
      <c r="D156" s="31"/>
      <c r="E156" s="31"/>
      <c r="F156" s="31"/>
      <c r="G156" s="31"/>
      <c r="H156" s="31"/>
    </row>
    <row r="157" spans="2:11" x14ac:dyDescent="0.2">
      <c r="D157" s="31"/>
      <c r="E157" s="31"/>
      <c r="F157" s="31"/>
      <c r="G157" s="31"/>
      <c r="H157" s="31"/>
    </row>
    <row r="158" spans="2:11" x14ac:dyDescent="0.2">
      <c r="D158" s="31"/>
      <c r="E158" s="31"/>
      <c r="F158" s="31"/>
      <c r="G158" s="31"/>
      <c r="H158" s="31"/>
    </row>
    <row r="159" spans="2:11" x14ac:dyDescent="0.2">
      <c r="D159" s="31"/>
      <c r="E159" s="31"/>
      <c r="F159" s="31"/>
      <c r="G159" s="31"/>
      <c r="H159" s="31"/>
    </row>
  </sheetData>
  <mergeCells count="15">
    <mergeCell ref="B1:K1"/>
    <mergeCell ref="B2:C3"/>
    <mergeCell ref="E2:F3"/>
    <mergeCell ref="B142:C142"/>
    <mergeCell ref="I142:K142"/>
    <mergeCell ref="B6:K6"/>
    <mergeCell ref="B68:K68"/>
    <mergeCell ref="B78:K78"/>
    <mergeCell ref="B89:K89"/>
    <mergeCell ref="B101:K101"/>
    <mergeCell ref="B113:K113"/>
    <mergeCell ref="E140:F140"/>
    <mergeCell ref="B141:C141"/>
    <mergeCell ref="E141:F141"/>
    <mergeCell ref="I141:K141"/>
  </mergeCells>
  <phoneticPr fontId="9" type="noConversion"/>
  <printOptions horizontalCentered="1"/>
  <pageMargins left="0.23622047244094491" right="0.23622047244094491" top="0.35433070866141736" bottom="0.35433070866141736" header="0.31496062992125984" footer="0.31496062992125984"/>
  <pageSetup paperSize="9" scale="44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7631F-A4FA-44D7-ADD8-57CE043BB388}">
  <sheetPr>
    <pageSetUpPr fitToPage="1"/>
  </sheetPr>
  <dimension ref="B1:AA160"/>
  <sheetViews>
    <sheetView tabSelected="1" topLeftCell="B87" zoomScale="60" zoomScaleNormal="60" workbookViewId="0">
      <selection activeCell="T127" sqref="T127"/>
    </sheetView>
  </sheetViews>
  <sheetFormatPr defaultRowHeight="22.5" x14ac:dyDescent="0.25"/>
  <cols>
    <col min="2" max="2" width="22.125" style="23" customWidth="1"/>
    <col min="3" max="3" width="59.125" style="23" customWidth="1"/>
    <col min="4" max="8" width="14.375" style="16" customWidth="1"/>
    <col min="9" max="9" width="14.375" style="16" hidden="1" customWidth="1"/>
    <col min="10" max="10" width="14.375" style="16" customWidth="1"/>
    <col min="11" max="11" width="17.625" style="25" customWidth="1"/>
    <col min="12" max="15" width="14.375" style="23" customWidth="1"/>
    <col min="16" max="16" width="14.375" style="28" customWidth="1"/>
    <col min="17" max="17" width="9" customWidth="1"/>
    <col min="18" max="20" width="5.625" style="51" customWidth="1"/>
    <col min="21" max="21" width="13.375" style="51" customWidth="1"/>
    <col min="22" max="25" width="5.625" style="51" customWidth="1"/>
  </cols>
  <sheetData>
    <row r="1" spans="2:21" x14ac:dyDescent="0.25">
      <c r="B1" s="54" t="s">
        <v>139</v>
      </c>
      <c r="C1" s="54"/>
      <c r="D1" s="54"/>
      <c r="E1" s="54"/>
      <c r="F1" s="54"/>
      <c r="G1" s="54"/>
      <c r="H1" s="54"/>
      <c r="I1" s="54"/>
      <c r="J1" s="54"/>
      <c r="K1" s="54"/>
    </row>
    <row r="2" spans="2:21" x14ac:dyDescent="0.25">
      <c r="B2" s="55"/>
      <c r="C2" s="59"/>
      <c r="D2" s="1"/>
      <c r="E2" s="60"/>
      <c r="F2" s="60"/>
      <c r="G2" s="2"/>
      <c r="H2" s="2"/>
      <c r="I2" s="2"/>
      <c r="J2" s="2"/>
      <c r="K2" s="3" t="s">
        <v>0</v>
      </c>
      <c r="L2" s="62" t="s">
        <v>130</v>
      </c>
      <c r="M2" s="62" t="s">
        <v>127</v>
      </c>
      <c r="N2" s="62" t="s">
        <v>135</v>
      </c>
      <c r="O2" s="71" t="s">
        <v>136</v>
      </c>
      <c r="P2" s="65" t="s">
        <v>1</v>
      </c>
    </row>
    <row r="3" spans="2:21" x14ac:dyDescent="0.25">
      <c r="B3" s="55"/>
      <c r="C3" s="59"/>
      <c r="D3" s="4"/>
      <c r="E3" s="61"/>
      <c r="F3" s="61"/>
      <c r="G3" s="5"/>
      <c r="H3" s="5"/>
      <c r="I3" s="5"/>
      <c r="J3" s="48"/>
      <c r="K3" s="6" t="s">
        <v>2</v>
      </c>
      <c r="L3" s="63"/>
      <c r="M3" s="63"/>
      <c r="N3" s="63"/>
      <c r="O3" s="72"/>
      <c r="P3" s="66"/>
    </row>
    <row r="4" spans="2:21" x14ac:dyDescent="0.25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134</v>
      </c>
      <c r="I4" s="9" t="s">
        <v>9</v>
      </c>
      <c r="J4" s="49" t="s">
        <v>133</v>
      </c>
      <c r="K4" s="10" t="s">
        <v>10</v>
      </c>
      <c r="L4" s="64"/>
      <c r="M4" s="64"/>
      <c r="N4" s="64"/>
      <c r="O4" s="73"/>
      <c r="P4" s="67"/>
    </row>
    <row r="5" spans="2:21" x14ac:dyDescent="0.25">
      <c r="B5" s="11"/>
      <c r="C5" s="12"/>
      <c r="D5" s="13"/>
      <c r="E5" s="9"/>
      <c r="F5" s="9"/>
      <c r="G5" s="9"/>
      <c r="H5" s="9"/>
      <c r="I5" s="9"/>
      <c r="J5" s="49"/>
      <c r="K5" s="14"/>
      <c r="L5" s="11"/>
      <c r="M5" s="11"/>
      <c r="N5" s="11"/>
      <c r="O5" s="11"/>
      <c r="P5" s="29"/>
    </row>
    <row r="6" spans="2:21" ht="19.5" x14ac:dyDescent="0.25">
      <c r="B6" s="68" t="s">
        <v>11</v>
      </c>
      <c r="C6" s="69"/>
      <c r="D6" s="69"/>
      <c r="E6" s="69"/>
      <c r="F6" s="69"/>
      <c r="G6" s="69"/>
      <c r="H6" s="69"/>
      <c r="I6" s="69"/>
      <c r="J6" s="69"/>
      <c r="K6" s="69"/>
      <c r="L6" s="69"/>
      <c r="M6" s="69"/>
      <c r="N6" s="69"/>
      <c r="O6" s="69"/>
      <c r="P6" s="70"/>
    </row>
    <row r="7" spans="2:21" x14ac:dyDescent="0.25">
      <c r="B7" s="11">
        <v>1111002</v>
      </c>
      <c r="C7" s="15" t="s">
        <v>107</v>
      </c>
      <c r="D7" s="30">
        <f>'เย็น 386'!D7+'เช้า 212'!D7</f>
        <v>4</v>
      </c>
      <c r="E7" s="30">
        <f>'เย็น 386'!E7+'เช้า 212'!E7</f>
        <v>21</v>
      </c>
      <c r="F7" s="30">
        <f>'เย็น 386'!F7+'เช้า 212'!F7</f>
        <v>57</v>
      </c>
      <c r="G7" s="30">
        <f>'เย็น 386'!G7+'เช้า 212'!G7</f>
        <v>0</v>
      </c>
      <c r="H7" s="30">
        <f>'เย็น 386'!H7+'เช้า 212'!H7</f>
        <v>0</v>
      </c>
      <c r="I7" s="30">
        <f>'เย็น 386'!I7+'เช้า 212'!I7</f>
        <v>0</v>
      </c>
      <c r="J7" s="30">
        <f>'เย็น 386'!J7+'เช้า 212'!J7</f>
        <v>0</v>
      </c>
      <c r="K7" s="36">
        <f>SUM(D7:J7)</f>
        <v>82</v>
      </c>
      <c r="L7" s="11">
        <v>97</v>
      </c>
      <c r="M7" s="11">
        <v>100</v>
      </c>
      <c r="N7" s="11"/>
      <c r="O7" s="11"/>
      <c r="P7" s="50">
        <f>(L7+M7+N7+O7)-K7</f>
        <v>115</v>
      </c>
      <c r="R7" s="51">
        <v>25</v>
      </c>
      <c r="S7" s="52">
        <f>P7-R7</f>
        <v>90</v>
      </c>
      <c r="T7" s="51">
        <v>200</v>
      </c>
      <c r="U7" s="52">
        <f>S7+T7</f>
        <v>290</v>
      </c>
    </row>
    <row r="8" spans="2:21" hidden="1" x14ac:dyDescent="0.25">
      <c r="B8" s="11"/>
      <c r="C8" s="15" t="s">
        <v>126</v>
      </c>
      <c r="D8" s="30">
        <f>'เย็น 386'!D8+'เช้า 212'!D8</f>
        <v>0</v>
      </c>
      <c r="E8" s="30">
        <f>'เย็น 386'!E8+'เช้า 212'!E8</f>
        <v>0</v>
      </c>
      <c r="F8" s="30">
        <f>'เย็น 386'!F8+'เช้า 212'!F8</f>
        <v>0</v>
      </c>
      <c r="G8" s="30">
        <f>'เย็น 386'!G8+'เช้า 212'!G8</f>
        <v>0</v>
      </c>
      <c r="H8" s="30">
        <f>'เย็น 386'!H8+'เช้า 212'!H8</f>
        <v>0</v>
      </c>
      <c r="I8" s="30">
        <f>'เย็น 386'!I8+'เช้า 212'!I8</f>
        <v>0</v>
      </c>
      <c r="J8" s="30">
        <f>'เย็น 386'!J8+'เช้า 212'!J8</f>
        <v>0</v>
      </c>
      <c r="K8" s="36">
        <f t="shared" ref="K8:K67" si="0">SUM(D8:J8)</f>
        <v>0</v>
      </c>
      <c r="L8" s="11"/>
      <c r="M8" s="11"/>
      <c r="N8" s="11"/>
      <c r="O8" s="11"/>
      <c r="P8" s="50">
        <f t="shared" ref="P8:P46" si="1">(L8+M8+N8+O8)-K8</f>
        <v>0</v>
      </c>
      <c r="S8" s="52">
        <f t="shared" ref="S8:S71" si="2">P8-R8</f>
        <v>0</v>
      </c>
    </row>
    <row r="9" spans="2:21" hidden="1" x14ac:dyDescent="0.25">
      <c r="B9" s="11">
        <v>1111084</v>
      </c>
      <c r="C9" s="15" t="s">
        <v>12</v>
      </c>
      <c r="D9" s="30">
        <f>'เย็น 386'!D9+'เช้า 212'!D9</f>
        <v>0</v>
      </c>
      <c r="E9" s="30">
        <f>'เย็น 386'!E9+'เช้า 212'!E9</f>
        <v>0</v>
      </c>
      <c r="F9" s="30">
        <f>'เย็น 386'!F9+'เช้า 212'!F9</f>
        <v>0</v>
      </c>
      <c r="G9" s="30">
        <f>'เย็น 386'!G9+'เช้า 212'!G9</f>
        <v>0</v>
      </c>
      <c r="H9" s="30">
        <f>'เย็น 386'!H9+'เช้า 212'!H9</f>
        <v>0</v>
      </c>
      <c r="I9" s="30">
        <f>'เย็น 386'!I9+'เช้า 212'!I9</f>
        <v>0</v>
      </c>
      <c r="J9" s="30">
        <f>'เย็น 386'!J9+'เช้า 212'!J9</f>
        <v>0</v>
      </c>
      <c r="K9" s="36">
        <f t="shared" si="0"/>
        <v>0</v>
      </c>
      <c r="L9" s="11"/>
      <c r="M9" s="11"/>
      <c r="N9" s="11"/>
      <c r="O9" s="11"/>
      <c r="P9" s="50">
        <f t="shared" si="1"/>
        <v>0</v>
      </c>
      <c r="S9" s="52">
        <f t="shared" si="2"/>
        <v>0</v>
      </c>
    </row>
    <row r="10" spans="2:21" hidden="1" x14ac:dyDescent="0.25">
      <c r="B10" s="11">
        <v>1111085</v>
      </c>
      <c r="C10" s="15" t="s">
        <v>13</v>
      </c>
      <c r="D10" s="30">
        <f>'เย็น 386'!D10+'เช้า 212'!D10</f>
        <v>0</v>
      </c>
      <c r="E10" s="30">
        <f>'เย็น 386'!E10+'เช้า 212'!E10</f>
        <v>0</v>
      </c>
      <c r="F10" s="30">
        <f>'เย็น 386'!F10+'เช้า 212'!F10</f>
        <v>0</v>
      </c>
      <c r="G10" s="30">
        <f>'เย็น 386'!G10+'เช้า 212'!G10</f>
        <v>0</v>
      </c>
      <c r="H10" s="30">
        <f>'เย็น 386'!H10+'เช้า 212'!H10</f>
        <v>0</v>
      </c>
      <c r="I10" s="30">
        <f>'เย็น 386'!I10+'เช้า 212'!I10</f>
        <v>0</v>
      </c>
      <c r="J10" s="30">
        <f>'เย็น 386'!J10+'เช้า 212'!J10</f>
        <v>0</v>
      </c>
      <c r="K10" s="36">
        <f t="shared" si="0"/>
        <v>0</v>
      </c>
      <c r="L10" s="11"/>
      <c r="M10" s="11"/>
      <c r="N10" s="11"/>
      <c r="O10" s="11"/>
      <c r="P10" s="50">
        <f t="shared" si="1"/>
        <v>0</v>
      </c>
      <c r="S10" s="52">
        <f t="shared" si="2"/>
        <v>0</v>
      </c>
    </row>
    <row r="11" spans="2:21" hidden="1" x14ac:dyDescent="0.25">
      <c r="B11" s="11">
        <v>1111086</v>
      </c>
      <c r="C11" s="15" t="s">
        <v>14</v>
      </c>
      <c r="D11" s="30">
        <f>'เย็น 386'!D11+'เช้า 212'!D11</f>
        <v>0</v>
      </c>
      <c r="E11" s="30">
        <f>'เย็น 386'!E11+'เช้า 212'!E11</f>
        <v>0</v>
      </c>
      <c r="F11" s="30">
        <f>'เย็น 386'!F11+'เช้า 212'!F11</f>
        <v>0</v>
      </c>
      <c r="G11" s="30">
        <f>'เย็น 386'!G11+'เช้า 212'!G11</f>
        <v>0</v>
      </c>
      <c r="H11" s="30">
        <f>'เย็น 386'!H11+'เช้า 212'!H11</f>
        <v>0</v>
      </c>
      <c r="I11" s="30">
        <f>'เย็น 386'!I11+'เช้า 212'!I11</f>
        <v>0</v>
      </c>
      <c r="J11" s="30">
        <f>'เย็น 386'!J11+'เช้า 212'!J11</f>
        <v>0</v>
      </c>
      <c r="K11" s="36">
        <f t="shared" si="0"/>
        <v>0</v>
      </c>
      <c r="L11" s="11"/>
      <c r="M11" s="11"/>
      <c r="N11" s="11"/>
      <c r="O11" s="11"/>
      <c r="P11" s="50">
        <f t="shared" si="1"/>
        <v>0</v>
      </c>
      <c r="S11" s="52">
        <f t="shared" si="2"/>
        <v>0</v>
      </c>
    </row>
    <row r="12" spans="2:21" hidden="1" x14ac:dyDescent="0.25">
      <c r="B12" s="11">
        <v>1111087</v>
      </c>
      <c r="C12" s="15" t="s">
        <v>15</v>
      </c>
      <c r="D12" s="30">
        <f>'เย็น 386'!D12+'เช้า 212'!D12</f>
        <v>0</v>
      </c>
      <c r="E12" s="30">
        <f>'เย็น 386'!E12+'เช้า 212'!E12</f>
        <v>0</v>
      </c>
      <c r="F12" s="30">
        <f>'เย็น 386'!F12+'เช้า 212'!F12</f>
        <v>0</v>
      </c>
      <c r="G12" s="30">
        <f>'เย็น 386'!G12+'เช้า 212'!G12</f>
        <v>0</v>
      </c>
      <c r="H12" s="30">
        <f>'เย็น 386'!H12+'เช้า 212'!H12</f>
        <v>0</v>
      </c>
      <c r="I12" s="30">
        <f>'เย็น 386'!I12+'เช้า 212'!I12</f>
        <v>0</v>
      </c>
      <c r="J12" s="30">
        <f>'เย็น 386'!J12+'เช้า 212'!J12</f>
        <v>0</v>
      </c>
      <c r="K12" s="36">
        <f t="shared" si="0"/>
        <v>0</v>
      </c>
      <c r="L12" s="11"/>
      <c r="M12" s="11"/>
      <c r="N12" s="11"/>
      <c r="O12" s="11"/>
      <c r="P12" s="50">
        <f t="shared" si="1"/>
        <v>0</v>
      </c>
      <c r="S12" s="52">
        <f t="shared" si="2"/>
        <v>0</v>
      </c>
    </row>
    <row r="13" spans="2:21" hidden="1" x14ac:dyDescent="0.25">
      <c r="B13" s="11">
        <v>1111088</v>
      </c>
      <c r="C13" s="15" t="s">
        <v>16</v>
      </c>
      <c r="D13" s="30">
        <f>'เย็น 386'!D13+'เช้า 212'!D13</f>
        <v>0</v>
      </c>
      <c r="E13" s="30">
        <f>'เย็น 386'!E13+'เช้า 212'!E13</f>
        <v>0</v>
      </c>
      <c r="F13" s="30">
        <f>'เย็น 386'!F13+'เช้า 212'!F13</f>
        <v>0</v>
      </c>
      <c r="G13" s="30">
        <f>'เย็น 386'!G13+'เช้า 212'!G13</f>
        <v>0</v>
      </c>
      <c r="H13" s="30">
        <f>'เย็น 386'!H13+'เช้า 212'!H13</f>
        <v>0</v>
      </c>
      <c r="I13" s="30">
        <f>'เย็น 386'!I13+'เช้า 212'!I13</f>
        <v>0</v>
      </c>
      <c r="J13" s="30">
        <f>'เย็น 386'!J13+'เช้า 212'!J13</f>
        <v>0</v>
      </c>
      <c r="K13" s="36">
        <f t="shared" si="0"/>
        <v>0</v>
      </c>
      <c r="L13" s="11"/>
      <c r="M13" s="11"/>
      <c r="N13" s="11"/>
      <c r="O13" s="11"/>
      <c r="P13" s="50">
        <f t="shared" si="1"/>
        <v>0</v>
      </c>
      <c r="S13" s="52">
        <f t="shared" si="2"/>
        <v>0</v>
      </c>
    </row>
    <row r="14" spans="2:21" hidden="1" x14ac:dyDescent="0.25">
      <c r="B14" s="11">
        <v>1111089</v>
      </c>
      <c r="C14" s="15" t="s">
        <v>17</v>
      </c>
      <c r="D14" s="30">
        <f>'เย็น 386'!D14+'เช้า 212'!D14</f>
        <v>0</v>
      </c>
      <c r="E14" s="30">
        <f>'เย็น 386'!E14+'เช้า 212'!E14</f>
        <v>0</v>
      </c>
      <c r="F14" s="30">
        <f>'เย็น 386'!F14+'เช้า 212'!F14</f>
        <v>0</v>
      </c>
      <c r="G14" s="30">
        <f>'เย็น 386'!G14+'เช้า 212'!G14</f>
        <v>0</v>
      </c>
      <c r="H14" s="30">
        <f>'เย็น 386'!H14+'เช้า 212'!H14</f>
        <v>0</v>
      </c>
      <c r="I14" s="30">
        <f>'เย็น 386'!I14+'เช้า 212'!I14</f>
        <v>0</v>
      </c>
      <c r="J14" s="30">
        <f>'เย็น 386'!J14+'เช้า 212'!J14</f>
        <v>0</v>
      </c>
      <c r="K14" s="36">
        <f t="shared" si="0"/>
        <v>0</v>
      </c>
      <c r="L14" s="11"/>
      <c r="M14" s="11"/>
      <c r="N14" s="11"/>
      <c r="O14" s="11"/>
      <c r="P14" s="50">
        <f t="shared" si="1"/>
        <v>0</v>
      </c>
      <c r="S14" s="52">
        <f t="shared" si="2"/>
        <v>0</v>
      </c>
    </row>
    <row r="15" spans="2:21" hidden="1" x14ac:dyDescent="0.25">
      <c r="B15" s="11">
        <v>1111090</v>
      </c>
      <c r="C15" s="15" t="s">
        <v>18</v>
      </c>
      <c r="D15" s="30">
        <f>'เย็น 386'!D15+'เช้า 212'!D15</f>
        <v>0</v>
      </c>
      <c r="E15" s="30">
        <f>'เย็น 386'!E15+'เช้า 212'!E15</f>
        <v>0</v>
      </c>
      <c r="F15" s="30">
        <f>'เย็น 386'!F15+'เช้า 212'!F15</f>
        <v>0</v>
      </c>
      <c r="G15" s="30">
        <f>'เย็น 386'!G15+'เช้า 212'!G15</f>
        <v>0</v>
      </c>
      <c r="H15" s="30">
        <f>'เย็น 386'!H15+'เช้า 212'!H15</f>
        <v>0</v>
      </c>
      <c r="I15" s="30">
        <f>'เย็น 386'!I15+'เช้า 212'!I15</f>
        <v>0</v>
      </c>
      <c r="J15" s="30">
        <f>'เย็น 386'!J15+'เช้า 212'!J15</f>
        <v>0</v>
      </c>
      <c r="K15" s="36">
        <f t="shared" si="0"/>
        <v>0</v>
      </c>
      <c r="L15" s="11"/>
      <c r="M15" s="11"/>
      <c r="N15" s="11"/>
      <c r="O15" s="11"/>
      <c r="P15" s="50">
        <f t="shared" si="1"/>
        <v>0</v>
      </c>
      <c r="S15" s="52">
        <f t="shared" si="2"/>
        <v>0</v>
      </c>
    </row>
    <row r="16" spans="2:21" hidden="1" x14ac:dyDescent="0.25">
      <c r="B16" s="11">
        <v>1111091</v>
      </c>
      <c r="C16" s="15" t="s">
        <v>19</v>
      </c>
      <c r="D16" s="30">
        <f>'เย็น 386'!D16+'เช้า 212'!D16</f>
        <v>0</v>
      </c>
      <c r="E16" s="30">
        <f>'เย็น 386'!E16+'เช้า 212'!E16</f>
        <v>0</v>
      </c>
      <c r="F16" s="30">
        <f>'เย็น 386'!F16+'เช้า 212'!F16</f>
        <v>0</v>
      </c>
      <c r="G16" s="30">
        <f>'เย็น 386'!G16+'เช้า 212'!G16</f>
        <v>0</v>
      </c>
      <c r="H16" s="30">
        <f>'เย็น 386'!H16+'เช้า 212'!H16</f>
        <v>0</v>
      </c>
      <c r="I16" s="30">
        <f>'เย็น 386'!I16+'เช้า 212'!I16</f>
        <v>0</v>
      </c>
      <c r="J16" s="30">
        <f>'เย็น 386'!J16+'เช้า 212'!J16</f>
        <v>0</v>
      </c>
      <c r="K16" s="36">
        <f t="shared" si="0"/>
        <v>0</v>
      </c>
      <c r="L16" s="11"/>
      <c r="M16" s="11"/>
      <c r="N16" s="11"/>
      <c r="O16" s="11"/>
      <c r="P16" s="50">
        <f t="shared" si="1"/>
        <v>0</v>
      </c>
      <c r="S16" s="52">
        <f t="shared" si="2"/>
        <v>0</v>
      </c>
    </row>
    <row r="17" spans="2:21" hidden="1" x14ac:dyDescent="0.25">
      <c r="B17" s="11">
        <v>1111092</v>
      </c>
      <c r="C17" s="15" t="s">
        <v>20</v>
      </c>
      <c r="D17" s="30">
        <f>'เย็น 386'!D17+'เช้า 212'!D17</f>
        <v>0</v>
      </c>
      <c r="E17" s="30">
        <f>'เย็น 386'!E17+'เช้า 212'!E17</f>
        <v>0</v>
      </c>
      <c r="F17" s="30">
        <f>'เย็น 386'!F17+'เช้า 212'!F17</f>
        <v>0</v>
      </c>
      <c r="G17" s="30">
        <f>'เย็น 386'!G17+'เช้า 212'!G17</f>
        <v>0</v>
      </c>
      <c r="H17" s="30">
        <f>'เย็น 386'!H17+'เช้า 212'!H17</f>
        <v>0</v>
      </c>
      <c r="I17" s="30">
        <f>'เย็น 386'!I17+'เช้า 212'!I17</f>
        <v>0</v>
      </c>
      <c r="J17" s="30">
        <f>'เย็น 386'!J17+'เช้า 212'!J17</f>
        <v>0</v>
      </c>
      <c r="K17" s="36">
        <f t="shared" si="0"/>
        <v>0</v>
      </c>
      <c r="L17" s="11"/>
      <c r="M17" s="11"/>
      <c r="N17" s="11"/>
      <c r="O17" s="11"/>
      <c r="P17" s="50">
        <f t="shared" si="1"/>
        <v>0</v>
      </c>
      <c r="S17" s="52">
        <f t="shared" si="2"/>
        <v>0</v>
      </c>
    </row>
    <row r="18" spans="2:21" hidden="1" x14ac:dyDescent="0.25">
      <c r="B18" s="11">
        <v>1111093</v>
      </c>
      <c r="C18" s="15" t="s">
        <v>21</v>
      </c>
      <c r="D18" s="30">
        <f>'เย็น 386'!D18+'เช้า 212'!D18</f>
        <v>0</v>
      </c>
      <c r="E18" s="30">
        <f>'เย็น 386'!E18+'เช้า 212'!E18</f>
        <v>0</v>
      </c>
      <c r="F18" s="30">
        <f>'เย็น 386'!F18+'เช้า 212'!F18</f>
        <v>0</v>
      </c>
      <c r="G18" s="30">
        <f>'เย็น 386'!G18+'เช้า 212'!G18</f>
        <v>0</v>
      </c>
      <c r="H18" s="30">
        <f>'เย็น 386'!H18+'เช้า 212'!H18</f>
        <v>0</v>
      </c>
      <c r="I18" s="30">
        <f>'เย็น 386'!I18+'เช้า 212'!I18</f>
        <v>0</v>
      </c>
      <c r="J18" s="30">
        <f>'เย็น 386'!J18+'เช้า 212'!J18</f>
        <v>0</v>
      </c>
      <c r="K18" s="36">
        <f t="shared" si="0"/>
        <v>0</v>
      </c>
      <c r="L18" s="11"/>
      <c r="M18" s="11"/>
      <c r="N18" s="11"/>
      <c r="O18" s="11"/>
      <c r="P18" s="50">
        <f t="shared" si="1"/>
        <v>0</v>
      </c>
      <c r="S18" s="52">
        <f t="shared" si="2"/>
        <v>0</v>
      </c>
    </row>
    <row r="19" spans="2:21" hidden="1" x14ac:dyDescent="0.25">
      <c r="B19" s="11">
        <v>1111094</v>
      </c>
      <c r="C19" s="15" t="s">
        <v>22</v>
      </c>
      <c r="D19" s="30">
        <f>'เย็น 386'!D19+'เช้า 212'!D19</f>
        <v>0</v>
      </c>
      <c r="E19" s="30">
        <f>'เย็น 386'!E19+'เช้า 212'!E19</f>
        <v>0</v>
      </c>
      <c r="F19" s="30">
        <f>'เย็น 386'!F19+'เช้า 212'!F19</f>
        <v>0</v>
      </c>
      <c r="G19" s="30">
        <f>'เย็น 386'!G19+'เช้า 212'!G19</f>
        <v>0</v>
      </c>
      <c r="H19" s="30">
        <f>'เย็น 386'!H19+'เช้า 212'!H19</f>
        <v>0</v>
      </c>
      <c r="I19" s="30">
        <f>'เย็น 386'!I19+'เช้า 212'!I19</f>
        <v>0</v>
      </c>
      <c r="J19" s="30">
        <f>'เย็น 386'!J19+'เช้า 212'!J19</f>
        <v>0</v>
      </c>
      <c r="K19" s="36">
        <f t="shared" si="0"/>
        <v>0</v>
      </c>
      <c r="L19" s="11"/>
      <c r="M19" s="11"/>
      <c r="N19" s="11"/>
      <c r="O19" s="11"/>
      <c r="P19" s="50">
        <f t="shared" si="1"/>
        <v>0</v>
      </c>
      <c r="S19" s="52">
        <f t="shared" si="2"/>
        <v>0</v>
      </c>
    </row>
    <row r="20" spans="2:21" hidden="1" x14ac:dyDescent="0.25">
      <c r="B20" s="11">
        <v>1111095</v>
      </c>
      <c r="C20" s="15" t="s">
        <v>23</v>
      </c>
      <c r="D20" s="30">
        <f>'เย็น 386'!D20+'เช้า 212'!D20</f>
        <v>0</v>
      </c>
      <c r="E20" s="30">
        <f>'เย็น 386'!E20+'เช้า 212'!E20</f>
        <v>0</v>
      </c>
      <c r="F20" s="30">
        <f>'เย็น 386'!F20+'เช้า 212'!F20</f>
        <v>0</v>
      </c>
      <c r="G20" s="30">
        <f>'เย็น 386'!G20+'เช้า 212'!G20</f>
        <v>0</v>
      </c>
      <c r="H20" s="30">
        <f>'เย็น 386'!H20+'เช้า 212'!H20</f>
        <v>0</v>
      </c>
      <c r="I20" s="30">
        <f>'เย็น 386'!I20+'เช้า 212'!I20</f>
        <v>0</v>
      </c>
      <c r="J20" s="30">
        <f>'เย็น 386'!J20+'เช้า 212'!J20</f>
        <v>0</v>
      </c>
      <c r="K20" s="36">
        <f t="shared" si="0"/>
        <v>0</v>
      </c>
      <c r="L20" s="11"/>
      <c r="M20" s="11"/>
      <c r="N20" s="11"/>
      <c r="O20" s="11"/>
      <c r="P20" s="50">
        <f t="shared" si="1"/>
        <v>0</v>
      </c>
      <c r="S20" s="52">
        <f t="shared" si="2"/>
        <v>0</v>
      </c>
    </row>
    <row r="21" spans="2:21" hidden="1" x14ac:dyDescent="0.25">
      <c r="B21" s="11">
        <v>1111096</v>
      </c>
      <c r="C21" s="15" t="s">
        <v>24</v>
      </c>
      <c r="D21" s="30">
        <f>'เย็น 386'!D21+'เช้า 212'!D21</f>
        <v>0</v>
      </c>
      <c r="E21" s="30">
        <f>'เย็น 386'!E21+'เช้า 212'!E21</f>
        <v>0</v>
      </c>
      <c r="F21" s="30">
        <f>'เย็น 386'!F21+'เช้า 212'!F21</f>
        <v>0</v>
      </c>
      <c r="G21" s="30">
        <f>'เย็น 386'!G21+'เช้า 212'!G21</f>
        <v>0</v>
      </c>
      <c r="H21" s="30">
        <f>'เย็น 386'!H21+'เช้า 212'!H21</f>
        <v>0</v>
      </c>
      <c r="I21" s="30">
        <f>'เย็น 386'!I21+'เช้า 212'!I21</f>
        <v>0</v>
      </c>
      <c r="J21" s="30">
        <f>'เย็น 386'!J21+'เช้า 212'!J21</f>
        <v>0</v>
      </c>
      <c r="K21" s="36">
        <f t="shared" si="0"/>
        <v>0</v>
      </c>
      <c r="L21" s="11"/>
      <c r="M21" s="11"/>
      <c r="N21" s="11"/>
      <c r="O21" s="11"/>
      <c r="P21" s="50">
        <f t="shared" si="1"/>
        <v>0</v>
      </c>
      <c r="S21" s="52">
        <f t="shared" si="2"/>
        <v>0</v>
      </c>
    </row>
    <row r="22" spans="2:21" hidden="1" x14ac:dyDescent="0.25">
      <c r="B22" s="11">
        <v>1111097</v>
      </c>
      <c r="C22" s="15" t="s">
        <v>25</v>
      </c>
      <c r="D22" s="30">
        <f>'เย็น 386'!D22+'เช้า 212'!D22</f>
        <v>0</v>
      </c>
      <c r="E22" s="30">
        <f>'เย็น 386'!E22+'เช้า 212'!E22</f>
        <v>0</v>
      </c>
      <c r="F22" s="30">
        <f>'เย็น 386'!F22+'เช้า 212'!F22</f>
        <v>0</v>
      </c>
      <c r="G22" s="30">
        <f>'เย็น 386'!G22+'เช้า 212'!G22</f>
        <v>0</v>
      </c>
      <c r="H22" s="30">
        <f>'เย็น 386'!H22+'เช้า 212'!H22</f>
        <v>0</v>
      </c>
      <c r="I22" s="30">
        <f>'เย็น 386'!I22+'เช้า 212'!I22</f>
        <v>0</v>
      </c>
      <c r="J22" s="30">
        <f>'เย็น 386'!J22+'เช้า 212'!J22</f>
        <v>0</v>
      </c>
      <c r="K22" s="36">
        <f t="shared" si="0"/>
        <v>0</v>
      </c>
      <c r="L22" s="11"/>
      <c r="M22" s="11"/>
      <c r="N22" s="11"/>
      <c r="O22" s="11"/>
      <c r="P22" s="50">
        <f t="shared" si="1"/>
        <v>0</v>
      </c>
      <c r="S22" s="52">
        <f t="shared" si="2"/>
        <v>0</v>
      </c>
    </row>
    <row r="23" spans="2:21" hidden="1" x14ac:dyDescent="0.25">
      <c r="B23" s="11">
        <v>1111098</v>
      </c>
      <c r="C23" s="15" t="s">
        <v>26</v>
      </c>
      <c r="D23" s="30">
        <f>'เย็น 386'!D23+'เช้า 212'!D23</f>
        <v>0</v>
      </c>
      <c r="E23" s="30">
        <f>'เย็น 386'!E23+'เช้า 212'!E23</f>
        <v>0</v>
      </c>
      <c r="F23" s="30">
        <f>'เย็น 386'!F23+'เช้า 212'!F23</f>
        <v>0</v>
      </c>
      <c r="G23" s="30">
        <f>'เย็น 386'!G23+'เช้า 212'!G23</f>
        <v>0</v>
      </c>
      <c r="H23" s="30">
        <f>'เย็น 386'!H23+'เช้า 212'!H23</f>
        <v>0</v>
      </c>
      <c r="I23" s="30">
        <f>'เย็น 386'!I23+'เช้า 212'!I23</f>
        <v>0</v>
      </c>
      <c r="J23" s="30">
        <f>'เย็น 386'!J23+'เช้า 212'!J23</f>
        <v>0</v>
      </c>
      <c r="K23" s="36">
        <f t="shared" si="0"/>
        <v>0</v>
      </c>
      <c r="L23" s="11"/>
      <c r="M23" s="11"/>
      <c r="N23" s="11"/>
      <c r="O23" s="11"/>
      <c r="P23" s="50">
        <f t="shared" si="1"/>
        <v>0</v>
      </c>
      <c r="S23" s="52">
        <f t="shared" si="2"/>
        <v>0</v>
      </c>
    </row>
    <row r="24" spans="2:21" hidden="1" x14ac:dyDescent="0.25">
      <c r="B24" s="11">
        <v>1111043</v>
      </c>
      <c r="C24" s="15" t="s">
        <v>27</v>
      </c>
      <c r="D24" s="30">
        <f>'เย็น 386'!D24+'เช้า 212'!D24</f>
        <v>0</v>
      </c>
      <c r="E24" s="30">
        <f>'เย็น 386'!E24+'เช้า 212'!E24</f>
        <v>0</v>
      </c>
      <c r="F24" s="30">
        <f>'เย็น 386'!F24+'เช้า 212'!F24</f>
        <v>0</v>
      </c>
      <c r="G24" s="30">
        <f>'เย็น 386'!G24+'เช้า 212'!G24</f>
        <v>0</v>
      </c>
      <c r="H24" s="30">
        <f>'เย็น 386'!H24+'เช้า 212'!H24</f>
        <v>0</v>
      </c>
      <c r="I24" s="30">
        <f>'เย็น 386'!I24+'เช้า 212'!I24</f>
        <v>0</v>
      </c>
      <c r="J24" s="30">
        <f>'เย็น 386'!J24+'เช้า 212'!J24</f>
        <v>0</v>
      </c>
      <c r="K24" s="36">
        <f t="shared" si="0"/>
        <v>0</v>
      </c>
      <c r="L24" s="11"/>
      <c r="M24" s="11"/>
      <c r="N24" s="11"/>
      <c r="O24" s="11"/>
      <c r="P24" s="50">
        <f t="shared" si="1"/>
        <v>0</v>
      </c>
      <c r="S24" s="52">
        <f t="shared" si="2"/>
        <v>0</v>
      </c>
    </row>
    <row r="25" spans="2:21" x14ac:dyDescent="0.25">
      <c r="B25" s="11">
        <v>1111056</v>
      </c>
      <c r="C25" s="15" t="s">
        <v>28</v>
      </c>
      <c r="D25" s="30">
        <f>'เย็น 386'!D25+'เช้า 212'!D25</f>
        <v>4</v>
      </c>
      <c r="E25" s="30">
        <f>'เย็น 386'!E25+'เช้า 212'!E25</f>
        <v>2</v>
      </c>
      <c r="F25" s="30">
        <f>'เย็น 386'!F25+'เช้า 212'!F25</f>
        <v>3</v>
      </c>
      <c r="G25" s="30">
        <f>'เย็น 386'!G25+'เช้า 212'!G25</f>
        <v>2</v>
      </c>
      <c r="H25" s="30">
        <f>'เย็น 386'!H25+'เช้า 212'!H25</f>
        <v>0</v>
      </c>
      <c r="I25" s="30">
        <f>'เย็น 386'!I25+'เช้า 212'!I25</f>
        <v>0</v>
      </c>
      <c r="J25" s="30">
        <f>'เย็น 386'!J25+'เช้า 212'!J25</f>
        <v>0</v>
      </c>
      <c r="K25" s="36">
        <f t="shared" si="0"/>
        <v>11</v>
      </c>
      <c r="L25" s="11">
        <v>16</v>
      </c>
      <c r="M25" s="11">
        <v>15</v>
      </c>
      <c r="N25" s="11"/>
      <c r="O25" s="11"/>
      <c r="P25" s="50">
        <f t="shared" si="1"/>
        <v>20</v>
      </c>
      <c r="S25" s="52"/>
    </row>
    <row r="26" spans="2:21" x14ac:dyDescent="0.25">
      <c r="B26" s="11">
        <v>1004055</v>
      </c>
      <c r="C26" s="15" t="s">
        <v>108</v>
      </c>
      <c r="D26" s="30">
        <f>'เย็น 386'!D26+'เช้า 212'!D26</f>
        <v>0</v>
      </c>
      <c r="E26" s="30">
        <f>'เย็น 386'!E26+'เช้า 212'!E26</f>
        <v>3</v>
      </c>
      <c r="F26" s="30">
        <f>'เย็น 386'!F26+'เช้า 212'!F26</f>
        <v>0</v>
      </c>
      <c r="G26" s="30">
        <f>'เย็น 386'!G26+'เช้า 212'!G26</f>
        <v>124</v>
      </c>
      <c r="H26" s="30">
        <f>'เย็น 386'!H26+'เช้า 212'!H26</f>
        <v>0</v>
      </c>
      <c r="I26" s="30">
        <f>'เย็น 386'!I26+'เช้า 212'!I26</f>
        <v>0</v>
      </c>
      <c r="J26" s="30">
        <f>'เย็น 386'!J26+'เช้า 212'!J26</f>
        <v>0</v>
      </c>
      <c r="K26" s="36">
        <f t="shared" si="0"/>
        <v>127</v>
      </c>
      <c r="L26" s="11">
        <v>113</v>
      </c>
      <c r="M26" s="11">
        <v>100</v>
      </c>
      <c r="N26" s="11"/>
      <c r="O26" s="11"/>
      <c r="P26" s="50">
        <f t="shared" si="1"/>
        <v>86</v>
      </c>
      <c r="R26" s="51">
        <v>26</v>
      </c>
      <c r="S26" s="52">
        <f t="shared" si="2"/>
        <v>60</v>
      </c>
      <c r="T26" s="51">
        <v>100</v>
      </c>
      <c r="U26" s="52">
        <f>S26+T26</f>
        <v>160</v>
      </c>
    </row>
    <row r="27" spans="2:21" hidden="1" x14ac:dyDescent="0.25">
      <c r="B27" s="11">
        <v>1004055</v>
      </c>
      <c r="C27" s="15" t="s">
        <v>109</v>
      </c>
      <c r="D27" s="30">
        <f>'เย็น 386'!D27+'เช้า 212'!D27</f>
        <v>0</v>
      </c>
      <c r="E27" s="30">
        <f>'เย็น 386'!E27+'เช้า 212'!E27</f>
        <v>0</v>
      </c>
      <c r="F27" s="30">
        <f>'เย็น 386'!F27+'เช้า 212'!F27</f>
        <v>0</v>
      </c>
      <c r="G27" s="30">
        <f>'เย็น 386'!G27+'เช้า 212'!G27</f>
        <v>0</v>
      </c>
      <c r="H27" s="30">
        <f>'เย็น 386'!H27+'เช้า 212'!H27</f>
        <v>0</v>
      </c>
      <c r="I27" s="30">
        <f>'เย็น 386'!I27+'เช้า 212'!I27</f>
        <v>0</v>
      </c>
      <c r="J27" s="30">
        <f>'เย็น 386'!J27+'เช้า 212'!J27</f>
        <v>0</v>
      </c>
      <c r="K27" s="36">
        <f t="shared" si="0"/>
        <v>0</v>
      </c>
      <c r="L27" s="11"/>
      <c r="M27" s="11"/>
      <c r="N27" s="11"/>
      <c r="O27" s="11"/>
      <c r="P27" s="50">
        <f t="shared" si="1"/>
        <v>0</v>
      </c>
      <c r="S27" s="52">
        <f t="shared" si="2"/>
        <v>0</v>
      </c>
    </row>
    <row r="28" spans="2:21" hidden="1" x14ac:dyDescent="0.25">
      <c r="B28" s="11">
        <v>1004055</v>
      </c>
      <c r="C28" s="15" t="s">
        <v>110</v>
      </c>
      <c r="D28" s="30">
        <f>'เย็น 386'!D28+'เช้า 212'!D28</f>
        <v>0</v>
      </c>
      <c r="E28" s="30">
        <f>'เย็น 386'!E28+'เช้า 212'!E28</f>
        <v>0</v>
      </c>
      <c r="F28" s="30">
        <f>'เย็น 386'!F28+'เช้า 212'!F28</f>
        <v>0</v>
      </c>
      <c r="G28" s="30">
        <f>'เย็น 386'!G28+'เช้า 212'!G28</f>
        <v>0</v>
      </c>
      <c r="H28" s="30">
        <f>'เย็น 386'!H28+'เช้า 212'!H28</f>
        <v>0</v>
      </c>
      <c r="I28" s="30">
        <f>'เย็น 386'!I28+'เช้า 212'!I28</f>
        <v>0</v>
      </c>
      <c r="J28" s="30">
        <f>'เย็น 386'!J28+'เช้า 212'!J28</f>
        <v>0</v>
      </c>
      <c r="K28" s="36">
        <f t="shared" si="0"/>
        <v>0</v>
      </c>
      <c r="L28" s="11"/>
      <c r="M28" s="11"/>
      <c r="N28" s="11"/>
      <c r="O28" s="11"/>
      <c r="P28" s="50">
        <f t="shared" si="1"/>
        <v>0</v>
      </c>
      <c r="S28" s="52">
        <f t="shared" si="2"/>
        <v>0</v>
      </c>
    </row>
    <row r="29" spans="2:21" hidden="1" x14ac:dyDescent="0.25">
      <c r="B29" s="11">
        <v>1004055</v>
      </c>
      <c r="C29" s="15" t="s">
        <v>111</v>
      </c>
      <c r="D29" s="30">
        <f>'เย็น 386'!D29+'เช้า 212'!D29</f>
        <v>0</v>
      </c>
      <c r="E29" s="30">
        <f>'เย็น 386'!E29+'เช้า 212'!E29</f>
        <v>0</v>
      </c>
      <c r="F29" s="30">
        <f>'เย็น 386'!F29+'เช้า 212'!F29</f>
        <v>0</v>
      </c>
      <c r="G29" s="30">
        <f>'เย็น 386'!G29+'เช้า 212'!G29</f>
        <v>0</v>
      </c>
      <c r="H29" s="30">
        <f>'เย็น 386'!H29+'เช้า 212'!H29</f>
        <v>0</v>
      </c>
      <c r="I29" s="30">
        <f>'เย็น 386'!I29+'เช้า 212'!I29</f>
        <v>0</v>
      </c>
      <c r="J29" s="30">
        <f>'เย็น 386'!J29+'เช้า 212'!J29</f>
        <v>0</v>
      </c>
      <c r="K29" s="36">
        <f t="shared" si="0"/>
        <v>0</v>
      </c>
      <c r="L29" s="11"/>
      <c r="M29" s="11"/>
      <c r="N29" s="11"/>
      <c r="O29" s="11"/>
      <c r="P29" s="50">
        <f t="shared" si="1"/>
        <v>0</v>
      </c>
      <c r="S29" s="52">
        <f t="shared" si="2"/>
        <v>0</v>
      </c>
    </row>
    <row r="30" spans="2:21" hidden="1" x14ac:dyDescent="0.25">
      <c r="B30" s="11">
        <v>1004055</v>
      </c>
      <c r="C30" s="15" t="s">
        <v>112</v>
      </c>
      <c r="D30" s="30">
        <f>'เย็น 386'!D30+'เช้า 212'!D30</f>
        <v>0</v>
      </c>
      <c r="E30" s="30">
        <f>'เย็น 386'!E30+'เช้า 212'!E30</f>
        <v>0</v>
      </c>
      <c r="F30" s="30">
        <f>'เย็น 386'!F30+'เช้า 212'!F30</f>
        <v>0</v>
      </c>
      <c r="G30" s="30">
        <f>'เย็น 386'!G30+'เช้า 212'!G30</f>
        <v>0</v>
      </c>
      <c r="H30" s="30">
        <f>'เย็น 386'!H30+'เช้า 212'!H30</f>
        <v>0</v>
      </c>
      <c r="I30" s="30">
        <f>'เย็น 386'!I30+'เช้า 212'!I30</f>
        <v>0</v>
      </c>
      <c r="J30" s="30">
        <f>'เย็น 386'!J30+'เช้า 212'!J30</f>
        <v>0</v>
      </c>
      <c r="K30" s="36">
        <f t="shared" si="0"/>
        <v>0</v>
      </c>
      <c r="L30" s="11"/>
      <c r="M30" s="11"/>
      <c r="N30" s="11"/>
      <c r="O30" s="11"/>
      <c r="P30" s="50">
        <f t="shared" si="1"/>
        <v>0</v>
      </c>
      <c r="S30" s="52">
        <f t="shared" si="2"/>
        <v>0</v>
      </c>
    </row>
    <row r="31" spans="2:21" hidden="1" x14ac:dyDescent="0.25">
      <c r="B31" s="11">
        <v>1004055</v>
      </c>
      <c r="C31" s="15" t="s">
        <v>113</v>
      </c>
      <c r="D31" s="30">
        <f>'เย็น 386'!D31+'เช้า 212'!D31</f>
        <v>0</v>
      </c>
      <c r="E31" s="30">
        <f>'เย็น 386'!E31+'เช้า 212'!E31</f>
        <v>0</v>
      </c>
      <c r="F31" s="30">
        <f>'เย็น 386'!F31+'เช้า 212'!F31</f>
        <v>0</v>
      </c>
      <c r="G31" s="30">
        <f>'เย็น 386'!G31+'เช้า 212'!G31</f>
        <v>0</v>
      </c>
      <c r="H31" s="30">
        <f>'เย็น 386'!H31+'เช้า 212'!H31</f>
        <v>0</v>
      </c>
      <c r="I31" s="30">
        <f>'เย็น 386'!I31+'เช้า 212'!I31</f>
        <v>0</v>
      </c>
      <c r="J31" s="30">
        <f>'เย็น 386'!J31+'เช้า 212'!J31</f>
        <v>0</v>
      </c>
      <c r="K31" s="36">
        <f t="shared" si="0"/>
        <v>0</v>
      </c>
      <c r="L31" s="11"/>
      <c r="M31" s="11"/>
      <c r="N31" s="11"/>
      <c r="O31" s="11"/>
      <c r="P31" s="50">
        <f t="shared" si="1"/>
        <v>0</v>
      </c>
      <c r="S31" s="52">
        <f t="shared" si="2"/>
        <v>0</v>
      </c>
    </row>
    <row r="32" spans="2:21" hidden="1" x14ac:dyDescent="0.25">
      <c r="B32" s="11">
        <v>1004055</v>
      </c>
      <c r="C32" s="15" t="s">
        <v>114</v>
      </c>
      <c r="D32" s="30">
        <f>'เย็น 386'!D32+'เช้า 212'!D32</f>
        <v>0</v>
      </c>
      <c r="E32" s="30">
        <f>'เย็น 386'!E32+'เช้า 212'!E32</f>
        <v>0</v>
      </c>
      <c r="F32" s="30">
        <f>'เย็น 386'!F32+'เช้า 212'!F32</f>
        <v>0</v>
      </c>
      <c r="G32" s="30">
        <f>'เย็น 386'!G32+'เช้า 212'!G32</f>
        <v>0</v>
      </c>
      <c r="H32" s="30">
        <f>'เย็น 386'!H32+'เช้า 212'!H32</f>
        <v>0</v>
      </c>
      <c r="I32" s="30">
        <f>'เย็น 386'!I32+'เช้า 212'!I32</f>
        <v>0</v>
      </c>
      <c r="J32" s="30">
        <f>'เย็น 386'!J32+'เช้า 212'!J32</f>
        <v>0</v>
      </c>
      <c r="K32" s="36">
        <f t="shared" si="0"/>
        <v>0</v>
      </c>
      <c r="L32" s="11"/>
      <c r="M32" s="11"/>
      <c r="N32" s="11"/>
      <c r="O32" s="11"/>
      <c r="P32" s="50">
        <f t="shared" si="1"/>
        <v>0</v>
      </c>
      <c r="S32" s="52">
        <f t="shared" si="2"/>
        <v>0</v>
      </c>
    </row>
    <row r="33" spans="2:19" hidden="1" x14ac:dyDescent="0.25">
      <c r="B33" s="11">
        <v>1004055</v>
      </c>
      <c r="C33" s="15" t="s">
        <v>115</v>
      </c>
      <c r="D33" s="30">
        <f>'เย็น 386'!D33+'เช้า 212'!D33</f>
        <v>0</v>
      </c>
      <c r="E33" s="30">
        <f>'เย็น 386'!E33+'เช้า 212'!E33</f>
        <v>0</v>
      </c>
      <c r="F33" s="30">
        <f>'เย็น 386'!F33+'เช้า 212'!F33</f>
        <v>0</v>
      </c>
      <c r="G33" s="30">
        <f>'เย็น 386'!G33+'เช้า 212'!G33</f>
        <v>0</v>
      </c>
      <c r="H33" s="30">
        <f>'เย็น 386'!H33+'เช้า 212'!H33</f>
        <v>0</v>
      </c>
      <c r="I33" s="30">
        <f>'เย็น 386'!I33+'เช้า 212'!I33</f>
        <v>0</v>
      </c>
      <c r="J33" s="30">
        <f>'เย็น 386'!J33+'เช้า 212'!J33</f>
        <v>0</v>
      </c>
      <c r="K33" s="36">
        <f t="shared" si="0"/>
        <v>0</v>
      </c>
      <c r="L33" s="11"/>
      <c r="M33" s="11"/>
      <c r="N33" s="11"/>
      <c r="O33" s="11"/>
      <c r="P33" s="50">
        <f t="shared" si="1"/>
        <v>0</v>
      </c>
      <c r="S33" s="52">
        <f t="shared" si="2"/>
        <v>0</v>
      </c>
    </row>
    <row r="34" spans="2:19" hidden="1" x14ac:dyDescent="0.25">
      <c r="B34" s="11">
        <v>1004055</v>
      </c>
      <c r="C34" s="15" t="s">
        <v>29</v>
      </c>
      <c r="D34" s="30">
        <f>'เย็น 386'!D34+'เช้า 212'!D34</f>
        <v>0</v>
      </c>
      <c r="E34" s="30">
        <f>'เย็น 386'!E34+'เช้า 212'!E34</f>
        <v>0</v>
      </c>
      <c r="F34" s="30">
        <f>'เย็น 386'!F34+'เช้า 212'!F34</f>
        <v>0</v>
      </c>
      <c r="G34" s="30">
        <f>'เย็น 386'!G34+'เช้า 212'!G34</f>
        <v>0</v>
      </c>
      <c r="H34" s="30">
        <f>'เย็น 386'!H34+'เช้า 212'!H34</f>
        <v>0</v>
      </c>
      <c r="I34" s="30">
        <f>'เย็น 386'!I34+'เช้า 212'!I34</f>
        <v>0</v>
      </c>
      <c r="J34" s="30">
        <f>'เย็น 386'!J34+'เช้า 212'!J34</f>
        <v>0</v>
      </c>
      <c r="K34" s="36">
        <f t="shared" si="0"/>
        <v>0</v>
      </c>
      <c r="L34" s="11"/>
      <c r="M34" s="11"/>
      <c r="N34" s="11"/>
      <c r="O34" s="11"/>
      <c r="P34" s="50">
        <f t="shared" si="1"/>
        <v>0</v>
      </c>
      <c r="S34" s="52">
        <f t="shared" si="2"/>
        <v>0</v>
      </c>
    </row>
    <row r="35" spans="2:19" hidden="1" x14ac:dyDescent="0.25">
      <c r="B35" s="11">
        <v>1004055</v>
      </c>
      <c r="C35" s="15" t="s">
        <v>116</v>
      </c>
      <c r="D35" s="30">
        <f>'เย็น 386'!D35+'เช้า 212'!D35</f>
        <v>0</v>
      </c>
      <c r="E35" s="30">
        <f>'เย็น 386'!E35+'เช้า 212'!E35</f>
        <v>0</v>
      </c>
      <c r="F35" s="30">
        <f>'เย็น 386'!F35+'เช้า 212'!F35</f>
        <v>0</v>
      </c>
      <c r="G35" s="30">
        <f>'เย็น 386'!G35+'เช้า 212'!G35</f>
        <v>0</v>
      </c>
      <c r="H35" s="30">
        <f>'เย็น 386'!H35+'เช้า 212'!H35</f>
        <v>0</v>
      </c>
      <c r="I35" s="30">
        <f>'เย็น 386'!I35+'เช้า 212'!I35</f>
        <v>0</v>
      </c>
      <c r="J35" s="30">
        <f>'เย็น 386'!J35+'เช้า 212'!J35</f>
        <v>0</v>
      </c>
      <c r="K35" s="36">
        <f t="shared" si="0"/>
        <v>0</v>
      </c>
      <c r="L35" s="11"/>
      <c r="M35" s="11"/>
      <c r="N35" s="11"/>
      <c r="O35" s="11"/>
      <c r="P35" s="50">
        <f t="shared" si="1"/>
        <v>0</v>
      </c>
      <c r="S35" s="52">
        <f t="shared" si="2"/>
        <v>0</v>
      </c>
    </row>
    <row r="36" spans="2:19" hidden="1" x14ac:dyDescent="0.25">
      <c r="B36" s="11">
        <v>1004055</v>
      </c>
      <c r="C36" s="15" t="s">
        <v>117</v>
      </c>
      <c r="D36" s="30">
        <f>'เย็น 386'!D36+'เช้า 212'!D36</f>
        <v>0</v>
      </c>
      <c r="E36" s="30">
        <f>'เย็น 386'!E36+'เช้า 212'!E36</f>
        <v>0</v>
      </c>
      <c r="F36" s="30">
        <f>'เย็น 386'!F36+'เช้า 212'!F36</f>
        <v>0</v>
      </c>
      <c r="G36" s="30">
        <f>'เย็น 386'!G36+'เช้า 212'!G36</f>
        <v>0</v>
      </c>
      <c r="H36" s="30">
        <f>'เย็น 386'!H36+'เช้า 212'!H36</f>
        <v>0</v>
      </c>
      <c r="I36" s="30">
        <f>'เย็น 386'!I36+'เช้า 212'!I36</f>
        <v>0</v>
      </c>
      <c r="J36" s="30">
        <f>'เย็น 386'!J36+'เช้า 212'!J36</f>
        <v>0</v>
      </c>
      <c r="K36" s="36">
        <f t="shared" si="0"/>
        <v>0</v>
      </c>
      <c r="L36" s="11"/>
      <c r="M36" s="11"/>
      <c r="N36" s="11"/>
      <c r="O36" s="11"/>
      <c r="P36" s="50">
        <f t="shared" si="1"/>
        <v>0</v>
      </c>
      <c r="S36" s="52">
        <f t="shared" si="2"/>
        <v>0</v>
      </c>
    </row>
    <row r="37" spans="2:19" hidden="1" x14ac:dyDescent="0.25">
      <c r="B37" s="11">
        <v>1004055</v>
      </c>
      <c r="C37" s="15" t="s">
        <v>118</v>
      </c>
      <c r="D37" s="30">
        <f>'เย็น 386'!D37+'เช้า 212'!D37</f>
        <v>0</v>
      </c>
      <c r="E37" s="30">
        <f>'เย็น 386'!E37+'เช้า 212'!E37</f>
        <v>0</v>
      </c>
      <c r="F37" s="30">
        <f>'เย็น 386'!F37+'เช้า 212'!F37</f>
        <v>0</v>
      </c>
      <c r="G37" s="30">
        <f>'เย็น 386'!G37+'เช้า 212'!G37</f>
        <v>0</v>
      </c>
      <c r="H37" s="30">
        <f>'เย็น 386'!H37+'เช้า 212'!H37</f>
        <v>0</v>
      </c>
      <c r="I37" s="30">
        <f>'เย็น 386'!I37+'เช้า 212'!I37</f>
        <v>0</v>
      </c>
      <c r="J37" s="30">
        <f>'เย็น 386'!J37+'เช้า 212'!J37</f>
        <v>0</v>
      </c>
      <c r="K37" s="36">
        <f t="shared" si="0"/>
        <v>0</v>
      </c>
      <c r="L37" s="11"/>
      <c r="M37" s="11"/>
      <c r="N37" s="11"/>
      <c r="O37" s="11"/>
      <c r="P37" s="50">
        <f t="shared" si="1"/>
        <v>0</v>
      </c>
      <c r="S37" s="52">
        <f t="shared" si="2"/>
        <v>0</v>
      </c>
    </row>
    <row r="38" spans="2:19" hidden="1" x14ac:dyDescent="0.25">
      <c r="B38" s="11">
        <v>1004055</v>
      </c>
      <c r="C38" s="15" t="s">
        <v>119</v>
      </c>
      <c r="D38" s="30">
        <f>'เย็น 386'!D38+'เช้า 212'!D38</f>
        <v>0</v>
      </c>
      <c r="E38" s="30">
        <f>'เย็น 386'!E38+'เช้า 212'!E38</f>
        <v>0</v>
      </c>
      <c r="F38" s="30">
        <f>'เย็น 386'!F38+'เช้า 212'!F38</f>
        <v>0</v>
      </c>
      <c r="G38" s="30">
        <f>'เย็น 386'!G38+'เช้า 212'!G38</f>
        <v>0</v>
      </c>
      <c r="H38" s="30">
        <f>'เย็น 386'!H38+'เช้า 212'!H38</f>
        <v>0</v>
      </c>
      <c r="I38" s="30">
        <f>'เย็น 386'!I38+'เช้า 212'!I38</f>
        <v>0</v>
      </c>
      <c r="J38" s="30">
        <f>'เย็น 386'!J38+'เช้า 212'!J38</f>
        <v>0</v>
      </c>
      <c r="K38" s="36">
        <f t="shared" si="0"/>
        <v>0</v>
      </c>
      <c r="L38" s="11"/>
      <c r="M38" s="11"/>
      <c r="N38" s="11"/>
      <c r="O38" s="11"/>
      <c r="P38" s="50">
        <f t="shared" si="1"/>
        <v>0</v>
      </c>
      <c r="S38" s="52">
        <f t="shared" si="2"/>
        <v>0</v>
      </c>
    </row>
    <row r="39" spans="2:19" hidden="1" x14ac:dyDescent="0.25">
      <c r="B39" s="11">
        <v>1004055</v>
      </c>
      <c r="C39" s="15" t="s">
        <v>120</v>
      </c>
      <c r="D39" s="30">
        <f>'เย็น 386'!D39+'เช้า 212'!D39</f>
        <v>0</v>
      </c>
      <c r="E39" s="30">
        <f>'เย็น 386'!E39+'เช้า 212'!E39</f>
        <v>0</v>
      </c>
      <c r="F39" s="30">
        <f>'เย็น 386'!F39+'เช้า 212'!F39</f>
        <v>0</v>
      </c>
      <c r="G39" s="30">
        <f>'เย็น 386'!G39+'เช้า 212'!G39</f>
        <v>0</v>
      </c>
      <c r="H39" s="30">
        <f>'เย็น 386'!H39+'เช้า 212'!H39</f>
        <v>0</v>
      </c>
      <c r="I39" s="30">
        <f>'เย็น 386'!I39+'เช้า 212'!I39</f>
        <v>0</v>
      </c>
      <c r="J39" s="30">
        <f>'เย็น 386'!J39+'เช้า 212'!J39</f>
        <v>0</v>
      </c>
      <c r="K39" s="36">
        <f t="shared" si="0"/>
        <v>0</v>
      </c>
      <c r="L39" s="11"/>
      <c r="M39" s="11"/>
      <c r="N39" s="11"/>
      <c r="O39" s="11"/>
      <c r="P39" s="50">
        <f t="shared" si="1"/>
        <v>0</v>
      </c>
      <c r="S39" s="52">
        <f t="shared" si="2"/>
        <v>0</v>
      </c>
    </row>
    <row r="40" spans="2:19" x14ac:dyDescent="0.25">
      <c r="B40" s="11">
        <v>1111057</v>
      </c>
      <c r="C40" s="15" t="s">
        <v>30</v>
      </c>
      <c r="D40" s="30">
        <f>'เย็น 386'!D40+'เช้า 212'!D40</f>
        <v>1</v>
      </c>
      <c r="E40" s="30">
        <f>'เย็น 386'!E40+'เช้า 212'!E40</f>
        <v>0</v>
      </c>
      <c r="F40" s="30">
        <f>'เย็น 386'!F40+'เช้า 212'!F40</f>
        <v>1</v>
      </c>
      <c r="G40" s="30">
        <f>'เย็น 386'!G40+'เช้า 212'!G40</f>
        <v>33</v>
      </c>
      <c r="H40" s="30">
        <f>'เย็น 386'!H40+'เช้า 212'!H40</f>
        <v>1</v>
      </c>
      <c r="I40" s="30">
        <f>'เย็น 386'!I40+'เช้า 212'!I40</f>
        <v>0</v>
      </c>
      <c r="J40" s="30">
        <f>'เย็น 386'!J40+'เช้า 212'!J40</f>
        <v>1</v>
      </c>
      <c r="K40" s="36">
        <f t="shared" si="0"/>
        <v>37</v>
      </c>
      <c r="L40" s="11"/>
      <c r="M40" s="11"/>
      <c r="N40" s="11"/>
      <c r="O40" s="11"/>
      <c r="P40" s="50">
        <f t="shared" si="1"/>
        <v>-37</v>
      </c>
      <c r="S40" s="52"/>
    </row>
    <row r="41" spans="2:19" x14ac:dyDescent="0.25">
      <c r="B41" s="11">
        <v>1111058</v>
      </c>
      <c r="C41" s="15" t="s">
        <v>31</v>
      </c>
      <c r="D41" s="30">
        <f>'เย็น 386'!D41+'เช้า 212'!D41</f>
        <v>1</v>
      </c>
      <c r="E41" s="30">
        <f>'เย็น 386'!E41+'เช้า 212'!E41</f>
        <v>0</v>
      </c>
      <c r="F41" s="30">
        <f>'เย็น 386'!F41+'เช้า 212'!F41</f>
        <v>1</v>
      </c>
      <c r="G41" s="30">
        <f>'เย็น 386'!G41+'เช้า 212'!G41</f>
        <v>17</v>
      </c>
      <c r="H41" s="30">
        <f>'เย็น 386'!H41+'เช้า 212'!H41</f>
        <v>1</v>
      </c>
      <c r="I41" s="30">
        <f>'เย็น 386'!I41+'เช้า 212'!I41</f>
        <v>0</v>
      </c>
      <c r="J41" s="30">
        <f>'เย็น 386'!J41+'เช้า 212'!J41</f>
        <v>0</v>
      </c>
      <c r="K41" s="36">
        <f t="shared" si="0"/>
        <v>20</v>
      </c>
      <c r="L41" s="11"/>
      <c r="M41" s="11"/>
      <c r="N41" s="11"/>
      <c r="O41" s="11"/>
      <c r="P41" s="50">
        <f t="shared" si="1"/>
        <v>-20</v>
      </c>
      <c r="S41" s="52"/>
    </row>
    <row r="42" spans="2:19" x14ac:dyDescent="0.25">
      <c r="B42" s="11">
        <v>1111059</v>
      </c>
      <c r="C42" s="15" t="s">
        <v>32</v>
      </c>
      <c r="D42" s="30">
        <f>'เย็น 386'!D42+'เช้า 212'!D42</f>
        <v>1</v>
      </c>
      <c r="E42" s="30">
        <f>'เย็น 386'!E42+'เช้า 212'!E42</f>
        <v>0</v>
      </c>
      <c r="F42" s="30">
        <f>'เย็น 386'!F42+'เช้า 212'!F42</f>
        <v>1</v>
      </c>
      <c r="G42" s="30">
        <f>'เย็น 386'!G42+'เช้า 212'!G42</f>
        <v>33</v>
      </c>
      <c r="H42" s="30">
        <f>'เย็น 386'!H42+'เช้า 212'!H42</f>
        <v>1</v>
      </c>
      <c r="I42" s="30">
        <f>'เย็น 386'!I42+'เช้า 212'!I42</f>
        <v>0</v>
      </c>
      <c r="J42" s="30">
        <f>'เย็น 386'!J42+'เช้า 212'!J42</f>
        <v>0</v>
      </c>
      <c r="K42" s="36">
        <f t="shared" si="0"/>
        <v>36</v>
      </c>
      <c r="L42" s="11"/>
      <c r="M42" s="11"/>
      <c r="N42" s="11"/>
      <c r="O42" s="11"/>
      <c r="P42" s="50">
        <f t="shared" si="1"/>
        <v>-36</v>
      </c>
      <c r="S42" s="52"/>
    </row>
    <row r="43" spans="2:19" x14ac:dyDescent="0.25">
      <c r="B43" s="11">
        <v>1111060</v>
      </c>
      <c r="C43" s="15" t="s">
        <v>33</v>
      </c>
      <c r="D43" s="30">
        <f>'เย็น 386'!D43+'เช้า 212'!D43</f>
        <v>0</v>
      </c>
      <c r="E43" s="30">
        <f>'เย็น 386'!E43+'เช้า 212'!E43</f>
        <v>0</v>
      </c>
      <c r="F43" s="30">
        <f>'เย็น 386'!F43+'เช้า 212'!F43</f>
        <v>1</v>
      </c>
      <c r="G43" s="30">
        <f>'เย็น 386'!G43+'เช้า 212'!G43</f>
        <v>0</v>
      </c>
      <c r="H43" s="30">
        <f>'เย็น 386'!H43+'เช้า 212'!H43</f>
        <v>1</v>
      </c>
      <c r="I43" s="30">
        <f>'เย็น 386'!I43+'เช้า 212'!I43</f>
        <v>0</v>
      </c>
      <c r="J43" s="30">
        <f>'เย็น 386'!J43+'เช้า 212'!J43</f>
        <v>0</v>
      </c>
      <c r="K43" s="36">
        <f t="shared" si="0"/>
        <v>2</v>
      </c>
      <c r="L43" s="11"/>
      <c r="M43" s="11"/>
      <c r="N43" s="11"/>
      <c r="O43" s="11"/>
      <c r="P43" s="50">
        <f t="shared" si="1"/>
        <v>-2</v>
      </c>
      <c r="S43" s="52"/>
    </row>
    <row r="44" spans="2:19" x14ac:dyDescent="0.25">
      <c r="B44" s="11">
        <v>1111061</v>
      </c>
      <c r="C44" s="15" t="s">
        <v>34</v>
      </c>
      <c r="D44" s="30">
        <f>'เย็น 386'!D44+'เช้า 212'!D44</f>
        <v>0</v>
      </c>
      <c r="E44" s="30">
        <f>'เย็น 386'!E44+'เช้า 212'!E44</f>
        <v>0</v>
      </c>
      <c r="F44" s="30">
        <f>'เย็น 386'!F44+'เช้า 212'!F44</f>
        <v>0</v>
      </c>
      <c r="G44" s="30">
        <f>'เย็น 386'!G44+'เช้า 212'!G44</f>
        <v>8</v>
      </c>
      <c r="H44" s="30">
        <f>'เย็น 386'!H44+'เช้า 212'!H44</f>
        <v>0</v>
      </c>
      <c r="I44" s="30">
        <f>'เย็น 386'!I44+'เช้า 212'!I44</f>
        <v>0</v>
      </c>
      <c r="J44" s="30">
        <f>'เย็น 386'!J44+'เช้า 212'!J44</f>
        <v>0</v>
      </c>
      <c r="K44" s="36">
        <f t="shared" si="0"/>
        <v>8</v>
      </c>
      <c r="L44" s="11"/>
      <c r="M44" s="11"/>
      <c r="N44" s="11"/>
      <c r="O44" s="11"/>
      <c r="P44" s="50">
        <f t="shared" si="1"/>
        <v>-8</v>
      </c>
      <c r="S44" s="52"/>
    </row>
    <row r="45" spans="2:19" x14ac:dyDescent="0.25">
      <c r="B45" s="11">
        <v>1111062</v>
      </c>
      <c r="C45" s="15" t="s">
        <v>35</v>
      </c>
      <c r="D45" s="30">
        <f>'เย็น 386'!D45+'เช้า 212'!D45</f>
        <v>0</v>
      </c>
      <c r="E45" s="30">
        <f>'เย็น 386'!E45+'เช้า 212'!E45</f>
        <v>0</v>
      </c>
      <c r="F45" s="30">
        <f>'เย็น 386'!F45+'เช้า 212'!F45</f>
        <v>0</v>
      </c>
      <c r="G45" s="30">
        <f>'เย็น 386'!G45+'เช้า 212'!G45</f>
        <v>8</v>
      </c>
      <c r="H45" s="30">
        <f>'เย็น 386'!H45+'เช้า 212'!H45</f>
        <v>0</v>
      </c>
      <c r="I45" s="30">
        <f>'เย็น 386'!I45+'เช้า 212'!I45</f>
        <v>0</v>
      </c>
      <c r="J45" s="30">
        <f>'เย็น 386'!J45+'เช้า 212'!J45</f>
        <v>0</v>
      </c>
      <c r="K45" s="36">
        <f t="shared" si="0"/>
        <v>8</v>
      </c>
      <c r="L45" s="11"/>
      <c r="M45" s="11"/>
      <c r="N45" s="11"/>
      <c r="O45" s="11"/>
      <c r="P45" s="50">
        <f t="shared" si="1"/>
        <v>-8</v>
      </c>
      <c r="S45" s="52"/>
    </row>
    <row r="46" spans="2:19" x14ac:dyDescent="0.25">
      <c r="B46" s="11">
        <v>1111063</v>
      </c>
      <c r="C46" s="15" t="s">
        <v>36</v>
      </c>
      <c r="D46" s="30">
        <f>'เย็น 386'!D46+'เช้า 212'!D46</f>
        <v>0</v>
      </c>
      <c r="E46" s="30">
        <f>'เย็น 386'!E46+'เช้า 212'!E46</f>
        <v>0</v>
      </c>
      <c r="F46" s="30">
        <f>'เย็น 386'!F46+'เช้า 212'!F46</f>
        <v>1</v>
      </c>
      <c r="G46" s="30">
        <f>'เย็น 386'!G46+'เช้า 212'!G46</f>
        <v>12</v>
      </c>
      <c r="H46" s="30">
        <f>'เย็น 386'!H46+'เช้า 212'!H46</f>
        <v>1</v>
      </c>
      <c r="I46" s="30">
        <f>'เย็น 386'!I46+'เช้า 212'!I46</f>
        <v>0</v>
      </c>
      <c r="J46" s="30">
        <f>'เย็น 386'!J46+'เช้า 212'!J46</f>
        <v>0</v>
      </c>
      <c r="K46" s="36">
        <f t="shared" si="0"/>
        <v>14</v>
      </c>
      <c r="L46" s="11"/>
      <c r="M46" s="11"/>
      <c r="N46" s="11"/>
      <c r="O46" s="11"/>
      <c r="P46" s="50">
        <f t="shared" si="1"/>
        <v>-14</v>
      </c>
      <c r="S46" s="52"/>
    </row>
    <row r="47" spans="2:19" x14ac:dyDescent="0.25">
      <c r="B47" s="11">
        <v>1111064</v>
      </c>
      <c r="C47" s="15" t="s">
        <v>37</v>
      </c>
      <c r="D47" s="30">
        <f>'เย็น 386'!D47+'เช้า 212'!D47</f>
        <v>0</v>
      </c>
      <c r="E47" s="30">
        <f>'เย็น 386'!E47+'เช้า 212'!E47</f>
        <v>0</v>
      </c>
      <c r="F47" s="30">
        <f>'เย็น 386'!F47+'เช้า 212'!F47</f>
        <v>0</v>
      </c>
      <c r="G47" s="30">
        <f>'เย็น 386'!G47+'เช้า 212'!G47</f>
        <v>12</v>
      </c>
      <c r="H47" s="30">
        <f>'เย็น 386'!H47+'เช้า 212'!H47</f>
        <v>0</v>
      </c>
      <c r="I47" s="30">
        <f>'เย็น 386'!I47+'เช้า 212'!I47</f>
        <v>0</v>
      </c>
      <c r="J47" s="30">
        <f>'เย็น 386'!J47+'เช้า 212'!J47</f>
        <v>0</v>
      </c>
      <c r="K47" s="36">
        <f t="shared" si="0"/>
        <v>12</v>
      </c>
      <c r="L47" s="11"/>
      <c r="M47" s="11"/>
      <c r="N47" s="11"/>
      <c r="O47" s="11"/>
      <c r="P47" s="50">
        <f t="shared" ref="P47:P71" si="3">(L47+M47+N47+O47)-K47</f>
        <v>-12</v>
      </c>
      <c r="S47" s="52"/>
    </row>
    <row r="48" spans="2:19" x14ac:dyDescent="0.25">
      <c r="B48" s="11">
        <v>1111065</v>
      </c>
      <c r="C48" s="15" t="s">
        <v>38</v>
      </c>
      <c r="D48" s="30">
        <f>'เย็น 386'!D48+'เช้า 212'!D48</f>
        <v>0</v>
      </c>
      <c r="E48" s="30">
        <f>'เย็น 386'!E48+'เช้า 212'!E48</f>
        <v>0</v>
      </c>
      <c r="F48" s="30">
        <f>'เย็น 386'!F48+'เช้า 212'!F48</f>
        <v>1</v>
      </c>
      <c r="G48" s="30">
        <f>'เย็น 386'!G48+'เช้า 212'!G48</f>
        <v>0</v>
      </c>
      <c r="H48" s="30">
        <f>'เย็น 386'!H48+'เช้า 212'!H48</f>
        <v>1</v>
      </c>
      <c r="I48" s="30">
        <f>'เย็น 386'!I48+'เช้า 212'!I48</f>
        <v>0</v>
      </c>
      <c r="J48" s="30">
        <f>'เย็น 386'!J48+'เช้า 212'!J48</f>
        <v>0</v>
      </c>
      <c r="K48" s="36">
        <f t="shared" si="0"/>
        <v>2</v>
      </c>
      <c r="L48" s="11"/>
      <c r="M48" s="11"/>
      <c r="N48" s="11"/>
      <c r="O48" s="11"/>
      <c r="P48" s="50">
        <f t="shared" si="3"/>
        <v>-2</v>
      </c>
      <c r="S48" s="52"/>
    </row>
    <row r="49" spans="2:20" x14ac:dyDescent="0.25">
      <c r="B49" s="11">
        <v>1111066</v>
      </c>
      <c r="C49" s="15" t="s">
        <v>39</v>
      </c>
      <c r="D49" s="30">
        <f>'เย็น 386'!D49+'เช้า 212'!D49</f>
        <v>0</v>
      </c>
      <c r="E49" s="30">
        <f>'เย็น 386'!E49+'เช้า 212'!E49</f>
        <v>0</v>
      </c>
      <c r="F49" s="30">
        <f>'เย็น 386'!F49+'เช้า 212'!F49</f>
        <v>1</v>
      </c>
      <c r="G49" s="30">
        <f>'เย็น 386'!G49+'เช้า 212'!G49</f>
        <v>12</v>
      </c>
      <c r="H49" s="30">
        <f>'เย็น 386'!H49+'เช้า 212'!H49</f>
        <v>1</v>
      </c>
      <c r="I49" s="30">
        <f>'เย็น 386'!I49+'เช้า 212'!I49</f>
        <v>0</v>
      </c>
      <c r="J49" s="30">
        <f>'เย็น 386'!J49+'เช้า 212'!J49</f>
        <v>0</v>
      </c>
      <c r="K49" s="36">
        <f t="shared" si="0"/>
        <v>14</v>
      </c>
      <c r="L49" s="11"/>
      <c r="M49" s="11"/>
      <c r="N49" s="11"/>
      <c r="O49" s="11"/>
      <c r="P49" s="50">
        <f t="shared" si="3"/>
        <v>-14</v>
      </c>
      <c r="S49" s="52"/>
    </row>
    <row r="50" spans="2:20" x14ac:dyDescent="0.25">
      <c r="B50" s="11">
        <v>1111067</v>
      </c>
      <c r="C50" s="15" t="s">
        <v>40</v>
      </c>
      <c r="D50" s="30">
        <f>'เย็น 386'!D50+'เช้า 212'!D50</f>
        <v>0</v>
      </c>
      <c r="E50" s="30">
        <f>'เย็น 386'!E50+'เช้า 212'!E50</f>
        <v>0</v>
      </c>
      <c r="F50" s="30">
        <f>'เย็น 386'!F50+'เช้า 212'!F50</f>
        <v>1</v>
      </c>
      <c r="G50" s="30">
        <f>'เย็น 386'!G50+'เช้า 212'!G50</f>
        <v>32</v>
      </c>
      <c r="H50" s="30">
        <f>'เย็น 386'!H50+'เช้า 212'!H50</f>
        <v>1</v>
      </c>
      <c r="I50" s="30">
        <f>'เย็น 386'!I50+'เช้า 212'!I50</f>
        <v>0</v>
      </c>
      <c r="J50" s="30">
        <f>'เย็น 386'!J50+'เช้า 212'!J50</f>
        <v>0</v>
      </c>
      <c r="K50" s="36">
        <f t="shared" si="0"/>
        <v>34</v>
      </c>
      <c r="L50" s="11"/>
      <c r="M50" s="11"/>
      <c r="N50" s="11"/>
      <c r="O50" s="11"/>
      <c r="P50" s="50">
        <f t="shared" si="3"/>
        <v>-34</v>
      </c>
      <c r="S50" s="52"/>
    </row>
    <row r="51" spans="2:20" x14ac:dyDescent="0.25">
      <c r="B51" s="11">
        <v>1111068</v>
      </c>
      <c r="C51" s="15" t="s">
        <v>41</v>
      </c>
      <c r="D51" s="30">
        <f>'เย็น 386'!D51+'เช้า 212'!D51</f>
        <v>0</v>
      </c>
      <c r="E51" s="30">
        <f>'เย็น 386'!E51+'เช้า 212'!E51</f>
        <v>0</v>
      </c>
      <c r="F51" s="30">
        <f>'เย็น 386'!F51+'เช้า 212'!F51</f>
        <v>1</v>
      </c>
      <c r="G51" s="30">
        <f>'เย็น 386'!G51+'เช้า 212'!G51</f>
        <v>24</v>
      </c>
      <c r="H51" s="30">
        <f>'เย็น 386'!H51+'เช้า 212'!H51</f>
        <v>1</v>
      </c>
      <c r="I51" s="30">
        <f>'เย็น 386'!I51+'เช้า 212'!I51</f>
        <v>0</v>
      </c>
      <c r="J51" s="30">
        <f>'เย็น 386'!J51+'เช้า 212'!J51</f>
        <v>0</v>
      </c>
      <c r="K51" s="36">
        <f t="shared" si="0"/>
        <v>26</v>
      </c>
      <c r="L51" s="11"/>
      <c r="M51" s="11"/>
      <c r="N51" s="11"/>
      <c r="O51" s="11"/>
      <c r="P51" s="50">
        <f t="shared" si="3"/>
        <v>-26</v>
      </c>
      <c r="S51" s="52"/>
    </row>
    <row r="52" spans="2:20" x14ac:dyDescent="0.25">
      <c r="B52" s="11">
        <v>1111069</v>
      </c>
      <c r="C52" s="15" t="s">
        <v>42</v>
      </c>
      <c r="D52" s="30">
        <f>'เย็น 386'!D52+'เช้า 212'!D52</f>
        <v>0</v>
      </c>
      <c r="E52" s="30">
        <f>'เย็น 386'!E52+'เช้า 212'!E52</f>
        <v>0</v>
      </c>
      <c r="F52" s="30">
        <f>'เย็น 386'!F52+'เช้า 212'!F52</f>
        <v>1</v>
      </c>
      <c r="G52" s="30">
        <f>'เย็น 386'!G52+'เช้า 212'!G52</f>
        <v>12</v>
      </c>
      <c r="H52" s="30">
        <f>'เย็น 386'!H52+'เช้า 212'!H52</f>
        <v>1</v>
      </c>
      <c r="I52" s="30">
        <f>'เย็น 386'!I52+'เช้า 212'!I52</f>
        <v>0</v>
      </c>
      <c r="J52" s="30">
        <f>'เย็น 386'!J52+'เช้า 212'!J52</f>
        <v>0</v>
      </c>
      <c r="K52" s="36">
        <f t="shared" si="0"/>
        <v>14</v>
      </c>
      <c r="L52" s="11"/>
      <c r="M52" s="11"/>
      <c r="N52" s="11"/>
      <c r="O52" s="11"/>
      <c r="P52" s="50">
        <f t="shared" si="3"/>
        <v>-14</v>
      </c>
      <c r="R52" s="52"/>
      <c r="S52" s="52"/>
    </row>
    <row r="53" spans="2:20" hidden="1" x14ac:dyDescent="0.25">
      <c r="B53" s="11">
        <v>1111070</v>
      </c>
      <c r="C53" s="15" t="s">
        <v>128</v>
      </c>
      <c r="D53" s="30">
        <f>'เย็น 386'!D53+'เช้า 212'!D53</f>
        <v>0</v>
      </c>
      <c r="E53" s="30">
        <f>'เย็น 386'!E53+'เช้า 212'!E53</f>
        <v>0</v>
      </c>
      <c r="F53" s="30">
        <f>'เย็น 386'!F53+'เช้า 212'!F53</f>
        <v>0</v>
      </c>
      <c r="G53" s="30">
        <f>'เย็น 386'!G53+'เช้า 212'!G53</f>
        <v>0</v>
      </c>
      <c r="H53" s="30">
        <f>'เย็น 386'!H53+'เช้า 212'!H53</f>
        <v>0</v>
      </c>
      <c r="I53" s="30">
        <f>'เย็น 386'!I53+'เช้า 212'!I53</f>
        <v>0</v>
      </c>
      <c r="J53" s="30">
        <f>'เย็น 386'!J53+'เช้า 212'!J53</f>
        <v>0</v>
      </c>
      <c r="K53" s="36">
        <f t="shared" si="0"/>
        <v>0</v>
      </c>
      <c r="L53" s="11"/>
      <c r="M53" s="11"/>
      <c r="N53" s="11"/>
      <c r="O53" s="11"/>
      <c r="P53" s="50">
        <f t="shared" si="3"/>
        <v>0</v>
      </c>
      <c r="S53" s="52"/>
    </row>
    <row r="54" spans="2:20" hidden="1" x14ac:dyDescent="0.25">
      <c r="B54" s="11">
        <v>1111071</v>
      </c>
      <c r="C54" s="15" t="s">
        <v>129</v>
      </c>
      <c r="D54" s="30">
        <f>'เย็น 386'!D54+'เช้า 212'!D54</f>
        <v>0</v>
      </c>
      <c r="E54" s="30">
        <f>'เย็น 386'!E54+'เช้า 212'!E54</f>
        <v>0</v>
      </c>
      <c r="F54" s="30">
        <f>'เย็น 386'!F54+'เช้า 212'!F54</f>
        <v>0</v>
      </c>
      <c r="G54" s="30">
        <f>'เย็น 386'!G54+'เช้า 212'!G54</f>
        <v>0</v>
      </c>
      <c r="H54" s="30">
        <f>'เย็น 386'!H54+'เช้า 212'!H54</f>
        <v>0</v>
      </c>
      <c r="I54" s="30">
        <f>'เย็น 386'!I54+'เช้า 212'!I54</f>
        <v>0</v>
      </c>
      <c r="J54" s="30">
        <f>'เย็น 386'!J54+'เช้า 212'!J54</f>
        <v>0</v>
      </c>
      <c r="K54" s="36">
        <f t="shared" si="0"/>
        <v>0</v>
      </c>
      <c r="L54" s="11"/>
      <c r="M54" s="11"/>
      <c r="N54" s="11"/>
      <c r="O54" s="11"/>
      <c r="P54" s="50">
        <f t="shared" si="3"/>
        <v>0</v>
      </c>
      <c r="R54" s="52"/>
      <c r="S54" s="52"/>
      <c r="T54" s="52"/>
    </row>
    <row r="55" spans="2:20" hidden="1" x14ac:dyDescent="0.25">
      <c r="B55" s="11">
        <v>1111001</v>
      </c>
      <c r="C55" s="15" t="s">
        <v>43</v>
      </c>
      <c r="D55" s="30"/>
      <c r="E55" s="30">
        <f>'เย็น 386'!E55+'เช้า 212'!E55</f>
        <v>0</v>
      </c>
      <c r="F55" s="30">
        <f>'เย็น 386'!F55+'เช้า 212'!F55</f>
        <v>0</v>
      </c>
      <c r="G55" s="30">
        <f>'เย็น 386'!G55+'เช้า 212'!G55</f>
        <v>0</v>
      </c>
      <c r="H55" s="30">
        <f>'เย็น 386'!H55+'เช้า 212'!H55</f>
        <v>0</v>
      </c>
      <c r="I55" s="30">
        <f>'เย็น 386'!I55+'เช้า 212'!I55</f>
        <v>0</v>
      </c>
      <c r="J55" s="30">
        <f>'เย็น 386'!J55+'เช้า 212'!J55</f>
        <v>0</v>
      </c>
      <c r="K55" s="36">
        <f t="shared" si="0"/>
        <v>0</v>
      </c>
      <c r="L55" s="11"/>
      <c r="M55" s="11"/>
      <c r="N55" s="11"/>
      <c r="O55" s="11"/>
      <c r="P55" s="50">
        <f t="shared" si="3"/>
        <v>0</v>
      </c>
      <c r="S55" s="52"/>
    </row>
    <row r="56" spans="2:20" x14ac:dyDescent="0.25">
      <c r="B56" s="11">
        <v>1111074</v>
      </c>
      <c r="C56" s="15" t="s">
        <v>44</v>
      </c>
      <c r="D56" s="30">
        <f>'เย็น 386'!D56+'เช้า 212'!D56</f>
        <v>0</v>
      </c>
      <c r="E56" s="30">
        <f>'เย็น 386'!E56+'เช้า 212'!E56</f>
        <v>2</v>
      </c>
      <c r="F56" s="30">
        <f>'เย็น 386'!F56+'เช้า 212'!F56</f>
        <v>1</v>
      </c>
      <c r="G56" s="30">
        <f>'เย็น 386'!G56+'เช้า 212'!G56</f>
        <v>5</v>
      </c>
      <c r="H56" s="30">
        <f>'เย็น 386'!H56+'เช้า 212'!H56</f>
        <v>3</v>
      </c>
      <c r="I56" s="30">
        <f>'เย็น 386'!I56+'เช้า 212'!I56</f>
        <v>0</v>
      </c>
      <c r="J56" s="30">
        <f>'เย็น 386'!J56+'เช้า 212'!J56</f>
        <v>0</v>
      </c>
      <c r="K56" s="36">
        <f t="shared" si="0"/>
        <v>11</v>
      </c>
      <c r="L56" s="11"/>
      <c r="M56" s="11"/>
      <c r="N56" s="11"/>
      <c r="O56" s="11"/>
      <c r="P56" s="50">
        <f t="shared" si="3"/>
        <v>-11</v>
      </c>
      <c r="S56" s="52"/>
    </row>
    <row r="57" spans="2:20" x14ac:dyDescent="0.25">
      <c r="B57" s="11">
        <v>1111075</v>
      </c>
      <c r="C57" s="15" t="s">
        <v>45</v>
      </c>
      <c r="D57" s="30">
        <f>'เย็น 386'!D57+'เช้า 212'!D57</f>
        <v>0</v>
      </c>
      <c r="E57" s="30">
        <f>'เย็น 386'!E57+'เช้า 212'!E57</f>
        <v>2</v>
      </c>
      <c r="F57" s="30">
        <f>'เย็น 386'!F57+'เช้า 212'!F57</f>
        <v>1</v>
      </c>
      <c r="G57" s="30">
        <f>'เย็น 386'!G57+'เช้า 212'!G57</f>
        <v>5</v>
      </c>
      <c r="H57" s="30">
        <f>'เย็น 386'!H57+'เช้า 212'!H57</f>
        <v>3</v>
      </c>
      <c r="I57" s="30">
        <f>'เย็น 386'!I57+'เช้า 212'!I57</f>
        <v>0</v>
      </c>
      <c r="J57" s="30">
        <f>'เย็น 386'!J57+'เช้า 212'!J57</f>
        <v>0</v>
      </c>
      <c r="K57" s="36">
        <f t="shared" si="0"/>
        <v>11</v>
      </c>
      <c r="L57" s="11"/>
      <c r="M57" s="11"/>
      <c r="N57" s="11"/>
      <c r="O57" s="11"/>
      <c r="P57" s="50">
        <f t="shared" si="3"/>
        <v>-11</v>
      </c>
      <c r="S57" s="52"/>
    </row>
    <row r="58" spans="2:20" x14ac:dyDescent="0.25">
      <c r="B58" s="11">
        <v>1111076</v>
      </c>
      <c r="C58" s="15" t="s">
        <v>46</v>
      </c>
      <c r="D58" s="30">
        <f>'เย็น 386'!D58+'เช้า 212'!D58</f>
        <v>0</v>
      </c>
      <c r="E58" s="30">
        <f>'เย็น 386'!E58+'เช้า 212'!E58</f>
        <v>2</v>
      </c>
      <c r="F58" s="30">
        <f>'เย็น 386'!F58+'เช้า 212'!F58</f>
        <v>1</v>
      </c>
      <c r="G58" s="30">
        <f>'เย็น 386'!G58+'เช้า 212'!G58</f>
        <v>4</v>
      </c>
      <c r="H58" s="30">
        <f>'เย็น 386'!H58+'เช้า 212'!H58</f>
        <v>3</v>
      </c>
      <c r="I58" s="30">
        <f>'เย็น 386'!I58+'เช้า 212'!I58</f>
        <v>0</v>
      </c>
      <c r="J58" s="30">
        <f>'เย็น 386'!J58+'เช้า 212'!J58</f>
        <v>0</v>
      </c>
      <c r="K58" s="36">
        <f t="shared" si="0"/>
        <v>10</v>
      </c>
      <c r="L58" s="11"/>
      <c r="M58" s="11"/>
      <c r="N58" s="11"/>
      <c r="O58" s="11"/>
      <c r="P58" s="50">
        <f t="shared" si="3"/>
        <v>-10</v>
      </c>
      <c r="S58" s="52"/>
    </row>
    <row r="59" spans="2:20" x14ac:dyDescent="0.25">
      <c r="B59" s="11">
        <v>1111077</v>
      </c>
      <c r="C59" s="15" t="s">
        <v>47</v>
      </c>
      <c r="D59" s="30">
        <f>'เย็น 386'!D59+'เช้า 212'!D59</f>
        <v>0</v>
      </c>
      <c r="E59" s="30">
        <f>'เย็น 386'!E59+'เช้า 212'!E59</f>
        <v>2</v>
      </c>
      <c r="F59" s="30">
        <f>'เย็น 386'!F59+'เช้า 212'!F59</f>
        <v>1</v>
      </c>
      <c r="G59" s="30">
        <f>'เย็น 386'!G59+'เช้า 212'!G59</f>
        <v>4</v>
      </c>
      <c r="H59" s="30">
        <f>'เย็น 386'!H59+'เช้า 212'!H59</f>
        <v>2</v>
      </c>
      <c r="I59" s="30">
        <f>'เย็น 386'!I59+'เช้า 212'!I59</f>
        <v>0</v>
      </c>
      <c r="J59" s="30">
        <f>'เย็น 386'!J59+'เช้า 212'!J59</f>
        <v>0</v>
      </c>
      <c r="K59" s="36">
        <f t="shared" si="0"/>
        <v>9</v>
      </c>
      <c r="L59" s="11"/>
      <c r="M59" s="11"/>
      <c r="N59" s="11"/>
      <c r="O59" s="11"/>
      <c r="P59" s="50">
        <f t="shared" si="3"/>
        <v>-9</v>
      </c>
      <c r="S59" s="52"/>
    </row>
    <row r="60" spans="2:20" x14ac:dyDescent="0.25">
      <c r="B60" s="11">
        <v>1111078</v>
      </c>
      <c r="C60" s="15" t="s">
        <v>48</v>
      </c>
      <c r="D60" s="30">
        <f>'เย็น 386'!D60+'เช้า 212'!D60</f>
        <v>0</v>
      </c>
      <c r="E60" s="30">
        <f>'เย็น 386'!E60+'เช้า 212'!E60</f>
        <v>2</v>
      </c>
      <c r="F60" s="30">
        <f>'เย็น 386'!F60+'เช้า 212'!F60</f>
        <v>1</v>
      </c>
      <c r="G60" s="30">
        <f>'เย็น 386'!G60+'เช้า 212'!G60</f>
        <v>4</v>
      </c>
      <c r="H60" s="30">
        <f>'เย็น 386'!H60+'เช้า 212'!H60</f>
        <v>2</v>
      </c>
      <c r="I60" s="30">
        <f>'เย็น 386'!I60+'เช้า 212'!I60</f>
        <v>0</v>
      </c>
      <c r="J60" s="30">
        <f>'เย็น 386'!J60+'เช้า 212'!J60</f>
        <v>0</v>
      </c>
      <c r="K60" s="36">
        <f t="shared" si="0"/>
        <v>9</v>
      </c>
      <c r="L60" s="11"/>
      <c r="M60" s="11"/>
      <c r="N60" s="11"/>
      <c r="O60" s="11"/>
      <c r="P60" s="50">
        <f t="shared" si="3"/>
        <v>-9</v>
      </c>
      <c r="S60" s="52"/>
    </row>
    <row r="61" spans="2:20" x14ac:dyDescent="0.25">
      <c r="B61" s="11">
        <v>1111079</v>
      </c>
      <c r="C61" s="15" t="s">
        <v>49</v>
      </c>
      <c r="D61" s="30">
        <f>'เย็น 386'!D61+'เช้า 212'!D61</f>
        <v>0</v>
      </c>
      <c r="E61" s="30">
        <f>'เย็น 386'!E61+'เช้า 212'!E61</f>
        <v>2</v>
      </c>
      <c r="F61" s="30">
        <f>'เย็น 386'!F61+'เช้า 212'!F61</f>
        <v>1</v>
      </c>
      <c r="G61" s="30">
        <f>'เย็น 386'!G61+'เช้า 212'!G61</f>
        <v>4</v>
      </c>
      <c r="H61" s="30">
        <f>'เย็น 386'!H61+'เช้า 212'!H61</f>
        <v>2</v>
      </c>
      <c r="I61" s="30">
        <f>'เย็น 386'!I61+'เช้า 212'!I61</f>
        <v>0</v>
      </c>
      <c r="J61" s="30">
        <f>'เย็น 386'!J61+'เช้า 212'!J61</f>
        <v>0</v>
      </c>
      <c r="K61" s="36">
        <f t="shared" si="0"/>
        <v>9</v>
      </c>
      <c r="L61" s="11"/>
      <c r="M61" s="11"/>
      <c r="N61" s="11"/>
      <c r="O61" s="11"/>
      <c r="P61" s="50">
        <f t="shared" si="3"/>
        <v>-9</v>
      </c>
      <c r="S61" s="52"/>
    </row>
    <row r="62" spans="2:20" x14ac:dyDescent="0.25">
      <c r="B62" s="11">
        <v>1111080</v>
      </c>
      <c r="C62" s="15" t="s">
        <v>50</v>
      </c>
      <c r="D62" s="30">
        <f>'เย็น 386'!D62+'เช้า 212'!D62</f>
        <v>0</v>
      </c>
      <c r="E62" s="30">
        <f>'เย็น 386'!E62+'เช้า 212'!E62</f>
        <v>2</v>
      </c>
      <c r="F62" s="30">
        <f>'เย็น 386'!F62+'เช้า 212'!F62</f>
        <v>1</v>
      </c>
      <c r="G62" s="30">
        <f>'เย็น 386'!G62+'เช้า 212'!G62</f>
        <v>4</v>
      </c>
      <c r="H62" s="30">
        <f>'เย็น 386'!H62+'เช้า 212'!H62</f>
        <v>2</v>
      </c>
      <c r="I62" s="30">
        <f>'เย็น 386'!I62+'เช้า 212'!I62</f>
        <v>0</v>
      </c>
      <c r="J62" s="30">
        <f>'เย็น 386'!J62+'เช้า 212'!J62</f>
        <v>0</v>
      </c>
      <c r="K62" s="36">
        <f t="shared" si="0"/>
        <v>9</v>
      </c>
      <c r="L62" s="11"/>
      <c r="M62" s="11"/>
      <c r="N62" s="11"/>
      <c r="O62" s="11"/>
      <c r="P62" s="50">
        <f t="shared" si="3"/>
        <v>-9</v>
      </c>
      <c r="S62" s="52"/>
    </row>
    <row r="63" spans="2:20" x14ac:dyDescent="0.25">
      <c r="B63" s="11">
        <v>1111081</v>
      </c>
      <c r="C63" s="15" t="s">
        <v>51</v>
      </c>
      <c r="D63" s="30">
        <f>'เย็น 386'!D63+'เช้า 212'!D63</f>
        <v>0</v>
      </c>
      <c r="E63" s="30">
        <f>'เย็น 386'!E63+'เช้า 212'!E63</f>
        <v>2</v>
      </c>
      <c r="F63" s="30">
        <f>'เย็น 386'!F63+'เช้า 212'!F63</f>
        <v>1</v>
      </c>
      <c r="G63" s="30">
        <f>'เย็น 386'!G63+'เช้า 212'!G63</f>
        <v>3</v>
      </c>
      <c r="H63" s="30">
        <f>'เย็น 386'!H63+'เช้า 212'!H63</f>
        <v>2</v>
      </c>
      <c r="I63" s="30">
        <f>'เย็น 386'!I63+'เช้า 212'!I63</f>
        <v>0</v>
      </c>
      <c r="J63" s="30">
        <f>'เย็น 386'!J63+'เช้า 212'!J63</f>
        <v>0</v>
      </c>
      <c r="K63" s="36">
        <f t="shared" si="0"/>
        <v>8</v>
      </c>
      <c r="L63" s="11"/>
      <c r="M63" s="11"/>
      <c r="N63" s="11"/>
      <c r="O63" s="11"/>
      <c r="P63" s="50">
        <f t="shared" si="3"/>
        <v>-8</v>
      </c>
      <c r="S63" s="52"/>
    </row>
    <row r="64" spans="2:20" x14ac:dyDescent="0.25">
      <c r="B64" s="11">
        <v>1111082</v>
      </c>
      <c r="C64" s="15" t="s">
        <v>52</v>
      </c>
      <c r="D64" s="30">
        <f>'เย็น 386'!D64+'เช้า 212'!D64</f>
        <v>0</v>
      </c>
      <c r="E64" s="30">
        <f>'เย็น 386'!E64+'เช้า 212'!E64</f>
        <v>2</v>
      </c>
      <c r="F64" s="30">
        <f>'เย็น 386'!F64+'เช้า 212'!F64</f>
        <v>1</v>
      </c>
      <c r="G64" s="30">
        <f>'เย็น 386'!G64+'เช้า 212'!G64</f>
        <v>3</v>
      </c>
      <c r="H64" s="30">
        <f>'เย็น 386'!H64+'เช้า 212'!H64</f>
        <v>2</v>
      </c>
      <c r="I64" s="30">
        <f>'เย็น 386'!I64+'เช้า 212'!I64</f>
        <v>0</v>
      </c>
      <c r="J64" s="30">
        <f>'เย็น 386'!J64+'เช้า 212'!J64</f>
        <v>0</v>
      </c>
      <c r="K64" s="36">
        <f t="shared" si="0"/>
        <v>8</v>
      </c>
      <c r="L64" s="11"/>
      <c r="M64" s="11"/>
      <c r="N64" s="11"/>
      <c r="O64" s="11"/>
      <c r="P64" s="50">
        <f t="shared" si="3"/>
        <v>-8</v>
      </c>
      <c r="S64" s="52"/>
    </row>
    <row r="65" spans="2:27" x14ac:dyDescent="0.25">
      <c r="B65" s="11">
        <v>1111083</v>
      </c>
      <c r="C65" s="15" t="s">
        <v>53</v>
      </c>
      <c r="D65" s="30">
        <f>'เย็น 386'!D65+'เช้า 212'!D65</f>
        <v>0</v>
      </c>
      <c r="E65" s="30">
        <f>'เย็น 386'!E65+'เช้า 212'!E65</f>
        <v>2</v>
      </c>
      <c r="F65" s="30">
        <f>'เย็น 386'!F65+'เช้า 212'!F65</f>
        <v>1</v>
      </c>
      <c r="G65" s="30">
        <f>'เย็น 386'!G65+'เช้า 212'!G65</f>
        <v>3</v>
      </c>
      <c r="H65" s="30">
        <f>'เย็น 386'!H65+'เช้า 212'!H65</f>
        <v>2</v>
      </c>
      <c r="I65" s="30">
        <f>'เย็น 386'!I65+'เช้า 212'!I65</f>
        <v>0</v>
      </c>
      <c r="J65" s="30">
        <f>'เย็น 386'!J65+'เช้า 212'!J65</f>
        <v>0</v>
      </c>
      <c r="K65" s="36">
        <f t="shared" si="0"/>
        <v>8</v>
      </c>
      <c r="L65" s="11"/>
      <c r="M65" s="11"/>
      <c r="N65" s="11"/>
      <c r="O65" s="11"/>
      <c r="P65" s="50">
        <f t="shared" si="3"/>
        <v>-8</v>
      </c>
      <c r="R65" s="52"/>
      <c r="S65" s="52"/>
      <c r="T65" s="52"/>
      <c r="AA65" s="51"/>
    </row>
    <row r="66" spans="2:27" hidden="1" x14ac:dyDescent="0.25">
      <c r="B66" s="11">
        <v>1111010</v>
      </c>
      <c r="C66" s="15" t="s">
        <v>54</v>
      </c>
      <c r="D66" s="30">
        <f>'เย็น 386'!D66+'เช้า 212'!D66</f>
        <v>0</v>
      </c>
      <c r="E66" s="30">
        <f>'เย็น 386'!E66+'เช้า 212'!E66</f>
        <v>0</v>
      </c>
      <c r="F66" s="30">
        <f>'เย็น 386'!F66+'เช้า 212'!F66</f>
        <v>0</v>
      </c>
      <c r="G66" s="30">
        <f>'เย็น 386'!G66+'เช้า 212'!G66</f>
        <v>0</v>
      </c>
      <c r="H66" s="30">
        <f>'เย็น 386'!H66+'เช้า 212'!H66</f>
        <v>0</v>
      </c>
      <c r="I66" s="30">
        <f>'เย็น 386'!I66+'เช้า 212'!I66</f>
        <v>0</v>
      </c>
      <c r="J66" s="30">
        <f>'เย็น 386'!J66+'เช้า 212'!J66</f>
        <v>0</v>
      </c>
      <c r="K66" s="36">
        <f t="shared" si="0"/>
        <v>0</v>
      </c>
      <c r="L66" s="11"/>
      <c r="M66" s="11"/>
      <c r="N66" s="11"/>
      <c r="O66" s="11"/>
      <c r="P66" s="50">
        <f t="shared" si="3"/>
        <v>0</v>
      </c>
      <c r="S66" s="52">
        <f t="shared" si="2"/>
        <v>0</v>
      </c>
    </row>
    <row r="67" spans="2:27" hidden="1" x14ac:dyDescent="0.25">
      <c r="B67" s="17"/>
      <c r="C67" s="17" t="s">
        <v>1</v>
      </c>
      <c r="D67" s="18"/>
      <c r="E67" s="18"/>
      <c r="F67" s="18"/>
      <c r="G67" s="18"/>
      <c r="H67" s="18"/>
      <c r="I67" s="18"/>
      <c r="J67" s="20"/>
      <c r="K67" s="36">
        <f t="shared" si="0"/>
        <v>0</v>
      </c>
      <c r="L67" s="11"/>
      <c r="M67" s="11"/>
      <c r="N67" s="11"/>
      <c r="O67" s="11"/>
      <c r="P67" s="50">
        <f t="shared" si="3"/>
        <v>0</v>
      </c>
      <c r="S67" s="52">
        <f t="shared" si="2"/>
        <v>0</v>
      </c>
    </row>
    <row r="68" spans="2:27" ht="19.5" x14ac:dyDescent="0.25">
      <c r="B68" s="68" t="s">
        <v>55</v>
      </c>
      <c r="C68" s="69"/>
      <c r="D68" s="69"/>
      <c r="E68" s="69"/>
      <c r="F68" s="69"/>
      <c r="G68" s="69"/>
      <c r="H68" s="69"/>
      <c r="I68" s="69"/>
      <c r="J68" s="69"/>
      <c r="K68" s="69"/>
      <c r="L68" s="69"/>
      <c r="M68" s="69"/>
      <c r="N68" s="69"/>
      <c r="O68" s="69"/>
      <c r="P68" s="70"/>
      <c r="S68" s="52">
        <f t="shared" si="2"/>
        <v>0</v>
      </c>
    </row>
    <row r="69" spans="2:27" x14ac:dyDescent="0.25">
      <c r="B69" s="11">
        <v>1111009</v>
      </c>
      <c r="C69" s="19" t="s">
        <v>56</v>
      </c>
      <c r="D69" s="30">
        <f>'เย็น 386'!D69+'เช้า 212'!D69</f>
        <v>4</v>
      </c>
      <c r="E69" s="30">
        <f>'เย็น 386'!E69+'เช้า 212'!E69</f>
        <v>1</v>
      </c>
      <c r="F69" s="30">
        <f>'เย็น 386'!F69+'เช้า 212'!F69</f>
        <v>3</v>
      </c>
      <c r="G69" s="30">
        <f>'เย็น 386'!G69+'เช้า 212'!G69</f>
        <v>3</v>
      </c>
      <c r="H69" s="30">
        <f>'เย็น 386'!H69+'เช้า 212'!H69</f>
        <v>0</v>
      </c>
      <c r="I69" s="30">
        <f>'เย็น 386'!I69+'เช้า 212'!I69</f>
        <v>0</v>
      </c>
      <c r="J69" s="30">
        <f>'เย็น 386'!J69+'เช้า 212'!J69</f>
        <v>0</v>
      </c>
      <c r="K69" s="36">
        <f>SUM(D69:J69)</f>
        <v>11</v>
      </c>
      <c r="L69" s="11">
        <v>18</v>
      </c>
      <c r="M69" s="11">
        <v>10</v>
      </c>
      <c r="N69" s="11"/>
      <c r="O69" s="11"/>
      <c r="P69" s="50">
        <f t="shared" si="3"/>
        <v>17</v>
      </c>
      <c r="R69" s="51">
        <v>1</v>
      </c>
      <c r="S69" s="52">
        <f t="shared" si="2"/>
        <v>16</v>
      </c>
      <c r="T69" s="51">
        <v>20</v>
      </c>
      <c r="U69" s="52">
        <f>S69+T69</f>
        <v>36</v>
      </c>
    </row>
    <row r="70" spans="2:27" hidden="1" x14ac:dyDescent="0.25">
      <c r="B70" s="11">
        <v>1111023</v>
      </c>
      <c r="C70" s="19" t="s">
        <v>57</v>
      </c>
      <c r="D70" s="30">
        <f>'เย็น 386'!D70+'เช้า 212'!D70</f>
        <v>0</v>
      </c>
      <c r="E70" s="30">
        <f>'เย็น 386'!E70+'เช้า 212'!E70</f>
        <v>0</v>
      </c>
      <c r="F70" s="30">
        <f>'เย็น 386'!F70+'เช้า 212'!F70</f>
        <v>0</v>
      </c>
      <c r="G70" s="30">
        <f>'เย็น 386'!G70+'เช้า 212'!G70</f>
        <v>0</v>
      </c>
      <c r="H70" s="30">
        <f>'เย็น 386'!H70+'เช้า 212'!H70</f>
        <v>0</v>
      </c>
      <c r="I70" s="30">
        <f>'เย็น 386'!I70+'เช้า 212'!I70</f>
        <v>0</v>
      </c>
      <c r="J70" s="30">
        <f>'เย็น 386'!J70+'เช้า 212'!J70</f>
        <v>0</v>
      </c>
      <c r="K70" s="36">
        <f t="shared" ref="K70:K76" si="4">SUM(D70:J70)</f>
        <v>0</v>
      </c>
      <c r="L70" s="11"/>
      <c r="M70" s="11"/>
      <c r="N70" s="11"/>
      <c r="O70" s="11"/>
      <c r="P70" s="50">
        <f t="shared" si="3"/>
        <v>0</v>
      </c>
      <c r="S70" s="52">
        <f t="shared" si="2"/>
        <v>0</v>
      </c>
    </row>
    <row r="71" spans="2:27" hidden="1" x14ac:dyDescent="0.25">
      <c r="B71" s="11">
        <v>1111016</v>
      </c>
      <c r="C71" s="19" t="s">
        <v>58</v>
      </c>
      <c r="D71" s="30">
        <f>'เย็น 386'!D71+'เช้า 212'!D71</f>
        <v>0</v>
      </c>
      <c r="E71" s="30">
        <f>'เย็น 386'!E71+'เช้า 212'!E71</f>
        <v>0</v>
      </c>
      <c r="F71" s="30">
        <f>'เย็น 386'!F71+'เช้า 212'!F71</f>
        <v>0</v>
      </c>
      <c r="G71" s="30">
        <f>'เย็น 386'!G71+'เช้า 212'!G71</f>
        <v>0</v>
      </c>
      <c r="H71" s="30">
        <f>'เย็น 386'!H71+'เช้า 212'!H71</f>
        <v>0</v>
      </c>
      <c r="I71" s="30">
        <f>'เย็น 386'!I71+'เช้า 212'!I71</f>
        <v>0</v>
      </c>
      <c r="J71" s="30">
        <f>'เย็น 386'!J71+'เช้า 212'!J71</f>
        <v>0</v>
      </c>
      <c r="K71" s="36">
        <f t="shared" si="4"/>
        <v>0</v>
      </c>
      <c r="L71" s="11"/>
      <c r="M71" s="11"/>
      <c r="N71" s="11"/>
      <c r="O71" s="11"/>
      <c r="P71" s="50">
        <f t="shared" si="3"/>
        <v>0</v>
      </c>
      <c r="S71" s="52">
        <f t="shared" si="2"/>
        <v>0</v>
      </c>
    </row>
    <row r="72" spans="2:27" hidden="1" x14ac:dyDescent="0.25">
      <c r="B72" s="11">
        <v>1111014</v>
      </c>
      <c r="C72" s="19" t="s">
        <v>59</v>
      </c>
      <c r="D72" s="30">
        <f>'เย็น 386'!D72+'เช้า 212'!D72</f>
        <v>0</v>
      </c>
      <c r="E72" s="30">
        <f>'เย็น 386'!E72+'เช้า 212'!E72</f>
        <v>0</v>
      </c>
      <c r="F72" s="30">
        <f>'เย็น 386'!F72+'เช้า 212'!F72</f>
        <v>0</v>
      </c>
      <c r="G72" s="30">
        <f>'เย็น 386'!G72+'เช้า 212'!G72</f>
        <v>0</v>
      </c>
      <c r="H72" s="30">
        <f>'เย็น 386'!H72+'เช้า 212'!H72</f>
        <v>0</v>
      </c>
      <c r="I72" s="30">
        <f>'เย็น 386'!I72+'เช้า 212'!I72</f>
        <v>0</v>
      </c>
      <c r="J72" s="30">
        <f>'เย็น 386'!J72+'เช้า 212'!J72</f>
        <v>0</v>
      </c>
      <c r="K72" s="36">
        <f t="shared" si="4"/>
        <v>0</v>
      </c>
      <c r="L72" s="11"/>
      <c r="M72" s="11"/>
      <c r="N72" s="11"/>
      <c r="O72" s="11"/>
      <c r="P72" s="50">
        <f t="shared" ref="P72:P129" si="5">(L72+M72+N72+O72)-K72</f>
        <v>0</v>
      </c>
      <c r="S72" s="52">
        <f t="shared" ref="S72:S130" si="6">P72-R72</f>
        <v>0</v>
      </c>
    </row>
    <row r="73" spans="2:27" hidden="1" x14ac:dyDescent="0.25">
      <c r="B73" s="11">
        <v>1111025</v>
      </c>
      <c r="C73" s="19" t="s">
        <v>60</v>
      </c>
      <c r="D73" s="30">
        <f>'เย็น 386'!D73+'เช้า 212'!D73</f>
        <v>0</v>
      </c>
      <c r="E73" s="30">
        <f>'เย็น 386'!E73+'เช้า 212'!E73</f>
        <v>0</v>
      </c>
      <c r="F73" s="30">
        <f>'เย็น 386'!F73+'เช้า 212'!F73</f>
        <v>0</v>
      </c>
      <c r="G73" s="30">
        <f>'เย็น 386'!G73+'เช้า 212'!G73</f>
        <v>0</v>
      </c>
      <c r="H73" s="30">
        <f>'เย็น 386'!H73+'เช้า 212'!H73</f>
        <v>0</v>
      </c>
      <c r="I73" s="30">
        <f>'เย็น 386'!I73+'เช้า 212'!I73</f>
        <v>0</v>
      </c>
      <c r="J73" s="30">
        <f>'เย็น 386'!J73+'เช้า 212'!J73</f>
        <v>0</v>
      </c>
      <c r="K73" s="36">
        <f t="shared" si="4"/>
        <v>0</v>
      </c>
      <c r="L73" s="11"/>
      <c r="M73" s="11"/>
      <c r="N73" s="11"/>
      <c r="O73" s="11"/>
      <c r="P73" s="50">
        <f t="shared" si="5"/>
        <v>0</v>
      </c>
      <c r="S73" s="52">
        <f t="shared" si="6"/>
        <v>0</v>
      </c>
    </row>
    <row r="74" spans="2:27" hidden="1" x14ac:dyDescent="0.25">
      <c r="B74" s="11">
        <v>1111018</v>
      </c>
      <c r="C74" s="19" t="s">
        <v>61</v>
      </c>
      <c r="D74" s="30">
        <f>'เย็น 386'!D74+'เช้า 212'!D74</f>
        <v>0</v>
      </c>
      <c r="E74" s="30">
        <f>'เย็น 386'!E74+'เช้า 212'!E74</f>
        <v>0</v>
      </c>
      <c r="F74" s="30">
        <f>'เย็น 386'!F74+'เช้า 212'!F74</f>
        <v>0</v>
      </c>
      <c r="G74" s="30">
        <f>'เย็น 386'!G74+'เช้า 212'!G74</f>
        <v>0</v>
      </c>
      <c r="H74" s="30">
        <f>'เย็น 386'!H74+'เช้า 212'!H74</f>
        <v>0</v>
      </c>
      <c r="I74" s="30">
        <f>'เย็น 386'!I74+'เช้า 212'!I74</f>
        <v>0</v>
      </c>
      <c r="J74" s="30">
        <f>'เย็น 386'!J74+'เช้า 212'!J74</f>
        <v>0</v>
      </c>
      <c r="K74" s="36">
        <f t="shared" si="4"/>
        <v>0</v>
      </c>
      <c r="L74" s="11"/>
      <c r="M74" s="11"/>
      <c r="N74" s="11"/>
      <c r="O74" s="11"/>
      <c r="P74" s="50">
        <f t="shared" si="5"/>
        <v>0</v>
      </c>
      <c r="S74" s="52">
        <f t="shared" si="6"/>
        <v>0</v>
      </c>
    </row>
    <row r="75" spans="2:27" hidden="1" x14ac:dyDescent="0.25">
      <c r="B75" s="11">
        <v>1111012</v>
      </c>
      <c r="C75" s="19" t="s">
        <v>62</v>
      </c>
      <c r="D75" s="30">
        <f>'เย็น 386'!D75+'เช้า 212'!D75</f>
        <v>0</v>
      </c>
      <c r="E75" s="30">
        <f>'เย็น 386'!E75+'เช้า 212'!E75</f>
        <v>0</v>
      </c>
      <c r="F75" s="30">
        <f>'เย็น 386'!F75+'เช้า 212'!F75</f>
        <v>0</v>
      </c>
      <c r="G75" s="30">
        <f>'เย็น 386'!G75+'เช้า 212'!G75</f>
        <v>0</v>
      </c>
      <c r="H75" s="30">
        <f>'เย็น 386'!H75+'เช้า 212'!H75</f>
        <v>0</v>
      </c>
      <c r="I75" s="30">
        <f>'เย็น 386'!I75+'เช้า 212'!I75</f>
        <v>0</v>
      </c>
      <c r="J75" s="30">
        <f>'เย็น 386'!J75+'เช้า 212'!J75</f>
        <v>0</v>
      </c>
      <c r="K75" s="36">
        <f t="shared" si="4"/>
        <v>0</v>
      </c>
      <c r="L75" s="11"/>
      <c r="M75" s="11"/>
      <c r="N75" s="11"/>
      <c r="O75" s="11"/>
      <c r="P75" s="50">
        <f t="shared" si="5"/>
        <v>0</v>
      </c>
      <c r="S75" s="52">
        <f t="shared" si="6"/>
        <v>0</v>
      </c>
    </row>
    <row r="76" spans="2:27" hidden="1" x14ac:dyDescent="0.25">
      <c r="B76" s="11">
        <v>1111020</v>
      </c>
      <c r="C76" s="19" t="s">
        <v>63</v>
      </c>
      <c r="D76" s="30">
        <f>'เย็น 386'!D76+'เช้า 212'!D76</f>
        <v>0</v>
      </c>
      <c r="E76" s="30">
        <f>'เย็น 386'!E76+'เช้า 212'!E76</f>
        <v>0</v>
      </c>
      <c r="F76" s="30">
        <f>'เย็น 386'!F76+'เช้า 212'!F76</f>
        <v>0</v>
      </c>
      <c r="G76" s="30">
        <f>'เย็น 386'!G76+'เช้า 212'!G76</f>
        <v>0</v>
      </c>
      <c r="H76" s="30">
        <f>'เย็น 386'!H76+'เช้า 212'!H76</f>
        <v>0</v>
      </c>
      <c r="I76" s="30">
        <f>'เย็น 386'!I76+'เช้า 212'!I76</f>
        <v>0</v>
      </c>
      <c r="J76" s="30">
        <f>'เย็น 386'!J76+'เช้า 212'!J76</f>
        <v>0</v>
      </c>
      <c r="K76" s="36">
        <f t="shared" si="4"/>
        <v>0</v>
      </c>
      <c r="L76" s="11"/>
      <c r="M76" s="11"/>
      <c r="N76" s="11"/>
      <c r="O76" s="11"/>
      <c r="P76" s="50">
        <f t="shared" si="5"/>
        <v>0</v>
      </c>
      <c r="S76" s="52">
        <f t="shared" si="6"/>
        <v>0</v>
      </c>
    </row>
    <row r="77" spans="2:27" hidden="1" x14ac:dyDescent="0.25">
      <c r="B77" s="18"/>
      <c r="C77" s="20" t="s">
        <v>1</v>
      </c>
      <c r="D77" s="30">
        <f>'เย็น 386'!D77+'เช้า 212'!D77</f>
        <v>0</v>
      </c>
      <c r="E77" s="30">
        <f>'เย็น 386'!E77+'เช้า 212'!E77</f>
        <v>0</v>
      </c>
      <c r="F77" s="30">
        <f>'เย็น 386'!F77+'เช้า 212'!F77</f>
        <v>0</v>
      </c>
      <c r="G77" s="30">
        <f>'เย็น 386'!G77+'เช้า 212'!G77</f>
        <v>0</v>
      </c>
      <c r="H77" s="30">
        <f>'เย็น 386'!H77+'เช้า 212'!H77</f>
        <v>0</v>
      </c>
      <c r="I77" s="30">
        <f>'เย็น 386'!I77+'เช้า 212'!I77</f>
        <v>0</v>
      </c>
      <c r="J77" s="30">
        <f>'เย็น 386'!J77+'เช้า 212'!J77</f>
        <v>0</v>
      </c>
      <c r="K77" s="36"/>
      <c r="L77" s="11"/>
      <c r="M77" s="11"/>
      <c r="N77" s="11"/>
      <c r="O77" s="11"/>
      <c r="P77" s="50">
        <f t="shared" si="5"/>
        <v>0</v>
      </c>
      <c r="S77" s="52">
        <f t="shared" si="6"/>
        <v>0</v>
      </c>
    </row>
    <row r="78" spans="2:27" ht="19.5" x14ac:dyDescent="0.25">
      <c r="B78" s="68" t="s">
        <v>64</v>
      </c>
      <c r="C78" s="69"/>
      <c r="D78" s="69"/>
      <c r="E78" s="69"/>
      <c r="F78" s="69"/>
      <c r="G78" s="69"/>
      <c r="H78" s="69"/>
      <c r="I78" s="69"/>
      <c r="J78" s="69"/>
      <c r="K78" s="69"/>
      <c r="L78" s="69"/>
      <c r="M78" s="69"/>
      <c r="N78" s="69"/>
      <c r="O78" s="69"/>
      <c r="P78" s="70"/>
      <c r="S78" s="52">
        <f t="shared" si="6"/>
        <v>0</v>
      </c>
    </row>
    <row r="79" spans="2:27" hidden="1" x14ac:dyDescent="0.25">
      <c r="B79" s="11">
        <v>1111022</v>
      </c>
      <c r="C79" s="19" t="s">
        <v>65</v>
      </c>
      <c r="D79" s="30">
        <f>'เย็น 386'!D79+'เช้า 212'!D79</f>
        <v>0</v>
      </c>
      <c r="E79" s="30">
        <f>'เย็น 386'!E79+'เช้า 212'!E79</f>
        <v>0</v>
      </c>
      <c r="F79" s="30">
        <f>'เย็น 386'!F79+'เช้า 212'!F79</f>
        <v>0</v>
      </c>
      <c r="G79" s="30">
        <f>'เย็น 386'!G79+'เช้า 212'!G79</f>
        <v>0</v>
      </c>
      <c r="H79" s="30">
        <f>'เย็น 386'!H79+'เช้า 212'!H79</f>
        <v>0</v>
      </c>
      <c r="I79" s="30">
        <f>'เย็น 386'!I79+'เช้า 212'!I79</f>
        <v>0</v>
      </c>
      <c r="J79" s="30">
        <f>'เย็น 386'!J79+'เช้า 212'!J79</f>
        <v>0</v>
      </c>
      <c r="K79" s="36">
        <f>SUM(D79:J79)</f>
        <v>0</v>
      </c>
      <c r="L79" s="11"/>
      <c r="M79" s="11"/>
      <c r="N79" s="11"/>
      <c r="O79" s="11"/>
      <c r="P79" s="50">
        <f t="shared" si="5"/>
        <v>0</v>
      </c>
      <c r="S79" s="52">
        <f t="shared" si="6"/>
        <v>0</v>
      </c>
    </row>
    <row r="80" spans="2:27" hidden="1" x14ac:dyDescent="0.25">
      <c r="B80" s="11">
        <v>1111015</v>
      </c>
      <c r="C80" s="19" t="s">
        <v>66</v>
      </c>
      <c r="D80" s="30">
        <f>'เย็น 386'!D80+'เช้า 212'!D80</f>
        <v>0</v>
      </c>
      <c r="E80" s="30">
        <f>'เย็น 386'!E80+'เช้า 212'!E80</f>
        <v>0</v>
      </c>
      <c r="F80" s="30">
        <f>'เย็น 386'!F80+'เช้า 212'!F80</f>
        <v>0</v>
      </c>
      <c r="G80" s="30">
        <f>'เย็น 386'!G80+'เช้า 212'!G80</f>
        <v>0</v>
      </c>
      <c r="H80" s="30">
        <f>'เย็น 386'!H80+'เช้า 212'!H80</f>
        <v>0</v>
      </c>
      <c r="I80" s="30">
        <f>'เย็น 386'!I80+'เช้า 212'!I80</f>
        <v>0</v>
      </c>
      <c r="J80" s="30">
        <f>'เย็น 386'!J80+'เช้า 212'!J80</f>
        <v>0</v>
      </c>
      <c r="K80" s="36">
        <f t="shared" ref="K80:K87" si="7">SUM(D80:J80)</f>
        <v>0</v>
      </c>
      <c r="L80" s="11"/>
      <c r="M80" s="11"/>
      <c r="N80" s="11"/>
      <c r="O80" s="11"/>
      <c r="P80" s="50">
        <f t="shared" si="5"/>
        <v>0</v>
      </c>
      <c r="S80" s="52">
        <f t="shared" si="6"/>
        <v>0</v>
      </c>
    </row>
    <row r="81" spans="2:23" hidden="1" x14ac:dyDescent="0.25">
      <c r="B81" s="11">
        <v>1111013</v>
      </c>
      <c r="C81" s="19" t="s">
        <v>67</v>
      </c>
      <c r="D81" s="30">
        <f>'เย็น 386'!D81+'เช้า 212'!D81</f>
        <v>0</v>
      </c>
      <c r="E81" s="30">
        <f>'เย็น 386'!E81+'เช้า 212'!E81</f>
        <v>0</v>
      </c>
      <c r="F81" s="30">
        <f>'เย็น 386'!F81+'เช้า 212'!F81</f>
        <v>0</v>
      </c>
      <c r="G81" s="30">
        <f>'เย็น 386'!G81+'เช้า 212'!G81</f>
        <v>0</v>
      </c>
      <c r="H81" s="30">
        <f>'เย็น 386'!H81+'เช้า 212'!H81</f>
        <v>0</v>
      </c>
      <c r="I81" s="30">
        <f>'เย็น 386'!I81+'เช้า 212'!I81</f>
        <v>0</v>
      </c>
      <c r="J81" s="30">
        <f>'เย็น 386'!J81+'เช้า 212'!J81</f>
        <v>0</v>
      </c>
      <c r="K81" s="36">
        <f t="shared" si="7"/>
        <v>0</v>
      </c>
      <c r="L81" s="11"/>
      <c r="M81" s="11"/>
      <c r="N81" s="11"/>
      <c r="O81" s="11"/>
      <c r="P81" s="50">
        <f t="shared" si="5"/>
        <v>0</v>
      </c>
      <c r="S81" s="52">
        <f t="shared" si="6"/>
        <v>0</v>
      </c>
    </row>
    <row r="82" spans="2:23" hidden="1" x14ac:dyDescent="0.25">
      <c r="B82" s="11">
        <v>1111024</v>
      </c>
      <c r="C82" s="19" t="s">
        <v>68</v>
      </c>
      <c r="D82" s="30">
        <f>'เย็น 386'!D82+'เช้า 212'!D82</f>
        <v>0</v>
      </c>
      <c r="E82" s="30">
        <f>'เย็น 386'!E82+'เช้า 212'!E82</f>
        <v>0</v>
      </c>
      <c r="F82" s="30">
        <f>'เย็น 386'!F82+'เช้า 212'!F82</f>
        <v>0</v>
      </c>
      <c r="G82" s="30">
        <f>'เย็น 386'!G82+'เช้า 212'!G82</f>
        <v>0</v>
      </c>
      <c r="H82" s="30">
        <f>'เย็น 386'!H82+'เช้า 212'!H82</f>
        <v>0</v>
      </c>
      <c r="I82" s="30">
        <f>'เย็น 386'!I82+'เช้า 212'!I82</f>
        <v>0</v>
      </c>
      <c r="J82" s="30">
        <f>'เย็น 386'!J82+'เช้า 212'!J82</f>
        <v>0</v>
      </c>
      <c r="K82" s="36">
        <f t="shared" si="7"/>
        <v>0</v>
      </c>
      <c r="L82" s="11"/>
      <c r="M82" s="11"/>
      <c r="N82" s="11"/>
      <c r="O82" s="11"/>
      <c r="P82" s="50">
        <f t="shared" si="5"/>
        <v>0</v>
      </c>
      <c r="S82" s="52">
        <f t="shared" si="6"/>
        <v>0</v>
      </c>
    </row>
    <row r="83" spans="2:23" hidden="1" x14ac:dyDescent="0.25">
      <c r="B83" s="11">
        <v>1111017</v>
      </c>
      <c r="C83" s="19" t="s">
        <v>69</v>
      </c>
      <c r="D83" s="30">
        <f>'เย็น 386'!D83+'เช้า 212'!D83</f>
        <v>0</v>
      </c>
      <c r="E83" s="30">
        <f>'เย็น 386'!E83+'เช้า 212'!E83</f>
        <v>0</v>
      </c>
      <c r="F83" s="30">
        <f>'เย็น 386'!F83+'เช้า 212'!F83</f>
        <v>0</v>
      </c>
      <c r="G83" s="30">
        <f>'เย็น 386'!G83+'เช้า 212'!G83</f>
        <v>0</v>
      </c>
      <c r="H83" s="30">
        <f>'เย็น 386'!H83+'เช้า 212'!H83</f>
        <v>0</v>
      </c>
      <c r="I83" s="30">
        <f>'เย็น 386'!I83+'เช้า 212'!I83</f>
        <v>0</v>
      </c>
      <c r="J83" s="30">
        <f>'เย็น 386'!J83+'เช้า 212'!J83</f>
        <v>0</v>
      </c>
      <c r="K83" s="36">
        <f t="shared" si="7"/>
        <v>0</v>
      </c>
      <c r="L83" s="11"/>
      <c r="M83" s="11"/>
      <c r="N83" s="11"/>
      <c r="O83" s="11"/>
      <c r="P83" s="50">
        <f t="shared" si="5"/>
        <v>0</v>
      </c>
      <c r="S83" s="52">
        <f t="shared" si="6"/>
        <v>0</v>
      </c>
    </row>
    <row r="84" spans="2:23" hidden="1" x14ac:dyDescent="0.25">
      <c r="B84" s="11">
        <v>1111011</v>
      </c>
      <c r="C84" s="19" t="s">
        <v>70</v>
      </c>
      <c r="D84" s="30">
        <f>'เย็น 386'!D84+'เช้า 212'!D84</f>
        <v>0</v>
      </c>
      <c r="E84" s="30">
        <f>'เย็น 386'!E84+'เช้า 212'!E84</f>
        <v>0</v>
      </c>
      <c r="F84" s="30">
        <f>'เย็น 386'!F84+'เช้า 212'!F84</f>
        <v>0</v>
      </c>
      <c r="G84" s="30">
        <f>'เย็น 386'!G84+'เช้า 212'!G84</f>
        <v>0</v>
      </c>
      <c r="H84" s="30">
        <f>'เย็น 386'!H84+'เช้า 212'!H84</f>
        <v>0</v>
      </c>
      <c r="I84" s="30">
        <f>'เย็น 386'!I84+'เช้า 212'!I84</f>
        <v>0</v>
      </c>
      <c r="J84" s="30">
        <f>'เย็น 386'!J84+'เช้า 212'!J84</f>
        <v>0</v>
      </c>
      <c r="K84" s="36">
        <f t="shared" si="7"/>
        <v>0</v>
      </c>
      <c r="L84" s="11"/>
      <c r="M84" s="11"/>
      <c r="N84" s="11"/>
      <c r="O84" s="11"/>
      <c r="P84" s="50">
        <f t="shared" si="5"/>
        <v>0</v>
      </c>
      <c r="S84" s="52">
        <f t="shared" si="6"/>
        <v>0</v>
      </c>
    </row>
    <row r="85" spans="2:23" hidden="1" x14ac:dyDescent="0.25">
      <c r="B85" s="11">
        <v>1111019</v>
      </c>
      <c r="C85" s="19" t="s">
        <v>71</v>
      </c>
      <c r="D85" s="30">
        <f>'เย็น 386'!D85+'เช้า 212'!D85</f>
        <v>0</v>
      </c>
      <c r="E85" s="30">
        <f>'เย็น 386'!E85+'เช้า 212'!E85</f>
        <v>0</v>
      </c>
      <c r="F85" s="30">
        <f>'เย็น 386'!F85+'เช้า 212'!F85</f>
        <v>0</v>
      </c>
      <c r="G85" s="30">
        <f>'เย็น 386'!G85+'เช้า 212'!G85</f>
        <v>0</v>
      </c>
      <c r="H85" s="30">
        <f>'เย็น 386'!H85+'เช้า 212'!H85</f>
        <v>0</v>
      </c>
      <c r="I85" s="30">
        <f>'เย็น 386'!I85+'เช้า 212'!I85</f>
        <v>0</v>
      </c>
      <c r="J85" s="30">
        <f>'เย็น 386'!J85+'เช้า 212'!J85</f>
        <v>0</v>
      </c>
      <c r="K85" s="36">
        <f t="shared" si="7"/>
        <v>0</v>
      </c>
      <c r="L85" s="11"/>
      <c r="M85" s="11"/>
      <c r="N85" s="11"/>
      <c r="O85" s="11"/>
      <c r="P85" s="50">
        <f t="shared" si="5"/>
        <v>0</v>
      </c>
      <c r="S85" s="52">
        <f t="shared" si="6"/>
        <v>0</v>
      </c>
    </row>
    <row r="86" spans="2:23" hidden="1" x14ac:dyDescent="0.25">
      <c r="B86" s="11">
        <v>1113081</v>
      </c>
      <c r="C86" s="19" t="s">
        <v>72</v>
      </c>
      <c r="D86" s="30">
        <f>'เย็น 386'!D86+'เช้า 212'!D86</f>
        <v>0</v>
      </c>
      <c r="E86" s="30">
        <f>'เย็น 386'!E86+'เช้า 212'!E86</f>
        <v>0</v>
      </c>
      <c r="F86" s="30">
        <f>'เย็น 386'!F86+'เช้า 212'!F86</f>
        <v>0</v>
      </c>
      <c r="G86" s="30">
        <f>'เย็น 386'!G86+'เช้า 212'!G86</f>
        <v>0</v>
      </c>
      <c r="H86" s="30">
        <f>'เย็น 386'!H86+'เช้า 212'!H86</f>
        <v>0</v>
      </c>
      <c r="I86" s="30">
        <f>'เย็น 386'!I86+'เช้า 212'!I86</f>
        <v>0</v>
      </c>
      <c r="J86" s="30">
        <f>'เย็น 386'!J86+'เช้า 212'!J86</f>
        <v>0</v>
      </c>
      <c r="K86" s="36">
        <f t="shared" si="7"/>
        <v>0</v>
      </c>
      <c r="L86" s="11"/>
      <c r="M86" s="11"/>
      <c r="N86" s="11"/>
      <c r="O86" s="11"/>
      <c r="P86" s="50">
        <f t="shared" si="5"/>
        <v>0</v>
      </c>
      <c r="S86" s="52">
        <f t="shared" si="6"/>
        <v>0</v>
      </c>
    </row>
    <row r="87" spans="2:23" x14ac:dyDescent="0.25">
      <c r="B87" s="11">
        <v>1111008</v>
      </c>
      <c r="C87" s="19" t="s">
        <v>73</v>
      </c>
      <c r="D87" s="30">
        <f>'เย็น 386'!D87+'เช้า 212'!D87</f>
        <v>6</v>
      </c>
      <c r="E87" s="30">
        <f>'เย็น 386'!E87+'เช้า 212'!E87</f>
        <v>33</v>
      </c>
      <c r="F87" s="30">
        <f>'เย็น 386'!F87+'เช้า 212'!F87</f>
        <v>0</v>
      </c>
      <c r="G87" s="30">
        <f>'เย็น 386'!G87+'เช้า 212'!G87</f>
        <v>135</v>
      </c>
      <c r="H87" s="30">
        <f>'เย็น 386'!H87+'เช้า 212'!H87</f>
        <v>61</v>
      </c>
      <c r="I87" s="30">
        <f>'เย็น 386'!I87+'เช้า 212'!I87</f>
        <v>0</v>
      </c>
      <c r="J87" s="30">
        <f>'เย็น 386'!J87+'เช้า 212'!J87</f>
        <v>0</v>
      </c>
      <c r="K87" s="36">
        <f t="shared" si="7"/>
        <v>235</v>
      </c>
      <c r="L87" s="11">
        <v>329</v>
      </c>
      <c r="M87" s="11">
        <v>100</v>
      </c>
      <c r="N87" s="11"/>
      <c r="O87" s="11"/>
      <c r="P87" s="50">
        <f t="shared" si="5"/>
        <v>194</v>
      </c>
      <c r="R87" s="51">
        <v>63</v>
      </c>
      <c r="S87" s="52">
        <f t="shared" si="6"/>
        <v>131</v>
      </c>
      <c r="T87" s="51">
        <v>100</v>
      </c>
      <c r="U87" s="52">
        <f>S87+T87</f>
        <v>231</v>
      </c>
    </row>
    <row r="88" spans="2:23" x14ac:dyDescent="0.25">
      <c r="B88" s="18"/>
      <c r="C88" s="18" t="s">
        <v>1</v>
      </c>
      <c r="D88" s="18"/>
      <c r="E88" s="18"/>
      <c r="F88" s="18"/>
      <c r="G88" s="18"/>
      <c r="H88" s="18"/>
      <c r="I88" s="18"/>
      <c r="J88" s="20"/>
      <c r="K88" s="36">
        <f>SUM(D88:J88)</f>
        <v>0</v>
      </c>
      <c r="L88" s="11"/>
      <c r="M88" s="11"/>
      <c r="N88" s="11"/>
      <c r="O88" s="11"/>
      <c r="P88" s="50">
        <f t="shared" si="5"/>
        <v>0</v>
      </c>
      <c r="S88" s="52">
        <f t="shared" si="6"/>
        <v>0</v>
      </c>
    </row>
    <row r="89" spans="2:23" ht="19.5" x14ac:dyDescent="0.25">
      <c r="B89" s="68" t="s">
        <v>74</v>
      </c>
      <c r="C89" s="69"/>
      <c r="D89" s="69"/>
      <c r="E89" s="69"/>
      <c r="F89" s="69"/>
      <c r="G89" s="69"/>
      <c r="H89" s="69"/>
      <c r="I89" s="69"/>
      <c r="J89" s="69"/>
      <c r="K89" s="69"/>
      <c r="L89" s="69"/>
      <c r="M89" s="69"/>
      <c r="N89" s="69"/>
      <c r="O89" s="69"/>
      <c r="P89" s="70"/>
      <c r="S89" s="52">
        <f t="shared" si="6"/>
        <v>0</v>
      </c>
    </row>
    <row r="90" spans="2:23" x14ac:dyDescent="0.25">
      <c r="B90" s="11">
        <v>1112009</v>
      </c>
      <c r="C90" s="19" t="s">
        <v>75</v>
      </c>
      <c r="D90" s="30">
        <f>'เย็น 386'!D90+'เช้า 212'!D90</f>
        <v>9</v>
      </c>
      <c r="E90" s="30">
        <f>'เย็น 386'!E90+'เช้า 212'!E90</f>
        <v>1</v>
      </c>
      <c r="F90" s="30">
        <f>'เย็น 386'!F90+'เช้า 212'!F90</f>
        <v>6</v>
      </c>
      <c r="G90" s="30">
        <f>'เย็น 386'!G90+'เช้า 212'!G90</f>
        <v>40</v>
      </c>
      <c r="H90" s="30">
        <f>'เย็น 386'!H90+'เช้า 212'!H90</f>
        <v>23</v>
      </c>
      <c r="I90" s="30">
        <f>'เย็น 386'!I90+'เช้า 212'!I90</f>
        <v>0</v>
      </c>
      <c r="J90" s="30">
        <f>'เย็น 386'!J90+'เช้า 212'!J90</f>
        <v>0</v>
      </c>
      <c r="K90" s="36">
        <f>SUM(D90:J90)</f>
        <v>79</v>
      </c>
      <c r="L90" s="11">
        <v>276</v>
      </c>
      <c r="M90" s="11">
        <v>60</v>
      </c>
      <c r="N90" s="11"/>
      <c r="O90" s="11"/>
      <c r="P90" s="50">
        <f t="shared" si="5"/>
        <v>257</v>
      </c>
      <c r="R90" s="51">
        <v>20</v>
      </c>
      <c r="S90" s="52">
        <f t="shared" si="6"/>
        <v>237</v>
      </c>
      <c r="T90" s="51">
        <v>50</v>
      </c>
      <c r="U90" s="52">
        <f>S90+T90</f>
        <v>287</v>
      </c>
      <c r="V90" s="51">
        <v>180</v>
      </c>
      <c r="W90" s="52">
        <f>U90-V90</f>
        <v>107</v>
      </c>
    </row>
    <row r="91" spans="2:23" x14ac:dyDescent="0.25">
      <c r="B91" s="11">
        <v>1112011</v>
      </c>
      <c r="C91" s="19" t="s">
        <v>76</v>
      </c>
      <c r="D91" s="30">
        <f>'เย็น 386'!D91+'เช้า 212'!D91</f>
        <v>9</v>
      </c>
      <c r="E91" s="30">
        <f>'เย็น 386'!E91+'เช้า 212'!E91</f>
        <v>3</v>
      </c>
      <c r="F91" s="30">
        <f>'เย็น 386'!F91+'เช้า 212'!F91</f>
        <v>15</v>
      </c>
      <c r="G91" s="30">
        <f>'เย็น 386'!G91+'เช้า 212'!G91</f>
        <v>46</v>
      </c>
      <c r="H91" s="30">
        <f>'เย็น 386'!H91+'เช้า 212'!H91</f>
        <v>33</v>
      </c>
      <c r="I91" s="30">
        <f>'เย็น 386'!I91+'เช้า 212'!I91</f>
        <v>0</v>
      </c>
      <c r="J91" s="30">
        <f>'เย็น 386'!J91+'เช้า 212'!J91</f>
        <v>0</v>
      </c>
      <c r="K91" s="36">
        <f t="shared" ref="K91:K99" si="8">SUM(D91:J91)</f>
        <v>106</v>
      </c>
      <c r="L91" s="11">
        <v>277</v>
      </c>
      <c r="M91" s="11">
        <v>80</v>
      </c>
      <c r="N91" s="11"/>
      <c r="O91" s="11"/>
      <c r="P91" s="50">
        <f t="shared" si="5"/>
        <v>251</v>
      </c>
      <c r="R91" s="51">
        <v>29</v>
      </c>
      <c r="S91" s="52">
        <f t="shared" si="6"/>
        <v>222</v>
      </c>
      <c r="T91" s="51">
        <v>60</v>
      </c>
      <c r="U91" s="52">
        <f t="shared" ref="U91:U98" si="9">S91+T91</f>
        <v>282</v>
      </c>
      <c r="V91" s="51">
        <v>153</v>
      </c>
      <c r="W91" s="52">
        <f t="shared" ref="W91:W98" si="10">U91-V91</f>
        <v>129</v>
      </c>
    </row>
    <row r="92" spans="2:23" x14ac:dyDescent="0.25">
      <c r="B92" s="11">
        <v>1112003</v>
      </c>
      <c r="C92" s="19" t="s">
        <v>77</v>
      </c>
      <c r="D92" s="30">
        <f>'เย็น 386'!D92+'เช้า 212'!D92</f>
        <v>0</v>
      </c>
      <c r="E92" s="30">
        <f>'เย็น 386'!E92+'เช้า 212'!E92</f>
        <v>0</v>
      </c>
      <c r="F92" s="30">
        <f>'เย็น 386'!F92+'เช้า 212'!F92</f>
        <v>0</v>
      </c>
      <c r="G92" s="30">
        <f>'เย็น 386'!G92+'เช้า 212'!G92</f>
        <v>8</v>
      </c>
      <c r="H92" s="30">
        <f>'เย็น 386'!H92+'เช้า 212'!H92</f>
        <v>0</v>
      </c>
      <c r="I92" s="30">
        <f>'เย็น 386'!I92+'เช้า 212'!I92</f>
        <v>0</v>
      </c>
      <c r="J92" s="30">
        <f>'เย็น 386'!J92+'เช้า 212'!J92</f>
        <v>0</v>
      </c>
      <c r="K92" s="36">
        <f t="shared" si="8"/>
        <v>8</v>
      </c>
      <c r="L92" s="11">
        <v>1</v>
      </c>
      <c r="M92" s="11">
        <v>20</v>
      </c>
      <c r="N92" s="11"/>
      <c r="O92" s="11"/>
      <c r="P92" s="50">
        <f t="shared" si="5"/>
        <v>13</v>
      </c>
      <c r="S92" s="52">
        <f t="shared" si="6"/>
        <v>13</v>
      </c>
      <c r="T92" s="51">
        <v>10</v>
      </c>
      <c r="U92" s="52">
        <f t="shared" si="9"/>
        <v>23</v>
      </c>
      <c r="W92" s="52">
        <f t="shared" si="10"/>
        <v>23</v>
      </c>
    </row>
    <row r="93" spans="2:23" x14ac:dyDescent="0.25">
      <c r="B93" s="11">
        <v>1112005</v>
      </c>
      <c r="C93" s="19" t="s">
        <v>78</v>
      </c>
      <c r="D93" s="30">
        <f>'เย็น 386'!D93+'เช้า 212'!D93</f>
        <v>0</v>
      </c>
      <c r="E93" s="30">
        <f>'เย็น 386'!E93+'เช้า 212'!E93</f>
        <v>0</v>
      </c>
      <c r="F93" s="30">
        <f>'เย็น 386'!F93+'เช้า 212'!F93</f>
        <v>0</v>
      </c>
      <c r="G93" s="30">
        <f>'เย็น 386'!G93+'เช้า 212'!G93</f>
        <v>8</v>
      </c>
      <c r="H93" s="30">
        <f>'เย็น 386'!H93+'เช้า 212'!H93</f>
        <v>0</v>
      </c>
      <c r="I93" s="30">
        <f>'เย็น 386'!I93+'เช้า 212'!I93</f>
        <v>0</v>
      </c>
      <c r="J93" s="30">
        <f>'เย็น 386'!J93+'เช้า 212'!J93</f>
        <v>0</v>
      </c>
      <c r="K93" s="36">
        <f t="shared" si="8"/>
        <v>8</v>
      </c>
      <c r="L93" s="11"/>
      <c r="M93" s="11">
        <v>10</v>
      </c>
      <c r="N93" s="11"/>
      <c r="O93" s="11"/>
      <c r="P93" s="50">
        <f t="shared" si="5"/>
        <v>2</v>
      </c>
      <c r="S93" s="52">
        <f t="shared" si="6"/>
        <v>2</v>
      </c>
      <c r="T93" s="51">
        <v>10</v>
      </c>
      <c r="U93" s="52">
        <f t="shared" si="9"/>
        <v>12</v>
      </c>
      <c r="W93" s="52">
        <f t="shared" si="10"/>
        <v>12</v>
      </c>
    </row>
    <row r="94" spans="2:23" x14ac:dyDescent="0.25">
      <c r="B94" s="11">
        <v>1112007</v>
      </c>
      <c r="C94" s="19" t="s">
        <v>79</v>
      </c>
      <c r="D94" s="30">
        <f>'เย็น 386'!D94+'เช้า 212'!D94</f>
        <v>0</v>
      </c>
      <c r="E94" s="30">
        <f>'เย็น 386'!E94+'เช้า 212'!E94</f>
        <v>0</v>
      </c>
      <c r="F94" s="30">
        <f>'เย็น 386'!F94+'เช้า 212'!F94</f>
        <v>0</v>
      </c>
      <c r="G94" s="30">
        <f>'เย็น 386'!G94+'เช้า 212'!G94</f>
        <v>0</v>
      </c>
      <c r="H94" s="30">
        <f>'เย็น 386'!H94+'เช้า 212'!H94</f>
        <v>0</v>
      </c>
      <c r="I94" s="30">
        <f>'เย็น 386'!I94+'เช้า 212'!I94</f>
        <v>0</v>
      </c>
      <c r="J94" s="30">
        <f>'เย็น 386'!J94+'เช้า 212'!J94</f>
        <v>0</v>
      </c>
      <c r="K94" s="36">
        <f t="shared" si="8"/>
        <v>0</v>
      </c>
      <c r="L94" s="11"/>
      <c r="M94" s="11"/>
      <c r="N94" s="11"/>
      <c r="O94" s="11"/>
      <c r="P94" s="50">
        <f t="shared" si="5"/>
        <v>0</v>
      </c>
      <c r="S94" s="52">
        <f t="shared" si="6"/>
        <v>0</v>
      </c>
      <c r="U94" s="52">
        <f t="shared" si="9"/>
        <v>0</v>
      </c>
      <c r="W94" s="52">
        <f t="shared" si="10"/>
        <v>0</v>
      </c>
    </row>
    <row r="95" spans="2:23" x14ac:dyDescent="0.25">
      <c r="B95" s="11">
        <v>1112019</v>
      </c>
      <c r="C95" s="19" t="s">
        <v>80</v>
      </c>
      <c r="D95" s="30">
        <f>'เย็น 386'!D95+'เช้า 212'!D95</f>
        <v>0</v>
      </c>
      <c r="E95" s="30">
        <f>'เย็น 386'!E95+'เช้า 212'!E95</f>
        <v>0</v>
      </c>
      <c r="F95" s="30">
        <f>'เย็น 386'!F95+'เช้า 212'!F95</f>
        <v>0</v>
      </c>
      <c r="G95" s="30">
        <f>'เย็น 386'!G95+'เช้า 212'!G95</f>
        <v>0</v>
      </c>
      <c r="H95" s="30">
        <f>'เย็น 386'!H95+'เช้า 212'!H95</f>
        <v>0</v>
      </c>
      <c r="I95" s="30">
        <f>'เย็น 386'!I95+'เช้า 212'!I95</f>
        <v>0</v>
      </c>
      <c r="J95" s="30">
        <f>'เย็น 386'!J95+'เช้า 212'!J95</f>
        <v>0</v>
      </c>
      <c r="K95" s="36">
        <f t="shared" si="8"/>
        <v>0</v>
      </c>
      <c r="L95" s="11">
        <v>1</v>
      </c>
      <c r="M95" s="11"/>
      <c r="N95" s="11"/>
      <c r="O95" s="11"/>
      <c r="P95" s="50">
        <f t="shared" si="5"/>
        <v>1</v>
      </c>
      <c r="S95" s="52">
        <f t="shared" si="6"/>
        <v>1</v>
      </c>
      <c r="U95" s="52">
        <f t="shared" si="9"/>
        <v>1</v>
      </c>
      <c r="W95" s="52">
        <f t="shared" si="10"/>
        <v>1</v>
      </c>
    </row>
    <row r="96" spans="2:23" x14ac:dyDescent="0.25">
      <c r="B96" s="11">
        <v>1112017</v>
      </c>
      <c r="C96" s="19" t="s">
        <v>81</v>
      </c>
      <c r="D96" s="30">
        <f>'เย็น 386'!D96+'เช้า 212'!D96</f>
        <v>6</v>
      </c>
      <c r="E96" s="30">
        <f>'เย็น 386'!E96+'เช้า 212'!E96</f>
        <v>0</v>
      </c>
      <c r="F96" s="30">
        <f>'เย็น 386'!F96+'เช้า 212'!F96</f>
        <v>0</v>
      </c>
      <c r="G96" s="30">
        <f>'เย็น 386'!G96+'เช้า 212'!G96</f>
        <v>6</v>
      </c>
      <c r="H96" s="30">
        <f>'เย็น 386'!H96+'เช้า 212'!H96</f>
        <v>10</v>
      </c>
      <c r="I96" s="30">
        <f>'เย็น 386'!I96+'เช้า 212'!I96</f>
        <v>0</v>
      </c>
      <c r="J96" s="30">
        <f>'เย็น 386'!J96+'เช้า 212'!J96</f>
        <v>0</v>
      </c>
      <c r="K96" s="36">
        <f t="shared" si="8"/>
        <v>22</v>
      </c>
      <c r="L96" s="11">
        <v>31</v>
      </c>
      <c r="M96" s="11">
        <v>20</v>
      </c>
      <c r="N96" s="11"/>
      <c r="O96" s="11"/>
      <c r="P96" s="50">
        <f t="shared" si="5"/>
        <v>29</v>
      </c>
      <c r="R96" s="51">
        <v>4</v>
      </c>
      <c r="S96" s="52">
        <f t="shared" si="6"/>
        <v>25</v>
      </c>
      <c r="T96" s="51">
        <v>10</v>
      </c>
      <c r="U96" s="52">
        <f t="shared" si="9"/>
        <v>35</v>
      </c>
      <c r="V96" s="51">
        <v>4</v>
      </c>
      <c r="W96" s="52">
        <f t="shared" si="10"/>
        <v>31</v>
      </c>
    </row>
    <row r="97" spans="2:23" x14ac:dyDescent="0.25">
      <c r="B97" s="11">
        <v>1112015</v>
      </c>
      <c r="C97" s="19" t="s">
        <v>82</v>
      </c>
      <c r="D97" s="30">
        <f>'เย็น 386'!D97+'เช้า 212'!D97</f>
        <v>0</v>
      </c>
      <c r="E97" s="30">
        <f>'เย็น 386'!E97+'เช้า 212'!E97</f>
        <v>0</v>
      </c>
      <c r="F97" s="30">
        <f>'เย็น 386'!F97+'เช้า 212'!F97</f>
        <v>0</v>
      </c>
      <c r="G97" s="30">
        <f>'เย็น 386'!G97+'เช้า 212'!G97</f>
        <v>8</v>
      </c>
      <c r="H97" s="30">
        <f>'เย็น 386'!H97+'เช้า 212'!H97</f>
        <v>0</v>
      </c>
      <c r="I97" s="30">
        <f>'เย็น 386'!I97+'เช้า 212'!I97</f>
        <v>0</v>
      </c>
      <c r="J97" s="30">
        <f>'เย็น 386'!J97+'เช้า 212'!J97</f>
        <v>0</v>
      </c>
      <c r="K97" s="36">
        <f t="shared" si="8"/>
        <v>8</v>
      </c>
      <c r="L97" s="11">
        <v>5</v>
      </c>
      <c r="M97" s="11">
        <v>20</v>
      </c>
      <c r="N97" s="11"/>
      <c r="O97" s="11"/>
      <c r="P97" s="50">
        <f t="shared" si="5"/>
        <v>17</v>
      </c>
      <c r="S97" s="52">
        <f t="shared" si="6"/>
        <v>17</v>
      </c>
      <c r="T97" s="51">
        <v>10</v>
      </c>
      <c r="U97" s="52">
        <f t="shared" si="9"/>
        <v>27</v>
      </c>
      <c r="W97" s="52">
        <f t="shared" si="10"/>
        <v>27</v>
      </c>
    </row>
    <row r="98" spans="2:23" x14ac:dyDescent="0.25">
      <c r="B98" s="11">
        <v>1112013</v>
      </c>
      <c r="C98" s="19" t="s">
        <v>83</v>
      </c>
      <c r="D98" s="30">
        <f>'เย็น 386'!D98+'เช้า 212'!D98</f>
        <v>6</v>
      </c>
      <c r="E98" s="30">
        <f>'เย็น 386'!E98+'เช้า 212'!E98</f>
        <v>1</v>
      </c>
      <c r="F98" s="30">
        <f>'เย็น 386'!F98+'เช้า 212'!F98</f>
        <v>6</v>
      </c>
      <c r="G98" s="30">
        <f>'เย็น 386'!G98+'เช้า 212'!G98</f>
        <v>46</v>
      </c>
      <c r="H98" s="30">
        <f>'เย็น 386'!H98+'เช้า 212'!H98</f>
        <v>33</v>
      </c>
      <c r="I98" s="30">
        <f>'เย็น 386'!I98+'เช้า 212'!I98</f>
        <v>0</v>
      </c>
      <c r="J98" s="30">
        <f>'เย็น 386'!J98+'เช้า 212'!J98</f>
        <v>0</v>
      </c>
      <c r="K98" s="36">
        <f t="shared" si="8"/>
        <v>92</v>
      </c>
      <c r="L98" s="11">
        <v>225</v>
      </c>
      <c r="M98" s="11">
        <v>60</v>
      </c>
      <c r="N98" s="11"/>
      <c r="O98" s="11"/>
      <c r="P98" s="50">
        <f t="shared" si="5"/>
        <v>193</v>
      </c>
      <c r="R98" s="51">
        <v>22</v>
      </c>
      <c r="S98" s="52">
        <f t="shared" si="6"/>
        <v>171</v>
      </c>
      <c r="T98" s="51">
        <v>50</v>
      </c>
      <c r="U98" s="52">
        <f t="shared" si="9"/>
        <v>221</v>
      </c>
      <c r="V98" s="51">
        <v>110</v>
      </c>
      <c r="W98" s="52">
        <f t="shared" si="10"/>
        <v>111</v>
      </c>
    </row>
    <row r="99" spans="2:23" hidden="1" x14ac:dyDescent="0.25">
      <c r="B99" s="11">
        <v>1124043</v>
      </c>
      <c r="C99" s="19" t="s">
        <v>84</v>
      </c>
      <c r="D99" s="30">
        <f>'เย็น 386'!D99+'เช้า 212'!D99</f>
        <v>0</v>
      </c>
      <c r="E99" s="30">
        <f>'เย็น 386'!E99+'เช้า 212'!E99</f>
        <v>0</v>
      </c>
      <c r="F99" s="30">
        <f>'เย็น 386'!F99+'เช้า 212'!F99</f>
        <v>0</v>
      </c>
      <c r="G99" s="30">
        <f>'เย็น 386'!G99+'เช้า 212'!G99</f>
        <v>0</v>
      </c>
      <c r="H99" s="30">
        <f>'เย็น 386'!H99+'เช้า 212'!H99</f>
        <v>0</v>
      </c>
      <c r="I99" s="30">
        <f>'เย็น 386'!I99+'เช้า 212'!I99</f>
        <v>0</v>
      </c>
      <c r="J99" s="30">
        <f>'เย็น 386'!J99+'เช้า 212'!J99</f>
        <v>0</v>
      </c>
      <c r="K99" s="36">
        <f t="shared" si="8"/>
        <v>0</v>
      </c>
      <c r="L99" s="11"/>
      <c r="M99" s="11"/>
      <c r="N99" s="11"/>
      <c r="O99" s="11"/>
      <c r="P99" s="50">
        <f t="shared" si="5"/>
        <v>0</v>
      </c>
      <c r="S99" s="52">
        <f t="shared" si="6"/>
        <v>0</v>
      </c>
    </row>
    <row r="100" spans="2:23" hidden="1" x14ac:dyDescent="0.25">
      <c r="B100" s="18"/>
      <c r="C100" s="18" t="s">
        <v>1</v>
      </c>
      <c r="D100" s="18"/>
      <c r="E100" s="18"/>
      <c r="F100" s="18"/>
      <c r="G100" s="18"/>
      <c r="H100" s="18"/>
      <c r="I100" s="18"/>
      <c r="J100" s="20"/>
      <c r="K100" s="36">
        <f>SUM(K90:K99)</f>
        <v>323</v>
      </c>
      <c r="L100" s="11"/>
      <c r="M100" s="11"/>
      <c r="N100" s="11"/>
      <c r="O100" s="11"/>
      <c r="P100" s="50">
        <f>SUM(P90:P99)</f>
        <v>763</v>
      </c>
      <c r="S100" s="52">
        <f t="shared" si="6"/>
        <v>763</v>
      </c>
    </row>
    <row r="101" spans="2:23" ht="19.5" hidden="1" x14ac:dyDescent="0.25">
      <c r="B101" s="68" t="s">
        <v>85</v>
      </c>
      <c r="C101" s="69"/>
      <c r="D101" s="69"/>
      <c r="E101" s="69"/>
      <c r="F101" s="69"/>
      <c r="G101" s="69"/>
      <c r="H101" s="69"/>
      <c r="I101" s="69"/>
      <c r="J101" s="69"/>
      <c r="K101" s="69"/>
      <c r="L101" s="69"/>
      <c r="M101" s="69"/>
      <c r="N101" s="69"/>
      <c r="O101" s="69"/>
      <c r="P101" s="70"/>
      <c r="S101" s="52">
        <f t="shared" si="6"/>
        <v>0</v>
      </c>
    </row>
    <row r="102" spans="2:23" hidden="1" x14ac:dyDescent="0.25">
      <c r="B102" s="11">
        <v>1112008</v>
      </c>
      <c r="C102" s="19" t="s">
        <v>75</v>
      </c>
      <c r="D102" s="30">
        <f>'เช้า 212'!D102+'เย็น 386'!D102</f>
        <v>0</v>
      </c>
      <c r="E102" s="30">
        <f>'เช้า 212'!E102+'เย็น 386'!E102</f>
        <v>0</v>
      </c>
      <c r="F102" s="30">
        <f>'เช้า 212'!F102+'เย็น 386'!F102</f>
        <v>0</v>
      </c>
      <c r="G102" s="30">
        <f>'เช้า 212'!G102+'เย็น 386'!G102</f>
        <v>0</v>
      </c>
      <c r="H102" s="30">
        <f>'เช้า 212'!H102+'เย็น 386'!H102</f>
        <v>0</v>
      </c>
      <c r="I102" s="30">
        <f>'เช้า 212'!I102+'เย็น 386'!I102</f>
        <v>0</v>
      </c>
      <c r="J102" s="30">
        <f>'เช้า 212'!J102+'เย็น 386'!J102</f>
        <v>0</v>
      </c>
      <c r="K102" s="36">
        <f>SUM(D102:J102)</f>
        <v>0</v>
      </c>
      <c r="L102" s="11"/>
      <c r="M102" s="11"/>
      <c r="N102" s="11"/>
      <c r="O102" s="11"/>
      <c r="P102" s="50">
        <f t="shared" si="5"/>
        <v>0</v>
      </c>
      <c r="S102" s="52">
        <f t="shared" si="6"/>
        <v>0</v>
      </c>
    </row>
    <row r="103" spans="2:23" hidden="1" x14ac:dyDescent="0.25">
      <c r="B103" s="11">
        <v>1112010</v>
      </c>
      <c r="C103" s="19" t="s">
        <v>76</v>
      </c>
      <c r="D103" s="30">
        <f>'เช้า 212'!D103+'เย็น 386'!D103</f>
        <v>0</v>
      </c>
      <c r="E103" s="30">
        <f>'เช้า 212'!E103+'เย็น 386'!E103</f>
        <v>0</v>
      </c>
      <c r="F103" s="30">
        <f>'เช้า 212'!F103+'เย็น 386'!F103</f>
        <v>0</v>
      </c>
      <c r="G103" s="30">
        <f>'เช้า 212'!G103+'เย็น 386'!G103</f>
        <v>0</v>
      </c>
      <c r="H103" s="30">
        <f>'เช้า 212'!H103+'เย็น 386'!H103</f>
        <v>0</v>
      </c>
      <c r="I103" s="30">
        <f>'เช้า 212'!I103+'เย็น 386'!I103</f>
        <v>0</v>
      </c>
      <c r="J103" s="30">
        <f>'เช้า 212'!J103+'เย็น 386'!J103</f>
        <v>0</v>
      </c>
      <c r="K103" s="36">
        <f t="shared" ref="K103:K111" si="11">SUM(D103:J103)</f>
        <v>0</v>
      </c>
      <c r="L103" s="11"/>
      <c r="M103" s="11"/>
      <c r="N103" s="11"/>
      <c r="O103" s="11"/>
      <c r="P103" s="50">
        <f t="shared" si="5"/>
        <v>0</v>
      </c>
      <c r="S103" s="52">
        <f t="shared" si="6"/>
        <v>0</v>
      </c>
    </row>
    <row r="104" spans="2:23" hidden="1" x14ac:dyDescent="0.25">
      <c r="B104" s="11">
        <v>1112002</v>
      </c>
      <c r="C104" s="19" t="s">
        <v>77</v>
      </c>
      <c r="D104" s="30">
        <f>'เช้า 212'!D104+'เย็น 386'!D104</f>
        <v>0</v>
      </c>
      <c r="E104" s="30">
        <f>'เช้า 212'!E104+'เย็น 386'!E104</f>
        <v>0</v>
      </c>
      <c r="F104" s="30">
        <f>'เช้า 212'!F104+'เย็น 386'!F104</f>
        <v>0</v>
      </c>
      <c r="G104" s="30">
        <f>'เช้า 212'!G104+'เย็น 386'!G104</f>
        <v>0</v>
      </c>
      <c r="H104" s="30">
        <f>'เช้า 212'!H104+'เย็น 386'!H104</f>
        <v>0</v>
      </c>
      <c r="I104" s="30">
        <f>'เช้า 212'!I104+'เย็น 386'!I104</f>
        <v>0</v>
      </c>
      <c r="J104" s="30">
        <f>'เช้า 212'!J104+'เย็น 386'!J104</f>
        <v>0</v>
      </c>
      <c r="K104" s="36">
        <f t="shared" si="11"/>
        <v>0</v>
      </c>
      <c r="L104" s="11"/>
      <c r="M104" s="11"/>
      <c r="N104" s="11"/>
      <c r="O104" s="11"/>
      <c r="P104" s="50">
        <f t="shared" si="5"/>
        <v>0</v>
      </c>
      <c r="S104" s="52">
        <f t="shared" si="6"/>
        <v>0</v>
      </c>
    </row>
    <row r="105" spans="2:23" hidden="1" x14ac:dyDescent="0.25">
      <c r="B105" s="11">
        <v>1112004</v>
      </c>
      <c r="C105" s="19" t="s">
        <v>78</v>
      </c>
      <c r="D105" s="30">
        <f>'เช้า 212'!D105+'เย็น 386'!D105</f>
        <v>0</v>
      </c>
      <c r="E105" s="30">
        <f>'เช้า 212'!E105+'เย็น 386'!E105</f>
        <v>0</v>
      </c>
      <c r="F105" s="30">
        <f>'เช้า 212'!F105+'เย็น 386'!F105</f>
        <v>0</v>
      </c>
      <c r="G105" s="30">
        <f>'เช้า 212'!G105+'เย็น 386'!G105</f>
        <v>0</v>
      </c>
      <c r="H105" s="30">
        <f>'เช้า 212'!H105+'เย็น 386'!H105</f>
        <v>0</v>
      </c>
      <c r="I105" s="30">
        <f>'เช้า 212'!I105+'เย็น 386'!I105</f>
        <v>0</v>
      </c>
      <c r="J105" s="30">
        <f>'เช้า 212'!J105+'เย็น 386'!J105</f>
        <v>0</v>
      </c>
      <c r="K105" s="36">
        <f t="shared" si="11"/>
        <v>0</v>
      </c>
      <c r="L105" s="11"/>
      <c r="M105" s="11"/>
      <c r="N105" s="11"/>
      <c r="O105" s="11"/>
      <c r="P105" s="50">
        <f t="shared" si="5"/>
        <v>0</v>
      </c>
      <c r="S105" s="52">
        <f t="shared" si="6"/>
        <v>0</v>
      </c>
    </row>
    <row r="106" spans="2:23" hidden="1" x14ac:dyDescent="0.25">
      <c r="B106" s="11">
        <v>1112006</v>
      </c>
      <c r="C106" s="19" t="s">
        <v>79</v>
      </c>
      <c r="D106" s="30">
        <f>'เช้า 212'!D106+'เย็น 386'!D106</f>
        <v>0</v>
      </c>
      <c r="E106" s="30">
        <f>'เช้า 212'!E106+'เย็น 386'!E106</f>
        <v>0</v>
      </c>
      <c r="F106" s="30">
        <f>'เช้า 212'!F106+'เย็น 386'!F106</f>
        <v>0</v>
      </c>
      <c r="G106" s="30">
        <f>'เช้า 212'!G106+'เย็น 386'!G106</f>
        <v>0</v>
      </c>
      <c r="H106" s="30">
        <f>'เช้า 212'!H106+'เย็น 386'!H106</f>
        <v>0</v>
      </c>
      <c r="I106" s="30">
        <f>'เช้า 212'!I106+'เย็น 386'!I106</f>
        <v>0</v>
      </c>
      <c r="J106" s="30">
        <f>'เช้า 212'!J106+'เย็น 386'!J106</f>
        <v>0</v>
      </c>
      <c r="K106" s="36">
        <f t="shared" si="11"/>
        <v>0</v>
      </c>
      <c r="L106" s="11"/>
      <c r="M106" s="11"/>
      <c r="N106" s="11"/>
      <c r="O106" s="11"/>
      <c r="P106" s="50">
        <f t="shared" si="5"/>
        <v>0</v>
      </c>
      <c r="S106" s="52">
        <f t="shared" si="6"/>
        <v>0</v>
      </c>
    </row>
    <row r="107" spans="2:23" hidden="1" x14ac:dyDescent="0.25">
      <c r="B107" s="11">
        <v>1112018</v>
      </c>
      <c r="C107" s="19" t="s">
        <v>80</v>
      </c>
      <c r="D107" s="30">
        <f>'เช้า 212'!D107+'เย็น 386'!D107</f>
        <v>0</v>
      </c>
      <c r="E107" s="30">
        <f>'เช้า 212'!E107+'เย็น 386'!E107</f>
        <v>0</v>
      </c>
      <c r="F107" s="30">
        <f>'เช้า 212'!F107+'เย็น 386'!F107</f>
        <v>0</v>
      </c>
      <c r="G107" s="30">
        <f>'เช้า 212'!G107+'เย็น 386'!G107</f>
        <v>0</v>
      </c>
      <c r="H107" s="30">
        <f>'เช้า 212'!H107+'เย็น 386'!H107</f>
        <v>0</v>
      </c>
      <c r="I107" s="30">
        <f>'เช้า 212'!I107+'เย็น 386'!I107</f>
        <v>0</v>
      </c>
      <c r="J107" s="30">
        <f>'เช้า 212'!J107+'เย็น 386'!J107</f>
        <v>0</v>
      </c>
      <c r="K107" s="36">
        <f t="shared" si="11"/>
        <v>0</v>
      </c>
      <c r="L107" s="11"/>
      <c r="M107" s="11"/>
      <c r="N107" s="11"/>
      <c r="O107" s="11"/>
      <c r="P107" s="50">
        <f t="shared" si="5"/>
        <v>0</v>
      </c>
      <c r="S107" s="52">
        <f t="shared" si="6"/>
        <v>0</v>
      </c>
    </row>
    <row r="108" spans="2:23" hidden="1" x14ac:dyDescent="0.25">
      <c r="B108" s="11">
        <v>1112016</v>
      </c>
      <c r="C108" s="19" t="s">
        <v>81</v>
      </c>
      <c r="D108" s="30">
        <f>'เช้า 212'!D108+'เย็น 386'!D108</f>
        <v>0</v>
      </c>
      <c r="E108" s="30">
        <f>'เช้า 212'!E108+'เย็น 386'!E108</f>
        <v>0</v>
      </c>
      <c r="F108" s="30">
        <f>'เช้า 212'!F108+'เย็น 386'!F108</f>
        <v>0</v>
      </c>
      <c r="G108" s="30">
        <f>'เช้า 212'!G108+'เย็น 386'!G108</f>
        <v>0</v>
      </c>
      <c r="H108" s="30">
        <f>'เช้า 212'!H108+'เย็น 386'!H108</f>
        <v>0</v>
      </c>
      <c r="I108" s="30">
        <f>'เช้า 212'!I108+'เย็น 386'!I108</f>
        <v>0</v>
      </c>
      <c r="J108" s="30">
        <f>'เช้า 212'!J108+'เย็น 386'!J108</f>
        <v>0</v>
      </c>
      <c r="K108" s="36">
        <f t="shared" si="11"/>
        <v>0</v>
      </c>
      <c r="L108" s="11"/>
      <c r="M108" s="11"/>
      <c r="N108" s="11"/>
      <c r="O108" s="11"/>
      <c r="P108" s="50">
        <f t="shared" si="5"/>
        <v>0</v>
      </c>
      <c r="S108" s="52">
        <f t="shared" si="6"/>
        <v>0</v>
      </c>
    </row>
    <row r="109" spans="2:23" hidden="1" x14ac:dyDescent="0.25">
      <c r="B109" s="11">
        <v>1112014</v>
      </c>
      <c r="C109" s="19" t="s">
        <v>82</v>
      </c>
      <c r="D109" s="30">
        <f>'เช้า 212'!D109+'เย็น 386'!D109</f>
        <v>0</v>
      </c>
      <c r="E109" s="30">
        <f>'เช้า 212'!E109+'เย็น 386'!E109</f>
        <v>0</v>
      </c>
      <c r="F109" s="30">
        <f>'เช้า 212'!F109+'เย็น 386'!F109</f>
        <v>0</v>
      </c>
      <c r="G109" s="30">
        <f>'เช้า 212'!G109+'เย็น 386'!G109</f>
        <v>0</v>
      </c>
      <c r="H109" s="30">
        <f>'เช้า 212'!H109+'เย็น 386'!H109</f>
        <v>0</v>
      </c>
      <c r="I109" s="30">
        <f>'เช้า 212'!I109+'เย็น 386'!I109</f>
        <v>0</v>
      </c>
      <c r="J109" s="30">
        <f>'เช้า 212'!J109+'เย็น 386'!J109</f>
        <v>0</v>
      </c>
      <c r="K109" s="36">
        <f t="shared" si="11"/>
        <v>0</v>
      </c>
      <c r="L109" s="11"/>
      <c r="M109" s="11"/>
      <c r="N109" s="11"/>
      <c r="O109" s="11"/>
      <c r="P109" s="50">
        <f t="shared" si="5"/>
        <v>0</v>
      </c>
      <c r="S109" s="52">
        <f t="shared" si="6"/>
        <v>0</v>
      </c>
    </row>
    <row r="110" spans="2:23" hidden="1" x14ac:dyDescent="0.25">
      <c r="B110" s="11">
        <v>1112012</v>
      </c>
      <c r="C110" s="19" t="s">
        <v>83</v>
      </c>
      <c r="D110" s="30">
        <f>'เช้า 212'!D110+'เย็น 386'!D110</f>
        <v>0</v>
      </c>
      <c r="E110" s="30">
        <f>'เช้า 212'!E110+'เย็น 386'!E110</f>
        <v>0</v>
      </c>
      <c r="F110" s="30">
        <f>'เช้า 212'!F110+'เย็น 386'!F110</f>
        <v>0</v>
      </c>
      <c r="G110" s="30">
        <f>'เช้า 212'!G110+'เย็น 386'!G110</f>
        <v>0</v>
      </c>
      <c r="H110" s="30">
        <f>'เช้า 212'!H110+'เย็น 386'!H110</f>
        <v>0</v>
      </c>
      <c r="I110" s="30">
        <f>'เช้า 212'!I110+'เย็น 386'!I110</f>
        <v>0</v>
      </c>
      <c r="J110" s="30">
        <f>'เช้า 212'!J110+'เย็น 386'!J110</f>
        <v>0</v>
      </c>
      <c r="K110" s="36">
        <f t="shared" si="11"/>
        <v>0</v>
      </c>
      <c r="L110" s="11"/>
      <c r="M110" s="11"/>
      <c r="N110" s="11"/>
      <c r="O110" s="11"/>
      <c r="P110" s="50">
        <f t="shared" si="5"/>
        <v>0</v>
      </c>
      <c r="S110" s="52">
        <f t="shared" si="6"/>
        <v>0</v>
      </c>
    </row>
    <row r="111" spans="2:23" hidden="1" x14ac:dyDescent="0.25">
      <c r="B111" s="11"/>
      <c r="C111" s="19" t="s">
        <v>84</v>
      </c>
      <c r="D111" s="30">
        <f>'เช้า 212'!D111+'เย็น 386'!D111</f>
        <v>0</v>
      </c>
      <c r="E111" s="30">
        <f>'เช้า 212'!E111+'เย็น 386'!E111</f>
        <v>0</v>
      </c>
      <c r="F111" s="30">
        <f>'เช้า 212'!F111+'เย็น 386'!F111</f>
        <v>0</v>
      </c>
      <c r="G111" s="30">
        <f>'เช้า 212'!G111+'เย็น 386'!G111</f>
        <v>0</v>
      </c>
      <c r="H111" s="30">
        <f>'เช้า 212'!H111+'เย็น 386'!H111</f>
        <v>0</v>
      </c>
      <c r="I111" s="30">
        <f>'เช้า 212'!I111+'เย็น 386'!I111</f>
        <v>0</v>
      </c>
      <c r="J111" s="30">
        <f>'เช้า 212'!J111+'เย็น 386'!J111</f>
        <v>0</v>
      </c>
      <c r="K111" s="36">
        <f t="shared" si="11"/>
        <v>0</v>
      </c>
      <c r="L111" s="11"/>
      <c r="M111" s="11"/>
      <c r="N111" s="11"/>
      <c r="O111" s="11"/>
      <c r="P111" s="50">
        <f t="shared" si="5"/>
        <v>0</v>
      </c>
      <c r="S111" s="52">
        <f t="shared" si="6"/>
        <v>0</v>
      </c>
    </row>
    <row r="112" spans="2:23" hidden="1" x14ac:dyDescent="0.25">
      <c r="B112" s="18"/>
      <c r="C112" s="18" t="s">
        <v>1</v>
      </c>
      <c r="D112" s="18"/>
      <c r="E112" s="18"/>
      <c r="F112" s="18"/>
      <c r="G112" s="18"/>
      <c r="H112" s="18"/>
      <c r="I112" s="18"/>
      <c r="J112" s="20"/>
      <c r="K112" s="36">
        <f t="shared" ref="K112" si="12">SUM(D112:J112)</f>
        <v>0</v>
      </c>
      <c r="L112" s="11"/>
      <c r="M112" s="11"/>
      <c r="N112" s="11"/>
      <c r="O112" s="11"/>
      <c r="P112" s="50">
        <f t="shared" si="5"/>
        <v>0</v>
      </c>
      <c r="S112" s="52">
        <f t="shared" si="6"/>
        <v>0</v>
      </c>
    </row>
    <row r="113" spans="2:25" ht="19.5" x14ac:dyDescent="0.25">
      <c r="B113" s="68" t="s">
        <v>86</v>
      </c>
      <c r="C113" s="69"/>
      <c r="D113" s="69"/>
      <c r="E113" s="69"/>
      <c r="F113" s="69"/>
      <c r="G113" s="69"/>
      <c r="H113" s="69"/>
      <c r="I113" s="69"/>
      <c r="J113" s="69"/>
      <c r="K113" s="69"/>
      <c r="L113" s="69"/>
      <c r="M113" s="69"/>
      <c r="N113" s="69"/>
      <c r="O113" s="69"/>
      <c r="P113" s="70"/>
      <c r="S113" s="52">
        <f t="shared" si="6"/>
        <v>0</v>
      </c>
    </row>
    <row r="114" spans="2:25" x14ac:dyDescent="0.25">
      <c r="B114" s="11">
        <v>1113170</v>
      </c>
      <c r="C114" s="21" t="s">
        <v>87</v>
      </c>
      <c r="D114" s="30">
        <f>'เย็น 386'!D114+'เช้า 212'!D114</f>
        <v>0</v>
      </c>
      <c r="E114" s="30">
        <f>'เย็น 386'!E114+'เช้า 212'!E114</f>
        <v>0</v>
      </c>
      <c r="F114" s="30">
        <f>'เย็น 386'!F114+'เช้า 212'!F114</f>
        <v>0</v>
      </c>
      <c r="G114" s="30">
        <f>'เย็น 386'!G114+'เช้า 212'!G114</f>
        <v>0</v>
      </c>
      <c r="H114" s="30">
        <f>'เย็น 386'!H114+'เช้า 212'!H114</f>
        <v>0</v>
      </c>
      <c r="I114" s="30">
        <f>'เย็น 386'!I114+'เช้า 212'!I114</f>
        <v>0</v>
      </c>
      <c r="J114" s="30">
        <f>'เย็น 386'!J114+'เช้า 212'!J114</f>
        <v>0</v>
      </c>
      <c r="K114" s="36">
        <f>SUM(D114:J114)</f>
        <v>0</v>
      </c>
      <c r="L114" s="11"/>
      <c r="M114" s="11"/>
      <c r="N114" s="11"/>
      <c r="O114" s="11"/>
      <c r="P114" s="50">
        <f t="shared" si="5"/>
        <v>0</v>
      </c>
      <c r="S114" s="52">
        <f t="shared" si="6"/>
        <v>0</v>
      </c>
    </row>
    <row r="115" spans="2:25" hidden="1" x14ac:dyDescent="0.25">
      <c r="B115" s="11">
        <v>1113171</v>
      </c>
      <c r="C115" s="21" t="s">
        <v>88</v>
      </c>
      <c r="D115" s="30">
        <f>'เย็น 386'!D115+'เช้า 212'!D115</f>
        <v>0</v>
      </c>
      <c r="E115" s="30">
        <f>'เย็น 386'!E115+'เช้า 212'!E115</f>
        <v>0</v>
      </c>
      <c r="F115" s="30">
        <f>'เย็น 386'!F115+'เช้า 212'!F115</f>
        <v>0</v>
      </c>
      <c r="G115" s="30">
        <f>'เย็น 386'!G115+'เช้า 212'!G115</f>
        <v>0</v>
      </c>
      <c r="H115" s="30">
        <f>'เย็น 386'!H115+'เช้า 212'!H115</f>
        <v>0</v>
      </c>
      <c r="I115" s="30">
        <f>'เย็น 386'!I115+'เช้า 212'!I115</f>
        <v>0</v>
      </c>
      <c r="J115" s="30">
        <f>'เย็น 386'!J115+'เช้า 212'!J115</f>
        <v>0</v>
      </c>
      <c r="K115" s="36">
        <f t="shared" ref="K115:K137" si="13">SUM(D115:J115)</f>
        <v>0</v>
      </c>
      <c r="L115" s="11"/>
      <c r="M115" s="11"/>
      <c r="N115" s="11"/>
      <c r="O115" s="11"/>
      <c r="P115" s="50">
        <f t="shared" si="5"/>
        <v>0</v>
      </c>
      <c r="S115" s="52">
        <f t="shared" si="6"/>
        <v>0</v>
      </c>
    </row>
    <row r="116" spans="2:25" hidden="1" x14ac:dyDescent="0.25">
      <c r="B116" s="11">
        <v>1113172</v>
      </c>
      <c r="C116" s="21" t="s">
        <v>89</v>
      </c>
      <c r="D116" s="30">
        <f>'เย็น 386'!D116+'เช้า 212'!D116</f>
        <v>0</v>
      </c>
      <c r="E116" s="30">
        <f>'เย็น 386'!E116+'เช้า 212'!E116</f>
        <v>0</v>
      </c>
      <c r="F116" s="30">
        <f>'เย็น 386'!F116+'เช้า 212'!F116</f>
        <v>0</v>
      </c>
      <c r="G116" s="30">
        <f>'เย็น 386'!G116+'เช้า 212'!G116</f>
        <v>0</v>
      </c>
      <c r="H116" s="30">
        <f>'เย็น 386'!H116+'เช้า 212'!H116</f>
        <v>0</v>
      </c>
      <c r="I116" s="30">
        <f>'เย็น 386'!I116+'เช้า 212'!I116</f>
        <v>0</v>
      </c>
      <c r="J116" s="30">
        <f>'เย็น 386'!J116+'เช้า 212'!J116</f>
        <v>0</v>
      </c>
      <c r="K116" s="36">
        <f t="shared" si="13"/>
        <v>0</v>
      </c>
      <c r="L116" s="11"/>
      <c r="M116" s="11"/>
      <c r="N116" s="11"/>
      <c r="O116" s="11"/>
      <c r="P116" s="50">
        <f t="shared" si="5"/>
        <v>0</v>
      </c>
      <c r="S116" s="52">
        <f t="shared" si="6"/>
        <v>0</v>
      </c>
    </row>
    <row r="117" spans="2:25" hidden="1" x14ac:dyDescent="0.25">
      <c r="B117" s="11">
        <v>1113173</v>
      </c>
      <c r="C117" s="21" t="s">
        <v>90</v>
      </c>
      <c r="D117" s="30">
        <f>'เย็น 386'!D117+'เช้า 212'!D117</f>
        <v>0</v>
      </c>
      <c r="E117" s="30">
        <f>'เย็น 386'!E117+'เช้า 212'!E117</f>
        <v>0</v>
      </c>
      <c r="F117" s="30">
        <f>'เย็น 386'!F117+'เช้า 212'!F117</f>
        <v>0</v>
      </c>
      <c r="G117" s="30">
        <f>'เย็น 386'!G117+'เช้า 212'!G117</f>
        <v>0</v>
      </c>
      <c r="H117" s="30">
        <f>'เย็น 386'!H117+'เช้า 212'!H117</f>
        <v>0</v>
      </c>
      <c r="I117" s="30">
        <f>'เย็น 386'!I117+'เช้า 212'!I117</f>
        <v>0</v>
      </c>
      <c r="J117" s="30">
        <f>'เย็น 386'!J117+'เช้า 212'!J117</f>
        <v>0</v>
      </c>
      <c r="K117" s="36">
        <f t="shared" si="13"/>
        <v>0</v>
      </c>
      <c r="L117" s="11"/>
      <c r="M117" s="11"/>
      <c r="N117" s="11"/>
      <c r="O117" s="11"/>
      <c r="P117" s="50">
        <f t="shared" si="5"/>
        <v>0</v>
      </c>
      <c r="S117" s="52">
        <f t="shared" si="6"/>
        <v>0</v>
      </c>
    </row>
    <row r="118" spans="2:25" x14ac:dyDescent="0.25">
      <c r="B118" s="11">
        <v>1100003</v>
      </c>
      <c r="C118" s="21" t="s">
        <v>121</v>
      </c>
      <c r="D118" s="30">
        <f>'เย็น 386'!D118+'เช้า 212'!D118</f>
        <v>0</v>
      </c>
      <c r="E118" s="30">
        <f>'เย็น 386'!E118+'เช้า 212'!E118</f>
        <v>4</v>
      </c>
      <c r="F118" s="30">
        <f>'เย็น 386'!F118+'เช้า 212'!F118</f>
        <v>0</v>
      </c>
      <c r="G118" s="30">
        <f>'เย็น 386'!G118+'เช้า 212'!G118</f>
        <v>0</v>
      </c>
      <c r="H118" s="30">
        <f>'เย็น 386'!H118+'เช้า 212'!H118</f>
        <v>0</v>
      </c>
      <c r="I118" s="30">
        <f>'เย็น 386'!I118+'เช้า 212'!I118</f>
        <v>0</v>
      </c>
      <c r="J118" s="30">
        <f>'เย็น 386'!J118+'เช้า 212'!J118</f>
        <v>0</v>
      </c>
      <c r="K118" s="36">
        <f t="shared" si="13"/>
        <v>4</v>
      </c>
      <c r="L118" s="11">
        <v>69</v>
      </c>
      <c r="M118" s="11"/>
      <c r="N118" s="11"/>
      <c r="O118" s="11"/>
      <c r="P118" s="50">
        <f t="shared" si="5"/>
        <v>65</v>
      </c>
      <c r="S118" s="52">
        <f t="shared" si="6"/>
        <v>65</v>
      </c>
      <c r="U118" s="52">
        <f t="shared" ref="U118" si="14">S118+T118</f>
        <v>65</v>
      </c>
    </row>
    <row r="119" spans="2:25" x14ac:dyDescent="0.25">
      <c r="B119" s="11">
        <v>1100001</v>
      </c>
      <c r="C119" s="21" t="s">
        <v>122</v>
      </c>
      <c r="D119" s="30">
        <f>'เย็น 386'!D119+'เช้า 212'!D119</f>
        <v>0</v>
      </c>
      <c r="E119" s="30">
        <f>'เย็น 386'!E119+'เช้า 212'!E119</f>
        <v>0</v>
      </c>
      <c r="F119" s="30">
        <f>'เย็น 386'!F119+'เช้า 212'!F119</f>
        <v>0</v>
      </c>
      <c r="G119" s="30">
        <f>'เย็น 386'!G119+'เช้า 212'!G119</f>
        <v>0</v>
      </c>
      <c r="H119" s="30">
        <f>'เย็น 386'!H119+'เช้า 212'!H119</f>
        <v>0</v>
      </c>
      <c r="I119" s="30">
        <f>'เย็น 386'!I119+'เช้า 212'!I119</f>
        <v>0</v>
      </c>
      <c r="J119" s="30">
        <f>'เย็น 386'!J119+'เช้า 212'!J119</f>
        <v>0</v>
      </c>
      <c r="K119" s="36">
        <f t="shared" si="13"/>
        <v>0</v>
      </c>
      <c r="L119" s="11"/>
      <c r="M119" s="11"/>
      <c r="N119" s="11"/>
      <c r="O119" s="11"/>
      <c r="P119" s="50">
        <f t="shared" si="5"/>
        <v>0</v>
      </c>
      <c r="S119" s="52">
        <f t="shared" si="6"/>
        <v>0</v>
      </c>
    </row>
    <row r="120" spans="2:25" x14ac:dyDescent="0.25">
      <c r="B120" s="11">
        <v>1100002</v>
      </c>
      <c r="C120" s="21" t="s">
        <v>123</v>
      </c>
      <c r="D120" s="30">
        <f>'เย็น 386'!D120+'เช้า 212'!D120</f>
        <v>0</v>
      </c>
      <c r="E120" s="30">
        <f>'เย็น 386'!E120+'เช้า 212'!E120</f>
        <v>0</v>
      </c>
      <c r="F120" s="30">
        <f>'เย็น 386'!F120+'เช้า 212'!F120</f>
        <v>0</v>
      </c>
      <c r="G120" s="30">
        <f>'เย็น 386'!G120+'เช้า 212'!G120</f>
        <v>0</v>
      </c>
      <c r="H120" s="30">
        <f>'เย็น 386'!H120+'เช้า 212'!H120</f>
        <v>1</v>
      </c>
      <c r="I120" s="30">
        <f>'เย็น 386'!I120+'เช้า 212'!I120</f>
        <v>0</v>
      </c>
      <c r="J120" s="30">
        <f>'เย็น 386'!J120+'เช้า 212'!J120</f>
        <v>0</v>
      </c>
      <c r="K120" s="36">
        <f t="shared" si="13"/>
        <v>1</v>
      </c>
      <c r="L120" s="11">
        <v>6</v>
      </c>
      <c r="M120" s="11"/>
      <c r="N120" s="11"/>
      <c r="O120" s="11"/>
      <c r="P120" s="50">
        <f t="shared" si="5"/>
        <v>5</v>
      </c>
      <c r="S120" s="52">
        <f t="shared" si="6"/>
        <v>5</v>
      </c>
    </row>
    <row r="121" spans="2:25" x14ac:dyDescent="0.25">
      <c r="B121" s="11">
        <v>1200001</v>
      </c>
      <c r="C121" s="21" t="s">
        <v>93</v>
      </c>
      <c r="D121" s="30">
        <f>'เย็น 386'!D121+'เช้า 212'!D121</f>
        <v>0</v>
      </c>
      <c r="E121" s="30">
        <f>'เย็น 386'!E121+'เช้า 212'!E121</f>
        <v>2</v>
      </c>
      <c r="F121" s="30">
        <f>'เย็น 386'!F121+'เช้า 212'!F121</f>
        <v>0</v>
      </c>
      <c r="G121" s="30">
        <f>'เย็น 386'!G121+'เช้า 212'!G121</f>
        <v>0</v>
      </c>
      <c r="H121" s="30">
        <f>'เย็น 386'!H121+'เช้า 212'!H121</f>
        <v>0</v>
      </c>
      <c r="I121" s="30">
        <f>'เย็น 386'!I121+'เช้า 212'!I121</f>
        <v>0</v>
      </c>
      <c r="J121" s="30">
        <f>'เย็น 386'!J121+'เช้า 212'!J121</f>
        <v>0</v>
      </c>
      <c r="K121" s="36">
        <f t="shared" si="13"/>
        <v>2</v>
      </c>
      <c r="L121" s="11">
        <v>146</v>
      </c>
      <c r="M121" s="11"/>
      <c r="N121" s="11"/>
      <c r="O121" s="11"/>
      <c r="P121" s="50">
        <f t="shared" si="5"/>
        <v>144</v>
      </c>
      <c r="S121" s="52">
        <f t="shared" si="6"/>
        <v>144</v>
      </c>
    </row>
    <row r="122" spans="2:25" x14ac:dyDescent="0.25">
      <c r="B122" s="11">
        <v>1005761</v>
      </c>
      <c r="C122" s="21" t="s">
        <v>94</v>
      </c>
      <c r="D122" s="30">
        <f>'เย็น 386'!D122+'เช้า 212'!D122</f>
        <v>8</v>
      </c>
      <c r="E122" s="30">
        <f>'เย็น 386'!E122+'เช้า 212'!E122</f>
        <v>0</v>
      </c>
      <c r="F122" s="30">
        <f>'เย็น 386'!F122+'เช้า 212'!F122</f>
        <v>0</v>
      </c>
      <c r="G122" s="30">
        <f>'เย็น 386'!G122+'เช้า 212'!G122</f>
        <v>3</v>
      </c>
      <c r="H122" s="30">
        <f>'เย็น 386'!H122+'เช้า 212'!H122</f>
        <v>0</v>
      </c>
      <c r="I122" s="30">
        <f>'เย็น 386'!I122+'เช้า 212'!I122</f>
        <v>0</v>
      </c>
      <c r="J122" s="30">
        <f>'เย็น 386'!J122+'เช้า 212'!J122</f>
        <v>0</v>
      </c>
      <c r="K122" s="36">
        <f t="shared" si="13"/>
        <v>11</v>
      </c>
      <c r="L122" s="11">
        <v>46</v>
      </c>
      <c r="M122" s="11"/>
      <c r="N122" s="11"/>
      <c r="O122" s="11"/>
      <c r="P122" s="50">
        <f t="shared" si="5"/>
        <v>35</v>
      </c>
      <c r="S122" s="52">
        <f t="shared" si="6"/>
        <v>35</v>
      </c>
    </row>
    <row r="123" spans="2:25" x14ac:dyDescent="0.25">
      <c r="B123" s="11">
        <v>1114501</v>
      </c>
      <c r="C123" s="21" t="s">
        <v>95</v>
      </c>
      <c r="D123" s="30">
        <f>'เย็น 386'!D123+'เช้า 212'!D123</f>
        <v>1</v>
      </c>
      <c r="E123" s="30">
        <f>'เย็น 386'!E123+'เช้า 212'!E123</f>
        <v>7</v>
      </c>
      <c r="F123" s="30">
        <f>'เย็น 386'!F123+'เช้า 212'!F123</f>
        <v>8</v>
      </c>
      <c r="G123" s="30">
        <f>'เย็น 386'!G123+'เช้า 212'!G123</f>
        <v>326</v>
      </c>
      <c r="H123" s="30">
        <f>'เย็น 386'!H123+'เช้า 212'!H123</f>
        <v>131</v>
      </c>
      <c r="I123" s="30">
        <f>'เย็น 386'!I123+'เช้า 212'!I123</f>
        <v>0</v>
      </c>
      <c r="J123" s="30">
        <f>'เย็น 386'!J123+'เช้า 212'!J123</f>
        <v>0</v>
      </c>
      <c r="K123" s="36">
        <f t="shared" si="13"/>
        <v>473</v>
      </c>
      <c r="L123" s="11">
        <v>383</v>
      </c>
      <c r="M123" s="11">
        <v>400</v>
      </c>
      <c r="N123" s="11"/>
      <c r="O123" s="11"/>
      <c r="P123" s="50">
        <f t="shared" si="5"/>
        <v>310</v>
      </c>
      <c r="R123" s="51">
        <v>137</v>
      </c>
      <c r="S123" s="52">
        <f t="shared" si="6"/>
        <v>173</v>
      </c>
      <c r="T123" s="51">
        <v>400</v>
      </c>
      <c r="U123" s="52">
        <f t="shared" ref="U123:U126" si="15">S123+T123</f>
        <v>573</v>
      </c>
      <c r="V123" s="52">
        <v>192</v>
      </c>
      <c r="W123" s="52">
        <f>U123-V123</f>
        <v>381</v>
      </c>
      <c r="X123" s="52"/>
      <c r="Y123" s="52"/>
    </row>
    <row r="124" spans="2:25" x14ac:dyDescent="0.25">
      <c r="B124" s="11">
        <v>1114502</v>
      </c>
      <c r="C124" s="21" t="s">
        <v>96</v>
      </c>
      <c r="D124" s="30">
        <f>'เย็น 386'!D124+'เช้า 212'!D124</f>
        <v>1</v>
      </c>
      <c r="E124" s="30">
        <f>'เย็น 386'!E124+'เช้า 212'!E124</f>
        <v>4</v>
      </c>
      <c r="F124" s="30">
        <f>'เย็น 386'!F124+'เช้า 212'!F124</f>
        <v>7</v>
      </c>
      <c r="G124" s="30">
        <f>'เย็น 386'!G124+'เช้า 212'!G124</f>
        <v>326</v>
      </c>
      <c r="H124" s="30">
        <f>'เย็น 386'!H124+'เช้า 212'!H124</f>
        <v>131</v>
      </c>
      <c r="I124" s="30">
        <f>'เย็น 386'!I124+'เช้า 212'!I124</f>
        <v>0</v>
      </c>
      <c r="J124" s="30">
        <f>'เย็น 386'!J124+'เช้า 212'!J124</f>
        <v>0</v>
      </c>
      <c r="K124" s="36">
        <f t="shared" si="13"/>
        <v>469</v>
      </c>
      <c r="L124" s="11">
        <v>990</v>
      </c>
      <c r="M124" s="11">
        <v>400</v>
      </c>
      <c r="N124" s="11"/>
      <c r="O124" s="11"/>
      <c r="P124" s="50">
        <f t="shared" si="5"/>
        <v>921</v>
      </c>
      <c r="R124" s="51">
        <v>137</v>
      </c>
      <c r="S124" s="52">
        <f t="shared" si="6"/>
        <v>784</v>
      </c>
      <c r="T124" s="51">
        <v>400</v>
      </c>
      <c r="U124" s="52">
        <f t="shared" si="15"/>
        <v>1184</v>
      </c>
      <c r="V124" s="52">
        <v>412</v>
      </c>
      <c r="W124" s="52">
        <f t="shared" ref="W124:W126" si="16">U124-V124</f>
        <v>772</v>
      </c>
      <c r="X124" s="52"/>
      <c r="Y124" s="52"/>
    </row>
    <row r="125" spans="2:25" x14ac:dyDescent="0.25">
      <c r="B125" s="11">
        <v>1114503</v>
      </c>
      <c r="C125" s="21" t="s">
        <v>97</v>
      </c>
      <c r="D125" s="30">
        <f>'เย็น 386'!D125+'เช้า 212'!D125</f>
        <v>1</v>
      </c>
      <c r="E125" s="30">
        <f>'เย็น 386'!E125+'เช้า 212'!E125</f>
        <v>5</v>
      </c>
      <c r="F125" s="30">
        <f>'เย็น 386'!F125+'เช้า 212'!F125</f>
        <v>6</v>
      </c>
      <c r="G125" s="30">
        <f>'เย็น 386'!G125+'เช้า 212'!G125</f>
        <v>324</v>
      </c>
      <c r="H125" s="30">
        <f>'เย็น 386'!H125+'เช้า 212'!H125</f>
        <v>131</v>
      </c>
      <c r="I125" s="30">
        <f>'เย็น 386'!I125+'เช้า 212'!I125</f>
        <v>0</v>
      </c>
      <c r="J125" s="30">
        <f>'เย็น 386'!J125+'เช้า 212'!J125</f>
        <v>0</v>
      </c>
      <c r="K125" s="36">
        <f t="shared" si="13"/>
        <v>467</v>
      </c>
      <c r="L125" s="11">
        <v>816</v>
      </c>
      <c r="M125" s="11">
        <v>400</v>
      </c>
      <c r="N125" s="11"/>
      <c r="O125" s="11"/>
      <c r="P125" s="50">
        <f t="shared" si="5"/>
        <v>749</v>
      </c>
      <c r="R125" s="51">
        <v>136</v>
      </c>
      <c r="S125" s="52">
        <f t="shared" si="6"/>
        <v>613</v>
      </c>
      <c r="T125" s="51">
        <v>400</v>
      </c>
      <c r="U125" s="52">
        <f t="shared" si="15"/>
        <v>1013</v>
      </c>
      <c r="V125" s="52">
        <v>236</v>
      </c>
      <c r="W125" s="52">
        <f t="shared" si="16"/>
        <v>777</v>
      </c>
      <c r="X125" s="52"/>
      <c r="Y125" s="52"/>
    </row>
    <row r="126" spans="2:25" x14ac:dyDescent="0.25">
      <c r="B126" s="11">
        <v>1124021</v>
      </c>
      <c r="C126" s="21" t="s">
        <v>98</v>
      </c>
      <c r="D126" s="30">
        <f>'เย็น 386'!D126+'เช้า 212'!D126</f>
        <v>24</v>
      </c>
      <c r="E126" s="30">
        <f>'เย็น 386'!E126+'เช้า 212'!E126</f>
        <v>109</v>
      </c>
      <c r="F126" s="30">
        <f>'เย็น 386'!F126+'เช้า 212'!F126</f>
        <v>50</v>
      </c>
      <c r="G126" s="30">
        <f>'เย็น 386'!G126+'เช้า 212'!G126</f>
        <v>12</v>
      </c>
      <c r="H126" s="30">
        <f>'เย็น 386'!H126+'เช้า 212'!H126</f>
        <v>0</v>
      </c>
      <c r="I126" s="30">
        <f>'เย็น 386'!I126+'เช้า 212'!I126</f>
        <v>0</v>
      </c>
      <c r="J126" s="30">
        <f>'เย็น 386'!J126+'เช้า 212'!J126</f>
        <v>0</v>
      </c>
      <c r="K126" s="36">
        <f t="shared" si="13"/>
        <v>195</v>
      </c>
      <c r="L126" s="11">
        <v>188</v>
      </c>
      <c r="M126" s="11">
        <v>200</v>
      </c>
      <c r="N126" s="11"/>
      <c r="O126" s="11"/>
      <c r="P126" s="50">
        <f t="shared" si="5"/>
        <v>193</v>
      </c>
      <c r="R126" s="51">
        <v>60</v>
      </c>
      <c r="S126" s="52">
        <f t="shared" si="6"/>
        <v>133</v>
      </c>
      <c r="T126" s="51">
        <v>300</v>
      </c>
      <c r="U126" s="52">
        <f t="shared" si="15"/>
        <v>433</v>
      </c>
      <c r="V126" s="51">
        <v>-90</v>
      </c>
      <c r="W126" s="52">
        <f t="shared" si="16"/>
        <v>523</v>
      </c>
    </row>
    <row r="127" spans="2:25" x14ac:dyDescent="0.25">
      <c r="B127" s="11">
        <v>1113084</v>
      </c>
      <c r="C127" s="21" t="s">
        <v>99</v>
      </c>
      <c r="D127" s="30">
        <f>'เย็น 386'!D127+'เช้า 212'!D127</f>
        <v>0</v>
      </c>
      <c r="E127" s="30">
        <f>'เย็น 386'!E127+'เช้า 212'!E127</f>
        <v>0</v>
      </c>
      <c r="F127" s="30">
        <f>'เย็น 386'!F127+'เช้า 212'!F127</f>
        <v>0</v>
      </c>
      <c r="G127" s="30">
        <f>'เย็น 386'!G127+'เช้า 212'!G127</f>
        <v>0</v>
      </c>
      <c r="H127" s="30">
        <f>'เย็น 386'!H127+'เช้า 212'!H127</f>
        <v>0</v>
      </c>
      <c r="I127" s="30">
        <f>'เย็น 386'!I127+'เช้า 212'!I127</f>
        <v>0</v>
      </c>
      <c r="J127" s="30">
        <f>'เย็น 386'!J127+'เช้า 212'!J127</f>
        <v>0</v>
      </c>
      <c r="K127" s="36">
        <f t="shared" si="13"/>
        <v>0</v>
      </c>
      <c r="L127" s="11">
        <v>29</v>
      </c>
      <c r="M127" s="11"/>
      <c r="N127" s="11"/>
      <c r="O127" s="11"/>
      <c r="P127" s="50">
        <f t="shared" si="5"/>
        <v>29</v>
      </c>
      <c r="S127" s="52">
        <f t="shared" si="6"/>
        <v>29</v>
      </c>
    </row>
    <row r="128" spans="2:25" hidden="1" x14ac:dyDescent="0.25">
      <c r="B128" s="11">
        <v>900003</v>
      </c>
      <c r="C128" s="21" t="s">
        <v>132</v>
      </c>
      <c r="D128" s="30">
        <f>'เย็น 386'!D128+'เช้า 212'!D128</f>
        <v>0</v>
      </c>
      <c r="E128" s="30">
        <f>'เย็น 386'!E128+'เช้า 212'!E128</f>
        <v>0</v>
      </c>
      <c r="F128" s="30">
        <f>'เย็น 386'!F128+'เช้า 212'!F128</f>
        <v>0</v>
      </c>
      <c r="G128" s="30">
        <f>'เย็น 386'!G128+'เช้า 212'!G128</f>
        <v>0</v>
      </c>
      <c r="H128" s="30">
        <f>'เย็น 386'!H128+'เช้า 212'!H128</f>
        <v>0</v>
      </c>
      <c r="I128" s="30">
        <f>'เย็น 386'!I128+'เช้า 212'!I128</f>
        <v>0</v>
      </c>
      <c r="J128" s="30">
        <f>'เย็น 386'!J128+'เช้า 212'!J128</f>
        <v>0</v>
      </c>
      <c r="K128" s="36">
        <f t="shared" si="13"/>
        <v>0</v>
      </c>
      <c r="L128" s="11"/>
      <c r="M128" s="11"/>
      <c r="N128" s="11"/>
      <c r="O128" s="11"/>
      <c r="P128" s="50">
        <f t="shared" si="5"/>
        <v>0</v>
      </c>
      <c r="S128" s="52">
        <f t="shared" si="6"/>
        <v>0</v>
      </c>
    </row>
    <row r="129" spans="2:19" hidden="1" x14ac:dyDescent="0.25">
      <c r="B129" s="11">
        <v>900004</v>
      </c>
      <c r="C129" s="21" t="s">
        <v>100</v>
      </c>
      <c r="D129" s="30">
        <f>'เย็น 386'!D129+'เช้า 212'!D129</f>
        <v>0</v>
      </c>
      <c r="E129" s="30">
        <f>'เย็น 386'!E129+'เช้า 212'!E129</f>
        <v>0</v>
      </c>
      <c r="F129" s="30">
        <f>'เย็น 386'!F129+'เช้า 212'!F129</f>
        <v>0</v>
      </c>
      <c r="G129" s="30">
        <f>'เย็น 386'!G129+'เช้า 212'!G129</f>
        <v>0</v>
      </c>
      <c r="H129" s="30">
        <f>'เย็น 386'!H129+'เช้า 212'!H129</f>
        <v>0</v>
      </c>
      <c r="I129" s="30">
        <f>'เย็น 386'!I129+'เช้า 212'!I129</f>
        <v>0</v>
      </c>
      <c r="J129" s="30">
        <f>'เย็น 386'!J129+'เช้า 212'!J129</f>
        <v>0</v>
      </c>
      <c r="K129" s="36">
        <f t="shared" si="13"/>
        <v>0</v>
      </c>
      <c r="L129" s="11"/>
      <c r="M129" s="11"/>
      <c r="N129" s="11"/>
      <c r="O129" s="11"/>
      <c r="P129" s="50">
        <f t="shared" si="5"/>
        <v>0</v>
      </c>
      <c r="S129" s="52">
        <f t="shared" si="6"/>
        <v>0</v>
      </c>
    </row>
    <row r="130" spans="2:19" x14ac:dyDescent="0.25">
      <c r="B130" s="11">
        <v>1200002</v>
      </c>
      <c r="C130" s="21" t="s">
        <v>101</v>
      </c>
      <c r="D130" s="30">
        <f>'เย็น 386'!D130+'เช้า 212'!D130</f>
        <v>0</v>
      </c>
      <c r="E130" s="30">
        <f>'เย็น 386'!E130+'เช้า 212'!E130</f>
        <v>0</v>
      </c>
      <c r="F130" s="30">
        <f>'เย็น 386'!F130+'เช้า 212'!F130</f>
        <v>0</v>
      </c>
      <c r="G130" s="30">
        <f>'เย็น 386'!G130+'เช้า 212'!G130</f>
        <v>0</v>
      </c>
      <c r="H130" s="30">
        <f>'เย็น 386'!H130+'เช้า 212'!H130</f>
        <v>0</v>
      </c>
      <c r="I130" s="30">
        <f>'เย็น 386'!I130+'เช้า 212'!I130</f>
        <v>0</v>
      </c>
      <c r="J130" s="30">
        <f>'เย็น 386'!J130+'เช้า 212'!J130</f>
        <v>0</v>
      </c>
      <c r="K130" s="36">
        <f t="shared" si="13"/>
        <v>0</v>
      </c>
      <c r="L130" s="11">
        <v>1</v>
      </c>
      <c r="M130" s="11"/>
      <c r="N130" s="11"/>
      <c r="O130" s="11"/>
      <c r="P130" s="50">
        <f t="shared" ref="P130:P137" si="17">(L130+M130+N130+O130)-K130</f>
        <v>1</v>
      </c>
      <c r="S130" s="52">
        <f t="shared" si="6"/>
        <v>1</v>
      </c>
    </row>
    <row r="131" spans="2:19" hidden="1" x14ac:dyDescent="0.25">
      <c r="B131" s="11">
        <v>1200003</v>
      </c>
      <c r="C131" s="21" t="s">
        <v>102</v>
      </c>
      <c r="D131" s="30">
        <f>'เย็น 386'!D131+'เช้า 212'!D131</f>
        <v>0</v>
      </c>
      <c r="E131" s="30">
        <f>'เย็น 386'!E131+'เช้า 212'!E131</f>
        <v>0</v>
      </c>
      <c r="F131" s="30">
        <f>'เย็น 386'!F131+'เช้า 212'!F131</f>
        <v>0</v>
      </c>
      <c r="G131" s="30">
        <f>'เย็น 386'!G131+'เช้า 212'!G131</f>
        <v>0</v>
      </c>
      <c r="H131" s="30">
        <f>'เย็น 386'!H131+'เช้า 212'!H131</f>
        <v>0</v>
      </c>
      <c r="I131" s="30">
        <f>'เย็น 386'!I131+'เช้า 212'!I131</f>
        <v>0</v>
      </c>
      <c r="J131" s="30">
        <f>'เย็น 386'!J131+'เช้า 212'!J131</f>
        <v>0</v>
      </c>
      <c r="K131" s="36">
        <f t="shared" si="13"/>
        <v>0</v>
      </c>
      <c r="L131" s="11"/>
      <c r="M131" s="11"/>
      <c r="N131" s="11"/>
      <c r="O131" s="11"/>
      <c r="P131" s="50">
        <f t="shared" si="17"/>
        <v>0</v>
      </c>
    </row>
    <row r="132" spans="2:19" hidden="1" x14ac:dyDescent="0.25">
      <c r="B132" s="11">
        <v>1200004</v>
      </c>
      <c r="C132" s="21" t="s">
        <v>103</v>
      </c>
      <c r="D132" s="30">
        <f>'เย็น 386'!D132+'เช้า 212'!D132</f>
        <v>0</v>
      </c>
      <c r="E132" s="30">
        <f>'เย็น 386'!E132+'เช้า 212'!E132</f>
        <v>0</v>
      </c>
      <c r="F132" s="30">
        <f>'เย็น 386'!F132+'เช้า 212'!F132</f>
        <v>0</v>
      </c>
      <c r="G132" s="30">
        <f>'เย็น 386'!G132+'เช้า 212'!G132</f>
        <v>0</v>
      </c>
      <c r="H132" s="30">
        <f>'เย็น 386'!H132+'เช้า 212'!H132</f>
        <v>0</v>
      </c>
      <c r="I132" s="30">
        <f>'เย็น 386'!I132+'เช้า 212'!I132</f>
        <v>0</v>
      </c>
      <c r="J132" s="30">
        <f>'เย็น 386'!J132+'เช้า 212'!J132</f>
        <v>0</v>
      </c>
      <c r="K132" s="36">
        <f t="shared" si="13"/>
        <v>0</v>
      </c>
      <c r="L132" s="11"/>
      <c r="M132" s="11"/>
      <c r="N132" s="11"/>
      <c r="O132" s="11"/>
      <c r="P132" s="50">
        <f t="shared" si="17"/>
        <v>0</v>
      </c>
    </row>
    <row r="133" spans="2:19" hidden="1" x14ac:dyDescent="0.25">
      <c r="B133" s="11">
        <v>1200093</v>
      </c>
      <c r="C133" s="21" t="s">
        <v>91</v>
      </c>
      <c r="D133" s="30">
        <f>'เย็น 386'!D133+'เช้า 212'!D133</f>
        <v>0</v>
      </c>
      <c r="E133" s="30">
        <f>'เย็น 386'!E133+'เช้า 212'!E133</f>
        <v>0</v>
      </c>
      <c r="F133" s="30">
        <f>'เย็น 386'!F133+'เช้า 212'!F133</f>
        <v>0</v>
      </c>
      <c r="G133" s="30">
        <f>'เย็น 386'!G133+'เช้า 212'!G133</f>
        <v>0</v>
      </c>
      <c r="H133" s="30">
        <f>'เย็น 386'!H133+'เช้า 212'!H133</f>
        <v>0</v>
      </c>
      <c r="I133" s="30">
        <f>'เย็น 386'!I133+'เช้า 212'!I133</f>
        <v>0</v>
      </c>
      <c r="J133" s="30">
        <f>'เย็น 386'!J133+'เช้า 212'!J133</f>
        <v>0</v>
      </c>
      <c r="K133" s="36">
        <f t="shared" si="13"/>
        <v>0</v>
      </c>
      <c r="L133" s="11"/>
      <c r="M133" s="11"/>
      <c r="N133" s="11"/>
      <c r="O133" s="11"/>
      <c r="P133" s="50">
        <f t="shared" si="17"/>
        <v>0</v>
      </c>
    </row>
    <row r="134" spans="2:19" hidden="1" x14ac:dyDescent="0.25">
      <c r="B134" s="11">
        <v>1200092</v>
      </c>
      <c r="C134" s="19" t="s">
        <v>92</v>
      </c>
      <c r="D134" s="30">
        <f>'เย็น 386'!D134+'เช้า 212'!D134</f>
        <v>0</v>
      </c>
      <c r="E134" s="30">
        <f>'เย็น 386'!E134+'เช้า 212'!E134</f>
        <v>0</v>
      </c>
      <c r="F134" s="30">
        <f>'เย็น 386'!F134+'เช้า 212'!F134</f>
        <v>0</v>
      </c>
      <c r="G134" s="30">
        <f>'เย็น 386'!G134+'เช้า 212'!G134</f>
        <v>0</v>
      </c>
      <c r="H134" s="30">
        <f>'เย็น 386'!H134+'เช้า 212'!H134</f>
        <v>0</v>
      </c>
      <c r="I134" s="30">
        <f>'เย็น 386'!I134+'เช้า 212'!I134</f>
        <v>0</v>
      </c>
      <c r="J134" s="30">
        <f>'เย็น 386'!J134+'เช้า 212'!J134</f>
        <v>0</v>
      </c>
      <c r="K134" s="36">
        <f t="shared" si="13"/>
        <v>0</v>
      </c>
      <c r="L134" s="11"/>
      <c r="M134" s="11"/>
      <c r="N134" s="11"/>
      <c r="O134" s="11"/>
      <c r="P134" s="50">
        <f t="shared" si="17"/>
        <v>0</v>
      </c>
    </row>
    <row r="135" spans="2:19" x14ac:dyDescent="0.25">
      <c r="B135" s="22"/>
      <c r="C135" s="21" t="s">
        <v>124</v>
      </c>
      <c r="D135" s="30">
        <f>'เย็น 386'!D135+'เช้า 212'!D135</f>
        <v>0</v>
      </c>
      <c r="E135" s="30">
        <f>'เย็น 386'!E135+'เช้า 212'!E135</f>
        <v>2</v>
      </c>
      <c r="F135" s="30">
        <f>'เย็น 386'!F135+'เช้า 212'!F135</f>
        <v>0</v>
      </c>
      <c r="G135" s="30">
        <f>'เย็น 386'!G135+'เช้า 212'!G135</f>
        <v>0</v>
      </c>
      <c r="H135" s="30">
        <f>'เย็น 386'!H135+'เช้า 212'!H135</f>
        <v>0</v>
      </c>
      <c r="I135" s="30">
        <f>'เย็น 386'!I135+'เช้า 212'!I135</f>
        <v>0</v>
      </c>
      <c r="J135" s="30">
        <f>'เย็น 386'!J135+'เช้า 212'!J135</f>
        <v>0</v>
      </c>
      <c r="K135" s="36">
        <f t="shared" si="13"/>
        <v>2</v>
      </c>
      <c r="L135" s="11"/>
      <c r="M135" s="11"/>
      <c r="N135" s="11"/>
      <c r="O135" s="11"/>
      <c r="P135" s="50">
        <f t="shared" si="17"/>
        <v>-2</v>
      </c>
    </row>
    <row r="136" spans="2:19" x14ac:dyDescent="0.25">
      <c r="B136" s="22"/>
      <c r="C136" s="21" t="s">
        <v>125</v>
      </c>
      <c r="D136" s="30">
        <f>'เย็น 386'!D136+'เช้า 212'!D136</f>
        <v>0</v>
      </c>
      <c r="E136" s="30">
        <f>'เย็น 386'!E136+'เช้า 212'!E136</f>
        <v>2</v>
      </c>
      <c r="F136" s="30">
        <f>'เย็น 386'!F136+'เช้า 212'!F136</f>
        <v>0</v>
      </c>
      <c r="G136" s="30">
        <f>'เย็น 386'!G136+'เช้า 212'!G136</f>
        <v>0</v>
      </c>
      <c r="H136" s="30">
        <f>'เย็น 386'!H136+'เช้า 212'!H136</f>
        <v>0</v>
      </c>
      <c r="I136" s="30">
        <f>'เย็น 386'!I136+'เช้า 212'!I136</f>
        <v>0</v>
      </c>
      <c r="J136" s="30">
        <f>'เย็น 386'!J136+'เช้า 212'!J136</f>
        <v>1</v>
      </c>
      <c r="K136" s="36">
        <f t="shared" si="13"/>
        <v>3</v>
      </c>
      <c r="L136" s="11"/>
      <c r="M136" s="11"/>
      <c r="N136" s="11"/>
      <c r="O136" s="11"/>
      <c r="P136" s="50">
        <f t="shared" si="17"/>
        <v>-3</v>
      </c>
    </row>
    <row r="137" spans="2:19" x14ac:dyDescent="0.25">
      <c r="B137" s="22">
        <v>20052721</v>
      </c>
      <c r="C137" s="21" t="s">
        <v>131</v>
      </c>
      <c r="D137" s="30">
        <f>'เย็น 386'!D137+'เช้า 212'!D137</f>
        <v>0</v>
      </c>
      <c r="E137" s="30">
        <f>'เย็น 386'!E137+'เช้า 212'!E137</f>
        <v>0</v>
      </c>
      <c r="F137" s="30">
        <f>'เย็น 386'!F137+'เช้า 212'!F137</f>
        <v>0</v>
      </c>
      <c r="G137" s="30">
        <f>'เย็น 386'!G137+'เช้า 212'!G137</f>
        <v>0</v>
      </c>
      <c r="H137" s="30">
        <f>'เย็น 386'!H137+'เช้า 212'!H137</f>
        <v>0</v>
      </c>
      <c r="I137" s="30">
        <f>'เย็น 386'!I137+'เช้า 212'!I137</f>
        <v>0</v>
      </c>
      <c r="J137" s="30">
        <f>'เย็น 386'!J137+'เช้า 212'!J137</f>
        <v>0</v>
      </c>
      <c r="K137" s="36">
        <f t="shared" si="13"/>
        <v>0</v>
      </c>
      <c r="L137" s="11"/>
      <c r="M137" s="11"/>
      <c r="N137" s="11"/>
      <c r="O137" s="11"/>
      <c r="P137" s="50">
        <f t="shared" si="17"/>
        <v>0</v>
      </c>
    </row>
    <row r="138" spans="2:19" ht="40.5" customHeight="1" x14ac:dyDescent="0.25">
      <c r="C138" s="35"/>
      <c r="D138" s="36">
        <f t="shared" ref="D138:J138" si="18">SUM(D114:D137,D90:D99,D79:D87,D69:D76,D7:D65)</f>
        <v>86</v>
      </c>
      <c r="E138" s="36">
        <f t="shared" si="18"/>
        <v>220</v>
      </c>
      <c r="F138" s="36">
        <f t="shared" si="18"/>
        <v>181</v>
      </c>
      <c r="G138" s="36">
        <f t="shared" si="18"/>
        <v>1659</v>
      </c>
      <c r="H138" s="36">
        <f t="shared" si="18"/>
        <v>587</v>
      </c>
      <c r="I138" s="36">
        <f t="shared" si="18"/>
        <v>0</v>
      </c>
      <c r="J138" s="36">
        <f t="shared" si="18"/>
        <v>2</v>
      </c>
      <c r="K138" s="36">
        <f>SUM(K114:K137,K90:K99,K79:K87,K69:K76,K7:K65)</f>
        <v>2735</v>
      </c>
      <c r="L138" s="38">
        <f>SUM(L114:L137,L90:L98,L79:L87,L69:L76,L7:L66)</f>
        <v>4063</v>
      </c>
      <c r="M138" s="38"/>
      <c r="N138" s="38">
        <f>SUM(N114:N137,N90:N98,N79:N87,N69:N76,N7:N66)</f>
        <v>0</v>
      </c>
      <c r="O138" s="38">
        <f>SUM(O114:O137,O90:O98,O79:O87,O69:O76,O7:O66)</f>
        <v>0</v>
      </c>
      <c r="P138" s="38">
        <f>SUM(P114:P137,P90:P98,P79:P87,P69:P76,P7:P66)</f>
        <v>3323</v>
      </c>
    </row>
    <row r="139" spans="2:19" x14ac:dyDescent="0.25">
      <c r="B139" s="37"/>
      <c r="C139" s="35"/>
      <c r="D139" s="38"/>
      <c r="E139" s="38"/>
      <c r="F139" s="38"/>
      <c r="G139" s="38"/>
      <c r="H139" s="38"/>
      <c r="I139" s="38"/>
      <c r="J139" s="38"/>
      <c r="K139" s="39"/>
    </row>
    <row r="140" spans="2:19" x14ac:dyDescent="0.25">
      <c r="B140" s="37"/>
      <c r="C140" s="35"/>
      <c r="D140" s="38"/>
      <c r="E140" s="38"/>
      <c r="F140" s="38"/>
      <c r="G140" s="38"/>
      <c r="H140" s="38"/>
      <c r="I140" s="38"/>
      <c r="J140" s="38"/>
      <c r="K140" s="39"/>
    </row>
    <row r="141" spans="2:19" x14ac:dyDescent="0.25">
      <c r="C141" s="24"/>
      <c r="D141" s="31"/>
      <c r="E141" s="58"/>
      <c r="F141" s="58"/>
      <c r="G141" s="26"/>
      <c r="K141" s="40"/>
    </row>
    <row r="142" spans="2:19" x14ac:dyDescent="0.25">
      <c r="B142" s="58" t="s">
        <v>104</v>
      </c>
      <c r="C142" s="58"/>
      <c r="D142" s="32"/>
      <c r="E142" s="57"/>
      <c r="F142" s="57"/>
      <c r="G142" s="27"/>
      <c r="H142" s="26"/>
      <c r="I142" s="58" t="s">
        <v>104</v>
      </c>
      <c r="J142" s="58"/>
      <c r="K142" s="58"/>
    </row>
    <row r="143" spans="2:19" x14ac:dyDescent="0.25">
      <c r="B143" s="57" t="s">
        <v>105</v>
      </c>
      <c r="C143" s="57"/>
      <c r="D143" s="33"/>
      <c r="E143" s="33"/>
      <c r="F143" s="33"/>
      <c r="G143" s="33"/>
      <c r="H143" s="33"/>
      <c r="I143" s="57" t="s">
        <v>106</v>
      </c>
      <c r="J143" s="57"/>
      <c r="K143" s="57"/>
    </row>
    <row r="144" spans="2:19" x14ac:dyDescent="0.25">
      <c r="B144" s="31"/>
      <c r="C144" s="31"/>
      <c r="D144" s="33"/>
      <c r="E144" s="33"/>
      <c r="F144" s="33"/>
      <c r="G144" s="33"/>
      <c r="H144" s="33"/>
      <c r="I144" s="31"/>
      <c r="J144" s="31"/>
      <c r="K144" s="34"/>
    </row>
    <row r="145" spans="2:11" ht="19.5" x14ac:dyDescent="0.25">
      <c r="B145" s="31"/>
      <c r="C145" s="31"/>
      <c r="D145" s="31"/>
      <c r="E145" s="31"/>
      <c r="F145" s="31"/>
      <c r="G145" s="31"/>
      <c r="H145" s="31"/>
      <c r="I145" s="31"/>
      <c r="J145" s="31"/>
      <c r="K145" s="34"/>
    </row>
    <row r="146" spans="2:11" ht="19.5" x14ac:dyDescent="0.25">
      <c r="B146" s="31"/>
      <c r="C146" s="31"/>
      <c r="D146" s="31"/>
      <c r="E146" s="31"/>
      <c r="F146" s="31"/>
      <c r="G146" s="31"/>
      <c r="H146" s="31"/>
      <c r="I146" s="31"/>
      <c r="J146" s="31"/>
      <c r="K146" s="34"/>
    </row>
    <row r="147" spans="2:11" ht="19.5" x14ac:dyDescent="0.25">
      <c r="B147" s="31"/>
      <c r="C147" s="31"/>
      <c r="D147" s="31"/>
      <c r="E147" s="31"/>
      <c r="F147" s="31"/>
      <c r="G147" s="31"/>
      <c r="H147" s="31"/>
      <c r="I147" s="31"/>
      <c r="J147" s="31"/>
      <c r="K147" s="34"/>
    </row>
    <row r="148" spans="2:11" ht="19.5" x14ac:dyDescent="0.25">
      <c r="B148" s="31"/>
      <c r="C148" s="31"/>
      <c r="D148" s="31"/>
      <c r="E148" s="31"/>
      <c r="F148" s="31"/>
      <c r="G148" s="31"/>
      <c r="H148" s="31"/>
      <c r="I148" s="31"/>
      <c r="J148" s="31"/>
      <c r="K148" s="34"/>
    </row>
    <row r="149" spans="2:11" ht="19.5" x14ac:dyDescent="0.25">
      <c r="B149" s="31"/>
      <c r="C149" s="31"/>
      <c r="D149" s="31"/>
      <c r="E149" s="31"/>
      <c r="F149" s="31"/>
      <c r="G149" s="31"/>
      <c r="H149" s="31"/>
      <c r="I149" s="31"/>
      <c r="J149" s="31"/>
      <c r="K149" s="34"/>
    </row>
    <row r="150" spans="2:11" x14ac:dyDescent="0.25">
      <c r="D150" s="31"/>
      <c r="E150" s="31"/>
      <c r="F150" s="31"/>
      <c r="G150" s="31"/>
      <c r="H150" s="31"/>
    </row>
    <row r="151" spans="2:11" x14ac:dyDescent="0.25">
      <c r="D151" s="31"/>
      <c r="E151" s="31"/>
      <c r="F151" s="31"/>
      <c r="G151" s="31"/>
      <c r="H151" s="31"/>
    </row>
    <row r="152" spans="2:11" x14ac:dyDescent="0.25">
      <c r="D152" s="31"/>
      <c r="E152" s="31"/>
      <c r="F152" s="31"/>
      <c r="G152" s="31"/>
      <c r="H152" s="31"/>
    </row>
    <row r="153" spans="2:11" x14ac:dyDescent="0.25">
      <c r="D153" s="31"/>
      <c r="E153" s="31"/>
      <c r="F153" s="31"/>
      <c r="G153" s="31"/>
      <c r="H153" s="31"/>
    </row>
    <row r="154" spans="2:11" x14ac:dyDescent="0.25">
      <c r="D154" s="31"/>
      <c r="E154" s="31"/>
      <c r="F154" s="31"/>
      <c r="G154" s="31"/>
      <c r="H154" s="31"/>
    </row>
    <row r="155" spans="2:11" x14ac:dyDescent="0.25">
      <c r="D155" s="31"/>
      <c r="E155" s="31"/>
      <c r="F155" s="31"/>
      <c r="G155" s="31"/>
      <c r="H155" s="31"/>
    </row>
    <row r="156" spans="2:11" x14ac:dyDescent="0.25">
      <c r="D156" s="31"/>
      <c r="E156" s="31"/>
      <c r="F156" s="31"/>
      <c r="G156" s="31"/>
      <c r="H156" s="31"/>
    </row>
    <row r="157" spans="2:11" x14ac:dyDescent="0.25">
      <c r="D157" s="31"/>
      <c r="E157" s="31"/>
      <c r="F157" s="31"/>
      <c r="G157" s="31"/>
      <c r="H157" s="31"/>
    </row>
    <row r="158" spans="2:11" x14ac:dyDescent="0.25">
      <c r="D158" s="31"/>
      <c r="E158" s="31"/>
      <c r="F158" s="31"/>
      <c r="G158" s="31"/>
      <c r="H158" s="31"/>
    </row>
    <row r="159" spans="2:11" x14ac:dyDescent="0.25">
      <c r="D159" s="31"/>
      <c r="E159" s="31"/>
      <c r="F159" s="31"/>
      <c r="G159" s="31"/>
      <c r="H159" s="31"/>
    </row>
    <row r="160" spans="2:11" x14ac:dyDescent="0.25">
      <c r="D160" s="31"/>
      <c r="E160" s="31"/>
      <c r="F160" s="31"/>
      <c r="G160" s="31"/>
      <c r="H160" s="31"/>
    </row>
  </sheetData>
  <mergeCells count="20">
    <mergeCell ref="B143:C143"/>
    <mergeCell ref="I143:K143"/>
    <mergeCell ref="P2:P4"/>
    <mergeCell ref="B6:P6"/>
    <mergeCell ref="B68:P68"/>
    <mergeCell ref="B78:P78"/>
    <mergeCell ref="B89:P89"/>
    <mergeCell ref="B101:P101"/>
    <mergeCell ref="O2:O4"/>
    <mergeCell ref="B113:P113"/>
    <mergeCell ref="E141:F141"/>
    <mergeCell ref="B142:C142"/>
    <mergeCell ref="E142:F142"/>
    <mergeCell ref="I142:K142"/>
    <mergeCell ref="M2:M4"/>
    <mergeCell ref="B1:K1"/>
    <mergeCell ref="B2:C3"/>
    <mergeCell ref="E2:F3"/>
    <mergeCell ref="L2:L4"/>
    <mergeCell ref="N2:N4"/>
  </mergeCells>
  <phoneticPr fontId="9" type="noConversion"/>
  <printOptions horizontalCentered="1"/>
  <pageMargins left="0.23622047244094491" right="0.23622047244094491" top="0.35433070866141736" bottom="0.35433070866141736" header="0.31496062992125984" footer="0.31496062992125984"/>
  <pageSetup paperSize="9" scale="32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3</vt:i4>
      </vt:variant>
    </vt:vector>
  </HeadingPairs>
  <TitlesOfParts>
    <vt:vector size="3" baseType="lpstr">
      <vt:lpstr>เย็น 386</vt:lpstr>
      <vt:lpstr>เช้า 212</vt:lpstr>
      <vt:lpstr>รวม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Natchaya Sukjan</dc:creator>
  <cp:lastModifiedBy>Natchaya Sukjan</cp:lastModifiedBy>
  <cp:lastPrinted>2024-10-30T00:45:46Z</cp:lastPrinted>
  <dcterms:created xsi:type="dcterms:W3CDTF">2024-04-30T05:21:27Z</dcterms:created>
  <dcterms:modified xsi:type="dcterms:W3CDTF">2024-11-02T08:42:06Z</dcterms:modified>
</cp:coreProperties>
</file>