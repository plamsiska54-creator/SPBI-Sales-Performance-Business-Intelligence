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DF5D661B-079C-4DF8-B7A6-70A833F0C082}" xr6:coauthVersionLast="47" xr6:coauthVersionMax="47" xr10:uidLastSave="{00000000-0000-0000-0000-000000000000}"/>
  <bookViews>
    <workbookView xWindow="1725" yWindow="390" windowWidth="17145" windowHeight="13995" activeTab="3" xr2:uid="{55C9AAA3-F459-48EC-A639-AACFFC6390F5}"/>
  </bookViews>
  <sheets>
    <sheet name="เช้า" sheetId="3" r:id="rId1"/>
    <sheet name="บ่าย " sheetId="8" r:id="rId2"/>
    <sheet name="เย็น " sheetId="10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6" i="5" l="1"/>
  <c r="E76" i="5"/>
  <c r="F76" i="5"/>
  <c r="G76" i="5"/>
  <c r="H76" i="5"/>
  <c r="I76" i="5"/>
  <c r="J76" i="5"/>
  <c r="K76" i="5"/>
  <c r="D77" i="8"/>
  <c r="E77" i="8"/>
  <c r="F77" i="8"/>
  <c r="G77" i="8"/>
  <c r="H77" i="8"/>
  <c r="I77" i="8"/>
  <c r="J77" i="8"/>
  <c r="K77" i="8"/>
  <c r="D77" i="3" l="1"/>
  <c r="E77" i="3"/>
  <c r="F77" i="3"/>
  <c r="G77" i="3"/>
  <c r="H77" i="3"/>
  <c r="I77" i="3"/>
  <c r="J77" i="3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E56" i="5"/>
  <c r="F56" i="5"/>
  <c r="G56" i="5"/>
  <c r="H56" i="5"/>
  <c r="I56" i="5"/>
  <c r="J56" i="5"/>
  <c r="D56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E44" i="5"/>
  <c r="F44" i="5"/>
  <c r="G44" i="5"/>
  <c r="H44" i="5"/>
  <c r="I44" i="5"/>
  <c r="J44" i="5"/>
  <c r="D44" i="5"/>
  <c r="E42" i="5"/>
  <c r="F42" i="5"/>
  <c r="G42" i="5"/>
  <c r="H42" i="5"/>
  <c r="I42" i="5"/>
  <c r="J42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E7" i="5"/>
  <c r="F7" i="5"/>
  <c r="G7" i="5"/>
  <c r="H7" i="5"/>
  <c r="I7" i="5"/>
  <c r="J7" i="5"/>
  <c r="D7" i="5"/>
  <c r="J80" i="10" l="1"/>
  <c r="I80" i="10"/>
  <c r="H80" i="10"/>
  <c r="G80" i="10"/>
  <c r="F80" i="10"/>
  <c r="E80" i="10"/>
  <c r="D80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6" i="10"/>
  <c r="K55" i="10"/>
  <c r="K54" i="10"/>
  <c r="K53" i="10"/>
  <c r="K52" i="10"/>
  <c r="K51" i="10"/>
  <c r="K50" i="10"/>
  <c r="K49" i="10"/>
  <c r="K48" i="10"/>
  <c r="K47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3" i="8"/>
  <c r="K52" i="8"/>
  <c r="K51" i="8"/>
  <c r="K50" i="8"/>
  <c r="K49" i="8"/>
  <c r="K48" i="8"/>
  <c r="K47" i="8"/>
  <c r="K46" i="8"/>
  <c r="K45" i="8"/>
  <c r="K44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80" i="10" l="1"/>
  <c r="K54" i="5"/>
  <c r="T39" i="5"/>
  <c r="T41" i="5"/>
  <c r="T43" i="5"/>
  <c r="T55" i="5"/>
  <c r="K48" i="5" l="1"/>
  <c r="K36" i="5"/>
  <c r="K44" i="5"/>
  <c r="K42" i="5"/>
  <c r="K29" i="5"/>
  <c r="K9" i="5"/>
  <c r="K8" i="5"/>
  <c r="K72" i="5"/>
  <c r="K69" i="5"/>
  <c r="K65" i="5"/>
  <c r="K64" i="5"/>
  <c r="K61" i="5"/>
  <c r="K60" i="5"/>
  <c r="K57" i="5"/>
  <c r="K56" i="5"/>
  <c r="K73" i="5"/>
  <c r="K68" i="5"/>
  <c r="K52" i="5"/>
  <c r="K53" i="5"/>
  <c r="K51" i="5"/>
  <c r="K49" i="5"/>
  <c r="K47" i="5"/>
  <c r="K45" i="5"/>
  <c r="K50" i="5"/>
  <c r="K46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1" i="5"/>
  <c r="K66" i="5"/>
  <c r="K62" i="5"/>
  <c r="K59" i="5"/>
  <c r="K74" i="5"/>
  <c r="K70" i="5"/>
  <c r="K67" i="5"/>
  <c r="K63" i="5"/>
  <c r="K58" i="5"/>
  <c r="K75" i="5" l="1"/>
  <c r="M76" i="5" l="1"/>
  <c r="N76" i="5"/>
  <c r="O76" i="5"/>
  <c r="K37" i="5" l="1"/>
  <c r="K38" i="5" l="1"/>
  <c r="P38" i="5" s="1"/>
  <c r="T38" i="5" s="1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45" i="3"/>
  <c r="K46" i="3"/>
  <c r="K77" i="3" s="1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P75" i="5" l="1"/>
  <c r="P37" i="5"/>
  <c r="T37" i="5" s="1"/>
  <c r="P65" i="5"/>
  <c r="T65" i="5" s="1"/>
  <c r="P24" i="5"/>
  <c r="T24" i="5" s="1"/>
  <c r="P21" i="5"/>
  <c r="T21" i="5" s="1"/>
  <c r="P17" i="5"/>
  <c r="T17" i="5" s="1"/>
  <c r="P57" i="5"/>
  <c r="T57" i="5" s="1"/>
  <c r="P30" i="5"/>
  <c r="T30" i="5" s="1"/>
  <c r="P14" i="5"/>
  <c r="T14" i="5" s="1"/>
  <c r="P71" i="5"/>
  <c r="T71" i="5" s="1"/>
  <c r="P70" i="5"/>
  <c r="T70" i="5" s="1"/>
  <c r="P66" i="5"/>
  <c r="T66" i="5" s="1"/>
  <c r="P64" i="5"/>
  <c r="T64" i="5" s="1"/>
  <c r="P58" i="5"/>
  <c r="T58" i="5" s="1"/>
  <c r="P73" i="5"/>
  <c r="T73" i="5" s="1"/>
  <c r="P72" i="5"/>
  <c r="T72" i="5" s="1"/>
  <c r="P69" i="5"/>
  <c r="T69" i="5" s="1"/>
  <c r="P67" i="5"/>
  <c r="T67" i="5" s="1"/>
  <c r="P59" i="5"/>
  <c r="T59" i="5" s="1"/>
  <c r="P53" i="5"/>
  <c r="T53" i="5" s="1"/>
  <c r="P51" i="5"/>
  <c r="T51" i="5" s="1"/>
  <c r="P48" i="5"/>
  <c r="T48" i="5" s="1"/>
  <c r="P47" i="5"/>
  <c r="T47" i="5" s="1"/>
  <c r="P50" i="5"/>
  <c r="T50" i="5" s="1"/>
  <c r="P49" i="5"/>
  <c r="T49" i="5" s="1"/>
  <c r="P27" i="5"/>
  <c r="T27" i="5" s="1"/>
  <c r="P8" i="5"/>
  <c r="T8" i="5" s="1"/>
  <c r="P26" i="5"/>
  <c r="T26" i="5" s="1"/>
  <c r="P20" i="5"/>
  <c r="T20" i="5" s="1"/>
  <c r="P25" i="5"/>
  <c r="T25" i="5" s="1"/>
  <c r="P34" i="5"/>
  <c r="T34" i="5" s="1"/>
  <c r="P22" i="5"/>
  <c r="T22" i="5" s="1"/>
  <c r="P18" i="5"/>
  <c r="T18" i="5" s="1"/>
  <c r="P35" i="5"/>
  <c r="T35" i="5" s="1"/>
  <c r="P31" i="5"/>
  <c r="T31" i="5" s="1"/>
  <c r="P23" i="5"/>
  <c r="T23" i="5" s="1"/>
  <c r="P19" i="5"/>
  <c r="T19" i="5" s="1"/>
  <c r="P16" i="5"/>
  <c r="T16" i="5" s="1"/>
  <c r="P12" i="5"/>
  <c r="T12" i="5" s="1"/>
  <c r="P33" i="5"/>
  <c r="T33" i="5" s="1"/>
  <c r="P29" i="5"/>
  <c r="T29" i="5" s="1"/>
  <c r="P13" i="5"/>
  <c r="T13" i="5" s="1"/>
  <c r="P9" i="5"/>
  <c r="T9" i="5" s="1"/>
  <c r="P46" i="5"/>
  <c r="T46" i="5" s="1"/>
  <c r="P56" i="5"/>
  <c r="T56" i="5" s="1"/>
  <c r="P74" i="5"/>
  <c r="T74" i="5" s="1"/>
  <c r="P68" i="5"/>
  <c r="T68" i="5" s="1"/>
  <c r="P60" i="5"/>
  <c r="T60" i="5" s="1"/>
  <c r="P36" i="5"/>
  <c r="T36" i="5" s="1"/>
  <c r="P32" i="5"/>
  <c r="T32" i="5" s="1"/>
  <c r="P28" i="5"/>
  <c r="T28" i="5" s="1"/>
  <c r="P15" i="5"/>
  <c r="T15" i="5" s="1"/>
  <c r="P40" i="5"/>
  <c r="T40" i="5" s="1"/>
  <c r="P63" i="5"/>
  <c r="T63" i="5" s="1"/>
  <c r="P62" i="5"/>
  <c r="T62" i="5" s="1"/>
  <c r="P52" i="5"/>
  <c r="T52" i="5" s="1"/>
  <c r="P45" i="5"/>
  <c r="T45" i="5" s="1"/>
  <c r="P42" i="5"/>
  <c r="T42" i="5" s="1"/>
  <c r="P61" i="5"/>
  <c r="T61" i="5" s="1"/>
  <c r="P11" i="5"/>
  <c r="T11" i="5" s="1"/>
  <c r="P10" i="5"/>
  <c r="T10" i="5" s="1"/>
  <c r="L76" i="5"/>
  <c r="P7" i="5" l="1"/>
  <c r="T7" i="5" s="1"/>
  <c r="P44" i="5"/>
  <c r="T44" i="5" s="1"/>
  <c r="P54" i="5" l="1"/>
  <c r="T54" i="5" s="1"/>
  <c r="K38" i="3"/>
  <c r="P76" i="5" l="1"/>
</calcChain>
</file>

<file path=xl/sharedStrings.xml><?xml version="1.0" encoding="utf-8"?>
<sst xmlns="http://schemas.openxmlformats.org/spreadsheetml/2006/main" count="395" uniqueCount="100">
  <si>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</si>
  <si>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</si>
  <si>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</si>
  <si>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</si>
  <si>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</si>
  <si>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</si>
  <si>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</si>
  <si>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</si>
  <si>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</si>
  <si>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</si>
  <si>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</si>
  <si>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</si>
  <si>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</si>
  <si>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</si>
  <si>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</si>
  <si>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</si>
  <si>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</si>
  <si>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</si>
  <si>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</si>
  <si>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</si>
  <si>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</si>
  <si>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</si>
  <si>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</si>
  <si>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</si>
  <si>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</si>
  <si>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</si>
  <si>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</si>
  <si>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</si>
  <si>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</si>
  <si>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</si>
  <si>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</si>
  <si>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</si>
  <si>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</si>
  <si>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</si>
  <si>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</si>
  <si>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</si>
  <si>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</si>
  <si>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</si>
  <si>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</si>
  <si>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</si>
  <si>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</si>
  <si>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</si>
  <si>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</si>
  <si>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</si>
  <si>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</si>
  <si>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</si>
  <si>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</si>
  <si>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</si>
  <si>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</si>
  <si>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</si>
  <si>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</si>
  <si>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</si>
  <si>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</si>
  <si>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</si>
  <si>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</si>
  <si>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</si>
  <si>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</si>
  <si>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</si>
  <si>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</si>
  <si>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</si>
  <si>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</si>
  <si>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</si>
  <si>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</si>
  <si>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</si>
  <si>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</si>
  <si>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</si>
  <si>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</si>
  <si>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</si>
  <si>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</si>
  <si>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</si>
  <si>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</si>
  <si>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</si>
  <si>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</si>
  <si>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</si>
  <si>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</si>
  <si>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</si>
  <si>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</si>
  <si>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</si>
  <si>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</si>
  <si>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</si>
  <si>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</si>
  <si>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</si>
  <si>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</si>
  <si>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</si>
  <si>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</si>
  <si>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</si>
  <si>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</si>
  <si>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</si>
  <si>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รับเข้าอาทิตย์</t>
  </si>
  <si>
    <t>รับเข้าจันทร์</t>
  </si>
  <si>
    <t>ชื่อสินค้า</t>
  </si>
  <si>
    <t>จำนวนที่ต้องการเบรค</t>
  </si>
  <si>
    <t>กล่องทาร์ตสับปะรด</t>
  </si>
  <si>
    <t>ยอดจริง ออนไลน์ วันที่ 16/11/2567 - เย็น</t>
  </si>
  <si>
    <t>ชิฟฟอนไส้แยมบลูเบอรี่ 3 ชิ้น</t>
  </si>
  <si>
    <t>ชิฟฟอนไส้แยมฝอยทอง 3 ชิ้น</t>
  </si>
  <si>
    <t>ชิฟฟอนไส้แยมสตอเบอรี่ 3 ชิ้น</t>
  </si>
  <si>
    <t>ยอดจริง ออนไลน์ วันที่ 19/11/2567 - บ่าย</t>
  </si>
  <si>
    <t>ยอดจริง ออนไลน์ วันที่ 19/11/2567 - รวม</t>
  </si>
  <si>
    <t>ยอดจริง ออนไลน์ วันที่ 19/11/2567 -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</si>
</sst>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0" fontId="9" fillId="0" borderId="0" xfId="0" applyFont="1"/>
    <xf numFmtId="187" fontId="9" fillId="0" borderId="0" xfId="0" applyNumberFormat="1" applyFont="1"/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97"/>
  <sheetViews>
    <sheetView topLeftCell="A39" zoomScale="60" zoomScaleNormal="60" workbookViewId="0">
      <selection activeCell="C7" sqref="C7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5" t="s">
        <v>99</v>
      </c>
      <c r="C1" s="55"/>
      <c r="D1" s="55"/>
      <c r="E1" s="55"/>
      <c r="F1" s="55"/>
      <c r="G1" s="55"/>
      <c r="H1" s="55"/>
      <c r="I1" s="55"/>
      <c r="J1" s="55"/>
      <c r="K1" s="55"/>
    </row>
    <row r="2" spans="2:11" x14ac:dyDescent="0.2">
      <c r="B2" s="49"/>
      <c r="C2" s="50"/>
      <c r="D2" s="50"/>
      <c r="E2" s="50"/>
      <c r="F2" s="50"/>
      <c r="G2" s="50"/>
      <c r="H2" s="50"/>
      <c r="I2" s="50"/>
      <c r="J2" s="51"/>
      <c r="K2" s="42" t="s">
        <v>0</v>
      </c>
    </row>
    <row r="3" spans="2:11" x14ac:dyDescent="0.2">
      <c r="B3" s="52"/>
      <c r="C3" s="53"/>
      <c r="D3" s="53"/>
      <c r="E3" s="53"/>
      <c r="F3" s="53"/>
      <c r="G3" s="53"/>
      <c r="H3" s="53"/>
      <c r="I3" s="53"/>
      <c r="J3" s="54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</row>
    <row r="7" spans="2:11" x14ac:dyDescent="0.2">
      <c r="B7" s="11">
        <v>1111002</v>
      </c>
      <c r="C7" s="15" t="s">
        <v>71</v>
      </c>
      <c r="D7" s="30"/>
      <c r="E7" s="30">
        <v>63</v>
      </c>
      <c r="F7" s="30">
        <v>29</v>
      </c>
      <c r="G7" s="30"/>
      <c r="H7" s="30"/>
      <c r="I7" s="30"/>
      <c r="J7" s="30"/>
      <c r="K7" s="41">
        <f t="shared" ref="K7:K37" si="0">SUM(D7:J7)</f>
        <v>92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>
        <v>1</v>
      </c>
      <c r="F9" s="30">
        <v>5</v>
      </c>
      <c r="G9" s="30">
        <v>2</v>
      </c>
      <c r="H9" s="30"/>
      <c r="I9" s="30"/>
      <c r="J9" s="30"/>
      <c r="K9" s="41">
        <f t="shared" si="0"/>
        <v>8</v>
      </c>
    </row>
    <row r="10" spans="2:11" x14ac:dyDescent="0.2">
      <c r="B10" s="11">
        <v>1004055</v>
      </c>
      <c r="C10" s="15" t="s">
        <v>72</v>
      </c>
      <c r="D10" s="30">
        <v>6</v>
      </c>
      <c r="E10" s="30"/>
      <c r="F10" s="30">
        <v>3</v>
      </c>
      <c r="G10" s="30">
        <v>52</v>
      </c>
      <c r="H10" s="30"/>
      <c r="I10" s="30"/>
      <c r="J10" s="30"/>
      <c r="K10" s="41">
        <f t="shared" si="0"/>
        <v>61</v>
      </c>
    </row>
    <row r="11" spans="2:11" x14ac:dyDescent="0.2">
      <c r="B11" s="11">
        <v>1111057</v>
      </c>
      <c r="C11" s="15" t="s">
        <v>14</v>
      </c>
      <c r="D11" s="30">
        <v>1</v>
      </c>
      <c r="E11" s="30"/>
      <c r="F11" s="30"/>
      <c r="G11" s="30">
        <v>3</v>
      </c>
      <c r="H11" s="30"/>
      <c r="I11" s="30"/>
      <c r="J11" s="30"/>
      <c r="K11" s="41">
        <f t="shared" si="0"/>
        <v>4</v>
      </c>
    </row>
    <row r="12" spans="2:11" x14ac:dyDescent="0.2">
      <c r="B12" s="11">
        <v>1111058</v>
      </c>
      <c r="C12" s="15" t="s">
        <v>15</v>
      </c>
      <c r="D12" s="30">
        <v>1</v>
      </c>
      <c r="E12" s="30"/>
      <c r="F12" s="30"/>
      <c r="G12" s="30">
        <v>2</v>
      </c>
      <c r="H12" s="30"/>
      <c r="I12" s="30"/>
      <c r="J12" s="30"/>
      <c r="K12" s="41">
        <f t="shared" si="0"/>
        <v>3</v>
      </c>
    </row>
    <row r="13" spans="2:11" x14ac:dyDescent="0.2">
      <c r="B13" s="11">
        <v>1111059</v>
      </c>
      <c r="C13" s="15" t="s">
        <v>16</v>
      </c>
      <c r="D13" s="30">
        <v>1</v>
      </c>
      <c r="E13" s="30"/>
      <c r="F13" s="30"/>
      <c r="G13" s="30">
        <v>2</v>
      </c>
      <c r="H13" s="30"/>
      <c r="I13" s="30"/>
      <c r="J13" s="30"/>
      <c r="K13" s="41">
        <f t="shared" si="0"/>
        <v>3</v>
      </c>
    </row>
    <row r="14" spans="2:11" x14ac:dyDescent="0.2">
      <c r="B14" s="11">
        <v>1111060</v>
      </c>
      <c r="C14" s="15" t="s">
        <v>17</v>
      </c>
      <c r="D14" s="30">
        <v>1</v>
      </c>
      <c r="E14" s="30"/>
      <c r="F14" s="30"/>
      <c r="G14" s="30">
        <v>2</v>
      </c>
      <c r="H14" s="30"/>
      <c r="I14" s="30"/>
      <c r="J14" s="30"/>
      <c r="K14" s="41">
        <f t="shared" si="0"/>
        <v>3</v>
      </c>
    </row>
    <row r="15" spans="2:11" x14ac:dyDescent="0.2">
      <c r="B15" s="11">
        <v>1111061</v>
      </c>
      <c r="C15" s="15" t="s">
        <v>18</v>
      </c>
      <c r="D15" s="30">
        <v>1</v>
      </c>
      <c r="E15" s="30"/>
      <c r="F15" s="30"/>
      <c r="G15" s="30">
        <v>2</v>
      </c>
      <c r="H15" s="30"/>
      <c r="I15" s="30"/>
      <c r="J15" s="30"/>
      <c r="K15" s="41">
        <f t="shared" si="0"/>
        <v>3</v>
      </c>
    </row>
    <row r="16" spans="2:11" x14ac:dyDescent="0.2">
      <c r="B16" s="11">
        <v>1111062</v>
      </c>
      <c r="C16" s="15" t="s">
        <v>19</v>
      </c>
      <c r="D16" s="30">
        <v>1</v>
      </c>
      <c r="E16" s="30"/>
      <c r="F16" s="30"/>
      <c r="G16" s="30">
        <v>2</v>
      </c>
      <c r="H16" s="30"/>
      <c r="I16" s="30"/>
      <c r="J16" s="30"/>
      <c r="K16" s="41">
        <f t="shared" si="0"/>
        <v>3</v>
      </c>
    </row>
    <row r="17" spans="2:11" x14ac:dyDescent="0.2">
      <c r="B17" s="11">
        <v>1111063</v>
      </c>
      <c r="C17" s="15" t="s">
        <v>20</v>
      </c>
      <c r="D17" s="30">
        <v>1</v>
      </c>
      <c r="E17" s="30"/>
      <c r="F17" s="30"/>
      <c r="G17" s="30">
        <v>2</v>
      </c>
      <c r="H17" s="30"/>
      <c r="I17" s="30"/>
      <c r="J17" s="30"/>
      <c r="K17" s="41">
        <f t="shared" si="0"/>
        <v>3</v>
      </c>
    </row>
    <row r="18" spans="2:11" x14ac:dyDescent="0.2">
      <c r="B18" s="11">
        <v>1111064</v>
      </c>
      <c r="C18" s="15" t="s">
        <v>21</v>
      </c>
      <c r="D18" s="30">
        <v>1</v>
      </c>
      <c r="E18" s="30"/>
      <c r="F18" s="30"/>
      <c r="G18" s="30">
        <v>2</v>
      </c>
      <c r="H18" s="30"/>
      <c r="I18" s="30"/>
      <c r="J18" s="30"/>
      <c r="K18" s="41">
        <f t="shared" si="0"/>
        <v>3</v>
      </c>
    </row>
    <row r="19" spans="2:11" x14ac:dyDescent="0.2">
      <c r="B19" s="11">
        <v>1111065</v>
      </c>
      <c r="C19" s="15" t="s">
        <v>22</v>
      </c>
      <c r="D19" s="30">
        <v>1</v>
      </c>
      <c r="E19" s="30"/>
      <c r="F19" s="30"/>
      <c r="G19" s="30">
        <v>2</v>
      </c>
      <c r="H19" s="30"/>
      <c r="I19" s="30"/>
      <c r="J19" s="30"/>
      <c r="K19" s="41">
        <f t="shared" si="0"/>
        <v>3</v>
      </c>
    </row>
    <row r="20" spans="2:11" x14ac:dyDescent="0.2">
      <c r="B20" s="11">
        <v>1111066</v>
      </c>
      <c r="C20" s="15" t="s">
        <v>23</v>
      </c>
      <c r="D20" s="30">
        <v>1</v>
      </c>
      <c r="E20" s="30"/>
      <c r="F20" s="30"/>
      <c r="G20" s="30">
        <v>2</v>
      </c>
      <c r="H20" s="30"/>
      <c r="I20" s="30"/>
      <c r="J20" s="30"/>
      <c r="K20" s="41">
        <f t="shared" si="0"/>
        <v>3</v>
      </c>
    </row>
    <row r="21" spans="2:11" x14ac:dyDescent="0.2">
      <c r="B21" s="11">
        <v>1111067</v>
      </c>
      <c r="C21" s="15" t="s">
        <v>24</v>
      </c>
      <c r="D21" s="30">
        <v>1</v>
      </c>
      <c r="E21" s="30"/>
      <c r="F21" s="30"/>
      <c r="G21" s="30">
        <v>2</v>
      </c>
      <c r="H21" s="30"/>
      <c r="I21" s="30"/>
      <c r="J21" s="30"/>
      <c r="K21" s="41">
        <f t="shared" si="0"/>
        <v>3</v>
      </c>
    </row>
    <row r="22" spans="2:11" x14ac:dyDescent="0.2">
      <c r="B22" s="11">
        <v>1111068</v>
      </c>
      <c r="C22" s="15" t="s">
        <v>25</v>
      </c>
      <c r="D22" s="30">
        <v>1</v>
      </c>
      <c r="E22" s="30"/>
      <c r="F22" s="30"/>
      <c r="G22" s="30">
        <v>2</v>
      </c>
      <c r="H22" s="30"/>
      <c r="I22" s="30"/>
      <c r="J22" s="30"/>
      <c r="K22" s="41">
        <f t="shared" si="0"/>
        <v>3</v>
      </c>
    </row>
    <row r="23" spans="2:11" x14ac:dyDescent="0.2">
      <c r="B23" s="11">
        <v>1111069</v>
      </c>
      <c r="C23" s="15" t="s">
        <v>26</v>
      </c>
      <c r="D23" s="30">
        <v>1</v>
      </c>
      <c r="E23" s="30"/>
      <c r="F23" s="30"/>
      <c r="G23" s="30">
        <v>2</v>
      </c>
      <c r="H23" s="30"/>
      <c r="I23" s="30"/>
      <c r="J23" s="30"/>
      <c r="K23" s="41">
        <f t="shared" si="0"/>
        <v>3</v>
      </c>
    </row>
    <row r="24" spans="2:11" x14ac:dyDescent="0.2">
      <c r="B24" s="11">
        <v>1111070</v>
      </c>
      <c r="C24" s="15" t="s">
        <v>79</v>
      </c>
      <c r="D24" s="30">
        <v>1</v>
      </c>
      <c r="E24" s="30"/>
      <c r="F24" s="30"/>
      <c r="G24" s="30">
        <v>2</v>
      </c>
      <c r="H24" s="30"/>
      <c r="I24" s="30"/>
      <c r="J24" s="30"/>
      <c r="K24" s="41">
        <f t="shared" si="0"/>
        <v>3</v>
      </c>
    </row>
    <row r="25" spans="2:11" x14ac:dyDescent="0.2">
      <c r="B25" s="11">
        <v>1111071</v>
      </c>
      <c r="C25" s="15" t="s">
        <v>80</v>
      </c>
      <c r="D25" s="30">
        <v>1</v>
      </c>
      <c r="E25" s="30"/>
      <c r="F25" s="30"/>
      <c r="G25" s="30">
        <v>2</v>
      </c>
      <c r="H25" s="30"/>
      <c r="I25" s="30"/>
      <c r="J25" s="30"/>
      <c r="K25" s="41">
        <f t="shared" si="0"/>
        <v>3</v>
      </c>
    </row>
    <row r="26" spans="2:11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>
        <v>1</v>
      </c>
      <c r="F27" s="30"/>
      <c r="G27" s="30">
        <v>1</v>
      </c>
      <c r="H27" s="30"/>
      <c r="I27" s="30"/>
      <c r="J27" s="30"/>
      <c r="K27" s="41">
        <f t="shared" si="0"/>
        <v>2</v>
      </c>
    </row>
    <row r="28" spans="2:11" x14ac:dyDescent="0.2">
      <c r="B28" s="11">
        <v>1111075</v>
      </c>
      <c r="C28" s="15" t="s">
        <v>29</v>
      </c>
      <c r="D28" s="30"/>
      <c r="E28" s="30">
        <v>1</v>
      </c>
      <c r="F28" s="30"/>
      <c r="G28" s="30">
        <v>1</v>
      </c>
      <c r="H28" s="30"/>
      <c r="I28" s="30"/>
      <c r="J28" s="30"/>
      <c r="K28" s="41">
        <f t="shared" si="0"/>
        <v>2</v>
      </c>
    </row>
    <row r="29" spans="2:11" x14ac:dyDescent="0.2">
      <c r="B29" s="11">
        <v>1111076</v>
      </c>
      <c r="C29" s="15" t="s">
        <v>30</v>
      </c>
      <c r="D29" s="30"/>
      <c r="E29" s="30">
        <v>1</v>
      </c>
      <c r="F29" s="30"/>
      <c r="G29" s="30">
        <v>1</v>
      </c>
      <c r="H29" s="30"/>
      <c r="I29" s="30"/>
      <c r="J29" s="30"/>
      <c r="K29" s="41">
        <f t="shared" si="0"/>
        <v>2</v>
      </c>
    </row>
    <row r="30" spans="2:11" x14ac:dyDescent="0.2">
      <c r="B30" s="11">
        <v>1111077</v>
      </c>
      <c r="C30" s="15" t="s">
        <v>31</v>
      </c>
      <c r="D30" s="30"/>
      <c r="E30" s="30">
        <v>1</v>
      </c>
      <c r="F30" s="30"/>
      <c r="G30" s="30">
        <v>1</v>
      </c>
      <c r="H30" s="30"/>
      <c r="I30" s="30"/>
      <c r="J30" s="30"/>
      <c r="K30" s="41">
        <f t="shared" si="0"/>
        <v>2</v>
      </c>
    </row>
    <row r="31" spans="2:11" x14ac:dyDescent="0.2">
      <c r="B31" s="11">
        <v>1111078</v>
      </c>
      <c r="C31" s="15" t="s">
        <v>32</v>
      </c>
      <c r="D31" s="30"/>
      <c r="E31" s="30">
        <v>1</v>
      </c>
      <c r="F31" s="30"/>
      <c r="G31" s="30">
        <v>1</v>
      </c>
      <c r="H31" s="30"/>
      <c r="I31" s="30"/>
      <c r="J31" s="30"/>
      <c r="K31" s="41">
        <f t="shared" si="0"/>
        <v>2</v>
      </c>
    </row>
    <row r="32" spans="2:11" x14ac:dyDescent="0.2">
      <c r="B32" s="11">
        <v>1111079</v>
      </c>
      <c r="C32" s="15" t="s">
        <v>33</v>
      </c>
      <c r="D32" s="30"/>
      <c r="E32" s="30">
        <v>1</v>
      </c>
      <c r="F32" s="30"/>
      <c r="G32" s="30"/>
      <c r="H32" s="30"/>
      <c r="I32" s="30"/>
      <c r="J32" s="30"/>
      <c r="K32" s="41">
        <f t="shared" si="0"/>
        <v>1</v>
      </c>
    </row>
    <row r="33" spans="2:11" x14ac:dyDescent="0.2">
      <c r="B33" s="11">
        <v>1111080</v>
      </c>
      <c r="C33" s="15" t="s">
        <v>34</v>
      </c>
      <c r="D33" s="30"/>
      <c r="E33" s="30">
        <v>1</v>
      </c>
      <c r="F33" s="30"/>
      <c r="G33" s="30"/>
      <c r="H33" s="30"/>
      <c r="I33" s="30"/>
      <c r="J33" s="30"/>
      <c r="K33" s="41">
        <f t="shared" si="0"/>
        <v>1</v>
      </c>
    </row>
    <row r="34" spans="2:11" x14ac:dyDescent="0.2">
      <c r="B34" s="11">
        <v>1111081</v>
      </c>
      <c r="C34" s="15" t="s">
        <v>35</v>
      </c>
      <c r="D34" s="30"/>
      <c r="E34" s="30">
        <v>1</v>
      </c>
      <c r="F34" s="30"/>
      <c r="G34" s="30"/>
      <c r="H34" s="30"/>
      <c r="I34" s="30"/>
      <c r="J34" s="30"/>
      <c r="K34" s="41">
        <f t="shared" si="0"/>
        <v>1</v>
      </c>
    </row>
    <row r="35" spans="2:11" x14ac:dyDescent="0.2">
      <c r="B35" s="11">
        <v>1111082</v>
      </c>
      <c r="C35" s="15" t="s">
        <v>36</v>
      </c>
      <c r="D35" s="30"/>
      <c r="E35" s="30">
        <v>1</v>
      </c>
      <c r="F35" s="30"/>
      <c r="G35" s="30"/>
      <c r="H35" s="30"/>
      <c r="I35" s="30"/>
      <c r="J35" s="30"/>
      <c r="K35" s="41">
        <f t="shared" si="0"/>
        <v>1</v>
      </c>
    </row>
    <row r="36" spans="2:11" x14ac:dyDescent="0.2">
      <c r="B36" s="11">
        <v>1111083</v>
      </c>
      <c r="C36" s="15" t="s">
        <v>37</v>
      </c>
      <c r="D36" s="30"/>
      <c r="E36" s="30">
        <v>1</v>
      </c>
      <c r="F36" s="30"/>
      <c r="G36" s="30"/>
      <c r="H36" s="30"/>
      <c r="I36" s="30"/>
      <c r="J36" s="30"/>
      <c r="K36" s="41">
        <f t="shared" si="0"/>
        <v>1</v>
      </c>
    </row>
    <row r="37" spans="2:11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7" t="s">
        <v>39</v>
      </c>
      <c r="C39" s="57"/>
      <c r="D39" s="57"/>
      <c r="E39" s="57"/>
      <c r="F39" s="57"/>
      <c r="G39" s="57"/>
      <c r="H39" s="57"/>
      <c r="I39" s="57"/>
      <c r="J39" s="57"/>
      <c r="K39" s="57"/>
    </row>
    <row r="40" spans="2:11" x14ac:dyDescent="0.2">
      <c r="B40" s="11">
        <v>1111009</v>
      </c>
      <c r="C40" s="19" t="s">
        <v>40</v>
      </c>
      <c r="D40" s="30"/>
      <c r="E40" s="30"/>
      <c r="F40" s="30">
        <v>6</v>
      </c>
      <c r="G40" s="30">
        <v>8</v>
      </c>
      <c r="H40" s="30"/>
      <c r="I40" s="30"/>
      <c r="J40" s="30"/>
      <c r="K40" s="41">
        <f>SUM(D40:J40)</f>
        <v>14</v>
      </c>
    </row>
    <row r="41" spans="2:11" ht="19.5" x14ac:dyDescent="0.2">
      <c r="B41" s="57" t="s">
        <v>41</v>
      </c>
      <c r="C41" s="57"/>
      <c r="D41" s="57"/>
      <c r="E41" s="57"/>
      <c r="F41" s="57"/>
      <c r="G41" s="57"/>
      <c r="H41" s="57"/>
      <c r="I41" s="57"/>
      <c r="J41" s="57"/>
      <c r="K41" s="57"/>
    </row>
    <row r="42" spans="2:11" x14ac:dyDescent="0.2">
      <c r="B42" s="11">
        <v>1111008</v>
      </c>
      <c r="C42" s="19" t="s">
        <v>42</v>
      </c>
      <c r="D42" s="30">
        <v>30</v>
      </c>
      <c r="E42" s="30">
        <v>9</v>
      </c>
      <c r="F42" s="30"/>
      <c r="G42" s="30">
        <v>77</v>
      </c>
      <c r="H42" s="30"/>
      <c r="I42" s="30"/>
      <c r="J42" s="30"/>
      <c r="K42" s="41">
        <f>SUM(D42:J42)</f>
        <v>116</v>
      </c>
    </row>
    <row r="43" spans="2:11" ht="19.5" x14ac:dyDescent="0.2">
      <c r="B43" s="57" t="s">
        <v>43</v>
      </c>
      <c r="C43" s="57"/>
      <c r="D43" s="57"/>
      <c r="E43" s="57"/>
      <c r="F43" s="57"/>
      <c r="G43" s="57"/>
      <c r="H43" s="57"/>
      <c r="I43" s="57"/>
      <c r="J43" s="57"/>
      <c r="K43" s="57"/>
    </row>
    <row r="44" spans="2:11" x14ac:dyDescent="0.2">
      <c r="B44" s="11">
        <v>1112009</v>
      </c>
      <c r="C44" s="19" t="s">
        <v>44</v>
      </c>
      <c r="D44" s="30"/>
      <c r="E44" s="30">
        <v>7</v>
      </c>
      <c r="F44" s="30">
        <v>2</v>
      </c>
      <c r="G44" s="30">
        <v>49</v>
      </c>
      <c r="H44" s="30"/>
      <c r="I44" s="30"/>
      <c r="J44" s="30"/>
      <c r="K44" s="41">
        <f t="shared" ref="K44:K53" si="1">SUM(D44:J44)</f>
        <v>58</v>
      </c>
    </row>
    <row r="45" spans="2:11" x14ac:dyDescent="0.2">
      <c r="B45" s="11">
        <v>1112011</v>
      </c>
      <c r="C45" s="19" t="s">
        <v>45</v>
      </c>
      <c r="D45" s="30">
        <v>5</v>
      </c>
      <c r="E45" s="30">
        <v>15</v>
      </c>
      <c r="F45" s="30">
        <v>15</v>
      </c>
      <c r="G45" s="30">
        <v>49</v>
      </c>
      <c r="H45" s="30"/>
      <c r="I45" s="30"/>
      <c r="J45" s="30"/>
      <c r="K45" s="41">
        <f t="shared" si="1"/>
        <v>84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>
        <v>4</v>
      </c>
      <c r="H46" s="30"/>
      <c r="I46" s="30"/>
      <c r="J46" s="30"/>
      <c r="K46" s="41">
        <f t="shared" si="1"/>
        <v>4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>
        <v>2</v>
      </c>
      <c r="E50" s="30"/>
      <c r="F50" s="30"/>
      <c r="G50" s="30">
        <v>4</v>
      </c>
      <c r="H50" s="30"/>
      <c r="I50" s="30"/>
      <c r="J50" s="30"/>
      <c r="K50" s="41">
        <f t="shared" si="1"/>
        <v>6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>
        <v>4</v>
      </c>
      <c r="H51" s="30"/>
      <c r="I51" s="30"/>
      <c r="J51" s="30"/>
      <c r="K51" s="41">
        <f t="shared" si="1"/>
        <v>4</v>
      </c>
    </row>
    <row r="52" spans="2:11" x14ac:dyDescent="0.2">
      <c r="B52" s="11">
        <v>1112013</v>
      </c>
      <c r="C52" s="19" t="s">
        <v>52</v>
      </c>
      <c r="D52" s="30">
        <v>2</v>
      </c>
      <c r="E52" s="30">
        <v>7</v>
      </c>
      <c r="F52" s="30">
        <v>3</v>
      </c>
      <c r="G52" s="30">
        <v>48</v>
      </c>
      <c r="H52" s="30"/>
      <c r="I52" s="30"/>
      <c r="J52" s="30"/>
      <c r="K52" s="41">
        <f t="shared" si="1"/>
        <v>60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7" t="s">
        <v>54</v>
      </c>
      <c r="C55" s="57"/>
      <c r="D55" s="57"/>
      <c r="E55" s="57"/>
      <c r="F55" s="57"/>
      <c r="G55" s="57"/>
      <c r="H55" s="57"/>
      <c r="I55" s="57"/>
      <c r="J55" s="57"/>
      <c r="K55" s="57"/>
    </row>
    <row r="56" spans="2:11" x14ac:dyDescent="0.2">
      <c r="B56" s="11">
        <v>1100003</v>
      </c>
      <c r="C56" s="21" t="s">
        <v>73</v>
      </c>
      <c r="D56" s="30">
        <v>4</v>
      </c>
      <c r="E56" s="30">
        <v>2</v>
      </c>
      <c r="F56" s="30"/>
      <c r="G56" s="30"/>
      <c r="H56" s="30"/>
      <c r="I56" s="30"/>
      <c r="J56" s="30"/>
      <c r="K56" s="41">
        <f t="shared" ref="K56:K75" si="2">SUM(D56:J56)</f>
        <v>6</v>
      </c>
    </row>
    <row r="57" spans="2:11" x14ac:dyDescent="0.2">
      <c r="B57" s="11">
        <v>1100001</v>
      </c>
      <c r="C57" s="21" t="s">
        <v>74</v>
      </c>
      <c r="D57" s="30"/>
      <c r="E57" s="30">
        <v>5</v>
      </c>
      <c r="F57" s="30"/>
      <c r="G57" s="30"/>
      <c r="H57" s="30"/>
      <c r="I57" s="30"/>
      <c r="J57" s="30"/>
      <c r="K57" s="41">
        <f t="shared" si="2"/>
        <v>5</v>
      </c>
    </row>
    <row r="58" spans="2:11" hidden="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2"/>
        <v>0</v>
      </c>
    </row>
    <row r="59" spans="2:11" x14ac:dyDescent="0.2">
      <c r="B59" s="11">
        <v>1200001</v>
      </c>
      <c r="C59" s="21" t="s">
        <v>57</v>
      </c>
      <c r="D59" s="30">
        <v>4</v>
      </c>
      <c r="E59" s="30">
        <v>1</v>
      </c>
      <c r="F59" s="30"/>
      <c r="G59" s="30">
        <v>2</v>
      </c>
      <c r="H59" s="30"/>
      <c r="I59" s="30"/>
      <c r="J59" s="30"/>
      <c r="K59" s="41">
        <f t="shared" si="2"/>
        <v>7</v>
      </c>
    </row>
    <row r="60" spans="2:11" hidden="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1114501</v>
      </c>
      <c r="C61" s="21" t="s">
        <v>59</v>
      </c>
      <c r="D61" s="30">
        <v>1</v>
      </c>
      <c r="E61" s="30">
        <v>13</v>
      </c>
      <c r="F61" s="30">
        <v>7</v>
      </c>
      <c r="G61" s="30">
        <v>184</v>
      </c>
      <c r="H61" s="30"/>
      <c r="I61" s="30"/>
      <c r="J61" s="30"/>
      <c r="K61" s="41">
        <f t="shared" si="2"/>
        <v>205</v>
      </c>
    </row>
    <row r="62" spans="2:11" x14ac:dyDescent="0.2">
      <c r="B62" s="11">
        <v>1114502</v>
      </c>
      <c r="C62" s="21" t="s">
        <v>60</v>
      </c>
      <c r="D62" s="30">
        <v>3</v>
      </c>
      <c r="E62" s="30">
        <v>10</v>
      </c>
      <c r="F62" s="30"/>
      <c r="G62" s="30">
        <v>183</v>
      </c>
      <c r="H62" s="30"/>
      <c r="I62" s="30"/>
      <c r="J62" s="30"/>
      <c r="K62" s="41">
        <f t="shared" si="2"/>
        <v>196</v>
      </c>
    </row>
    <row r="63" spans="2:11" x14ac:dyDescent="0.2">
      <c r="B63" s="11">
        <v>1114503</v>
      </c>
      <c r="C63" s="21" t="s">
        <v>61</v>
      </c>
      <c r="D63" s="30">
        <v>1</v>
      </c>
      <c r="E63" s="30">
        <v>13</v>
      </c>
      <c r="F63" s="30"/>
      <c r="G63" s="30">
        <v>183</v>
      </c>
      <c r="H63" s="30"/>
      <c r="I63" s="30"/>
      <c r="J63" s="30"/>
      <c r="K63" s="41">
        <f t="shared" si="2"/>
        <v>197</v>
      </c>
    </row>
    <row r="64" spans="2:11" x14ac:dyDescent="0.2">
      <c r="B64" s="11">
        <v>1124021</v>
      </c>
      <c r="C64" s="21" t="s">
        <v>62</v>
      </c>
      <c r="D64" s="30"/>
      <c r="E64" s="30">
        <v>40</v>
      </c>
      <c r="F64" s="30">
        <v>27</v>
      </c>
      <c r="G64" s="30">
        <v>27</v>
      </c>
      <c r="H64" s="30"/>
      <c r="I64" s="30"/>
      <c r="J64" s="30"/>
      <c r="K64" s="41">
        <f t="shared" si="2"/>
        <v>94</v>
      </c>
    </row>
    <row r="65" spans="2:11" hidden="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hidden="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hidden="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1200002</v>
      </c>
      <c r="C68" s="21" t="s">
        <v>65</v>
      </c>
      <c r="D68" s="30">
        <v>4</v>
      </c>
      <c r="E68" s="30"/>
      <c r="F68" s="30"/>
      <c r="G68" s="30"/>
      <c r="H68" s="30"/>
      <c r="I68" s="30"/>
      <c r="J68" s="30"/>
      <c r="K68" s="41">
        <f t="shared" si="2"/>
        <v>4</v>
      </c>
    </row>
    <row r="69" spans="2:11" x14ac:dyDescent="0.2">
      <c r="B69" s="11">
        <v>1200003</v>
      </c>
      <c r="C69" s="21" t="s">
        <v>66</v>
      </c>
      <c r="D69" s="30">
        <v>4</v>
      </c>
      <c r="E69" s="30"/>
      <c r="F69" s="30"/>
      <c r="G69" s="30"/>
      <c r="H69" s="30"/>
      <c r="I69" s="30"/>
      <c r="J69" s="30"/>
      <c r="K69" s="41">
        <f t="shared" si="2"/>
        <v>4</v>
      </c>
    </row>
    <row r="70" spans="2:11" hidden="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hidden="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hidden="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>
        <v>2</v>
      </c>
      <c r="K73" s="41">
        <f t="shared" si="2"/>
        <v>2</v>
      </c>
    </row>
    <row r="74" spans="2:11" x14ac:dyDescent="0.2">
      <c r="B74" s="22"/>
      <c r="C74" s="21" t="s">
        <v>77</v>
      </c>
      <c r="D74" s="30"/>
      <c r="E74" s="30">
        <v>2</v>
      </c>
      <c r="F74" s="30"/>
      <c r="G74" s="30"/>
      <c r="H74" s="30"/>
      <c r="I74" s="30"/>
      <c r="J74" s="30"/>
      <c r="K74" s="41">
        <f t="shared" si="2"/>
        <v>2</v>
      </c>
    </row>
    <row r="75" spans="2:11" hidden="1" x14ac:dyDescent="0.2">
      <c r="B75" s="22"/>
      <c r="C75" s="21" t="s">
        <v>92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3">SUM(D7:D36,D40,D42,,D44:D53,D56:D74)</f>
        <v>81</v>
      </c>
      <c r="E77" s="39">
        <f t="shared" si="3"/>
        <v>198</v>
      </c>
      <c r="F77" s="39">
        <f t="shared" si="3"/>
        <v>97</v>
      </c>
      <c r="G77" s="39">
        <f t="shared" si="3"/>
        <v>912</v>
      </c>
      <c r="H77" s="39">
        <f t="shared" si="3"/>
        <v>0</v>
      </c>
      <c r="I77" s="39">
        <f t="shared" si="3"/>
        <v>0</v>
      </c>
      <c r="J77" s="39">
        <f t="shared" si="3"/>
        <v>2</v>
      </c>
      <c r="K77" s="39">
        <f>SUM(K7:K36,K40,K42,,K44:K53,K56:K74)</f>
        <v>1290</v>
      </c>
    </row>
    <row r="78" spans="2:11" x14ac:dyDescent="0.2">
      <c r="C78" s="24"/>
      <c r="D78" s="31"/>
      <c r="E78" s="58"/>
      <c r="F78" s="58"/>
      <c r="G78" s="26"/>
    </row>
    <row r="79" spans="2:11" x14ac:dyDescent="0.2">
      <c r="B79" s="58" t="s">
        <v>68</v>
      </c>
      <c r="C79" s="58"/>
      <c r="D79" s="32"/>
      <c r="E79" s="56"/>
      <c r="F79" s="56"/>
      <c r="G79" s="27"/>
      <c r="H79" s="26"/>
      <c r="I79" s="58" t="s">
        <v>68</v>
      </c>
      <c r="J79" s="58"/>
      <c r="K79" s="58"/>
    </row>
    <row r="80" spans="2:11" x14ac:dyDescent="0.2">
      <c r="B80" s="56" t="s">
        <v>69</v>
      </c>
      <c r="C80" s="56"/>
      <c r="D80" s="33"/>
      <c r="E80" s="33"/>
      <c r="F80" s="33"/>
      <c r="G80" s="33"/>
      <c r="H80" s="33"/>
      <c r="I80" s="56" t="s">
        <v>70</v>
      </c>
      <c r="J80" s="56"/>
      <c r="K80" s="56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2:J3"/>
    <mergeCell ref="B1:K1"/>
    <mergeCell ref="B80:C80"/>
    <mergeCell ref="I80:K80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97"/>
  <sheetViews>
    <sheetView topLeftCell="A44" zoomScale="60" zoomScaleNormal="60" workbookViewId="0">
      <selection activeCell="K77" sqref="D77:K77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5" t="s">
        <v>97</v>
      </c>
      <c r="C1" s="55"/>
      <c r="D1" s="55"/>
      <c r="E1" s="55"/>
      <c r="F1" s="55"/>
      <c r="G1" s="55"/>
      <c r="H1" s="55"/>
      <c r="I1" s="55"/>
      <c r="J1" s="55"/>
      <c r="K1" s="55"/>
    </row>
    <row r="2" spans="2:11" x14ac:dyDescent="0.2">
      <c r="B2" s="49"/>
      <c r="C2" s="50"/>
      <c r="D2" s="50"/>
      <c r="E2" s="50"/>
      <c r="F2" s="50"/>
      <c r="G2" s="50"/>
      <c r="H2" s="50"/>
      <c r="I2" s="50"/>
      <c r="J2" s="51"/>
      <c r="K2" s="42" t="s">
        <v>0</v>
      </c>
    </row>
    <row r="3" spans="2:11" x14ac:dyDescent="0.2">
      <c r="B3" s="52"/>
      <c r="C3" s="53"/>
      <c r="D3" s="53"/>
      <c r="E3" s="53"/>
      <c r="F3" s="53"/>
      <c r="G3" s="53"/>
      <c r="H3" s="53"/>
      <c r="I3" s="53"/>
      <c r="J3" s="54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</row>
    <row r="7" spans="2:11" x14ac:dyDescent="0.2">
      <c r="B7" s="11">
        <v>1111002</v>
      </c>
      <c r="C7" s="15" t="s">
        <v>71</v>
      </c>
      <c r="D7" s="30"/>
      <c r="E7" s="30">
        <v>14</v>
      </c>
      <c r="F7" s="30">
        <v>1</v>
      </c>
      <c r="G7" s="30"/>
      <c r="H7" s="30"/>
      <c r="I7" s="30"/>
      <c r="J7" s="30"/>
      <c r="K7" s="41">
        <f t="shared" ref="K7:K37" si="0">SUM(D7:J7)</f>
        <v>15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>
        <v>3</v>
      </c>
      <c r="F9" s="30"/>
      <c r="G9" s="30"/>
      <c r="H9" s="30"/>
      <c r="I9" s="30"/>
      <c r="J9" s="30"/>
      <c r="K9" s="41">
        <f t="shared" si="0"/>
        <v>3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>
        <v>12</v>
      </c>
      <c r="H10" s="30"/>
      <c r="I10" s="30"/>
      <c r="J10" s="30"/>
      <c r="K10" s="41">
        <f t="shared" si="0"/>
        <v>12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>
        <v>3</v>
      </c>
      <c r="H11" s="30"/>
      <c r="I11" s="30"/>
      <c r="J11" s="30">
        <v>1</v>
      </c>
      <c r="K11" s="41">
        <f t="shared" si="0"/>
        <v>4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>
        <v>3</v>
      </c>
      <c r="H12" s="30"/>
      <c r="I12" s="30"/>
      <c r="J12" s="30"/>
      <c r="K12" s="41">
        <f t="shared" si="0"/>
        <v>3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>
        <v>3</v>
      </c>
      <c r="H13" s="30"/>
      <c r="I13" s="30"/>
      <c r="J13" s="30"/>
      <c r="K13" s="41">
        <f t="shared" si="0"/>
        <v>3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>
        <v>1</v>
      </c>
      <c r="H14" s="30"/>
      <c r="I14" s="30"/>
      <c r="J14" s="30"/>
      <c r="K14" s="41">
        <f t="shared" si="0"/>
        <v>1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>
        <v>3</v>
      </c>
      <c r="H15" s="30"/>
      <c r="I15" s="30"/>
      <c r="J15" s="30"/>
      <c r="K15" s="41">
        <f t="shared" si="0"/>
        <v>3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>
        <v>2</v>
      </c>
      <c r="H17" s="30"/>
      <c r="I17" s="30"/>
      <c r="J17" s="30"/>
      <c r="K17" s="41">
        <f t="shared" si="0"/>
        <v>2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>
        <v>2</v>
      </c>
      <c r="H18" s="30"/>
      <c r="I18" s="30"/>
      <c r="J18" s="30"/>
      <c r="K18" s="41">
        <f t="shared" si="0"/>
        <v>2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>
        <v>2</v>
      </c>
      <c r="H20" s="30"/>
      <c r="I20" s="30"/>
      <c r="J20" s="30"/>
      <c r="K20" s="41">
        <f t="shared" si="0"/>
        <v>2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>
        <v>2</v>
      </c>
      <c r="H21" s="30"/>
      <c r="I21" s="30"/>
      <c r="J21" s="30"/>
      <c r="K21" s="41">
        <f t="shared" si="0"/>
        <v>2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>
        <v>2</v>
      </c>
      <c r="H22" s="30"/>
      <c r="I22" s="30"/>
      <c r="J22" s="30"/>
      <c r="K22" s="41">
        <f t="shared" si="0"/>
        <v>2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>
        <v>2</v>
      </c>
      <c r="H23" s="30"/>
      <c r="I23" s="30"/>
      <c r="J23" s="30"/>
      <c r="K23" s="41">
        <f t="shared" si="0"/>
        <v>2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>
        <v>1</v>
      </c>
      <c r="H27" s="30"/>
      <c r="I27" s="30"/>
      <c r="J27" s="30"/>
      <c r="K27" s="41">
        <f t="shared" si="0"/>
        <v>1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>
        <v>1</v>
      </c>
      <c r="H28" s="30"/>
      <c r="I28" s="30"/>
      <c r="J28" s="30"/>
      <c r="K28" s="41">
        <f t="shared" si="0"/>
        <v>1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>
        <v>1</v>
      </c>
      <c r="H29" s="30"/>
      <c r="I29" s="30"/>
      <c r="J29" s="30"/>
      <c r="K29" s="41">
        <f t="shared" si="0"/>
        <v>1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>
        <v>1</v>
      </c>
      <c r="H30" s="30"/>
      <c r="I30" s="30"/>
      <c r="J30" s="30"/>
      <c r="K30" s="41">
        <f t="shared" si="0"/>
        <v>1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>
        <v>1</v>
      </c>
      <c r="H31" s="30"/>
      <c r="I31" s="30"/>
      <c r="J31" s="30"/>
      <c r="K31" s="41">
        <f t="shared" si="0"/>
        <v>1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7" t="s">
        <v>39</v>
      </c>
      <c r="C39" s="57"/>
      <c r="D39" s="57"/>
      <c r="E39" s="57"/>
      <c r="F39" s="57"/>
      <c r="G39" s="57"/>
      <c r="H39" s="57"/>
      <c r="I39" s="57"/>
      <c r="J39" s="57"/>
      <c r="K39" s="57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7" t="s">
        <v>41</v>
      </c>
      <c r="C41" s="57"/>
      <c r="D41" s="57"/>
      <c r="E41" s="57"/>
      <c r="F41" s="57"/>
      <c r="G41" s="57"/>
      <c r="H41" s="57"/>
      <c r="I41" s="57"/>
      <c r="J41" s="57"/>
      <c r="K41" s="57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>
        <v>12</v>
      </c>
      <c r="H42" s="30"/>
      <c r="I42" s="30"/>
      <c r="J42" s="30"/>
      <c r="K42" s="41">
        <f>SUM(D42:J42)</f>
        <v>12</v>
      </c>
    </row>
    <row r="43" spans="2:11" ht="19.5" x14ac:dyDescent="0.2">
      <c r="B43" s="57" t="s">
        <v>43</v>
      </c>
      <c r="C43" s="57"/>
      <c r="D43" s="57"/>
      <c r="E43" s="57"/>
      <c r="F43" s="57"/>
      <c r="G43" s="57"/>
      <c r="H43" s="57"/>
      <c r="I43" s="57"/>
      <c r="J43" s="57"/>
      <c r="K43" s="57"/>
    </row>
    <row r="44" spans="2:11" x14ac:dyDescent="0.2">
      <c r="B44" s="11">
        <v>1112009</v>
      </c>
      <c r="C44" s="19" t="s">
        <v>44</v>
      </c>
      <c r="D44" s="30"/>
      <c r="E44" s="30">
        <v>2</v>
      </c>
      <c r="F44" s="30">
        <v>1</v>
      </c>
      <c r="G44" s="30">
        <v>22</v>
      </c>
      <c r="H44" s="30"/>
      <c r="I44" s="30"/>
      <c r="J44" s="30">
        <v>1</v>
      </c>
      <c r="K44" s="41">
        <f t="shared" ref="K44:K53" si="1">SUM(D44:J44)</f>
        <v>26</v>
      </c>
    </row>
    <row r="45" spans="2:11" x14ac:dyDescent="0.2">
      <c r="B45" s="11">
        <v>1112011</v>
      </c>
      <c r="C45" s="19" t="s">
        <v>45</v>
      </c>
      <c r="D45" s="30"/>
      <c r="E45" s="30">
        <v>3</v>
      </c>
      <c r="F45" s="30">
        <v>3</v>
      </c>
      <c r="G45" s="30">
        <v>22</v>
      </c>
      <c r="H45" s="30"/>
      <c r="I45" s="30"/>
      <c r="J45" s="30"/>
      <c r="K45" s="41">
        <f t="shared" si="1"/>
        <v>28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1112013</v>
      </c>
      <c r="C52" s="19" t="s">
        <v>52</v>
      </c>
      <c r="D52" s="30"/>
      <c r="E52" s="30">
        <v>1</v>
      </c>
      <c r="F52" s="30">
        <v>1</v>
      </c>
      <c r="G52" s="30">
        <v>23</v>
      </c>
      <c r="H52" s="30"/>
      <c r="I52" s="30"/>
      <c r="J52" s="30"/>
      <c r="K52" s="41">
        <f t="shared" si="1"/>
        <v>25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7" t="s">
        <v>54</v>
      </c>
      <c r="C55" s="57"/>
      <c r="D55" s="57"/>
      <c r="E55" s="57"/>
      <c r="F55" s="57"/>
      <c r="G55" s="57"/>
      <c r="H55" s="57"/>
      <c r="I55" s="57"/>
      <c r="J55" s="57"/>
      <c r="K55" s="57"/>
    </row>
    <row r="56" spans="2:11" x14ac:dyDescent="0.2">
      <c r="B56" s="11">
        <v>1100003</v>
      </c>
      <c r="C56" s="21" t="s">
        <v>73</v>
      </c>
      <c r="D56" s="30"/>
      <c r="E56" s="30">
        <v>3</v>
      </c>
      <c r="F56" s="30"/>
      <c r="G56" s="30"/>
      <c r="H56" s="30"/>
      <c r="I56" s="30"/>
      <c r="J56" s="30"/>
      <c r="K56" s="41">
        <f t="shared" ref="K56:K75" si="2">SUM(D56:J56)</f>
        <v>3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1">
        <v>1100002</v>
      </c>
      <c r="C58" s="21" t="s">
        <v>75</v>
      </c>
      <c r="D58" s="30"/>
      <c r="E58" s="30">
        <v>1</v>
      </c>
      <c r="F58" s="30"/>
      <c r="G58" s="30"/>
      <c r="H58" s="30"/>
      <c r="I58" s="30"/>
      <c r="J58" s="30"/>
      <c r="K58" s="41">
        <f t="shared" si="2"/>
        <v>1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2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1114501</v>
      </c>
      <c r="C61" s="21" t="s">
        <v>59</v>
      </c>
      <c r="D61" s="30"/>
      <c r="E61" s="30">
        <v>2</v>
      </c>
      <c r="F61" s="30">
        <v>1</v>
      </c>
      <c r="G61" s="30">
        <v>63</v>
      </c>
      <c r="H61" s="30"/>
      <c r="I61" s="30"/>
      <c r="J61" s="30"/>
      <c r="K61" s="41">
        <f t="shared" si="2"/>
        <v>66</v>
      </c>
    </row>
    <row r="62" spans="2:11" x14ac:dyDescent="0.2">
      <c r="B62" s="11">
        <v>1114502</v>
      </c>
      <c r="C62" s="21" t="s">
        <v>60</v>
      </c>
      <c r="D62" s="30"/>
      <c r="E62" s="30"/>
      <c r="F62" s="30"/>
      <c r="G62" s="30">
        <v>63</v>
      </c>
      <c r="H62" s="30"/>
      <c r="I62" s="30"/>
      <c r="J62" s="30"/>
      <c r="K62" s="41">
        <f t="shared" si="2"/>
        <v>63</v>
      </c>
    </row>
    <row r="63" spans="2:11" x14ac:dyDescent="0.2">
      <c r="B63" s="11">
        <v>1114503</v>
      </c>
      <c r="C63" s="21" t="s">
        <v>61</v>
      </c>
      <c r="D63" s="30"/>
      <c r="E63" s="30">
        <v>1</v>
      </c>
      <c r="F63" s="30">
        <v>1</v>
      </c>
      <c r="G63" s="30">
        <v>63</v>
      </c>
      <c r="H63" s="30"/>
      <c r="I63" s="30"/>
      <c r="J63" s="30"/>
      <c r="K63" s="41">
        <f t="shared" si="2"/>
        <v>65</v>
      </c>
    </row>
    <row r="64" spans="2:11" x14ac:dyDescent="0.2">
      <c r="B64" s="11">
        <v>1124021</v>
      </c>
      <c r="C64" s="21" t="s">
        <v>62</v>
      </c>
      <c r="D64" s="30"/>
      <c r="E64" s="30"/>
      <c r="F64" s="30">
        <v>22</v>
      </c>
      <c r="G64" s="30">
        <v>28</v>
      </c>
      <c r="H64" s="30"/>
      <c r="I64" s="30"/>
      <c r="J64" s="30"/>
      <c r="K64" s="41">
        <f t="shared" si="2"/>
        <v>50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>
        <v>3</v>
      </c>
      <c r="K73" s="41">
        <f t="shared" si="2"/>
        <v>3</v>
      </c>
    </row>
    <row r="74" spans="2:11" x14ac:dyDescent="0.2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22"/>
      <c r="C75" s="21" t="s">
        <v>92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3">SUM(D7:D37,D42,D44:D53,D56:D75)</f>
        <v>0</v>
      </c>
      <c r="E77" s="39">
        <f t="shared" si="3"/>
        <v>30</v>
      </c>
      <c r="F77" s="39">
        <f t="shared" si="3"/>
        <v>30</v>
      </c>
      <c r="G77" s="39">
        <f t="shared" si="3"/>
        <v>338</v>
      </c>
      <c r="H77" s="39">
        <f t="shared" si="3"/>
        <v>0</v>
      </c>
      <c r="I77" s="39">
        <f t="shared" si="3"/>
        <v>0</v>
      </c>
      <c r="J77" s="39">
        <f t="shared" si="3"/>
        <v>5</v>
      </c>
      <c r="K77" s="39">
        <f>SUM(K7:K37,K42,K44:K53,K56:K75)</f>
        <v>403</v>
      </c>
    </row>
    <row r="78" spans="2:11" x14ac:dyDescent="0.2">
      <c r="C78" s="24"/>
      <c r="D78" s="31"/>
      <c r="E78" s="58"/>
      <c r="F78" s="58"/>
      <c r="G78" s="26"/>
    </row>
    <row r="79" spans="2:11" x14ac:dyDescent="0.2">
      <c r="B79" s="58" t="s">
        <v>68</v>
      </c>
      <c r="C79" s="58"/>
      <c r="D79" s="32"/>
      <c r="E79" s="56"/>
      <c r="F79" s="56"/>
      <c r="G79" s="27"/>
      <c r="H79" s="26"/>
      <c r="I79" s="58" t="s">
        <v>68</v>
      </c>
      <c r="J79" s="58"/>
      <c r="K79" s="58"/>
    </row>
    <row r="80" spans="2:11" x14ac:dyDescent="0.2">
      <c r="B80" s="56" t="s">
        <v>69</v>
      </c>
      <c r="C80" s="56"/>
      <c r="D80" s="33"/>
      <c r="E80" s="33"/>
      <c r="F80" s="33"/>
      <c r="G80" s="33"/>
      <c r="H80" s="33"/>
      <c r="I80" s="56" t="s">
        <v>70</v>
      </c>
      <c r="J80" s="56"/>
      <c r="K80" s="56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0"/>
  <sheetViews>
    <sheetView topLeftCell="A31" zoomScale="70" zoomScaleNormal="70" workbookViewId="0">
      <selection activeCell="B43" sqref="B43:C45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55" t="s">
        <v>93</v>
      </c>
      <c r="C1" s="55"/>
      <c r="D1" s="55"/>
      <c r="E1" s="55"/>
      <c r="F1" s="55"/>
      <c r="G1" s="55"/>
      <c r="H1" s="55"/>
      <c r="I1" s="55"/>
      <c r="J1" s="55"/>
      <c r="K1" s="55"/>
    </row>
    <row r="2" spans="2:11" x14ac:dyDescent="0.2">
      <c r="B2" s="49"/>
      <c r="C2" s="50"/>
      <c r="D2" s="50"/>
      <c r="E2" s="50"/>
      <c r="F2" s="50"/>
      <c r="G2" s="50"/>
      <c r="H2" s="50"/>
      <c r="I2" s="50"/>
      <c r="J2" s="51"/>
      <c r="K2" s="42" t="s">
        <v>0</v>
      </c>
    </row>
    <row r="3" spans="2:11" x14ac:dyDescent="0.2">
      <c r="B3" s="52"/>
      <c r="C3" s="53"/>
      <c r="D3" s="53"/>
      <c r="E3" s="53"/>
      <c r="F3" s="53"/>
      <c r="G3" s="53"/>
      <c r="H3" s="53"/>
      <c r="I3" s="53"/>
      <c r="J3" s="54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7" t="s">
        <v>39</v>
      </c>
      <c r="C39" s="57"/>
      <c r="D39" s="57"/>
      <c r="E39" s="57"/>
      <c r="F39" s="57"/>
      <c r="G39" s="57"/>
      <c r="H39" s="57"/>
      <c r="I39" s="57"/>
      <c r="J39" s="57"/>
      <c r="K39" s="57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7" t="s">
        <v>41</v>
      </c>
      <c r="C41" s="57"/>
      <c r="D41" s="57"/>
      <c r="E41" s="57"/>
      <c r="F41" s="57"/>
      <c r="G41" s="57"/>
      <c r="H41" s="57"/>
      <c r="I41" s="57"/>
      <c r="J41" s="57"/>
      <c r="K41" s="57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x14ac:dyDescent="0.2">
      <c r="B43" s="11">
        <v>1111017</v>
      </c>
      <c r="C43" s="19" t="s">
        <v>94</v>
      </c>
      <c r="D43" s="30"/>
      <c r="E43" s="30"/>
      <c r="F43" s="30"/>
      <c r="G43" s="30"/>
      <c r="H43" s="30"/>
      <c r="I43" s="30"/>
      <c r="J43" s="30"/>
      <c r="K43" s="41"/>
    </row>
    <row r="44" spans="2:11" x14ac:dyDescent="0.2">
      <c r="B44" s="11">
        <v>1111019</v>
      </c>
      <c r="C44" s="19" t="s">
        <v>95</v>
      </c>
      <c r="D44" s="30"/>
      <c r="E44" s="30"/>
      <c r="F44" s="30"/>
      <c r="G44" s="30"/>
      <c r="H44" s="30"/>
      <c r="I44" s="30"/>
      <c r="J44" s="30"/>
      <c r="K44" s="41"/>
    </row>
    <row r="45" spans="2:11" x14ac:dyDescent="0.2">
      <c r="B45" s="11">
        <v>1111022</v>
      </c>
      <c r="C45" s="19" t="s">
        <v>96</v>
      </c>
      <c r="D45" s="30"/>
      <c r="E45" s="30"/>
      <c r="F45" s="30"/>
      <c r="G45" s="30"/>
      <c r="H45" s="30"/>
      <c r="I45" s="30"/>
      <c r="J45" s="30"/>
      <c r="K45" s="41"/>
    </row>
    <row r="46" spans="2:11" ht="19.5" x14ac:dyDescent="0.2">
      <c r="B46" s="57" t="s">
        <v>43</v>
      </c>
      <c r="C46" s="57"/>
      <c r="D46" s="57"/>
      <c r="E46" s="57"/>
      <c r="F46" s="57"/>
      <c r="G46" s="57"/>
      <c r="H46" s="57"/>
      <c r="I46" s="57"/>
      <c r="J46" s="57"/>
      <c r="K46" s="57"/>
    </row>
    <row r="47" spans="2:11" x14ac:dyDescent="0.2">
      <c r="B47" s="11">
        <v>1112009</v>
      </c>
      <c r="C47" s="19" t="s">
        <v>44</v>
      </c>
      <c r="D47" s="30"/>
      <c r="E47" s="30"/>
      <c r="F47" s="30"/>
      <c r="G47" s="30"/>
      <c r="H47" s="30"/>
      <c r="I47" s="30"/>
      <c r="J47" s="30"/>
      <c r="K47" s="41">
        <f t="shared" ref="K47:K56" si="1">SUM(D47:J47)</f>
        <v>0</v>
      </c>
    </row>
    <row r="48" spans="2:11" x14ac:dyDescent="0.2">
      <c r="B48" s="11">
        <v>1112011</v>
      </c>
      <c r="C48" s="19" t="s">
        <v>45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1112003</v>
      </c>
      <c r="C49" s="19" t="s">
        <v>46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1112005</v>
      </c>
      <c r="C50" s="19" t="s">
        <v>47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1112007</v>
      </c>
      <c r="C51" s="19" t="s">
        <v>48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1112019</v>
      </c>
      <c r="C52" s="19" t="s">
        <v>49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x14ac:dyDescent="0.2">
      <c r="B53" s="11">
        <v>1112017</v>
      </c>
      <c r="C53" s="19" t="s">
        <v>50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1">
        <v>1112015</v>
      </c>
      <c r="C54" s="19" t="s">
        <v>51</v>
      </c>
      <c r="D54" s="30"/>
      <c r="E54" s="30"/>
      <c r="F54" s="30"/>
      <c r="G54" s="30"/>
      <c r="H54" s="30"/>
      <c r="I54" s="30"/>
      <c r="J54" s="30"/>
      <c r="K54" s="41">
        <f t="shared" si="1"/>
        <v>0</v>
      </c>
    </row>
    <row r="55" spans="2:11" x14ac:dyDescent="0.2">
      <c r="B55" s="11">
        <v>1112013</v>
      </c>
      <c r="C55" s="19" t="s">
        <v>52</v>
      </c>
      <c r="D55" s="30"/>
      <c r="E55" s="30"/>
      <c r="F55" s="30"/>
      <c r="G55" s="30"/>
      <c r="H55" s="30"/>
      <c r="I55" s="30"/>
      <c r="J55" s="30"/>
      <c r="K55" s="41">
        <f t="shared" si="1"/>
        <v>0</v>
      </c>
    </row>
    <row r="56" spans="2:11" x14ac:dyDescent="0.2">
      <c r="B56" s="11">
        <v>1124043</v>
      </c>
      <c r="C56" s="19" t="s">
        <v>53</v>
      </c>
      <c r="D56" s="30"/>
      <c r="E56" s="30"/>
      <c r="F56" s="30"/>
      <c r="G56" s="30"/>
      <c r="H56" s="30"/>
      <c r="I56" s="30"/>
      <c r="J56" s="30"/>
      <c r="K56" s="41">
        <f t="shared" si="1"/>
        <v>0</v>
      </c>
    </row>
    <row r="57" spans="2:11" x14ac:dyDescent="0.2">
      <c r="B57" s="18"/>
      <c r="C57" s="18" t="s">
        <v>1</v>
      </c>
      <c r="D57" s="18"/>
      <c r="E57" s="18"/>
      <c r="F57" s="18"/>
      <c r="G57" s="18"/>
      <c r="H57" s="18"/>
      <c r="I57" s="18"/>
      <c r="J57" s="18"/>
      <c r="K57" s="41"/>
    </row>
    <row r="58" spans="2:11" ht="19.5" x14ac:dyDescent="0.2">
      <c r="B58" s="57" t="s">
        <v>54</v>
      </c>
      <c r="C58" s="57"/>
      <c r="D58" s="57"/>
      <c r="E58" s="57"/>
      <c r="F58" s="57"/>
      <c r="G58" s="57"/>
      <c r="H58" s="57"/>
      <c r="I58" s="57"/>
      <c r="J58" s="57"/>
      <c r="K58" s="57"/>
    </row>
    <row r="59" spans="2:11" x14ac:dyDescent="0.2">
      <c r="B59" s="11">
        <v>1100003</v>
      </c>
      <c r="C59" s="21" t="s">
        <v>73</v>
      </c>
      <c r="D59" s="30"/>
      <c r="E59" s="30"/>
      <c r="F59" s="30"/>
      <c r="G59" s="30"/>
      <c r="H59" s="30"/>
      <c r="I59" s="30"/>
      <c r="J59" s="30"/>
      <c r="K59" s="41">
        <f t="shared" ref="K59:K78" si="2">SUM(D59:J59)</f>
        <v>0</v>
      </c>
    </row>
    <row r="60" spans="2:11" x14ac:dyDescent="0.2">
      <c r="B60" s="11">
        <v>1100001</v>
      </c>
      <c r="C60" s="21" t="s">
        <v>74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1100002</v>
      </c>
      <c r="C61" s="21" t="s">
        <v>75</v>
      </c>
      <c r="D61" s="30"/>
      <c r="E61" s="30"/>
      <c r="F61" s="30"/>
      <c r="G61" s="30"/>
      <c r="H61" s="30"/>
      <c r="I61" s="30"/>
      <c r="J61" s="30"/>
      <c r="K61" s="41">
        <f t="shared" si="2"/>
        <v>0</v>
      </c>
    </row>
    <row r="62" spans="2:11" x14ac:dyDescent="0.2">
      <c r="B62" s="11">
        <v>1200001</v>
      </c>
      <c r="C62" s="21" t="s">
        <v>57</v>
      </c>
      <c r="D62" s="30"/>
      <c r="E62" s="30"/>
      <c r="F62" s="30"/>
      <c r="G62" s="30"/>
      <c r="H62" s="30"/>
      <c r="I62" s="30"/>
      <c r="J62" s="30"/>
      <c r="K62" s="41">
        <f t="shared" si="2"/>
        <v>0</v>
      </c>
    </row>
    <row r="63" spans="2:11" x14ac:dyDescent="0.2">
      <c r="B63" s="11">
        <v>1005761</v>
      </c>
      <c r="C63" s="21" t="s">
        <v>58</v>
      </c>
      <c r="D63" s="30"/>
      <c r="E63" s="30"/>
      <c r="F63" s="30"/>
      <c r="G63" s="30"/>
      <c r="H63" s="30"/>
      <c r="I63" s="30"/>
      <c r="J63" s="30"/>
      <c r="K63" s="41">
        <f t="shared" si="2"/>
        <v>0</v>
      </c>
    </row>
    <row r="64" spans="2:11" x14ac:dyDescent="0.2">
      <c r="B64" s="11">
        <v>1114501</v>
      </c>
      <c r="C64" s="21" t="s">
        <v>59</v>
      </c>
      <c r="D64" s="30"/>
      <c r="E64" s="30"/>
      <c r="F64" s="30"/>
      <c r="G64" s="30"/>
      <c r="H64" s="30"/>
      <c r="I64" s="30"/>
      <c r="J64" s="30"/>
      <c r="K64" s="41">
        <f t="shared" si="2"/>
        <v>0</v>
      </c>
    </row>
    <row r="65" spans="2:11" x14ac:dyDescent="0.2">
      <c r="B65" s="11">
        <v>1114502</v>
      </c>
      <c r="C65" s="21" t="s">
        <v>60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1114503</v>
      </c>
      <c r="C66" s="21" t="s">
        <v>61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1124021</v>
      </c>
      <c r="C67" s="21" t="s">
        <v>62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22"/>
      <c r="C77" s="21" t="s">
        <v>77</v>
      </c>
      <c r="D77" s="30"/>
      <c r="E77" s="30"/>
      <c r="F77" s="30"/>
      <c r="G77" s="30"/>
      <c r="H77" s="30"/>
      <c r="I77" s="30"/>
      <c r="J77" s="30"/>
      <c r="K77" s="41">
        <f t="shared" si="2"/>
        <v>0</v>
      </c>
    </row>
    <row r="78" spans="2:11" x14ac:dyDescent="0.2">
      <c r="B78" s="22"/>
      <c r="C78" s="21" t="s">
        <v>92</v>
      </c>
      <c r="D78" s="30"/>
      <c r="E78" s="30"/>
      <c r="F78" s="30"/>
      <c r="G78" s="30"/>
      <c r="H78" s="30"/>
      <c r="I78" s="30"/>
      <c r="J78" s="30"/>
      <c r="K78" s="41">
        <f t="shared" si="2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J80" si="3">SUM(D7:D36,D40,D42,D47:D55,D59:D78)</f>
        <v>0</v>
      </c>
      <c r="E80" s="39">
        <f t="shared" si="3"/>
        <v>0</v>
      </c>
      <c r="F80" s="39">
        <f t="shared" si="3"/>
        <v>0</v>
      </c>
      <c r="G80" s="39">
        <f t="shared" si="3"/>
        <v>0</v>
      </c>
      <c r="H80" s="39">
        <f t="shared" si="3"/>
        <v>0</v>
      </c>
      <c r="I80" s="39">
        <f t="shared" si="3"/>
        <v>0</v>
      </c>
      <c r="J80" s="39">
        <f t="shared" si="3"/>
        <v>0</v>
      </c>
      <c r="K80" s="39">
        <f>SUM(K7:K36,K40,K42,K47:K55,K59:K78)</f>
        <v>0</v>
      </c>
    </row>
    <row r="81" spans="2:11" x14ac:dyDescent="0.2">
      <c r="C81" s="24"/>
      <c r="D81" s="31"/>
      <c r="E81" s="58"/>
      <c r="F81" s="58"/>
      <c r="G81" s="26"/>
    </row>
    <row r="82" spans="2:11" x14ac:dyDescent="0.2">
      <c r="B82" s="58" t="s">
        <v>68</v>
      </c>
      <c r="C82" s="58"/>
      <c r="D82" s="32"/>
      <c r="E82" s="56"/>
      <c r="F82" s="56"/>
      <c r="G82" s="27"/>
      <c r="H82" s="26"/>
      <c r="I82" s="58" t="s">
        <v>68</v>
      </c>
      <c r="J82" s="58"/>
      <c r="K82" s="58"/>
    </row>
    <row r="83" spans="2:11" x14ac:dyDescent="0.2">
      <c r="B83" s="56" t="s">
        <v>69</v>
      </c>
      <c r="C83" s="56"/>
      <c r="D83" s="33"/>
      <c r="E83" s="33"/>
      <c r="F83" s="33"/>
      <c r="G83" s="33"/>
      <c r="H83" s="33"/>
      <c r="I83" s="56" t="s">
        <v>70</v>
      </c>
      <c r="J83" s="56"/>
      <c r="K83" s="56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83:C83"/>
    <mergeCell ref="I83:K83"/>
    <mergeCell ref="B1:K1"/>
    <mergeCell ref="B2:J3"/>
    <mergeCell ref="B6:K6"/>
    <mergeCell ref="B39:K39"/>
    <mergeCell ref="B41:K41"/>
    <mergeCell ref="B46:K46"/>
    <mergeCell ref="B58:K58"/>
    <mergeCell ref="E81:F81"/>
    <mergeCell ref="B82:C82"/>
    <mergeCell ref="E82:F82"/>
    <mergeCell ref="I82:K8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C98"/>
  <sheetViews>
    <sheetView tabSelected="1" zoomScale="60" zoomScaleNormal="60" workbookViewId="0">
      <selection activeCell="F59" sqref="F59"/>
    </sheetView>
  </sheetViews>
  <sheetFormatPr defaultRowHeight="22.5" x14ac:dyDescent="0.25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hidden="1" customWidth="1"/>
    <col min="18" max="18" width="20.375" style="47" hidden="1" customWidth="1"/>
    <col min="19" max="19" width="21.25" style="47" hidden="1" customWidth="1"/>
    <col min="20" max="20" width="26.25" style="47" hidden="1" customWidth="1"/>
    <col min="21" max="23" width="9" hidden="1" customWidth="1"/>
    <col min="24" max="24" width="31" hidden="1" customWidth="1"/>
    <col min="25" max="25" width="17.75" hidden="1" customWidth="1"/>
    <col min="26" max="29" width="9" hidden="1" customWidth="1"/>
    <col min="30" max="38" width="0" hidden="1" customWidth="1"/>
  </cols>
  <sheetData>
    <row r="1" spans="2:25" x14ac:dyDescent="0.25">
      <c r="B1" s="55" t="s">
        <v>98</v>
      </c>
      <c r="C1" s="55"/>
      <c r="D1" s="55"/>
      <c r="E1" s="55"/>
      <c r="F1" s="55"/>
      <c r="G1" s="55"/>
      <c r="H1" s="55"/>
      <c r="I1" s="55"/>
      <c r="J1" s="55"/>
      <c r="K1" s="55"/>
    </row>
    <row r="2" spans="2:25" x14ac:dyDescent="0.25">
      <c r="B2" s="59"/>
      <c r="C2" s="60"/>
      <c r="D2" s="1"/>
      <c r="E2" s="61"/>
      <c r="F2" s="61"/>
      <c r="G2" s="2"/>
      <c r="H2" s="2"/>
      <c r="I2" s="2"/>
      <c r="J2" s="2"/>
      <c r="K2" s="3" t="s">
        <v>0</v>
      </c>
      <c r="L2" s="63" t="s">
        <v>81</v>
      </c>
      <c r="M2" s="63" t="s">
        <v>78</v>
      </c>
      <c r="N2" s="63" t="s">
        <v>86</v>
      </c>
      <c r="O2" s="72" t="s">
        <v>87</v>
      </c>
      <c r="P2" s="66" t="s">
        <v>1</v>
      </c>
    </row>
    <row r="3" spans="2:25" x14ac:dyDescent="0.25">
      <c r="B3" s="59"/>
      <c r="C3" s="60"/>
      <c r="D3" s="4"/>
      <c r="E3" s="62"/>
      <c r="F3" s="62"/>
      <c r="G3" s="5"/>
      <c r="H3" s="5"/>
      <c r="I3" s="5"/>
      <c r="J3" s="44"/>
      <c r="K3" s="6" t="s">
        <v>2</v>
      </c>
      <c r="L3" s="64"/>
      <c r="M3" s="64"/>
      <c r="N3" s="64"/>
      <c r="O3" s="73"/>
      <c r="P3" s="67"/>
      <c r="R3" s="47" t="s">
        <v>88</v>
      </c>
      <c r="S3" s="47" t="s">
        <v>89</v>
      </c>
      <c r="T3" s="47" t="s">
        <v>1</v>
      </c>
    </row>
    <row r="4" spans="2:2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5" t="s">
        <v>84</v>
      </c>
      <c r="K4" s="10" t="s">
        <v>10</v>
      </c>
      <c r="L4" s="65"/>
      <c r="M4" s="65"/>
      <c r="N4" s="65"/>
      <c r="O4" s="74"/>
      <c r="P4" s="68"/>
    </row>
    <row r="5" spans="2:25" x14ac:dyDescent="0.25">
      <c r="B5" s="11"/>
      <c r="C5" s="12"/>
      <c r="D5" s="13"/>
      <c r="E5" s="9"/>
      <c r="F5" s="9"/>
      <c r="G5" s="9"/>
      <c r="H5" s="9"/>
      <c r="I5" s="9"/>
      <c r="J5" s="45"/>
      <c r="K5" s="14"/>
      <c r="L5" s="11"/>
      <c r="M5" s="11"/>
      <c r="N5" s="11"/>
      <c r="O5" s="11"/>
      <c r="P5" s="29"/>
    </row>
    <row r="6" spans="2:25" ht="19.5" x14ac:dyDescent="0.25">
      <c r="B6" s="69" t="s">
        <v>11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1"/>
      <c r="W6" t="s">
        <v>3</v>
      </c>
      <c r="X6" t="s">
        <v>90</v>
      </c>
      <c r="Y6" t="s">
        <v>91</v>
      </c>
    </row>
    <row r="7" spans="2:25" x14ac:dyDescent="0.25">
      <c r="B7" s="11">
        <v>1111002</v>
      </c>
      <c r="C7" s="15" t="s">
        <v>71</v>
      </c>
      <c r="D7" s="30">
        <f>เช้า!D7+'บ่าย '!D7+'เย็น '!D7</f>
        <v>0</v>
      </c>
      <c r="E7" s="30">
        <f>เช้า!E7+'บ่าย '!E7+'เย็น '!E7</f>
        <v>77</v>
      </c>
      <c r="F7" s="30">
        <f>เช้า!F7+'บ่าย '!F7+'เย็น '!F7</f>
        <v>30</v>
      </c>
      <c r="G7" s="30">
        <f>เช้า!G7+'บ่าย '!G7+'เย็น '!G7</f>
        <v>0</v>
      </c>
      <c r="H7" s="30">
        <f>เช้า!H7+'บ่าย '!H7+'เย็น '!H7</f>
        <v>0</v>
      </c>
      <c r="I7" s="30">
        <f>เช้า!I7+'บ่าย '!I7+'เย็น '!I7</f>
        <v>0</v>
      </c>
      <c r="J7" s="30">
        <f>เช้า!J7+'บ่าย '!J7+'เย็น '!J7</f>
        <v>0</v>
      </c>
      <c r="K7" s="36">
        <f>SUM(D7:J7)</f>
        <v>107</v>
      </c>
      <c r="L7" s="11"/>
      <c r="M7" s="11"/>
      <c r="N7" s="11"/>
      <c r="O7" s="11"/>
      <c r="P7" s="46">
        <f>(L7+M7+N7+O7)-K7</f>
        <v>-107</v>
      </c>
      <c r="R7" s="47">
        <v>250</v>
      </c>
      <c r="S7" s="47">
        <v>250</v>
      </c>
      <c r="T7" s="48">
        <f>S7+R7+P7</f>
        <v>393</v>
      </c>
      <c r="W7">
        <v>1111002</v>
      </c>
      <c r="X7" t="s">
        <v>71</v>
      </c>
      <c r="Y7">
        <v>250</v>
      </c>
    </row>
    <row r="8" spans="2:25" hidden="1" x14ac:dyDescent="0.25">
      <c r="B8" s="11">
        <v>1111043</v>
      </c>
      <c r="C8" s="15" t="s">
        <v>12</v>
      </c>
      <c r="D8" s="30">
        <f>เช้า!D8+'บ่าย '!D8+'เย็น '!D8</f>
        <v>0</v>
      </c>
      <c r="E8" s="30">
        <f>เช้า!E8+'บ่าย '!E8+'เย็น '!E8</f>
        <v>0</v>
      </c>
      <c r="F8" s="30">
        <f>เช้า!F8+'บ่าย '!F8+'เย็น '!F8</f>
        <v>0</v>
      </c>
      <c r="G8" s="30">
        <f>เช้า!G8+'บ่าย '!G8+'เย็น '!G8</f>
        <v>0</v>
      </c>
      <c r="H8" s="30">
        <f>เช้า!H8+'บ่าย '!H8+'เย็น '!H8</f>
        <v>0</v>
      </c>
      <c r="I8" s="30">
        <f>เช้า!I8+'บ่าย '!I8+'เย็น '!I8</f>
        <v>0</v>
      </c>
      <c r="J8" s="30">
        <f>เช้า!J8+'บ่าย '!J8+'เย็น '!J8</f>
        <v>0</v>
      </c>
      <c r="K8" s="36">
        <f t="shared" ref="K8:K36" si="0">SUM(D8:J8)</f>
        <v>0</v>
      </c>
      <c r="L8" s="11"/>
      <c r="M8" s="11"/>
      <c r="N8" s="11"/>
      <c r="O8" s="11"/>
      <c r="P8" s="46">
        <f t="shared" ref="P8:P17" si="1">(L8+M8+N8+O8)-K8</f>
        <v>0</v>
      </c>
      <c r="T8" s="48">
        <f t="shared" ref="T8:T71" si="2">S8+R8+P8</f>
        <v>0</v>
      </c>
      <c r="W8">
        <v>1111043</v>
      </c>
      <c r="X8" t="s">
        <v>12</v>
      </c>
    </row>
    <row r="9" spans="2:25" x14ac:dyDescent="0.25">
      <c r="B9" s="11">
        <v>1111056</v>
      </c>
      <c r="C9" s="15" t="s">
        <v>13</v>
      </c>
      <c r="D9" s="30">
        <f>เช้า!D9+'บ่าย '!D9+'เย็น '!D9</f>
        <v>0</v>
      </c>
      <c r="E9" s="30">
        <f>เช้า!E9+'บ่าย '!E9+'เย็น '!E9</f>
        <v>4</v>
      </c>
      <c r="F9" s="30">
        <f>เช้า!F9+'บ่าย '!F9+'เย็น '!F9</f>
        <v>5</v>
      </c>
      <c r="G9" s="30">
        <f>เช้า!G9+'บ่าย '!G9+'เย็น '!G9</f>
        <v>2</v>
      </c>
      <c r="H9" s="30">
        <f>เช้า!H9+'บ่าย '!H9+'เย็น '!H9</f>
        <v>0</v>
      </c>
      <c r="I9" s="30">
        <f>เช้า!I9+'บ่าย '!I9+'เย็น '!I9</f>
        <v>0</v>
      </c>
      <c r="J9" s="30">
        <f>เช้า!J9+'บ่าย '!J9+'เย็น '!J9</f>
        <v>0</v>
      </c>
      <c r="K9" s="36">
        <f t="shared" si="0"/>
        <v>11</v>
      </c>
      <c r="L9" s="11"/>
      <c r="M9" s="11"/>
      <c r="N9" s="11"/>
      <c r="O9" s="11"/>
      <c r="P9" s="46">
        <f t="shared" si="1"/>
        <v>-11</v>
      </c>
      <c r="R9" s="47">
        <v>10</v>
      </c>
      <c r="T9" s="48">
        <f t="shared" si="2"/>
        <v>-1</v>
      </c>
      <c r="W9">
        <v>1004055</v>
      </c>
      <c r="X9" t="s">
        <v>72</v>
      </c>
      <c r="Y9">
        <v>250</v>
      </c>
    </row>
    <row r="10" spans="2:25" x14ac:dyDescent="0.25">
      <c r="B10" s="11">
        <v>1004055</v>
      </c>
      <c r="C10" s="15" t="s">
        <v>72</v>
      </c>
      <c r="D10" s="30">
        <f>เช้า!D10+'บ่าย '!D10+'เย็น '!D10</f>
        <v>6</v>
      </c>
      <c r="E10" s="30">
        <f>เช้า!E10+'บ่าย '!E10+'เย็น '!E10</f>
        <v>0</v>
      </c>
      <c r="F10" s="30">
        <f>เช้า!F10+'บ่าย '!F10+'เย็น '!F10</f>
        <v>3</v>
      </c>
      <c r="G10" s="30">
        <f>เช้า!G10+'บ่าย '!G10+'เย็น '!G10</f>
        <v>64</v>
      </c>
      <c r="H10" s="30">
        <f>เช้า!H10+'บ่าย '!H10+'เย็น '!H10</f>
        <v>0</v>
      </c>
      <c r="I10" s="30">
        <f>เช้า!I10+'บ่าย '!I10+'เย็น '!I10</f>
        <v>0</v>
      </c>
      <c r="J10" s="30">
        <f>เช้า!J10+'บ่าย '!J10+'เย็น '!J10</f>
        <v>0</v>
      </c>
      <c r="K10" s="36">
        <f t="shared" si="0"/>
        <v>73</v>
      </c>
      <c r="L10" s="11"/>
      <c r="M10" s="11"/>
      <c r="N10" s="11"/>
      <c r="O10" s="11"/>
      <c r="P10" s="46">
        <f t="shared" si="1"/>
        <v>-73</v>
      </c>
      <c r="R10" s="47">
        <v>250</v>
      </c>
      <c r="S10" s="47">
        <v>250</v>
      </c>
      <c r="T10" s="48">
        <f t="shared" si="2"/>
        <v>427</v>
      </c>
      <c r="W10">
        <v>1111057</v>
      </c>
      <c r="X10" t="s">
        <v>14</v>
      </c>
      <c r="Y10">
        <v>50</v>
      </c>
    </row>
    <row r="11" spans="2:25" x14ac:dyDescent="0.25">
      <c r="B11" s="11">
        <v>1111057</v>
      </c>
      <c r="C11" s="15" t="s">
        <v>14</v>
      </c>
      <c r="D11" s="30">
        <f>เช้า!D11+'บ่าย '!D11+'เย็น '!D11</f>
        <v>1</v>
      </c>
      <c r="E11" s="30">
        <f>เช้า!E11+'บ่าย '!E11+'เย็น '!E11</f>
        <v>0</v>
      </c>
      <c r="F11" s="30">
        <f>เช้า!F11+'บ่าย '!F11+'เย็น '!F11</f>
        <v>0</v>
      </c>
      <c r="G11" s="30">
        <f>เช้า!G11+'บ่าย '!G11+'เย็น '!G11</f>
        <v>6</v>
      </c>
      <c r="H11" s="30">
        <f>เช้า!H11+'บ่าย '!H11+'เย็น '!H11</f>
        <v>0</v>
      </c>
      <c r="I11" s="30">
        <f>เช้า!I11+'บ่าย '!I11+'เย็น '!I11</f>
        <v>0</v>
      </c>
      <c r="J11" s="30">
        <f>เช้า!J11+'บ่าย '!J11+'เย็น '!J11</f>
        <v>1</v>
      </c>
      <c r="K11" s="36">
        <f t="shared" si="0"/>
        <v>8</v>
      </c>
      <c r="L11" s="11"/>
      <c r="M11" s="11"/>
      <c r="N11" s="11"/>
      <c r="O11" s="11"/>
      <c r="P11" s="46">
        <f t="shared" si="1"/>
        <v>-8</v>
      </c>
      <c r="S11" s="47">
        <v>50</v>
      </c>
      <c r="T11" s="48">
        <f t="shared" si="2"/>
        <v>42</v>
      </c>
      <c r="W11">
        <v>1111058</v>
      </c>
      <c r="X11" t="s">
        <v>15</v>
      </c>
      <c r="Y11">
        <v>50</v>
      </c>
    </row>
    <row r="12" spans="2:25" x14ac:dyDescent="0.25">
      <c r="B12" s="11">
        <v>1111058</v>
      </c>
      <c r="C12" s="15" t="s">
        <v>15</v>
      </c>
      <c r="D12" s="30">
        <f>เช้า!D12+'บ่าย '!D12+'เย็น '!D12</f>
        <v>1</v>
      </c>
      <c r="E12" s="30">
        <f>เช้า!E12+'บ่าย '!E12+'เย็น '!E12</f>
        <v>0</v>
      </c>
      <c r="F12" s="30">
        <f>เช้า!F12+'บ่าย '!F12+'เย็น '!F12</f>
        <v>0</v>
      </c>
      <c r="G12" s="30">
        <f>เช้า!G12+'บ่าย '!G12+'เย็น '!G12</f>
        <v>5</v>
      </c>
      <c r="H12" s="30">
        <f>เช้า!H12+'บ่าย '!H12+'เย็น '!H12</f>
        <v>0</v>
      </c>
      <c r="I12" s="30">
        <f>เช้า!I12+'บ่าย '!I12+'เย็น '!I12</f>
        <v>0</v>
      </c>
      <c r="J12" s="30">
        <f>เช้า!J12+'บ่าย '!J12+'เย็น '!J12</f>
        <v>0</v>
      </c>
      <c r="K12" s="36">
        <f t="shared" si="0"/>
        <v>6</v>
      </c>
      <c r="L12" s="11"/>
      <c r="M12" s="11"/>
      <c r="N12" s="11"/>
      <c r="O12" s="11"/>
      <c r="P12" s="46">
        <f t="shared" si="1"/>
        <v>-6</v>
      </c>
      <c r="S12" s="47">
        <v>50</v>
      </c>
      <c r="T12" s="48">
        <f t="shared" si="2"/>
        <v>44</v>
      </c>
      <c r="W12">
        <v>1111059</v>
      </c>
      <c r="X12" t="s">
        <v>16</v>
      </c>
      <c r="Y12">
        <v>50</v>
      </c>
    </row>
    <row r="13" spans="2:25" x14ac:dyDescent="0.25">
      <c r="B13" s="11">
        <v>1111059</v>
      </c>
      <c r="C13" s="15" t="s">
        <v>16</v>
      </c>
      <c r="D13" s="30">
        <f>เช้า!D13+'บ่าย '!D13+'เย็น '!D13</f>
        <v>1</v>
      </c>
      <c r="E13" s="30">
        <f>เช้า!E13+'บ่าย '!E13+'เย็น '!E13</f>
        <v>0</v>
      </c>
      <c r="F13" s="30">
        <f>เช้า!F13+'บ่าย '!F13+'เย็น '!F13</f>
        <v>0</v>
      </c>
      <c r="G13" s="30">
        <f>เช้า!G13+'บ่าย '!G13+'เย็น '!G13</f>
        <v>5</v>
      </c>
      <c r="H13" s="30">
        <f>เช้า!H13+'บ่าย '!H13+'เย็น '!H13</f>
        <v>0</v>
      </c>
      <c r="I13" s="30">
        <f>เช้า!I13+'บ่าย '!I13+'เย็น '!I13</f>
        <v>0</v>
      </c>
      <c r="J13" s="30">
        <f>เช้า!J13+'บ่าย '!J13+'เย็น '!J13</f>
        <v>0</v>
      </c>
      <c r="K13" s="36">
        <f t="shared" si="0"/>
        <v>6</v>
      </c>
      <c r="L13" s="11"/>
      <c r="M13" s="11"/>
      <c r="N13" s="11"/>
      <c r="O13" s="11"/>
      <c r="P13" s="46">
        <f t="shared" si="1"/>
        <v>-6</v>
      </c>
      <c r="S13" s="47">
        <v>50</v>
      </c>
      <c r="T13" s="48">
        <f t="shared" si="2"/>
        <v>44</v>
      </c>
      <c r="W13">
        <v>1111060</v>
      </c>
      <c r="X13" t="s">
        <v>17</v>
      </c>
      <c r="Y13">
        <v>50</v>
      </c>
    </row>
    <row r="14" spans="2:25" x14ac:dyDescent="0.25">
      <c r="B14" s="11">
        <v>1111060</v>
      </c>
      <c r="C14" s="15" t="s">
        <v>17</v>
      </c>
      <c r="D14" s="30">
        <f>เช้า!D14+'บ่าย '!D14+'เย็น '!D14</f>
        <v>1</v>
      </c>
      <c r="E14" s="30">
        <f>เช้า!E14+'บ่าย '!E14+'เย็น '!E14</f>
        <v>0</v>
      </c>
      <c r="F14" s="30">
        <f>เช้า!F14+'บ่าย '!F14+'เย็น '!F14</f>
        <v>0</v>
      </c>
      <c r="G14" s="30">
        <f>เช้า!G14+'บ่าย '!G14+'เย็น '!G14</f>
        <v>3</v>
      </c>
      <c r="H14" s="30">
        <f>เช้า!H14+'บ่าย '!H14+'เย็น '!H14</f>
        <v>0</v>
      </c>
      <c r="I14" s="30">
        <f>เช้า!I14+'บ่าย '!I14+'เย็น '!I14</f>
        <v>0</v>
      </c>
      <c r="J14" s="30">
        <f>เช้า!J14+'บ่าย '!J14+'เย็น '!J14</f>
        <v>0</v>
      </c>
      <c r="K14" s="36">
        <f t="shared" si="0"/>
        <v>4</v>
      </c>
      <c r="L14" s="11"/>
      <c r="M14" s="11"/>
      <c r="N14" s="11"/>
      <c r="O14" s="11"/>
      <c r="P14" s="46">
        <f t="shared" si="1"/>
        <v>-4</v>
      </c>
      <c r="S14" s="47">
        <v>50</v>
      </c>
      <c r="T14" s="48">
        <f t="shared" si="2"/>
        <v>46</v>
      </c>
      <c r="W14">
        <v>1111061</v>
      </c>
      <c r="X14" t="s">
        <v>18</v>
      </c>
      <c r="Y14">
        <v>50</v>
      </c>
    </row>
    <row r="15" spans="2:25" x14ac:dyDescent="0.25">
      <c r="B15" s="11">
        <v>1111061</v>
      </c>
      <c r="C15" s="15" t="s">
        <v>18</v>
      </c>
      <c r="D15" s="30">
        <f>เช้า!D15+'บ่าย '!D15+'เย็น '!D15</f>
        <v>1</v>
      </c>
      <c r="E15" s="30">
        <f>เช้า!E15+'บ่าย '!E15+'เย็น '!E15</f>
        <v>0</v>
      </c>
      <c r="F15" s="30">
        <f>เช้า!F15+'บ่าย '!F15+'เย็น '!F15</f>
        <v>0</v>
      </c>
      <c r="G15" s="30">
        <f>เช้า!G15+'บ่าย '!G15+'เย็น '!G15</f>
        <v>5</v>
      </c>
      <c r="H15" s="30">
        <f>เช้า!H15+'บ่าย '!H15+'เย็น '!H15</f>
        <v>0</v>
      </c>
      <c r="I15" s="30">
        <f>เช้า!I15+'บ่าย '!I15+'เย็น '!I15</f>
        <v>0</v>
      </c>
      <c r="J15" s="30">
        <f>เช้า!J15+'บ่าย '!J15+'เย็น '!J15</f>
        <v>0</v>
      </c>
      <c r="K15" s="36">
        <f t="shared" si="0"/>
        <v>6</v>
      </c>
      <c r="L15" s="11"/>
      <c r="M15" s="11"/>
      <c r="N15" s="11"/>
      <c r="O15" s="11"/>
      <c r="P15" s="46">
        <f t="shared" si="1"/>
        <v>-6</v>
      </c>
      <c r="S15" s="47">
        <v>50</v>
      </c>
      <c r="T15" s="48">
        <f t="shared" si="2"/>
        <v>44</v>
      </c>
      <c r="W15">
        <v>1111062</v>
      </c>
      <c r="X15" t="s">
        <v>19</v>
      </c>
      <c r="Y15">
        <v>50</v>
      </c>
    </row>
    <row r="16" spans="2:25" x14ac:dyDescent="0.25">
      <c r="B16" s="11">
        <v>1111062</v>
      </c>
      <c r="C16" s="15" t="s">
        <v>19</v>
      </c>
      <c r="D16" s="30">
        <f>เช้า!D16+'บ่าย '!D16+'เย็น '!D16</f>
        <v>1</v>
      </c>
      <c r="E16" s="30">
        <f>เช้า!E16+'บ่าย '!E16+'เย็น '!E16</f>
        <v>0</v>
      </c>
      <c r="F16" s="30">
        <f>เช้า!F16+'บ่าย '!F16+'เย็น '!F16</f>
        <v>0</v>
      </c>
      <c r="G16" s="30">
        <f>เช้า!G16+'บ่าย '!G16+'เย็น '!G16</f>
        <v>2</v>
      </c>
      <c r="H16" s="30">
        <f>เช้า!H16+'บ่าย '!H16+'เย็น '!H16</f>
        <v>0</v>
      </c>
      <c r="I16" s="30">
        <f>เช้า!I16+'บ่าย '!I16+'เย็น '!I16</f>
        <v>0</v>
      </c>
      <c r="J16" s="30">
        <f>เช้า!J16+'บ่าย '!J16+'เย็น '!J16</f>
        <v>0</v>
      </c>
      <c r="K16" s="36">
        <f t="shared" si="0"/>
        <v>3</v>
      </c>
      <c r="L16" s="11"/>
      <c r="M16" s="11"/>
      <c r="N16" s="11"/>
      <c r="O16" s="11"/>
      <c r="P16" s="46">
        <f t="shared" si="1"/>
        <v>-3</v>
      </c>
      <c r="S16" s="47">
        <v>50</v>
      </c>
      <c r="T16" s="48">
        <f t="shared" si="2"/>
        <v>47</v>
      </c>
      <c r="W16">
        <v>1111063</v>
      </c>
      <c r="X16" t="s">
        <v>20</v>
      </c>
      <c r="Y16">
        <v>50</v>
      </c>
    </row>
    <row r="17" spans="2:25" x14ac:dyDescent="0.25">
      <c r="B17" s="11">
        <v>1111063</v>
      </c>
      <c r="C17" s="15" t="s">
        <v>20</v>
      </c>
      <c r="D17" s="30">
        <f>เช้า!D17+'บ่าย '!D17+'เย็น '!D17</f>
        <v>1</v>
      </c>
      <c r="E17" s="30">
        <f>เช้า!E17+'บ่าย '!E17+'เย็น '!E17</f>
        <v>0</v>
      </c>
      <c r="F17" s="30">
        <f>เช้า!F17+'บ่าย '!F17+'เย็น '!F17</f>
        <v>0</v>
      </c>
      <c r="G17" s="30">
        <f>เช้า!G17+'บ่าย '!G17+'เย็น '!G17</f>
        <v>4</v>
      </c>
      <c r="H17" s="30">
        <f>เช้า!H17+'บ่าย '!H17+'เย็น '!H17</f>
        <v>0</v>
      </c>
      <c r="I17" s="30">
        <f>เช้า!I17+'บ่าย '!I17+'เย็น '!I17</f>
        <v>0</v>
      </c>
      <c r="J17" s="30">
        <f>เช้า!J17+'บ่าย '!J17+'เย็น '!J17</f>
        <v>0</v>
      </c>
      <c r="K17" s="36">
        <f t="shared" si="0"/>
        <v>5</v>
      </c>
      <c r="L17" s="11"/>
      <c r="M17" s="11"/>
      <c r="N17" s="11"/>
      <c r="O17" s="11"/>
      <c r="P17" s="46">
        <f t="shared" si="1"/>
        <v>-5</v>
      </c>
      <c r="S17" s="47">
        <v>50</v>
      </c>
      <c r="T17" s="48">
        <f t="shared" si="2"/>
        <v>45</v>
      </c>
      <c r="W17">
        <v>1111064</v>
      </c>
      <c r="X17" t="s">
        <v>21</v>
      </c>
      <c r="Y17">
        <v>50</v>
      </c>
    </row>
    <row r="18" spans="2:25" x14ac:dyDescent="0.25">
      <c r="B18" s="11">
        <v>1111064</v>
      </c>
      <c r="C18" s="15" t="s">
        <v>21</v>
      </c>
      <c r="D18" s="30">
        <f>เช้า!D18+'บ่าย '!D18+'เย็น '!D18</f>
        <v>1</v>
      </c>
      <c r="E18" s="30">
        <f>เช้า!E18+'บ่าย '!E18+'เย็น '!E18</f>
        <v>0</v>
      </c>
      <c r="F18" s="30">
        <f>เช้า!F18+'บ่าย '!F18+'เย็น '!F18</f>
        <v>0</v>
      </c>
      <c r="G18" s="30">
        <f>เช้า!G18+'บ่าย '!G18+'เย็น '!G18</f>
        <v>4</v>
      </c>
      <c r="H18" s="30">
        <f>เช้า!H18+'บ่าย '!H18+'เย็น '!H18</f>
        <v>0</v>
      </c>
      <c r="I18" s="30">
        <f>เช้า!I18+'บ่าย '!I18+'เย็น '!I18</f>
        <v>0</v>
      </c>
      <c r="J18" s="30">
        <f>เช้า!J18+'บ่าย '!J18+'เย็น '!J18</f>
        <v>0</v>
      </c>
      <c r="K18" s="36">
        <f t="shared" si="0"/>
        <v>5</v>
      </c>
      <c r="L18" s="11"/>
      <c r="M18" s="11"/>
      <c r="N18" s="11"/>
      <c r="O18" s="11"/>
      <c r="P18" s="46">
        <f t="shared" ref="P18:P40" si="3">(L18+M18+N18+O18)-K18</f>
        <v>-5</v>
      </c>
      <c r="S18" s="47">
        <v>50</v>
      </c>
      <c r="T18" s="48">
        <f t="shared" si="2"/>
        <v>45</v>
      </c>
      <c r="W18">
        <v>1111065</v>
      </c>
      <c r="X18" t="s">
        <v>22</v>
      </c>
      <c r="Y18">
        <v>50</v>
      </c>
    </row>
    <row r="19" spans="2:25" x14ac:dyDescent="0.25">
      <c r="B19" s="11">
        <v>1111065</v>
      </c>
      <c r="C19" s="15" t="s">
        <v>22</v>
      </c>
      <c r="D19" s="30">
        <f>เช้า!D19+'บ่าย '!D19+'เย็น '!D19</f>
        <v>1</v>
      </c>
      <c r="E19" s="30">
        <f>เช้า!E19+'บ่าย '!E19+'เย็น '!E19</f>
        <v>0</v>
      </c>
      <c r="F19" s="30">
        <f>เช้า!F19+'บ่าย '!F19+'เย็น '!F19</f>
        <v>0</v>
      </c>
      <c r="G19" s="30">
        <f>เช้า!G19+'บ่าย '!G19+'เย็น '!G19</f>
        <v>2</v>
      </c>
      <c r="H19" s="30">
        <f>เช้า!H19+'บ่าย '!H19+'เย็น '!H19</f>
        <v>0</v>
      </c>
      <c r="I19" s="30">
        <f>เช้า!I19+'บ่าย '!I19+'เย็น '!I19</f>
        <v>0</v>
      </c>
      <c r="J19" s="30">
        <f>เช้า!J19+'บ่าย '!J19+'เย็น '!J19</f>
        <v>0</v>
      </c>
      <c r="K19" s="36">
        <f t="shared" si="0"/>
        <v>3</v>
      </c>
      <c r="L19" s="11"/>
      <c r="M19" s="11"/>
      <c r="N19" s="11"/>
      <c r="O19" s="11"/>
      <c r="P19" s="46">
        <f t="shared" si="3"/>
        <v>-3</v>
      </c>
      <c r="S19" s="47">
        <v>50</v>
      </c>
      <c r="T19" s="48">
        <f t="shared" si="2"/>
        <v>47</v>
      </c>
      <c r="W19">
        <v>1111066</v>
      </c>
      <c r="X19" t="s">
        <v>23</v>
      </c>
      <c r="Y19">
        <v>50</v>
      </c>
    </row>
    <row r="20" spans="2:25" x14ac:dyDescent="0.25">
      <c r="B20" s="11">
        <v>1111066</v>
      </c>
      <c r="C20" s="15" t="s">
        <v>23</v>
      </c>
      <c r="D20" s="30">
        <f>เช้า!D20+'บ่าย '!D20+'เย็น '!D20</f>
        <v>1</v>
      </c>
      <c r="E20" s="30">
        <f>เช้า!E20+'บ่าย '!E20+'เย็น '!E20</f>
        <v>0</v>
      </c>
      <c r="F20" s="30">
        <f>เช้า!F20+'บ่าย '!F20+'เย็น '!F20</f>
        <v>0</v>
      </c>
      <c r="G20" s="30">
        <f>เช้า!G20+'บ่าย '!G20+'เย็น '!G20</f>
        <v>4</v>
      </c>
      <c r="H20" s="30">
        <f>เช้า!H20+'บ่าย '!H20+'เย็น '!H20</f>
        <v>0</v>
      </c>
      <c r="I20" s="30">
        <f>เช้า!I20+'บ่าย '!I20+'เย็น '!I20</f>
        <v>0</v>
      </c>
      <c r="J20" s="30">
        <f>เช้า!J20+'บ่าย '!J20+'เย็น '!J20</f>
        <v>0</v>
      </c>
      <c r="K20" s="36">
        <f t="shared" si="0"/>
        <v>5</v>
      </c>
      <c r="L20" s="11"/>
      <c r="M20" s="11"/>
      <c r="N20" s="11"/>
      <c r="O20" s="11"/>
      <c r="P20" s="46">
        <f t="shared" si="3"/>
        <v>-5</v>
      </c>
      <c r="S20" s="47">
        <v>50</v>
      </c>
      <c r="T20" s="48">
        <f t="shared" si="2"/>
        <v>45</v>
      </c>
      <c r="W20">
        <v>1111067</v>
      </c>
      <c r="X20" t="s">
        <v>24</v>
      </c>
      <c r="Y20">
        <v>50</v>
      </c>
    </row>
    <row r="21" spans="2:25" x14ac:dyDescent="0.25">
      <c r="B21" s="11">
        <v>1111067</v>
      </c>
      <c r="C21" s="15" t="s">
        <v>24</v>
      </c>
      <c r="D21" s="30">
        <f>เช้า!D21+'บ่าย '!D21+'เย็น '!D21</f>
        <v>1</v>
      </c>
      <c r="E21" s="30">
        <f>เช้า!E21+'บ่าย '!E21+'เย็น '!E21</f>
        <v>0</v>
      </c>
      <c r="F21" s="30">
        <f>เช้า!F21+'บ่าย '!F21+'เย็น '!F21</f>
        <v>0</v>
      </c>
      <c r="G21" s="30">
        <f>เช้า!G21+'บ่าย '!G21+'เย็น '!G21</f>
        <v>4</v>
      </c>
      <c r="H21" s="30">
        <f>เช้า!H21+'บ่าย '!H21+'เย็น '!H21</f>
        <v>0</v>
      </c>
      <c r="I21" s="30">
        <f>เช้า!I21+'บ่าย '!I21+'เย็น '!I21</f>
        <v>0</v>
      </c>
      <c r="J21" s="30">
        <f>เช้า!J21+'บ่าย '!J21+'เย็น '!J21</f>
        <v>0</v>
      </c>
      <c r="K21" s="36">
        <f t="shared" si="0"/>
        <v>5</v>
      </c>
      <c r="L21" s="11"/>
      <c r="M21" s="11"/>
      <c r="N21" s="11"/>
      <c r="O21" s="11"/>
      <c r="P21" s="46">
        <f t="shared" si="3"/>
        <v>-5</v>
      </c>
      <c r="S21" s="47">
        <v>50</v>
      </c>
      <c r="T21" s="48">
        <f t="shared" si="2"/>
        <v>45</v>
      </c>
      <c r="W21">
        <v>1111068</v>
      </c>
      <c r="X21" t="s">
        <v>25</v>
      </c>
      <c r="Y21">
        <v>50</v>
      </c>
    </row>
    <row r="22" spans="2:25" x14ac:dyDescent="0.25">
      <c r="B22" s="11">
        <v>1111068</v>
      </c>
      <c r="C22" s="15" t="s">
        <v>25</v>
      </c>
      <c r="D22" s="30">
        <f>เช้า!D22+'บ่าย '!D22+'เย็น '!D22</f>
        <v>1</v>
      </c>
      <c r="E22" s="30">
        <f>เช้า!E22+'บ่าย '!E22+'เย็น '!E22</f>
        <v>0</v>
      </c>
      <c r="F22" s="30">
        <f>เช้า!F22+'บ่าย '!F22+'เย็น '!F22</f>
        <v>0</v>
      </c>
      <c r="G22" s="30">
        <f>เช้า!G22+'บ่าย '!G22+'เย็น '!G22</f>
        <v>4</v>
      </c>
      <c r="H22" s="30">
        <f>เช้า!H22+'บ่าย '!H22+'เย็น '!H22</f>
        <v>0</v>
      </c>
      <c r="I22" s="30">
        <f>เช้า!I22+'บ่าย '!I22+'เย็น '!I22</f>
        <v>0</v>
      </c>
      <c r="J22" s="30">
        <f>เช้า!J22+'บ่าย '!J22+'เย็น '!J22</f>
        <v>0</v>
      </c>
      <c r="K22" s="36">
        <f t="shared" si="0"/>
        <v>5</v>
      </c>
      <c r="L22" s="11"/>
      <c r="M22" s="11"/>
      <c r="N22" s="11"/>
      <c r="O22" s="11"/>
      <c r="P22" s="46">
        <f t="shared" si="3"/>
        <v>-5</v>
      </c>
      <c r="S22" s="47">
        <v>50</v>
      </c>
      <c r="T22" s="48">
        <f t="shared" si="2"/>
        <v>45</v>
      </c>
      <c r="W22">
        <v>1111069</v>
      </c>
      <c r="X22" t="s">
        <v>26</v>
      </c>
      <c r="Y22">
        <v>50</v>
      </c>
    </row>
    <row r="23" spans="2:25" x14ac:dyDescent="0.25">
      <c r="B23" s="11">
        <v>1111069</v>
      </c>
      <c r="C23" s="15" t="s">
        <v>26</v>
      </c>
      <c r="D23" s="30">
        <f>เช้า!D23+'บ่าย '!D23+'เย็น '!D23</f>
        <v>1</v>
      </c>
      <c r="E23" s="30">
        <f>เช้า!E23+'บ่าย '!E23+'เย็น '!E23</f>
        <v>0</v>
      </c>
      <c r="F23" s="30">
        <f>เช้า!F23+'บ่าย '!F23+'เย็น '!F23</f>
        <v>0</v>
      </c>
      <c r="G23" s="30">
        <f>เช้า!G23+'บ่าย '!G23+'เย็น '!G23</f>
        <v>4</v>
      </c>
      <c r="H23" s="30">
        <f>เช้า!H23+'บ่าย '!H23+'เย็น '!H23</f>
        <v>0</v>
      </c>
      <c r="I23" s="30">
        <f>เช้า!I23+'บ่าย '!I23+'เย็น '!I23</f>
        <v>0</v>
      </c>
      <c r="J23" s="30">
        <f>เช้า!J23+'บ่าย '!J23+'เย็น '!J23</f>
        <v>0</v>
      </c>
      <c r="K23" s="36">
        <f t="shared" si="0"/>
        <v>5</v>
      </c>
      <c r="L23" s="11"/>
      <c r="M23" s="11"/>
      <c r="N23" s="11"/>
      <c r="O23" s="11"/>
      <c r="P23" s="46">
        <f t="shared" si="3"/>
        <v>-5</v>
      </c>
      <c r="S23" s="47">
        <v>50</v>
      </c>
      <c r="T23" s="48">
        <f t="shared" si="2"/>
        <v>45</v>
      </c>
      <c r="W23">
        <v>1111070</v>
      </c>
      <c r="X23" t="s">
        <v>79</v>
      </c>
      <c r="Y23">
        <v>50</v>
      </c>
    </row>
    <row r="24" spans="2:25" x14ac:dyDescent="0.25">
      <c r="B24" s="11">
        <v>1111070</v>
      </c>
      <c r="C24" s="15" t="s">
        <v>79</v>
      </c>
      <c r="D24" s="30">
        <f>เช้า!D24+'บ่าย '!D24+'เย็น '!D24</f>
        <v>1</v>
      </c>
      <c r="E24" s="30">
        <f>เช้า!E24+'บ่าย '!E24+'เย็น '!E24</f>
        <v>0</v>
      </c>
      <c r="F24" s="30">
        <f>เช้า!F24+'บ่าย '!F24+'เย็น '!F24</f>
        <v>0</v>
      </c>
      <c r="G24" s="30">
        <f>เช้า!G24+'บ่าย '!G24+'เย็น '!G24</f>
        <v>2</v>
      </c>
      <c r="H24" s="30">
        <f>เช้า!H24+'บ่าย '!H24+'เย็น '!H24</f>
        <v>0</v>
      </c>
      <c r="I24" s="30">
        <f>เช้า!I24+'บ่าย '!I24+'เย็น '!I24</f>
        <v>0</v>
      </c>
      <c r="J24" s="30">
        <f>เช้า!J24+'บ่าย '!J24+'เย็น '!J24</f>
        <v>0</v>
      </c>
      <c r="K24" s="36">
        <f t="shared" si="0"/>
        <v>3</v>
      </c>
      <c r="L24" s="11"/>
      <c r="M24" s="11"/>
      <c r="N24" s="11"/>
      <c r="O24" s="11"/>
      <c r="P24" s="46">
        <f t="shared" si="3"/>
        <v>-3</v>
      </c>
      <c r="S24" s="47">
        <v>50</v>
      </c>
      <c r="T24" s="48">
        <f t="shared" si="2"/>
        <v>47</v>
      </c>
      <c r="W24">
        <v>1111071</v>
      </c>
      <c r="X24" t="s">
        <v>80</v>
      </c>
      <c r="Y24">
        <v>50</v>
      </c>
    </row>
    <row r="25" spans="2:25" x14ac:dyDescent="0.25">
      <c r="B25" s="11">
        <v>1111071</v>
      </c>
      <c r="C25" s="15" t="s">
        <v>80</v>
      </c>
      <c r="D25" s="30">
        <f>เช้า!D25+'บ่าย '!D25+'เย็น '!D25</f>
        <v>1</v>
      </c>
      <c r="E25" s="30">
        <f>เช้า!E25+'บ่าย '!E25+'เย็น '!E25</f>
        <v>0</v>
      </c>
      <c r="F25" s="30">
        <f>เช้า!F25+'บ่าย '!F25+'เย็น '!F25</f>
        <v>0</v>
      </c>
      <c r="G25" s="30">
        <f>เช้า!G25+'บ่าย '!G25+'เย็น '!G25</f>
        <v>2</v>
      </c>
      <c r="H25" s="30">
        <f>เช้า!H25+'บ่าย '!H25+'เย็น '!H25</f>
        <v>0</v>
      </c>
      <c r="I25" s="30">
        <f>เช้า!I25+'บ่าย '!I25+'เย็น '!I25</f>
        <v>0</v>
      </c>
      <c r="J25" s="30">
        <f>เช้า!J25+'บ่าย '!J25+'เย็น '!J25</f>
        <v>0</v>
      </c>
      <c r="K25" s="36">
        <f t="shared" si="0"/>
        <v>3</v>
      </c>
      <c r="L25" s="11"/>
      <c r="M25" s="11"/>
      <c r="N25" s="11"/>
      <c r="O25" s="11"/>
      <c r="P25" s="46">
        <f t="shared" si="3"/>
        <v>-3</v>
      </c>
      <c r="S25" s="47">
        <v>50</v>
      </c>
      <c r="T25" s="48">
        <f t="shared" si="2"/>
        <v>47</v>
      </c>
      <c r="W25">
        <v>1111074</v>
      </c>
      <c r="X25" t="s">
        <v>28</v>
      </c>
      <c r="Y25">
        <v>40</v>
      </c>
    </row>
    <row r="26" spans="2:25" x14ac:dyDescent="0.25">
      <c r="B26" s="11">
        <v>1111001</v>
      </c>
      <c r="C26" s="15" t="s">
        <v>27</v>
      </c>
      <c r="D26" s="30">
        <f>เช้า!D26+'บ่าย '!D26+'เย็น '!D26</f>
        <v>0</v>
      </c>
      <c r="E26" s="30">
        <f>เช้า!E26+'บ่าย '!E26+'เย็น '!E26</f>
        <v>0</v>
      </c>
      <c r="F26" s="30">
        <f>เช้า!F26+'บ่าย '!F26+'เย็น '!F26</f>
        <v>0</v>
      </c>
      <c r="G26" s="30">
        <f>เช้า!G26+'บ่าย '!G26+'เย็น '!G26</f>
        <v>0</v>
      </c>
      <c r="H26" s="30">
        <f>เช้า!H26+'บ่าย '!H26+'เย็น '!H26</f>
        <v>0</v>
      </c>
      <c r="I26" s="30">
        <f>เช้า!I26+'บ่าย '!I26+'เย็น '!I26</f>
        <v>0</v>
      </c>
      <c r="J26" s="30">
        <f>เช้า!J26+'บ่าย '!J26+'เย็น '!J26</f>
        <v>0</v>
      </c>
      <c r="K26" s="36">
        <f t="shared" si="0"/>
        <v>0</v>
      </c>
      <c r="L26" s="11"/>
      <c r="M26" s="11"/>
      <c r="N26" s="11"/>
      <c r="O26" s="11"/>
      <c r="P26" s="46">
        <f t="shared" si="3"/>
        <v>0</v>
      </c>
      <c r="T26" s="48">
        <f t="shared" si="2"/>
        <v>0</v>
      </c>
      <c r="W26">
        <v>1111075</v>
      </c>
      <c r="X26" t="s">
        <v>29</v>
      </c>
      <c r="Y26">
        <v>40</v>
      </c>
    </row>
    <row r="27" spans="2:25" x14ac:dyDescent="0.25">
      <c r="B27" s="11">
        <v>1111074</v>
      </c>
      <c r="C27" s="15" t="s">
        <v>28</v>
      </c>
      <c r="D27" s="30">
        <f>เช้า!D27+'บ่าย '!D27+'เย็น '!D27</f>
        <v>0</v>
      </c>
      <c r="E27" s="30">
        <f>เช้า!E27+'บ่าย '!E27+'เย็น '!E27</f>
        <v>1</v>
      </c>
      <c r="F27" s="30">
        <f>เช้า!F27+'บ่าย '!F27+'เย็น '!F27</f>
        <v>0</v>
      </c>
      <c r="G27" s="30">
        <f>เช้า!G27+'บ่าย '!G27+'เย็น '!G27</f>
        <v>2</v>
      </c>
      <c r="H27" s="30">
        <f>เช้า!H27+'บ่าย '!H27+'เย็น '!H27</f>
        <v>0</v>
      </c>
      <c r="I27" s="30">
        <f>เช้า!I27+'บ่าย '!I27+'เย็น '!I27</f>
        <v>0</v>
      </c>
      <c r="J27" s="30">
        <f>เช้า!J27+'บ่าย '!J27+'เย็น '!J27</f>
        <v>0</v>
      </c>
      <c r="K27" s="36">
        <f t="shared" si="0"/>
        <v>3</v>
      </c>
      <c r="L27" s="11"/>
      <c r="M27" s="11"/>
      <c r="N27" s="11"/>
      <c r="O27" s="11"/>
      <c r="P27" s="46">
        <f t="shared" si="3"/>
        <v>-3</v>
      </c>
      <c r="S27" s="47">
        <v>40</v>
      </c>
      <c r="T27" s="48">
        <f t="shared" si="2"/>
        <v>37</v>
      </c>
      <c r="W27">
        <v>1111076</v>
      </c>
      <c r="X27" t="s">
        <v>30</v>
      </c>
      <c r="Y27">
        <v>40</v>
      </c>
    </row>
    <row r="28" spans="2:25" x14ac:dyDescent="0.25">
      <c r="B28" s="11">
        <v>1111075</v>
      </c>
      <c r="C28" s="15" t="s">
        <v>29</v>
      </c>
      <c r="D28" s="30">
        <f>เช้า!D28+'บ่าย '!D28+'เย็น '!D28</f>
        <v>0</v>
      </c>
      <c r="E28" s="30">
        <f>เช้า!E28+'บ่าย '!E28+'เย็น '!E28</f>
        <v>1</v>
      </c>
      <c r="F28" s="30">
        <f>เช้า!F28+'บ่าย '!F28+'เย็น '!F28</f>
        <v>0</v>
      </c>
      <c r="G28" s="30">
        <f>เช้า!G28+'บ่าย '!G28+'เย็น '!G28</f>
        <v>2</v>
      </c>
      <c r="H28" s="30">
        <f>เช้า!H28+'บ่าย '!H28+'เย็น '!H28</f>
        <v>0</v>
      </c>
      <c r="I28" s="30">
        <f>เช้า!I28+'บ่าย '!I28+'เย็น '!I28</f>
        <v>0</v>
      </c>
      <c r="J28" s="30">
        <f>เช้า!J28+'บ่าย '!J28+'เย็น '!J28</f>
        <v>0</v>
      </c>
      <c r="K28" s="36">
        <f t="shared" si="0"/>
        <v>3</v>
      </c>
      <c r="L28" s="11"/>
      <c r="M28" s="11"/>
      <c r="N28" s="11"/>
      <c r="O28" s="11"/>
      <c r="P28" s="46">
        <f t="shared" si="3"/>
        <v>-3</v>
      </c>
      <c r="S28" s="47">
        <v>40</v>
      </c>
      <c r="T28" s="48">
        <f t="shared" si="2"/>
        <v>37</v>
      </c>
      <c r="W28">
        <v>1111077</v>
      </c>
      <c r="X28" t="s">
        <v>31</v>
      </c>
      <c r="Y28">
        <v>40</v>
      </c>
    </row>
    <row r="29" spans="2:25" x14ac:dyDescent="0.25">
      <c r="B29" s="11">
        <v>1111076</v>
      </c>
      <c r="C29" s="15" t="s">
        <v>30</v>
      </c>
      <c r="D29" s="30">
        <f>เช้า!D29+'บ่าย '!D29+'เย็น '!D29</f>
        <v>0</v>
      </c>
      <c r="E29" s="30">
        <f>เช้า!E29+'บ่าย '!E29+'เย็น '!E29</f>
        <v>1</v>
      </c>
      <c r="F29" s="30">
        <f>เช้า!F29+'บ่าย '!F29+'เย็น '!F29</f>
        <v>0</v>
      </c>
      <c r="G29" s="30">
        <f>เช้า!G29+'บ่าย '!G29+'เย็น '!G29</f>
        <v>2</v>
      </c>
      <c r="H29" s="30">
        <f>เช้า!H29+'บ่าย '!H29+'เย็น '!H29</f>
        <v>0</v>
      </c>
      <c r="I29" s="30">
        <f>เช้า!I29+'บ่าย '!I29+'เย็น '!I29</f>
        <v>0</v>
      </c>
      <c r="J29" s="30">
        <f>เช้า!J29+'บ่าย '!J29+'เย็น '!J29</f>
        <v>0</v>
      </c>
      <c r="K29" s="36">
        <f t="shared" si="0"/>
        <v>3</v>
      </c>
      <c r="L29" s="11"/>
      <c r="M29" s="11"/>
      <c r="N29" s="11"/>
      <c r="O29" s="11"/>
      <c r="P29" s="46">
        <f t="shared" si="3"/>
        <v>-3</v>
      </c>
      <c r="S29" s="47">
        <v>40</v>
      </c>
      <c r="T29" s="48">
        <f t="shared" si="2"/>
        <v>37</v>
      </c>
      <c r="W29">
        <v>1111078</v>
      </c>
      <c r="X29" t="s">
        <v>32</v>
      </c>
      <c r="Y29">
        <v>40</v>
      </c>
    </row>
    <row r="30" spans="2:25" x14ac:dyDescent="0.25">
      <c r="B30" s="11">
        <v>1111077</v>
      </c>
      <c r="C30" s="15" t="s">
        <v>31</v>
      </c>
      <c r="D30" s="30">
        <f>เช้า!D30+'บ่าย '!D30+'เย็น '!D30</f>
        <v>0</v>
      </c>
      <c r="E30" s="30">
        <f>เช้า!E30+'บ่าย '!E30+'เย็น '!E30</f>
        <v>1</v>
      </c>
      <c r="F30" s="30">
        <f>เช้า!F30+'บ่าย '!F30+'เย็น '!F30</f>
        <v>0</v>
      </c>
      <c r="G30" s="30">
        <f>เช้า!G30+'บ่าย '!G30+'เย็น '!G30</f>
        <v>2</v>
      </c>
      <c r="H30" s="30">
        <f>เช้า!H30+'บ่าย '!H30+'เย็น '!H30</f>
        <v>0</v>
      </c>
      <c r="I30" s="30">
        <f>เช้า!I30+'บ่าย '!I30+'เย็น '!I30</f>
        <v>0</v>
      </c>
      <c r="J30" s="30">
        <f>เช้า!J30+'บ่าย '!J30+'เย็น '!J30</f>
        <v>0</v>
      </c>
      <c r="K30" s="36">
        <f t="shared" si="0"/>
        <v>3</v>
      </c>
      <c r="L30" s="11"/>
      <c r="M30" s="11"/>
      <c r="N30" s="11"/>
      <c r="O30" s="11"/>
      <c r="P30" s="46">
        <f t="shared" si="3"/>
        <v>-3</v>
      </c>
      <c r="S30" s="47">
        <v>40</v>
      </c>
      <c r="T30" s="48">
        <f t="shared" si="2"/>
        <v>37</v>
      </c>
      <c r="W30">
        <v>1111079</v>
      </c>
      <c r="X30" t="s">
        <v>33</v>
      </c>
      <c r="Y30">
        <v>40</v>
      </c>
    </row>
    <row r="31" spans="2:25" x14ac:dyDescent="0.25">
      <c r="B31" s="11">
        <v>1111078</v>
      </c>
      <c r="C31" s="15" t="s">
        <v>32</v>
      </c>
      <c r="D31" s="30">
        <f>เช้า!D31+'บ่าย '!D31+'เย็น '!D31</f>
        <v>0</v>
      </c>
      <c r="E31" s="30">
        <f>เช้า!E31+'บ่าย '!E31+'เย็น '!E31</f>
        <v>1</v>
      </c>
      <c r="F31" s="30">
        <f>เช้า!F31+'บ่าย '!F31+'เย็น '!F31</f>
        <v>0</v>
      </c>
      <c r="G31" s="30">
        <f>เช้า!G31+'บ่าย '!G31+'เย็น '!G31</f>
        <v>2</v>
      </c>
      <c r="H31" s="30">
        <f>เช้า!H31+'บ่าย '!H31+'เย็น '!H31</f>
        <v>0</v>
      </c>
      <c r="I31" s="30">
        <f>เช้า!I31+'บ่าย '!I31+'เย็น '!I31</f>
        <v>0</v>
      </c>
      <c r="J31" s="30">
        <f>เช้า!J31+'บ่าย '!J31+'เย็น '!J31</f>
        <v>0</v>
      </c>
      <c r="K31" s="36">
        <f t="shared" si="0"/>
        <v>3</v>
      </c>
      <c r="L31" s="11"/>
      <c r="M31" s="11"/>
      <c r="N31" s="11"/>
      <c r="O31" s="11"/>
      <c r="P31" s="46">
        <f t="shared" si="3"/>
        <v>-3</v>
      </c>
      <c r="S31" s="47">
        <v>40</v>
      </c>
      <c r="T31" s="48">
        <f t="shared" si="2"/>
        <v>37</v>
      </c>
      <c r="W31">
        <v>1111080</v>
      </c>
      <c r="X31" t="s">
        <v>34</v>
      </c>
      <c r="Y31">
        <v>40</v>
      </c>
    </row>
    <row r="32" spans="2:25" x14ac:dyDescent="0.25">
      <c r="B32" s="11">
        <v>1111079</v>
      </c>
      <c r="C32" s="15" t="s">
        <v>33</v>
      </c>
      <c r="D32" s="30">
        <f>เช้า!D32+'บ่าย '!D32+'เย็น '!D32</f>
        <v>0</v>
      </c>
      <c r="E32" s="30">
        <f>เช้า!E32+'บ่าย '!E32+'เย็น '!E32</f>
        <v>1</v>
      </c>
      <c r="F32" s="30">
        <f>เช้า!F32+'บ่าย '!F32+'เย็น '!F32</f>
        <v>0</v>
      </c>
      <c r="G32" s="30">
        <f>เช้า!G32+'บ่าย '!G32+'เย็น '!G32</f>
        <v>0</v>
      </c>
      <c r="H32" s="30">
        <f>เช้า!H32+'บ่าย '!H32+'เย็น '!H32</f>
        <v>0</v>
      </c>
      <c r="I32" s="30">
        <f>เช้า!I32+'บ่าย '!I32+'เย็น '!I32</f>
        <v>0</v>
      </c>
      <c r="J32" s="30">
        <f>เช้า!J32+'บ่าย '!J32+'เย็น '!J32</f>
        <v>0</v>
      </c>
      <c r="K32" s="36">
        <f t="shared" si="0"/>
        <v>1</v>
      </c>
      <c r="L32" s="11"/>
      <c r="M32" s="11"/>
      <c r="N32" s="11"/>
      <c r="O32" s="11"/>
      <c r="P32" s="46">
        <f t="shared" si="3"/>
        <v>-1</v>
      </c>
      <c r="S32" s="47">
        <v>40</v>
      </c>
      <c r="T32" s="48">
        <f t="shared" si="2"/>
        <v>39</v>
      </c>
      <c r="W32">
        <v>1111081</v>
      </c>
      <c r="X32" t="s">
        <v>35</v>
      </c>
      <c r="Y32">
        <v>40</v>
      </c>
    </row>
    <row r="33" spans="2:25" x14ac:dyDescent="0.25">
      <c r="B33" s="11">
        <v>1111080</v>
      </c>
      <c r="C33" s="15" t="s">
        <v>34</v>
      </c>
      <c r="D33" s="30">
        <f>เช้า!D33+'บ่าย '!D33+'เย็น '!D33</f>
        <v>0</v>
      </c>
      <c r="E33" s="30">
        <f>เช้า!E33+'บ่าย '!E33+'เย็น '!E33</f>
        <v>1</v>
      </c>
      <c r="F33" s="30">
        <f>เช้า!F33+'บ่าย '!F33+'เย็น '!F33</f>
        <v>0</v>
      </c>
      <c r="G33" s="30">
        <f>เช้า!G33+'บ่าย '!G33+'เย็น '!G33</f>
        <v>0</v>
      </c>
      <c r="H33" s="30">
        <f>เช้า!H33+'บ่าย '!H33+'เย็น '!H33</f>
        <v>0</v>
      </c>
      <c r="I33" s="30">
        <f>เช้า!I33+'บ่าย '!I33+'เย็น '!I33</f>
        <v>0</v>
      </c>
      <c r="J33" s="30">
        <f>เช้า!J33+'บ่าย '!J33+'เย็น '!J33</f>
        <v>0</v>
      </c>
      <c r="K33" s="36">
        <f t="shared" si="0"/>
        <v>1</v>
      </c>
      <c r="L33" s="11"/>
      <c r="M33" s="11"/>
      <c r="N33" s="11"/>
      <c r="O33" s="11"/>
      <c r="P33" s="46">
        <f t="shared" si="3"/>
        <v>-1</v>
      </c>
      <c r="S33" s="47">
        <v>40</v>
      </c>
      <c r="T33" s="48">
        <f t="shared" si="2"/>
        <v>39</v>
      </c>
      <c r="W33">
        <v>1111082</v>
      </c>
      <c r="X33" t="s">
        <v>36</v>
      </c>
      <c r="Y33">
        <v>40</v>
      </c>
    </row>
    <row r="34" spans="2:25" x14ac:dyDescent="0.25">
      <c r="B34" s="11">
        <v>1111081</v>
      </c>
      <c r="C34" s="15" t="s">
        <v>35</v>
      </c>
      <c r="D34" s="30">
        <f>เช้า!D34+'บ่าย '!D34+'เย็น '!D34</f>
        <v>0</v>
      </c>
      <c r="E34" s="30">
        <f>เช้า!E34+'บ่าย '!E34+'เย็น '!E34</f>
        <v>1</v>
      </c>
      <c r="F34" s="30">
        <f>เช้า!F34+'บ่าย '!F34+'เย็น '!F34</f>
        <v>0</v>
      </c>
      <c r="G34" s="30">
        <f>เช้า!G34+'บ่าย '!G34+'เย็น '!G34</f>
        <v>0</v>
      </c>
      <c r="H34" s="30">
        <f>เช้า!H34+'บ่าย '!H34+'เย็น '!H34</f>
        <v>0</v>
      </c>
      <c r="I34" s="30">
        <f>เช้า!I34+'บ่าย '!I34+'เย็น '!I34</f>
        <v>0</v>
      </c>
      <c r="J34" s="30">
        <f>เช้า!J34+'บ่าย '!J34+'เย็น '!J34</f>
        <v>0</v>
      </c>
      <c r="K34" s="36">
        <f t="shared" si="0"/>
        <v>1</v>
      </c>
      <c r="L34" s="11"/>
      <c r="M34" s="11"/>
      <c r="N34" s="11"/>
      <c r="O34" s="11"/>
      <c r="P34" s="46">
        <f t="shared" si="3"/>
        <v>-1</v>
      </c>
      <c r="S34" s="47">
        <v>40</v>
      </c>
      <c r="T34" s="48">
        <f t="shared" si="2"/>
        <v>39</v>
      </c>
      <c r="W34">
        <v>1111083</v>
      </c>
      <c r="X34" t="s">
        <v>37</v>
      </c>
      <c r="Y34">
        <v>40</v>
      </c>
    </row>
    <row r="35" spans="2:25" x14ac:dyDescent="0.25">
      <c r="B35" s="11">
        <v>1111082</v>
      </c>
      <c r="C35" s="15" t="s">
        <v>36</v>
      </c>
      <c r="D35" s="30">
        <f>เช้า!D35+'บ่าย '!D35+'เย็น '!D35</f>
        <v>0</v>
      </c>
      <c r="E35" s="30">
        <f>เช้า!E35+'บ่าย '!E35+'เย็น '!E35</f>
        <v>1</v>
      </c>
      <c r="F35" s="30">
        <f>เช้า!F35+'บ่าย '!F35+'เย็น '!F35</f>
        <v>0</v>
      </c>
      <c r="G35" s="30">
        <f>เช้า!G35+'บ่าย '!G35+'เย็น '!G35</f>
        <v>0</v>
      </c>
      <c r="H35" s="30">
        <f>เช้า!H35+'บ่าย '!H35+'เย็น '!H35</f>
        <v>0</v>
      </c>
      <c r="I35" s="30">
        <f>เช้า!I35+'บ่าย '!I35+'เย็น '!I35</f>
        <v>0</v>
      </c>
      <c r="J35" s="30">
        <f>เช้า!J35+'บ่าย '!J35+'เย็น '!J35</f>
        <v>0</v>
      </c>
      <c r="K35" s="36">
        <f t="shared" si="0"/>
        <v>1</v>
      </c>
      <c r="L35" s="11"/>
      <c r="M35" s="11"/>
      <c r="N35" s="11"/>
      <c r="O35" s="11"/>
      <c r="P35" s="46">
        <f t="shared" si="3"/>
        <v>-1</v>
      </c>
      <c r="S35" s="47">
        <v>40</v>
      </c>
      <c r="T35" s="48">
        <f t="shared" si="2"/>
        <v>39</v>
      </c>
      <c r="W35">
        <v>1111009</v>
      </c>
      <c r="X35" t="s">
        <v>40</v>
      </c>
      <c r="Y35">
        <v>20</v>
      </c>
    </row>
    <row r="36" spans="2:25" x14ac:dyDescent="0.25">
      <c r="B36" s="11">
        <v>1111083</v>
      </c>
      <c r="C36" s="15" t="s">
        <v>37</v>
      </c>
      <c r="D36" s="30">
        <f>เช้า!D36+'บ่าย '!D36+'เย็น '!D36</f>
        <v>0</v>
      </c>
      <c r="E36" s="30">
        <f>เช้า!E36+'บ่าย '!E36+'เย็น '!E36</f>
        <v>1</v>
      </c>
      <c r="F36" s="30">
        <f>เช้า!F36+'บ่าย '!F36+'เย็น '!F36</f>
        <v>0</v>
      </c>
      <c r="G36" s="30">
        <f>เช้า!G36+'บ่าย '!G36+'เย็น '!G36</f>
        <v>0</v>
      </c>
      <c r="H36" s="30">
        <f>เช้า!H36+'บ่าย '!H36+'เย็น '!H36</f>
        <v>0</v>
      </c>
      <c r="I36" s="30">
        <f>เช้า!I36+'บ่าย '!I36+'เย็น '!I36</f>
        <v>0</v>
      </c>
      <c r="J36" s="30">
        <f>เช้า!J36+'บ่าย '!J36+'เย็น '!J36</f>
        <v>0</v>
      </c>
      <c r="K36" s="36">
        <f t="shared" si="0"/>
        <v>1</v>
      </c>
      <c r="L36" s="11"/>
      <c r="M36" s="11"/>
      <c r="N36" s="11"/>
      <c r="O36" s="11"/>
      <c r="P36" s="46">
        <f t="shared" si="3"/>
        <v>-1</v>
      </c>
      <c r="S36" s="47">
        <v>40</v>
      </c>
      <c r="T36" s="48">
        <f t="shared" si="2"/>
        <v>39</v>
      </c>
      <c r="W36">
        <v>1111008</v>
      </c>
      <c r="X36" t="s">
        <v>42</v>
      </c>
      <c r="Y36">
        <v>250</v>
      </c>
    </row>
    <row r="37" spans="2:25" x14ac:dyDescent="0.25">
      <c r="B37" s="11">
        <v>1111010</v>
      </c>
      <c r="C37" s="15" t="s">
        <v>38</v>
      </c>
      <c r="D37" s="30">
        <f>เช้า!D37+'บ่าย '!D37+'เย็น '!D37</f>
        <v>0</v>
      </c>
      <c r="E37" s="30">
        <f>เช้า!E37+'บ่าย '!E37+'เย็น '!E37</f>
        <v>0</v>
      </c>
      <c r="F37" s="30">
        <f>เช้า!F37+'บ่าย '!F37+'เย็น '!F37</f>
        <v>0</v>
      </c>
      <c r="G37" s="30">
        <f>เช้า!G37+'บ่าย '!G37+'เย็น '!G37</f>
        <v>0</v>
      </c>
      <c r="H37" s="30">
        <f>เช้า!H37+'บ่าย '!H37+'เย็น '!H37</f>
        <v>0</v>
      </c>
      <c r="I37" s="30">
        <f>เช้า!I37+'บ่าย '!I37+'เย็น '!I37</f>
        <v>0</v>
      </c>
      <c r="J37" s="30">
        <f>เช้า!J37+'บ่าย '!J37+'เย็น '!J37</f>
        <v>0</v>
      </c>
      <c r="K37" s="36">
        <f t="shared" ref="K37" si="4">SUM(D37:J37)</f>
        <v>0</v>
      </c>
      <c r="L37" s="11"/>
      <c r="M37" s="11"/>
      <c r="N37" s="11"/>
      <c r="O37" s="11"/>
      <c r="P37" s="46">
        <f t="shared" si="3"/>
        <v>0</v>
      </c>
      <c r="T37" s="48">
        <f t="shared" si="2"/>
        <v>0</v>
      </c>
    </row>
    <row r="38" spans="2:25" x14ac:dyDescent="0.25">
      <c r="B38" s="17"/>
      <c r="C38" s="17" t="s">
        <v>1</v>
      </c>
      <c r="D38" s="30">
        <f>เช้า!D38+'บ่าย '!D38+'เย็น '!D38</f>
        <v>0</v>
      </c>
      <c r="E38" s="30">
        <f>เช้า!E38+'บ่าย '!E38+'เย็น '!E38</f>
        <v>0</v>
      </c>
      <c r="F38" s="30">
        <f>เช้า!F38+'บ่าย '!F38+'เย็น '!F38</f>
        <v>0</v>
      </c>
      <c r="G38" s="30">
        <f>เช้า!G38+'บ่าย '!G38+'เย็น '!G38</f>
        <v>0</v>
      </c>
      <c r="H38" s="30">
        <f>เช้า!H38+'บ่าย '!H38+'เย็น '!H38</f>
        <v>0</v>
      </c>
      <c r="I38" s="30">
        <f>เช้า!I38+'บ่าย '!I38+'เย็น '!I38</f>
        <v>0</v>
      </c>
      <c r="J38" s="30">
        <f>เช้า!J38+'บ่าย '!J38+'เย็น '!J38</f>
        <v>0</v>
      </c>
      <c r="K38" s="36">
        <f t="shared" ref="K38" si="5">SUM(D38:J38)</f>
        <v>0</v>
      </c>
      <c r="L38" s="11"/>
      <c r="M38" s="11"/>
      <c r="N38" s="11"/>
      <c r="O38" s="11"/>
      <c r="P38" s="46">
        <f t="shared" si="3"/>
        <v>0</v>
      </c>
      <c r="T38" s="48">
        <f t="shared" si="2"/>
        <v>0</v>
      </c>
      <c r="W38">
        <v>1114501</v>
      </c>
      <c r="X38" t="s">
        <v>59</v>
      </c>
      <c r="Y38">
        <v>400</v>
      </c>
    </row>
    <row r="39" spans="2:25" ht="19.5" x14ac:dyDescent="0.25">
      <c r="B39" s="69" t="s">
        <v>39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1"/>
      <c r="T39" s="48">
        <f t="shared" si="2"/>
        <v>0</v>
      </c>
      <c r="W39">
        <v>1114503</v>
      </c>
      <c r="X39" t="s">
        <v>61</v>
      </c>
      <c r="Y39">
        <v>400</v>
      </c>
    </row>
    <row r="40" spans="2:25" x14ac:dyDescent="0.25">
      <c r="B40" s="11">
        <v>1111009</v>
      </c>
      <c r="C40" s="19" t="s">
        <v>40</v>
      </c>
      <c r="D40" s="30">
        <f>เช้า!D40+'บ่าย '!D40+'เย็น '!D40</f>
        <v>0</v>
      </c>
      <c r="E40" s="30">
        <f>เช้า!E40+'บ่าย '!E40+'เย็น '!E40</f>
        <v>0</v>
      </c>
      <c r="F40" s="30">
        <f>เช้า!F40+'บ่าย '!F40+'เย็น '!F40</f>
        <v>6</v>
      </c>
      <c r="G40" s="30">
        <f>เช้า!G40+'บ่าย '!G40+'เย็น '!G40</f>
        <v>8</v>
      </c>
      <c r="H40" s="30">
        <f>เช้า!H40+'บ่าย '!H40+'เย็น '!H40</f>
        <v>0</v>
      </c>
      <c r="I40" s="30">
        <f>เช้า!I40+'บ่าย '!I40+'เย็น '!I40</f>
        <v>0</v>
      </c>
      <c r="J40" s="30">
        <f>เช้า!J40+'บ่าย '!J40+'เย็น '!J40</f>
        <v>0</v>
      </c>
      <c r="K40" s="36">
        <f>SUM(D40:J40)</f>
        <v>14</v>
      </c>
      <c r="L40" s="11"/>
      <c r="M40" s="11"/>
      <c r="N40" s="11"/>
      <c r="O40" s="11"/>
      <c r="P40" s="46">
        <f t="shared" si="3"/>
        <v>-14</v>
      </c>
      <c r="S40" s="47">
        <v>20</v>
      </c>
      <c r="T40" s="48">
        <f t="shared" si="2"/>
        <v>6</v>
      </c>
      <c r="W40">
        <v>1124021</v>
      </c>
      <c r="X40" t="s">
        <v>62</v>
      </c>
      <c r="Y40">
        <v>400</v>
      </c>
    </row>
    <row r="41" spans="2:25" ht="19.5" x14ac:dyDescent="0.25">
      <c r="B41" s="69" t="s">
        <v>41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1"/>
      <c r="T41" s="48">
        <f t="shared" si="2"/>
        <v>0</v>
      </c>
    </row>
    <row r="42" spans="2:25" x14ac:dyDescent="0.25">
      <c r="B42" s="11">
        <v>1111008</v>
      </c>
      <c r="C42" s="19" t="s">
        <v>42</v>
      </c>
      <c r="D42" s="30">
        <f>เช้า!D42+'บ่าย '!D42+'เย็น '!D42</f>
        <v>30</v>
      </c>
      <c r="E42" s="30">
        <f>เช้า!E42+'บ่าย '!E42+'เย็น '!E42</f>
        <v>9</v>
      </c>
      <c r="F42" s="30">
        <f>เช้า!F42+'บ่าย '!F42+'เย็น '!F42</f>
        <v>0</v>
      </c>
      <c r="G42" s="30">
        <f>เช้า!G42+'บ่าย '!G42+'เย็น '!G42</f>
        <v>89</v>
      </c>
      <c r="H42" s="30">
        <f>เช้า!H42+'บ่าย '!H42+'เย็น '!H42</f>
        <v>0</v>
      </c>
      <c r="I42" s="30">
        <f>เช้า!I42+'บ่าย '!I42+'เย็น '!I42</f>
        <v>0</v>
      </c>
      <c r="J42" s="30">
        <f>เช้า!J42+'บ่าย '!J42+'เย็น '!J42</f>
        <v>0</v>
      </c>
      <c r="K42" s="36">
        <f>SUM(D42:J42)</f>
        <v>128</v>
      </c>
      <c r="L42" s="11"/>
      <c r="M42" s="11"/>
      <c r="N42" s="11"/>
      <c r="O42" s="11"/>
      <c r="P42" s="46">
        <f t="shared" ref="P42:P67" si="6">(L42+M42+N42+O42)-K42</f>
        <v>-128</v>
      </c>
      <c r="S42" s="47">
        <v>250</v>
      </c>
      <c r="T42" s="48">
        <f t="shared" si="2"/>
        <v>122</v>
      </c>
    </row>
    <row r="43" spans="2:25" ht="19.5" x14ac:dyDescent="0.25">
      <c r="B43" s="69" t="s">
        <v>43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1"/>
      <c r="T43" s="48">
        <f t="shared" si="2"/>
        <v>0</v>
      </c>
    </row>
    <row r="44" spans="2:25" x14ac:dyDescent="0.25">
      <c r="B44" s="11">
        <v>1112009</v>
      </c>
      <c r="C44" s="19" t="s">
        <v>44</v>
      </c>
      <c r="D44" s="30">
        <f>เช้า!D44+'บ่าย '!D44+'เย็น '!D47</f>
        <v>0</v>
      </c>
      <c r="E44" s="30">
        <f>เช้า!E44+'บ่าย '!E44+'เย็น '!E47</f>
        <v>9</v>
      </c>
      <c r="F44" s="30">
        <f>เช้า!F44+'บ่าย '!F44+'เย็น '!F47</f>
        <v>3</v>
      </c>
      <c r="G44" s="30">
        <f>เช้า!G44+'บ่าย '!G44+'เย็น '!G47</f>
        <v>71</v>
      </c>
      <c r="H44" s="30">
        <f>เช้า!H44+'บ่าย '!H44+'เย็น '!H47</f>
        <v>0</v>
      </c>
      <c r="I44" s="30">
        <f>เช้า!I44+'บ่าย '!I44+'เย็น '!I47</f>
        <v>0</v>
      </c>
      <c r="J44" s="30">
        <f>เช้า!J44+'บ่าย '!J44+'เย็น '!J47</f>
        <v>1</v>
      </c>
      <c r="K44" s="36">
        <f>SUM(D44:J44)</f>
        <v>84</v>
      </c>
      <c r="L44" s="11"/>
      <c r="M44" s="11"/>
      <c r="N44" s="11"/>
      <c r="O44" s="11"/>
      <c r="P44" s="46">
        <f t="shared" si="6"/>
        <v>-84</v>
      </c>
      <c r="R44" s="47">
        <v>100</v>
      </c>
      <c r="T44" s="48">
        <f t="shared" si="2"/>
        <v>16</v>
      </c>
    </row>
    <row r="45" spans="2:25" x14ac:dyDescent="0.25">
      <c r="B45" s="11">
        <v>1112011</v>
      </c>
      <c r="C45" s="19" t="s">
        <v>45</v>
      </c>
      <c r="D45" s="30">
        <f>เช้า!D45+'บ่าย '!D45+'เย็น '!D48</f>
        <v>5</v>
      </c>
      <c r="E45" s="30">
        <f>เช้า!E45+'บ่าย '!E45+'เย็น '!E48</f>
        <v>18</v>
      </c>
      <c r="F45" s="30">
        <f>เช้า!F45+'บ่าย '!F45+'เย็น '!F48</f>
        <v>18</v>
      </c>
      <c r="G45" s="30">
        <f>เช้า!G45+'บ่าย '!G45+'เย็น '!G48</f>
        <v>71</v>
      </c>
      <c r="H45" s="30">
        <f>เช้า!H45+'บ่าย '!H45+'เย็น '!H48</f>
        <v>0</v>
      </c>
      <c r="I45" s="30">
        <f>เช้า!I45+'บ่าย '!I45+'เย็น '!I48</f>
        <v>0</v>
      </c>
      <c r="J45" s="30">
        <f>เช้า!J45+'บ่าย '!J45+'เย็น '!J48</f>
        <v>0</v>
      </c>
      <c r="K45" s="36">
        <f t="shared" ref="K45:K54" si="7">SUM(D45:J45)</f>
        <v>112</v>
      </c>
      <c r="L45" s="11"/>
      <c r="M45" s="11"/>
      <c r="N45" s="11"/>
      <c r="O45" s="11"/>
      <c r="P45" s="46">
        <f t="shared" si="6"/>
        <v>-112</v>
      </c>
      <c r="R45" s="47">
        <v>100</v>
      </c>
      <c r="T45" s="48">
        <f t="shared" si="2"/>
        <v>-12</v>
      </c>
    </row>
    <row r="46" spans="2:25" x14ac:dyDescent="0.25">
      <c r="B46" s="11">
        <v>1112003</v>
      </c>
      <c r="C46" s="19" t="s">
        <v>46</v>
      </c>
      <c r="D46" s="30">
        <f>เช้า!D46+'บ่าย '!D46+'เย็น '!D49</f>
        <v>0</v>
      </c>
      <c r="E46" s="30">
        <f>เช้า!E46+'บ่าย '!E46+'เย็น '!E49</f>
        <v>0</v>
      </c>
      <c r="F46" s="30">
        <f>เช้า!F46+'บ่าย '!F46+'เย็น '!F49</f>
        <v>0</v>
      </c>
      <c r="G46" s="30">
        <f>เช้า!G46+'บ่าย '!G46+'เย็น '!G49</f>
        <v>4</v>
      </c>
      <c r="H46" s="30">
        <f>เช้า!H46+'บ่าย '!H46+'เย็น '!H49</f>
        <v>0</v>
      </c>
      <c r="I46" s="30">
        <f>เช้า!I46+'บ่าย '!I46+'เย็น '!I49</f>
        <v>0</v>
      </c>
      <c r="J46" s="30">
        <f>เช้า!J46+'บ่าย '!J46+'เย็น '!J49</f>
        <v>0</v>
      </c>
      <c r="K46" s="36">
        <f t="shared" si="7"/>
        <v>4</v>
      </c>
      <c r="L46" s="11"/>
      <c r="M46" s="11"/>
      <c r="N46" s="11"/>
      <c r="O46" s="11"/>
      <c r="P46" s="46">
        <f t="shared" si="6"/>
        <v>-4</v>
      </c>
      <c r="R46" s="47">
        <v>20</v>
      </c>
      <c r="T46" s="48">
        <f t="shared" si="2"/>
        <v>16</v>
      </c>
    </row>
    <row r="47" spans="2:25" x14ac:dyDescent="0.25">
      <c r="B47" s="11">
        <v>1112005</v>
      </c>
      <c r="C47" s="19" t="s">
        <v>47</v>
      </c>
      <c r="D47" s="30">
        <f>เช้า!D47+'บ่าย '!D47+'เย็น '!D50</f>
        <v>0</v>
      </c>
      <c r="E47" s="30">
        <f>เช้า!E47+'บ่าย '!E47+'เย็น '!E50</f>
        <v>0</v>
      </c>
      <c r="F47" s="30">
        <f>เช้า!F47+'บ่าย '!F47+'เย็น '!F50</f>
        <v>0</v>
      </c>
      <c r="G47" s="30">
        <f>เช้า!G47+'บ่าย '!G47+'เย็น '!G50</f>
        <v>0</v>
      </c>
      <c r="H47" s="30">
        <f>เช้า!H47+'บ่าย '!H47+'เย็น '!H50</f>
        <v>0</v>
      </c>
      <c r="I47" s="30">
        <f>เช้า!I47+'บ่าย '!I47+'เย็น '!I50</f>
        <v>0</v>
      </c>
      <c r="J47" s="30">
        <f>เช้า!J47+'บ่าย '!J47+'เย็น '!J50</f>
        <v>0</v>
      </c>
      <c r="K47" s="36">
        <f t="shared" si="7"/>
        <v>0</v>
      </c>
      <c r="L47" s="11"/>
      <c r="M47" s="11"/>
      <c r="N47" s="11"/>
      <c r="O47" s="11"/>
      <c r="P47" s="46">
        <f t="shared" si="6"/>
        <v>0</v>
      </c>
      <c r="R47" s="47">
        <v>20</v>
      </c>
      <c r="T47" s="48">
        <f t="shared" si="2"/>
        <v>20</v>
      </c>
    </row>
    <row r="48" spans="2:25" x14ac:dyDescent="0.25">
      <c r="B48" s="11">
        <v>1112007</v>
      </c>
      <c r="C48" s="19" t="s">
        <v>48</v>
      </c>
      <c r="D48" s="30">
        <f>เช้า!D48+'บ่าย '!D48+'เย็น '!D51</f>
        <v>0</v>
      </c>
      <c r="E48" s="30">
        <f>เช้า!E48+'บ่าย '!E48+'เย็น '!E51</f>
        <v>0</v>
      </c>
      <c r="F48" s="30">
        <f>เช้า!F48+'บ่าย '!F48+'เย็น '!F51</f>
        <v>0</v>
      </c>
      <c r="G48" s="30">
        <f>เช้า!G48+'บ่าย '!G48+'เย็น '!G51</f>
        <v>0</v>
      </c>
      <c r="H48" s="30">
        <f>เช้า!H48+'บ่าย '!H48+'เย็น '!H51</f>
        <v>0</v>
      </c>
      <c r="I48" s="30">
        <f>เช้า!I48+'บ่าย '!I48+'เย็น '!I51</f>
        <v>0</v>
      </c>
      <c r="J48" s="30">
        <f>เช้า!J48+'บ่าย '!J48+'เย็น '!J51</f>
        <v>0</v>
      </c>
      <c r="K48" s="36">
        <f t="shared" si="7"/>
        <v>0</v>
      </c>
      <c r="L48" s="11"/>
      <c r="M48" s="11"/>
      <c r="N48" s="11"/>
      <c r="O48" s="11"/>
      <c r="P48" s="46">
        <f t="shared" si="6"/>
        <v>0</v>
      </c>
      <c r="T48" s="48">
        <f t="shared" si="2"/>
        <v>0</v>
      </c>
    </row>
    <row r="49" spans="2:20" x14ac:dyDescent="0.25">
      <c r="B49" s="11">
        <v>1112019</v>
      </c>
      <c r="C49" s="19" t="s">
        <v>49</v>
      </c>
      <c r="D49" s="30">
        <f>เช้า!D49+'บ่าย '!D49+'เย็น '!D52</f>
        <v>0</v>
      </c>
      <c r="E49" s="30">
        <f>เช้า!E49+'บ่าย '!E49+'เย็น '!E52</f>
        <v>0</v>
      </c>
      <c r="F49" s="30">
        <f>เช้า!F49+'บ่าย '!F49+'เย็น '!F52</f>
        <v>0</v>
      </c>
      <c r="G49" s="30">
        <f>เช้า!G49+'บ่าย '!G49+'เย็น '!G52</f>
        <v>0</v>
      </c>
      <c r="H49" s="30">
        <f>เช้า!H49+'บ่าย '!H49+'เย็น '!H52</f>
        <v>0</v>
      </c>
      <c r="I49" s="30">
        <f>เช้า!I49+'บ่าย '!I49+'เย็น '!I52</f>
        <v>0</v>
      </c>
      <c r="J49" s="30">
        <f>เช้า!J49+'บ่าย '!J49+'เย็น '!J52</f>
        <v>0</v>
      </c>
      <c r="K49" s="36">
        <f t="shared" si="7"/>
        <v>0</v>
      </c>
      <c r="L49" s="11"/>
      <c r="M49" s="11"/>
      <c r="N49" s="11"/>
      <c r="O49" s="11"/>
      <c r="P49" s="46">
        <f t="shared" si="6"/>
        <v>0</v>
      </c>
      <c r="T49" s="48">
        <f t="shared" si="2"/>
        <v>0</v>
      </c>
    </row>
    <row r="50" spans="2:20" x14ac:dyDescent="0.25">
      <c r="B50" s="11">
        <v>1112017</v>
      </c>
      <c r="C50" s="19" t="s">
        <v>50</v>
      </c>
      <c r="D50" s="30">
        <f>เช้า!D50+'บ่าย '!D50+'เย็น '!D53</f>
        <v>2</v>
      </c>
      <c r="E50" s="30">
        <f>เช้า!E50+'บ่าย '!E50+'เย็น '!E53</f>
        <v>0</v>
      </c>
      <c r="F50" s="30">
        <f>เช้า!F50+'บ่าย '!F50+'เย็น '!F53</f>
        <v>0</v>
      </c>
      <c r="G50" s="30">
        <f>เช้า!G50+'บ่าย '!G50+'เย็น '!G53</f>
        <v>4</v>
      </c>
      <c r="H50" s="30">
        <f>เช้า!H50+'บ่าย '!H50+'เย็น '!H53</f>
        <v>0</v>
      </c>
      <c r="I50" s="30">
        <f>เช้า!I50+'บ่าย '!I50+'เย็น '!I53</f>
        <v>0</v>
      </c>
      <c r="J50" s="30">
        <f>เช้า!J50+'บ่าย '!J50+'เย็น '!J53</f>
        <v>0</v>
      </c>
      <c r="K50" s="36">
        <f t="shared" si="7"/>
        <v>6</v>
      </c>
      <c r="L50" s="11"/>
      <c r="M50" s="11"/>
      <c r="N50" s="11"/>
      <c r="O50" s="11"/>
      <c r="P50" s="46">
        <f t="shared" si="6"/>
        <v>-6</v>
      </c>
      <c r="R50" s="47">
        <v>20</v>
      </c>
      <c r="T50" s="48">
        <f t="shared" si="2"/>
        <v>14</v>
      </c>
    </row>
    <row r="51" spans="2:20" x14ac:dyDescent="0.25">
      <c r="B51" s="11">
        <v>1112015</v>
      </c>
      <c r="C51" s="19" t="s">
        <v>51</v>
      </c>
      <c r="D51" s="30">
        <f>เช้า!D51+'บ่าย '!D51+'เย็น '!D54</f>
        <v>0</v>
      </c>
      <c r="E51" s="30">
        <f>เช้า!E51+'บ่าย '!E51+'เย็น '!E54</f>
        <v>0</v>
      </c>
      <c r="F51" s="30">
        <f>เช้า!F51+'บ่าย '!F51+'เย็น '!F54</f>
        <v>0</v>
      </c>
      <c r="G51" s="30">
        <f>เช้า!G51+'บ่าย '!G51+'เย็น '!G54</f>
        <v>4</v>
      </c>
      <c r="H51" s="30">
        <f>เช้า!H51+'บ่าย '!H51+'เย็น '!H54</f>
        <v>0</v>
      </c>
      <c r="I51" s="30">
        <f>เช้า!I51+'บ่าย '!I51+'เย็น '!I54</f>
        <v>0</v>
      </c>
      <c r="J51" s="30">
        <f>เช้า!J51+'บ่าย '!J51+'เย็น '!J54</f>
        <v>0</v>
      </c>
      <c r="K51" s="36">
        <f t="shared" si="7"/>
        <v>4</v>
      </c>
      <c r="L51" s="11"/>
      <c r="M51" s="11"/>
      <c r="N51" s="11"/>
      <c r="O51" s="11"/>
      <c r="P51" s="46">
        <f t="shared" si="6"/>
        <v>-4</v>
      </c>
      <c r="R51" s="47">
        <v>20</v>
      </c>
      <c r="T51" s="48">
        <f t="shared" si="2"/>
        <v>16</v>
      </c>
    </row>
    <row r="52" spans="2:20" x14ac:dyDescent="0.25">
      <c r="B52" s="11">
        <v>1112013</v>
      </c>
      <c r="C52" s="19" t="s">
        <v>52</v>
      </c>
      <c r="D52" s="30">
        <f>เช้า!D52+'บ่าย '!D52+'เย็น '!D55</f>
        <v>2</v>
      </c>
      <c r="E52" s="30">
        <f>เช้า!E52+'บ่าย '!E52+'เย็น '!E55</f>
        <v>8</v>
      </c>
      <c r="F52" s="30">
        <f>เช้า!F52+'บ่าย '!F52+'เย็น '!F55</f>
        <v>4</v>
      </c>
      <c r="G52" s="30">
        <f>เช้า!G52+'บ่าย '!G52+'เย็น '!G55</f>
        <v>71</v>
      </c>
      <c r="H52" s="30">
        <f>เช้า!H52+'บ่าย '!H52+'เย็น '!H55</f>
        <v>0</v>
      </c>
      <c r="I52" s="30">
        <f>เช้า!I52+'บ่าย '!I52+'เย็น '!I55</f>
        <v>0</v>
      </c>
      <c r="J52" s="30">
        <f>เช้า!J52+'บ่าย '!J52+'เย็น '!J55</f>
        <v>0</v>
      </c>
      <c r="K52" s="36">
        <f t="shared" si="7"/>
        <v>85</v>
      </c>
      <c r="L52" s="11"/>
      <c r="M52" s="11"/>
      <c r="N52" s="11"/>
      <c r="O52" s="11"/>
      <c r="P52" s="46">
        <f t="shared" si="6"/>
        <v>-85</v>
      </c>
      <c r="R52" s="47">
        <v>100</v>
      </c>
      <c r="T52" s="48">
        <f t="shared" si="2"/>
        <v>15</v>
      </c>
    </row>
    <row r="53" spans="2:20" x14ac:dyDescent="0.25">
      <c r="B53" s="11">
        <v>1124043</v>
      </c>
      <c r="C53" s="19" t="s">
        <v>53</v>
      </c>
      <c r="D53" s="30">
        <f>เช้า!D53+'บ่าย '!D53+'เย็น '!D56</f>
        <v>0</v>
      </c>
      <c r="E53" s="30">
        <f>เช้า!E53+'บ่าย '!E53+'เย็น '!E56</f>
        <v>0</v>
      </c>
      <c r="F53" s="30">
        <f>เช้า!F53+'บ่าย '!F53+'เย็น '!F56</f>
        <v>0</v>
      </c>
      <c r="G53" s="30">
        <f>เช้า!G53+'บ่าย '!G53+'เย็น '!G56</f>
        <v>0</v>
      </c>
      <c r="H53" s="30">
        <f>เช้า!H53+'บ่าย '!H53+'เย็น '!H56</f>
        <v>0</v>
      </c>
      <c r="I53" s="30">
        <f>เช้า!I53+'บ่าย '!I53+'เย็น '!I56</f>
        <v>0</v>
      </c>
      <c r="J53" s="30">
        <f>เช้า!J53+'บ่าย '!J53+'เย็น '!J56</f>
        <v>0</v>
      </c>
      <c r="K53" s="36">
        <f t="shared" si="7"/>
        <v>0</v>
      </c>
      <c r="L53" s="11"/>
      <c r="M53" s="11"/>
      <c r="N53" s="11"/>
      <c r="O53" s="11"/>
      <c r="P53" s="46">
        <f t="shared" si="6"/>
        <v>0</v>
      </c>
      <c r="T53" s="48">
        <f t="shared" si="2"/>
        <v>0</v>
      </c>
    </row>
    <row r="54" spans="2:20" x14ac:dyDescent="0.25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 t="shared" si="7"/>
        <v>0</v>
      </c>
      <c r="L54" s="11"/>
      <c r="M54" s="11"/>
      <c r="N54" s="11"/>
      <c r="O54" s="11"/>
      <c r="P54" s="46">
        <f>SUM(P44:P53)</f>
        <v>-295</v>
      </c>
      <c r="T54" s="48">
        <f t="shared" si="2"/>
        <v>-295</v>
      </c>
    </row>
    <row r="55" spans="2:20" ht="19.5" x14ac:dyDescent="0.25">
      <c r="B55" s="69" t="s">
        <v>54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1"/>
      <c r="T55" s="48">
        <f t="shared" si="2"/>
        <v>0</v>
      </c>
    </row>
    <row r="56" spans="2:20" x14ac:dyDescent="0.25">
      <c r="B56" s="11">
        <v>1100003</v>
      </c>
      <c r="C56" s="21" t="s">
        <v>73</v>
      </c>
      <c r="D56" s="30">
        <f>เช้า!D56+'บ่าย '!D56+'เย็น '!D59</f>
        <v>4</v>
      </c>
      <c r="E56" s="30">
        <f>เช้า!E56+'บ่าย '!E56+'เย็น '!E59</f>
        <v>5</v>
      </c>
      <c r="F56" s="30">
        <f>เช้า!F56+'บ่าย '!F56+'เย็น '!F59</f>
        <v>0</v>
      </c>
      <c r="G56" s="30">
        <f>เช้า!G56+'บ่าย '!G56+'เย็น '!G59</f>
        <v>0</v>
      </c>
      <c r="H56" s="30">
        <f>เช้า!H56+'บ่าย '!H56+'เย็น '!H59</f>
        <v>0</v>
      </c>
      <c r="I56" s="30">
        <f>เช้า!I56+'บ่าย '!I56+'เย็น '!I59</f>
        <v>0</v>
      </c>
      <c r="J56" s="30">
        <f>เช้า!J56+'บ่าย '!J56+'เย็น '!J59</f>
        <v>0</v>
      </c>
      <c r="K56" s="36">
        <f>SUM(D56:J56)</f>
        <v>9</v>
      </c>
      <c r="L56" s="11"/>
      <c r="M56" s="11"/>
      <c r="N56" s="11"/>
      <c r="O56" s="11"/>
      <c r="P56" s="46">
        <f t="shared" si="6"/>
        <v>-9</v>
      </c>
      <c r="T56" s="48">
        <f t="shared" si="2"/>
        <v>-9</v>
      </c>
    </row>
    <row r="57" spans="2:20" x14ac:dyDescent="0.25">
      <c r="B57" s="11">
        <v>1100001</v>
      </c>
      <c r="C57" s="21" t="s">
        <v>74</v>
      </c>
      <c r="D57" s="30">
        <f>เช้า!D57+'บ่าย '!D57+'เย็น '!D60</f>
        <v>0</v>
      </c>
      <c r="E57" s="30">
        <f>เช้า!E57+'บ่าย '!E57+'เย็น '!E60</f>
        <v>5</v>
      </c>
      <c r="F57" s="30">
        <f>เช้า!F57+'บ่าย '!F57+'เย็น '!F60</f>
        <v>0</v>
      </c>
      <c r="G57" s="30">
        <f>เช้า!G57+'บ่าย '!G57+'เย็น '!G60</f>
        <v>0</v>
      </c>
      <c r="H57" s="30">
        <f>เช้า!H57+'บ่าย '!H57+'เย็น '!H60</f>
        <v>0</v>
      </c>
      <c r="I57" s="30">
        <f>เช้า!I57+'บ่าย '!I57+'เย็น '!I60</f>
        <v>0</v>
      </c>
      <c r="J57" s="30">
        <f>เช้า!J57+'บ่าย '!J57+'เย็น '!J60</f>
        <v>0</v>
      </c>
      <c r="K57" s="36">
        <f t="shared" ref="K57:K75" si="8">SUM(D57:J57)</f>
        <v>5</v>
      </c>
      <c r="L57" s="11"/>
      <c r="M57" s="11"/>
      <c r="N57" s="11"/>
      <c r="O57" s="11"/>
      <c r="P57" s="46">
        <f t="shared" si="6"/>
        <v>-5</v>
      </c>
      <c r="T57" s="48">
        <f t="shared" si="2"/>
        <v>-5</v>
      </c>
    </row>
    <row r="58" spans="2:20" x14ac:dyDescent="0.25">
      <c r="B58" s="11">
        <v>1100002</v>
      </c>
      <c r="C58" s="21" t="s">
        <v>75</v>
      </c>
      <c r="D58" s="30">
        <f>เช้า!D58+'บ่าย '!D58+'เย็น '!D61</f>
        <v>0</v>
      </c>
      <c r="E58" s="30">
        <f>เช้า!E58+'บ่าย '!E58+'เย็น '!E61</f>
        <v>1</v>
      </c>
      <c r="F58" s="30">
        <f>เช้า!F58+'บ่าย '!F58+'เย็น '!F61</f>
        <v>0</v>
      </c>
      <c r="G58" s="30">
        <f>เช้า!G58+'บ่าย '!G58+'เย็น '!G61</f>
        <v>0</v>
      </c>
      <c r="H58" s="30">
        <f>เช้า!H58+'บ่าย '!H58+'เย็น '!H61</f>
        <v>0</v>
      </c>
      <c r="I58" s="30">
        <f>เช้า!I58+'บ่าย '!I58+'เย็น '!I61</f>
        <v>0</v>
      </c>
      <c r="J58" s="30">
        <f>เช้า!J58+'บ่าย '!J58+'เย็น '!J61</f>
        <v>0</v>
      </c>
      <c r="K58" s="36">
        <f t="shared" si="8"/>
        <v>1</v>
      </c>
      <c r="L58" s="11"/>
      <c r="M58" s="11"/>
      <c r="N58" s="11"/>
      <c r="O58" s="11"/>
      <c r="P58" s="46">
        <f t="shared" si="6"/>
        <v>-1</v>
      </c>
      <c r="T58" s="48">
        <f t="shared" si="2"/>
        <v>-1</v>
      </c>
    </row>
    <row r="59" spans="2:20" x14ac:dyDescent="0.25">
      <c r="B59" s="11">
        <v>1200001</v>
      </c>
      <c r="C59" s="21" t="s">
        <v>57</v>
      </c>
      <c r="D59" s="30">
        <f>เช้า!D59+'บ่าย '!D59+'เย็น '!D62</f>
        <v>4</v>
      </c>
      <c r="E59" s="30">
        <f>เช้า!E59+'บ่าย '!E59+'เย็น '!E62</f>
        <v>1</v>
      </c>
      <c r="F59" s="30">
        <f>เช้า!F59+'บ่าย '!F59+'เย็น '!F62</f>
        <v>0</v>
      </c>
      <c r="G59" s="30">
        <f>เช้า!G59+'บ่าย '!G59+'เย็น '!G62</f>
        <v>2</v>
      </c>
      <c r="H59" s="30">
        <f>เช้า!H59+'บ่าย '!H59+'เย็น '!H62</f>
        <v>0</v>
      </c>
      <c r="I59" s="30">
        <f>เช้า!I59+'บ่าย '!I59+'เย็น '!I62</f>
        <v>0</v>
      </c>
      <c r="J59" s="30">
        <f>เช้า!J59+'บ่าย '!J59+'เย็น '!J62</f>
        <v>0</v>
      </c>
      <c r="K59" s="36">
        <f t="shared" si="8"/>
        <v>7</v>
      </c>
      <c r="L59" s="11"/>
      <c r="M59" s="11"/>
      <c r="N59" s="11"/>
      <c r="O59" s="11"/>
      <c r="P59" s="46">
        <f t="shared" si="6"/>
        <v>-7</v>
      </c>
      <c r="T59" s="48">
        <f t="shared" si="2"/>
        <v>-7</v>
      </c>
    </row>
    <row r="60" spans="2:20" x14ac:dyDescent="0.25">
      <c r="B60" s="11">
        <v>1005761</v>
      </c>
      <c r="C60" s="21" t="s">
        <v>58</v>
      </c>
      <c r="D60" s="30">
        <f>เช้า!D60+'บ่าย '!D60+'เย็น '!D63</f>
        <v>0</v>
      </c>
      <c r="E60" s="30">
        <f>เช้า!E60+'บ่าย '!E60+'เย็น '!E63</f>
        <v>0</v>
      </c>
      <c r="F60" s="30">
        <f>เช้า!F60+'บ่าย '!F60+'เย็น '!F63</f>
        <v>0</v>
      </c>
      <c r="G60" s="30">
        <f>เช้า!G60+'บ่าย '!G60+'เย็น '!G63</f>
        <v>0</v>
      </c>
      <c r="H60" s="30">
        <f>เช้า!H60+'บ่าย '!H60+'เย็น '!H63</f>
        <v>0</v>
      </c>
      <c r="I60" s="30">
        <f>เช้า!I60+'บ่าย '!I60+'เย็น '!I63</f>
        <v>0</v>
      </c>
      <c r="J60" s="30">
        <f>เช้า!J60+'บ่าย '!J60+'เย็น '!J63</f>
        <v>0</v>
      </c>
      <c r="K60" s="36">
        <f t="shared" si="8"/>
        <v>0</v>
      </c>
      <c r="L60" s="11"/>
      <c r="M60" s="11"/>
      <c r="N60" s="11"/>
      <c r="O60" s="11"/>
      <c r="P60" s="46">
        <f t="shared" si="6"/>
        <v>0</v>
      </c>
      <c r="T60" s="48">
        <f t="shared" si="2"/>
        <v>0</v>
      </c>
    </row>
    <row r="61" spans="2:20" x14ac:dyDescent="0.25">
      <c r="B61" s="11">
        <v>1114501</v>
      </c>
      <c r="C61" s="21" t="s">
        <v>59</v>
      </c>
      <c r="D61" s="30">
        <f>เช้า!D61+'บ่าย '!D61+'เย็น '!D64</f>
        <v>1</v>
      </c>
      <c r="E61" s="30">
        <f>เช้า!E61+'บ่าย '!E61+'เย็น '!E64</f>
        <v>15</v>
      </c>
      <c r="F61" s="30">
        <f>เช้า!F61+'บ่าย '!F61+'เย็น '!F64</f>
        <v>8</v>
      </c>
      <c r="G61" s="30">
        <f>เช้า!G61+'บ่าย '!G61+'เย็น '!G64</f>
        <v>247</v>
      </c>
      <c r="H61" s="30">
        <f>เช้า!H61+'บ่าย '!H61+'เย็น '!H64</f>
        <v>0</v>
      </c>
      <c r="I61" s="30">
        <f>เช้า!I61+'บ่าย '!I61+'เย็น '!I64</f>
        <v>0</v>
      </c>
      <c r="J61" s="30">
        <f>เช้า!J61+'บ่าย '!J61+'เย็น '!J64</f>
        <v>0</v>
      </c>
      <c r="K61" s="36">
        <f t="shared" si="8"/>
        <v>271</v>
      </c>
      <c r="L61" s="11"/>
      <c r="M61" s="11"/>
      <c r="N61" s="11"/>
      <c r="O61" s="11"/>
      <c r="P61" s="46">
        <f t="shared" si="6"/>
        <v>-271</v>
      </c>
      <c r="T61" s="48">
        <f t="shared" si="2"/>
        <v>-271</v>
      </c>
    </row>
    <row r="62" spans="2:20" x14ac:dyDescent="0.25">
      <c r="B62" s="11">
        <v>1114502</v>
      </c>
      <c r="C62" s="21" t="s">
        <v>60</v>
      </c>
      <c r="D62" s="30">
        <f>เช้า!D62+'บ่าย '!D62+'เย็น '!D65</f>
        <v>3</v>
      </c>
      <c r="E62" s="30">
        <f>เช้า!E62+'บ่าย '!E62+'เย็น '!E65</f>
        <v>10</v>
      </c>
      <c r="F62" s="30">
        <f>เช้า!F62+'บ่าย '!F62+'เย็น '!F65</f>
        <v>0</v>
      </c>
      <c r="G62" s="30">
        <f>เช้า!G62+'บ่าย '!G62+'เย็น '!G65</f>
        <v>246</v>
      </c>
      <c r="H62" s="30">
        <f>เช้า!H62+'บ่าย '!H62+'เย็น '!H65</f>
        <v>0</v>
      </c>
      <c r="I62" s="30">
        <f>เช้า!I62+'บ่าย '!I62+'เย็น '!I65</f>
        <v>0</v>
      </c>
      <c r="J62" s="30">
        <f>เช้า!J62+'บ่าย '!J62+'เย็น '!J65</f>
        <v>0</v>
      </c>
      <c r="K62" s="36">
        <f t="shared" si="8"/>
        <v>259</v>
      </c>
      <c r="L62" s="11"/>
      <c r="M62" s="11"/>
      <c r="N62" s="11"/>
      <c r="O62" s="11"/>
      <c r="P62" s="46">
        <f t="shared" si="6"/>
        <v>-259</v>
      </c>
      <c r="S62" s="47">
        <v>400</v>
      </c>
      <c r="T62" s="48">
        <f t="shared" si="2"/>
        <v>141</v>
      </c>
    </row>
    <row r="63" spans="2:20" x14ac:dyDescent="0.25">
      <c r="B63" s="11">
        <v>1114503</v>
      </c>
      <c r="C63" s="21" t="s">
        <v>61</v>
      </c>
      <c r="D63" s="30">
        <f>เช้า!D63+'บ่าย '!D63+'เย็น '!D66</f>
        <v>1</v>
      </c>
      <c r="E63" s="30">
        <f>เช้า!E63+'บ่าย '!E63+'เย็น '!E66</f>
        <v>14</v>
      </c>
      <c r="F63" s="30">
        <f>เช้า!F63+'บ่าย '!F63+'เย็น '!F66</f>
        <v>1</v>
      </c>
      <c r="G63" s="30">
        <f>เช้า!G63+'บ่าย '!G63+'เย็น '!G66</f>
        <v>246</v>
      </c>
      <c r="H63" s="30">
        <f>เช้า!H63+'บ่าย '!H63+'เย็น '!H66</f>
        <v>0</v>
      </c>
      <c r="I63" s="30">
        <f>เช้า!I63+'บ่าย '!I63+'เย็น '!I66</f>
        <v>0</v>
      </c>
      <c r="J63" s="30">
        <f>เช้า!J63+'บ่าย '!J63+'เย็น '!J66</f>
        <v>0</v>
      </c>
      <c r="K63" s="36">
        <f t="shared" si="8"/>
        <v>262</v>
      </c>
      <c r="L63" s="11"/>
      <c r="M63" s="11"/>
      <c r="N63" s="11"/>
      <c r="O63" s="11"/>
      <c r="P63" s="46">
        <f t="shared" si="6"/>
        <v>-262</v>
      </c>
      <c r="T63" s="48">
        <f t="shared" si="2"/>
        <v>-262</v>
      </c>
    </row>
    <row r="64" spans="2:20" x14ac:dyDescent="0.25">
      <c r="B64" s="11">
        <v>1124021</v>
      </c>
      <c r="C64" s="21" t="s">
        <v>62</v>
      </c>
      <c r="D64" s="30">
        <f>เช้า!D64+'บ่าย '!D64+'เย็น '!D67</f>
        <v>0</v>
      </c>
      <c r="E64" s="30">
        <f>เช้า!E64+'บ่าย '!E64+'เย็น '!E67</f>
        <v>40</v>
      </c>
      <c r="F64" s="30">
        <f>เช้า!F64+'บ่าย '!F64+'เย็น '!F67</f>
        <v>49</v>
      </c>
      <c r="G64" s="30">
        <f>เช้า!G64+'บ่าย '!G64+'เย็น '!G67</f>
        <v>55</v>
      </c>
      <c r="H64" s="30">
        <f>เช้า!H64+'บ่าย '!H64+'เย็น '!H67</f>
        <v>0</v>
      </c>
      <c r="I64" s="30">
        <f>เช้า!I64+'บ่าย '!I64+'เย็น '!I67</f>
        <v>0</v>
      </c>
      <c r="J64" s="30">
        <f>เช้า!J64+'บ่าย '!J64+'เย็น '!J67</f>
        <v>0</v>
      </c>
      <c r="K64" s="36">
        <f t="shared" si="8"/>
        <v>144</v>
      </c>
      <c r="L64" s="11"/>
      <c r="M64" s="11"/>
      <c r="N64" s="11"/>
      <c r="O64" s="11"/>
      <c r="P64" s="46">
        <f t="shared" si="6"/>
        <v>-144</v>
      </c>
      <c r="R64" s="47">
        <v>400</v>
      </c>
      <c r="T64" s="48">
        <f t="shared" si="2"/>
        <v>256</v>
      </c>
    </row>
    <row r="65" spans="2:20" hidden="1" x14ac:dyDescent="0.25">
      <c r="B65" s="11">
        <v>1113084</v>
      </c>
      <c r="C65" s="21" t="s">
        <v>63</v>
      </c>
      <c r="D65" s="30">
        <f>เช้า!D65+'บ่าย '!D65+'เย็น '!D68</f>
        <v>0</v>
      </c>
      <c r="E65" s="30">
        <f>เช้า!E65+'บ่าย '!E65+'เย็น '!E68</f>
        <v>0</v>
      </c>
      <c r="F65" s="30">
        <f>เช้า!F65+'บ่าย '!F65+'เย็น '!F68</f>
        <v>0</v>
      </c>
      <c r="G65" s="30">
        <f>เช้า!G65+'บ่าย '!G65+'เย็น '!G68</f>
        <v>0</v>
      </c>
      <c r="H65" s="30">
        <f>เช้า!H65+'บ่าย '!H65+'เย็น '!H68</f>
        <v>0</v>
      </c>
      <c r="I65" s="30">
        <f>เช้า!I65+'บ่าย '!I65+'เย็น '!I68</f>
        <v>0</v>
      </c>
      <c r="J65" s="30">
        <f>เช้า!J65+'บ่าย '!J65+'เย็น '!J68</f>
        <v>0</v>
      </c>
      <c r="K65" s="36">
        <f t="shared" si="8"/>
        <v>0</v>
      </c>
      <c r="L65" s="11"/>
      <c r="M65" s="11"/>
      <c r="N65" s="11"/>
      <c r="O65" s="11"/>
      <c r="P65" s="46">
        <f t="shared" si="6"/>
        <v>0</v>
      </c>
      <c r="T65" s="48">
        <f t="shared" si="2"/>
        <v>0</v>
      </c>
    </row>
    <row r="66" spans="2:20" hidden="1" x14ac:dyDescent="0.25">
      <c r="B66" s="11">
        <v>900003</v>
      </c>
      <c r="C66" s="21" t="s">
        <v>83</v>
      </c>
      <c r="D66" s="30">
        <f>เช้า!D66+'บ่าย '!D66+'เย็น '!D69</f>
        <v>0</v>
      </c>
      <c r="E66" s="30">
        <f>เช้า!E66+'บ่าย '!E66+'เย็น '!E69</f>
        <v>0</v>
      </c>
      <c r="F66" s="30">
        <f>เช้า!F66+'บ่าย '!F66+'เย็น '!F69</f>
        <v>0</v>
      </c>
      <c r="G66" s="30">
        <f>เช้า!G66+'บ่าย '!G66+'เย็น '!G69</f>
        <v>0</v>
      </c>
      <c r="H66" s="30">
        <f>เช้า!H66+'บ่าย '!H66+'เย็น '!H69</f>
        <v>0</v>
      </c>
      <c r="I66" s="30">
        <f>เช้า!I66+'บ่าย '!I66+'เย็น '!I69</f>
        <v>0</v>
      </c>
      <c r="J66" s="30">
        <f>เช้า!J66+'บ่าย '!J66+'เย็น '!J69</f>
        <v>0</v>
      </c>
      <c r="K66" s="36">
        <f t="shared" si="8"/>
        <v>0</v>
      </c>
      <c r="L66" s="11"/>
      <c r="M66" s="11"/>
      <c r="N66" s="11"/>
      <c r="O66" s="11"/>
      <c r="P66" s="46">
        <f t="shared" si="6"/>
        <v>0</v>
      </c>
      <c r="T66" s="48">
        <f t="shared" si="2"/>
        <v>0</v>
      </c>
    </row>
    <row r="67" spans="2:20" hidden="1" x14ac:dyDescent="0.25">
      <c r="B67" s="11">
        <v>900004</v>
      </c>
      <c r="C67" s="21" t="s">
        <v>64</v>
      </c>
      <c r="D67" s="30">
        <f>เช้า!D67+'บ่าย '!D67+'เย็น '!D70</f>
        <v>0</v>
      </c>
      <c r="E67" s="30">
        <f>เช้า!E67+'บ่าย '!E67+'เย็น '!E70</f>
        <v>0</v>
      </c>
      <c r="F67" s="30">
        <f>เช้า!F67+'บ่าย '!F67+'เย็น '!F70</f>
        <v>0</v>
      </c>
      <c r="G67" s="30">
        <f>เช้า!G67+'บ่าย '!G67+'เย็น '!G70</f>
        <v>0</v>
      </c>
      <c r="H67" s="30">
        <f>เช้า!H67+'บ่าย '!H67+'เย็น '!H70</f>
        <v>0</v>
      </c>
      <c r="I67" s="30">
        <f>เช้า!I67+'บ่าย '!I67+'เย็น '!I70</f>
        <v>0</v>
      </c>
      <c r="J67" s="30">
        <f>เช้า!J67+'บ่าย '!J67+'เย็น '!J70</f>
        <v>0</v>
      </c>
      <c r="K67" s="36">
        <f t="shared" si="8"/>
        <v>0</v>
      </c>
      <c r="L67" s="11"/>
      <c r="M67" s="11"/>
      <c r="N67" s="11"/>
      <c r="O67" s="11"/>
      <c r="P67" s="46">
        <f t="shared" si="6"/>
        <v>0</v>
      </c>
      <c r="T67" s="48">
        <f t="shared" si="2"/>
        <v>0</v>
      </c>
    </row>
    <row r="68" spans="2:20" hidden="1" x14ac:dyDescent="0.25">
      <c r="B68" s="11">
        <v>1200002</v>
      </c>
      <c r="C68" s="21" t="s">
        <v>65</v>
      </c>
      <c r="D68" s="30">
        <f>เช้า!D68+'บ่าย '!D68+'เย็น '!D71</f>
        <v>4</v>
      </c>
      <c r="E68" s="30">
        <f>เช้า!E68+'บ่าย '!E68+'เย็น '!E71</f>
        <v>0</v>
      </c>
      <c r="F68" s="30">
        <f>เช้า!F68+'บ่าย '!F68+'เย็น '!F71</f>
        <v>0</v>
      </c>
      <c r="G68" s="30">
        <f>เช้า!G68+'บ่าย '!G68+'เย็น '!G71</f>
        <v>0</v>
      </c>
      <c r="H68" s="30">
        <f>เช้า!H68+'บ่าย '!H68+'เย็น '!H71</f>
        <v>0</v>
      </c>
      <c r="I68" s="30">
        <f>เช้า!I68+'บ่าย '!I68+'เย็น '!I71</f>
        <v>0</v>
      </c>
      <c r="J68" s="30">
        <f>เช้า!J68+'บ่าย '!J68+'เย็น '!J71</f>
        <v>0</v>
      </c>
      <c r="K68" s="36">
        <f t="shared" si="8"/>
        <v>4</v>
      </c>
      <c r="L68" s="11"/>
      <c r="M68" s="11"/>
      <c r="N68" s="11"/>
      <c r="O68" s="11"/>
      <c r="P68" s="46">
        <f t="shared" ref="P68:P75" si="9">(L68+M68+N68+O68)-K68</f>
        <v>-4</v>
      </c>
      <c r="T68" s="48">
        <f t="shared" si="2"/>
        <v>-4</v>
      </c>
    </row>
    <row r="69" spans="2:20" hidden="1" x14ac:dyDescent="0.25">
      <c r="B69" s="11">
        <v>1200003</v>
      </c>
      <c r="C69" s="21" t="s">
        <v>66</v>
      </c>
      <c r="D69" s="30">
        <f>เช้า!D69+'บ่าย '!D69+'เย็น '!D72</f>
        <v>4</v>
      </c>
      <c r="E69" s="30">
        <f>เช้า!E69+'บ่าย '!E69+'เย็น '!E72</f>
        <v>0</v>
      </c>
      <c r="F69" s="30">
        <f>เช้า!F69+'บ่าย '!F69+'เย็น '!F72</f>
        <v>0</v>
      </c>
      <c r="G69" s="30">
        <f>เช้า!G69+'บ่าย '!G69+'เย็น '!G72</f>
        <v>0</v>
      </c>
      <c r="H69" s="30">
        <f>เช้า!H69+'บ่าย '!H69+'เย็น '!H72</f>
        <v>0</v>
      </c>
      <c r="I69" s="30">
        <f>เช้า!I69+'บ่าย '!I69+'เย็น '!I72</f>
        <v>0</v>
      </c>
      <c r="J69" s="30">
        <f>เช้า!J69+'บ่าย '!J69+'เย็น '!J72</f>
        <v>0</v>
      </c>
      <c r="K69" s="36">
        <f t="shared" si="8"/>
        <v>4</v>
      </c>
      <c r="L69" s="11"/>
      <c r="M69" s="11"/>
      <c r="N69" s="11"/>
      <c r="O69" s="11"/>
      <c r="P69" s="46">
        <f t="shared" si="9"/>
        <v>-4</v>
      </c>
      <c r="T69" s="48">
        <f t="shared" si="2"/>
        <v>-4</v>
      </c>
    </row>
    <row r="70" spans="2:20" hidden="1" x14ac:dyDescent="0.25">
      <c r="B70" s="11">
        <v>1200004</v>
      </c>
      <c r="C70" s="21" t="s">
        <v>67</v>
      </c>
      <c r="D70" s="30">
        <f>เช้า!D70+'บ่าย '!D70+'เย็น '!D73</f>
        <v>0</v>
      </c>
      <c r="E70" s="30">
        <f>เช้า!E70+'บ่าย '!E70+'เย็น '!E73</f>
        <v>0</v>
      </c>
      <c r="F70" s="30">
        <f>เช้า!F70+'บ่าย '!F70+'เย็น '!F73</f>
        <v>0</v>
      </c>
      <c r="G70" s="30">
        <f>เช้า!G70+'บ่าย '!G70+'เย็น '!G73</f>
        <v>0</v>
      </c>
      <c r="H70" s="30">
        <f>เช้า!H70+'บ่าย '!H70+'เย็น '!H73</f>
        <v>0</v>
      </c>
      <c r="I70" s="30">
        <f>เช้า!I70+'บ่าย '!I70+'เย็น '!I73</f>
        <v>0</v>
      </c>
      <c r="J70" s="30">
        <f>เช้า!J70+'บ่าย '!J70+'เย็น '!J73</f>
        <v>0</v>
      </c>
      <c r="K70" s="36">
        <f t="shared" si="8"/>
        <v>0</v>
      </c>
      <c r="L70" s="11"/>
      <c r="M70" s="11"/>
      <c r="N70" s="11"/>
      <c r="O70" s="11"/>
      <c r="P70" s="46">
        <f t="shared" si="9"/>
        <v>0</v>
      </c>
      <c r="T70" s="48">
        <f t="shared" si="2"/>
        <v>0</v>
      </c>
    </row>
    <row r="71" spans="2:20" hidden="1" x14ac:dyDescent="0.25">
      <c r="B71" s="11">
        <v>1200093</v>
      </c>
      <c r="C71" s="21" t="s">
        <v>55</v>
      </c>
      <c r="D71" s="30">
        <f>เช้า!D71+'บ่าย '!D71+'เย็น '!D74</f>
        <v>0</v>
      </c>
      <c r="E71" s="30">
        <f>เช้า!E71+'บ่าย '!E71+'เย็น '!E74</f>
        <v>0</v>
      </c>
      <c r="F71" s="30">
        <f>เช้า!F71+'บ่าย '!F71+'เย็น '!F74</f>
        <v>0</v>
      </c>
      <c r="G71" s="30">
        <f>เช้า!G71+'บ่าย '!G71+'เย็น '!G74</f>
        <v>0</v>
      </c>
      <c r="H71" s="30">
        <f>เช้า!H71+'บ่าย '!H71+'เย็น '!H74</f>
        <v>0</v>
      </c>
      <c r="I71" s="30">
        <f>เช้า!I71+'บ่าย '!I71+'เย็น '!I74</f>
        <v>0</v>
      </c>
      <c r="J71" s="30">
        <f>เช้า!J71+'บ่าย '!J71+'เย็น '!J74</f>
        <v>0</v>
      </c>
      <c r="K71" s="36">
        <f t="shared" si="8"/>
        <v>0</v>
      </c>
      <c r="L71" s="11"/>
      <c r="M71" s="11"/>
      <c r="N71" s="11"/>
      <c r="O71" s="11"/>
      <c r="P71" s="46">
        <f t="shared" si="9"/>
        <v>0</v>
      </c>
      <c r="T71" s="48">
        <f t="shared" si="2"/>
        <v>0</v>
      </c>
    </row>
    <row r="72" spans="2:20" hidden="1" x14ac:dyDescent="0.25">
      <c r="B72" s="11">
        <v>1200092</v>
      </c>
      <c r="C72" s="19" t="s">
        <v>56</v>
      </c>
      <c r="D72" s="30">
        <f>เช้า!D72+'บ่าย '!D72+'เย็น '!D75</f>
        <v>0</v>
      </c>
      <c r="E72" s="30">
        <f>เช้า!E72+'บ่าย '!E72+'เย็น '!E75</f>
        <v>0</v>
      </c>
      <c r="F72" s="30">
        <f>เช้า!F72+'บ่าย '!F72+'เย็น '!F75</f>
        <v>0</v>
      </c>
      <c r="G72" s="30">
        <f>เช้า!G72+'บ่าย '!G72+'เย็น '!G75</f>
        <v>0</v>
      </c>
      <c r="H72" s="30">
        <f>เช้า!H72+'บ่าย '!H72+'เย็น '!H75</f>
        <v>0</v>
      </c>
      <c r="I72" s="30">
        <f>เช้า!I72+'บ่าย '!I72+'เย็น '!I75</f>
        <v>0</v>
      </c>
      <c r="J72" s="30">
        <f>เช้า!J72+'บ่าย '!J72+'เย็น '!J75</f>
        <v>0</v>
      </c>
      <c r="K72" s="36">
        <f t="shared" si="8"/>
        <v>0</v>
      </c>
      <c r="L72" s="11"/>
      <c r="M72" s="11"/>
      <c r="N72" s="11"/>
      <c r="O72" s="11"/>
      <c r="P72" s="46">
        <f t="shared" si="9"/>
        <v>0</v>
      </c>
      <c r="T72" s="48">
        <f t="shared" ref="T72:T74" si="10">S72+R72+P72</f>
        <v>0</v>
      </c>
    </row>
    <row r="73" spans="2:20" x14ac:dyDescent="0.25">
      <c r="B73" s="22"/>
      <c r="C73" s="21" t="s">
        <v>76</v>
      </c>
      <c r="D73" s="30">
        <f>เช้า!D73+'บ่าย '!D73+'เย็น '!D76</f>
        <v>0</v>
      </c>
      <c r="E73" s="30">
        <f>เช้า!E73+'บ่าย '!E73+'เย็น '!E76</f>
        <v>0</v>
      </c>
      <c r="F73" s="30">
        <f>เช้า!F73+'บ่าย '!F73+'เย็น '!F76</f>
        <v>0</v>
      </c>
      <c r="G73" s="30">
        <f>เช้า!G73+'บ่าย '!G73+'เย็น '!G76</f>
        <v>0</v>
      </c>
      <c r="H73" s="30">
        <f>เช้า!H73+'บ่าย '!H73+'เย็น '!H76</f>
        <v>0</v>
      </c>
      <c r="I73" s="30">
        <f>เช้า!I73+'บ่าย '!I73+'เย็น '!I76</f>
        <v>0</v>
      </c>
      <c r="J73" s="30">
        <f>เช้า!J73+'บ่าย '!J73+'เย็น '!J76</f>
        <v>5</v>
      </c>
      <c r="K73" s="36">
        <f t="shared" si="8"/>
        <v>5</v>
      </c>
      <c r="L73" s="11"/>
      <c r="M73" s="11"/>
      <c r="N73" s="11"/>
      <c r="O73" s="11"/>
      <c r="P73" s="46">
        <f t="shared" si="9"/>
        <v>-5</v>
      </c>
      <c r="T73" s="48">
        <f t="shared" si="10"/>
        <v>-5</v>
      </c>
    </row>
    <row r="74" spans="2:20" x14ac:dyDescent="0.25">
      <c r="B74" s="22"/>
      <c r="C74" s="21" t="s">
        <v>77</v>
      </c>
      <c r="D74" s="30">
        <f>เช้า!D74+'บ่าย '!D74+'เย็น '!D77</f>
        <v>0</v>
      </c>
      <c r="E74" s="30">
        <f>เช้า!E74+'บ่าย '!E74+'เย็น '!E77</f>
        <v>2</v>
      </c>
      <c r="F74" s="30">
        <f>เช้า!F74+'บ่าย '!F74+'เย็น '!F77</f>
        <v>0</v>
      </c>
      <c r="G74" s="30">
        <f>เช้า!G74+'บ่าย '!G74+'เย็น '!G77</f>
        <v>0</v>
      </c>
      <c r="H74" s="30">
        <f>เช้า!H74+'บ่าย '!H74+'เย็น '!H77</f>
        <v>0</v>
      </c>
      <c r="I74" s="30">
        <f>เช้า!I74+'บ่าย '!I74+'เย็น '!I77</f>
        <v>0</v>
      </c>
      <c r="J74" s="30">
        <f>เช้า!J74+'บ่าย '!J74+'เย็น '!J77</f>
        <v>0</v>
      </c>
      <c r="K74" s="36">
        <f t="shared" si="8"/>
        <v>2</v>
      </c>
      <c r="L74" s="11"/>
      <c r="M74" s="11"/>
      <c r="N74" s="11"/>
      <c r="O74" s="11"/>
      <c r="P74" s="46">
        <f t="shared" si="9"/>
        <v>-2</v>
      </c>
      <c r="T74" s="48">
        <f t="shared" si="10"/>
        <v>-2</v>
      </c>
    </row>
    <row r="75" spans="2:20" x14ac:dyDescent="0.25">
      <c r="B75" s="22">
        <v>20052721</v>
      </c>
      <c r="C75" s="21" t="s">
        <v>82</v>
      </c>
      <c r="D75" s="30">
        <f>เช้า!D75+'บ่าย '!D75+'เย็น '!D78</f>
        <v>0</v>
      </c>
      <c r="E75" s="30">
        <f>เช้า!E75+'บ่าย '!E75+'เย็น '!E78</f>
        <v>0</v>
      </c>
      <c r="F75" s="30">
        <f>เช้า!F75+'บ่าย '!F75+'เย็น '!F78</f>
        <v>0</v>
      </c>
      <c r="G75" s="30">
        <f>เช้า!G75+'บ่าย '!G75+'เย็น '!G78</f>
        <v>0</v>
      </c>
      <c r="H75" s="30">
        <f>เช้า!H75+'บ่าย '!H75+'เย็น '!H78</f>
        <v>0</v>
      </c>
      <c r="I75" s="30">
        <f>เช้า!I75+'บ่าย '!I75+'เย็น '!I78</f>
        <v>0</v>
      </c>
      <c r="J75" s="30">
        <f>เช้า!J75+'บ่าย '!J75+'เย็น '!J78</f>
        <v>0</v>
      </c>
      <c r="K75" s="36">
        <f t="shared" si="8"/>
        <v>0</v>
      </c>
      <c r="L75" s="11"/>
      <c r="M75" s="11"/>
      <c r="N75" s="11"/>
      <c r="O75" s="11"/>
      <c r="P75" s="46">
        <f t="shared" si="9"/>
        <v>0</v>
      </c>
    </row>
    <row r="76" spans="2:20" ht="40.5" customHeight="1" x14ac:dyDescent="0.25">
      <c r="C76" s="35"/>
      <c r="D76" s="39">
        <f t="shared" ref="D76:J76" si="11">SUM(D7:D37,D40,D42,D44:D53,D56:D75)</f>
        <v>81</v>
      </c>
      <c r="E76" s="39">
        <f t="shared" si="11"/>
        <v>228</v>
      </c>
      <c r="F76" s="39">
        <f t="shared" si="11"/>
        <v>127</v>
      </c>
      <c r="G76" s="39">
        <f t="shared" si="11"/>
        <v>1250</v>
      </c>
      <c r="H76" s="39">
        <f t="shared" si="11"/>
        <v>0</v>
      </c>
      <c r="I76" s="39">
        <f t="shared" si="11"/>
        <v>0</v>
      </c>
      <c r="J76" s="39">
        <f t="shared" si="11"/>
        <v>7</v>
      </c>
      <c r="K76" s="39">
        <f>SUM(K7:K37,K40,K42,K44:K53,K56:K75)</f>
        <v>1693</v>
      </c>
      <c r="L76" s="38">
        <f>SUM(L56:L75,L44:L52,L42:L42,L40:L40,L7:L37)</f>
        <v>0</v>
      </c>
      <c r="M76" s="38">
        <f>SUM(M56:M75,M44:M52,M42:M42,M40:M40,M7:M37)</f>
        <v>0</v>
      </c>
      <c r="N76" s="38">
        <f>SUM(N56:N75,N44:N52,N42:N42,N40:N40,N7:N37)</f>
        <v>0</v>
      </c>
      <c r="O76" s="38">
        <f>SUM(O56:O75,O44:O52,O42:O42,O40:O40,O7:O37)</f>
        <v>0</v>
      </c>
      <c r="P76" s="38">
        <f>SUM(P56:P75,P44:P52,P42:P42,P40:P40,P7:P37)</f>
        <v>-1693</v>
      </c>
    </row>
    <row r="77" spans="2:20" x14ac:dyDescent="0.25">
      <c r="B77" s="37"/>
      <c r="C77" s="35"/>
      <c r="D77" s="38"/>
      <c r="E77" s="38"/>
      <c r="F77" s="38"/>
      <c r="G77" s="38"/>
      <c r="H77" s="38"/>
      <c r="I77" s="38"/>
      <c r="J77" s="38"/>
      <c r="K77" s="39"/>
    </row>
    <row r="78" spans="2:20" x14ac:dyDescent="0.25">
      <c r="B78" s="37"/>
      <c r="C78" s="35"/>
      <c r="D78" s="38"/>
      <c r="E78" s="38"/>
      <c r="F78" s="38"/>
      <c r="G78" s="38"/>
      <c r="H78" s="38"/>
      <c r="I78" s="38"/>
      <c r="J78" s="38"/>
      <c r="K78" s="39"/>
    </row>
    <row r="79" spans="2:20" x14ac:dyDescent="0.25">
      <c r="C79" s="24"/>
      <c r="D79" s="31"/>
      <c r="E79" s="58"/>
      <c r="F79" s="58"/>
      <c r="G79" s="26"/>
      <c r="K79" s="40"/>
    </row>
    <row r="80" spans="2:20" x14ac:dyDescent="0.25">
      <c r="B80" s="58" t="s">
        <v>68</v>
      </c>
      <c r="C80" s="58"/>
      <c r="D80" s="32"/>
      <c r="E80" s="56"/>
      <c r="F80" s="56"/>
      <c r="G80" s="27"/>
      <c r="H80" s="26"/>
      <c r="I80" s="58" t="s">
        <v>68</v>
      </c>
      <c r="J80" s="58"/>
      <c r="K80" s="58"/>
    </row>
    <row r="81" spans="2:11" x14ac:dyDescent="0.25">
      <c r="B81" s="56" t="s">
        <v>69</v>
      </c>
      <c r="C81" s="56"/>
      <c r="D81" s="33"/>
      <c r="E81" s="33"/>
      <c r="F81" s="33"/>
      <c r="G81" s="33"/>
      <c r="H81" s="33"/>
      <c r="I81" s="56" t="s">
        <v>70</v>
      </c>
      <c r="J81" s="56"/>
      <c r="K81" s="56"/>
    </row>
    <row r="82" spans="2:11" x14ac:dyDescent="0.25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ht="19.5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9.5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9.5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9.5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x14ac:dyDescent="0.25">
      <c r="D88" s="31"/>
      <c r="E88" s="31"/>
      <c r="F88" s="31"/>
      <c r="G88" s="31"/>
      <c r="H88" s="31"/>
    </row>
    <row r="89" spans="2:11" x14ac:dyDescent="0.25">
      <c r="D89" s="31"/>
      <c r="E89" s="31"/>
      <c r="F89" s="31"/>
      <c r="G89" s="31"/>
      <c r="H89" s="31"/>
    </row>
    <row r="90" spans="2:11" x14ac:dyDescent="0.25">
      <c r="D90" s="31"/>
      <c r="E90" s="31"/>
      <c r="F90" s="31"/>
      <c r="G90" s="31"/>
      <c r="H90" s="31"/>
    </row>
    <row r="91" spans="2:11" x14ac:dyDescent="0.25">
      <c r="D91" s="31"/>
      <c r="E91" s="31"/>
      <c r="F91" s="31"/>
      <c r="G91" s="31"/>
      <c r="H91" s="31"/>
    </row>
    <row r="92" spans="2:11" x14ac:dyDescent="0.25">
      <c r="D92" s="31"/>
      <c r="E92" s="31"/>
      <c r="F92" s="31"/>
      <c r="G92" s="31"/>
      <c r="H92" s="31"/>
    </row>
    <row r="93" spans="2:11" x14ac:dyDescent="0.25">
      <c r="D93" s="31"/>
      <c r="E93" s="31"/>
      <c r="F93" s="31"/>
      <c r="G93" s="31"/>
      <c r="H93" s="31"/>
    </row>
    <row r="94" spans="2:11" x14ac:dyDescent="0.25">
      <c r="D94" s="31"/>
      <c r="E94" s="31"/>
      <c r="F94" s="31"/>
      <c r="G94" s="31"/>
      <c r="H94" s="31"/>
    </row>
    <row r="95" spans="2:11" x14ac:dyDescent="0.25">
      <c r="D95" s="31"/>
      <c r="E95" s="31"/>
      <c r="F95" s="31"/>
      <c r="G95" s="31"/>
      <c r="H95" s="31"/>
    </row>
    <row r="96" spans="2:11" x14ac:dyDescent="0.25">
      <c r="D96" s="31"/>
      <c r="E96" s="31"/>
      <c r="F96" s="31"/>
      <c r="G96" s="31"/>
      <c r="H96" s="31"/>
    </row>
    <row r="97" spans="4:8" x14ac:dyDescent="0.25">
      <c r="D97" s="31"/>
      <c r="E97" s="31"/>
      <c r="F97" s="31"/>
      <c r="G97" s="31"/>
      <c r="H97" s="31"/>
    </row>
    <row r="98" spans="4:8" x14ac:dyDescent="0.25">
      <c r="D98" s="31"/>
      <c r="E98" s="31"/>
      <c r="F98" s="31"/>
      <c r="G98" s="31"/>
      <c r="H98" s="31"/>
    </row>
  </sheetData>
  <mergeCells count="19">
    <mergeCell ref="B81:C81"/>
    <mergeCell ref="I81:K81"/>
    <mergeCell ref="P2:P4"/>
    <mergeCell ref="B6:P6"/>
    <mergeCell ref="B39:P39"/>
    <mergeCell ref="B41:P41"/>
    <mergeCell ref="B43:P43"/>
    <mergeCell ref="O2:O4"/>
    <mergeCell ref="B55:P55"/>
    <mergeCell ref="E79:F79"/>
    <mergeCell ref="B80:C80"/>
    <mergeCell ref="E80:F80"/>
    <mergeCell ref="I80:K80"/>
    <mergeCell ref="M2:M4"/>
    <mergeCell ref="B1:K1"/>
    <mergeCell ref="B2:C3"/>
    <mergeCell ref="E2:F3"/>
    <mergeCell ref="L2:L4"/>
    <mergeCell ref="N2:N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</vt:lpstr>
      <vt:lpstr>บ่าย 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2024-11-19T06:44:53Z</dcterms:modified>
</cp:coreProperties>
</file>