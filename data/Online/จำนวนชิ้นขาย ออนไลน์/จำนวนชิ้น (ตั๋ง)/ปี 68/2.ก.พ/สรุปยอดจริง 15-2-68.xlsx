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"/>
    </mc:Choice>
  </mc:AlternateContent>
  <xr:revisionPtr revIDLastSave="0" documentId="13_ncr:1_{3C04EEAD-AB34-4E40-BC64-9FEB61D73158}" xr6:coauthVersionLast="47" xr6:coauthVersionMax="47" xr10:uidLastSave="{00000000-0000-0000-0000-000000000000}"/>
  <bookViews>
    <workbookView xWindow="450" yWindow="330" windowWidth="21165" windowHeight="13425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K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12" i="5" l="1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<sst xmlns="http://schemas.openxmlformats.org/spreadsheetml/2006/main" count="615" uniqueCount="146">
  <si>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</si>
  <si>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</si>
  <si>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</si>
  <si>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</si>
  <si>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</si>
  <si>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</si>
  <si>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</si>
  <si>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</si>
  <si>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</si>
  <si>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</si>
  <si>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</si>
  <si>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</si>
  <si>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</si>
  <si>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</si>
  <si>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</si>
  <si>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</si>
  <si>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</si>
  <si>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</si>
  <si>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</si>
  <si>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</si>
  <si>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</si>
  <si>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</si>
  <si>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</si>
  <si>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</si>
  <si>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</si>
  <si>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</si>
  <si>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</si>
  <si>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</si>
  <si>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</si>
  <si>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</si>
  <si>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</si>
  <si>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</si>
  <si>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</si>
  <si>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</si>
  <si>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</si>
  <si>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</si>
  <si>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</si>
  <si>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</si>
  <si>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</si>
  <si>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</si>
  <si>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</si>
  <si>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</si>
  <si>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</si>
  <si>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</si>
  <si>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</si>
  <si>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</si>
  <si>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</si>
  <si>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</si>
  <si>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</si>
  <si>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</si>
  <si>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</si>
  <si>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</si>
  <si>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</si>
  <si>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</si>
  <si>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</si>
  <si>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</si>
  <si>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</si>
  <si>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</si>
  <si>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</si>
  <si>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</si>
  <si>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</si>
  <si>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</si>
  <si>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</si>
  <si>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</si>
  <si>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</si>
  <si>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</si>
  <si>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</si>
  <si>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</si>
  <si>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</si>
  <si>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</si>
  <si>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</si>
  <si>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</si>
  <si>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</si>
  <si>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</si>
  <si>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</si>
  <si>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</si>
  <si>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</si>
  <si>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</si>
  <si>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</si>
  <si>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</si>
  <si>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</si>
  <si>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</si>
  <si>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</si>
  <si>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</si>
  <si>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</si>
  <si>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</si>
  <si>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</si>
  <si>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</si>
  <si>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</si>
  <si>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</si>
  <si>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</si>
  <si>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</si>
  <si>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</si>
  <si>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</si>
  <si>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</si>
  <si>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</si>
  <si>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</si>
  <si>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</si>
  <si>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</si>
  <si>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</si>
  <si>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</si>
  <si>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</si>
  <si>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</si>
  <si>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</si>
  <si>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</si>
  <si>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</si>
  <si>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</si>
  <si>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</si>
  <si>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</si>
  <si>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</si>
  <si>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</si>
  <si>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</si>
  <si>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</si>
  <si>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</si>
  <si>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</si>
  <si>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</si>
  <si>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</si>
  <si>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</si>
  <si>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</si>
  <si>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</si>
  <si>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</si>
  <si>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</si>
  <si>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</si>
  <si>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</si>
  <si>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</si>
  <si>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</si>
  <si>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</si>
  <si>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</si>
  <si>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</si>
  <si>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</si>
  <si>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</si>
  <si>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</si>
  <si>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</si>
  <si>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</si>
  <si>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</si>
  <si>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</si>
  <si>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</si>
  <si>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</si>
  <si>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</si>
  <si>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</si>
  <si>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</si>
  <si>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</si>
  <si>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</si>
  <si>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</si>
  <si>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15/2/2568- เช้า</t>
  </si>
  <si>
    <t>ยอดจริง ออนไลน์ วันที่ 15/2/2568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</si>
</sst>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7" zoomScale="60" zoomScaleNormal="60" workbookViewId="0">
      <selection activeCell="B101" sqref="B101:L101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1" width="14.375" style="16" hidden="1" customWidth="1"/>
    <col min="12" max="12" width="17.625" style="26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>
        <v>27</v>
      </c>
      <c r="E7" s="31">
        <v>22</v>
      </c>
      <c r="F7" s="31">
        <v>43</v>
      </c>
      <c r="G7" s="31">
        <v>43</v>
      </c>
      <c r="H7" s="31"/>
      <c r="I7" s="31"/>
      <c r="J7" s="44"/>
      <c r="K7" s="44"/>
      <c r="L7" s="37">
        <f>SUM(D7:K7)</f>
        <v>135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>
        <v>2</v>
      </c>
      <c r="E25" s="31">
        <v>6</v>
      </c>
      <c r="F25" s="31">
        <v>8</v>
      </c>
      <c r="G25" s="31">
        <v>2</v>
      </c>
      <c r="H25" s="31"/>
      <c r="I25" s="31"/>
      <c r="J25" s="44"/>
      <c r="K25" s="44"/>
      <c r="L25" s="37">
        <f t="shared" si="0"/>
        <v>18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hidden="1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hidden="1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hidden="1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hidden="1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hidden="1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hidden="1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hidden="1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hidden="1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hidden="1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hidden="1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hidden="1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hidden="1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hidden="1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hidden="1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hidden="1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hidden="1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hidden="1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hidden="1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hidden="1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hidden="1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hidden="1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hidden="1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hidden="1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hidden="1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hidden="1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hidden="1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hidden="1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>
        <v>8</v>
      </c>
      <c r="E69" s="31">
        <v>6</v>
      </c>
      <c r="F69" s="31">
        <v>6</v>
      </c>
      <c r="G69" s="31">
        <v>17</v>
      </c>
      <c r="H69" s="31"/>
      <c r="I69" s="31"/>
      <c r="J69" s="44"/>
      <c r="K69" s="44"/>
      <c r="L69" s="37">
        <f t="shared" ref="L69:L76" si="1">SUM(D69:K69)</f>
        <v>37</v>
      </c>
    </row>
    <row r="70" spans="2:12" hidden="1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hidden="1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hidden="1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>
        <v>12</v>
      </c>
      <c r="H87" s="31"/>
      <c r="I87" s="31"/>
      <c r="J87" s="44"/>
      <c r="K87" s="44"/>
      <c r="L87" s="37">
        <f t="shared" si="2"/>
        <v>12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>
        <v>3</v>
      </c>
      <c r="E90" s="31"/>
      <c r="F90" s="31">
        <v>2</v>
      </c>
      <c r="G90" s="31"/>
      <c r="H90" s="31"/>
      <c r="I90" s="31"/>
      <c r="J90" s="44"/>
      <c r="K90" s="44"/>
      <c r="L90" s="37">
        <f t="shared" ref="L90:L99" si="3">SUM(D90:K90)</f>
        <v>5</v>
      </c>
    </row>
    <row r="91" spans="2:12" x14ac:dyDescent="0.2">
      <c r="B91" s="11">
        <v>1112011</v>
      </c>
      <c r="C91" s="20" t="s">
        <v>76</v>
      </c>
      <c r="D91" s="31">
        <v>6</v>
      </c>
      <c r="E91" s="31">
        <v>4</v>
      </c>
      <c r="F91" s="31">
        <v>2</v>
      </c>
      <c r="G91" s="31"/>
      <c r="H91" s="31"/>
      <c r="I91" s="31"/>
      <c r="J91" s="44"/>
      <c r="K91" s="44"/>
      <c r="L91" s="37">
        <f t="shared" si="3"/>
        <v>12</v>
      </c>
    </row>
    <row r="92" spans="2:12" x14ac:dyDescent="0.2">
      <c r="B92" s="11">
        <v>1112003</v>
      </c>
      <c r="C92" s="20" t="s">
        <v>77</v>
      </c>
      <c r="D92" s="31">
        <v>5</v>
      </c>
      <c r="E92" s="31"/>
      <c r="F92" s="31">
        <v>2</v>
      </c>
      <c r="G92" s="31"/>
      <c r="H92" s="31"/>
      <c r="I92" s="31"/>
      <c r="J92" s="44"/>
      <c r="K92" s="44"/>
      <c r="L92" s="37">
        <f t="shared" si="3"/>
        <v>7</v>
      </c>
    </row>
    <row r="93" spans="2:12" x14ac:dyDescent="0.2">
      <c r="B93" s="11">
        <v>1112005</v>
      </c>
      <c r="C93" s="20" t="s">
        <v>78</v>
      </c>
      <c r="D93" s="31">
        <v>4</v>
      </c>
      <c r="E93" s="31"/>
      <c r="F93" s="31">
        <v>2</v>
      </c>
      <c r="G93" s="31"/>
      <c r="H93" s="31"/>
      <c r="I93" s="31"/>
      <c r="J93" s="44"/>
      <c r="K93" s="44"/>
      <c r="L93" s="37">
        <f t="shared" si="3"/>
        <v>6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>
        <v>3</v>
      </c>
      <c r="E98" s="31"/>
      <c r="F98" s="31">
        <v>2</v>
      </c>
      <c r="G98" s="31">
        <v>4</v>
      </c>
      <c r="H98" s="31"/>
      <c r="I98" s="31"/>
      <c r="J98" s="44"/>
      <c r="K98" s="44"/>
      <c r="L98" s="37">
        <f t="shared" si="3"/>
        <v>9</v>
      </c>
    </row>
    <row r="99" spans="2:12" hidden="1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>
        <v>7</v>
      </c>
      <c r="E102" s="31">
        <v>5</v>
      </c>
      <c r="F102" s="31"/>
      <c r="G102" s="31">
        <v>6</v>
      </c>
      <c r="H102" s="31"/>
      <c r="I102" s="31"/>
      <c r="J102" s="44"/>
      <c r="K102" s="44"/>
      <c r="L102" s="37">
        <f t="shared" ref="L102:L111" si="5">SUM(D102:K102)</f>
        <v>18</v>
      </c>
    </row>
    <row r="103" spans="2:12" x14ac:dyDescent="0.2">
      <c r="B103" s="11">
        <v>1112010</v>
      </c>
      <c r="C103" s="20" t="s">
        <v>76</v>
      </c>
      <c r="D103" s="31">
        <v>11</v>
      </c>
      <c r="E103" s="31"/>
      <c r="F103" s="31"/>
      <c r="G103" s="31">
        <v>6</v>
      </c>
      <c r="H103" s="31"/>
      <c r="I103" s="31"/>
      <c r="J103" s="44"/>
      <c r="K103" s="44"/>
      <c r="L103" s="37">
        <f t="shared" si="5"/>
        <v>17</v>
      </c>
    </row>
    <row r="104" spans="2:12" x14ac:dyDescent="0.2">
      <c r="B104" s="11">
        <v>1112002</v>
      </c>
      <c r="C104" s="20" t="s">
        <v>77</v>
      </c>
      <c r="D104" s="31">
        <v>14</v>
      </c>
      <c r="E104" s="31"/>
      <c r="F104" s="31"/>
      <c r="G104" s="31">
        <v>6</v>
      </c>
      <c r="H104" s="31"/>
      <c r="I104" s="31"/>
      <c r="J104" s="44"/>
      <c r="K104" s="44"/>
      <c r="L104" s="37">
        <f t="shared" si="5"/>
        <v>20</v>
      </c>
    </row>
    <row r="105" spans="2:12" x14ac:dyDescent="0.2">
      <c r="B105" s="11">
        <v>1112004</v>
      </c>
      <c r="C105" s="20" t="s">
        <v>78</v>
      </c>
      <c r="D105" s="31">
        <v>6</v>
      </c>
      <c r="E105" s="31"/>
      <c r="F105" s="31"/>
      <c r="G105" s="31">
        <v>6</v>
      </c>
      <c r="H105" s="31"/>
      <c r="I105" s="31"/>
      <c r="J105" s="44"/>
      <c r="K105" s="44"/>
      <c r="L105" s="37">
        <f t="shared" si="5"/>
        <v>12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>
        <v>5</v>
      </c>
      <c r="E108" s="31"/>
      <c r="F108" s="31"/>
      <c r="G108" s="31">
        <v>6</v>
      </c>
      <c r="H108" s="31"/>
      <c r="I108" s="31"/>
      <c r="J108" s="44"/>
      <c r="K108" s="44"/>
      <c r="L108" s="37">
        <f t="shared" si="5"/>
        <v>11</v>
      </c>
    </row>
    <row r="109" spans="2:12" x14ac:dyDescent="0.2">
      <c r="B109" s="11">
        <v>1112014</v>
      </c>
      <c r="C109" s="20" t="s">
        <v>82</v>
      </c>
      <c r="D109" s="31">
        <v>4</v>
      </c>
      <c r="E109" s="31"/>
      <c r="F109" s="31"/>
      <c r="G109" s="31">
        <v>6</v>
      </c>
      <c r="H109" s="31"/>
      <c r="I109" s="31"/>
      <c r="J109" s="44"/>
      <c r="K109" s="44"/>
      <c r="L109" s="37">
        <f t="shared" si="5"/>
        <v>10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>
        <v>8</v>
      </c>
      <c r="H110" s="31"/>
      <c r="I110" s="31"/>
      <c r="J110" s="44"/>
      <c r="K110" s="44"/>
      <c r="L110" s="37">
        <f t="shared" si="5"/>
        <v>8</v>
      </c>
    </row>
    <row r="111" spans="2:12" hidden="1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96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>
        <v>3</v>
      </c>
      <c r="E114" s="31"/>
      <c r="F114" s="31"/>
      <c r="G114" s="31">
        <v>2</v>
      </c>
      <c r="H114" s="31"/>
      <c r="I114" s="31"/>
      <c r="J114" s="44"/>
      <c r="K114" s="44"/>
      <c r="L114" s="37">
        <f t="shared" ref="L114:L140" si="6">SUM(D114:K114)</f>
        <v>5</v>
      </c>
    </row>
    <row r="115" spans="2:12" x14ac:dyDescent="0.2">
      <c r="B115" s="11">
        <v>1113171</v>
      </c>
      <c r="C115" s="22" t="s">
        <v>88</v>
      </c>
      <c r="D115" s="31">
        <v>1</v>
      </c>
      <c r="E115" s="31"/>
      <c r="F115" s="31"/>
      <c r="G115" s="31"/>
      <c r="H115" s="31"/>
      <c r="I115" s="31"/>
      <c r="J115" s="44"/>
      <c r="K115" s="44"/>
      <c r="L115" s="37">
        <f t="shared" si="6"/>
        <v>1</v>
      </c>
    </row>
    <row r="116" spans="2:12" x14ac:dyDescent="0.2">
      <c r="B116" s="11">
        <v>1113172</v>
      </c>
      <c r="C116" s="22" t="s">
        <v>89</v>
      </c>
      <c r="D116" s="31">
        <v>2</v>
      </c>
      <c r="E116" s="31"/>
      <c r="F116" s="31"/>
      <c r="G116" s="31"/>
      <c r="H116" s="31"/>
      <c r="I116" s="31"/>
      <c r="J116" s="44"/>
      <c r="K116" s="44"/>
      <c r="L116" s="37">
        <f t="shared" si="6"/>
        <v>2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>
        <v>2</v>
      </c>
      <c r="F121" s="31"/>
      <c r="G121" s="31"/>
      <c r="H121" s="31"/>
      <c r="I121" s="31"/>
      <c r="J121" s="44"/>
      <c r="K121" s="44"/>
      <c r="L121" s="37">
        <f t="shared" si="6"/>
        <v>2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>
        <v>10</v>
      </c>
      <c r="E123" s="31">
        <v>6</v>
      </c>
      <c r="F123" s="31">
        <v>7</v>
      </c>
      <c r="G123" s="31">
        <v>48</v>
      </c>
      <c r="H123" s="31"/>
      <c r="I123" s="31"/>
      <c r="J123" s="44"/>
      <c r="K123" s="44"/>
      <c r="L123" s="37">
        <f t="shared" si="6"/>
        <v>71</v>
      </c>
    </row>
    <row r="124" spans="2:12" x14ac:dyDescent="0.2">
      <c r="B124" s="11">
        <v>1114502</v>
      </c>
      <c r="C124" s="22" t="s">
        <v>96</v>
      </c>
      <c r="D124" s="31"/>
      <c r="E124" s="31">
        <v>4</v>
      </c>
      <c r="F124" s="31">
        <v>7</v>
      </c>
      <c r="G124" s="31"/>
      <c r="H124" s="31"/>
      <c r="I124" s="31"/>
      <c r="J124" s="44"/>
      <c r="K124" s="44"/>
      <c r="L124" s="37">
        <f t="shared" si="6"/>
        <v>11</v>
      </c>
    </row>
    <row r="125" spans="2:12" x14ac:dyDescent="0.2">
      <c r="B125" s="11">
        <v>1114503</v>
      </c>
      <c r="C125" s="22" t="s">
        <v>97</v>
      </c>
      <c r="D125" s="31">
        <v>7</v>
      </c>
      <c r="E125" s="31">
        <v>5</v>
      </c>
      <c r="F125" s="31">
        <v>7</v>
      </c>
      <c r="G125" s="31"/>
      <c r="H125" s="31"/>
      <c r="I125" s="31"/>
      <c r="J125" s="44"/>
      <c r="K125" s="44"/>
      <c r="L125" s="37">
        <f t="shared" si="6"/>
        <v>19</v>
      </c>
    </row>
    <row r="126" spans="2:12" x14ac:dyDescent="0.2">
      <c r="B126" s="11">
        <v>1124021</v>
      </c>
      <c r="C126" s="22" t="s">
        <v>98</v>
      </c>
      <c r="D126" s="31"/>
      <c r="E126" s="31">
        <v>16</v>
      </c>
      <c r="F126" s="31">
        <v>49</v>
      </c>
      <c r="G126" s="31">
        <v>2</v>
      </c>
      <c r="H126" s="31"/>
      <c r="I126" s="31"/>
      <c r="J126" s="44"/>
      <c r="K126" s="44"/>
      <c r="L126" s="37">
        <f t="shared" si="6"/>
        <v>67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>
        <v>2</v>
      </c>
      <c r="F135" s="31">
        <v>3</v>
      </c>
      <c r="G135" s="31"/>
      <c r="H135" s="31"/>
      <c r="I135" s="31"/>
      <c r="J135" s="44"/>
      <c r="K135" s="44"/>
      <c r="L135" s="37">
        <f t="shared" si="6"/>
        <v>5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23">
        <v>20052721</v>
      </c>
      <c r="C137" s="22" t="s">
        <v>143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138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 x14ac:dyDescent="0.2">
      <c r="B139" s="51"/>
      <c r="C139" s="50" t="s">
        <v>139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 x14ac:dyDescent="0.2">
      <c r="B140" s="51"/>
      <c r="C140" s="50" t="s">
        <v>140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54"/>
      <c r="C142" s="55"/>
      <c r="D142" s="32"/>
      <c r="E142" s="32"/>
      <c r="F142" s="32"/>
      <c r="G142" s="27"/>
      <c r="L142" s="56"/>
    </row>
    <row r="143" spans="2:12" x14ac:dyDescent="0.2">
      <c r="B143" s="61" t="s">
        <v>104</v>
      </c>
      <c r="C143" s="61"/>
      <c r="D143" s="33"/>
      <c r="E143" s="57"/>
      <c r="F143" s="57"/>
      <c r="G143" s="28"/>
      <c r="H143" s="27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4"/>
      <c r="E144" s="34"/>
      <c r="F144" s="34"/>
      <c r="G144" s="34"/>
      <c r="H144" s="34"/>
      <c r="I144" s="57" t="s">
        <v>106</v>
      </c>
      <c r="J144" s="57"/>
      <c r="K144" s="57"/>
      <c r="L144" s="57"/>
    </row>
    <row r="145" spans="2:12" x14ac:dyDescent="0.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4.2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zoomScale="60" zoomScaleNormal="60" workbookViewId="0">
      <selection activeCell="B1" sqref="B1:L1"/>
    </sheetView>
  </sheetViews>
  <sheetFormatPr defaultRowHeight="22.5" x14ac:dyDescent="0.2"/>
  <cols>
    <col min="2" max="2" width="22.125" style="24" customWidth="1"/>
    <col min="3" max="3" width="59.125" style="24" customWidth="1"/>
    <col min="4" max="11" width="14.375" style="16" customWidth="1"/>
    <col min="12" max="12" width="17.625" style="26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">
      <c r="B140" s="54"/>
      <c r="C140" s="55"/>
      <c r="D140" s="32"/>
      <c r="E140" s="32"/>
      <c r="F140" s="32"/>
      <c r="G140" s="27"/>
      <c r="L140" s="56"/>
    </row>
    <row r="141" spans="2:12" x14ac:dyDescent="0.2">
      <c r="B141" s="54"/>
      <c r="C141" s="55"/>
      <c r="D141" s="32"/>
      <c r="E141" s="32"/>
      <c r="F141" s="32"/>
      <c r="G141" s="27"/>
      <c r="L141" s="56"/>
    </row>
    <row r="142" spans="2:12" x14ac:dyDescent="0.2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4.25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4.25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4.25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4.2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4.2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">
      <c r="D150" s="32"/>
      <c r="E150" s="32"/>
      <c r="F150" s="32"/>
      <c r="G150" s="32"/>
      <c r="H150" s="32"/>
    </row>
    <row r="151" spans="2:12" x14ac:dyDescent="0.2">
      <c r="D151" s="32"/>
      <c r="E151" s="32"/>
      <c r="F151" s="32"/>
      <c r="G151" s="32"/>
      <c r="H151" s="32"/>
    </row>
    <row r="152" spans="2:12" x14ac:dyDescent="0.2">
      <c r="D152" s="32"/>
      <c r="E152" s="32"/>
      <c r="F152" s="32"/>
      <c r="G152" s="32"/>
      <c r="H152" s="32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123" zoomScale="50" zoomScaleNormal="50" workbookViewId="0">
      <selection activeCell="B1" sqref="B1:Q142"/>
    </sheetView>
  </sheetViews>
  <sheetFormatPr defaultRowHeight="22.5" x14ac:dyDescent="0.2"/>
  <cols>
    <col min="2" max="2" width="22.125" style="24" customWidth="1"/>
    <col min="3" max="3" width="59.125" style="24" customWidth="1"/>
    <col min="4" max="7" width="14.375" style="16" customWidth="1"/>
    <col min="8" max="10" width="14.375" style="16" hidden="1" customWidth="1"/>
    <col min="11" max="11" width="14.375" style="16" customWidth="1"/>
    <col min="12" max="12" width="17.625" style="26" customWidth="1"/>
    <col min="13" max="13" width="16.125" style="24" hidden="1" customWidth="1"/>
    <col min="14" max="15" width="15.375" style="24" hidden="1" customWidth="1"/>
    <col min="16" max="16" width="25.375" style="24" hidden="1" customWidth="1"/>
    <col min="17" max="17" width="14.375" style="29" hidden="1" customWidth="1"/>
    <col min="18" max="18" width="9.125" hidden="1" customWidth="1"/>
    <col min="19" max="19" width="7.375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67" t="s">
        <v>142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1">
        <f>'เย็น '!D7+'เช้า '!D7+บ่าย!D7</f>
        <v>27</v>
      </c>
      <c r="E7" s="31">
        <f>'เย็น '!E7+'เช้า '!E7+บ่าย!E7</f>
        <v>22</v>
      </c>
      <c r="F7" s="31">
        <f>'เย็น '!F7+'เช้า '!F7+บ่าย!F7</f>
        <v>43</v>
      </c>
      <c r="G7" s="31">
        <f>'เย็น '!G7+'เช้า '!G7+บ่าย!G7</f>
        <v>43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135</v>
      </c>
      <c r="M7" s="11"/>
      <c r="N7" s="11"/>
      <c r="O7" s="11"/>
      <c r="P7" s="11"/>
      <c r="Q7" s="45">
        <f>(M7+N7+O7+P7)-L7</f>
        <v>-135</v>
      </c>
    </row>
    <row r="8" spans="2:17" hidden="1" x14ac:dyDescent="0.2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">
      <c r="B25" s="11">
        <v>1111056</v>
      </c>
      <c r="C25" s="15" t="s">
        <v>28</v>
      </c>
      <c r="D25" s="31">
        <f>'เย็น '!D25+'เช้า '!D25+บ่าย!D25</f>
        <v>2</v>
      </c>
      <c r="E25" s="31">
        <f>'เย็น '!E25+'เช้า '!E25+บ่าย!E25</f>
        <v>6</v>
      </c>
      <c r="F25" s="31">
        <f>'เย็น '!F25+'เช้า '!F25+บ่าย!F25</f>
        <v>8</v>
      </c>
      <c r="G25" s="31">
        <f>'เย็น '!G25+'เช้า '!G25+บ่าย!G25</f>
        <v>2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18</v>
      </c>
      <c r="M25" s="11"/>
      <c r="N25" s="11"/>
      <c r="O25" s="11"/>
      <c r="P25" s="11"/>
      <c r="Q25" s="45">
        <f t="shared" si="1"/>
        <v>-18</v>
      </c>
    </row>
    <row r="26" spans="2:17" x14ac:dyDescent="0.2">
      <c r="B26" s="11">
        <v>1004055</v>
      </c>
      <c r="C26" s="15" t="s">
        <v>108</v>
      </c>
      <c r="D26" s="31">
        <f>'เย็น '!D26+'เช้า '!D26+บ่าย!D26</f>
        <v>0</v>
      </c>
      <c r="E26" s="31">
        <f>'เย็น '!E26+'เช้า '!E26+บ่าย!E26</f>
        <v>0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0</v>
      </c>
      <c r="M26" s="11"/>
      <c r="N26" s="11"/>
      <c r="O26" s="11"/>
      <c r="P26" s="11"/>
      <c r="Q26" s="45">
        <f t="shared" si="1"/>
        <v>0</v>
      </c>
    </row>
    <row r="27" spans="2:17" hidden="1" x14ac:dyDescent="0.2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 x14ac:dyDescent="0.2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 x14ac:dyDescent="0.2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 x14ac:dyDescent="0.2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 x14ac:dyDescent="0.2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 x14ac:dyDescent="0.2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 x14ac:dyDescent="0.2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 x14ac:dyDescent="0.2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 x14ac:dyDescent="0.2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 x14ac:dyDescent="0.2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 x14ac:dyDescent="0.2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 x14ac:dyDescent="0.2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 x14ac:dyDescent="0.2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 x14ac:dyDescent="0.25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 x14ac:dyDescent="0.2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 x14ac:dyDescent="0.2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 x14ac:dyDescent="0.2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 x14ac:dyDescent="0.2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 x14ac:dyDescent="0.2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 x14ac:dyDescent="0.2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 x14ac:dyDescent="0.2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 x14ac:dyDescent="0.2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 x14ac:dyDescent="0.2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 x14ac:dyDescent="0.2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 x14ac:dyDescent="0.2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 x14ac:dyDescent="0.2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 x14ac:dyDescent="0.2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20" t="s">
        <v>56</v>
      </c>
      <c r="D69" s="31">
        <f>'เย็น '!D69+'เช้า '!D69+บ่าย!D69</f>
        <v>8</v>
      </c>
      <c r="E69" s="31">
        <f>'เย็น '!E69+'เช้า '!E69+บ่าย!E69</f>
        <v>6</v>
      </c>
      <c r="F69" s="31">
        <f>'เย็น '!F69+'เช้า '!F69+บ่าย!F69</f>
        <v>6</v>
      </c>
      <c r="G69" s="31">
        <f>'เย็น '!G69+'เช้า '!G69+บ่าย!G69</f>
        <v>17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37</v>
      </c>
      <c r="M69" s="11"/>
      <c r="N69" s="11"/>
      <c r="O69" s="11"/>
      <c r="P69" s="11"/>
      <c r="Q69" s="45">
        <f t="shared" ref="Q69:Q76" si="5">(M69+N69+O69+P69)-L69</f>
        <v>-37</v>
      </c>
    </row>
    <row r="70" spans="2:20" hidden="1" x14ac:dyDescent="0.2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 x14ac:dyDescent="0.2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 x14ac:dyDescent="0.2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 x14ac:dyDescent="0.2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 x14ac:dyDescent="0.2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 x14ac:dyDescent="0.2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 x14ac:dyDescent="0.2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 x14ac:dyDescent="0.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 x14ac:dyDescent="0.2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 x14ac:dyDescent="0.2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 x14ac:dyDescent="0.2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 x14ac:dyDescent="0.2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 x14ac:dyDescent="0.2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 x14ac:dyDescent="0.2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 x14ac:dyDescent="0.2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0</v>
      </c>
      <c r="F87" s="31">
        <f>'เย็น '!F87+'เช้า '!F87+บ่าย!F87</f>
        <v>0</v>
      </c>
      <c r="G87" s="31">
        <f>'เย็น '!G87+'เช้า '!G87+บ่าย!G87</f>
        <v>12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12</v>
      </c>
      <c r="M87" s="11"/>
      <c r="N87" s="11"/>
      <c r="O87" s="11"/>
      <c r="P87" s="11"/>
      <c r="Q87" s="45">
        <f t="shared" si="8"/>
        <v>-12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20" t="s">
        <v>75</v>
      </c>
      <c r="D90" s="31">
        <f>'เย็น '!D90+'เช้า '!D90+บ่าย!D90</f>
        <v>3</v>
      </c>
      <c r="E90" s="31">
        <f>'เย็น '!E90+'เช้า '!E90+บ่าย!E90</f>
        <v>0</v>
      </c>
      <c r="F90" s="31">
        <f>'เย็น '!F90+'เช้า '!F90+บ่าย!F90</f>
        <v>2</v>
      </c>
      <c r="G90" s="31">
        <f>'เย็น '!G90+'เช้า '!G90+บ่าย!G90</f>
        <v>0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5</v>
      </c>
      <c r="M90" s="11"/>
      <c r="N90" s="11"/>
      <c r="O90" s="11"/>
      <c r="P90" s="11"/>
      <c r="Q90" s="45">
        <f t="shared" ref="Q90:Q99" si="10">(M90+N90+O90+P90)-L90</f>
        <v>-5</v>
      </c>
    </row>
    <row r="91" spans="2:17" x14ac:dyDescent="0.2">
      <c r="B91" s="11">
        <v>1112011</v>
      </c>
      <c r="C91" s="20" t="s">
        <v>76</v>
      </c>
      <c r="D91" s="31">
        <f>'เย็น '!D91+'เช้า '!D91+บ่าย!D91</f>
        <v>6</v>
      </c>
      <c r="E91" s="31">
        <f>'เย็น '!E91+'เช้า '!E91+บ่าย!E91</f>
        <v>4</v>
      </c>
      <c r="F91" s="31">
        <f>'เย็น '!F91+'เช้า '!F91+บ่าย!F91</f>
        <v>2</v>
      </c>
      <c r="G91" s="31">
        <f>'เย็น '!G91+'เช้า '!G91+บ่าย!G91</f>
        <v>0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12</v>
      </c>
      <c r="M91" s="11"/>
      <c r="N91" s="11"/>
      <c r="O91" s="11"/>
      <c r="P91" s="11"/>
      <c r="Q91" s="45">
        <f t="shared" si="10"/>
        <v>-12</v>
      </c>
    </row>
    <row r="92" spans="2:17" x14ac:dyDescent="0.2">
      <c r="B92" s="11">
        <v>1112003</v>
      </c>
      <c r="C92" s="20" t="s">
        <v>77</v>
      </c>
      <c r="D92" s="31">
        <f>'เย็น '!D92+'เช้า '!D92+บ่าย!D92</f>
        <v>5</v>
      </c>
      <c r="E92" s="31">
        <f>'เย็น '!E92+'เช้า '!E92+บ่าย!E92</f>
        <v>0</v>
      </c>
      <c r="F92" s="31">
        <f>'เย็น '!F92+'เช้า '!F92+บ่าย!F92</f>
        <v>2</v>
      </c>
      <c r="G92" s="31">
        <f>'เย็น '!G92+'เช้า '!G92+บ่าย!G92</f>
        <v>0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7</v>
      </c>
      <c r="M92" s="11"/>
      <c r="N92" s="11"/>
      <c r="O92" s="11"/>
      <c r="P92" s="11"/>
      <c r="Q92" s="45">
        <f t="shared" si="10"/>
        <v>-7</v>
      </c>
    </row>
    <row r="93" spans="2:17" x14ac:dyDescent="0.2">
      <c r="B93" s="11">
        <v>1112005</v>
      </c>
      <c r="C93" s="20" t="s">
        <v>78</v>
      </c>
      <c r="D93" s="31">
        <f>'เย็น '!D93+'เช้า '!D93+บ่าย!D93</f>
        <v>4</v>
      </c>
      <c r="E93" s="31">
        <f>'เย็น '!E93+'เช้า '!E93+บ่าย!E93</f>
        <v>0</v>
      </c>
      <c r="F93" s="31">
        <f>'เย็น '!F93+'เช้า '!F93+บ่าย!F93</f>
        <v>2</v>
      </c>
      <c r="G93" s="31">
        <f>'เย็น '!G93+'เช้า '!G93+บ่าย!G93</f>
        <v>0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6</v>
      </c>
      <c r="M93" s="11"/>
      <c r="N93" s="11"/>
      <c r="O93" s="11"/>
      <c r="P93" s="11"/>
      <c r="Q93" s="45">
        <f t="shared" si="10"/>
        <v>-6</v>
      </c>
    </row>
    <row r="94" spans="2:17" x14ac:dyDescent="0.2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7" x14ac:dyDescent="0.2">
      <c r="B98" s="11">
        <v>1112013</v>
      </c>
      <c r="C98" s="20" t="s">
        <v>83</v>
      </c>
      <c r="D98" s="31">
        <f>'เย็น '!D98+'เช้า '!D98+บ่าย!D98</f>
        <v>3</v>
      </c>
      <c r="E98" s="31">
        <f>'เย็น '!E98+'เช้า '!E98+บ่าย!E98</f>
        <v>0</v>
      </c>
      <c r="F98" s="31">
        <f>'เย็น '!F98+'เช้า '!F98+บ่าย!F98</f>
        <v>2</v>
      </c>
      <c r="G98" s="31">
        <f>'เย็น '!G98+'เช้า '!G98+บ่าย!G98</f>
        <v>4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9</v>
      </c>
      <c r="M98" s="11"/>
      <c r="N98" s="11"/>
      <c r="O98" s="11"/>
      <c r="P98" s="11"/>
      <c r="Q98" s="45">
        <f t="shared" si="10"/>
        <v>-9</v>
      </c>
    </row>
    <row r="99" spans="2:17" x14ac:dyDescent="0.2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39</v>
      </c>
      <c r="M100" s="11"/>
      <c r="N100" s="11"/>
      <c r="O100" s="11"/>
      <c r="P100" s="11"/>
      <c r="Q100" s="45"/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20" t="s">
        <v>75</v>
      </c>
      <c r="D102" s="31">
        <f>บ่าย!D102+'เช้า '!D102+'เย็น '!D102</f>
        <v>7</v>
      </c>
      <c r="E102" s="31">
        <f>บ่าย!E102+'เช้า '!E102+'เย็น '!E102</f>
        <v>5</v>
      </c>
      <c r="F102" s="31">
        <f>บ่าย!F102+'เช้า '!F102+'เย็น '!F102</f>
        <v>0</v>
      </c>
      <c r="G102" s="31">
        <f>บ่าย!G102+'เช้า '!G102+'เย็น '!G102</f>
        <v>6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18</v>
      </c>
      <c r="M102" s="11"/>
      <c r="N102" s="11"/>
      <c r="O102" s="11"/>
      <c r="P102" s="11"/>
      <c r="Q102" s="45">
        <f t="shared" ref="Q102:Q111" si="12">(M102+N102+O102+P102)-L102</f>
        <v>-18</v>
      </c>
    </row>
    <row r="103" spans="2:17" x14ac:dyDescent="0.2">
      <c r="B103" s="11">
        <v>1112010</v>
      </c>
      <c r="C103" s="20" t="s">
        <v>76</v>
      </c>
      <c r="D103" s="31">
        <f>บ่าย!D103+'เช้า '!D103+'เย็น '!D103</f>
        <v>11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6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17</v>
      </c>
      <c r="M103" s="11"/>
      <c r="N103" s="11"/>
      <c r="O103" s="11"/>
      <c r="P103" s="11"/>
      <c r="Q103" s="45">
        <f t="shared" si="12"/>
        <v>-17</v>
      </c>
    </row>
    <row r="104" spans="2:17" x14ac:dyDescent="0.2">
      <c r="B104" s="11">
        <v>1112002</v>
      </c>
      <c r="C104" s="20" t="s">
        <v>77</v>
      </c>
      <c r="D104" s="31">
        <f>บ่าย!D104+'เช้า '!D104+'เย็น '!D104</f>
        <v>14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6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20</v>
      </c>
      <c r="M104" s="11"/>
      <c r="N104" s="11"/>
      <c r="O104" s="11"/>
      <c r="P104" s="11"/>
      <c r="Q104" s="45">
        <f t="shared" si="12"/>
        <v>-20</v>
      </c>
    </row>
    <row r="105" spans="2:17" x14ac:dyDescent="0.2">
      <c r="B105" s="11">
        <v>1112004</v>
      </c>
      <c r="C105" s="20" t="s">
        <v>78</v>
      </c>
      <c r="D105" s="31">
        <f>บ่าย!D105+'เช้า '!D105+'เย็น '!D105</f>
        <v>6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6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12</v>
      </c>
      <c r="M105" s="11"/>
      <c r="N105" s="11"/>
      <c r="O105" s="11"/>
      <c r="P105" s="11"/>
      <c r="Q105" s="45">
        <f t="shared" si="12"/>
        <v>-12</v>
      </c>
    </row>
    <row r="106" spans="2:17" x14ac:dyDescent="0.2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x14ac:dyDescent="0.2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x14ac:dyDescent="0.2">
      <c r="B108" s="11">
        <v>1112016</v>
      </c>
      <c r="C108" s="20" t="s">
        <v>81</v>
      </c>
      <c r="D108" s="31">
        <f>บ่าย!D108+'เช้า '!D108+'เย็น '!D108</f>
        <v>5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6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11</v>
      </c>
      <c r="M108" s="11"/>
      <c r="N108" s="11"/>
      <c r="O108" s="11"/>
      <c r="P108" s="11"/>
      <c r="Q108" s="45">
        <f t="shared" si="12"/>
        <v>-11</v>
      </c>
    </row>
    <row r="109" spans="2:17" x14ac:dyDescent="0.2">
      <c r="B109" s="11">
        <v>1112014</v>
      </c>
      <c r="C109" s="20" t="s">
        <v>82</v>
      </c>
      <c r="D109" s="31">
        <f>บ่าย!D109+'เช้า '!D109+'เย็น '!D109</f>
        <v>4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6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10</v>
      </c>
      <c r="M109" s="11"/>
      <c r="N109" s="11"/>
      <c r="O109" s="11"/>
      <c r="P109" s="11"/>
      <c r="Q109" s="45">
        <f t="shared" si="12"/>
        <v>-10</v>
      </c>
    </row>
    <row r="110" spans="2:17" x14ac:dyDescent="0.2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8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8</v>
      </c>
      <c r="M110" s="11"/>
      <c r="N110" s="11"/>
      <c r="O110" s="11"/>
      <c r="P110" s="11"/>
      <c r="Q110" s="45">
        <f t="shared" si="12"/>
        <v>-8</v>
      </c>
    </row>
    <row r="111" spans="2:17" x14ac:dyDescent="0.2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-96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2" t="s">
        <v>87</v>
      </c>
      <c r="D114" s="31">
        <f>'เย็น '!D114+'เช้า '!D114+บ่าย!D114</f>
        <v>3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2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5</v>
      </c>
      <c r="M114" s="11"/>
      <c r="N114" s="11"/>
      <c r="O114" s="11"/>
      <c r="P114" s="11"/>
      <c r="Q114" s="45">
        <f t="shared" ref="Q114:Q140" si="15">(M114+N114+O114+P114)-L114</f>
        <v>-5</v>
      </c>
    </row>
    <row r="115" spans="2:17" x14ac:dyDescent="0.2">
      <c r="B115" s="11">
        <v>1113171</v>
      </c>
      <c r="C115" s="22" t="s">
        <v>88</v>
      </c>
      <c r="D115" s="31">
        <f>'เย็น '!D115+'เช้า '!D115+บ่าย!D115</f>
        <v>1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1</v>
      </c>
      <c r="M115" s="11"/>
      <c r="N115" s="11"/>
      <c r="O115" s="11"/>
      <c r="P115" s="11"/>
      <c r="Q115" s="45">
        <f t="shared" si="15"/>
        <v>-1</v>
      </c>
    </row>
    <row r="116" spans="2:17" x14ac:dyDescent="0.2">
      <c r="B116" s="11">
        <v>1113172</v>
      </c>
      <c r="C116" s="22" t="s">
        <v>89</v>
      </c>
      <c r="D116" s="31">
        <f>'เย็น '!D116+'เช้า '!D116+บ่าย!D116</f>
        <v>2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4"/>
        <v>2</v>
      </c>
      <c r="M116" s="11"/>
      <c r="N116" s="11"/>
      <c r="O116" s="11"/>
      <c r="P116" s="11"/>
      <c r="Q116" s="45">
        <f t="shared" si="15"/>
        <v>-2</v>
      </c>
    </row>
    <row r="117" spans="2:17" x14ac:dyDescent="0.2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 x14ac:dyDescent="0.2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 x14ac:dyDescent="0.2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0</v>
      </c>
      <c r="M119" s="11"/>
      <c r="N119" s="11"/>
      <c r="O119" s="11"/>
      <c r="P119" s="11"/>
      <c r="Q119" s="45">
        <f t="shared" si="15"/>
        <v>0</v>
      </c>
    </row>
    <row r="120" spans="2:17" x14ac:dyDescent="0.2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0</v>
      </c>
      <c r="M120" s="11"/>
      <c r="N120" s="11"/>
      <c r="O120" s="11"/>
      <c r="P120" s="11"/>
      <c r="Q120" s="45">
        <f t="shared" si="15"/>
        <v>0</v>
      </c>
    </row>
    <row r="121" spans="2:17" x14ac:dyDescent="0.2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2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4"/>
        <v>2</v>
      </c>
      <c r="M121" s="11"/>
      <c r="N121" s="11"/>
      <c r="O121" s="11"/>
      <c r="P121" s="11"/>
      <c r="Q121" s="45">
        <f t="shared" si="15"/>
        <v>-2</v>
      </c>
    </row>
    <row r="122" spans="2:17" x14ac:dyDescent="0.2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 x14ac:dyDescent="0.2">
      <c r="B123" s="11">
        <v>1114501</v>
      </c>
      <c r="C123" s="22" t="s">
        <v>95</v>
      </c>
      <c r="D123" s="31">
        <f>'เย็น '!D123+'เช้า '!D123+บ่าย!D123</f>
        <v>10</v>
      </c>
      <c r="E123" s="31">
        <f>'เย็น '!E123+'เช้า '!E123+บ่าย!E123</f>
        <v>6</v>
      </c>
      <c r="F123" s="31">
        <f>'เย็น '!F123+'เช้า '!F123+บ่าย!F123</f>
        <v>7</v>
      </c>
      <c r="G123" s="31">
        <f>'เย็น '!G123+'เช้า '!G123+บ่าย!G123</f>
        <v>48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71</v>
      </c>
      <c r="M123" s="11"/>
      <c r="N123" s="11"/>
      <c r="O123" s="11"/>
      <c r="P123" s="11"/>
      <c r="Q123" s="45">
        <f t="shared" si="15"/>
        <v>-71</v>
      </c>
    </row>
    <row r="124" spans="2:17" x14ac:dyDescent="0.2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4</v>
      </c>
      <c r="F124" s="31">
        <f>'เย็น '!F124+'เช้า '!F124+บ่าย!F124</f>
        <v>7</v>
      </c>
      <c r="G124" s="31">
        <f>'เย็น '!G124+'เช้า '!G124+บ่าย!G124</f>
        <v>0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11</v>
      </c>
      <c r="M124" s="11"/>
      <c r="N124" s="11"/>
      <c r="O124" s="11"/>
      <c r="P124" s="11"/>
      <c r="Q124" s="45">
        <f t="shared" si="15"/>
        <v>-11</v>
      </c>
    </row>
    <row r="125" spans="2:17" x14ac:dyDescent="0.2">
      <c r="B125" s="11">
        <v>1114503</v>
      </c>
      <c r="C125" s="22" t="s">
        <v>97</v>
      </c>
      <c r="D125" s="31">
        <f>'เย็น '!D125+'เช้า '!D125+บ่าย!D125</f>
        <v>7</v>
      </c>
      <c r="E125" s="31">
        <f>'เย็น '!E125+'เช้า '!E125+บ่าย!E125</f>
        <v>5</v>
      </c>
      <c r="F125" s="31">
        <f>'เย็น '!F125+'เช้า '!F125+บ่าย!F125</f>
        <v>7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19</v>
      </c>
      <c r="M125" s="11"/>
      <c r="N125" s="11"/>
      <c r="O125" s="11"/>
      <c r="P125" s="11"/>
      <c r="Q125" s="45">
        <f t="shared" si="15"/>
        <v>-19</v>
      </c>
    </row>
    <row r="126" spans="2:17" x14ac:dyDescent="0.2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16</v>
      </c>
      <c r="F126" s="31">
        <f>'เย็น '!F126+'เช้า '!F126+บ่าย!F126</f>
        <v>49</v>
      </c>
      <c r="G126" s="31">
        <f>'เย็น '!G126+'เช้า '!G126+บ่าย!G126</f>
        <v>2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67</v>
      </c>
      <c r="M126" s="11"/>
      <c r="N126" s="11"/>
      <c r="O126" s="11"/>
      <c r="P126" s="11"/>
      <c r="Q126" s="45">
        <f t="shared" si="15"/>
        <v>-67</v>
      </c>
    </row>
    <row r="127" spans="2:17" x14ac:dyDescent="0.2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 x14ac:dyDescent="0.2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 x14ac:dyDescent="0.2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 x14ac:dyDescent="0.2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/>
      <c r="N130" s="11"/>
      <c r="O130" s="11"/>
      <c r="P130" s="11"/>
      <c r="Q130" s="45">
        <f t="shared" si="15"/>
        <v>0</v>
      </c>
    </row>
    <row r="131" spans="2:17" x14ac:dyDescent="0.2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 x14ac:dyDescent="0.2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 x14ac:dyDescent="0.2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 x14ac:dyDescent="0.2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 x14ac:dyDescent="0.2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2</v>
      </c>
      <c r="F135" s="31">
        <f>'เย็น '!F135+'เช้า '!F135+บ่าย!F135</f>
        <v>3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5</v>
      </c>
      <c r="M135" s="11"/>
      <c r="N135" s="11"/>
      <c r="O135" s="11"/>
      <c r="P135" s="11"/>
      <c r="Q135" s="45">
        <f t="shared" si="15"/>
        <v>-5</v>
      </c>
    </row>
    <row r="136" spans="2:17" x14ac:dyDescent="0.2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 x14ac:dyDescent="0.2">
      <c r="B137" s="23">
        <v>20052721</v>
      </c>
      <c r="C137" s="22" t="s">
        <v>143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4"/>
        <v>0</v>
      </c>
      <c r="M137" s="11"/>
      <c r="N137" s="11"/>
      <c r="O137" s="11"/>
      <c r="P137" s="11"/>
      <c r="Q137" s="45">
        <f t="shared" si="15"/>
        <v>0</v>
      </c>
    </row>
    <row r="138" spans="2:17" x14ac:dyDescent="0.2">
      <c r="B138" s="51"/>
      <c r="C138" s="50" t="s">
        <v>138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 x14ac:dyDescent="0.2">
      <c r="B139" s="51"/>
      <c r="C139" s="50" t="s">
        <v>139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 x14ac:dyDescent="0.2">
      <c r="B140" s="51"/>
      <c r="C140" s="50" t="s">
        <v>140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 x14ac:dyDescent="0.2">
      <c r="C141" s="36"/>
      <c r="D141" s="37">
        <f>SUM(D114:D140,D90:D99,D79:D87,D69:D76,D7:D66,D102:D111)</f>
        <v>128</v>
      </c>
      <c r="E141" s="37">
        <f t="shared" ref="E141:K141" si="16">SUM(E114:E140,E90:E99,E79:E87,E69:E76,E7:E66,E102:E111)</f>
        <v>78</v>
      </c>
      <c r="F141" s="37">
        <f t="shared" si="16"/>
        <v>140</v>
      </c>
      <c r="G141" s="37">
        <f t="shared" si="16"/>
        <v>174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0</v>
      </c>
      <c r="L141" s="37">
        <f>SUM(L114:L140,L90:L99,L79:L87,L69:L76,L7:L66,L102:L111)</f>
        <v>520</v>
      </c>
      <c r="M141" s="31">
        <f>SUM(M114:M136,M90:M98,M79:M87,M69:M76,M7:M66)</f>
        <v>0</v>
      </c>
      <c r="N141" s="31">
        <f>SUM(N114:N136,N90:N98,N79:N87,N69:N76,N7:N66)</f>
        <v>0</v>
      </c>
      <c r="O141" s="31"/>
      <c r="P141" s="31"/>
      <c r="Q141" s="45">
        <f t="shared" ref="Q141" si="17">(M141+N141)-L141</f>
        <v>-520</v>
      </c>
    </row>
    <row r="142" spans="2:17" x14ac:dyDescent="0.2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 x14ac:dyDescent="0.2">
      <c r="C144" s="25"/>
      <c r="D144" s="32"/>
      <c r="E144" s="61"/>
      <c r="F144" s="61"/>
      <c r="G144" s="27"/>
      <c r="L144" s="41"/>
    </row>
    <row r="145" spans="2:12" x14ac:dyDescent="0.2">
      <c r="B145" s="61" t="s">
        <v>104</v>
      </c>
      <c r="C145" s="61"/>
      <c r="D145" s="33"/>
      <c r="E145" s="57"/>
      <c r="F145" s="57"/>
      <c r="G145" s="28"/>
      <c r="H145" s="27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4"/>
      <c r="E146" s="34"/>
      <c r="F146" s="34"/>
      <c r="G146" s="34"/>
      <c r="H146" s="34"/>
      <c r="I146" s="57" t="s">
        <v>106</v>
      </c>
      <c r="J146" s="57"/>
      <c r="K146" s="57"/>
      <c r="L146" s="57"/>
    </row>
    <row r="147" spans="2:12" x14ac:dyDescent="0.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19.5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9.5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9.5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19.5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19.5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 x14ac:dyDescent="0.2">
      <c r="D153" s="32"/>
      <c r="E153" s="32"/>
      <c r="F153" s="32"/>
      <c r="G153" s="32"/>
      <c r="H153" s="32"/>
    </row>
    <row r="154" spans="2:12" x14ac:dyDescent="0.2">
      <c r="D154" s="32"/>
      <c r="E154" s="32"/>
      <c r="F154" s="32"/>
      <c r="G154" s="32"/>
      <c r="H154" s="32"/>
    </row>
    <row r="155" spans="2:12" x14ac:dyDescent="0.2">
      <c r="D155" s="32"/>
      <c r="E155" s="32"/>
      <c r="F155" s="32"/>
      <c r="G155" s="32"/>
      <c r="H155" s="32"/>
    </row>
    <row r="156" spans="2:12" x14ac:dyDescent="0.2">
      <c r="D156" s="32"/>
      <c r="E156" s="32"/>
      <c r="F156" s="32"/>
      <c r="G156" s="32"/>
      <c r="H156" s="32"/>
    </row>
    <row r="157" spans="2:12" x14ac:dyDescent="0.2">
      <c r="D157" s="32"/>
      <c r="E157" s="32"/>
      <c r="F157" s="32"/>
      <c r="G157" s="32"/>
      <c r="H157" s="32"/>
    </row>
    <row r="158" spans="2:12" x14ac:dyDescent="0.2">
      <c r="D158" s="32"/>
      <c r="E158" s="32"/>
      <c r="F158" s="32"/>
      <c r="G158" s="32"/>
      <c r="H158" s="32"/>
    </row>
    <row r="159" spans="2:12" x14ac:dyDescent="0.2">
      <c r="D159" s="32"/>
      <c r="E159" s="32"/>
      <c r="F159" s="32"/>
      <c r="G159" s="32"/>
      <c r="H159" s="32"/>
    </row>
    <row r="160" spans="2:12" x14ac:dyDescent="0.2">
      <c r="D160" s="32"/>
      <c r="E160" s="32"/>
      <c r="F160" s="32"/>
      <c r="G160" s="32"/>
      <c r="H160" s="32"/>
    </row>
    <row r="161" spans="4:8" x14ac:dyDescent="0.2">
      <c r="D161" s="32"/>
      <c r="E161" s="32"/>
      <c r="F161" s="32"/>
      <c r="G161" s="32"/>
      <c r="H161" s="32"/>
    </row>
    <row r="162" spans="4:8" x14ac:dyDescent="0.2">
      <c r="D162" s="32"/>
      <c r="E162" s="32"/>
      <c r="F162" s="32"/>
      <c r="G162" s="32"/>
      <c r="H162" s="32"/>
    </row>
    <row r="163" spans="4:8" x14ac:dyDescent="0.2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2025-02-15T00:46:52Z</cp:lastPrinted>
  <dcterms:created xsi:type="dcterms:W3CDTF">2024-04-30T05:21:27Z</dcterms:created>
  <dcterms:modified xsi:type="dcterms:W3CDTF">2025-02-15T00:46:53Z</dcterms:modified>
</cp:coreProperties>
</file>