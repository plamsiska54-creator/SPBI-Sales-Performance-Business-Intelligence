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D0A6FA8-332E-4B92-B330-F4DBEEFFB2A8}" xr6:coauthVersionLast="47" xr6:coauthVersionMax="47" xr10:uidLastSave="{00000000-0000-0000-0000-000000000000}"/>
  <bookViews>
    <workbookView xWindow="1665" yWindow="720" windowWidth="20070" windowHeight="13425" activeTab="3" xr2:uid="{55C9AAA3-F459-48EC-A639-AACFFC6390F5}"/>
  </bookViews>
  <sheets>
    <sheet name="เย็น " sheetId="6" r:id="rId1"/>
    <sheet name="เช้า " sheetId="3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7" i="5" l="1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L139" i="5" s="1"/>
  <c r="Q139" i="5" s="1"/>
  <c r="F139" i="5"/>
  <c r="G139" i="5"/>
  <c r="H139" i="5"/>
  <c r="I139" i="5"/>
  <c r="J139" i="5"/>
  <c r="K139" i="5"/>
  <c r="Q136" i="5"/>
  <c r="Q140" i="5"/>
  <c r="L137" i="5"/>
  <c r="Q137" i="5" s="1"/>
  <c r="L138" i="5"/>
  <c r="Q138" i="5" s="1"/>
  <c r="L135" i="3"/>
  <c r="L136" i="3"/>
  <c r="L137" i="3"/>
  <c r="L138" i="3"/>
  <c r="L139" i="3"/>
  <c r="Q77" i="5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12" i="6" s="1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40" i="5"/>
  <c r="E140" i="5"/>
  <c r="F140" i="5"/>
  <c r="G140" i="5"/>
  <c r="H140" i="5"/>
  <c r="I140" i="5"/>
  <c r="J140" i="5"/>
  <c r="K140" i="5"/>
  <c r="E136" i="5"/>
  <c r="F136" i="5"/>
  <c r="G136" i="5"/>
  <c r="H136" i="5"/>
  <c r="I136" i="5"/>
  <c r="J136" i="5"/>
  <c r="K136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H123" i="5"/>
  <c r="I123" i="5"/>
  <c r="J123" i="5"/>
  <c r="K123" i="5"/>
  <c r="D124" i="5"/>
  <c r="E124" i="5"/>
  <c r="F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35" i="5" l="1"/>
  <c r="Q135" i="5" s="1"/>
  <c r="L112" i="3"/>
  <c r="K141" i="5"/>
  <c r="L136" i="5"/>
  <c r="L140" i="5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1" i="5" l="1"/>
  <c r="E141" i="5"/>
  <c r="F141" i="5"/>
  <c r="I141" i="5"/>
  <c r="H141" i="5"/>
  <c r="D141" i="5"/>
  <c r="G141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41" i="5" l="1"/>
  <c r="L112" i="5"/>
  <c r="Q112" i="5" s="1"/>
  <c r="L88" i="5"/>
  <c r="Q88" i="5" s="1"/>
  <c r="L67" i="5"/>
  <c r="Q67" i="5" s="1"/>
  <c r="M141" i="5" l="1"/>
  <c r="N141" i="5"/>
  <c r="L100" i="5" l="1"/>
  <c r="Q141" i="5"/>
  <c r="L100" i="4" l="1"/>
  <c r="L112" i="4" l="1"/>
</calcChain>
</file>

<file path=xl/sharedStrings.xml><?xml version="1.0" encoding="utf-8"?>
<sst xmlns="http://schemas.openxmlformats.org/spreadsheetml/2006/main" count="615" uniqueCount="146">
  <si>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</si>
  <si>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</si>
  <si>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</si>
  <si>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</si>
  <si>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</si>
  <si>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</si>
  <si>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</si>
  <si>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</si>
  <si>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</si>
  <si>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</si>
  <si>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</si>
  <si>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</si>
  <si>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</si>
  <si>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</si>
  <si>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</si>
  <si>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</si>
  <si>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</si>
  <si>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</si>
  <si>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</si>
  <si>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</si>
  <si>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</si>
  <si>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</si>
  <si>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</si>
  <si>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</si>
  <si>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</si>
  <si>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</si>
  <si>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</si>
  <si>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</si>
  <si>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</si>
  <si>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</si>
  <si>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</si>
  <si>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</si>
  <si>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</si>
  <si>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</si>
  <si>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</si>
  <si>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</si>
  <si>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</si>
  <si>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</si>
  <si>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</si>
  <si>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</si>
  <si>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</si>
  <si>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</si>
  <si>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</si>
  <si>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</si>
  <si>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</si>
  <si>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</si>
  <si>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</si>
  <si>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</si>
  <si>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</si>
  <si>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</si>
  <si>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</si>
  <si>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</si>
  <si>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</si>
  <si>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</si>
  <si>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</si>
  <si>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</si>
  <si>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</si>
  <si>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</si>
  <si>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</si>
  <si>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</si>
  <si>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</si>
  <si>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</si>
  <si>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</si>
  <si>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</si>
  <si>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</si>
  <si>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</si>
  <si>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</si>
  <si>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</si>
  <si>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</si>
  <si>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</si>
  <si>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</si>
  <si>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</si>
  <si>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</si>
  <si>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</si>
  <si>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</si>
  <si>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</si>
  <si>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</si>
  <si>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</si>
  <si>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</si>
  <si>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</si>
  <si>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</si>
  <si>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</si>
  <si>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</si>
  <si>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</si>
  <si>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</si>
  <si>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</si>
  <si>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</si>
  <si>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</si>
  <si>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</si>
  <si>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</si>
  <si>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</si>
  <si>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</si>
  <si>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</si>
  <si>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</si>
  <si>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</si>
  <si>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</si>
  <si>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</si>
  <si>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</si>
  <si>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</si>
  <si>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</si>
  <si>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</si>
  <si>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</si>
  <si>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</si>
  <si>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</si>
  <si>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</si>
  <si>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</si>
  <si>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</si>
  <si>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</si>
  <si>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</si>
  <si>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</si>
  <si>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</si>
  <si>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</si>
  <si>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</si>
  <si>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</si>
  <si>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</si>
  <si>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</si>
  <si>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</si>
  <si>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</si>
  <si>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</si>
  <si>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</si>
  <si>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</si>
  <si>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</si>
  <si>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</si>
  <si>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</si>
  <si>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</si>
  <si>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</si>
  <si>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</si>
  <si>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</si>
  <si>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</si>
  <si>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</si>
  <si>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</si>
  <si>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</si>
  <si>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</si>
  <si>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</si>
  <si>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</si>
  <si>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</si>
  <si>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</si>
  <si>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</si>
  <si>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</si>
  <si>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</si>
  <si>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</si>
  <si>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</si>
  <si>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</si>
  <si>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ยอดจริง ออนไลน์ วันที่  9/2/2568- เช้า</t>
  </si>
  <si>
    <t>แซนวิชโบราณ</t>
  </si>
  <si>
    <t>ยอดจริง ออนไลน์ วันที่ 9/2/2568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</si>
</sst>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187" fontId="6" fillId="5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zoomScale="60" zoomScaleNormal="60" workbookViewId="0">
      <selection activeCell="D44" sqref="D44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">
      <c r="B2" s="59"/>
      <c r="C2" s="60"/>
      <c r="D2" s="1"/>
      <c r="E2" s="61"/>
      <c r="F2" s="61"/>
      <c r="G2" s="2"/>
      <c r="H2" s="2"/>
      <c r="I2" s="2"/>
      <c r="J2" s="2"/>
      <c r="K2" s="2"/>
      <c r="L2" s="3" t="s">
        <v>0</v>
      </c>
    </row>
    <row r="3" spans="2:12" x14ac:dyDescent="0.2">
      <c r="B3" s="59"/>
      <c r="C3" s="60"/>
      <c r="D3" s="4"/>
      <c r="E3" s="62"/>
      <c r="F3" s="62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7" t="s">
        <v>11</v>
      </c>
      <c r="C6" s="58"/>
      <c r="D6" s="58"/>
      <c r="E6" s="58"/>
      <c r="F6" s="58"/>
      <c r="G6" s="58"/>
      <c r="H6" s="58"/>
      <c r="I6" s="58"/>
      <c r="J6" s="58"/>
      <c r="K6" s="58"/>
      <c r="L6" s="58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7" t="s">
        <v>55</v>
      </c>
      <c r="C68" s="58"/>
      <c r="D68" s="58"/>
      <c r="E68" s="58"/>
      <c r="F68" s="58"/>
      <c r="G68" s="58"/>
      <c r="H68" s="58"/>
      <c r="I68" s="58"/>
      <c r="J68" s="58"/>
      <c r="K68" s="58"/>
      <c r="L68" s="58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7" t="s">
        <v>64</v>
      </c>
      <c r="C78" s="58"/>
      <c r="D78" s="58"/>
      <c r="E78" s="58"/>
      <c r="F78" s="58"/>
      <c r="G78" s="58"/>
      <c r="H78" s="58"/>
      <c r="I78" s="58"/>
      <c r="J78" s="58"/>
      <c r="K78" s="58"/>
      <c r="L78" s="58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7" t="s">
        <v>74</v>
      </c>
      <c r="C89" s="58"/>
      <c r="D89" s="58"/>
      <c r="E89" s="58"/>
      <c r="F89" s="58"/>
      <c r="G89" s="58"/>
      <c r="H89" s="58"/>
      <c r="I89" s="58"/>
      <c r="J89" s="58"/>
      <c r="K89" s="58"/>
      <c r="L89" s="58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7" t="s">
        <v>85</v>
      </c>
      <c r="C101" s="58"/>
      <c r="D101" s="58"/>
      <c r="E101" s="58"/>
      <c r="F101" s="58"/>
      <c r="G101" s="58"/>
      <c r="H101" s="58"/>
      <c r="I101" s="58"/>
      <c r="J101" s="58"/>
      <c r="K101" s="58"/>
      <c r="L101" s="58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7" t="s">
        <v>86</v>
      </c>
      <c r="C113" s="58"/>
      <c r="D113" s="58"/>
      <c r="E113" s="58"/>
      <c r="F113" s="58"/>
      <c r="G113" s="58"/>
      <c r="H113" s="58"/>
      <c r="I113" s="58"/>
      <c r="J113" s="58"/>
      <c r="K113" s="58"/>
      <c r="L113" s="58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4" t="s">
        <v>104</v>
      </c>
      <c r="C142" s="64"/>
      <c r="D142" s="33"/>
      <c r="E142" s="65"/>
      <c r="F142" s="65"/>
      <c r="G142" s="28"/>
      <c r="H142" s="27"/>
      <c r="I142" s="64" t="s">
        <v>104</v>
      </c>
      <c r="J142" s="64"/>
      <c r="K142" s="64"/>
      <c r="L142" s="64"/>
    </row>
    <row r="143" spans="2:12" x14ac:dyDescent="0.2">
      <c r="B143" s="65" t="s">
        <v>105</v>
      </c>
      <c r="C143" s="65"/>
      <c r="D143" s="34"/>
      <c r="E143" s="34"/>
      <c r="F143" s="34"/>
      <c r="G143" s="34"/>
      <c r="H143" s="34"/>
      <c r="I143" s="65" t="s">
        <v>106</v>
      </c>
      <c r="J143" s="65"/>
      <c r="K143" s="65"/>
      <c r="L143" s="65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zoomScale="60" zoomScaleNormal="60" workbookViewId="0">
      <selection activeCell="J2" sqref="H1:J1048576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0" width="14.375" style="16" hidden="1" customWidth="1"/>
    <col min="11" max="11" width="14.375" style="16" customWidth="1"/>
    <col min="12" max="12" width="17.625" style="26" customWidth="1"/>
  </cols>
  <sheetData>
    <row r="1" spans="2:12" x14ac:dyDescent="0.2">
      <c r="B1" s="63" t="s">
        <v>143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">
      <c r="B2" s="59"/>
      <c r="C2" s="60"/>
      <c r="D2" s="1"/>
      <c r="E2" s="61"/>
      <c r="F2" s="61"/>
      <c r="G2" s="2"/>
      <c r="H2" s="2"/>
      <c r="I2" s="2"/>
      <c r="J2" s="2"/>
      <c r="K2" s="2"/>
      <c r="L2" s="3" t="s">
        <v>0</v>
      </c>
    </row>
    <row r="3" spans="2:12" x14ac:dyDescent="0.2">
      <c r="B3" s="59"/>
      <c r="C3" s="60"/>
      <c r="D3" s="4"/>
      <c r="E3" s="62"/>
      <c r="F3" s="62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7" t="s">
        <v>11</v>
      </c>
      <c r="C6" s="58"/>
      <c r="D6" s="58"/>
      <c r="E6" s="58"/>
      <c r="F6" s="58"/>
      <c r="G6" s="58"/>
      <c r="H6" s="58"/>
      <c r="I6" s="58"/>
      <c r="J6" s="58"/>
      <c r="K6" s="58"/>
      <c r="L6" s="58"/>
    </row>
    <row r="7" spans="2:12" x14ac:dyDescent="0.2">
      <c r="B7" s="11">
        <v>1111002</v>
      </c>
      <c r="C7" s="15" t="s">
        <v>107</v>
      </c>
      <c r="D7" s="31">
        <v>16</v>
      </c>
      <c r="E7" s="31">
        <v>29</v>
      </c>
      <c r="F7" s="31">
        <v>23</v>
      </c>
      <c r="G7" s="31">
        <v>18</v>
      </c>
      <c r="H7" s="31"/>
      <c r="I7" s="31"/>
      <c r="J7" s="44"/>
      <c r="K7" s="44">
        <v>30</v>
      </c>
      <c r="L7" s="37">
        <f>SUM(D7:K7)</f>
        <v>116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>
        <v>2</v>
      </c>
      <c r="E25" s="31">
        <v>15</v>
      </c>
      <c r="F25" s="31">
        <v>8</v>
      </c>
      <c r="G25" s="31">
        <v>22</v>
      </c>
      <c r="H25" s="31"/>
      <c r="I25" s="31"/>
      <c r="J25" s="44"/>
      <c r="K25" s="44"/>
      <c r="L25" s="37">
        <f t="shared" si="0"/>
        <v>47</v>
      </c>
    </row>
    <row r="26" spans="2:12" x14ac:dyDescent="0.2">
      <c r="B26" s="11">
        <v>1004055</v>
      </c>
      <c r="C26" s="15" t="s">
        <v>108</v>
      </c>
      <c r="D26" s="31">
        <v>3</v>
      </c>
      <c r="E26" s="31"/>
      <c r="F26" s="31"/>
      <c r="G26" s="31"/>
      <c r="H26" s="31"/>
      <c r="I26" s="31"/>
      <c r="J26" s="44"/>
      <c r="K26" s="44"/>
      <c r="L26" s="37">
        <f t="shared" si="0"/>
        <v>3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7" t="s">
        <v>55</v>
      </c>
      <c r="C68" s="58"/>
      <c r="D68" s="58"/>
      <c r="E68" s="58"/>
      <c r="F68" s="58"/>
      <c r="G68" s="58"/>
      <c r="H68" s="58"/>
      <c r="I68" s="58"/>
      <c r="J68" s="58"/>
      <c r="K68" s="58"/>
      <c r="L68" s="58"/>
    </row>
    <row r="69" spans="2:12" x14ac:dyDescent="0.2">
      <c r="B69" s="11">
        <v>1111009</v>
      </c>
      <c r="C69" s="20" t="s">
        <v>56</v>
      </c>
      <c r="D69" s="31">
        <v>6</v>
      </c>
      <c r="E69" s="31">
        <v>5</v>
      </c>
      <c r="F69" s="31">
        <v>1</v>
      </c>
      <c r="G69" s="31">
        <v>20</v>
      </c>
      <c r="H69" s="31"/>
      <c r="I69" s="31"/>
      <c r="J69" s="44"/>
      <c r="K69" s="44"/>
      <c r="L69" s="37">
        <f t="shared" ref="L69:L76" si="1">SUM(D69:K69)</f>
        <v>32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7" t="s">
        <v>64</v>
      </c>
      <c r="C78" s="58"/>
      <c r="D78" s="58"/>
      <c r="E78" s="58"/>
      <c r="F78" s="58"/>
      <c r="G78" s="58"/>
      <c r="H78" s="58"/>
      <c r="I78" s="58"/>
      <c r="J78" s="58"/>
      <c r="K78" s="58"/>
      <c r="L78" s="58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>
        <v>1</v>
      </c>
      <c r="E87" s="31"/>
      <c r="F87" s="31"/>
      <c r="G87" s="31">
        <v>9</v>
      </c>
      <c r="H87" s="31"/>
      <c r="I87" s="31"/>
      <c r="J87" s="44"/>
      <c r="K87" s="44"/>
      <c r="L87" s="37">
        <f t="shared" si="2"/>
        <v>10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7" t="s">
        <v>74</v>
      </c>
      <c r="C89" s="58"/>
      <c r="D89" s="58"/>
      <c r="E89" s="58"/>
      <c r="F89" s="58"/>
      <c r="G89" s="58"/>
      <c r="H89" s="58"/>
      <c r="I89" s="58"/>
      <c r="J89" s="58"/>
      <c r="K89" s="58"/>
      <c r="L89" s="58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>
        <v>13</v>
      </c>
      <c r="E93" s="31"/>
      <c r="F93" s="31"/>
      <c r="G93" s="31"/>
      <c r="H93" s="31"/>
      <c r="I93" s="31"/>
      <c r="J93" s="44"/>
      <c r="K93" s="44"/>
      <c r="L93" s="37">
        <f t="shared" si="3"/>
        <v>13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7" t="s">
        <v>85</v>
      </c>
      <c r="C101" s="58"/>
      <c r="D101" s="58"/>
      <c r="E101" s="58"/>
      <c r="F101" s="58"/>
      <c r="G101" s="58"/>
      <c r="H101" s="58"/>
      <c r="I101" s="58"/>
      <c r="J101" s="58"/>
      <c r="K101" s="58"/>
      <c r="L101" s="58"/>
    </row>
    <row r="102" spans="2:12" x14ac:dyDescent="0.2">
      <c r="B102" s="11">
        <v>1112008</v>
      </c>
      <c r="C102" s="20" t="s">
        <v>75</v>
      </c>
      <c r="D102" s="31">
        <v>1</v>
      </c>
      <c r="E102" s="31"/>
      <c r="F102" s="31"/>
      <c r="G102" s="31">
        <v>5</v>
      </c>
      <c r="H102" s="31"/>
      <c r="I102" s="31"/>
      <c r="J102" s="44"/>
      <c r="K102" s="44">
        <v>20</v>
      </c>
      <c r="L102" s="37">
        <f t="shared" ref="L102:L111" si="5">SUM(D102:K102)</f>
        <v>26</v>
      </c>
    </row>
    <row r="103" spans="2:12" x14ac:dyDescent="0.2">
      <c r="B103" s="11">
        <v>1112010</v>
      </c>
      <c r="C103" s="20" t="s">
        <v>76</v>
      </c>
      <c r="D103" s="31">
        <v>2</v>
      </c>
      <c r="E103" s="31"/>
      <c r="F103" s="31"/>
      <c r="G103" s="31">
        <v>6</v>
      </c>
      <c r="H103" s="31"/>
      <c r="I103" s="31"/>
      <c r="J103" s="44"/>
      <c r="K103" s="44">
        <v>30</v>
      </c>
      <c r="L103" s="37">
        <f t="shared" si="5"/>
        <v>38</v>
      </c>
    </row>
    <row r="104" spans="2:12" x14ac:dyDescent="0.2">
      <c r="B104" s="11">
        <v>1112002</v>
      </c>
      <c r="C104" s="20" t="s">
        <v>77</v>
      </c>
      <c r="D104" s="31">
        <v>3</v>
      </c>
      <c r="E104" s="31"/>
      <c r="F104" s="31"/>
      <c r="G104" s="31">
        <v>1</v>
      </c>
      <c r="H104" s="31"/>
      <c r="I104" s="31"/>
      <c r="J104" s="44"/>
      <c r="K104" s="44">
        <v>5</v>
      </c>
      <c r="L104" s="37">
        <f t="shared" si="5"/>
        <v>9</v>
      </c>
    </row>
    <row r="105" spans="2:12" x14ac:dyDescent="0.2">
      <c r="B105" s="11">
        <v>1112004</v>
      </c>
      <c r="C105" s="20" t="s">
        <v>78</v>
      </c>
      <c r="D105" s="31">
        <v>1</v>
      </c>
      <c r="E105" s="31"/>
      <c r="F105" s="31"/>
      <c r="G105" s="31">
        <v>1</v>
      </c>
      <c r="H105" s="31"/>
      <c r="I105" s="31"/>
      <c r="J105" s="44"/>
      <c r="K105" s="44">
        <v>30</v>
      </c>
      <c r="L105" s="37">
        <f t="shared" si="5"/>
        <v>32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>
        <v>1</v>
      </c>
      <c r="H108" s="31"/>
      <c r="I108" s="31"/>
      <c r="J108" s="44"/>
      <c r="K108" s="44"/>
      <c r="L108" s="37">
        <f t="shared" si="5"/>
        <v>1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>
        <v>1</v>
      </c>
      <c r="H109" s="31"/>
      <c r="I109" s="31"/>
      <c r="J109" s="44"/>
      <c r="K109" s="44">
        <v>20</v>
      </c>
      <c r="L109" s="37">
        <f t="shared" si="5"/>
        <v>21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>
        <v>3</v>
      </c>
      <c r="H110" s="31"/>
      <c r="I110" s="31"/>
      <c r="J110" s="44"/>
      <c r="K110" s="44"/>
      <c r="L110" s="37">
        <f t="shared" si="5"/>
        <v>3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130</v>
      </c>
    </row>
    <row r="113" spans="2:12" ht="19.5" x14ac:dyDescent="0.2">
      <c r="B113" s="57" t="s">
        <v>86</v>
      </c>
      <c r="C113" s="58"/>
      <c r="D113" s="58"/>
      <c r="E113" s="58"/>
      <c r="F113" s="58"/>
      <c r="G113" s="58"/>
      <c r="H113" s="58"/>
      <c r="I113" s="58"/>
      <c r="J113" s="58"/>
      <c r="K113" s="58"/>
      <c r="L113" s="58"/>
    </row>
    <row r="114" spans="2:12" x14ac:dyDescent="0.2">
      <c r="B114" s="11">
        <v>1113170</v>
      </c>
      <c r="C114" s="22" t="s">
        <v>87</v>
      </c>
      <c r="D114" s="31">
        <v>2</v>
      </c>
      <c r="E114" s="31"/>
      <c r="F114" s="31"/>
      <c r="G114" s="31"/>
      <c r="H114" s="31"/>
      <c r="I114" s="31"/>
      <c r="J114" s="44"/>
      <c r="K114" s="44">
        <v>10</v>
      </c>
      <c r="L114" s="37">
        <f t="shared" ref="L114:L140" si="6">SUM(D114:K114)</f>
        <v>12</v>
      </c>
    </row>
    <row r="115" spans="2:12" x14ac:dyDescent="0.2">
      <c r="B115" s="11">
        <v>1113171</v>
      </c>
      <c r="C115" s="22" t="s">
        <v>88</v>
      </c>
      <c r="D115" s="31"/>
      <c r="E115" s="31">
        <v>1</v>
      </c>
      <c r="F115" s="31"/>
      <c r="G115" s="31">
        <v>1</v>
      </c>
      <c r="H115" s="31"/>
      <c r="I115" s="31"/>
      <c r="J115" s="44"/>
      <c r="K115" s="44">
        <v>10</v>
      </c>
      <c r="L115" s="37">
        <f t="shared" si="6"/>
        <v>12</v>
      </c>
    </row>
    <row r="116" spans="2:12" x14ac:dyDescent="0.2">
      <c r="B116" s="11">
        <v>1113172</v>
      </c>
      <c r="C116" s="22" t="s">
        <v>89</v>
      </c>
      <c r="D116" s="31"/>
      <c r="E116" s="31">
        <v>1</v>
      </c>
      <c r="F116" s="31"/>
      <c r="G116" s="31"/>
      <c r="H116" s="31"/>
      <c r="I116" s="31"/>
      <c r="J116" s="44"/>
      <c r="K116" s="44">
        <v>10</v>
      </c>
      <c r="L116" s="37">
        <f t="shared" si="6"/>
        <v>11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>
        <v>2</v>
      </c>
      <c r="E123" s="31">
        <v>1</v>
      </c>
      <c r="F123" s="31"/>
      <c r="G123" s="31">
        <v>14</v>
      </c>
      <c r="H123" s="31"/>
      <c r="I123" s="31"/>
      <c r="J123" s="44"/>
      <c r="K123" s="44">
        <v>10</v>
      </c>
      <c r="L123" s="37">
        <f t="shared" si="6"/>
        <v>27</v>
      </c>
    </row>
    <row r="124" spans="2:12" x14ac:dyDescent="0.2">
      <c r="B124" s="11">
        <v>1114502</v>
      </c>
      <c r="C124" s="22" t="s">
        <v>96</v>
      </c>
      <c r="D124" s="31">
        <v>2</v>
      </c>
      <c r="E124" s="31"/>
      <c r="F124" s="31"/>
      <c r="G124" s="31">
        <v>18</v>
      </c>
      <c r="H124" s="31"/>
      <c r="I124" s="31"/>
      <c r="J124" s="44"/>
      <c r="K124" s="44">
        <v>10</v>
      </c>
      <c r="L124" s="37">
        <f t="shared" si="6"/>
        <v>30</v>
      </c>
    </row>
    <row r="125" spans="2:12" x14ac:dyDescent="0.2">
      <c r="B125" s="11">
        <v>1114503</v>
      </c>
      <c r="C125" s="22" t="s">
        <v>97</v>
      </c>
      <c r="D125" s="31">
        <v>1</v>
      </c>
      <c r="E125" s="31"/>
      <c r="F125" s="31"/>
      <c r="G125" s="31">
        <v>16</v>
      </c>
      <c r="H125" s="31"/>
      <c r="I125" s="31"/>
      <c r="J125" s="44"/>
      <c r="K125" s="44">
        <v>10</v>
      </c>
      <c r="L125" s="37">
        <f t="shared" si="6"/>
        <v>27</v>
      </c>
    </row>
    <row r="126" spans="2:12" x14ac:dyDescent="0.2">
      <c r="B126" s="11">
        <v>1124021</v>
      </c>
      <c r="C126" s="22" t="s">
        <v>98</v>
      </c>
      <c r="D126" s="31"/>
      <c r="E126" s="31">
        <v>20</v>
      </c>
      <c r="F126" s="31">
        <v>12</v>
      </c>
      <c r="G126" s="31">
        <v>1</v>
      </c>
      <c r="H126" s="31"/>
      <c r="I126" s="31"/>
      <c r="J126" s="44"/>
      <c r="K126" s="44"/>
      <c r="L126" s="37">
        <f t="shared" si="6"/>
        <v>33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>
        <v>3</v>
      </c>
      <c r="F135" s="31"/>
      <c r="G135" s="31"/>
      <c r="H135" s="31"/>
      <c r="I135" s="31"/>
      <c r="J135" s="44"/>
      <c r="K135" s="44"/>
      <c r="L135" s="77">
        <f t="shared" si="6"/>
        <v>3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77">
        <f t="shared" si="6"/>
        <v>0</v>
      </c>
    </row>
    <row r="137" spans="2:12" x14ac:dyDescent="0.2">
      <c r="B137" s="76">
        <v>20052721</v>
      </c>
      <c r="C137" s="75" t="s">
        <v>144</v>
      </c>
      <c r="D137" s="31">
        <v>4</v>
      </c>
      <c r="E137" s="31"/>
      <c r="F137" s="31"/>
      <c r="G137" s="31">
        <v>20</v>
      </c>
      <c r="H137" s="31"/>
      <c r="I137" s="31"/>
      <c r="J137" s="44"/>
      <c r="K137" s="44"/>
      <c r="L137" s="77">
        <f t="shared" si="6"/>
        <v>24</v>
      </c>
    </row>
    <row r="138" spans="2:12" x14ac:dyDescent="0.2">
      <c r="B138" s="51"/>
      <c r="C138" s="50" t="s">
        <v>138</v>
      </c>
      <c r="D138" s="31"/>
      <c r="E138" s="31"/>
      <c r="F138" s="31"/>
      <c r="G138" s="31"/>
      <c r="H138" s="31"/>
      <c r="I138" s="31"/>
      <c r="J138" s="44"/>
      <c r="K138" s="44"/>
      <c r="L138" s="77">
        <f t="shared" si="6"/>
        <v>0</v>
      </c>
    </row>
    <row r="139" spans="2:12" x14ac:dyDescent="0.2">
      <c r="B139" s="51"/>
      <c r="C139" s="50" t="s">
        <v>139</v>
      </c>
      <c r="D139" s="49"/>
      <c r="E139" s="49"/>
      <c r="F139" s="49"/>
      <c r="G139" s="49"/>
      <c r="H139" s="49"/>
      <c r="I139" s="49"/>
      <c r="J139" s="49"/>
      <c r="K139" s="49"/>
      <c r="L139" s="77">
        <f t="shared" si="6"/>
        <v>0</v>
      </c>
    </row>
    <row r="140" spans="2:12" x14ac:dyDescent="0.2">
      <c r="B140" s="51"/>
      <c r="C140" s="50" t="s">
        <v>140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54"/>
      <c r="C142" s="55"/>
      <c r="D142" s="32"/>
      <c r="E142" s="32"/>
      <c r="F142" s="32"/>
      <c r="G142" s="27"/>
      <c r="L142" s="56"/>
    </row>
    <row r="143" spans="2:12" x14ac:dyDescent="0.2">
      <c r="B143" s="64" t="s">
        <v>104</v>
      </c>
      <c r="C143" s="64"/>
      <c r="D143" s="33"/>
      <c r="E143" s="65"/>
      <c r="F143" s="65"/>
      <c r="G143" s="28"/>
      <c r="H143" s="27"/>
      <c r="I143" s="64" t="s">
        <v>104</v>
      </c>
      <c r="J143" s="64"/>
      <c r="K143" s="64"/>
      <c r="L143" s="64"/>
    </row>
    <row r="144" spans="2:12" x14ac:dyDescent="0.2">
      <c r="B144" s="65" t="s">
        <v>105</v>
      </c>
      <c r="C144" s="65"/>
      <c r="D144" s="34"/>
      <c r="E144" s="34"/>
      <c r="F144" s="34"/>
      <c r="G144" s="34"/>
      <c r="H144" s="34"/>
      <c r="I144" s="65" t="s">
        <v>106</v>
      </c>
      <c r="J144" s="65"/>
      <c r="K144" s="65"/>
      <c r="L144" s="65"/>
    </row>
    <row r="145" spans="2:12" x14ac:dyDescent="0.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4.2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topLeftCell="A43" zoomScale="60" zoomScaleNormal="60" workbookViewId="0">
      <selection activeCell="B1" sqref="B1:L1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">
      <c r="B2" s="59"/>
      <c r="C2" s="60"/>
      <c r="D2" s="1"/>
      <c r="E2" s="61"/>
      <c r="F2" s="61"/>
      <c r="G2" s="2"/>
      <c r="H2" s="2"/>
      <c r="I2" s="2"/>
      <c r="J2" s="2"/>
      <c r="K2" s="2"/>
      <c r="L2" s="3" t="s">
        <v>0</v>
      </c>
    </row>
    <row r="3" spans="2:12" x14ac:dyDescent="0.2">
      <c r="B3" s="59"/>
      <c r="C3" s="60"/>
      <c r="D3" s="4"/>
      <c r="E3" s="62"/>
      <c r="F3" s="62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7" t="s">
        <v>11</v>
      </c>
      <c r="C6" s="58"/>
      <c r="D6" s="58"/>
      <c r="E6" s="58"/>
      <c r="F6" s="58"/>
      <c r="G6" s="58"/>
      <c r="H6" s="58"/>
      <c r="I6" s="58"/>
      <c r="J6" s="58"/>
      <c r="K6" s="58"/>
      <c r="L6" s="58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7" t="s">
        <v>55</v>
      </c>
      <c r="C68" s="58"/>
      <c r="D68" s="58"/>
      <c r="E68" s="58"/>
      <c r="F68" s="58"/>
      <c r="G68" s="58"/>
      <c r="H68" s="58"/>
      <c r="I68" s="58"/>
      <c r="J68" s="58"/>
      <c r="K68" s="58"/>
      <c r="L68" s="58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7" t="s">
        <v>64</v>
      </c>
      <c r="C78" s="58"/>
      <c r="D78" s="58"/>
      <c r="E78" s="58"/>
      <c r="F78" s="58"/>
      <c r="G78" s="58"/>
      <c r="H78" s="58"/>
      <c r="I78" s="58"/>
      <c r="J78" s="58"/>
      <c r="K78" s="58"/>
      <c r="L78" s="58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7" t="s">
        <v>74</v>
      </c>
      <c r="C89" s="58"/>
      <c r="D89" s="58"/>
      <c r="E89" s="58"/>
      <c r="F89" s="58"/>
      <c r="G89" s="58"/>
      <c r="H89" s="58"/>
      <c r="I89" s="58"/>
      <c r="J89" s="58"/>
      <c r="K89" s="58"/>
      <c r="L89" s="58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7" t="s">
        <v>85</v>
      </c>
      <c r="C101" s="58"/>
      <c r="D101" s="58"/>
      <c r="E101" s="58"/>
      <c r="F101" s="58"/>
      <c r="G101" s="58"/>
      <c r="H101" s="58"/>
      <c r="I101" s="58"/>
      <c r="J101" s="58"/>
      <c r="K101" s="58"/>
      <c r="L101" s="58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7" t="s">
        <v>86</v>
      </c>
      <c r="C113" s="58"/>
      <c r="D113" s="58"/>
      <c r="E113" s="58"/>
      <c r="F113" s="58"/>
      <c r="G113" s="58"/>
      <c r="H113" s="58"/>
      <c r="I113" s="58"/>
      <c r="J113" s="58"/>
      <c r="K113" s="58"/>
      <c r="L113" s="58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4" t="s">
        <v>104</v>
      </c>
      <c r="C142" s="64"/>
      <c r="D142" s="33"/>
      <c r="E142" s="65"/>
      <c r="F142" s="65"/>
      <c r="G142" s="28"/>
      <c r="H142" s="27"/>
      <c r="I142" s="64" t="s">
        <v>104</v>
      </c>
      <c r="J142" s="64"/>
      <c r="K142" s="64"/>
      <c r="L142" s="64"/>
    </row>
    <row r="143" spans="2:12" x14ac:dyDescent="0.2">
      <c r="B143" s="65" t="s">
        <v>105</v>
      </c>
      <c r="C143" s="65"/>
      <c r="D143" s="34"/>
      <c r="E143" s="34"/>
      <c r="F143" s="34"/>
      <c r="G143" s="34"/>
      <c r="H143" s="34"/>
      <c r="I143" s="65" t="s">
        <v>106</v>
      </c>
      <c r="J143" s="65"/>
      <c r="K143" s="65"/>
      <c r="L143" s="65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I131" sqref="I131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  <col min="13" max="13" width="16.125" style="24" customWidth="1"/>
    <col min="14" max="15" width="15.375" style="24" customWidth="1"/>
    <col min="16" max="16" width="25.375" style="24" customWidth="1"/>
    <col min="17" max="17" width="14.375" style="29" customWidth="1"/>
    <col min="18" max="18" width="9.125" customWidth="1"/>
    <col min="19" max="19" width="7.375" customWidth="1"/>
    <col min="20" max="20" width="22.75" customWidth="1"/>
  </cols>
  <sheetData>
    <row r="1" spans="2:17" x14ac:dyDescent="0.2">
      <c r="B1" s="63" t="s">
        <v>145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7" x14ac:dyDescent="0.2">
      <c r="B2" s="59"/>
      <c r="C2" s="60"/>
      <c r="D2" s="1"/>
      <c r="E2" s="61"/>
      <c r="F2" s="61"/>
      <c r="G2" s="2"/>
      <c r="H2" s="2"/>
      <c r="I2" s="2"/>
      <c r="J2" s="2"/>
      <c r="K2" s="2"/>
      <c r="L2" s="3" t="s">
        <v>0</v>
      </c>
      <c r="M2" s="70" t="s">
        <v>127</v>
      </c>
      <c r="N2" s="70" t="s">
        <v>130</v>
      </c>
      <c r="O2" s="70" t="s">
        <v>141</v>
      </c>
      <c r="P2" s="70" t="s">
        <v>142</v>
      </c>
      <c r="Q2" s="66" t="s">
        <v>1</v>
      </c>
    </row>
    <row r="3" spans="2:17" x14ac:dyDescent="0.2">
      <c r="B3" s="59"/>
      <c r="C3" s="60"/>
      <c r="D3" s="4"/>
      <c r="E3" s="62"/>
      <c r="F3" s="62"/>
      <c r="G3" s="5"/>
      <c r="H3" s="5"/>
      <c r="I3" s="5"/>
      <c r="J3" s="42"/>
      <c r="K3" s="42"/>
      <c r="L3" s="6" t="s">
        <v>2</v>
      </c>
      <c r="M3" s="71"/>
      <c r="N3" s="71"/>
      <c r="O3" s="71"/>
      <c r="P3" s="71"/>
      <c r="Q3" s="67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72"/>
      <c r="N4" s="72"/>
      <c r="O4" s="72"/>
      <c r="P4" s="72"/>
      <c r="Q4" s="68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19.5" x14ac:dyDescent="0.2">
      <c r="B6" s="57" t="s">
        <v>11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69"/>
    </row>
    <row r="7" spans="2:17" x14ac:dyDescent="0.2">
      <c r="B7" s="11">
        <v>1111002</v>
      </c>
      <c r="C7" s="15" t="s">
        <v>107</v>
      </c>
      <c r="D7" s="31">
        <f>'เย็น '!D7+'เช้า '!D7+บ่าย!D7</f>
        <v>16</v>
      </c>
      <c r="E7" s="31">
        <f>'เย็น '!E7+'เช้า '!E7+บ่าย!E7</f>
        <v>29</v>
      </c>
      <c r="F7" s="31">
        <f>'เย็น '!F7+'เช้า '!F7+บ่าย!F7</f>
        <v>23</v>
      </c>
      <c r="G7" s="31">
        <f>'เย็น '!G7+'เช้า '!G7+บ่าย!G7</f>
        <v>18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30</v>
      </c>
      <c r="L7" s="37">
        <f>SUM(D7:K7)</f>
        <v>116</v>
      </c>
      <c r="M7" s="11"/>
      <c r="N7" s="11">
        <v>4</v>
      </c>
      <c r="O7" s="11"/>
      <c r="P7" s="11"/>
      <c r="Q7" s="45">
        <f>(M7+N7+O7+P7)-L7</f>
        <v>-112</v>
      </c>
    </row>
    <row r="8" spans="2:17" hidden="1" x14ac:dyDescent="0.2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 x14ac:dyDescent="0.2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 x14ac:dyDescent="0.2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 x14ac:dyDescent="0.2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 x14ac:dyDescent="0.2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 x14ac:dyDescent="0.2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 x14ac:dyDescent="0.2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 x14ac:dyDescent="0.2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 x14ac:dyDescent="0.2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 x14ac:dyDescent="0.2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 x14ac:dyDescent="0.2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 x14ac:dyDescent="0.2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 x14ac:dyDescent="0.2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 x14ac:dyDescent="0.2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 x14ac:dyDescent="0.2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 x14ac:dyDescent="0.2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 x14ac:dyDescent="0.2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 x14ac:dyDescent="0.2">
      <c r="B25" s="11">
        <v>1111056</v>
      </c>
      <c r="C25" s="15" t="s">
        <v>28</v>
      </c>
      <c r="D25" s="31">
        <f>'เย็น '!D25+'เช้า '!D25+บ่าย!D25</f>
        <v>2</v>
      </c>
      <c r="E25" s="31">
        <f>'เย็น '!E25+'เช้า '!E25+บ่าย!E25</f>
        <v>15</v>
      </c>
      <c r="F25" s="31">
        <f>'เย็น '!F25+'เช้า '!F25+บ่าย!F25</f>
        <v>8</v>
      </c>
      <c r="G25" s="31">
        <f>'เย็น '!G25+'เช้า '!G25+บ่าย!G25</f>
        <v>22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47</v>
      </c>
      <c r="M25" s="11"/>
      <c r="N25" s="11">
        <v>115</v>
      </c>
      <c r="O25" s="11"/>
      <c r="P25" s="11"/>
      <c r="Q25" s="45">
        <f t="shared" si="1"/>
        <v>68</v>
      </c>
    </row>
    <row r="26" spans="2:17" x14ac:dyDescent="0.2">
      <c r="B26" s="11">
        <v>1004055</v>
      </c>
      <c r="C26" s="15" t="s">
        <v>108</v>
      </c>
      <c r="D26" s="31">
        <f>'เย็น '!D26+'เช้า '!D26+บ่าย!D26</f>
        <v>3</v>
      </c>
      <c r="E26" s="31">
        <f>'เย็น '!E26+'เช้า '!E26+บ่าย!E26</f>
        <v>0</v>
      </c>
      <c r="F26" s="31">
        <f>'เย็น '!F26+'เช้า '!F26+บ่าย!F26</f>
        <v>0</v>
      </c>
      <c r="G26" s="31">
        <f>'เย็น '!G26+'เช้า '!G26+บ่าย!G26</f>
        <v>0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3</v>
      </c>
      <c r="M26" s="11"/>
      <c r="N26" s="11"/>
      <c r="O26" s="11"/>
      <c r="P26" s="11"/>
      <c r="Q26" s="45">
        <f t="shared" si="1"/>
        <v>-3</v>
      </c>
    </row>
    <row r="27" spans="2:17" hidden="1" x14ac:dyDescent="0.2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 x14ac:dyDescent="0.2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 x14ac:dyDescent="0.2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 x14ac:dyDescent="0.2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 x14ac:dyDescent="0.2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 x14ac:dyDescent="0.2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 x14ac:dyDescent="0.2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 x14ac:dyDescent="0.2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 x14ac:dyDescent="0.2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 x14ac:dyDescent="0.2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 x14ac:dyDescent="0.2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 x14ac:dyDescent="0.2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 x14ac:dyDescent="0.2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x14ac:dyDescent="0.2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0</v>
      </c>
      <c r="M40" s="11"/>
      <c r="N40" s="11"/>
      <c r="O40" s="11"/>
      <c r="P40" s="11"/>
      <c r="Q40" s="45">
        <f t="shared" si="1"/>
        <v>0</v>
      </c>
    </row>
    <row r="41" spans="2:17" x14ac:dyDescent="0.2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0</v>
      </c>
      <c r="M41" s="11"/>
      <c r="N41" s="11"/>
      <c r="O41" s="11"/>
      <c r="P41" s="11"/>
      <c r="Q41" s="45">
        <f t="shared" si="1"/>
        <v>0</v>
      </c>
    </row>
    <row r="42" spans="2:17" x14ac:dyDescent="0.2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0</v>
      </c>
      <c r="M42" s="11"/>
      <c r="N42" s="11"/>
      <c r="O42" s="11"/>
      <c r="P42" s="11"/>
      <c r="Q42" s="45">
        <f t="shared" si="1"/>
        <v>0</v>
      </c>
    </row>
    <row r="43" spans="2:17" x14ac:dyDescent="0.2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11"/>
      <c r="P43" s="11"/>
      <c r="Q43" s="45">
        <f t="shared" si="1"/>
        <v>0</v>
      </c>
    </row>
    <row r="44" spans="2:17" x14ac:dyDescent="0.2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/>
      <c r="N44" s="11"/>
      <c r="O44" s="11"/>
      <c r="P44" s="11"/>
      <c r="Q44" s="45">
        <f t="shared" si="1"/>
        <v>0</v>
      </c>
    </row>
    <row r="45" spans="2:17" x14ac:dyDescent="0.2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 x14ac:dyDescent="0.2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0</v>
      </c>
      <c r="M46" s="11"/>
      <c r="N46" s="11"/>
      <c r="O46" s="11"/>
      <c r="P46" s="11"/>
      <c r="Q46" s="45">
        <f t="shared" si="1"/>
        <v>0</v>
      </c>
    </row>
    <row r="47" spans="2:17" x14ac:dyDescent="0.2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/>
      <c r="O47" s="11"/>
      <c r="P47" s="11"/>
      <c r="Q47" s="45">
        <f t="shared" si="1"/>
        <v>0</v>
      </c>
    </row>
    <row r="48" spans="2:17" x14ac:dyDescent="0.2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0" x14ac:dyDescent="0.2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/>
      <c r="N49" s="11"/>
      <c r="O49" s="11"/>
      <c r="P49" s="11"/>
      <c r="Q49" s="45">
        <f t="shared" si="1"/>
        <v>0</v>
      </c>
    </row>
    <row r="50" spans="2:20" x14ac:dyDescent="0.2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0</v>
      </c>
      <c r="M50" s="11"/>
      <c r="N50" s="11"/>
      <c r="O50" s="11"/>
      <c r="P50" s="11"/>
      <c r="Q50" s="45">
        <f t="shared" si="1"/>
        <v>0</v>
      </c>
    </row>
    <row r="51" spans="2:20" x14ac:dyDescent="0.2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11"/>
      <c r="P51" s="11"/>
      <c r="Q51" s="45">
        <f t="shared" si="1"/>
        <v>0</v>
      </c>
    </row>
    <row r="52" spans="2:20" x14ac:dyDescent="0.25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/>
      <c r="O52" s="11"/>
      <c r="P52" s="11"/>
      <c r="Q52" s="45">
        <f t="shared" si="1"/>
        <v>0</v>
      </c>
      <c r="S52" s="47"/>
      <c r="T52" s="46"/>
    </row>
    <row r="53" spans="2:20" x14ac:dyDescent="0.2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 x14ac:dyDescent="0.2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 x14ac:dyDescent="0.2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 x14ac:dyDescent="0.2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0</v>
      </c>
      <c r="F56" s="31">
        <f>'เย็น '!F56+'เช้า '!F56+บ่าย!F56</f>
        <v>0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0</v>
      </c>
      <c r="M56" s="11"/>
      <c r="N56" s="11"/>
      <c r="O56" s="11"/>
      <c r="P56" s="11"/>
      <c r="Q56" s="45">
        <f t="shared" si="1"/>
        <v>0</v>
      </c>
    </row>
    <row r="57" spans="2:20" x14ac:dyDescent="0.2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0</v>
      </c>
      <c r="F57" s="31">
        <f>'เย็น '!F57+'เช้า '!F57+บ่าย!F57</f>
        <v>0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0</v>
      </c>
      <c r="M57" s="11"/>
      <c r="N57" s="11"/>
      <c r="O57" s="11"/>
      <c r="P57" s="11"/>
      <c r="Q57" s="45">
        <f t="shared" si="1"/>
        <v>0</v>
      </c>
    </row>
    <row r="58" spans="2:20" x14ac:dyDescent="0.2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0</v>
      </c>
      <c r="F58" s="31">
        <f>'เย็น '!F58+'เช้า '!F58+บ่าย!F58</f>
        <v>0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0</v>
      </c>
      <c r="M58" s="11"/>
      <c r="N58" s="11"/>
      <c r="O58" s="11"/>
      <c r="P58" s="11"/>
      <c r="Q58" s="45">
        <f t="shared" si="1"/>
        <v>0</v>
      </c>
    </row>
    <row r="59" spans="2:20" x14ac:dyDescent="0.2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0</v>
      </c>
      <c r="F59" s="31">
        <f>'เย็น '!F59+'เช้า '!F59+บ่าย!F59</f>
        <v>0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0</v>
      </c>
      <c r="M59" s="11"/>
      <c r="N59" s="11"/>
      <c r="O59" s="11"/>
      <c r="P59" s="11"/>
      <c r="Q59" s="45">
        <f t="shared" si="1"/>
        <v>0</v>
      </c>
    </row>
    <row r="60" spans="2:20" x14ac:dyDescent="0.2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0</v>
      </c>
      <c r="F60" s="31">
        <f>'เย็น '!F60+'เช้า '!F60+บ่าย!F60</f>
        <v>0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0</v>
      </c>
      <c r="M60" s="11"/>
      <c r="N60" s="11"/>
      <c r="O60" s="11"/>
      <c r="P60" s="11"/>
      <c r="Q60" s="45">
        <f t="shared" si="1"/>
        <v>0</v>
      </c>
    </row>
    <row r="61" spans="2:20" x14ac:dyDescent="0.2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0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0</v>
      </c>
      <c r="M61" s="11"/>
      <c r="N61" s="11"/>
      <c r="O61" s="11"/>
      <c r="P61" s="11"/>
      <c r="Q61" s="45">
        <f t="shared" si="1"/>
        <v>0</v>
      </c>
    </row>
    <row r="62" spans="2:20" x14ac:dyDescent="0.2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0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0</v>
      </c>
      <c r="M62" s="11"/>
      <c r="N62" s="11"/>
      <c r="O62" s="11"/>
      <c r="P62" s="11"/>
      <c r="Q62" s="45">
        <f t="shared" si="1"/>
        <v>0</v>
      </c>
    </row>
    <row r="63" spans="2:20" x14ac:dyDescent="0.2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0</v>
      </c>
      <c r="M63" s="11"/>
      <c r="N63" s="11"/>
      <c r="O63" s="11"/>
      <c r="P63" s="11"/>
      <c r="Q63" s="45">
        <f t="shared" si="1"/>
        <v>0</v>
      </c>
    </row>
    <row r="64" spans="2:20" x14ac:dyDescent="0.2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0</v>
      </c>
      <c r="M64" s="11"/>
      <c r="N64" s="11"/>
      <c r="O64" s="11"/>
      <c r="P64" s="11"/>
      <c r="Q64" s="45">
        <f t="shared" si="1"/>
        <v>0</v>
      </c>
    </row>
    <row r="65" spans="2:20" x14ac:dyDescent="0.25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0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0</v>
      </c>
      <c r="M65" s="11"/>
      <c r="N65" s="11"/>
      <c r="O65" s="11"/>
      <c r="P65" s="11"/>
      <c r="Q65" s="45">
        <f t="shared" si="1"/>
        <v>0</v>
      </c>
      <c r="S65" s="48"/>
      <c r="T65" s="46"/>
    </row>
    <row r="66" spans="2:20" hidden="1" x14ac:dyDescent="0.2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19.5" x14ac:dyDescent="0.2">
      <c r="B68" s="57" t="s">
        <v>55</v>
      </c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69"/>
    </row>
    <row r="69" spans="2:20" x14ac:dyDescent="0.2">
      <c r="B69" s="11">
        <v>1111009</v>
      </c>
      <c r="C69" s="20" t="s">
        <v>56</v>
      </c>
      <c r="D69" s="31">
        <f>'เย็น '!D69+'เช้า '!D69+บ่าย!D69</f>
        <v>6</v>
      </c>
      <c r="E69" s="31">
        <f>'เย็น '!E69+'เช้า '!E69+บ่าย!E69</f>
        <v>5</v>
      </c>
      <c r="F69" s="31">
        <f>'เย็น '!F69+'เช้า '!F69+บ่าย!F69</f>
        <v>1</v>
      </c>
      <c r="G69" s="31">
        <f>'เย็น '!G69+'เช้า '!G69+บ่าย!G69</f>
        <v>20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32</v>
      </c>
      <c r="M69" s="11"/>
      <c r="N69" s="11">
        <v>47</v>
      </c>
      <c r="O69" s="11"/>
      <c r="P69" s="11"/>
      <c r="Q69" s="45">
        <f t="shared" ref="Q69:Q76" si="5">(M69+N69+O69+P69)-L69</f>
        <v>15</v>
      </c>
    </row>
    <row r="70" spans="2:20" x14ac:dyDescent="0.2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x14ac:dyDescent="0.2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x14ac:dyDescent="0.2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x14ac:dyDescent="0.2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x14ac:dyDescent="0.2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x14ac:dyDescent="0.2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x14ac:dyDescent="0.2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19.5" x14ac:dyDescent="0.2">
      <c r="B78" s="57" t="s">
        <v>64</v>
      </c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69"/>
    </row>
    <row r="79" spans="2:20" x14ac:dyDescent="0.2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x14ac:dyDescent="0.2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x14ac:dyDescent="0.2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x14ac:dyDescent="0.2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x14ac:dyDescent="0.2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x14ac:dyDescent="0.2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x14ac:dyDescent="0.2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x14ac:dyDescent="0.2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 x14ac:dyDescent="0.2">
      <c r="B87" s="11">
        <v>1111008</v>
      </c>
      <c r="C87" s="20" t="s">
        <v>73</v>
      </c>
      <c r="D87" s="31">
        <f>'เย็น '!D87+'เช้า '!D87+บ่าย!D87</f>
        <v>1</v>
      </c>
      <c r="E87" s="31">
        <f>'เย็น '!E87+'เช้า '!E87+บ่าย!E87</f>
        <v>0</v>
      </c>
      <c r="F87" s="31">
        <f>'เย็น '!F87+'เช้า '!F87+บ่าย!F87</f>
        <v>0</v>
      </c>
      <c r="G87" s="31">
        <f>'เย็น '!G87+'เช้า '!G87+บ่าย!G87</f>
        <v>9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10</v>
      </c>
      <c r="M87" s="11"/>
      <c r="N87" s="11">
        <v>25</v>
      </c>
      <c r="O87" s="11"/>
      <c r="P87" s="11"/>
      <c r="Q87" s="45">
        <f t="shared" si="8"/>
        <v>15</v>
      </c>
    </row>
    <row r="88" spans="2:17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19.5" x14ac:dyDescent="0.2">
      <c r="B89" s="57" t="s">
        <v>74</v>
      </c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69"/>
    </row>
    <row r="90" spans="2:17" x14ac:dyDescent="0.2">
      <c r="B90" s="11">
        <v>1112009</v>
      </c>
      <c r="C90" s="20" t="s">
        <v>75</v>
      </c>
      <c r="D90" s="31">
        <f>'เย็น '!D90+'เช้า '!D90+บ่าย!D90</f>
        <v>0</v>
      </c>
      <c r="E90" s="31">
        <f>'เย็น '!E90+'เช้า '!E90+บ่าย!E90</f>
        <v>0</v>
      </c>
      <c r="F90" s="31">
        <f>'เย็น '!F90+'เช้า '!F90+บ่าย!F90</f>
        <v>0</v>
      </c>
      <c r="G90" s="31">
        <f>'เย็น '!G90+'เช้า '!G90+บ่าย!G90</f>
        <v>0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0</v>
      </c>
      <c r="L90" s="37">
        <f t="shared" ref="L90:L99" si="9">SUM(D90:K90)</f>
        <v>0</v>
      </c>
      <c r="M90" s="11"/>
      <c r="N90" s="11">
        <v>3</v>
      </c>
      <c r="O90" s="11"/>
      <c r="P90" s="11"/>
      <c r="Q90" s="45">
        <f t="shared" ref="Q90:Q99" si="10">(M90+N90+O90+P90)-L90</f>
        <v>3</v>
      </c>
    </row>
    <row r="91" spans="2:17" x14ac:dyDescent="0.2">
      <c r="B91" s="11">
        <v>1112011</v>
      </c>
      <c r="C91" s="20" t="s">
        <v>76</v>
      </c>
      <c r="D91" s="31">
        <f>'เย็น '!D91+'เช้า '!D91+บ่าย!D91</f>
        <v>0</v>
      </c>
      <c r="E91" s="31">
        <f>'เย็น '!E91+'เช้า '!E91+บ่าย!E91</f>
        <v>0</v>
      </c>
      <c r="F91" s="31">
        <f>'เย็น '!F91+'เช้า '!F91+บ่าย!F91</f>
        <v>0</v>
      </c>
      <c r="G91" s="31">
        <f>'เย็น '!G91+'เช้า '!G91+บ่าย!G91</f>
        <v>0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9"/>
        <v>0</v>
      </c>
      <c r="M91" s="11"/>
      <c r="N91" s="11">
        <v>2</v>
      </c>
      <c r="O91" s="11"/>
      <c r="P91" s="11"/>
      <c r="Q91" s="45">
        <f t="shared" si="10"/>
        <v>2</v>
      </c>
    </row>
    <row r="92" spans="2:17" x14ac:dyDescent="0.2">
      <c r="B92" s="11">
        <v>1112003</v>
      </c>
      <c r="C92" s="20" t="s">
        <v>77</v>
      </c>
      <c r="D92" s="31">
        <f>'เย็น '!D92+'เช้า '!D92+บ่าย!D92</f>
        <v>0</v>
      </c>
      <c r="E92" s="31">
        <f>'เย็น '!E92+'เช้า '!E92+บ่าย!E92</f>
        <v>0</v>
      </c>
      <c r="F92" s="31">
        <f>'เย็น '!F92+'เช้า '!F92+บ่าย!F92</f>
        <v>0</v>
      </c>
      <c r="G92" s="31">
        <f>'เย็น '!G92+'เช้า '!G92+บ่าย!G92</f>
        <v>0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0</v>
      </c>
      <c r="M92" s="11"/>
      <c r="N92" s="11">
        <v>2</v>
      </c>
      <c r="O92" s="11"/>
      <c r="P92" s="11"/>
      <c r="Q92" s="45">
        <f t="shared" si="10"/>
        <v>2</v>
      </c>
    </row>
    <row r="93" spans="2:17" x14ac:dyDescent="0.2">
      <c r="B93" s="11">
        <v>1112005</v>
      </c>
      <c r="C93" s="20" t="s">
        <v>78</v>
      </c>
      <c r="D93" s="31">
        <f>'เย็น '!D93+'เช้า '!D93+บ่าย!D93</f>
        <v>13</v>
      </c>
      <c r="E93" s="31">
        <f>'เย็น '!E93+'เช้า '!E93+บ่าย!E93</f>
        <v>0</v>
      </c>
      <c r="F93" s="31">
        <f>'เย็น '!F93+'เช้า '!F93+บ่าย!F93</f>
        <v>0</v>
      </c>
      <c r="G93" s="31">
        <f>'เย็น '!G93+'เช้า '!G93+บ่าย!G93</f>
        <v>0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13</v>
      </c>
      <c r="M93" s="11"/>
      <c r="N93" s="11">
        <v>4</v>
      </c>
      <c r="O93" s="11"/>
      <c r="P93" s="11"/>
      <c r="Q93" s="45">
        <f t="shared" si="10"/>
        <v>-9</v>
      </c>
    </row>
    <row r="94" spans="2:17" x14ac:dyDescent="0.2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 x14ac:dyDescent="0.2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 x14ac:dyDescent="0.2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17" x14ac:dyDescent="0.2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31">
        <f>'เย็น '!G97+'เช้า '!G97+บ่าย!G97</f>
        <v>0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0</v>
      </c>
      <c r="M97" s="11"/>
      <c r="N97" s="11"/>
      <c r="O97" s="11"/>
      <c r="P97" s="11"/>
      <c r="Q97" s="45">
        <f t="shared" si="10"/>
        <v>0</v>
      </c>
    </row>
    <row r="98" spans="2:17" x14ac:dyDescent="0.2">
      <c r="B98" s="11">
        <v>1112013</v>
      </c>
      <c r="C98" s="20" t="s">
        <v>83</v>
      </c>
      <c r="D98" s="31">
        <f>'เย็น '!D98+'เช้า '!D98+บ่าย!D98</f>
        <v>0</v>
      </c>
      <c r="E98" s="31">
        <f>'เย็น '!E98+'เช้า '!E98+บ่าย!E98</f>
        <v>0</v>
      </c>
      <c r="F98" s="31">
        <f>'เย็น '!F98+'เช้า '!F98+บ่าย!F98</f>
        <v>0</v>
      </c>
      <c r="G98" s="31">
        <f>'เย็น '!G98+'เช้า '!G98+บ่าย!G98</f>
        <v>0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0</v>
      </c>
      <c r="M98" s="11"/>
      <c r="N98" s="11"/>
      <c r="O98" s="11"/>
      <c r="P98" s="11"/>
      <c r="Q98" s="45">
        <f t="shared" si="10"/>
        <v>0</v>
      </c>
    </row>
    <row r="99" spans="2:17" x14ac:dyDescent="0.2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17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13</v>
      </c>
      <c r="M100" s="11"/>
      <c r="N100" s="11"/>
      <c r="O100" s="11"/>
      <c r="P100" s="11"/>
      <c r="Q100" s="45"/>
    </row>
    <row r="101" spans="2:17" ht="19.5" x14ac:dyDescent="0.2">
      <c r="B101" s="57" t="s">
        <v>85</v>
      </c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69"/>
    </row>
    <row r="102" spans="2:17" x14ac:dyDescent="0.2">
      <c r="B102" s="11">
        <v>1112008</v>
      </c>
      <c r="C102" s="20" t="s">
        <v>75</v>
      </c>
      <c r="D102" s="31">
        <f>บ่าย!D102+'เช้า '!D102+'เย็น '!D102</f>
        <v>1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5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6</v>
      </c>
      <c r="M102" s="11"/>
      <c r="N102" s="11">
        <v>172</v>
      </c>
      <c r="O102" s="11"/>
      <c r="P102" s="11"/>
      <c r="Q102" s="45">
        <f t="shared" ref="Q102:Q111" si="12">(M102+N102+O102+P102)-L102</f>
        <v>166</v>
      </c>
    </row>
    <row r="103" spans="2:17" x14ac:dyDescent="0.2">
      <c r="B103" s="11">
        <v>1112010</v>
      </c>
      <c r="C103" s="20" t="s">
        <v>76</v>
      </c>
      <c r="D103" s="31">
        <f>บ่าย!D103+'เช้า '!D103+'เย็น '!D103</f>
        <v>2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6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8</v>
      </c>
      <c r="M103" s="11"/>
      <c r="N103" s="11">
        <v>158</v>
      </c>
      <c r="O103" s="11"/>
      <c r="P103" s="11"/>
      <c r="Q103" s="45">
        <f t="shared" si="12"/>
        <v>150</v>
      </c>
    </row>
    <row r="104" spans="2:17" x14ac:dyDescent="0.2">
      <c r="B104" s="11">
        <v>1112002</v>
      </c>
      <c r="C104" s="20" t="s">
        <v>77</v>
      </c>
      <c r="D104" s="31">
        <f>บ่าย!D104+'เช้า '!D104+'เย็น '!D104</f>
        <v>3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1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4</v>
      </c>
      <c r="M104" s="11"/>
      <c r="N104" s="11">
        <v>216</v>
      </c>
      <c r="O104" s="11"/>
      <c r="P104" s="11"/>
      <c r="Q104" s="45">
        <f t="shared" si="12"/>
        <v>212</v>
      </c>
    </row>
    <row r="105" spans="2:17" x14ac:dyDescent="0.2">
      <c r="B105" s="11">
        <v>1112004</v>
      </c>
      <c r="C105" s="20" t="s">
        <v>78</v>
      </c>
      <c r="D105" s="31">
        <f>บ่าย!D105+'เช้า '!D105+'เย็น '!D105</f>
        <v>1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1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2</v>
      </c>
      <c r="M105" s="11"/>
      <c r="N105" s="11">
        <v>189</v>
      </c>
      <c r="O105" s="11"/>
      <c r="P105" s="11"/>
      <c r="Q105" s="45">
        <f t="shared" si="12"/>
        <v>187</v>
      </c>
    </row>
    <row r="106" spans="2:17" x14ac:dyDescent="0.2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17" x14ac:dyDescent="0.2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17" x14ac:dyDescent="0.2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1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1</v>
      </c>
      <c r="M108" s="11"/>
      <c r="N108" s="11">
        <v>236</v>
      </c>
      <c r="O108" s="11"/>
      <c r="P108" s="11"/>
      <c r="Q108" s="45">
        <f t="shared" si="12"/>
        <v>235</v>
      </c>
    </row>
    <row r="109" spans="2:17" x14ac:dyDescent="0.2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1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1</v>
      </c>
      <c r="M109" s="11"/>
      <c r="N109" s="11">
        <v>215</v>
      </c>
      <c r="O109" s="11"/>
      <c r="P109" s="11"/>
      <c r="Q109" s="45">
        <f t="shared" si="12"/>
        <v>214</v>
      </c>
    </row>
    <row r="110" spans="2:17" x14ac:dyDescent="0.2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3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3</v>
      </c>
      <c r="M110" s="11"/>
      <c r="N110" s="11">
        <v>226</v>
      </c>
      <c r="O110" s="11"/>
      <c r="P110" s="11"/>
      <c r="Q110" s="45">
        <f t="shared" si="12"/>
        <v>223</v>
      </c>
    </row>
    <row r="111" spans="2:17" x14ac:dyDescent="0.2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17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2:17" ht="19.5" x14ac:dyDescent="0.2">
      <c r="B113" s="57" t="s">
        <v>86</v>
      </c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69"/>
    </row>
    <row r="114" spans="2:17" x14ac:dyDescent="0.2">
      <c r="B114" s="11">
        <v>1113170</v>
      </c>
      <c r="C114" s="22" t="s">
        <v>87</v>
      </c>
      <c r="D114" s="31">
        <f>'เย็น '!D114+'เช้า '!D114+บ่าย!D114</f>
        <v>2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0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10</v>
      </c>
      <c r="L114" s="37">
        <f t="shared" ref="L114:L140" si="15">SUM(D114:K114)</f>
        <v>12</v>
      </c>
      <c r="M114" s="11"/>
      <c r="N114" s="11">
        <v>31</v>
      </c>
      <c r="O114" s="11"/>
      <c r="P114" s="11"/>
      <c r="Q114" s="45">
        <f t="shared" ref="Q114:Q140" si="16">(M114+N114+O114+P114)-L114</f>
        <v>19</v>
      </c>
    </row>
    <row r="115" spans="2:17" x14ac:dyDescent="0.2">
      <c r="B115" s="11">
        <v>1113171</v>
      </c>
      <c r="C115" s="22" t="s">
        <v>88</v>
      </c>
      <c r="D115" s="31">
        <f>'เย็น '!D115+'เช้า '!D115+บ่าย!D115</f>
        <v>0</v>
      </c>
      <c r="E115" s="31">
        <f>'เย็น '!E115+'เช้า '!E115+บ่าย!E115</f>
        <v>1</v>
      </c>
      <c r="F115" s="31">
        <f>'เย็น '!F115+'เช้า '!F115+บ่าย!F115</f>
        <v>0</v>
      </c>
      <c r="G115" s="31">
        <f>'เย็น '!G115+'เช้า '!G115+บ่าย!G115</f>
        <v>1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10</v>
      </c>
      <c r="L115" s="37">
        <f t="shared" si="15"/>
        <v>12</v>
      </c>
      <c r="M115" s="11"/>
      <c r="N115" s="11">
        <v>38</v>
      </c>
      <c r="O115" s="11"/>
      <c r="P115" s="11"/>
      <c r="Q115" s="45">
        <f t="shared" si="16"/>
        <v>26</v>
      </c>
    </row>
    <row r="116" spans="2:17" x14ac:dyDescent="0.2">
      <c r="B116" s="11">
        <v>1113172</v>
      </c>
      <c r="C116" s="22" t="s">
        <v>89</v>
      </c>
      <c r="D116" s="31">
        <f>'เย็น '!D116+'เช้า '!D116+บ่าย!D116</f>
        <v>0</v>
      </c>
      <c r="E116" s="31">
        <f>'เย็น '!E116+'เช้า '!E116+บ่าย!E116</f>
        <v>1</v>
      </c>
      <c r="F116" s="31">
        <f>'เย็น '!F116+'เช้า '!F116+บ่าย!F116</f>
        <v>0</v>
      </c>
      <c r="G116" s="31">
        <f>'เย็น '!G116+'เช้า '!G116+บ่าย!G116</f>
        <v>0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10</v>
      </c>
      <c r="L116" s="37">
        <f t="shared" si="15"/>
        <v>11</v>
      </c>
      <c r="M116" s="11"/>
      <c r="N116" s="11">
        <v>32</v>
      </c>
      <c r="O116" s="11"/>
      <c r="P116" s="11"/>
      <c r="Q116" s="45">
        <f t="shared" si="16"/>
        <v>21</v>
      </c>
    </row>
    <row r="117" spans="2:17" x14ac:dyDescent="0.2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2:17" x14ac:dyDescent="0.2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5"/>
        <v>0</v>
      </c>
      <c r="M118" s="11"/>
      <c r="N118" s="11"/>
      <c r="O118" s="11"/>
      <c r="P118" s="11"/>
      <c r="Q118" s="45">
        <f t="shared" si="16"/>
        <v>0</v>
      </c>
    </row>
    <row r="119" spans="2:17" x14ac:dyDescent="0.2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5"/>
        <v>0</v>
      </c>
      <c r="M119" s="11"/>
      <c r="N119" s="11"/>
      <c r="O119" s="11"/>
      <c r="P119" s="11"/>
      <c r="Q119" s="45">
        <f t="shared" si="16"/>
        <v>0</v>
      </c>
    </row>
    <row r="120" spans="2:17" x14ac:dyDescent="0.2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0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5"/>
        <v>0</v>
      </c>
      <c r="M120" s="11"/>
      <c r="N120" s="11">
        <v>15</v>
      </c>
      <c r="O120" s="11"/>
      <c r="P120" s="11"/>
      <c r="Q120" s="45">
        <f t="shared" si="16"/>
        <v>15</v>
      </c>
    </row>
    <row r="121" spans="2:17" x14ac:dyDescent="0.2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5"/>
        <v>0</v>
      </c>
      <c r="M121" s="11"/>
      <c r="N121" s="11">
        <v>48</v>
      </c>
      <c r="O121" s="11"/>
      <c r="P121" s="11"/>
      <c r="Q121" s="45">
        <f t="shared" si="16"/>
        <v>48</v>
      </c>
    </row>
    <row r="122" spans="2:17" x14ac:dyDescent="0.2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5"/>
        <v>0</v>
      </c>
      <c r="M122" s="11"/>
      <c r="N122" s="11"/>
      <c r="O122" s="11"/>
      <c r="P122" s="11"/>
      <c r="Q122" s="45">
        <f t="shared" si="16"/>
        <v>0</v>
      </c>
    </row>
    <row r="123" spans="2:17" x14ac:dyDescent="0.2">
      <c r="B123" s="11">
        <v>1114501</v>
      </c>
      <c r="C123" s="22" t="s">
        <v>95</v>
      </c>
      <c r="D123" s="31">
        <f>'เย็น '!D123+'เช้า '!D123+บ่าย!D123</f>
        <v>2</v>
      </c>
      <c r="E123" s="31">
        <f>'เย็น '!E123+'เช้า '!E123+บ่าย!E123</f>
        <v>1</v>
      </c>
      <c r="F123" s="31">
        <f>'เย็น '!F123+'เช้า '!F123+บ่าย!F123</f>
        <v>0</v>
      </c>
      <c r="G123" s="31">
        <v>4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10</v>
      </c>
      <c r="L123" s="37">
        <f t="shared" si="15"/>
        <v>17</v>
      </c>
      <c r="M123" s="11"/>
      <c r="N123" s="11">
        <v>10</v>
      </c>
      <c r="O123" s="11"/>
      <c r="P123" s="11"/>
      <c r="Q123" s="45">
        <f t="shared" si="16"/>
        <v>-7</v>
      </c>
    </row>
    <row r="124" spans="2:17" x14ac:dyDescent="0.2">
      <c r="B124" s="11">
        <v>1114502</v>
      </c>
      <c r="C124" s="22" t="s">
        <v>96</v>
      </c>
      <c r="D124" s="31">
        <f>'เย็น '!D124+'เช้า '!D124+บ่าย!D124</f>
        <v>2</v>
      </c>
      <c r="E124" s="31">
        <f>'เย็น '!E124+'เช้า '!E124+บ่าย!E124</f>
        <v>0</v>
      </c>
      <c r="F124" s="31">
        <f>'เย็น '!F124+'เช้า '!F124+บ่าย!F124</f>
        <v>0</v>
      </c>
      <c r="G124" s="31">
        <v>28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10</v>
      </c>
      <c r="L124" s="37">
        <f t="shared" si="15"/>
        <v>40</v>
      </c>
      <c r="M124" s="11"/>
      <c r="N124" s="11">
        <v>43</v>
      </c>
      <c r="O124" s="11"/>
      <c r="P124" s="11"/>
      <c r="Q124" s="45">
        <f t="shared" si="16"/>
        <v>3</v>
      </c>
    </row>
    <row r="125" spans="2:17" x14ac:dyDescent="0.2">
      <c r="B125" s="11">
        <v>1114503</v>
      </c>
      <c r="C125" s="22" t="s">
        <v>97</v>
      </c>
      <c r="D125" s="31">
        <f>'เย็น '!D125+'เช้า '!D125+บ่าย!D125</f>
        <v>1</v>
      </c>
      <c r="E125" s="31">
        <f>'เย็น '!E125+'เช้า '!E125+บ่าย!E125</f>
        <v>0</v>
      </c>
      <c r="F125" s="31">
        <f>'เย็น '!F125+'เช้า '!F125+บ่าย!F125</f>
        <v>0</v>
      </c>
      <c r="G125" s="31">
        <f>'เย็น '!G125+'เช้า '!G125+บ่าย!G125</f>
        <v>16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10</v>
      </c>
      <c r="L125" s="37">
        <f t="shared" si="15"/>
        <v>27</v>
      </c>
      <c r="M125" s="11"/>
      <c r="N125" s="11">
        <v>32</v>
      </c>
      <c r="O125" s="11"/>
      <c r="P125" s="11"/>
      <c r="Q125" s="45">
        <f t="shared" si="16"/>
        <v>5</v>
      </c>
    </row>
    <row r="126" spans="2:17" x14ac:dyDescent="0.2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20</v>
      </c>
      <c r="F126" s="31">
        <f>'เย็น '!F126+'เช้า '!F126+บ่าย!F126</f>
        <v>12</v>
      </c>
      <c r="G126" s="31">
        <f>'เย็น '!G126+'เช้า '!G126+บ่าย!G126</f>
        <v>1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5"/>
        <v>33</v>
      </c>
      <c r="M126" s="11"/>
      <c r="N126" s="11">
        <v>58</v>
      </c>
      <c r="O126" s="11"/>
      <c r="P126" s="11"/>
      <c r="Q126" s="45">
        <f t="shared" si="16"/>
        <v>25</v>
      </c>
    </row>
    <row r="127" spans="2:17" x14ac:dyDescent="0.2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2:17" x14ac:dyDescent="0.2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 x14ac:dyDescent="0.2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 x14ac:dyDescent="0.2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5"/>
        <v>0</v>
      </c>
      <c r="M130" s="11"/>
      <c r="N130" s="11"/>
      <c r="O130" s="11"/>
      <c r="P130" s="11"/>
      <c r="Q130" s="45">
        <f t="shared" si="16"/>
        <v>0</v>
      </c>
    </row>
    <row r="131" spans="2:17" x14ac:dyDescent="0.2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5"/>
        <v>0</v>
      </c>
      <c r="M131" s="11"/>
      <c r="N131" s="11"/>
      <c r="O131" s="11"/>
      <c r="P131" s="11"/>
      <c r="Q131" s="45">
        <f t="shared" si="16"/>
        <v>0</v>
      </c>
    </row>
    <row r="132" spans="2:17" x14ac:dyDescent="0.2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 x14ac:dyDescent="0.2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 x14ac:dyDescent="0.2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 x14ac:dyDescent="0.2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3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5"/>
        <v>3</v>
      </c>
      <c r="M135" s="11"/>
      <c r="N135" s="11"/>
      <c r="O135" s="11"/>
      <c r="P135" s="11"/>
      <c r="Q135" s="82">
        <f t="shared" si="16"/>
        <v>-3</v>
      </c>
    </row>
    <row r="136" spans="2:17" x14ac:dyDescent="0.2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5"/>
        <v>0</v>
      </c>
      <c r="M136" s="11"/>
      <c r="N136" s="11"/>
      <c r="O136" s="11"/>
      <c r="P136" s="11"/>
      <c r="Q136" s="82">
        <f t="shared" si="16"/>
        <v>0</v>
      </c>
    </row>
    <row r="137" spans="2:17" s="73" customFormat="1" x14ac:dyDescent="0.2">
      <c r="B137" s="79">
        <v>20052721</v>
      </c>
      <c r="C137" s="78" t="s">
        <v>144</v>
      </c>
      <c r="D137" s="80">
        <f>'เย็น '!D137+'เช้า '!D137+บ่าย!D137</f>
        <v>4</v>
      </c>
      <c r="E137" s="80">
        <f>'เย็น '!E137+'เช้า '!E137+บ่าย!E137</f>
        <v>0</v>
      </c>
      <c r="F137" s="80">
        <f>'เย็น '!F137+'เช้า '!F137+บ่าย!F137</f>
        <v>0</v>
      </c>
      <c r="G137" s="80">
        <f>'เย็น '!G137+'เช้า '!G137+บ่าย!G137</f>
        <v>20</v>
      </c>
      <c r="H137" s="80">
        <f>'เย็น '!H137+'เช้า '!H137+บ่าย!H137</f>
        <v>0</v>
      </c>
      <c r="I137" s="80">
        <f>'เย็น '!I137+'เช้า '!I137+บ่าย!I137</f>
        <v>0</v>
      </c>
      <c r="J137" s="80">
        <f>'เย็น '!J137+'เช้า '!J137+บ่าย!J137</f>
        <v>0</v>
      </c>
      <c r="K137" s="80">
        <f>'เย็น '!K137+'เช้า '!K137+บ่าย!K137</f>
        <v>0</v>
      </c>
      <c r="L137" s="81">
        <f t="shared" si="15"/>
        <v>24</v>
      </c>
      <c r="M137" s="74"/>
      <c r="N137" s="74">
        <v>38</v>
      </c>
      <c r="O137" s="74"/>
      <c r="P137" s="74"/>
      <c r="Q137" s="82">
        <f t="shared" si="16"/>
        <v>14</v>
      </c>
    </row>
    <row r="138" spans="2:17" x14ac:dyDescent="0.2">
      <c r="B138" s="51"/>
      <c r="C138" s="50" t="s">
        <v>138</v>
      </c>
      <c r="D138" s="80">
        <f>'เย็น '!D138+'เช้า '!D138+บ่าย!D138</f>
        <v>0</v>
      </c>
      <c r="E138" s="80">
        <f>'เย็น '!E138+'เช้า '!E138+บ่าย!E138</f>
        <v>0</v>
      </c>
      <c r="F138" s="80">
        <f>'เย็น '!F138+'เช้า '!F138+บ่าย!F138</f>
        <v>0</v>
      </c>
      <c r="G138" s="80">
        <f>'เย็น '!G138+'เช้า '!G138+บ่าย!G138</f>
        <v>0</v>
      </c>
      <c r="H138" s="80">
        <f>'เย็น '!H138+'เช้า '!H138+บ่าย!H138</f>
        <v>0</v>
      </c>
      <c r="I138" s="80">
        <f>'เย็น '!I138+'เช้า '!I138+บ่าย!I138</f>
        <v>0</v>
      </c>
      <c r="J138" s="80">
        <f>'เย็น '!J138+'เช้า '!J138+บ่าย!J138</f>
        <v>0</v>
      </c>
      <c r="K138" s="80">
        <f>'เย็น '!K138+'เช้า '!K138+บ่าย!K138</f>
        <v>0</v>
      </c>
      <c r="L138" s="81">
        <f t="shared" si="15"/>
        <v>0</v>
      </c>
      <c r="M138" s="11"/>
      <c r="N138" s="11"/>
      <c r="O138" s="11"/>
      <c r="P138" s="11"/>
      <c r="Q138" s="82">
        <f t="shared" si="16"/>
        <v>0</v>
      </c>
    </row>
    <row r="139" spans="2:17" x14ac:dyDescent="0.2">
      <c r="B139" s="51"/>
      <c r="C139" s="50" t="s">
        <v>139</v>
      </c>
      <c r="D139" s="80">
        <f>'เย็น '!D139+'เช้า '!D139+บ่าย!D139</f>
        <v>0</v>
      </c>
      <c r="E139" s="80">
        <f>'เย็น '!E139+'เช้า '!E139+บ่าย!E139</f>
        <v>0</v>
      </c>
      <c r="F139" s="80">
        <f>'เย็น '!F139+'เช้า '!F139+บ่าย!F139</f>
        <v>0</v>
      </c>
      <c r="G139" s="80">
        <f>'เย็น '!G139+'เช้า '!G139+บ่าย!G139</f>
        <v>0</v>
      </c>
      <c r="H139" s="80">
        <f>'เย็น '!H139+'เช้า '!H139+บ่าย!H139</f>
        <v>0</v>
      </c>
      <c r="I139" s="80">
        <f>'เย็น '!I139+'เช้า '!I139+บ่าย!I139</f>
        <v>0</v>
      </c>
      <c r="J139" s="80">
        <f>'เย็น '!J139+'เช้า '!J139+บ่าย!J139</f>
        <v>0</v>
      </c>
      <c r="K139" s="80">
        <f>'เย็น '!K139+'เช้า '!K139+บ่าย!K139</f>
        <v>0</v>
      </c>
      <c r="L139" s="81">
        <f t="shared" si="15"/>
        <v>0</v>
      </c>
      <c r="M139" s="11"/>
      <c r="N139" s="11"/>
      <c r="O139" s="11"/>
      <c r="P139" s="11"/>
      <c r="Q139" s="82">
        <f t="shared" si="16"/>
        <v>0</v>
      </c>
    </row>
    <row r="140" spans="2:17" x14ac:dyDescent="0.2">
      <c r="B140" s="51"/>
      <c r="C140" s="50" t="s">
        <v>140</v>
      </c>
      <c r="D140" s="31">
        <f>'เย็น '!D139+'เช้า '!D140+บ่าย!D139</f>
        <v>0</v>
      </c>
      <c r="E140" s="31">
        <f>'เย็น '!E139+'เช้า '!E140+บ่าย!E139</f>
        <v>0</v>
      </c>
      <c r="F140" s="31">
        <f>'เย็น '!F139+'เช้า '!F140+บ่าย!F139</f>
        <v>0</v>
      </c>
      <c r="G140" s="31">
        <f>'เย็น '!G139+'เช้า '!G140+บ่าย!G139</f>
        <v>0</v>
      </c>
      <c r="H140" s="31">
        <f>'เย็น '!H139+'เช้า '!H140+บ่าย!H139</f>
        <v>0</v>
      </c>
      <c r="I140" s="31">
        <f>'เย็น '!I139+'เช้า '!I140+บ่าย!I139</f>
        <v>0</v>
      </c>
      <c r="J140" s="31">
        <f>'เย็น '!J139+'เช้า '!J140+บ่าย!J139</f>
        <v>0</v>
      </c>
      <c r="K140" s="31">
        <f>'เย็น '!K139+'เช้า '!K140+บ่าย!K139</f>
        <v>0</v>
      </c>
      <c r="L140" s="37">
        <f t="shared" si="15"/>
        <v>0</v>
      </c>
      <c r="M140" s="11"/>
      <c r="N140" s="11"/>
      <c r="O140" s="11"/>
      <c r="P140" s="11"/>
      <c r="Q140" s="82">
        <f t="shared" si="16"/>
        <v>0</v>
      </c>
    </row>
    <row r="141" spans="2:17" ht="40.5" customHeight="1" x14ac:dyDescent="0.2">
      <c r="C141" s="36"/>
      <c r="D141" s="37">
        <f>SUM(D114:D140,D90:D99,D79:D87,D69:D76,D7:D66,D102:D111)</f>
        <v>59</v>
      </c>
      <c r="E141" s="37">
        <f t="shared" ref="E141:K141" si="17">SUM(E114:E140,E90:E99,E79:E87,E69:E76,E7:E66,E102:E111)</f>
        <v>75</v>
      </c>
      <c r="F141" s="37">
        <f t="shared" si="17"/>
        <v>44</v>
      </c>
      <c r="G141" s="37">
        <f t="shared" si="17"/>
        <v>157</v>
      </c>
      <c r="H141" s="37">
        <f t="shared" si="17"/>
        <v>0</v>
      </c>
      <c r="I141" s="37">
        <f t="shared" si="17"/>
        <v>0</v>
      </c>
      <c r="J141" s="37">
        <f t="shared" si="17"/>
        <v>0</v>
      </c>
      <c r="K141" s="37">
        <f t="shared" si="17"/>
        <v>90</v>
      </c>
      <c r="L141" s="37">
        <f>SUM(L114:L140,L90:L99,L79:L87,L69:L76,L7:L66,L102:L111)</f>
        <v>425</v>
      </c>
      <c r="M141" s="31">
        <f>SUM(M114:M136,M90:M98,M79:M87,M69:M76,M7:M66)</f>
        <v>0</v>
      </c>
      <c r="N141" s="31">
        <f>SUM(N114:N136,N90:N98,N79:N87,N69:N76,N7:N66)</f>
        <v>509</v>
      </c>
      <c r="O141" s="31"/>
      <c r="P141" s="31"/>
      <c r="Q141" s="45">
        <f t="shared" ref="Q141" si="18">(M141+N141)-L141</f>
        <v>84</v>
      </c>
    </row>
    <row r="142" spans="2:17" x14ac:dyDescent="0.2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 x14ac:dyDescent="0.2">
      <c r="B143" s="38"/>
      <c r="C143" s="36"/>
      <c r="D143" s="39"/>
      <c r="E143" s="39"/>
      <c r="F143" s="39"/>
      <c r="G143" s="39"/>
      <c r="H143" s="39"/>
      <c r="I143" s="39"/>
      <c r="J143" s="39"/>
      <c r="K143" s="39"/>
      <c r="L143" s="40"/>
    </row>
    <row r="144" spans="2:17" x14ac:dyDescent="0.2">
      <c r="C144" s="25"/>
      <c r="D144" s="32"/>
      <c r="E144" s="64"/>
      <c r="F144" s="64"/>
      <c r="G144" s="27"/>
      <c r="L144" s="41"/>
    </row>
    <row r="145" spans="2:12" x14ac:dyDescent="0.2">
      <c r="B145" s="64" t="s">
        <v>104</v>
      </c>
      <c r="C145" s="64"/>
      <c r="D145" s="33"/>
      <c r="E145" s="65"/>
      <c r="F145" s="65"/>
      <c r="G145" s="28"/>
      <c r="H145" s="27"/>
      <c r="I145" s="64" t="s">
        <v>104</v>
      </c>
      <c r="J145" s="64"/>
      <c r="K145" s="64"/>
      <c r="L145" s="64"/>
    </row>
    <row r="146" spans="2:12" x14ac:dyDescent="0.2">
      <c r="B146" s="65" t="s">
        <v>105</v>
      </c>
      <c r="C146" s="65"/>
      <c r="D146" s="34"/>
      <c r="E146" s="34"/>
      <c r="F146" s="34"/>
      <c r="G146" s="34"/>
      <c r="H146" s="34"/>
      <c r="I146" s="65" t="s">
        <v>106</v>
      </c>
      <c r="J146" s="65"/>
      <c r="K146" s="65"/>
      <c r="L146" s="65"/>
    </row>
    <row r="147" spans="2:12" x14ac:dyDescent="0.2">
      <c r="B147" s="32"/>
      <c r="C147" s="32"/>
      <c r="D147" s="34"/>
      <c r="E147" s="34"/>
      <c r="F147" s="34"/>
      <c r="G147" s="34"/>
      <c r="H147" s="34"/>
      <c r="I147" s="32"/>
      <c r="J147" s="32"/>
      <c r="K147" s="32"/>
      <c r="L147" s="35"/>
    </row>
    <row r="148" spans="2:12" ht="19.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9.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9.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19.5" x14ac:dyDescent="0.2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ht="19.5" x14ac:dyDescent="0.2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5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  <row r="162" spans="4:8" x14ac:dyDescent="0.2">
      <c r="D162" s="32"/>
      <c r="E162" s="32"/>
      <c r="F162" s="32"/>
      <c r="G162" s="32"/>
      <c r="H162" s="32"/>
    </row>
    <row r="163" spans="4:8" x14ac:dyDescent="0.2">
      <c r="D163" s="32"/>
      <c r="E163" s="32"/>
      <c r="F163" s="32"/>
      <c r="G163" s="32"/>
      <c r="H163" s="32"/>
    </row>
  </sheetData>
  <mergeCells count="20">
    <mergeCell ref="B1:L1"/>
    <mergeCell ref="B2:C3"/>
    <mergeCell ref="E2:F3"/>
    <mergeCell ref="M2:M4"/>
    <mergeCell ref="B146:C146"/>
    <mergeCell ref="I146:L146"/>
    <mergeCell ref="B101:Q101"/>
    <mergeCell ref="B113:Q113"/>
    <mergeCell ref="E144:F144"/>
    <mergeCell ref="B145:C145"/>
    <mergeCell ref="E145:F145"/>
    <mergeCell ref="I145:L145"/>
    <mergeCell ref="Q2:Q4"/>
    <mergeCell ref="B6:Q6"/>
    <mergeCell ref="B68:Q68"/>
    <mergeCell ref="B78:Q78"/>
    <mergeCell ref="B89:Q89"/>
    <mergeCell ref="N2:N4"/>
    <mergeCell ref="O2:O4"/>
    <mergeCell ref="P2:P4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USER</cp:lastModifiedBy>
  <cp:lastPrinted>2024-10-30T00:45:46Z</cp:lastPrinted>
  <dcterms:created xsi:type="dcterms:W3CDTF">2024-04-30T05:21:27Z</dcterms:created>
  <dcterms:modified xsi:type="dcterms:W3CDTF">2025-02-09T00:32:50Z</dcterms:modified>
</cp:coreProperties>
</file>