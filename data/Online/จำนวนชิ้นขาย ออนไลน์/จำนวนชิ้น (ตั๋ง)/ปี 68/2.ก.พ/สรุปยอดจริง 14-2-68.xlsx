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3096A9C7-11B8-4D88-9347-5AEAE8A0E4A6}" xr6:coauthVersionLast="47" xr6:coauthVersionMax="47" xr10:uidLastSave="{00000000-0000-0000-0000-000000000000}"/>
  <bookViews>
    <workbookView xWindow="1275" yWindow="855" windowWidth="24390" windowHeight="134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<sst xmlns="http://schemas.openxmlformats.org/spreadsheetml/2006/main" count="615" uniqueCount="146">
  <si>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</si>
  <si>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</si>
  <si>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</si>
  <si>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</si>
  <si>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</si>
  <si>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</si>
  <si>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</si>
  <si>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</si>
  <si>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</si>
  <si>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</si>
  <si>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</si>
  <si>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</si>
  <si>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</si>
  <si>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</si>
  <si>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</si>
  <si>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</si>
  <si>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</si>
  <si>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</si>
  <si>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</si>
  <si>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</si>
  <si>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</si>
  <si>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</si>
  <si>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</si>
  <si>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</si>
  <si>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</si>
  <si>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</si>
  <si>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</si>
  <si>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</si>
  <si>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</si>
  <si>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</si>
  <si>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</si>
  <si>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</si>
  <si>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</si>
  <si>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</si>
  <si>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</si>
  <si>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</si>
  <si>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</si>
  <si>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</si>
  <si>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</si>
  <si>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</si>
  <si>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</si>
  <si>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</si>
  <si>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</si>
  <si>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</si>
  <si>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</si>
  <si>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</si>
  <si>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</si>
  <si>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</si>
  <si>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</si>
  <si>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</si>
  <si>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</si>
  <si>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</si>
  <si>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</si>
  <si>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</si>
  <si>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</si>
  <si>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</si>
  <si>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</si>
  <si>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</si>
  <si>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</si>
  <si>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</si>
  <si>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</si>
  <si>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</si>
  <si>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</si>
  <si>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</si>
  <si>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</si>
  <si>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</si>
  <si>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</si>
  <si>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</si>
  <si>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</si>
  <si>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</si>
  <si>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</si>
  <si>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</si>
  <si>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</si>
  <si>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</si>
  <si>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</si>
  <si>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</si>
  <si>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</si>
  <si>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</si>
  <si>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</si>
  <si>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</si>
  <si>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</si>
  <si>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</si>
  <si>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</si>
  <si>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</si>
  <si>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</si>
  <si>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</si>
  <si>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</si>
  <si>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</si>
  <si>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</si>
  <si>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</si>
  <si>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</si>
  <si>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</si>
  <si>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</si>
  <si>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</si>
  <si>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</si>
  <si>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</si>
  <si>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</si>
  <si>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</si>
  <si>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</si>
  <si>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</si>
  <si>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</si>
  <si>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</si>
  <si>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</si>
  <si>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</si>
  <si>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</si>
  <si>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</si>
  <si>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</si>
  <si>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</si>
  <si>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</si>
  <si>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</si>
  <si>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</si>
  <si>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</si>
  <si>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</si>
  <si>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</si>
  <si>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</si>
  <si>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</si>
  <si>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</si>
  <si>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</si>
  <si>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</si>
  <si>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</si>
  <si>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</si>
  <si>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</si>
  <si>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</si>
  <si>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</si>
  <si>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</si>
  <si>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</si>
  <si>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</si>
  <si>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</si>
  <si>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</si>
  <si>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</si>
  <si>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</si>
  <si>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</si>
  <si>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</si>
  <si>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</si>
  <si>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</si>
  <si>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</si>
  <si>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</si>
  <si>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</si>
  <si>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</si>
  <si>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</si>
  <si>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</si>
  <si>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</si>
  <si>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</si>
  <si>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</si>
  <si>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14/2/2568- เช้า</t>
  </si>
  <si>
    <t>ยอดจริง ออนไลน์ วันที่ 14/2/2568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</si>
</sst>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69" zoomScale="60" zoomScaleNormal="60" workbookViewId="0">
      <selection activeCell="K138" sqref="K138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19</v>
      </c>
      <c r="E7" s="31">
        <v>14</v>
      </c>
      <c r="F7" s="31">
        <v>6</v>
      </c>
      <c r="G7" s="31">
        <v>24</v>
      </c>
      <c r="H7" s="31"/>
      <c r="I7" s="31"/>
      <c r="J7" s="44"/>
      <c r="K7" s="44"/>
      <c r="L7" s="37">
        <f>SUM(D7:K7)</f>
        <v>63</v>
      </c>
    </row>
    <row r="8" spans="2:12" ht="22.5" hidden="1" customHeight="1" x14ac:dyDescent="0.2">
      <c r="B8" s="11"/>
      <c r="C8" s="15" t="s">
        <v>126</v>
      </c>
      <c r="D8" s="31">
        <v>0</v>
      </c>
      <c r="E8" s="31">
        <v>0</v>
      </c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>
        <v>0</v>
      </c>
      <c r="E9" s="31">
        <v>0</v>
      </c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>
        <v>0</v>
      </c>
      <c r="E10" s="31">
        <v>0</v>
      </c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>
        <v>0</v>
      </c>
      <c r="E11" s="31">
        <v>0</v>
      </c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>
        <v>0</v>
      </c>
      <c r="E12" s="31">
        <v>0</v>
      </c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>
        <v>0</v>
      </c>
      <c r="E13" s="31">
        <v>0</v>
      </c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>
        <v>0</v>
      </c>
      <c r="E14" s="31">
        <v>0</v>
      </c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>
        <v>0</v>
      </c>
      <c r="E15" s="31">
        <v>0</v>
      </c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>
        <v>0</v>
      </c>
      <c r="E16" s="31">
        <v>0</v>
      </c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>
        <v>0</v>
      </c>
      <c r="E17" s="31">
        <v>0</v>
      </c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>
        <v>0</v>
      </c>
      <c r="E18" s="31">
        <v>0</v>
      </c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>
        <v>0</v>
      </c>
      <c r="E19" s="31">
        <v>0</v>
      </c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>
        <v>0</v>
      </c>
      <c r="E20" s="31">
        <v>0</v>
      </c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>
        <v>0</v>
      </c>
      <c r="E21" s="31">
        <v>0</v>
      </c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>
        <v>0</v>
      </c>
      <c r="E22" s="31">
        <v>0</v>
      </c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>
        <v>0</v>
      </c>
      <c r="E23" s="31">
        <v>0</v>
      </c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>
        <v>0</v>
      </c>
      <c r="E24" s="31">
        <v>0</v>
      </c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5</v>
      </c>
      <c r="E25" s="31">
        <v>2</v>
      </c>
      <c r="F25" s="31">
        <v>6</v>
      </c>
      <c r="G25" s="31">
        <v>5</v>
      </c>
      <c r="H25" s="31"/>
      <c r="I25" s="31"/>
      <c r="J25" s="44"/>
      <c r="K25" s="44"/>
      <c r="L25" s="37">
        <f t="shared" si="0"/>
        <v>18</v>
      </c>
    </row>
    <row r="26" spans="2:12" x14ac:dyDescent="0.2">
      <c r="B26" s="11">
        <v>1004055</v>
      </c>
      <c r="C26" s="15" t="s">
        <v>108</v>
      </c>
      <c r="D26" s="31">
        <v>0</v>
      </c>
      <c r="E26" s="31">
        <v>5</v>
      </c>
      <c r="F26" s="31"/>
      <c r="G26" s="31"/>
      <c r="H26" s="31"/>
      <c r="I26" s="31"/>
      <c r="J26" s="44"/>
      <c r="K26" s="44"/>
      <c r="L26" s="37">
        <f t="shared" si="0"/>
        <v>5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hidden="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hidden="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hidden="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hidden="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hidden="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hidden="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hidden="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hidden="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hidden="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hidden="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hidden="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hidden="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hidden="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hidden="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hidden="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hidden="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hidden="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hidden="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hidden="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hidden="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hidden="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hidden="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hidden="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hidden="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hidden="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hidden="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9</v>
      </c>
      <c r="E69" s="31">
        <v>6</v>
      </c>
      <c r="F69" s="31"/>
      <c r="G69" s="31">
        <v>26</v>
      </c>
      <c r="H69" s="31"/>
      <c r="I69" s="31"/>
      <c r="J69" s="44"/>
      <c r="K69" s="44"/>
      <c r="L69" s="37">
        <f t="shared" ref="L69:L76" si="1">SUM(D69:K69)</f>
        <v>41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>
        <v>5</v>
      </c>
      <c r="L87" s="37">
        <f t="shared" si="2"/>
        <v>5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6</v>
      </c>
      <c r="E90" s="31">
        <v>1</v>
      </c>
      <c r="F90" s="31">
        <v>4</v>
      </c>
      <c r="G90" s="31"/>
      <c r="H90" s="31"/>
      <c r="I90" s="31"/>
      <c r="J90" s="44"/>
      <c r="K90" s="44">
        <v>10</v>
      </c>
      <c r="L90" s="37">
        <f t="shared" ref="L90:L99" si="3">SUM(D90:K90)</f>
        <v>21</v>
      </c>
    </row>
    <row r="91" spans="2:12" x14ac:dyDescent="0.2">
      <c r="B91" s="11">
        <v>1112011</v>
      </c>
      <c r="C91" s="20" t="s">
        <v>76</v>
      </c>
      <c r="D91" s="31">
        <v>6</v>
      </c>
      <c r="E91" s="31">
        <v>0</v>
      </c>
      <c r="F91" s="31">
        <v>3</v>
      </c>
      <c r="G91" s="31"/>
      <c r="H91" s="31"/>
      <c r="I91" s="31"/>
      <c r="J91" s="44"/>
      <c r="K91" s="44"/>
      <c r="L91" s="37">
        <f t="shared" si="3"/>
        <v>9</v>
      </c>
    </row>
    <row r="92" spans="2:12" x14ac:dyDescent="0.2">
      <c r="B92" s="11">
        <v>1112003</v>
      </c>
      <c r="C92" s="20" t="s">
        <v>77</v>
      </c>
      <c r="D92" s="31">
        <v>7</v>
      </c>
      <c r="E92" s="31">
        <v>0</v>
      </c>
      <c r="F92" s="31">
        <v>4</v>
      </c>
      <c r="G92" s="31"/>
      <c r="H92" s="31"/>
      <c r="I92" s="31"/>
      <c r="J92" s="44"/>
      <c r="K92" s="44"/>
      <c r="L92" s="37">
        <f t="shared" si="3"/>
        <v>11</v>
      </c>
    </row>
    <row r="93" spans="2:12" x14ac:dyDescent="0.2">
      <c r="B93" s="11">
        <v>1112005</v>
      </c>
      <c r="C93" s="20" t="s">
        <v>78</v>
      </c>
      <c r="D93" s="31">
        <v>6</v>
      </c>
      <c r="E93" s="31">
        <v>0</v>
      </c>
      <c r="F93" s="31">
        <v>4</v>
      </c>
      <c r="G93" s="31"/>
      <c r="H93" s="31"/>
      <c r="I93" s="31"/>
      <c r="J93" s="44"/>
      <c r="K93" s="44">
        <v>12</v>
      </c>
      <c r="L93" s="37">
        <f t="shared" si="3"/>
        <v>22</v>
      </c>
    </row>
    <row r="94" spans="2:12" x14ac:dyDescent="0.2">
      <c r="B94" s="11">
        <v>1112007</v>
      </c>
      <c r="C94" s="20" t="s">
        <v>79</v>
      </c>
      <c r="D94" s="31">
        <v>0</v>
      </c>
      <c r="E94" s="31">
        <v>0</v>
      </c>
      <c r="F94" s="31">
        <v>0</v>
      </c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>
        <v>0</v>
      </c>
      <c r="E95" s="31">
        <v>0</v>
      </c>
      <c r="F95" s="31">
        <v>0</v>
      </c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>
        <v>10</v>
      </c>
      <c r="L96" s="37">
        <f t="shared" si="3"/>
        <v>10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1</v>
      </c>
      <c r="E102" s="31">
        <v>6</v>
      </c>
      <c r="F102" s="31"/>
      <c r="G102" s="31">
        <v>10</v>
      </c>
      <c r="H102" s="31"/>
      <c r="I102" s="31"/>
      <c r="J102" s="44"/>
      <c r="K102" s="44"/>
      <c r="L102" s="37">
        <f t="shared" ref="L102:L111" si="5">SUM(D102:K102)</f>
        <v>17</v>
      </c>
    </row>
    <row r="103" spans="2:12" x14ac:dyDescent="0.2">
      <c r="B103" s="11">
        <v>1112010</v>
      </c>
      <c r="C103" s="20" t="s">
        <v>76</v>
      </c>
      <c r="D103" s="31">
        <v>3</v>
      </c>
      <c r="E103" s="31">
        <v>0</v>
      </c>
      <c r="F103" s="31"/>
      <c r="G103" s="31">
        <v>8</v>
      </c>
      <c r="H103" s="31"/>
      <c r="I103" s="31"/>
      <c r="J103" s="44"/>
      <c r="K103" s="44"/>
      <c r="L103" s="37">
        <f t="shared" si="5"/>
        <v>11</v>
      </c>
    </row>
    <row r="104" spans="2:12" x14ac:dyDescent="0.2">
      <c r="B104" s="11">
        <v>1112002</v>
      </c>
      <c r="C104" s="20" t="s">
        <v>77</v>
      </c>
      <c r="D104" s="31">
        <v>3</v>
      </c>
      <c r="E104" s="31">
        <v>0</v>
      </c>
      <c r="F104" s="31"/>
      <c r="G104" s="31">
        <v>10</v>
      </c>
      <c r="H104" s="31"/>
      <c r="I104" s="31"/>
      <c r="J104" s="44"/>
      <c r="K104" s="44"/>
      <c r="L104" s="37">
        <f t="shared" si="5"/>
        <v>13</v>
      </c>
    </row>
    <row r="105" spans="2:12" x14ac:dyDescent="0.2">
      <c r="B105" s="11">
        <v>1112004</v>
      </c>
      <c r="C105" s="20" t="s">
        <v>78</v>
      </c>
      <c r="D105" s="31">
        <v>2</v>
      </c>
      <c r="E105" s="31">
        <v>0</v>
      </c>
      <c r="F105" s="31"/>
      <c r="G105" s="31">
        <v>10</v>
      </c>
      <c r="H105" s="31"/>
      <c r="I105" s="31"/>
      <c r="J105" s="44"/>
      <c r="K105" s="44"/>
      <c r="L105" s="37">
        <f t="shared" si="5"/>
        <v>12</v>
      </c>
    </row>
    <row r="106" spans="2:12" x14ac:dyDescent="0.2">
      <c r="B106" s="11">
        <v>1112006</v>
      </c>
      <c r="C106" s="20" t="s">
        <v>79</v>
      </c>
      <c r="D106" s="31">
        <v>0</v>
      </c>
      <c r="E106" s="31">
        <v>0</v>
      </c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>
        <v>0</v>
      </c>
      <c r="E107" s="31">
        <v>0</v>
      </c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3</v>
      </c>
      <c r="E108" s="31">
        <v>0</v>
      </c>
      <c r="F108" s="31"/>
      <c r="G108" s="31">
        <v>10</v>
      </c>
      <c r="H108" s="31"/>
      <c r="I108" s="31"/>
      <c r="J108" s="44"/>
      <c r="K108" s="44"/>
      <c r="L108" s="37">
        <f t="shared" si="5"/>
        <v>13</v>
      </c>
    </row>
    <row r="109" spans="2:12" x14ac:dyDescent="0.2">
      <c r="B109" s="11">
        <v>1112014</v>
      </c>
      <c r="C109" s="20" t="s">
        <v>82</v>
      </c>
      <c r="D109" s="31">
        <v>1</v>
      </c>
      <c r="E109" s="31">
        <v>0</v>
      </c>
      <c r="F109" s="31"/>
      <c r="G109" s="31">
        <v>10</v>
      </c>
      <c r="H109" s="31"/>
      <c r="I109" s="31"/>
      <c r="J109" s="44"/>
      <c r="K109" s="44"/>
      <c r="L109" s="37">
        <f t="shared" si="5"/>
        <v>11</v>
      </c>
    </row>
    <row r="110" spans="2:12" x14ac:dyDescent="0.2">
      <c r="B110" s="11">
        <v>1112012</v>
      </c>
      <c r="C110" s="20" t="s">
        <v>83</v>
      </c>
      <c r="D110" s="31">
        <v>0</v>
      </c>
      <c r="E110" s="31">
        <v>0</v>
      </c>
      <c r="F110" s="31"/>
      <c r="G110" s="31">
        <v>11</v>
      </c>
      <c r="H110" s="31"/>
      <c r="I110" s="31"/>
      <c r="J110" s="44"/>
      <c r="K110" s="44"/>
      <c r="L110" s="37">
        <f t="shared" si="5"/>
        <v>11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88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>
        <v>5</v>
      </c>
      <c r="L114" s="37">
        <f t="shared" ref="L114:L140" si="6">SUM(D114:K114)</f>
        <v>5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>
        <v>0</v>
      </c>
      <c r="E116" s="31">
        <v>2</v>
      </c>
      <c r="F116" s="31"/>
      <c r="G116" s="31"/>
      <c r="H116" s="31"/>
      <c r="I116" s="31"/>
      <c r="J116" s="44"/>
      <c r="K116" s="44">
        <v>5</v>
      </c>
      <c r="L116" s="37">
        <f t="shared" si="6"/>
        <v>7</v>
      </c>
    </row>
    <row r="117" spans="2:12" x14ac:dyDescent="0.2">
      <c r="B117" s="11">
        <v>1113173</v>
      </c>
      <c r="C117" s="22" t="s">
        <v>90</v>
      </c>
      <c r="D117" s="31">
        <v>0</v>
      </c>
      <c r="E117" s="31">
        <v>0</v>
      </c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>
        <v>0</v>
      </c>
      <c r="E118" s="31">
        <v>0</v>
      </c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>
        <v>0</v>
      </c>
      <c r="E119" s="31">
        <v>0</v>
      </c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>
        <v>0</v>
      </c>
      <c r="E120" s="31">
        <v>0</v>
      </c>
      <c r="F120" s="31">
        <v>1</v>
      </c>
      <c r="G120" s="31"/>
      <c r="H120" s="31"/>
      <c r="I120" s="31"/>
      <c r="J120" s="44"/>
      <c r="K120" s="44"/>
      <c r="L120" s="37">
        <f t="shared" si="6"/>
        <v>1</v>
      </c>
    </row>
    <row r="121" spans="2:12" x14ac:dyDescent="0.2">
      <c r="B121" s="11">
        <v>1200001</v>
      </c>
      <c r="C121" s="22" t="s">
        <v>93</v>
      </c>
      <c r="D121" s="31">
        <v>0</v>
      </c>
      <c r="E121" s="31">
        <v>0</v>
      </c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>
        <v>0</v>
      </c>
      <c r="E122" s="31">
        <v>0</v>
      </c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4</v>
      </c>
      <c r="E123" s="31">
        <v>7</v>
      </c>
      <c r="F123" s="31">
        <v>1</v>
      </c>
      <c r="G123" s="31">
        <v>20</v>
      </c>
      <c r="H123" s="31"/>
      <c r="I123" s="31"/>
      <c r="J123" s="44"/>
      <c r="K123" s="44"/>
      <c r="L123" s="37">
        <f t="shared" si="6"/>
        <v>32</v>
      </c>
    </row>
    <row r="124" spans="2:12" x14ac:dyDescent="0.2">
      <c r="B124" s="11">
        <v>1114502</v>
      </c>
      <c r="C124" s="22" t="s">
        <v>96</v>
      </c>
      <c r="D124" s="31">
        <v>3</v>
      </c>
      <c r="E124" s="31">
        <v>1</v>
      </c>
      <c r="F124" s="31">
        <v>1</v>
      </c>
      <c r="G124" s="31">
        <v>14</v>
      </c>
      <c r="H124" s="31"/>
      <c r="I124" s="31"/>
      <c r="J124" s="44"/>
      <c r="K124" s="44"/>
      <c r="L124" s="37">
        <f t="shared" si="6"/>
        <v>19</v>
      </c>
    </row>
    <row r="125" spans="2:12" x14ac:dyDescent="0.2">
      <c r="B125" s="11">
        <v>1114503</v>
      </c>
      <c r="C125" s="22" t="s">
        <v>97</v>
      </c>
      <c r="D125" s="31">
        <v>15</v>
      </c>
      <c r="E125" s="31">
        <v>4</v>
      </c>
      <c r="F125" s="31">
        <v>1</v>
      </c>
      <c r="G125" s="31">
        <v>11</v>
      </c>
      <c r="H125" s="31"/>
      <c r="I125" s="31"/>
      <c r="J125" s="44"/>
      <c r="K125" s="44"/>
      <c r="L125" s="37">
        <f t="shared" si="6"/>
        <v>31</v>
      </c>
    </row>
    <row r="126" spans="2:12" x14ac:dyDescent="0.2">
      <c r="B126" s="11">
        <v>1124021</v>
      </c>
      <c r="C126" s="22" t="s">
        <v>98</v>
      </c>
      <c r="D126" s="31">
        <v>0</v>
      </c>
      <c r="E126" s="31">
        <v>0</v>
      </c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>
        <v>0</v>
      </c>
      <c r="E127" s="31">
        <v>0</v>
      </c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>
        <v>0</v>
      </c>
      <c r="E128" s="31">
        <v>0</v>
      </c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>
        <v>0</v>
      </c>
      <c r="E129" s="31">
        <v>0</v>
      </c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>
        <v>0</v>
      </c>
      <c r="E130" s="31">
        <v>0</v>
      </c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>
        <v>0</v>
      </c>
      <c r="E131" s="31">
        <v>0</v>
      </c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>
        <v>0</v>
      </c>
      <c r="E132" s="31">
        <v>0</v>
      </c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>
        <v>0</v>
      </c>
      <c r="E133" s="31">
        <v>0</v>
      </c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>
        <v>0</v>
      </c>
      <c r="E134" s="31">
        <v>0</v>
      </c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>
        <v>0</v>
      </c>
      <c r="E135" s="31">
        <v>0</v>
      </c>
      <c r="F135" s="31">
        <v>7</v>
      </c>
      <c r="G135" s="31"/>
      <c r="H135" s="31"/>
      <c r="I135" s="31"/>
      <c r="J135" s="44"/>
      <c r="K135" s="44"/>
      <c r="L135" s="37">
        <f t="shared" si="6"/>
        <v>7</v>
      </c>
    </row>
    <row r="136" spans="2:12" x14ac:dyDescent="0.2">
      <c r="B136" s="23"/>
      <c r="C136" s="22" t="s">
        <v>125</v>
      </c>
      <c r="D136" s="31">
        <v>0</v>
      </c>
      <c r="E136" s="31">
        <v>0</v>
      </c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>
        <v>4</v>
      </c>
      <c r="E137" s="31">
        <v>0</v>
      </c>
      <c r="F137" s="31"/>
      <c r="G137" s="31">
        <v>35</v>
      </c>
      <c r="H137" s="31"/>
      <c r="I137" s="31"/>
      <c r="J137" s="44"/>
      <c r="K137" s="44">
        <v>10</v>
      </c>
      <c r="L137" s="37">
        <f t="shared" si="6"/>
        <v>49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21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hidden="1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19</v>
      </c>
      <c r="E7" s="31">
        <f>'เย็น '!E7+'เช้า '!E7+บ่าย!E7</f>
        <v>14</v>
      </c>
      <c r="F7" s="31">
        <f>'เย็น '!F7+'เช้า '!F7+บ่าย!F7</f>
        <v>6</v>
      </c>
      <c r="G7" s="31">
        <f>'เย็น '!G7+'เช้า '!G7+บ่าย!G7</f>
        <v>24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63</v>
      </c>
      <c r="M7" s="11"/>
      <c r="N7" s="11"/>
      <c r="O7" s="11"/>
      <c r="P7" s="11"/>
      <c r="Q7" s="45">
        <f>(M7+N7+O7+P7)-L7</f>
        <v>-63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5</v>
      </c>
      <c r="E25" s="31">
        <f>'เย็น '!E25+'เช้า '!E25+บ่าย!E25</f>
        <v>2</v>
      </c>
      <c r="F25" s="31">
        <f>'เย็น '!F25+'เช้า '!F25+บ่าย!F25</f>
        <v>6</v>
      </c>
      <c r="G25" s="31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18</v>
      </c>
      <c r="M25" s="11"/>
      <c r="N25" s="11"/>
      <c r="O25" s="11"/>
      <c r="P25" s="11"/>
      <c r="Q25" s="45">
        <f t="shared" si="1"/>
        <v>-18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5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5</v>
      </c>
      <c r="M26" s="11"/>
      <c r="N26" s="11"/>
      <c r="O26" s="11"/>
      <c r="P26" s="11"/>
      <c r="Q26" s="45">
        <f t="shared" si="1"/>
        <v>-5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9</v>
      </c>
      <c r="E69" s="31">
        <f>'เย็น '!E69+'เช้า '!E69+บ่าย!E69</f>
        <v>6</v>
      </c>
      <c r="F69" s="31">
        <f>'เย็น '!F69+'เช้า '!F69+บ่าย!F69</f>
        <v>0</v>
      </c>
      <c r="G69" s="31">
        <f>'เย็น '!G69+'เช้า '!G69+บ่าย!G69</f>
        <v>26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41</v>
      </c>
      <c r="M69" s="11"/>
      <c r="N69" s="11"/>
      <c r="O69" s="11"/>
      <c r="P69" s="11"/>
      <c r="Q69" s="45">
        <f t="shared" ref="Q69:Q76" si="5">(M69+N69+O69+P69)-L69</f>
        <v>-41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5</v>
      </c>
      <c r="M87" s="11"/>
      <c r="N87" s="11"/>
      <c r="O87" s="11"/>
      <c r="P87" s="11"/>
      <c r="Q87" s="45">
        <f t="shared" si="8"/>
        <v>-5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6</v>
      </c>
      <c r="E90" s="31">
        <f>'เย็น '!E90+'เช้า '!E90+บ่าย!E90</f>
        <v>1</v>
      </c>
      <c r="F90" s="31">
        <f>'เย็น '!F90+'เช้า '!F90+บ่าย!F90</f>
        <v>4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10</v>
      </c>
      <c r="L90" s="37">
        <f t="shared" ref="L90:L99" si="9">SUM(D90:K90)</f>
        <v>21</v>
      </c>
      <c r="M90" s="11"/>
      <c r="N90" s="11"/>
      <c r="O90" s="11"/>
      <c r="P90" s="11"/>
      <c r="Q90" s="45">
        <f t="shared" ref="Q90:Q99" si="10">(M90+N90+O90+P90)-L90</f>
        <v>-21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6</v>
      </c>
      <c r="E91" s="31">
        <f>'เย็น '!E91+'เช้า '!E91+บ่าย!E91</f>
        <v>0</v>
      </c>
      <c r="F91" s="31">
        <f>'เย็น '!F91+'เช้า '!F91+บ่าย!F91</f>
        <v>3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9</v>
      </c>
      <c r="M91" s="11"/>
      <c r="N91" s="11"/>
      <c r="O91" s="11"/>
      <c r="P91" s="11"/>
      <c r="Q91" s="45">
        <f t="shared" si="10"/>
        <v>-9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7</v>
      </c>
      <c r="E92" s="31">
        <f>'เย็น '!E92+'เช้า '!E92+บ่าย!E92</f>
        <v>0</v>
      </c>
      <c r="F92" s="31">
        <f>'เย็น '!F92+'เช้า '!F92+บ่าย!F92</f>
        <v>4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11</v>
      </c>
      <c r="M92" s="11"/>
      <c r="N92" s="11"/>
      <c r="O92" s="11"/>
      <c r="P92" s="11"/>
      <c r="Q92" s="45">
        <f t="shared" si="10"/>
        <v>-11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6</v>
      </c>
      <c r="E93" s="31">
        <f>'เย็น '!E93+'เช้า '!E93+บ่าย!E93</f>
        <v>0</v>
      </c>
      <c r="F93" s="31">
        <f>'เย็น '!F93+'เช้า '!F93+บ่าย!F93</f>
        <v>4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12</v>
      </c>
      <c r="L93" s="37">
        <f t="shared" si="9"/>
        <v>22</v>
      </c>
      <c r="M93" s="11"/>
      <c r="N93" s="11"/>
      <c r="O93" s="11"/>
      <c r="P93" s="11"/>
      <c r="Q93" s="45">
        <f t="shared" si="10"/>
        <v>-22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10</v>
      </c>
      <c r="L96" s="37">
        <f t="shared" si="9"/>
        <v>10</v>
      </c>
      <c r="M96" s="11"/>
      <c r="N96" s="11"/>
      <c r="O96" s="11"/>
      <c r="P96" s="11"/>
      <c r="Q96" s="45">
        <f t="shared" si="10"/>
        <v>-10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73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6</v>
      </c>
      <c r="F102" s="31">
        <f>บ่าย!F102+'เช้า '!F102+'เย็น '!F102</f>
        <v>0</v>
      </c>
      <c r="G102" s="31">
        <f>บ่าย!G102+'เช้า '!G102+'เย็น '!G102</f>
        <v>10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17</v>
      </c>
      <c r="M102" s="11"/>
      <c r="N102" s="11"/>
      <c r="O102" s="11"/>
      <c r="P102" s="11"/>
      <c r="Q102" s="45">
        <f t="shared" ref="Q102:Q111" si="12">(M102+N102+O102+P102)-L102</f>
        <v>-17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3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8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11</v>
      </c>
      <c r="M103" s="11"/>
      <c r="N103" s="11"/>
      <c r="O103" s="11"/>
      <c r="P103" s="11"/>
      <c r="Q103" s="45">
        <f t="shared" si="12"/>
        <v>-11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3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13</v>
      </c>
      <c r="M104" s="11"/>
      <c r="N104" s="11"/>
      <c r="O104" s="11"/>
      <c r="P104" s="11"/>
      <c r="Q104" s="45">
        <f t="shared" si="12"/>
        <v>-13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12</v>
      </c>
      <c r="M105" s="11"/>
      <c r="N105" s="11"/>
      <c r="O105" s="11"/>
      <c r="P105" s="11"/>
      <c r="Q105" s="45">
        <f t="shared" si="12"/>
        <v>-12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3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13</v>
      </c>
      <c r="M108" s="11"/>
      <c r="N108" s="11"/>
      <c r="O108" s="11"/>
      <c r="P108" s="11"/>
      <c r="Q108" s="45">
        <f t="shared" si="12"/>
        <v>-13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1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11</v>
      </c>
      <c r="M109" s="11"/>
      <c r="N109" s="11"/>
      <c r="O109" s="11"/>
      <c r="P109" s="11"/>
      <c r="Q109" s="45">
        <f t="shared" si="12"/>
        <v>-11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11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11</v>
      </c>
      <c r="M110" s="11"/>
      <c r="N110" s="11"/>
      <c r="O110" s="11"/>
      <c r="P110" s="11"/>
      <c r="Q110" s="45">
        <f t="shared" si="12"/>
        <v>-11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5</v>
      </c>
      <c r="L114" s="37">
        <f t="shared" ref="L114:L140" si="15">SUM(D114:K114)</f>
        <v>5</v>
      </c>
      <c r="M114" s="11"/>
      <c r="N114" s="11"/>
      <c r="O114" s="11"/>
      <c r="P114" s="11"/>
      <c r="Q114" s="45">
        <f t="shared" ref="Q114:Q140" si="16">(M114+N114+O114+P114)-L114</f>
        <v>-5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2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5</v>
      </c>
      <c r="L116" s="37">
        <f t="shared" si="15"/>
        <v>7</v>
      </c>
      <c r="M116" s="11"/>
      <c r="N116" s="11"/>
      <c r="O116" s="11"/>
      <c r="P116" s="11"/>
      <c r="Q116" s="45">
        <f t="shared" si="16"/>
        <v>-7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1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1</v>
      </c>
      <c r="M120" s="11"/>
      <c r="N120" s="11"/>
      <c r="O120" s="11"/>
      <c r="P120" s="11"/>
      <c r="Q120" s="45">
        <f t="shared" si="16"/>
        <v>-1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4</v>
      </c>
      <c r="E123" s="31">
        <f>'เย็น '!E123+'เช้า '!E123+บ่าย!E123</f>
        <v>7</v>
      </c>
      <c r="F123" s="31">
        <f>'เย็น '!F123+'เช้า '!F123+บ่าย!F123</f>
        <v>1</v>
      </c>
      <c r="G123" s="31">
        <f>'เย็น '!G123+'เช้า '!G123+บ่าย!G123</f>
        <v>20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32</v>
      </c>
      <c r="M123" s="11"/>
      <c r="N123" s="11"/>
      <c r="O123" s="11"/>
      <c r="P123" s="11"/>
      <c r="Q123" s="45">
        <f t="shared" si="16"/>
        <v>-32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3</v>
      </c>
      <c r="E124" s="31">
        <f>'เย็น '!E124+'เช้า '!E124+บ่าย!E124</f>
        <v>1</v>
      </c>
      <c r="F124" s="31">
        <f>'เย็น '!F124+'เช้า '!F124+บ่าย!F124</f>
        <v>1</v>
      </c>
      <c r="G124" s="31">
        <f>'เย็น '!G124+'เช้า '!G124+บ่าย!G124</f>
        <v>14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19</v>
      </c>
      <c r="M124" s="11"/>
      <c r="N124" s="11"/>
      <c r="O124" s="11"/>
      <c r="P124" s="11"/>
      <c r="Q124" s="45">
        <f t="shared" si="16"/>
        <v>-19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15</v>
      </c>
      <c r="E125" s="31">
        <f>'เย็น '!E125+'เช้า '!E125+บ่าย!E125</f>
        <v>4</v>
      </c>
      <c r="F125" s="31">
        <f>'เย็น '!F125+'เช้า '!F125+บ่าย!F125</f>
        <v>1</v>
      </c>
      <c r="G125" s="31">
        <f>'เย็น '!G125+'เช้า '!G125+บ่าย!G125</f>
        <v>11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31</v>
      </c>
      <c r="M125" s="11"/>
      <c r="N125" s="11"/>
      <c r="O125" s="11"/>
      <c r="P125" s="11"/>
      <c r="Q125" s="45">
        <f t="shared" si="16"/>
        <v>-31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/>
      <c r="O126" s="11"/>
      <c r="P126" s="11"/>
      <c r="Q126" s="45">
        <f t="shared" si="16"/>
        <v>0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7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7</v>
      </c>
      <c r="M135" s="11"/>
      <c r="N135" s="11"/>
      <c r="O135" s="11"/>
      <c r="P135" s="11"/>
      <c r="Q135" s="45">
        <f t="shared" si="16"/>
        <v>-7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4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35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10</v>
      </c>
      <c r="L137" s="37">
        <f t="shared" si="15"/>
        <v>49</v>
      </c>
      <c r="M137" s="11"/>
      <c r="N137" s="11"/>
      <c r="O137" s="11"/>
      <c r="P137" s="11"/>
      <c r="Q137" s="45">
        <f t="shared" si="16"/>
        <v>-49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97</v>
      </c>
      <c r="E141" s="37">
        <f t="shared" ref="E141:K141" si="17">SUM(E114:E140,E90:E99,E79:E87,E69:E76,E7:E66,E102:E111)</f>
        <v>48</v>
      </c>
      <c r="F141" s="37">
        <f t="shared" si="17"/>
        <v>38</v>
      </c>
      <c r="G141" s="37">
        <f t="shared" si="17"/>
        <v>204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57</v>
      </c>
      <c r="L141" s="37">
        <f>SUM(L114:L140,L90:L99,L79:L87,L69:L76,L7:L66,L102:L111)</f>
        <v>444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-444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2025-02-14T01:01:41Z</cp:lastPrinted>
  <dcterms:created xsi:type="dcterms:W3CDTF">2024-04-30T05:21:27Z</dcterms:created>
  <dcterms:modified xsi:type="dcterms:W3CDTF">2025-02-14T01:02:22Z</dcterms:modified>
</cp:coreProperties>
</file>