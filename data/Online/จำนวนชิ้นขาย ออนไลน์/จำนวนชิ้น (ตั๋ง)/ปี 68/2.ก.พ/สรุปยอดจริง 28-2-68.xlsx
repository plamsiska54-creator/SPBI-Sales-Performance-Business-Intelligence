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"/>
    </mc:Choice>
  </mc:AlternateContent>
  <xr:revisionPtr revIDLastSave="0" documentId="13_ncr:1_{BCCB2A6D-99E3-49F5-A3F7-EE80DF4F3D15}" xr6:coauthVersionLast="47" xr6:coauthVersionMax="47" xr10:uidLastSave="{00000000-0000-0000-0000-000000000000}"/>
  <bookViews>
    <workbookView xWindow="1005" yWindow="120" windowWidth="16785" windowHeight="14655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0" i="5" l="1"/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D69" i="5"/>
  <c r="E69" i="5"/>
  <c r="F6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G69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I102" i="5"/>
  <c r="J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T98" i="5" l="1"/>
  <c r="J141" i="5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T110" i="5" l="1"/>
  <c r="Q112" i="5"/>
  <c r="L141" i="5"/>
  <c r="L112" i="5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<sst xmlns="http://schemas.openxmlformats.org/spreadsheetml/2006/main" count="615" uniqueCount="146">
  <si>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</si>
  <si>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</si>
  <si>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</si>
  <si>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</si>
  <si>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</si>
  <si>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</si>
  <si>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</si>
  <si>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</si>
  <si>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</si>
  <si>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</si>
  <si>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</si>
  <si>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</si>
  <si>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</si>
  <si>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</si>
  <si>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</si>
  <si>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</si>
  <si>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</si>
  <si>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</si>
  <si>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</si>
  <si>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</si>
  <si>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</si>
  <si>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</si>
  <si>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</si>
  <si>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</si>
  <si>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</si>
  <si>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</si>
  <si>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</si>
  <si>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</si>
  <si>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</si>
  <si>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</si>
  <si>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</si>
  <si>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</si>
  <si>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</si>
  <si>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</si>
  <si>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</si>
  <si>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</si>
  <si>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</si>
  <si>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</si>
  <si>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</si>
  <si>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</si>
  <si>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</si>
  <si>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</si>
  <si>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</si>
  <si>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</si>
  <si>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</si>
  <si>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</si>
  <si>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</si>
  <si>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</si>
  <si>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</si>
  <si>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</si>
  <si>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</si>
  <si>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</si>
  <si>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</si>
  <si>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</si>
  <si>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</si>
  <si>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</si>
  <si>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</si>
  <si>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</si>
  <si>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</si>
  <si>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</si>
  <si>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</si>
  <si>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</si>
  <si>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</si>
  <si>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</si>
  <si>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</si>
  <si>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</si>
  <si>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</si>
  <si>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</si>
  <si>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</si>
  <si>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</si>
  <si>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</si>
  <si>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</si>
  <si>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</si>
  <si>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</si>
  <si>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</si>
  <si>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</si>
  <si>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</si>
  <si>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</si>
  <si>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</si>
  <si>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</si>
  <si>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</si>
  <si>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</si>
  <si>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</si>
  <si>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</si>
  <si>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</si>
  <si>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</si>
  <si>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</si>
  <si>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</si>
  <si>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</si>
  <si>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</si>
  <si>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</si>
  <si>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</si>
  <si>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</si>
  <si>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</si>
  <si>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</si>
  <si>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</si>
  <si>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</si>
  <si>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</si>
  <si>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</si>
  <si>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</si>
  <si>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</si>
  <si>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</si>
  <si>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</si>
  <si>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</si>
  <si>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</si>
  <si>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</si>
  <si>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</si>
  <si>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</si>
  <si>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</si>
  <si>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</si>
  <si>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</si>
  <si>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</si>
  <si>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</si>
  <si>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</si>
  <si>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</si>
  <si>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</si>
  <si>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</si>
  <si>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</si>
  <si>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</si>
  <si>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</si>
  <si>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</si>
  <si>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</si>
  <si>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</si>
  <si>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</si>
  <si>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</si>
  <si>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</si>
  <si>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</si>
  <si>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</si>
  <si>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</si>
  <si>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</si>
  <si>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</si>
  <si>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</si>
  <si>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</si>
  <si>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</si>
  <si>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</si>
  <si>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</si>
  <si>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</si>
  <si>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</si>
  <si>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</si>
  <si>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</si>
  <si>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</si>
  <si>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</si>
  <si>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</si>
  <si>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</si>
  <si>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 28/2/2568- เช้า</t>
  </si>
  <si>
    <t>ยอดจริง ออนไลน์ วันที่ 28/2/2568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</si>
</sst>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4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12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137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80" zoomScale="60" zoomScaleNormal="60" workbookViewId="0">
      <selection activeCell="K94" sqref="K94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59" t="s">
        <v>144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>
        <v>5</v>
      </c>
      <c r="E7" s="31">
        <v>26</v>
      </c>
      <c r="F7" s="31">
        <v>10</v>
      </c>
      <c r="G7" s="31">
        <v>7</v>
      </c>
      <c r="H7" s="31"/>
      <c r="I7" s="31"/>
      <c r="J7" s="44"/>
      <c r="K7" s="44"/>
      <c r="L7" s="37">
        <f>SUM(D7:K7)</f>
        <v>48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2</v>
      </c>
      <c r="E25" s="31">
        <v>6</v>
      </c>
      <c r="F25" s="31"/>
      <c r="G25" s="31"/>
      <c r="H25" s="31"/>
      <c r="I25" s="31"/>
      <c r="J25" s="44"/>
      <c r="K25" s="44"/>
      <c r="L25" s="37">
        <f t="shared" si="0"/>
        <v>8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>
        <v>2</v>
      </c>
      <c r="F56" s="31"/>
      <c r="G56" s="31"/>
      <c r="H56" s="31"/>
      <c r="I56" s="31"/>
      <c r="J56" s="44"/>
      <c r="K56" s="44"/>
      <c r="L56" s="37">
        <f t="shared" si="0"/>
        <v>2</v>
      </c>
    </row>
    <row r="57" spans="2:12" x14ac:dyDescent="0.2">
      <c r="B57" s="11">
        <v>1111075</v>
      </c>
      <c r="C57" s="15" t="s">
        <v>45</v>
      </c>
      <c r="D57" s="31"/>
      <c r="E57" s="31">
        <v>2</v>
      </c>
      <c r="F57" s="31"/>
      <c r="G57" s="31"/>
      <c r="H57" s="31"/>
      <c r="I57" s="31"/>
      <c r="J57" s="44"/>
      <c r="K57" s="44"/>
      <c r="L57" s="37">
        <f t="shared" si="0"/>
        <v>2</v>
      </c>
    </row>
    <row r="58" spans="2:12" x14ac:dyDescent="0.2">
      <c r="B58" s="11">
        <v>1111076</v>
      </c>
      <c r="C58" s="15" t="s">
        <v>46</v>
      </c>
      <c r="D58" s="31"/>
      <c r="E58" s="31">
        <v>2</v>
      </c>
      <c r="F58" s="31"/>
      <c r="G58" s="31"/>
      <c r="H58" s="31"/>
      <c r="I58" s="31"/>
      <c r="J58" s="44"/>
      <c r="K58" s="44"/>
      <c r="L58" s="37">
        <f t="shared" si="0"/>
        <v>2</v>
      </c>
    </row>
    <row r="59" spans="2:12" x14ac:dyDescent="0.2">
      <c r="B59" s="11">
        <v>1111077</v>
      </c>
      <c r="C59" s="15" t="s">
        <v>47</v>
      </c>
      <c r="D59" s="31"/>
      <c r="E59" s="31">
        <v>2</v>
      </c>
      <c r="F59" s="31"/>
      <c r="G59" s="31"/>
      <c r="H59" s="31"/>
      <c r="I59" s="31"/>
      <c r="J59" s="44"/>
      <c r="K59" s="44"/>
      <c r="L59" s="37">
        <f t="shared" si="0"/>
        <v>2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>
        <v>2</v>
      </c>
      <c r="F62" s="31"/>
      <c r="G62" s="31"/>
      <c r="H62" s="31"/>
      <c r="I62" s="31"/>
      <c r="J62" s="44"/>
      <c r="K62" s="44"/>
      <c r="L62" s="37">
        <f t="shared" si="0"/>
        <v>2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>
        <v>1</v>
      </c>
      <c r="F69" s="31"/>
      <c r="G69" s="31">
        <v>3</v>
      </c>
      <c r="H69" s="31"/>
      <c r="I69" s="31"/>
      <c r="J69" s="44"/>
      <c r="K69" s="44"/>
      <c r="L69" s="37">
        <f t="shared" ref="L69:L76" si="1">SUM(D69:K69)</f>
        <v>4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>
        <v>1</v>
      </c>
      <c r="F87" s="31"/>
      <c r="G87" s="31">
        <v>24</v>
      </c>
      <c r="H87" s="31"/>
      <c r="I87" s="31"/>
      <c r="J87" s="44"/>
      <c r="K87" s="44"/>
      <c r="L87" s="37">
        <f t="shared" si="2"/>
        <v>25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>
        <v>5</v>
      </c>
      <c r="E90" s="31"/>
      <c r="F90" s="31">
        <v>6</v>
      </c>
      <c r="G90" s="31">
        <v>4</v>
      </c>
      <c r="H90" s="31"/>
      <c r="I90" s="31"/>
      <c r="J90" s="44"/>
      <c r="K90" s="44">
        <v>16</v>
      </c>
      <c r="L90" s="37">
        <f t="shared" ref="L90:L99" si="3">SUM(D90:K90)</f>
        <v>31</v>
      </c>
    </row>
    <row r="91" spans="2:12" x14ac:dyDescent="0.2">
      <c r="B91" s="11">
        <v>1112011</v>
      </c>
      <c r="C91" s="20" t="s">
        <v>76</v>
      </c>
      <c r="D91" s="31">
        <v>6</v>
      </c>
      <c r="E91" s="31"/>
      <c r="F91" s="31">
        <v>6</v>
      </c>
      <c r="G91" s="31">
        <v>4</v>
      </c>
      <c r="H91" s="31"/>
      <c r="I91" s="31"/>
      <c r="J91" s="44"/>
      <c r="K91" s="44"/>
      <c r="L91" s="37">
        <f t="shared" si="3"/>
        <v>16</v>
      </c>
    </row>
    <row r="92" spans="2:12" x14ac:dyDescent="0.2">
      <c r="B92" s="11">
        <v>1112003</v>
      </c>
      <c r="C92" s="20" t="s">
        <v>77</v>
      </c>
      <c r="D92" s="31">
        <v>5</v>
      </c>
      <c r="E92" s="31"/>
      <c r="F92" s="31">
        <v>2</v>
      </c>
      <c r="G92" s="31">
        <v>4</v>
      </c>
      <c r="H92" s="31"/>
      <c r="I92" s="31"/>
      <c r="J92" s="44"/>
      <c r="K92" s="44"/>
      <c r="L92" s="37">
        <f t="shared" si="3"/>
        <v>11</v>
      </c>
    </row>
    <row r="93" spans="2:12" x14ac:dyDescent="0.2">
      <c r="B93" s="11">
        <v>1112005</v>
      </c>
      <c r="C93" s="20" t="s">
        <v>78</v>
      </c>
      <c r="D93" s="31">
        <v>4</v>
      </c>
      <c r="E93" s="31"/>
      <c r="F93" s="31"/>
      <c r="G93" s="31">
        <v>6</v>
      </c>
      <c r="H93" s="31"/>
      <c r="I93" s="31"/>
      <c r="J93" s="44"/>
      <c r="K93" s="44">
        <v>3</v>
      </c>
      <c r="L93" s="37">
        <f t="shared" si="3"/>
        <v>13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>
        <v>1</v>
      </c>
      <c r="E96" s="31"/>
      <c r="F96" s="31"/>
      <c r="G96" s="31"/>
      <c r="H96" s="31"/>
      <c r="I96" s="31"/>
      <c r="J96" s="44"/>
      <c r="K96" s="44">
        <v>8</v>
      </c>
      <c r="L96" s="37">
        <f t="shared" si="3"/>
        <v>9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4</v>
      </c>
      <c r="H97" s="31"/>
      <c r="I97" s="31"/>
      <c r="J97" s="44"/>
      <c r="K97" s="44"/>
      <c r="L97" s="37">
        <f t="shared" si="3"/>
        <v>4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>
        <v>4</v>
      </c>
      <c r="H98" s="31"/>
      <c r="I98" s="31"/>
      <c r="J98" s="44"/>
      <c r="K98" s="44"/>
      <c r="L98" s="37">
        <f t="shared" si="3"/>
        <v>4</v>
      </c>
    </row>
    <row r="99" spans="2:12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>
        <v>2</v>
      </c>
      <c r="F102" s="31"/>
      <c r="G102" s="31">
        <v>1</v>
      </c>
      <c r="H102" s="31"/>
      <c r="I102" s="31"/>
      <c r="J102" s="44"/>
      <c r="K102" s="44"/>
      <c r="L102" s="37">
        <f t="shared" ref="L102:L111" si="5">SUM(D102:K102)</f>
        <v>3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>
        <v>1</v>
      </c>
      <c r="H103" s="31"/>
      <c r="I103" s="31"/>
      <c r="J103" s="44"/>
      <c r="K103" s="44"/>
      <c r="L103" s="37">
        <f t="shared" si="5"/>
        <v>1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4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>
        <v>5</v>
      </c>
      <c r="E115" s="31"/>
      <c r="F115" s="31"/>
      <c r="G115" s="31">
        <v>1</v>
      </c>
      <c r="H115" s="31"/>
      <c r="I115" s="31"/>
      <c r="J115" s="44"/>
      <c r="K115" s="44"/>
      <c r="L115" s="37">
        <f t="shared" si="6"/>
        <v>6</v>
      </c>
    </row>
    <row r="116" spans="2:12" x14ac:dyDescent="0.2">
      <c r="B116" s="11">
        <v>1113172</v>
      </c>
      <c r="C116" s="22" t="s">
        <v>89</v>
      </c>
      <c r="D116" s="31">
        <v>5</v>
      </c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6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3</v>
      </c>
      <c r="E123" s="31">
        <v>4</v>
      </c>
      <c r="F123" s="31">
        <v>1</v>
      </c>
      <c r="G123" s="31">
        <v>18</v>
      </c>
      <c r="H123" s="31"/>
      <c r="I123" s="31"/>
      <c r="J123" s="44"/>
      <c r="K123" s="44"/>
      <c r="L123" s="37">
        <f t="shared" si="6"/>
        <v>26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>
        <v>2</v>
      </c>
      <c r="E126" s="31">
        <v>25</v>
      </c>
      <c r="F126" s="31">
        <v>16</v>
      </c>
      <c r="G126" s="31">
        <v>7</v>
      </c>
      <c r="H126" s="31"/>
      <c r="I126" s="31"/>
      <c r="J126" s="44"/>
      <c r="K126" s="44"/>
      <c r="L126" s="37">
        <f t="shared" si="6"/>
        <v>50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2</v>
      </c>
      <c r="F135" s="31">
        <v>4</v>
      </c>
      <c r="G135" s="31"/>
      <c r="H135" s="31"/>
      <c r="I135" s="31"/>
      <c r="J135" s="44"/>
      <c r="K135" s="44"/>
      <c r="L135" s="37">
        <f t="shared" si="6"/>
        <v>6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2" t="s">
        <v>104</v>
      </c>
      <c r="C143" s="62"/>
      <c r="D143" s="33"/>
      <c r="E143" s="58"/>
      <c r="F143" s="58"/>
      <c r="G143" s="28"/>
      <c r="H143" s="27"/>
      <c r="I143" s="62" t="s">
        <v>104</v>
      </c>
      <c r="J143" s="62"/>
      <c r="K143" s="62"/>
      <c r="L143" s="62"/>
    </row>
    <row r="144" spans="2:12" x14ac:dyDescent="0.2">
      <c r="B144" s="58" t="s">
        <v>105</v>
      </c>
      <c r="C144" s="58"/>
      <c r="D144" s="34"/>
      <c r="E144" s="34"/>
      <c r="F144" s="34"/>
      <c r="G144" s="34"/>
      <c r="H144" s="34"/>
      <c r="I144" s="58" t="s">
        <v>106</v>
      </c>
      <c r="J144" s="58"/>
      <c r="K144" s="58"/>
      <c r="L144" s="58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zoomScale="60" zoomScaleNormal="60" workbookViewId="0">
      <selection activeCell="B1" sqref="B1:L1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135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U75" sqref="U75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  <col min="13" max="13" width="16.125" style="24" hidden="1" customWidth="1"/>
    <col min="14" max="15" width="15.375" style="24" hidden="1" customWidth="1"/>
    <col min="16" max="16" width="25.375" style="24" hidden="1" customWidth="1"/>
    <col min="17" max="17" width="14.375" style="29" hidden="1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9" t="s">
        <v>145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7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  <c r="M2" s="68" t="s">
        <v>127</v>
      </c>
      <c r="N2" s="68" t="s">
        <v>130</v>
      </c>
      <c r="O2" s="68" t="s">
        <v>141</v>
      </c>
      <c r="P2" s="68" t="s">
        <v>142</v>
      </c>
      <c r="Q2" s="71" t="s">
        <v>1</v>
      </c>
    </row>
    <row r="3" spans="2:17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  <c r="M3" s="69"/>
      <c r="N3" s="69"/>
      <c r="O3" s="69"/>
      <c r="P3" s="69"/>
      <c r="Q3" s="72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70"/>
      <c r="N4" s="70"/>
      <c r="O4" s="70"/>
      <c r="P4" s="70"/>
      <c r="Q4" s="73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7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5</v>
      </c>
      <c r="E7" s="31">
        <f>'เย็น '!E7+'เช้า '!E7+บ่าย!E7</f>
        <v>26</v>
      </c>
      <c r="F7" s="31">
        <f>'เย็น '!F7+'เช้า '!F7+บ่าย!F7</f>
        <v>10</v>
      </c>
      <c r="G7" s="31">
        <f>'เย็น '!G7+'เช้า '!G7+บ่าย!G7</f>
        <v>7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48</v>
      </c>
      <c r="M7" s="11"/>
      <c r="N7" s="11"/>
      <c r="O7" s="11"/>
      <c r="P7" s="11"/>
      <c r="Q7" s="45">
        <f>(M7+N7+O7+P7)-L7</f>
        <v>-48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2</v>
      </c>
      <c r="E25" s="31">
        <f>'เย็น '!E25+'เช้า '!E25+บ่าย!E25</f>
        <v>6</v>
      </c>
      <c r="F25" s="31">
        <f>'เย็น '!F25+'เช้า '!F25+บ่าย!F25</f>
        <v>0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8</v>
      </c>
      <c r="M25" s="11"/>
      <c r="N25" s="11"/>
      <c r="O25" s="11"/>
      <c r="P25" s="11"/>
      <c r="Q25" s="45">
        <f t="shared" si="1"/>
        <v>-8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0</v>
      </c>
      <c r="M26" s="11"/>
      <c r="N26" s="11"/>
      <c r="O26" s="11"/>
      <c r="P26" s="11"/>
      <c r="Q26" s="45">
        <f t="shared" si="1"/>
        <v>0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2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2</v>
      </c>
      <c r="M56" s="11"/>
      <c r="N56" s="11"/>
      <c r="O56" s="11"/>
      <c r="P56" s="11"/>
      <c r="Q56" s="45">
        <f t="shared" si="1"/>
        <v>-2</v>
      </c>
    </row>
    <row r="57" spans="2:20" hidden="1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2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2</v>
      </c>
      <c r="M57" s="11"/>
      <c r="N57" s="11"/>
      <c r="O57" s="11"/>
      <c r="P57" s="11"/>
      <c r="Q57" s="45">
        <f t="shared" si="1"/>
        <v>-2</v>
      </c>
    </row>
    <row r="58" spans="2:20" hidden="1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2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2</v>
      </c>
      <c r="M58" s="11"/>
      <c r="N58" s="11"/>
      <c r="O58" s="11"/>
      <c r="P58" s="11"/>
      <c r="Q58" s="45">
        <f t="shared" si="1"/>
        <v>-2</v>
      </c>
    </row>
    <row r="59" spans="2:20" hidden="1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2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2</v>
      </c>
      <c r="M59" s="11"/>
      <c r="N59" s="11"/>
      <c r="O59" s="11"/>
      <c r="P59" s="11"/>
      <c r="Q59" s="45">
        <f t="shared" si="1"/>
        <v>-2</v>
      </c>
    </row>
    <row r="60" spans="2:20" hidden="1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2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2</v>
      </c>
      <c r="M62" s="11"/>
      <c r="N62" s="11"/>
      <c r="O62" s="11"/>
      <c r="P62" s="11"/>
      <c r="Q62" s="45">
        <f t="shared" si="1"/>
        <v>-2</v>
      </c>
    </row>
    <row r="63" spans="2:20" hidden="1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7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0</v>
      </c>
      <c r="E69" s="31">
        <f>'เย็น '!E69+'เช้า '!E69+บ่าย!E69</f>
        <v>1</v>
      </c>
      <c r="F69" s="31">
        <f>'เย็น '!F69+'เช้า '!F69+บ่าย!F69</f>
        <v>0</v>
      </c>
      <c r="G69" s="31">
        <f>'เย็น '!G69+'เช้า '!G69+บ่าย!G69</f>
        <v>3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4</v>
      </c>
      <c r="M69" s="11"/>
      <c r="N69" s="11"/>
      <c r="O69" s="11"/>
      <c r="P69" s="11"/>
      <c r="Q69" s="45">
        <f t="shared" ref="Q69:Q76" si="5">(M69+N69+O69+P69)-L69</f>
        <v>-4</v>
      </c>
    </row>
    <row r="70" spans="2:20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7"/>
    </row>
    <row r="79" spans="2:20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1</v>
      </c>
      <c r="F87" s="31">
        <f>'เย็น '!F87+'เช้า '!F87+บ่าย!F87</f>
        <v>0</v>
      </c>
      <c r="G87" s="31">
        <f>'เย็น '!G87+'เช้า '!G87+บ่าย!G87</f>
        <v>24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25</v>
      </c>
      <c r="M87" s="11"/>
      <c r="N87" s="11"/>
      <c r="O87" s="11"/>
      <c r="P87" s="11"/>
      <c r="Q87" s="45">
        <f t="shared" si="8"/>
        <v>-25</v>
      </c>
    </row>
    <row r="88" spans="2:17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7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5</v>
      </c>
      <c r="E90" s="31">
        <f>'เย็น '!E90+'เช้า '!E90+บ่าย!E90</f>
        <v>0</v>
      </c>
      <c r="F90" s="31">
        <f>'เย็น '!F90+'เช้า '!F90+บ่าย!F90</f>
        <v>6</v>
      </c>
      <c r="G90" s="31">
        <f>'เย็น '!G90+'เช้า '!G90+บ่าย!G90</f>
        <v>4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16</v>
      </c>
      <c r="L90" s="37">
        <f t="shared" ref="L90:L99" si="9">SUM(D90:K90)</f>
        <v>31</v>
      </c>
      <c r="M90" s="11"/>
      <c r="N90" s="11"/>
      <c r="O90" s="11"/>
      <c r="P90" s="11"/>
      <c r="Q90" s="45">
        <f t="shared" ref="Q90:Q99" si="10">(M90+N90+O90+P90)-L90</f>
        <v>-31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6</v>
      </c>
      <c r="E91" s="31">
        <f>'เย็น '!E91+'เช้า '!E91+บ่าย!E91</f>
        <v>0</v>
      </c>
      <c r="F91" s="31">
        <f>'เย็น '!F91+'เช้า '!F91+บ่าย!F91</f>
        <v>6</v>
      </c>
      <c r="G91" s="31">
        <f>'เย็น '!G91+'เช้า '!G91+บ่าย!G91</f>
        <v>4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16</v>
      </c>
      <c r="M91" s="11"/>
      <c r="N91" s="11"/>
      <c r="O91" s="11"/>
      <c r="P91" s="11"/>
      <c r="Q91" s="45">
        <f t="shared" si="10"/>
        <v>-16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5</v>
      </c>
      <c r="E92" s="31">
        <f>'เย็น '!E92+'เช้า '!E92+บ่าย!E92</f>
        <v>0</v>
      </c>
      <c r="F92" s="31">
        <f>'เย็น '!F92+'เช้า '!F92+บ่าย!F92</f>
        <v>2</v>
      </c>
      <c r="G92" s="31">
        <f>'เย็น '!G92+'เช้า '!G92+บ่าย!G92</f>
        <v>4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11</v>
      </c>
      <c r="M92" s="11"/>
      <c r="N92" s="11"/>
      <c r="O92" s="11"/>
      <c r="P92" s="11"/>
      <c r="Q92" s="45">
        <f t="shared" si="10"/>
        <v>-11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4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6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3</v>
      </c>
      <c r="L93" s="37">
        <f t="shared" si="9"/>
        <v>13</v>
      </c>
      <c r="M93" s="11"/>
      <c r="N93" s="11"/>
      <c r="O93" s="11"/>
      <c r="P93" s="11"/>
      <c r="Q93" s="45">
        <f t="shared" si="10"/>
        <v>-13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1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8</v>
      </c>
      <c r="L96" s="37">
        <f t="shared" si="9"/>
        <v>9</v>
      </c>
      <c r="M96" s="11"/>
      <c r="N96" s="11"/>
      <c r="O96" s="11"/>
      <c r="P96" s="11"/>
      <c r="Q96" s="45">
        <f t="shared" si="10"/>
        <v>-9</v>
      </c>
    </row>
    <row r="97" spans="2:20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4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4</v>
      </c>
      <c r="M97" s="11"/>
      <c r="N97" s="11"/>
      <c r="O97" s="11"/>
      <c r="P97" s="11"/>
      <c r="Q97" s="45">
        <f t="shared" si="10"/>
        <v>-4</v>
      </c>
    </row>
    <row r="98" spans="2:20" x14ac:dyDescent="0.25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4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4</v>
      </c>
      <c r="M98" s="11"/>
      <c r="N98" s="11"/>
      <c r="O98" s="11"/>
      <c r="P98" s="11"/>
      <c r="Q98" s="45">
        <f t="shared" si="10"/>
        <v>-4</v>
      </c>
      <c r="S98" s="57"/>
      <c r="T98" s="57">
        <f>SUM(Q90:Q98)</f>
        <v>-88</v>
      </c>
    </row>
    <row r="99" spans="2:20" hidden="1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88</v>
      </c>
      <c r="M100" s="11"/>
      <c r="N100" s="11"/>
      <c r="O100" s="11"/>
      <c r="P100" s="11"/>
      <c r="Q100" s="45">
        <f>SUM(Q90:Q99)</f>
        <v>-88</v>
      </c>
    </row>
    <row r="101" spans="2:20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7"/>
    </row>
    <row r="102" spans="2:20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2</v>
      </c>
      <c r="F102" s="31">
        <f>บ่าย!F102+'เช้า '!F102+'เย็น '!F102</f>
        <v>0</v>
      </c>
      <c r="G102" s="31">
        <f>บ่าย!G102+'เช้า '!G102+'เย็น '!G102</f>
        <v>1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3</v>
      </c>
      <c r="M102" s="11"/>
      <c r="N102" s="11"/>
      <c r="O102" s="11"/>
      <c r="P102" s="11"/>
      <c r="Q102" s="45">
        <f t="shared" ref="Q102:Q111" si="12">(M102+N102+O102+P102)-L102</f>
        <v>-3</v>
      </c>
    </row>
    <row r="103" spans="2:20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1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1</v>
      </c>
      <c r="M103" s="11"/>
      <c r="N103" s="11"/>
      <c r="O103" s="11"/>
      <c r="P103" s="11"/>
      <c r="Q103" s="45">
        <f t="shared" si="12"/>
        <v>-1</v>
      </c>
    </row>
    <row r="104" spans="2:20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20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20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20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20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  <c r="S110" s="48"/>
      <c r="T110" s="47">
        <f>SUM(Q102:Q110)</f>
        <v>-4</v>
      </c>
    </row>
    <row r="111" spans="2:20" hidden="1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>SUM(Q102:Q111)</f>
        <v>-4</v>
      </c>
    </row>
    <row r="113" spans="2:17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7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4">SUM(D114:K114)</f>
        <v>0</v>
      </c>
      <c r="M114" s="11"/>
      <c r="N114" s="11"/>
      <c r="O114" s="11"/>
      <c r="P114" s="11"/>
      <c r="Q114" s="45">
        <f t="shared" ref="Q114:Q140" si="15">(M114+N114+O114+P114)-L114</f>
        <v>0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5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1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4"/>
        <v>6</v>
      </c>
      <c r="M115" s="11"/>
      <c r="N115" s="11"/>
      <c r="O115" s="11"/>
      <c r="P115" s="11"/>
      <c r="Q115" s="45">
        <f t="shared" si="15"/>
        <v>-6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5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1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4"/>
        <v>6</v>
      </c>
      <c r="M116" s="11"/>
      <c r="N116" s="11"/>
      <c r="O116" s="11"/>
      <c r="P116" s="11"/>
      <c r="Q116" s="45">
        <f t="shared" si="15"/>
        <v>-6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4"/>
        <v>0</v>
      </c>
      <c r="M118" s="11"/>
      <c r="N118" s="11"/>
      <c r="O118" s="11"/>
      <c r="P118" s="11"/>
      <c r="Q118" s="45">
        <f t="shared" si="15"/>
        <v>0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4"/>
        <v>0</v>
      </c>
      <c r="M119" s="11"/>
      <c r="N119" s="11"/>
      <c r="O119" s="11"/>
      <c r="P119" s="11"/>
      <c r="Q119" s="45">
        <f t="shared" si="15"/>
        <v>0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4"/>
        <v>0</v>
      </c>
      <c r="M120" s="11"/>
      <c r="N120" s="11"/>
      <c r="O120" s="11"/>
      <c r="P120" s="11"/>
      <c r="Q120" s="45">
        <f t="shared" si="15"/>
        <v>0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4"/>
        <v>0</v>
      </c>
      <c r="M121" s="11"/>
      <c r="N121" s="11"/>
      <c r="O121" s="11"/>
      <c r="P121" s="11"/>
      <c r="Q121" s="45">
        <f t="shared" si="15"/>
        <v>0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4"/>
        <v>0</v>
      </c>
      <c r="M122" s="11"/>
      <c r="N122" s="11"/>
      <c r="O122" s="11"/>
      <c r="P122" s="11"/>
      <c r="Q122" s="45">
        <f t="shared" si="15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3</v>
      </c>
      <c r="E123" s="31">
        <f>'เย็น '!E123+'เช้า '!E123+บ่าย!E123</f>
        <v>4</v>
      </c>
      <c r="F123" s="31">
        <f>'เย็น '!F123+'เช้า '!F123+บ่าย!F123</f>
        <v>1</v>
      </c>
      <c r="G123" s="31">
        <f>'เย็น '!G123+'เช้า '!G123+บ่าย!G123</f>
        <v>18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4"/>
        <v>26</v>
      </c>
      <c r="M123" s="11"/>
      <c r="N123" s="11"/>
      <c r="O123" s="11"/>
      <c r="P123" s="11"/>
      <c r="Q123" s="45">
        <f t="shared" si="15"/>
        <v>-26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4"/>
        <v>0</v>
      </c>
      <c r="M124" s="11"/>
      <c r="N124" s="11"/>
      <c r="O124" s="11"/>
      <c r="P124" s="11"/>
      <c r="Q124" s="45">
        <f t="shared" si="15"/>
        <v>0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4"/>
        <v>0</v>
      </c>
      <c r="M125" s="11"/>
      <c r="N125" s="11"/>
      <c r="O125" s="11"/>
      <c r="P125" s="11"/>
      <c r="Q125" s="45">
        <f t="shared" si="15"/>
        <v>0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2</v>
      </c>
      <c r="E126" s="31">
        <f>'เย็น '!E126+'เช้า '!E126+บ่าย!E126</f>
        <v>25</v>
      </c>
      <c r="F126" s="31">
        <f>'เย็น '!F126+'เช้า '!F126+บ่าย!F126</f>
        <v>16</v>
      </c>
      <c r="G126" s="31">
        <f>'เย็น '!G126+'เช้า '!G126+บ่าย!G126</f>
        <v>7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4"/>
        <v>50</v>
      </c>
      <c r="M126" s="11"/>
      <c r="N126" s="11"/>
      <c r="O126" s="11"/>
      <c r="P126" s="11"/>
      <c r="Q126" s="45">
        <f t="shared" si="15"/>
        <v>-50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4"/>
        <v>0</v>
      </c>
      <c r="M128" s="11"/>
      <c r="N128" s="11"/>
      <c r="O128" s="11"/>
      <c r="P128" s="11"/>
      <c r="Q128" s="45">
        <f t="shared" si="15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4"/>
        <v>0</v>
      </c>
      <c r="M130" s="11"/>
      <c r="N130" s="11"/>
      <c r="O130" s="11"/>
      <c r="P130" s="11"/>
      <c r="Q130" s="45">
        <f t="shared" si="15"/>
        <v>0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4"/>
        <v>0</v>
      </c>
      <c r="M131" s="11"/>
      <c r="N131" s="11"/>
      <c r="O131" s="11"/>
      <c r="P131" s="11"/>
      <c r="Q131" s="45">
        <f t="shared" si="15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4"/>
        <v>0</v>
      </c>
      <c r="M134" s="11"/>
      <c r="N134" s="11"/>
      <c r="O134" s="11"/>
      <c r="P134" s="11"/>
      <c r="Q134" s="45">
        <f t="shared" si="15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2</v>
      </c>
      <c r="F135" s="31">
        <f>'เย็น '!F135+'เช้า '!F135+บ่าย!F135</f>
        <v>4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4"/>
        <v>6</v>
      </c>
      <c r="M135" s="11"/>
      <c r="N135" s="11"/>
      <c r="O135" s="11"/>
      <c r="P135" s="11"/>
      <c r="Q135" s="45">
        <f t="shared" si="15"/>
        <v>-6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4"/>
        <v>0</v>
      </c>
      <c r="M136" s="11"/>
      <c r="N136" s="11"/>
      <c r="O136" s="11"/>
      <c r="P136" s="11"/>
      <c r="Q136" s="45">
        <f t="shared" si="15"/>
        <v>0</v>
      </c>
    </row>
    <row r="137" spans="2:17" x14ac:dyDescent="0.2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4"/>
        <v>0</v>
      </c>
      <c r="M137" s="11"/>
      <c r="N137" s="11"/>
      <c r="O137" s="11"/>
      <c r="P137" s="11"/>
      <c r="Q137" s="45">
        <f t="shared" si="15"/>
        <v>0</v>
      </c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4"/>
        <v>0</v>
      </c>
      <c r="M139" s="11"/>
      <c r="N139" s="11"/>
      <c r="O139" s="11"/>
      <c r="P139" s="11"/>
      <c r="Q139" s="45">
        <f t="shared" si="15"/>
        <v>0</v>
      </c>
    </row>
    <row r="140" spans="2:17" x14ac:dyDescent="0.2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4"/>
        <v>0</v>
      </c>
      <c r="M140" s="11"/>
      <c r="N140" s="11"/>
      <c r="O140" s="11"/>
      <c r="P140" s="11"/>
      <c r="Q140" s="45">
        <f t="shared" si="15"/>
        <v>0</v>
      </c>
    </row>
    <row r="141" spans="2:17" ht="40.5" customHeight="1" x14ac:dyDescent="0.2">
      <c r="C141" s="36"/>
      <c r="D141" s="37">
        <f>SUM(D114:D140,D90:D99,D79:D87,D69:D76,D7:D66,D102:D111)</f>
        <v>43</v>
      </c>
      <c r="E141" s="37">
        <f t="shared" ref="E141:K141" si="16">SUM(E114:E140,E90:E99,E79:E87,E69:E76,E7:E66,E102:E111)</f>
        <v>77</v>
      </c>
      <c r="F141" s="37">
        <f t="shared" si="16"/>
        <v>45</v>
      </c>
      <c r="G141" s="37">
        <f t="shared" si="16"/>
        <v>89</v>
      </c>
      <c r="H141" s="37">
        <f t="shared" si="16"/>
        <v>0</v>
      </c>
      <c r="I141" s="37">
        <f t="shared" si="16"/>
        <v>0</v>
      </c>
      <c r="J141" s="37">
        <f t="shared" si="16"/>
        <v>0</v>
      </c>
      <c r="K141" s="37">
        <f t="shared" si="16"/>
        <v>27</v>
      </c>
      <c r="L141" s="37">
        <f>SUM(L114:L140,L90:L99,L79:L87,L69:L76,L7:L66,L102:L111)</f>
        <v>281</v>
      </c>
      <c r="M141" s="31">
        <f>SUM(M114:M136,M90:M98,M79:M87,M69:M76,M7:M66)</f>
        <v>0</v>
      </c>
      <c r="N141" s="31">
        <f>SUM(N114:N136,N90:N98,N79:N87,N69:N76,N7:N66)</f>
        <v>0</v>
      </c>
      <c r="O141" s="31"/>
      <c r="P141" s="31"/>
      <c r="Q141" s="45">
        <f t="shared" ref="Q141" si="17">(M141+N141)-L141</f>
        <v>-281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2"/>
      <c r="F144" s="62"/>
      <c r="G144" s="27"/>
      <c r="L144" s="41"/>
    </row>
    <row r="145" spans="2:12" x14ac:dyDescent="0.2">
      <c r="B145" s="62" t="s">
        <v>104</v>
      </c>
      <c r="C145" s="62"/>
      <c r="D145" s="33"/>
      <c r="E145" s="58"/>
      <c r="F145" s="58"/>
      <c r="G145" s="28"/>
      <c r="H145" s="27"/>
      <c r="I145" s="62" t="s">
        <v>104</v>
      </c>
      <c r="J145" s="62"/>
      <c r="K145" s="62"/>
      <c r="L145" s="62"/>
    </row>
    <row r="146" spans="2:12" x14ac:dyDescent="0.2">
      <c r="B146" s="58" t="s">
        <v>105</v>
      </c>
      <c r="C146" s="58"/>
      <c r="D146" s="34"/>
      <c r="E146" s="34"/>
      <c r="F146" s="34"/>
      <c r="G146" s="34"/>
      <c r="H146" s="34"/>
      <c r="I146" s="58" t="s">
        <v>106</v>
      </c>
      <c r="J146" s="58"/>
      <c r="K146" s="58"/>
      <c r="L146" s="58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2025-02-28T00:58:31Z</cp:lastPrinted>
  <dcterms:created xsi:type="dcterms:W3CDTF">2024-04-30T05:21:27Z</dcterms:created>
  <dcterms:modified xsi:type="dcterms:W3CDTF">2025-02-28T01:04:57Z</dcterms:modified>
</cp:coreProperties>
</file>