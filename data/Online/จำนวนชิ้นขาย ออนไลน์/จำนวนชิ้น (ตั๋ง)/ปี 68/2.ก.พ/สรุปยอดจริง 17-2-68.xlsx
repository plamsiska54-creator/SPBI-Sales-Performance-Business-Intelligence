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A295532-540E-48E4-9713-58525CF9F5FB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ย็น " sheetId="6" r:id="rId1"/>
    <sheet name="เช้า " sheetId="3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1" i="6" l="1"/>
  <c r="L141" i="4"/>
  <c r="L140" i="5"/>
  <c r="D141" i="5"/>
  <c r="E141" i="5"/>
  <c r="F141" i="5"/>
  <c r="G141" i="5"/>
  <c r="H141" i="5"/>
  <c r="I141" i="5"/>
  <c r="J141" i="5"/>
  <c r="K141" i="5"/>
  <c r="L141" i="3"/>
  <c r="L141" i="5" l="1"/>
  <c r="Q141" i="5" s="1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D121" i="5"/>
  <c r="E121" i="5"/>
  <c r="F121" i="5"/>
  <c r="G121" i="5"/>
  <c r="H121" i="5"/>
  <c r="I121" i="5"/>
  <c r="J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H91" i="5"/>
  <c r="I91" i="5"/>
  <c r="J91" i="5"/>
  <c r="K91" i="5"/>
  <c r="D92" i="5"/>
  <c r="E92" i="5"/>
  <c r="F92" i="5"/>
  <c r="H92" i="5"/>
  <c r="I92" i="5"/>
  <c r="J92" i="5"/>
  <c r="K92" i="5"/>
  <c r="D93" i="5"/>
  <c r="E93" i="5"/>
  <c r="F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H98" i="5"/>
  <c r="I98" i="5"/>
  <c r="J98" i="5"/>
  <c r="K98" i="5"/>
  <c r="E90" i="5"/>
  <c r="F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D142" i="5" s="1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F142" i="5" s="1"/>
  <c r="G7" i="5"/>
  <c r="G142" i="5" s="1"/>
  <c r="H7" i="5"/>
  <c r="H142" i="5" s="1"/>
  <c r="I7" i="5"/>
  <c r="I142" i="5" s="1"/>
  <c r="J7" i="5"/>
  <c r="J142" i="5" s="1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42" i="5" l="1"/>
  <c r="E142" i="5"/>
  <c r="L134" i="5"/>
  <c r="L138" i="5"/>
  <c r="L136" i="5"/>
  <c r="L132" i="5"/>
  <c r="L133" i="5"/>
  <c r="L131" i="5"/>
  <c r="L139" i="5"/>
  <c r="L137" i="5"/>
  <c r="L135" i="5"/>
  <c r="L112" i="6"/>
  <c r="Q139" i="5"/>
  <c r="Q135" i="5"/>
  <c r="L112" i="3"/>
  <c r="Q138" i="5"/>
  <c r="Q136" i="5"/>
  <c r="Q140" i="5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L102" i="5" l="1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2" i="5" l="1"/>
  <c r="L112" i="5"/>
  <c r="Q112" i="5" s="1"/>
  <c r="L88" i="5"/>
  <c r="Q88" i="5" s="1"/>
  <c r="L67" i="5"/>
  <c r="Q67" i="5" s="1"/>
  <c r="M142" i="5" l="1"/>
  <c r="N142" i="5"/>
  <c r="L100" i="5" l="1"/>
  <c r="Q142" i="5"/>
  <c r="L100" i="4" l="1"/>
  <c r="L112" i="4" l="1"/>
</calcChain>
</file>

<file path=xl/sharedStrings.xml><?xml version="1.0" encoding="utf-8"?>
<sst xmlns="http://schemas.openxmlformats.org/spreadsheetml/2006/main" count="621" uniqueCount="147">
  <si>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</si>
  <si>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</si>
  <si>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</si>
  <si>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</si>
  <si>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</si>
  <si>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</si>
  <si>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</si>
  <si>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</si>
  <si>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</si>
  <si>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</si>
  <si>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</si>
  <si>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</si>
  <si>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</si>
  <si>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</si>
  <si>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</si>
  <si>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</si>
  <si>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</si>
  <si>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</si>
  <si>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</si>
  <si>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</si>
  <si>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</si>
  <si>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</si>
  <si>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</si>
  <si>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</si>
  <si>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</si>
  <si>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</si>
  <si>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</si>
  <si>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</si>
  <si>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</si>
  <si>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</si>
  <si>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</si>
  <si>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</si>
  <si>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</si>
  <si>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</si>
  <si>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</si>
  <si>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</si>
  <si>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</si>
  <si>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</si>
  <si>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</si>
  <si>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</si>
  <si>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</si>
  <si>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</si>
  <si>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</si>
  <si>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</si>
  <si>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</si>
  <si>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</si>
  <si>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</si>
  <si>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</si>
  <si>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</si>
  <si>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</si>
  <si>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</si>
  <si>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</si>
  <si>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</si>
  <si>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</si>
  <si>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</si>
  <si>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</si>
  <si>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</si>
  <si>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</si>
  <si>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</si>
  <si>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</si>
  <si>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</si>
  <si>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</si>
  <si>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</si>
  <si>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</si>
  <si>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</si>
  <si>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</si>
  <si>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</si>
  <si>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</si>
  <si>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</si>
  <si>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</si>
  <si>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</si>
  <si>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</si>
  <si>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</si>
  <si>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</si>
  <si>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</si>
  <si>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</si>
  <si>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</si>
  <si>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</si>
  <si>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</si>
  <si>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</si>
  <si>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</si>
  <si>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</si>
  <si>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</si>
  <si>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</si>
  <si>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</si>
  <si>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</si>
  <si>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</si>
  <si>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</si>
  <si>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</si>
  <si>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</si>
  <si>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</si>
  <si>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</si>
  <si>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</si>
  <si>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</si>
  <si>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</si>
  <si>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</si>
  <si>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</si>
  <si>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</si>
  <si>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</si>
  <si>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</si>
  <si>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</si>
  <si>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</si>
  <si>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</si>
  <si>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</si>
  <si>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</si>
  <si>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</si>
  <si>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</si>
  <si>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</si>
  <si>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</si>
  <si>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</si>
  <si>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</si>
  <si>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</si>
  <si>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</si>
  <si>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</si>
  <si>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</si>
  <si>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</si>
  <si>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</si>
  <si>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</si>
  <si>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</si>
  <si>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</si>
  <si>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</si>
  <si>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</si>
  <si>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</si>
  <si>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</si>
  <si>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</si>
  <si>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</si>
  <si>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</si>
  <si>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</si>
  <si>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</si>
  <si>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</si>
  <si>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</si>
  <si>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</si>
  <si>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</si>
  <si>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</si>
  <si>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</si>
  <si>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</si>
  <si>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</si>
  <si>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</si>
  <si>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</si>
  <si>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</si>
  <si>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</si>
  <si>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</si>
  <si>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</si>
  <si>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</si>
  <si>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17/2/2568 - เช้า</t>
  </si>
  <si>
    <t>ทิรามิสุ</t>
  </si>
  <si>
    <t>ยอดจริง ออนไลน์ วันที่ 17/2/2568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</si>
</sst>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21" zoomScale="60" zoomScaleNormal="60" workbookViewId="0">
      <selection activeCell="G151" sqref="G151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1"/>
      <c r="C141" s="50" t="s">
        <v>145</v>
      </c>
      <c r="D141" s="52"/>
      <c r="E141" s="52"/>
      <c r="F141" s="52"/>
      <c r="G141" s="53"/>
      <c r="H141" s="9"/>
      <c r="I141" s="9"/>
      <c r="J141" s="9"/>
      <c r="K141" s="9"/>
      <c r="L141" s="37">
        <f t="shared" ref="L141" si="7">SUM(D141:K141)</f>
        <v>0</v>
      </c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K15" sqref="K15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>
        <v>13</v>
      </c>
      <c r="E7" s="31">
        <v>47</v>
      </c>
      <c r="F7" s="31">
        <v>62</v>
      </c>
      <c r="G7" s="31">
        <v>71</v>
      </c>
      <c r="H7" s="31"/>
      <c r="I7" s="31"/>
      <c r="J7" s="44"/>
      <c r="K7" s="44"/>
      <c r="L7" s="37">
        <f>SUM(D7:K7)</f>
        <v>193</v>
      </c>
    </row>
    <row r="8" spans="2:12" ht="22.5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>
        <v>181</v>
      </c>
      <c r="L14" s="37">
        <f t="shared" si="0"/>
        <v>181</v>
      </c>
    </row>
    <row r="15" spans="2:12" ht="22.5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>
        <v>9</v>
      </c>
      <c r="F25" s="31">
        <v>13</v>
      </c>
      <c r="G25" s="31">
        <v>4</v>
      </c>
      <c r="H25" s="31"/>
      <c r="I25" s="31"/>
      <c r="J25" s="44"/>
      <c r="K25" s="44"/>
      <c r="L25" s="37">
        <f t="shared" si="0"/>
        <v>26</v>
      </c>
    </row>
    <row r="26" spans="2:12" x14ac:dyDescent="0.2">
      <c r="B26" s="11">
        <v>1004055</v>
      </c>
      <c r="C26" s="15" t="s">
        <v>108</v>
      </c>
      <c r="D26" s="31"/>
      <c r="E26" s="31">
        <v>10</v>
      </c>
      <c r="F26" s="31"/>
      <c r="G26" s="31">
        <v>3</v>
      </c>
      <c r="H26" s="31"/>
      <c r="I26" s="31"/>
      <c r="J26" s="44"/>
      <c r="K26" s="44"/>
      <c r="L26" s="37">
        <f t="shared" si="0"/>
        <v>13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>
        <v>1</v>
      </c>
      <c r="E69" s="31">
        <v>1</v>
      </c>
      <c r="F69" s="31">
        <v>21</v>
      </c>
      <c r="G69" s="31">
        <v>4</v>
      </c>
      <c r="H69" s="31"/>
      <c r="I69" s="31"/>
      <c r="J69" s="44"/>
      <c r="K69" s="44"/>
      <c r="L69" s="37">
        <f t="shared" ref="L69:L76" si="1">SUM(D69:K69)</f>
        <v>27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>
        <v>3</v>
      </c>
      <c r="F87" s="31"/>
      <c r="G87" s="31"/>
      <c r="H87" s="31"/>
      <c r="I87" s="31"/>
      <c r="J87" s="44"/>
      <c r="K87" s="44"/>
      <c r="L87" s="37">
        <f t="shared" si="2"/>
        <v>3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>
        <v>4</v>
      </c>
      <c r="E90" s="31">
        <v>1</v>
      </c>
      <c r="F90" s="31">
        <v>4</v>
      </c>
      <c r="G90" s="31">
        <v>1</v>
      </c>
      <c r="H90" s="31"/>
      <c r="I90" s="31"/>
      <c r="J90" s="44"/>
      <c r="K90" s="44"/>
      <c r="L90" s="37">
        <f t="shared" ref="L90:L99" si="3">SUM(D90:K90)</f>
        <v>10</v>
      </c>
    </row>
    <row r="91" spans="2:12" x14ac:dyDescent="0.2">
      <c r="B91" s="11">
        <v>1112011</v>
      </c>
      <c r="C91" s="20" t="s">
        <v>76</v>
      </c>
      <c r="D91" s="31">
        <v>3</v>
      </c>
      <c r="E91" s="31">
        <v>1</v>
      </c>
      <c r="F91" s="31">
        <v>4</v>
      </c>
      <c r="G91" s="31"/>
      <c r="H91" s="31"/>
      <c r="I91" s="31"/>
      <c r="J91" s="44"/>
      <c r="K91" s="44"/>
      <c r="L91" s="37">
        <f t="shared" si="3"/>
        <v>8</v>
      </c>
    </row>
    <row r="92" spans="2:12" x14ac:dyDescent="0.2">
      <c r="B92" s="11">
        <v>1112003</v>
      </c>
      <c r="C92" s="20" t="s">
        <v>77</v>
      </c>
      <c r="D92" s="31">
        <v>3</v>
      </c>
      <c r="E92" s="31">
        <v>1</v>
      </c>
      <c r="F92" s="31">
        <v>3</v>
      </c>
      <c r="G92" s="31"/>
      <c r="H92" s="31"/>
      <c r="I92" s="31"/>
      <c r="J92" s="44"/>
      <c r="K92" s="44"/>
      <c r="L92" s="37">
        <f t="shared" si="3"/>
        <v>7</v>
      </c>
    </row>
    <row r="93" spans="2:12" x14ac:dyDescent="0.2">
      <c r="B93" s="11">
        <v>1112005</v>
      </c>
      <c r="C93" s="20" t="s">
        <v>78</v>
      </c>
      <c r="D93" s="31">
        <v>2</v>
      </c>
      <c r="E93" s="31"/>
      <c r="F93" s="31">
        <v>3</v>
      </c>
      <c r="G93" s="31"/>
      <c r="H93" s="31"/>
      <c r="I93" s="31"/>
      <c r="J93" s="44"/>
      <c r="K93" s="44"/>
      <c r="L93" s="37">
        <f t="shared" si="3"/>
        <v>5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>
        <v>3</v>
      </c>
      <c r="E102" s="31">
        <v>12</v>
      </c>
      <c r="F102" s="31"/>
      <c r="G102" s="31">
        <v>17</v>
      </c>
      <c r="H102" s="31"/>
      <c r="I102" s="31"/>
      <c r="J102" s="44"/>
      <c r="K102" s="44"/>
      <c r="L102" s="37">
        <f t="shared" ref="L102:L111" si="5">SUM(D102:K102)</f>
        <v>32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>
        <v>17</v>
      </c>
      <c r="H103" s="31"/>
      <c r="I103" s="31"/>
      <c r="J103" s="44"/>
      <c r="K103" s="44"/>
      <c r="L103" s="37">
        <f t="shared" si="5"/>
        <v>17</v>
      </c>
    </row>
    <row r="104" spans="2:12" x14ac:dyDescent="0.2">
      <c r="B104" s="11">
        <v>1112002</v>
      </c>
      <c r="C104" s="20" t="s">
        <v>77</v>
      </c>
      <c r="D104" s="31">
        <v>1</v>
      </c>
      <c r="E104" s="31"/>
      <c r="F104" s="31"/>
      <c r="G104" s="31">
        <v>16</v>
      </c>
      <c r="H104" s="31"/>
      <c r="I104" s="31"/>
      <c r="J104" s="44"/>
      <c r="K104" s="44"/>
      <c r="L104" s="37">
        <f t="shared" si="5"/>
        <v>17</v>
      </c>
    </row>
    <row r="105" spans="2:12" x14ac:dyDescent="0.2">
      <c r="B105" s="11">
        <v>1112004</v>
      </c>
      <c r="C105" s="20" t="s">
        <v>78</v>
      </c>
      <c r="D105" s="31">
        <v>1</v>
      </c>
      <c r="E105" s="31"/>
      <c r="F105" s="31"/>
      <c r="G105" s="31">
        <v>16</v>
      </c>
      <c r="H105" s="31"/>
      <c r="I105" s="31"/>
      <c r="J105" s="44"/>
      <c r="K105" s="44"/>
      <c r="L105" s="37">
        <f t="shared" si="5"/>
        <v>17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>
        <v>3</v>
      </c>
      <c r="E108" s="31"/>
      <c r="F108" s="31"/>
      <c r="G108" s="31">
        <v>16</v>
      </c>
      <c r="H108" s="31"/>
      <c r="I108" s="31"/>
      <c r="J108" s="44"/>
      <c r="K108" s="44"/>
      <c r="L108" s="37">
        <f t="shared" si="5"/>
        <v>19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>
        <v>16</v>
      </c>
      <c r="H109" s="31"/>
      <c r="I109" s="31"/>
      <c r="J109" s="44"/>
      <c r="K109" s="44"/>
      <c r="L109" s="37">
        <f t="shared" si="5"/>
        <v>16</v>
      </c>
    </row>
    <row r="110" spans="2:12" x14ac:dyDescent="0.2">
      <c r="B110" s="11">
        <v>1112012</v>
      </c>
      <c r="C110" s="20" t="s">
        <v>83</v>
      </c>
      <c r="D110" s="31">
        <v>2</v>
      </c>
      <c r="E110" s="31"/>
      <c r="F110" s="31"/>
      <c r="G110" s="31">
        <v>16</v>
      </c>
      <c r="H110" s="31"/>
      <c r="I110" s="31"/>
      <c r="J110" s="44"/>
      <c r="K110" s="44"/>
      <c r="L110" s="37">
        <f t="shared" si="5"/>
        <v>18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136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>
        <v>1</v>
      </c>
      <c r="H116" s="31"/>
      <c r="I116" s="31"/>
      <c r="J116" s="44"/>
      <c r="K116" s="44"/>
      <c r="L116" s="37">
        <f t="shared" si="6"/>
        <v>1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>
        <v>2</v>
      </c>
      <c r="G120" s="31"/>
      <c r="H120" s="31"/>
      <c r="I120" s="31"/>
      <c r="J120" s="44"/>
      <c r="K120" s="44"/>
      <c r="L120" s="37">
        <f t="shared" si="6"/>
        <v>2</v>
      </c>
    </row>
    <row r="121" spans="2:12" x14ac:dyDescent="0.2">
      <c r="B121" s="11">
        <v>1200001</v>
      </c>
      <c r="C121" s="22" t="s">
        <v>93</v>
      </c>
      <c r="D121" s="31"/>
      <c r="E121" s="31">
        <v>5</v>
      </c>
      <c r="F121" s="31"/>
      <c r="G121" s="31"/>
      <c r="H121" s="31"/>
      <c r="I121" s="31"/>
      <c r="J121" s="44"/>
      <c r="K121" s="44"/>
      <c r="L121" s="37">
        <f t="shared" si="6"/>
        <v>5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>
        <v>4</v>
      </c>
      <c r="E123" s="31">
        <v>7</v>
      </c>
      <c r="F123" s="31">
        <v>9</v>
      </c>
      <c r="G123" s="31">
        <v>11</v>
      </c>
      <c r="H123" s="31"/>
      <c r="I123" s="31"/>
      <c r="J123" s="44"/>
      <c r="K123" s="44"/>
      <c r="L123" s="37">
        <f t="shared" si="6"/>
        <v>31</v>
      </c>
    </row>
    <row r="124" spans="2:12" x14ac:dyDescent="0.2">
      <c r="B124" s="11">
        <v>1114502</v>
      </c>
      <c r="C124" s="22" t="s">
        <v>96</v>
      </c>
      <c r="D124" s="31">
        <v>1</v>
      </c>
      <c r="E124" s="31">
        <v>13</v>
      </c>
      <c r="F124" s="31">
        <v>3</v>
      </c>
      <c r="G124" s="31">
        <v>17</v>
      </c>
      <c r="H124" s="31"/>
      <c r="I124" s="31"/>
      <c r="J124" s="44"/>
      <c r="K124" s="44"/>
      <c r="L124" s="37">
        <f t="shared" si="6"/>
        <v>34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>
        <v>4</v>
      </c>
      <c r="F126" s="31">
        <v>66</v>
      </c>
      <c r="G126" s="31">
        <v>5</v>
      </c>
      <c r="H126" s="31"/>
      <c r="I126" s="31"/>
      <c r="J126" s="44"/>
      <c r="K126" s="44"/>
      <c r="L126" s="37">
        <f t="shared" si="6"/>
        <v>75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>
        <v>1</v>
      </c>
      <c r="F135" s="31"/>
      <c r="G135" s="31"/>
      <c r="H135" s="31"/>
      <c r="I135" s="31"/>
      <c r="J135" s="44"/>
      <c r="K135" s="44"/>
      <c r="L135" s="37">
        <f t="shared" si="6"/>
        <v>1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1"/>
      <c r="C141" s="50" t="s">
        <v>145</v>
      </c>
      <c r="D141" s="73">
        <v>30</v>
      </c>
      <c r="E141" s="52"/>
      <c r="F141" s="52"/>
      <c r="G141" s="53"/>
      <c r="H141" s="9"/>
      <c r="I141" s="9"/>
      <c r="J141" s="9"/>
      <c r="K141" s="9"/>
      <c r="L141" s="37">
        <f t="shared" ref="L141" si="7">SUM(D141:K141)</f>
        <v>30</v>
      </c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109" zoomScale="60" zoomScaleNormal="60" workbookViewId="0">
      <selection activeCell="D140" sqref="D140:L141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1"/>
      <c r="C141" s="50" t="s">
        <v>145</v>
      </c>
      <c r="D141" s="52"/>
      <c r="E141" s="52"/>
      <c r="F141" s="52"/>
      <c r="G141" s="53"/>
      <c r="H141" s="9"/>
      <c r="I141" s="9"/>
      <c r="J141" s="9"/>
      <c r="K141" s="9"/>
      <c r="L141" s="37">
        <f t="shared" ref="L141" si="7">SUM(D141:K141)</f>
        <v>0</v>
      </c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4"/>
  <sheetViews>
    <sheetView tabSelected="1" zoomScale="50" zoomScaleNormal="50" workbookViewId="0">
      <selection activeCell="M119" sqref="M119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  <col min="13" max="13" width="16.125" style="24" customWidth="1"/>
    <col min="14" max="15" width="15.375" style="24" customWidth="1"/>
    <col min="16" max="16" width="25.375" style="24" customWidth="1"/>
    <col min="17" max="17" width="14.375" style="29" customWidth="1"/>
    <col min="18" max="18" width="9.125" customWidth="1"/>
    <col min="19" max="19" width="7.375" customWidth="1"/>
    <col min="20" max="20" width="22.75" customWidth="1"/>
  </cols>
  <sheetData>
    <row r="1" spans="2:17" x14ac:dyDescent="0.2">
      <c r="B1" s="58" t="s">
        <v>146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141</v>
      </c>
      <c r="P2" s="67" t="s">
        <v>142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1">
        <f>'เย็น '!D7+'เช้า '!D7+บ่าย!D7</f>
        <v>13</v>
      </c>
      <c r="E7" s="31">
        <f>'เย็น '!E7+'เช้า '!E7+บ่าย!E7</f>
        <v>47</v>
      </c>
      <c r="F7" s="31">
        <f>'เย็น '!F7+'เช้า '!F7+บ่าย!F7</f>
        <v>62</v>
      </c>
      <c r="G7" s="31">
        <f>'เย็น '!G7+'เช้า '!G7+บ่าย!G7</f>
        <v>71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193</v>
      </c>
      <c r="M7" s="11">
        <v>250</v>
      </c>
      <c r="N7" s="11">
        <v>174</v>
      </c>
      <c r="O7" s="11"/>
      <c r="P7" s="11"/>
      <c r="Q7" s="45">
        <f>(M7+N7+O7+P7)-L7</f>
        <v>231</v>
      </c>
    </row>
    <row r="8" spans="2:17" x14ac:dyDescent="0.2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>
        <v>40</v>
      </c>
      <c r="N8" s="11"/>
      <c r="O8" s="11"/>
      <c r="P8" s="11"/>
      <c r="Q8" s="45">
        <f t="shared" ref="Q8:Q66" si="1">(M8+N8+O8+P8)-L8</f>
        <v>40</v>
      </c>
    </row>
    <row r="9" spans="2:17" x14ac:dyDescent="0.2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>
        <v>50</v>
      </c>
      <c r="N9" s="11"/>
      <c r="O9" s="11"/>
      <c r="P9" s="11"/>
      <c r="Q9" s="45">
        <f t="shared" si="1"/>
        <v>50</v>
      </c>
    </row>
    <row r="10" spans="2:17" x14ac:dyDescent="0.2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x14ac:dyDescent="0.2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x14ac:dyDescent="0.2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x14ac:dyDescent="0.2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x14ac:dyDescent="0.2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181</v>
      </c>
      <c r="L14" s="37">
        <f t="shared" si="0"/>
        <v>181</v>
      </c>
      <c r="M14" s="11">
        <v>181</v>
      </c>
      <c r="N14" s="11"/>
      <c r="O14" s="11"/>
      <c r="P14" s="11"/>
      <c r="Q14" s="45">
        <f t="shared" si="1"/>
        <v>0</v>
      </c>
    </row>
    <row r="15" spans="2:17" x14ac:dyDescent="0.2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x14ac:dyDescent="0.2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x14ac:dyDescent="0.2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x14ac:dyDescent="0.2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x14ac:dyDescent="0.2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x14ac:dyDescent="0.2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x14ac:dyDescent="0.2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x14ac:dyDescent="0.2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x14ac:dyDescent="0.2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x14ac:dyDescent="0.2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31">
        <f>'เย็น '!D25+'เช้า '!D25+บ่าย!D25</f>
        <v>0</v>
      </c>
      <c r="E25" s="31">
        <f>'เย็น '!E25+'เช้า '!E25+บ่าย!E25</f>
        <v>9</v>
      </c>
      <c r="F25" s="31">
        <f>'เย็น '!F25+'เช้า '!F25+บ่าย!F25</f>
        <v>13</v>
      </c>
      <c r="G25" s="31">
        <f>'เย็น '!G25+'เช้า '!G25+บ่าย!G25</f>
        <v>4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26</v>
      </c>
      <c r="M25" s="11"/>
      <c r="N25" s="11">
        <v>27</v>
      </c>
      <c r="O25" s="11"/>
      <c r="P25" s="11"/>
      <c r="Q25" s="45">
        <f t="shared" si="1"/>
        <v>1</v>
      </c>
    </row>
    <row r="26" spans="2:17" x14ac:dyDescent="0.2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10</v>
      </c>
      <c r="F26" s="31">
        <f>'เย็น '!F26+'เช้า '!F26+บ่าย!F26</f>
        <v>0</v>
      </c>
      <c r="G26" s="31">
        <f>'เย็น '!G26+'เช้า '!G26+บ่าย!G26</f>
        <v>3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13</v>
      </c>
      <c r="M26" s="11"/>
      <c r="N26" s="11">
        <v>54</v>
      </c>
      <c r="O26" s="11"/>
      <c r="P26" s="11"/>
      <c r="Q26" s="45">
        <f t="shared" si="1"/>
        <v>41</v>
      </c>
    </row>
    <row r="27" spans="2:17" hidden="1" x14ac:dyDescent="0.2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x14ac:dyDescent="0.2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 x14ac:dyDescent="0.2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x14ac:dyDescent="0.2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 x14ac:dyDescent="0.2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x14ac:dyDescent="0.2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 x14ac:dyDescent="0.2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x14ac:dyDescent="0.2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x14ac:dyDescent="0.2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x14ac:dyDescent="0.2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x14ac:dyDescent="0.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 x14ac:dyDescent="0.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 x14ac:dyDescent="0.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 x14ac:dyDescent="0.2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 x14ac:dyDescent="0.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x14ac:dyDescent="0.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x14ac:dyDescent="0.2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 x14ac:dyDescent="0.2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 x14ac:dyDescent="0.2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 x14ac:dyDescent="0.2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 x14ac:dyDescent="0.2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 x14ac:dyDescent="0.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 x14ac:dyDescent="0.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 x14ac:dyDescent="0.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 x14ac:dyDescent="0.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x14ac:dyDescent="0.2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20" t="s">
        <v>56</v>
      </c>
      <c r="D69" s="31">
        <f>'เย็น '!D69+'เช้า '!D69+บ่าย!D69</f>
        <v>1</v>
      </c>
      <c r="E69" s="31">
        <f>'เย็น '!E69+'เช้า '!E69+บ่าย!E69</f>
        <v>1</v>
      </c>
      <c r="F69" s="31">
        <f>'เย็น '!F69+'เช้า '!F69+บ่าย!F69</f>
        <v>21</v>
      </c>
      <c r="G69" s="31">
        <f>'เย็น '!G69+'เช้า '!G69+บ่าย!G69</f>
        <v>4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27</v>
      </c>
      <c r="M69" s="11">
        <v>40</v>
      </c>
      <c r="N69" s="11"/>
      <c r="O69" s="11"/>
      <c r="P69" s="11"/>
      <c r="Q69" s="45">
        <f t="shared" ref="Q69:Q76" si="5">(M69+N69+O69+P69)-L69</f>
        <v>13</v>
      </c>
    </row>
    <row r="70" spans="2:20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3</v>
      </c>
      <c r="F87" s="31">
        <f>'เย็น '!F87+'เช้า '!F87+บ่าย!F87</f>
        <v>0</v>
      </c>
      <c r="G87" s="31">
        <f>'เย็น '!G87+'เช้า '!G87+บ่าย!G87</f>
        <v>0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3</v>
      </c>
      <c r="M87" s="11">
        <v>50</v>
      </c>
      <c r="N87" s="11"/>
      <c r="O87" s="11"/>
      <c r="P87" s="11"/>
      <c r="Q87" s="45">
        <f t="shared" si="8"/>
        <v>47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20" t="s">
        <v>75</v>
      </c>
      <c r="D90" s="31">
        <f>'เย็น '!D90+'เช้า '!D90+บ่าย!D90</f>
        <v>4</v>
      </c>
      <c r="E90" s="31">
        <f>'เย็น '!E90+'เช้า '!E90+บ่าย!E90</f>
        <v>1</v>
      </c>
      <c r="F90" s="31">
        <f>'เย็น '!F90+'เช้า '!F90+บ่าย!F90</f>
        <v>4</v>
      </c>
      <c r="G90" s="31">
        <v>1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10</v>
      </c>
      <c r="M90" s="11">
        <v>40</v>
      </c>
      <c r="N90" s="11">
        <v>123</v>
      </c>
      <c r="O90" s="11"/>
      <c r="P90" s="11"/>
      <c r="Q90" s="45">
        <f t="shared" ref="Q90:Q99" si="10">(M90+N90+O90+P90)-L90</f>
        <v>153</v>
      </c>
    </row>
    <row r="91" spans="2:17" x14ac:dyDescent="0.2">
      <c r="B91" s="11">
        <v>1112011</v>
      </c>
      <c r="C91" s="20" t="s">
        <v>76</v>
      </c>
      <c r="D91" s="31">
        <f>'เย็น '!D91+'เช้า '!D91+บ่าย!D91</f>
        <v>3</v>
      </c>
      <c r="E91" s="31">
        <f>'เย็น '!E91+'เช้า '!E91+บ่าย!E91</f>
        <v>1</v>
      </c>
      <c r="F91" s="31">
        <f>'เย็น '!F91+'เช้า '!F91+บ่าย!F91</f>
        <v>4</v>
      </c>
      <c r="G91" s="31">
        <v>1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9</v>
      </c>
      <c r="M91" s="11">
        <v>40</v>
      </c>
      <c r="N91" s="11">
        <v>78</v>
      </c>
      <c r="O91" s="11"/>
      <c r="P91" s="11"/>
      <c r="Q91" s="45">
        <f t="shared" si="10"/>
        <v>109</v>
      </c>
    </row>
    <row r="92" spans="2:17" x14ac:dyDescent="0.2">
      <c r="B92" s="11">
        <v>1112003</v>
      </c>
      <c r="C92" s="20" t="s">
        <v>77</v>
      </c>
      <c r="D92" s="31">
        <f>'เย็น '!D92+'เช้า '!D92+บ่าย!D92</f>
        <v>3</v>
      </c>
      <c r="E92" s="31">
        <f>'เย็น '!E92+'เช้า '!E92+บ่าย!E92</f>
        <v>1</v>
      </c>
      <c r="F92" s="31">
        <f>'เย็น '!F92+'เช้า '!F92+บ่าย!F92</f>
        <v>3</v>
      </c>
      <c r="G92" s="31">
        <v>1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8</v>
      </c>
      <c r="M92" s="11">
        <v>20</v>
      </c>
      <c r="N92" s="11">
        <v>62</v>
      </c>
      <c r="O92" s="11"/>
      <c r="P92" s="11"/>
      <c r="Q92" s="45">
        <f t="shared" si="10"/>
        <v>74</v>
      </c>
    </row>
    <row r="93" spans="2:17" x14ac:dyDescent="0.2">
      <c r="B93" s="11">
        <v>1112005</v>
      </c>
      <c r="C93" s="20" t="s">
        <v>78</v>
      </c>
      <c r="D93" s="31">
        <f>'เย็น '!D93+'เช้า '!D93+บ่าย!D93</f>
        <v>2</v>
      </c>
      <c r="E93" s="31">
        <f>'เย็น '!E93+'เช้า '!E93+บ่าย!E93</f>
        <v>0</v>
      </c>
      <c r="F93" s="31">
        <f>'เย็น '!F93+'เช้า '!F93+บ่าย!F93</f>
        <v>3</v>
      </c>
      <c r="G93" s="31"/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5</v>
      </c>
      <c r="M93" s="11">
        <v>20</v>
      </c>
      <c r="N93" s="11">
        <v>42</v>
      </c>
      <c r="O93" s="11"/>
      <c r="P93" s="11"/>
      <c r="Q93" s="45">
        <f t="shared" si="10"/>
        <v>57</v>
      </c>
    </row>
    <row r="94" spans="2:17" x14ac:dyDescent="0.2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>
        <v>66</v>
      </c>
      <c r="O94" s="11"/>
      <c r="P94" s="11"/>
      <c r="Q94" s="45">
        <f t="shared" si="10"/>
        <v>66</v>
      </c>
    </row>
    <row r="95" spans="2:17" x14ac:dyDescent="0.2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 x14ac:dyDescent="0.2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0</v>
      </c>
      <c r="M97" s="11"/>
      <c r="N97" s="11"/>
      <c r="O97" s="11"/>
      <c r="P97" s="11"/>
      <c r="Q97" s="45">
        <f t="shared" si="10"/>
        <v>0</v>
      </c>
    </row>
    <row r="98" spans="2:17" x14ac:dyDescent="0.2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v>3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3</v>
      </c>
      <c r="M98" s="11"/>
      <c r="N98" s="11">
        <v>3</v>
      </c>
      <c r="O98" s="11"/>
      <c r="P98" s="11"/>
      <c r="Q98" s="45">
        <f t="shared" si="10"/>
        <v>0</v>
      </c>
    </row>
    <row r="99" spans="2:17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35</v>
      </c>
      <c r="M100" s="11"/>
      <c r="N100" s="11"/>
      <c r="O100" s="11"/>
      <c r="P100" s="11"/>
      <c r="Q100" s="45"/>
    </row>
    <row r="101" spans="2:17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x14ac:dyDescent="0.2">
      <c r="B102" s="11">
        <v>1112008</v>
      </c>
      <c r="C102" s="20" t="s">
        <v>75</v>
      </c>
      <c r="D102" s="31">
        <f>บ่าย!D102+'เช้า '!D102+'เย็น '!D102</f>
        <v>3</v>
      </c>
      <c r="E102" s="31">
        <f>บ่าย!E102+'เช้า '!E102+'เย็น '!E102</f>
        <v>12</v>
      </c>
      <c r="F102" s="31">
        <f>บ่าย!F102+'เช้า '!F102+'เย็น '!F102</f>
        <v>0</v>
      </c>
      <c r="G102" s="31">
        <f>บ่าย!G102+'เช้า '!G102+'เย็น '!G102</f>
        <v>17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32</v>
      </c>
      <c r="M102" s="11"/>
      <c r="N102" s="11">
        <v>30</v>
      </c>
      <c r="O102" s="11"/>
      <c r="P102" s="11"/>
      <c r="Q102" s="45">
        <f t="shared" ref="Q102:Q111" si="12">(M102+N102+O102+P102)-L102</f>
        <v>-2</v>
      </c>
    </row>
    <row r="103" spans="2:17" x14ac:dyDescent="0.2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17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17</v>
      </c>
      <c r="M103" s="11"/>
      <c r="N103" s="11">
        <v>56</v>
      </c>
      <c r="O103" s="11"/>
      <c r="P103" s="11"/>
      <c r="Q103" s="45">
        <f t="shared" si="12"/>
        <v>39</v>
      </c>
    </row>
    <row r="104" spans="2:17" x14ac:dyDescent="0.2">
      <c r="B104" s="11">
        <v>1112002</v>
      </c>
      <c r="C104" s="20" t="s">
        <v>77</v>
      </c>
      <c r="D104" s="31">
        <f>บ่าย!D104+'เช้า '!D104+'เย็น '!D104</f>
        <v>1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16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17</v>
      </c>
      <c r="M104" s="11"/>
      <c r="N104" s="11">
        <v>36</v>
      </c>
      <c r="O104" s="11"/>
      <c r="P104" s="11"/>
      <c r="Q104" s="45">
        <f t="shared" si="12"/>
        <v>19</v>
      </c>
    </row>
    <row r="105" spans="2:17" x14ac:dyDescent="0.2">
      <c r="B105" s="11">
        <v>1112004</v>
      </c>
      <c r="C105" s="20" t="s">
        <v>78</v>
      </c>
      <c r="D105" s="31">
        <f>บ่าย!D105+'เช้า '!D105+'เย็น '!D105</f>
        <v>1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16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17</v>
      </c>
      <c r="M105" s="11"/>
      <c r="N105" s="11">
        <v>28</v>
      </c>
      <c r="O105" s="11"/>
      <c r="P105" s="11"/>
      <c r="Q105" s="45">
        <f t="shared" si="12"/>
        <v>11</v>
      </c>
    </row>
    <row r="106" spans="2:17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x14ac:dyDescent="0.2">
      <c r="B108" s="11">
        <v>1112016</v>
      </c>
      <c r="C108" s="20" t="s">
        <v>81</v>
      </c>
      <c r="D108" s="31">
        <f>บ่าย!D108+'เช้า '!D108+'เย็น '!D108</f>
        <v>3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16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19</v>
      </c>
      <c r="M108" s="11"/>
      <c r="N108" s="11">
        <v>40</v>
      </c>
      <c r="O108" s="11"/>
      <c r="P108" s="11"/>
      <c r="Q108" s="45">
        <f t="shared" si="12"/>
        <v>21</v>
      </c>
    </row>
    <row r="109" spans="2:17" x14ac:dyDescent="0.2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16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16</v>
      </c>
      <c r="M109" s="11"/>
      <c r="N109" s="11">
        <v>39</v>
      </c>
      <c r="O109" s="11"/>
      <c r="P109" s="11"/>
      <c r="Q109" s="45">
        <f t="shared" si="12"/>
        <v>23</v>
      </c>
    </row>
    <row r="110" spans="2:17" x14ac:dyDescent="0.2">
      <c r="B110" s="11">
        <v>1112012</v>
      </c>
      <c r="C110" s="20" t="s">
        <v>83</v>
      </c>
      <c r="D110" s="31">
        <f>บ่าย!D110+'เช้า '!D110+'เย็น '!D110</f>
        <v>2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16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18</v>
      </c>
      <c r="M110" s="11"/>
      <c r="N110" s="11">
        <v>30</v>
      </c>
      <c r="O110" s="11"/>
      <c r="P110" s="11"/>
      <c r="Q110" s="45">
        <f t="shared" si="12"/>
        <v>12</v>
      </c>
    </row>
    <row r="111" spans="2:17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1" si="15">SUM(D114:K114)</f>
        <v>0</v>
      </c>
      <c r="M114" s="11"/>
      <c r="N114" s="11">
        <v>2</v>
      </c>
      <c r="O114" s="11"/>
      <c r="P114" s="11"/>
      <c r="Q114" s="45">
        <f t="shared" ref="Q114:Q140" si="16">(M114+N114+O114+P114)-L114</f>
        <v>2</v>
      </c>
    </row>
    <row r="115" spans="2:17" x14ac:dyDescent="0.2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0</v>
      </c>
      <c r="M115" s="11">
        <v>20</v>
      </c>
      <c r="N115" s="11">
        <v>13</v>
      </c>
      <c r="O115" s="11"/>
      <c r="P115" s="11"/>
      <c r="Q115" s="45">
        <f t="shared" si="16"/>
        <v>33</v>
      </c>
    </row>
    <row r="116" spans="2:17" x14ac:dyDescent="0.2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1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1</v>
      </c>
      <c r="M116" s="11">
        <v>20</v>
      </c>
      <c r="N116" s="11">
        <v>4</v>
      </c>
      <c r="O116" s="11"/>
      <c r="P116" s="11"/>
      <c r="Q116" s="45">
        <f t="shared" si="16"/>
        <v>23</v>
      </c>
    </row>
    <row r="117" spans="2:17" x14ac:dyDescent="0.2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 x14ac:dyDescent="0.2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v>4</v>
      </c>
      <c r="L118" s="37">
        <f t="shared" si="15"/>
        <v>4</v>
      </c>
      <c r="M118" s="11">
        <v>4</v>
      </c>
      <c r="N118" s="11"/>
      <c r="O118" s="11"/>
      <c r="P118" s="11"/>
      <c r="Q118" s="45">
        <f t="shared" si="16"/>
        <v>0</v>
      </c>
    </row>
    <row r="119" spans="2:17" x14ac:dyDescent="0.2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/>
      <c r="O119" s="11"/>
      <c r="P119" s="11"/>
      <c r="Q119" s="45">
        <f t="shared" si="16"/>
        <v>0</v>
      </c>
    </row>
    <row r="120" spans="2:17" x14ac:dyDescent="0.2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2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v>4</v>
      </c>
      <c r="L120" s="37">
        <f t="shared" si="15"/>
        <v>6</v>
      </c>
      <c r="M120" s="11">
        <v>14</v>
      </c>
      <c r="N120" s="11">
        <v>38</v>
      </c>
      <c r="O120" s="11"/>
      <c r="P120" s="11"/>
      <c r="Q120" s="45">
        <f t="shared" si="16"/>
        <v>46</v>
      </c>
    </row>
    <row r="121" spans="2:17" x14ac:dyDescent="0.2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5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v>4</v>
      </c>
      <c r="L121" s="37">
        <f t="shared" si="15"/>
        <v>9</v>
      </c>
      <c r="M121" s="11">
        <v>84</v>
      </c>
      <c r="N121" s="11">
        <v>32</v>
      </c>
      <c r="O121" s="11"/>
      <c r="P121" s="11"/>
      <c r="Q121" s="45">
        <f t="shared" si="16"/>
        <v>107</v>
      </c>
    </row>
    <row r="122" spans="2:17" x14ac:dyDescent="0.2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 x14ac:dyDescent="0.2">
      <c r="B123" s="11">
        <v>1114501</v>
      </c>
      <c r="C123" s="22" t="s">
        <v>95</v>
      </c>
      <c r="D123" s="31">
        <f>'เย็น '!D123+'เช้า '!D123+บ่าย!D123</f>
        <v>4</v>
      </c>
      <c r="E123" s="31">
        <f>'เย็น '!E123+'เช้า '!E123+บ่าย!E123</f>
        <v>7</v>
      </c>
      <c r="F123" s="31">
        <f>'เย็น '!F123+'เช้า '!F123+บ่าย!F123</f>
        <v>9</v>
      </c>
      <c r="G123" s="31">
        <f>'เย็น '!G123+'เช้า '!G123+บ่าย!G123</f>
        <v>11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31</v>
      </c>
      <c r="M123" s="11">
        <v>50</v>
      </c>
      <c r="N123" s="11">
        <v>76</v>
      </c>
      <c r="O123" s="11"/>
      <c r="P123" s="11"/>
      <c r="Q123" s="45">
        <f t="shared" si="16"/>
        <v>95</v>
      </c>
    </row>
    <row r="124" spans="2:17" x14ac:dyDescent="0.2">
      <c r="B124" s="11">
        <v>1114502</v>
      </c>
      <c r="C124" s="22" t="s">
        <v>96</v>
      </c>
      <c r="D124" s="31">
        <f>'เย็น '!D124+'เช้า '!D124+บ่าย!D124</f>
        <v>1</v>
      </c>
      <c r="E124" s="31">
        <f>'เย็น '!E124+'เช้า '!E124+บ่าย!E124</f>
        <v>13</v>
      </c>
      <c r="F124" s="31">
        <f>'เย็น '!F124+'เช้า '!F124+บ่าย!F124</f>
        <v>3</v>
      </c>
      <c r="G124" s="31">
        <f>'เย็น '!G124+'เช้า '!G124+บ่าย!G124</f>
        <v>17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34</v>
      </c>
      <c r="M124" s="11"/>
      <c r="N124" s="11">
        <v>33</v>
      </c>
      <c r="O124" s="11"/>
      <c r="P124" s="11"/>
      <c r="Q124" s="45">
        <f t="shared" si="16"/>
        <v>-1</v>
      </c>
    </row>
    <row r="125" spans="2:17" x14ac:dyDescent="0.2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0</v>
      </c>
      <c r="F125" s="31">
        <f>'เย็น '!F125+'เช้า '!F125+บ่าย!F125</f>
        <v>0</v>
      </c>
      <c r="G125" s="31">
        <f>'เย็น '!G125+'เช้า '!G125+บ่าย!G125</f>
        <v>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0</v>
      </c>
      <c r="M125" s="11"/>
      <c r="N125" s="11"/>
      <c r="O125" s="11"/>
      <c r="P125" s="11"/>
      <c r="Q125" s="45">
        <f t="shared" si="16"/>
        <v>0</v>
      </c>
    </row>
    <row r="126" spans="2:17" x14ac:dyDescent="0.2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4</v>
      </c>
      <c r="F126" s="31">
        <f>'เย็น '!F126+'เช้า '!F126+บ่าย!F126</f>
        <v>66</v>
      </c>
      <c r="G126" s="31">
        <f>'เย็น '!G126+'เช้า '!G126+บ่าย!G126</f>
        <v>5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75</v>
      </c>
      <c r="M126" s="11">
        <v>80</v>
      </c>
      <c r="N126" s="11">
        <v>2</v>
      </c>
      <c r="O126" s="11"/>
      <c r="P126" s="11"/>
      <c r="Q126" s="45">
        <f t="shared" si="16"/>
        <v>7</v>
      </c>
    </row>
    <row r="127" spans="2:17" x14ac:dyDescent="0.2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 x14ac:dyDescent="0.2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 x14ac:dyDescent="0.2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 x14ac:dyDescent="0.2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 x14ac:dyDescent="0.2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 x14ac:dyDescent="0.2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 x14ac:dyDescent="0.2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 x14ac:dyDescent="0.2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 x14ac:dyDescent="0.2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1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1</v>
      </c>
      <c r="M135" s="11"/>
      <c r="N135" s="11"/>
      <c r="O135" s="11"/>
      <c r="P135" s="11"/>
      <c r="Q135" s="45">
        <f t="shared" si="16"/>
        <v>-1</v>
      </c>
    </row>
    <row r="136" spans="2:17" x14ac:dyDescent="0.2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 x14ac:dyDescent="0.2">
      <c r="B137" s="23">
        <v>20052721</v>
      </c>
      <c r="C137" s="22" t="s">
        <v>143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/>
    </row>
    <row r="138" spans="2:17" x14ac:dyDescent="0.2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 x14ac:dyDescent="0.2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x14ac:dyDescent="0.2">
      <c r="B140" s="51"/>
      <c r="C140" s="50" t="s">
        <v>140</v>
      </c>
      <c r="D140" s="31">
        <f>'เย็น '!D140+'เช้า '!D140+บ่าย!D140</f>
        <v>0</v>
      </c>
      <c r="E140" s="31">
        <f>'เย็น '!E140+'เช้า '!E140+บ่าย!E140</f>
        <v>0</v>
      </c>
      <c r="F140" s="31">
        <f>'เย็น '!F140+'เช้า '!F140+บ่าย!F140</f>
        <v>0</v>
      </c>
      <c r="G140" s="31">
        <f>'เย็น '!G140+'เช้า '!G140+บ่าย!G140</f>
        <v>0</v>
      </c>
      <c r="H140" s="31">
        <f>'เย็น '!H140+'เช้า '!H140+บ่าย!H140</f>
        <v>0</v>
      </c>
      <c r="I140" s="31">
        <f>'เย็น '!I140+'เช้า '!I140+บ่าย!I140</f>
        <v>0</v>
      </c>
      <c r="J140" s="31">
        <f>'เย็น '!J140+'เช้า '!J140+บ่าย!J140</f>
        <v>0</v>
      </c>
      <c r="K140" s="31">
        <f>'เย็น '!K140+'เช้า '!K140+บ่าย!K140</f>
        <v>0</v>
      </c>
      <c r="L140" s="37">
        <f t="shared" si="15"/>
        <v>0</v>
      </c>
      <c r="M140" s="11"/>
      <c r="N140" s="11"/>
      <c r="O140" s="11"/>
      <c r="P140" s="11"/>
      <c r="Q140" s="45">
        <f t="shared" si="16"/>
        <v>0</v>
      </c>
    </row>
    <row r="141" spans="2:17" x14ac:dyDescent="0.2">
      <c r="B141" s="51"/>
      <c r="C141" s="50" t="s">
        <v>145</v>
      </c>
      <c r="D141" s="31">
        <f>'เย็น '!D141+'เช้า '!D141+บ่าย!D141</f>
        <v>30</v>
      </c>
      <c r="E141" s="31">
        <f>'เย็น '!E141+'เช้า '!E141+บ่าย!E141</f>
        <v>0</v>
      </c>
      <c r="F141" s="31">
        <f>'เย็น '!F141+'เช้า '!F141+บ่าย!F141</f>
        <v>0</v>
      </c>
      <c r="G141" s="31">
        <f>'เย็น '!G141+'เช้า '!G141+บ่าย!G141</f>
        <v>0</v>
      </c>
      <c r="H141" s="31">
        <f>'เย็น '!H141+'เช้า '!H141+บ่าย!H141</f>
        <v>0</v>
      </c>
      <c r="I141" s="31">
        <f>'เย็น '!I141+'เช้า '!I141+บ่าย!I141</f>
        <v>0</v>
      </c>
      <c r="J141" s="31">
        <f>'เย็น '!J141+'เช้า '!J141+บ่าย!J141</f>
        <v>0</v>
      </c>
      <c r="K141" s="31">
        <f>'เย็น '!K141+'เช้า '!K141+บ่าย!K141</f>
        <v>0</v>
      </c>
      <c r="L141" s="37">
        <f t="shared" si="15"/>
        <v>30</v>
      </c>
      <c r="M141" s="11"/>
      <c r="N141" s="11"/>
      <c r="O141" s="11">
        <v>30</v>
      </c>
      <c r="P141" s="11"/>
      <c r="Q141" s="45">
        <f t="shared" ref="Q141" si="17">(M141+N141+O141+P141)-L141</f>
        <v>0</v>
      </c>
    </row>
    <row r="142" spans="2:17" ht="40.5" customHeight="1" x14ac:dyDescent="0.2">
      <c r="C142" s="36"/>
      <c r="D142" s="37">
        <f>SUM(D114:D141,D90:D99,D79:D87,D69:D76,D7:D66,D102:D111)</f>
        <v>71</v>
      </c>
      <c r="E142" s="37">
        <f t="shared" ref="E142:K142" si="18">SUM(E114:E141,E90:E99,E79:E87,E69:E76,E7:E66,E102:E111)</f>
        <v>115</v>
      </c>
      <c r="F142" s="37">
        <f t="shared" si="18"/>
        <v>190</v>
      </c>
      <c r="G142" s="37">
        <f t="shared" si="18"/>
        <v>236</v>
      </c>
      <c r="H142" s="37">
        <f t="shared" si="18"/>
        <v>0</v>
      </c>
      <c r="I142" s="37">
        <f t="shared" si="18"/>
        <v>0</v>
      </c>
      <c r="J142" s="37">
        <f t="shared" si="18"/>
        <v>0</v>
      </c>
      <c r="K142" s="37">
        <f t="shared" si="18"/>
        <v>193</v>
      </c>
      <c r="L142" s="37">
        <f>SUM(L114:L140,L90:L99,L79:L87,L69:L76,L7:L66,L102:L111)</f>
        <v>775</v>
      </c>
      <c r="M142" s="31">
        <f>SUM(M114:M136,M90:M98,M79:M87,M69:M76,M7:M66)</f>
        <v>1003</v>
      </c>
      <c r="N142" s="31">
        <f>SUM(N114:N136,N90:N98,N79:N87,N69:N76,N7:N66)</f>
        <v>829</v>
      </c>
      <c r="O142" s="31"/>
      <c r="P142" s="31"/>
      <c r="Q142" s="45">
        <f t="shared" ref="Q142" si="19">(M142+N142)-L142</f>
        <v>1057</v>
      </c>
    </row>
    <row r="143" spans="2:17" x14ac:dyDescent="0.2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 x14ac:dyDescent="0.2">
      <c r="B144" s="38"/>
      <c r="C144" s="36"/>
      <c r="D144" s="39"/>
      <c r="E144" s="39"/>
      <c r="F144" s="39"/>
      <c r="G144" s="39"/>
      <c r="H144" s="39"/>
      <c r="I144" s="39"/>
      <c r="J144" s="39"/>
      <c r="K144" s="39"/>
      <c r="L144" s="40"/>
    </row>
    <row r="145" spans="2:12" x14ac:dyDescent="0.2">
      <c r="C145" s="25"/>
      <c r="D145" s="32"/>
      <c r="E145" s="61"/>
      <c r="F145" s="61"/>
      <c r="G145" s="27"/>
      <c r="L145" s="41"/>
    </row>
    <row r="146" spans="2:12" x14ac:dyDescent="0.2">
      <c r="B146" s="61" t="s">
        <v>104</v>
      </c>
      <c r="C146" s="61"/>
      <c r="D146" s="33"/>
      <c r="E146" s="57"/>
      <c r="F146" s="57"/>
      <c r="G146" s="28"/>
      <c r="H146" s="27"/>
      <c r="I146" s="61" t="s">
        <v>104</v>
      </c>
      <c r="J146" s="61"/>
      <c r="K146" s="61"/>
      <c r="L146" s="61"/>
    </row>
    <row r="147" spans="2:12" x14ac:dyDescent="0.2">
      <c r="B147" s="57" t="s">
        <v>105</v>
      </c>
      <c r="C147" s="57"/>
      <c r="D147" s="34"/>
      <c r="E147" s="34"/>
      <c r="F147" s="34"/>
      <c r="G147" s="34"/>
      <c r="H147" s="34"/>
      <c r="I147" s="57" t="s">
        <v>106</v>
      </c>
      <c r="J147" s="57"/>
      <c r="K147" s="57"/>
      <c r="L147" s="57"/>
    </row>
    <row r="148" spans="2:12" x14ac:dyDescent="0.2">
      <c r="B148" s="32"/>
      <c r="C148" s="32"/>
      <c r="D148" s="34"/>
      <c r="E148" s="34"/>
      <c r="F148" s="34"/>
      <c r="G148" s="34"/>
      <c r="H148" s="34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19.5" x14ac:dyDescent="0.2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 ht="19.5" x14ac:dyDescent="0.2"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5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  <row r="163" spans="4:8" x14ac:dyDescent="0.2">
      <c r="D163" s="32"/>
      <c r="E163" s="32"/>
      <c r="F163" s="32"/>
      <c r="G163" s="32"/>
      <c r="H163" s="32"/>
    </row>
    <row r="164" spans="4:8" x14ac:dyDescent="0.2">
      <c r="D164" s="32"/>
      <c r="E164" s="32"/>
      <c r="F164" s="32"/>
      <c r="G164" s="32"/>
      <c r="H164" s="32"/>
    </row>
  </sheetData>
  <mergeCells count="20">
    <mergeCell ref="B147:C147"/>
    <mergeCell ref="I147:L147"/>
    <mergeCell ref="B101:Q101"/>
    <mergeCell ref="B113:Q113"/>
    <mergeCell ref="E145:F145"/>
    <mergeCell ref="B146:C146"/>
    <mergeCell ref="E146:F146"/>
    <mergeCell ref="I146:L146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2024-10-30T00:45:46Z</cp:lastPrinted>
  <dcterms:created xsi:type="dcterms:W3CDTF">2024-04-30T05:21:27Z</dcterms:created>
  <dcterms:modified xsi:type="dcterms:W3CDTF">2025-02-17T00:48:54Z</dcterms:modified>
</cp:coreProperties>
</file>