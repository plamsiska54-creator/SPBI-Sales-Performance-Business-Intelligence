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146A3F62-3086-4A95-9C12-25136943AA5B}" xr6:coauthVersionLast="47" xr6:coauthVersionMax="47" xr10:uidLastSave="{00000000-0000-0000-0000-000000000000}"/>
  <bookViews>
    <workbookView xWindow="450" yWindow="0" windowWidth="22815" windowHeight="1396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9" i="4" l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32" i="3"/>
  <c r="L133" i="3"/>
  <c r="L134" i="3"/>
  <c r="L135" i="3"/>
  <c r="L136" i="3"/>
  <c r="L137" i="3"/>
  <c r="L138" i="3"/>
  <c r="L139" i="3"/>
  <c r="L138" i="5"/>
  <c r="Q138" i="5" s="1"/>
  <c r="D137" i="5"/>
  <c r="E137" i="5"/>
  <c r="F137" i="5"/>
  <c r="G137" i="5"/>
  <c r="L137" i="5" s="1"/>
  <c r="Q137" i="5" s="1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E87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1" i="5"/>
  <c r="Q77" i="5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6" i="5" l="1"/>
  <c r="Q136" i="5" s="1"/>
  <c r="L112" i="3"/>
  <c r="L112" i="6"/>
  <c r="L135" i="5"/>
  <c r="Q135" i="5" s="1"/>
  <c r="K141" i="5"/>
  <c r="L139" i="5"/>
  <c r="Q139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11" i="5"/>
  <c r="E111" i="5"/>
  <c r="F111" i="5"/>
  <c r="G111" i="5"/>
  <c r="H111" i="5"/>
  <c r="I111" i="5"/>
  <c r="J111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<sst xmlns="http://schemas.openxmlformats.org/spreadsheetml/2006/main" count="617" uniqueCount="146">
  <si>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</si>
  <si>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</si>
  <si>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</si>
  <si>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</si>
  <si>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</si>
  <si>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</si>
  <si>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</si>
  <si>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</si>
  <si>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</si>
  <si>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</si>
  <si>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</si>
  <si>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</si>
  <si>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</si>
  <si>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</si>
  <si>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</si>
  <si>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</si>
  <si>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</si>
  <si>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</si>
  <si>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</si>
  <si>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</si>
  <si>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</si>
  <si>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</si>
  <si>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</si>
  <si>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</si>
  <si>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</si>
  <si>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</si>
  <si>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</si>
  <si>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</si>
  <si>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</si>
  <si>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</si>
  <si>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</si>
  <si>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</si>
  <si>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</si>
  <si>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</si>
  <si>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</si>
  <si>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</si>
  <si>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</si>
  <si>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</si>
  <si>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</si>
  <si>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</si>
  <si>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</si>
  <si>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</si>
  <si>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</si>
  <si>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</si>
  <si>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</si>
  <si>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</si>
  <si>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</si>
  <si>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</si>
  <si>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</si>
  <si>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</si>
  <si>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</si>
  <si>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</si>
  <si>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</si>
  <si>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</si>
  <si>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</si>
  <si>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</si>
  <si>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</si>
  <si>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</si>
  <si>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</si>
  <si>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</si>
  <si>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</si>
  <si>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</si>
  <si>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</si>
  <si>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</si>
  <si>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</si>
  <si>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</si>
  <si>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</si>
  <si>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</si>
  <si>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</si>
  <si>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</si>
  <si>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</si>
  <si>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</si>
  <si>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</si>
  <si>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</si>
  <si>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</si>
  <si>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</si>
  <si>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</si>
  <si>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</si>
  <si>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</si>
  <si>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</si>
  <si>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</si>
  <si>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</si>
  <si>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</si>
  <si>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</si>
  <si>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</si>
  <si>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</si>
  <si>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</si>
  <si>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</si>
  <si>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</si>
  <si>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</si>
  <si>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</si>
  <si>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</si>
  <si>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</si>
  <si>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</si>
  <si>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</si>
  <si>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</si>
  <si>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</si>
  <si>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</si>
  <si>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</si>
  <si>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</si>
  <si>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</si>
  <si>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</si>
  <si>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</si>
  <si>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</si>
  <si>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</si>
  <si>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</si>
  <si>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</si>
  <si>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</si>
  <si>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</si>
  <si>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</si>
  <si>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</si>
  <si>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</si>
  <si>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</si>
  <si>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</si>
  <si>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</si>
  <si>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</si>
  <si>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</si>
  <si>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</si>
  <si>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</si>
  <si>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</si>
  <si>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</si>
  <si>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</si>
  <si>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</si>
  <si>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</si>
  <si>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</si>
  <si>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</si>
  <si>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</si>
  <si>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</si>
  <si>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</si>
  <si>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</si>
  <si>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</si>
  <si>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</si>
  <si>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</si>
  <si>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</si>
  <si>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</si>
  <si>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</si>
  <si>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</si>
  <si>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</si>
  <si>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</si>
  <si>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</si>
  <si>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</si>
  <si>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</si>
  <si>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</si>
  <si>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 xml:space="preserve">ยอดจริง ออนไลน์ วันที่ </t>
  </si>
  <si>
    <t>แซนวิชโบราณ</t>
  </si>
  <si>
    <t>ยอดจริง ออนไลน์ วันที่ 6/2/68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</si>
</sst>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15" zoomScale="60" zoomScaleNormal="60" workbookViewId="0">
      <selection activeCell="L132" sqref="L132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9" zoomScale="60" zoomScaleNormal="60" workbookViewId="0">
      <selection activeCell="K99" sqref="K99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11</v>
      </c>
      <c r="E7" s="31">
        <v>54</v>
      </c>
      <c r="F7" s="31">
        <v>1</v>
      </c>
      <c r="G7" s="31">
        <v>29</v>
      </c>
      <c r="H7" s="31"/>
      <c r="I7" s="31"/>
      <c r="J7" s="44"/>
      <c r="K7" s="44">
        <v>10</v>
      </c>
      <c r="L7" s="37">
        <f>SUM(D7:K7)</f>
        <v>105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6</v>
      </c>
      <c r="E25" s="31">
        <v>3</v>
      </c>
      <c r="F25" s="31">
        <v>4</v>
      </c>
      <c r="G25" s="31">
        <v>2</v>
      </c>
      <c r="H25" s="31"/>
      <c r="I25" s="31"/>
      <c r="J25" s="44"/>
      <c r="K25" s="44"/>
      <c r="L25" s="37">
        <f t="shared" si="0"/>
        <v>15</v>
      </c>
    </row>
    <row r="26" spans="2:12">
      <c r="B26" s="11">
        <v>1004055</v>
      </c>
      <c r="C26" s="15" t="s">
        <v>108</v>
      </c>
      <c r="D26" s="31">
        <v>30</v>
      </c>
      <c r="E26" s="31">
        <v>5</v>
      </c>
      <c r="F26" s="31"/>
      <c r="G26" s="31"/>
      <c r="H26" s="31"/>
      <c r="I26" s="31"/>
      <c r="J26" s="44"/>
      <c r="K26" s="44"/>
      <c r="L26" s="37">
        <f t="shared" si="0"/>
        <v>35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19</v>
      </c>
      <c r="E69" s="31">
        <v>3</v>
      </c>
      <c r="F69" s="31">
        <v>2</v>
      </c>
      <c r="G69" s="31">
        <v>2</v>
      </c>
      <c r="H69" s="31"/>
      <c r="I69" s="31"/>
      <c r="J69" s="44"/>
      <c r="K69" s="44">
        <v>10</v>
      </c>
      <c r="L69" s="37">
        <f t="shared" ref="L69:L76" si="1">SUM(D69:K69)</f>
        <v>36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>
        <v>8</v>
      </c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8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>
        <v>8</v>
      </c>
      <c r="E83" s="31"/>
      <c r="F83" s="31"/>
      <c r="G83" s="31"/>
      <c r="H83" s="31"/>
      <c r="I83" s="31"/>
      <c r="J83" s="44"/>
      <c r="K83" s="44"/>
      <c r="L83" s="37">
        <f t="shared" si="2"/>
        <v>8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>
        <v>8</v>
      </c>
      <c r="E85" s="31"/>
      <c r="F85" s="31"/>
      <c r="G85" s="31"/>
      <c r="H85" s="31"/>
      <c r="I85" s="31"/>
      <c r="J85" s="44"/>
      <c r="K85" s="44"/>
      <c r="L85" s="37">
        <f t="shared" si="2"/>
        <v>8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32</v>
      </c>
      <c r="E87" s="31"/>
      <c r="F87" s="31"/>
      <c r="G87" s="31"/>
      <c r="H87" s="31"/>
      <c r="I87" s="31"/>
      <c r="J87" s="44"/>
      <c r="K87" s="44"/>
      <c r="L87" s="37">
        <f t="shared" si="2"/>
        <v>32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2</v>
      </c>
      <c r="E90" s="31"/>
      <c r="F90" s="31"/>
      <c r="G90" s="31"/>
      <c r="H90" s="31"/>
      <c r="I90" s="31"/>
      <c r="J90" s="44"/>
      <c r="K90" s="44">
        <v>8</v>
      </c>
      <c r="L90" s="37">
        <f t="shared" ref="L90:L99" si="3">SUM(D90:K90)</f>
        <v>10</v>
      </c>
    </row>
    <row r="91" spans="2:12">
      <c r="B91" s="11">
        <v>1112011</v>
      </c>
      <c r="C91" s="20" t="s">
        <v>76</v>
      </c>
      <c r="D91" s="31">
        <v>7</v>
      </c>
      <c r="E91" s="31">
        <v>1</v>
      </c>
      <c r="F91" s="31"/>
      <c r="G91" s="31"/>
      <c r="H91" s="31"/>
      <c r="I91" s="31"/>
      <c r="J91" s="44"/>
      <c r="K91" s="44">
        <v>5</v>
      </c>
      <c r="L91" s="37">
        <f t="shared" si="3"/>
        <v>13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>
        <v>7</v>
      </c>
      <c r="E93" s="31"/>
      <c r="F93" s="31"/>
      <c r="G93" s="31"/>
      <c r="H93" s="31"/>
      <c r="I93" s="31"/>
      <c r="J93" s="44"/>
      <c r="K93" s="44"/>
      <c r="L93" s="37">
        <f t="shared" si="3"/>
        <v>7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12</v>
      </c>
      <c r="E97" s="31"/>
      <c r="F97" s="31"/>
      <c r="G97" s="31"/>
      <c r="H97" s="31"/>
      <c r="I97" s="31"/>
      <c r="J97" s="44"/>
      <c r="K97" s="44"/>
      <c r="L97" s="37">
        <f t="shared" si="3"/>
        <v>12</v>
      </c>
    </row>
    <row r="98" spans="2:12">
      <c r="B98" s="11">
        <v>1112013</v>
      </c>
      <c r="C98" s="20" t="s">
        <v>83</v>
      </c>
      <c r="D98" s="31">
        <v>14</v>
      </c>
      <c r="E98" s="31"/>
      <c r="F98" s="31"/>
      <c r="G98" s="31"/>
      <c r="H98" s="31"/>
      <c r="I98" s="31"/>
      <c r="J98" s="44"/>
      <c r="K98" s="44">
        <v>8</v>
      </c>
      <c r="L98" s="37">
        <f t="shared" si="3"/>
        <v>22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2</v>
      </c>
      <c r="E102" s="31">
        <v>4</v>
      </c>
      <c r="F102" s="31"/>
      <c r="G102" s="31"/>
      <c r="H102" s="31"/>
      <c r="I102" s="31"/>
      <c r="J102" s="44"/>
      <c r="K102" s="44"/>
      <c r="L102" s="37">
        <f t="shared" ref="L102:L111" si="5">SUM(D102:K102)</f>
        <v>6</v>
      </c>
    </row>
    <row r="103" spans="2:12">
      <c r="B103" s="11">
        <v>1112010</v>
      </c>
      <c r="C103" s="20" t="s">
        <v>76</v>
      </c>
      <c r="D103" s="31">
        <v>1</v>
      </c>
      <c r="E103" s="31"/>
      <c r="F103" s="31"/>
      <c r="G103" s="31"/>
      <c r="H103" s="31"/>
      <c r="I103" s="31"/>
      <c r="J103" s="44"/>
      <c r="K103" s="44"/>
      <c r="L103" s="37">
        <f t="shared" si="5"/>
        <v>1</v>
      </c>
    </row>
    <row r="104" spans="2:12">
      <c r="B104" s="11">
        <v>1112002</v>
      </c>
      <c r="C104" s="20" t="s">
        <v>77</v>
      </c>
      <c r="D104" s="31">
        <v>2</v>
      </c>
      <c r="E104" s="31"/>
      <c r="F104" s="31"/>
      <c r="G104" s="31"/>
      <c r="H104" s="31"/>
      <c r="I104" s="31"/>
      <c r="J104" s="44"/>
      <c r="K104" s="44"/>
      <c r="L104" s="37">
        <f t="shared" si="5"/>
        <v>2</v>
      </c>
    </row>
    <row r="105" spans="2:12">
      <c r="B105" s="11">
        <v>1112004</v>
      </c>
      <c r="C105" s="20" t="s">
        <v>78</v>
      </c>
      <c r="D105" s="31">
        <v>1</v>
      </c>
      <c r="E105" s="31"/>
      <c r="F105" s="31"/>
      <c r="G105" s="31"/>
      <c r="H105" s="31"/>
      <c r="I105" s="31"/>
      <c r="J105" s="44"/>
      <c r="K105" s="44"/>
      <c r="L105" s="37">
        <f t="shared" si="5"/>
        <v>1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>
        <v>1</v>
      </c>
      <c r="E108" s="31"/>
      <c r="F108" s="31"/>
      <c r="G108" s="31"/>
      <c r="H108" s="31"/>
      <c r="I108" s="31"/>
      <c r="J108" s="44"/>
      <c r="K108" s="44"/>
      <c r="L108" s="37">
        <f t="shared" si="5"/>
        <v>1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>
        <v>1</v>
      </c>
      <c r="E110" s="31"/>
      <c r="F110" s="31"/>
      <c r="G110" s="31"/>
      <c r="H110" s="31"/>
      <c r="I110" s="31"/>
      <c r="J110" s="44"/>
      <c r="K110" s="44"/>
      <c r="L110" s="37">
        <f t="shared" si="5"/>
        <v>1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11</v>
      </c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11</v>
      </c>
    </row>
    <row r="115" spans="2:12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>
        <v>7</v>
      </c>
      <c r="E116" s="31"/>
      <c r="F116" s="31"/>
      <c r="G116" s="31"/>
      <c r="H116" s="31"/>
      <c r="I116" s="31"/>
      <c r="J116" s="44"/>
      <c r="K116" s="44"/>
      <c r="L116" s="37">
        <f t="shared" si="6"/>
        <v>7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13</v>
      </c>
      <c r="F123" s="31">
        <v>1</v>
      </c>
      <c r="G123" s="31">
        <v>12</v>
      </c>
      <c r="H123" s="31"/>
      <c r="I123" s="31"/>
      <c r="J123" s="44"/>
      <c r="K123" s="44"/>
      <c r="L123" s="37">
        <f t="shared" si="6"/>
        <v>26</v>
      </c>
    </row>
    <row r="124" spans="2:12">
      <c r="B124" s="11">
        <v>1114502</v>
      </c>
      <c r="C124" s="22" t="s">
        <v>96</v>
      </c>
      <c r="D124" s="31"/>
      <c r="E124" s="31">
        <v>13</v>
      </c>
      <c r="F124" s="31">
        <v>1</v>
      </c>
      <c r="G124" s="31">
        <v>5</v>
      </c>
      <c r="H124" s="31"/>
      <c r="I124" s="31"/>
      <c r="J124" s="44"/>
      <c r="K124" s="44"/>
      <c r="L124" s="37">
        <f t="shared" si="6"/>
        <v>19</v>
      </c>
    </row>
    <row r="125" spans="2:12">
      <c r="B125" s="11">
        <v>1114503</v>
      </c>
      <c r="C125" s="22" t="s">
        <v>97</v>
      </c>
      <c r="D125" s="31"/>
      <c r="E125" s="31">
        <v>9</v>
      </c>
      <c r="F125" s="31">
        <v>1</v>
      </c>
      <c r="G125" s="31">
        <v>5</v>
      </c>
      <c r="H125" s="31"/>
      <c r="I125" s="31"/>
      <c r="J125" s="44"/>
      <c r="K125" s="44"/>
      <c r="L125" s="37">
        <f t="shared" si="6"/>
        <v>15</v>
      </c>
    </row>
    <row r="126" spans="2:12">
      <c r="B126" s="11">
        <v>1124021</v>
      </c>
      <c r="C126" s="22" t="s">
        <v>98</v>
      </c>
      <c r="D126" s="31"/>
      <c r="E126" s="31">
        <v>28</v>
      </c>
      <c r="F126" s="31">
        <v>26</v>
      </c>
      <c r="G126" s="31">
        <v>1</v>
      </c>
      <c r="H126" s="31"/>
      <c r="I126" s="31"/>
      <c r="J126" s="44"/>
      <c r="K126" s="44"/>
      <c r="L126" s="37">
        <f t="shared" si="6"/>
        <v>55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>
        <v>1</v>
      </c>
      <c r="E129" s="31"/>
      <c r="F129" s="31"/>
      <c r="G129" s="31"/>
      <c r="H129" s="31"/>
      <c r="I129" s="31"/>
      <c r="J129" s="44"/>
      <c r="K129" s="44"/>
      <c r="L129" s="37">
        <f t="shared" si="6"/>
        <v>1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>
        <v>1</v>
      </c>
      <c r="F136" s="31"/>
      <c r="G136" s="31"/>
      <c r="H136" s="31"/>
      <c r="I136" s="31"/>
      <c r="J136" s="44"/>
      <c r="K136" s="44"/>
      <c r="L136" s="37">
        <f t="shared" si="6"/>
        <v>1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>
        <v>4</v>
      </c>
      <c r="H137" s="31"/>
      <c r="I137" s="31"/>
      <c r="J137" s="44"/>
      <c r="K137" s="44"/>
      <c r="L137" s="37">
        <f t="shared" si="6"/>
        <v>4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>
        <v>4</v>
      </c>
      <c r="E139" s="49"/>
      <c r="F139" s="49"/>
      <c r="G139" s="49"/>
      <c r="H139" s="49"/>
      <c r="I139" s="49"/>
      <c r="J139" s="49"/>
      <c r="K139" s="49"/>
      <c r="L139" s="37">
        <f t="shared" si="6"/>
        <v>4</v>
      </c>
    </row>
    <row r="140" spans="2:12">
      <c r="B140" s="51"/>
      <c r="C140" s="50" t="s">
        <v>139</v>
      </c>
      <c r="D140" s="52">
        <v>5</v>
      </c>
      <c r="E140" s="52"/>
      <c r="F140" s="52"/>
      <c r="G140" s="53"/>
      <c r="H140" s="9"/>
      <c r="I140" s="9"/>
      <c r="J140" s="9"/>
      <c r="K140" s="9"/>
      <c r="L140" s="37">
        <f t="shared" si="6"/>
        <v>5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12" zoomScale="60" zoomScaleNormal="60" workbookViewId="0">
      <selection activeCell="L128" sqref="L128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A1:Y163"/>
  <sheetViews>
    <sheetView tabSelected="1" zoomScale="70" zoomScaleNormal="70" workbookViewId="0">
      <selection activeCell="B2" sqref="B2:C3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style="46" hidden="1" customWidth="1"/>
    <col min="21" max="25" width="9.140625" style="46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11</v>
      </c>
      <c r="E7" s="31">
        <f>'เย็น '!E7+'เช้า '!E7+บ่าย!E7</f>
        <v>54</v>
      </c>
      <c r="F7" s="31">
        <f>'เย็น '!F7+'เช้า '!F7+บ่าย!F7</f>
        <v>1</v>
      </c>
      <c r="G7" s="31">
        <f>'เย็น '!G7+'เช้า '!G7+บ่าย!G7</f>
        <v>29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10</v>
      </c>
      <c r="L7" s="37">
        <f>SUM(D7:K7)</f>
        <v>105</v>
      </c>
      <c r="M7" s="11"/>
      <c r="N7" s="11"/>
      <c r="O7" s="11"/>
      <c r="P7" s="11"/>
      <c r="Q7" s="45">
        <f>(M7+N7+O7+P7)-L7</f>
        <v>-105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6</v>
      </c>
      <c r="E25" s="31">
        <f>'เย็น '!E25+'เช้า '!E25+บ่าย!E25</f>
        <v>3</v>
      </c>
      <c r="F25" s="31">
        <f>'เย็น '!F25+'เช้า '!F25+บ่าย!F25</f>
        <v>4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15</v>
      </c>
      <c r="M25" s="11"/>
      <c r="N25" s="11"/>
      <c r="O25" s="11"/>
      <c r="P25" s="11"/>
      <c r="Q25" s="45">
        <f t="shared" si="1"/>
        <v>-15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30</v>
      </c>
      <c r="E26" s="31">
        <f>'เย็น '!E26+'เช้า '!E26+บ่าย!E26</f>
        <v>5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35</v>
      </c>
      <c r="M26" s="11"/>
      <c r="N26" s="11"/>
      <c r="O26" s="11"/>
      <c r="P26" s="11"/>
      <c r="Q26" s="45">
        <f t="shared" si="1"/>
        <v>-35</v>
      </c>
    </row>
    <row r="27" spans="2:17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19</v>
      </c>
      <c r="E69" s="31">
        <f>'เย็น '!E69+'เช้า '!E69+บ่าย!E69</f>
        <v>3</v>
      </c>
      <c r="F69" s="31">
        <f>'เย็น '!F69+'เช้า '!F69+บ่าย!F69</f>
        <v>2</v>
      </c>
      <c r="G69" s="31">
        <f>'เย็น '!G69+'เช้า '!G69+บ่าย!G69</f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10</v>
      </c>
      <c r="L69" s="37">
        <f t="shared" ref="L69:L76" si="4">SUM(D69:K69)</f>
        <v>36</v>
      </c>
      <c r="M69" s="11"/>
      <c r="N69" s="11"/>
      <c r="O69" s="11"/>
      <c r="P69" s="11"/>
      <c r="Q69" s="45">
        <f t="shared" ref="Q69:Q76" si="5">(M69+N69+O69+P69)-L69</f>
        <v>-36</v>
      </c>
      <c r="T69" s="47"/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8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8</v>
      </c>
      <c r="M79" s="11"/>
      <c r="N79" s="11"/>
      <c r="O79" s="11"/>
      <c r="P79" s="11"/>
      <c r="Q79" s="45">
        <f t="shared" ref="Q79:Q87" si="8">(M79+N79+O79+P79)-L79</f>
        <v>-8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>
      <c r="B83" s="11">
        <v>1111017</v>
      </c>
      <c r="C83" s="20" t="s">
        <v>69</v>
      </c>
      <c r="D83" s="31">
        <f>'เย็น '!D83+'เช้า '!D83+บ่าย!D83</f>
        <v>8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8</v>
      </c>
      <c r="M83" s="11"/>
      <c r="N83" s="11"/>
      <c r="O83" s="11"/>
      <c r="P83" s="11"/>
      <c r="Q83" s="45">
        <f t="shared" si="8"/>
        <v>-8</v>
      </c>
    </row>
    <row r="84" spans="2:20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>
      <c r="B85" s="11">
        <v>1111019</v>
      </c>
      <c r="C85" s="20" t="s">
        <v>71</v>
      </c>
      <c r="D85" s="31">
        <f>'เย็น '!D85+'เช้า '!D85+บ่าย!D85</f>
        <v>8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8</v>
      </c>
      <c r="M85" s="11"/>
      <c r="N85" s="11"/>
      <c r="O85" s="11"/>
      <c r="P85" s="11"/>
      <c r="Q85" s="45">
        <f t="shared" si="8"/>
        <v>-8</v>
      </c>
    </row>
    <row r="86" spans="2:20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32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32</v>
      </c>
      <c r="M87" s="11"/>
      <c r="N87" s="11"/>
      <c r="O87" s="11"/>
      <c r="P87" s="11"/>
      <c r="Q87" s="45">
        <f t="shared" si="8"/>
        <v>-32</v>
      </c>
      <c r="T87" s="47"/>
    </row>
    <row r="88" spans="2:20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2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8</v>
      </c>
      <c r="L90" s="37">
        <f t="shared" ref="L90:L99" si="9">SUM(D90:K90)</f>
        <v>10</v>
      </c>
      <c r="M90" s="11"/>
      <c r="N90" s="11"/>
      <c r="O90" s="11"/>
      <c r="P90" s="11"/>
      <c r="Q90" s="45">
        <f t="shared" ref="Q90:Q99" si="10">(M90+N90+O90+P90)-L90</f>
        <v>-10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7</v>
      </c>
      <c r="E91" s="31">
        <f>'เย็น '!E91+'เช้า '!E91+บ่าย!E91</f>
        <v>1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5</v>
      </c>
      <c r="L91" s="37">
        <f t="shared" si="9"/>
        <v>13</v>
      </c>
      <c r="M91" s="11"/>
      <c r="N91" s="11"/>
      <c r="O91" s="11"/>
      <c r="P91" s="11"/>
      <c r="Q91" s="45">
        <f t="shared" si="10"/>
        <v>-13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0</v>
      </c>
      <c r="M92" s="11"/>
      <c r="N92" s="11"/>
      <c r="O92" s="11"/>
      <c r="P92" s="11"/>
      <c r="Q92" s="45">
        <f t="shared" si="10"/>
        <v>0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7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7</v>
      </c>
      <c r="M93" s="11"/>
      <c r="N93" s="11"/>
      <c r="O93" s="11"/>
      <c r="P93" s="11"/>
      <c r="Q93" s="45">
        <f t="shared" si="10"/>
        <v>-7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12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12</v>
      </c>
      <c r="M97" s="11"/>
      <c r="N97" s="11"/>
      <c r="O97" s="11"/>
      <c r="P97" s="11"/>
      <c r="Q97" s="45">
        <f t="shared" si="10"/>
        <v>-12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14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8</v>
      </c>
      <c r="L98" s="37">
        <f t="shared" si="9"/>
        <v>22</v>
      </c>
      <c r="M98" s="11"/>
      <c r="N98" s="11"/>
      <c r="O98" s="11"/>
      <c r="P98" s="11"/>
      <c r="Q98" s="45">
        <f t="shared" si="10"/>
        <v>-22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64</v>
      </c>
      <c r="M100" s="11"/>
      <c r="N100" s="11"/>
      <c r="O100" s="11"/>
      <c r="P100" s="11"/>
      <c r="Q100" s="45">
        <f>SUM(Q90:Q99)</f>
        <v>-64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2</v>
      </c>
      <c r="E102" s="31">
        <f>บ่าย!E102+'เช้า '!E102+'เย็น '!E102</f>
        <v>4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6</v>
      </c>
      <c r="M102" s="11"/>
      <c r="N102" s="11"/>
      <c r="O102" s="11"/>
      <c r="P102" s="11"/>
      <c r="Q102" s="45">
        <f t="shared" ref="Q102:Q111" si="12">(M102+N102+O102+P102)-L102</f>
        <v>-6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1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/>
      <c r="N103" s="11"/>
      <c r="O103" s="11"/>
      <c r="P103" s="11"/>
      <c r="Q103" s="45">
        <f t="shared" si="12"/>
        <v>-1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2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2</v>
      </c>
      <c r="M104" s="11"/>
      <c r="N104" s="11"/>
      <c r="O104" s="11"/>
      <c r="P104" s="11"/>
      <c r="Q104" s="45">
        <f t="shared" si="12"/>
        <v>-2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1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</v>
      </c>
      <c r="M105" s="11"/>
      <c r="N105" s="11"/>
      <c r="O105" s="11"/>
      <c r="P105" s="11"/>
      <c r="Q105" s="45">
        <f t="shared" si="12"/>
        <v>-1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</v>
      </c>
      <c r="M108" s="11"/>
      <c r="N108" s="11"/>
      <c r="O108" s="11"/>
      <c r="P108" s="11"/>
      <c r="Q108" s="45">
        <f t="shared" si="12"/>
        <v>-1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1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</v>
      </c>
      <c r="M110" s="11"/>
      <c r="N110" s="11"/>
      <c r="O110" s="11"/>
      <c r="P110" s="11"/>
      <c r="Q110" s="45">
        <f t="shared" si="12"/>
        <v>-1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1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1:17">
      <c r="A114">
        <v>60</v>
      </c>
      <c r="B114" s="11">
        <v>1113170</v>
      </c>
      <c r="C114" s="22" t="s">
        <v>87</v>
      </c>
      <c r="D114" s="31">
        <f>'เย็น '!D114+'เช้า '!D114+บ่าย!D114</f>
        <v>11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11</v>
      </c>
      <c r="M114" s="11"/>
      <c r="N114" s="11"/>
      <c r="O114" s="11"/>
      <c r="P114" s="11"/>
      <c r="Q114" s="45">
        <f t="shared" ref="Q114:Q140" si="16">(M114+N114+O114+P114)-L114</f>
        <v>-11</v>
      </c>
    </row>
    <row r="115" spans="1:17">
      <c r="A115">
        <v>5</v>
      </c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/>
      <c r="N115" s="11"/>
      <c r="O115" s="11"/>
      <c r="P115" s="11"/>
      <c r="Q115" s="45">
        <f t="shared" si="16"/>
        <v>-2</v>
      </c>
    </row>
    <row r="116" spans="1:17">
      <c r="B116" s="11">
        <v>1113172</v>
      </c>
      <c r="C116" s="22" t="s">
        <v>89</v>
      </c>
      <c r="D116" s="31">
        <f>'เย็น '!D116+'เช้า '!D116+บ่าย!D116</f>
        <v>7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7</v>
      </c>
      <c r="M116" s="11"/>
      <c r="N116" s="11"/>
      <c r="O116" s="11"/>
      <c r="P116" s="11"/>
      <c r="Q116" s="45">
        <f t="shared" si="16"/>
        <v>-7</v>
      </c>
    </row>
    <row r="117" spans="1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1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1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1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1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1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1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13</v>
      </c>
      <c r="F123" s="31">
        <f>'เย็น '!F123+'เช้า '!F123+บ่าย!F123</f>
        <v>1</v>
      </c>
      <c r="G123" s="31">
        <f>'เย็น '!G123+'เช้า '!G123+บ่าย!G123</f>
        <v>12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26</v>
      </c>
      <c r="M123" s="11"/>
      <c r="N123" s="11"/>
      <c r="O123" s="11"/>
      <c r="P123" s="11"/>
      <c r="Q123" s="45">
        <f t="shared" si="16"/>
        <v>-26</v>
      </c>
    </row>
    <row r="124" spans="1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13</v>
      </c>
      <c r="F124" s="31">
        <f>'เย็น '!F124+'เช้า '!F124+บ่าย!F124</f>
        <v>1</v>
      </c>
      <c r="G124" s="31">
        <f>'เย็น '!G124+'เช้า '!G124+บ่าย!G124</f>
        <v>5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19</v>
      </c>
      <c r="M124" s="11"/>
      <c r="N124" s="11"/>
      <c r="O124" s="11"/>
      <c r="P124" s="11"/>
      <c r="Q124" s="45">
        <f t="shared" si="16"/>
        <v>-19</v>
      </c>
    </row>
    <row r="125" spans="1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9</v>
      </c>
      <c r="F125" s="31">
        <f>'เย็น '!F125+'เช้า '!F125+บ่าย!F125</f>
        <v>1</v>
      </c>
      <c r="G125" s="31">
        <f>'เย็น '!G125+'เช้า '!G125+บ่าย!G125</f>
        <v>5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15</v>
      </c>
      <c r="M125" s="11"/>
      <c r="N125" s="11"/>
      <c r="O125" s="11"/>
      <c r="P125" s="11"/>
      <c r="Q125" s="45">
        <f t="shared" si="16"/>
        <v>-15</v>
      </c>
    </row>
    <row r="126" spans="1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28</v>
      </c>
      <c r="F126" s="31">
        <f>'เย็น '!F126+'เช้า '!F126+บ่าย!F126</f>
        <v>26</v>
      </c>
      <c r="G126" s="31">
        <f>'เย็น '!G126+'เช้า '!G126+บ่าย!G126</f>
        <v>1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55</v>
      </c>
      <c r="M126" s="11"/>
      <c r="N126" s="11"/>
      <c r="O126" s="11"/>
      <c r="P126" s="11"/>
      <c r="Q126" s="45">
        <f t="shared" si="16"/>
        <v>-55</v>
      </c>
    </row>
    <row r="127" spans="1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1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1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1</v>
      </c>
      <c r="M129" s="11"/>
      <c r="N129" s="11"/>
      <c r="O129" s="11"/>
      <c r="P129" s="11"/>
      <c r="Q129" s="45">
        <f t="shared" si="16"/>
        <v>-1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1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1</v>
      </c>
      <c r="M136" s="11"/>
      <c r="N136" s="11"/>
      <c r="O136" s="11"/>
      <c r="P136" s="11"/>
      <c r="Q136" s="45">
        <f t="shared" si="16"/>
        <v>-1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4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4</v>
      </c>
      <c r="M137" s="11"/>
      <c r="N137" s="11"/>
      <c r="O137" s="11"/>
      <c r="P137" s="11"/>
      <c r="Q137" s="45">
        <f t="shared" si="16"/>
        <v>-4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'เย็น '!D139+'เช้า '!D139+บ่าย!D139</f>
        <v>4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4</v>
      </c>
      <c r="M139" s="11"/>
      <c r="N139" s="11"/>
      <c r="O139" s="11"/>
      <c r="P139" s="11"/>
      <c r="Q139" s="45">
        <f t="shared" si="16"/>
        <v>-4</v>
      </c>
    </row>
    <row r="140" spans="2:17">
      <c r="B140" s="51"/>
      <c r="C140" s="50" t="s">
        <v>139</v>
      </c>
      <c r="D140" s="31">
        <f>'เย็น '!D140+'เช้า '!D140+บ่าย!D140</f>
        <v>5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5</v>
      </c>
      <c r="M140" s="11"/>
      <c r="N140" s="11"/>
      <c r="O140" s="11"/>
      <c r="P140" s="11"/>
      <c r="Q140" s="45">
        <f t="shared" si="16"/>
        <v>-5</v>
      </c>
    </row>
    <row r="141" spans="2:17" ht="40.5" customHeight="1">
      <c r="C141" s="36"/>
      <c r="D141" s="37">
        <f>SUM(D114:D140,D90:D99,D79:D87,D69:D76,D7:D66,D102:D111)</f>
        <v>202</v>
      </c>
      <c r="E141" s="37">
        <f t="shared" ref="E141:K141" si="17">SUM(E114:E140,E90:E99,E79:E87,E69:E76,E7:E66,E102:E111)</f>
        <v>134</v>
      </c>
      <c r="F141" s="37">
        <f t="shared" si="17"/>
        <v>36</v>
      </c>
      <c r="G141" s="37">
        <f t="shared" si="17"/>
        <v>60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41</v>
      </c>
      <c r="L141" s="37">
        <f>SUM(L114:L140,L90:L99,L79:L87,L69:L76,L7:L66,L102:L111)</f>
        <v>473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-473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2025-02-05T00:48:14Z</cp:lastPrinted>
  <dcterms:created xsi:type="dcterms:W3CDTF">2024-04-30T05:21:27Z</dcterms:created>
  <dcterms:modified xsi:type="dcterms:W3CDTF">2025-02-06T00:47:06Z</dcterms:modified>
</cp:coreProperties>
</file>