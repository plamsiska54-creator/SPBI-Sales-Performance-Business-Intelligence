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A023FAE4-9A9C-4BED-AFE1-4F9E18868BCF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ย็น " sheetId="6" r:id="rId1"/>
    <sheet name="เช้า " sheetId="3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0" i="5" l="1"/>
  <c r="D7" i="5" l="1"/>
  <c r="E7" i="5"/>
  <c r="F7" i="5"/>
  <c r="G7" i="5"/>
  <c r="D8" i="5"/>
  <c r="E8" i="5"/>
  <c r="F8" i="5"/>
  <c r="G8" i="5"/>
  <c r="D9" i="5"/>
  <c r="E9" i="5"/>
  <c r="F9" i="5"/>
  <c r="G9" i="5"/>
  <c r="D10" i="5"/>
  <c r="E10" i="5"/>
  <c r="F10" i="5"/>
  <c r="G10" i="5"/>
  <c r="D11" i="5"/>
  <c r="E11" i="5"/>
  <c r="F11" i="5"/>
  <c r="G11" i="5"/>
  <c r="D12" i="5"/>
  <c r="E12" i="5"/>
  <c r="F12" i="5"/>
  <c r="G12" i="5"/>
  <c r="D13" i="5"/>
  <c r="E13" i="5"/>
  <c r="F13" i="5"/>
  <c r="G13" i="5"/>
  <c r="D14" i="5"/>
  <c r="E14" i="5"/>
  <c r="F14" i="5"/>
  <c r="G14" i="5"/>
  <c r="D15" i="5"/>
  <c r="E15" i="5"/>
  <c r="F15" i="5"/>
  <c r="G15" i="5"/>
  <c r="D16" i="5"/>
  <c r="E16" i="5"/>
  <c r="F16" i="5"/>
  <c r="G16" i="5"/>
  <c r="D17" i="5"/>
  <c r="E17" i="5"/>
  <c r="F17" i="5"/>
  <c r="G17" i="5"/>
  <c r="D18" i="5"/>
  <c r="E18" i="5"/>
  <c r="F18" i="5"/>
  <c r="G18" i="5"/>
  <c r="D19" i="5"/>
  <c r="E19" i="5"/>
  <c r="F19" i="5"/>
  <c r="G19" i="5"/>
  <c r="D20" i="5"/>
  <c r="E20" i="5"/>
  <c r="F20" i="5"/>
  <c r="G20" i="5"/>
  <c r="D21" i="5"/>
  <c r="E21" i="5"/>
  <c r="F21" i="5"/>
  <c r="G21" i="5"/>
  <c r="D22" i="5"/>
  <c r="E22" i="5"/>
  <c r="F22" i="5"/>
  <c r="G22" i="5"/>
  <c r="D23" i="5"/>
  <c r="E23" i="5"/>
  <c r="F23" i="5"/>
  <c r="G23" i="5"/>
  <c r="D24" i="5"/>
  <c r="E24" i="5"/>
  <c r="F24" i="5"/>
  <c r="G24" i="5"/>
  <c r="D25" i="5"/>
  <c r="E25" i="5"/>
  <c r="F25" i="5"/>
  <c r="G25" i="5"/>
  <c r="D26" i="5"/>
  <c r="E26" i="5"/>
  <c r="F26" i="5"/>
  <c r="D69" i="5"/>
  <c r="E69" i="5"/>
  <c r="F69" i="5"/>
  <c r="D90" i="5"/>
  <c r="E90" i="5"/>
  <c r="F90" i="5"/>
  <c r="G90" i="5"/>
  <c r="D91" i="5"/>
  <c r="E91" i="5"/>
  <c r="F91" i="5"/>
  <c r="G91" i="5"/>
  <c r="D92" i="5"/>
  <c r="E92" i="5"/>
  <c r="F92" i="5"/>
  <c r="G92" i="5"/>
  <c r="D93" i="5"/>
  <c r="E93" i="5"/>
  <c r="F93" i="5"/>
  <c r="G93" i="5"/>
  <c r="D94" i="5"/>
  <c r="E94" i="5"/>
  <c r="F94" i="5"/>
  <c r="G94" i="5"/>
  <c r="D95" i="5"/>
  <c r="E95" i="5"/>
  <c r="F95" i="5"/>
  <c r="G95" i="5"/>
  <c r="D96" i="5"/>
  <c r="E96" i="5"/>
  <c r="F96" i="5"/>
  <c r="G96" i="5"/>
  <c r="D97" i="5"/>
  <c r="E97" i="5"/>
  <c r="F97" i="5"/>
  <c r="D102" i="5"/>
  <c r="E102" i="5"/>
  <c r="F102" i="5"/>
  <c r="G102" i="5"/>
  <c r="D103" i="5"/>
  <c r="E103" i="5"/>
  <c r="F103" i="5"/>
  <c r="G103" i="5"/>
  <c r="D104" i="5"/>
  <c r="E104" i="5"/>
  <c r="F104" i="5"/>
  <c r="G104" i="5"/>
  <c r="D105" i="5"/>
  <c r="E105" i="5"/>
  <c r="F105" i="5"/>
  <c r="G105" i="5"/>
  <c r="D106" i="5"/>
  <c r="E106" i="5"/>
  <c r="F106" i="5"/>
  <c r="G106" i="5"/>
  <c r="D107" i="5"/>
  <c r="E107" i="5"/>
  <c r="F107" i="5"/>
  <c r="G107" i="5"/>
  <c r="D108" i="5"/>
  <c r="E108" i="5"/>
  <c r="F108" i="5"/>
  <c r="G108" i="5"/>
  <c r="D109" i="5"/>
  <c r="E109" i="5"/>
  <c r="F109" i="5"/>
  <c r="G109" i="5"/>
  <c r="D110" i="5"/>
  <c r="E110" i="5"/>
  <c r="F110" i="5"/>
  <c r="D114" i="5"/>
  <c r="E114" i="5"/>
  <c r="F114" i="5"/>
  <c r="G114" i="5"/>
  <c r="D115" i="5"/>
  <c r="E115" i="5"/>
  <c r="F115" i="5"/>
  <c r="G115" i="5"/>
  <c r="D116" i="5"/>
  <c r="E116" i="5"/>
  <c r="F116" i="5"/>
  <c r="G116" i="5"/>
  <c r="D117" i="5"/>
  <c r="E117" i="5"/>
  <c r="F117" i="5"/>
  <c r="G117" i="5"/>
  <c r="D118" i="5"/>
  <c r="E118" i="5"/>
  <c r="F118" i="5"/>
  <c r="G118" i="5"/>
  <c r="D119" i="5"/>
  <c r="E119" i="5"/>
  <c r="F119" i="5"/>
  <c r="G119" i="5"/>
  <c r="D120" i="5"/>
  <c r="E120" i="5"/>
  <c r="F120" i="5"/>
  <c r="G120" i="5"/>
  <c r="D121" i="5"/>
  <c r="E121" i="5"/>
  <c r="F121" i="5"/>
  <c r="G121" i="5"/>
  <c r="D122" i="5"/>
  <c r="E122" i="5"/>
  <c r="F122" i="5"/>
  <c r="G122" i="5"/>
  <c r="D123" i="5"/>
  <c r="E123" i="5"/>
  <c r="F123" i="5"/>
  <c r="G123" i="5"/>
  <c r="D124" i="5"/>
  <c r="E124" i="5"/>
  <c r="F124" i="5"/>
  <c r="G124" i="5"/>
  <c r="D125" i="5"/>
  <c r="E125" i="5"/>
  <c r="F125" i="5"/>
  <c r="G125" i="5"/>
  <c r="D126" i="5"/>
  <c r="E126" i="5"/>
  <c r="F126" i="5"/>
  <c r="G126" i="5"/>
  <c r="D127" i="5"/>
  <c r="E127" i="5"/>
  <c r="F127" i="5"/>
  <c r="G127" i="5"/>
  <c r="D128" i="5"/>
  <c r="E128" i="5"/>
  <c r="F128" i="5"/>
  <c r="G128" i="5"/>
  <c r="D129" i="5"/>
  <c r="E129" i="5"/>
  <c r="F129" i="5"/>
  <c r="G129" i="5"/>
  <c r="D130" i="5"/>
  <c r="E130" i="5"/>
  <c r="F130" i="5"/>
  <c r="G130" i="5"/>
  <c r="D131" i="5"/>
  <c r="E131" i="5"/>
  <c r="F131" i="5"/>
  <c r="G131" i="5"/>
  <c r="D132" i="5"/>
  <c r="E132" i="5"/>
  <c r="F132" i="5"/>
  <c r="G132" i="5"/>
  <c r="D133" i="5"/>
  <c r="E133" i="5"/>
  <c r="F133" i="5"/>
  <c r="G133" i="5"/>
  <c r="D134" i="5"/>
  <c r="E134" i="5"/>
  <c r="F134" i="5"/>
  <c r="G134" i="5"/>
  <c r="D135" i="5"/>
  <c r="E135" i="5"/>
  <c r="F135" i="5"/>
  <c r="G135" i="5"/>
  <c r="D136" i="5"/>
  <c r="E136" i="5"/>
  <c r="F136" i="5"/>
  <c r="G136" i="5"/>
  <c r="D137" i="5"/>
  <c r="E137" i="5"/>
  <c r="F137" i="5"/>
  <c r="G137" i="5"/>
  <c r="D138" i="5"/>
  <c r="E138" i="5"/>
  <c r="F138" i="5"/>
  <c r="G138" i="5"/>
  <c r="D139" i="5"/>
  <c r="E139" i="5"/>
  <c r="F139" i="5"/>
  <c r="G139" i="5"/>
  <c r="H137" i="5"/>
  <c r="I137" i="5"/>
  <c r="J137" i="5"/>
  <c r="K137" i="5"/>
  <c r="H138" i="5"/>
  <c r="I138" i="5"/>
  <c r="J138" i="5"/>
  <c r="K138" i="5"/>
  <c r="H139" i="5"/>
  <c r="I139" i="5"/>
  <c r="J139" i="5"/>
  <c r="K139" i="5"/>
  <c r="L135" i="3"/>
  <c r="L136" i="3"/>
  <c r="L137" i="3"/>
  <c r="L138" i="3"/>
  <c r="L139" i="3"/>
  <c r="Q77" i="5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40" i="5"/>
  <c r="E140" i="5"/>
  <c r="F140" i="5"/>
  <c r="G140" i="5"/>
  <c r="H140" i="5"/>
  <c r="I140" i="5"/>
  <c r="J140" i="5"/>
  <c r="K140" i="5"/>
  <c r="H136" i="5"/>
  <c r="I136" i="5"/>
  <c r="J136" i="5"/>
  <c r="K136" i="5"/>
  <c r="H115" i="5"/>
  <c r="I115" i="5"/>
  <c r="J115" i="5"/>
  <c r="K115" i="5"/>
  <c r="H116" i="5"/>
  <c r="I116" i="5"/>
  <c r="J116" i="5"/>
  <c r="K116" i="5"/>
  <c r="H117" i="5"/>
  <c r="I117" i="5"/>
  <c r="J117" i="5"/>
  <c r="K117" i="5"/>
  <c r="H118" i="5"/>
  <c r="I118" i="5"/>
  <c r="J118" i="5"/>
  <c r="K118" i="5"/>
  <c r="H119" i="5"/>
  <c r="I119" i="5"/>
  <c r="J119" i="5"/>
  <c r="K119" i="5"/>
  <c r="H120" i="5"/>
  <c r="I120" i="5"/>
  <c r="J120" i="5"/>
  <c r="H121" i="5"/>
  <c r="I121" i="5"/>
  <c r="J121" i="5"/>
  <c r="K121" i="5"/>
  <c r="H122" i="5"/>
  <c r="I122" i="5"/>
  <c r="J122" i="5"/>
  <c r="K122" i="5"/>
  <c r="H123" i="5"/>
  <c r="I123" i="5"/>
  <c r="J123" i="5"/>
  <c r="K123" i="5"/>
  <c r="H124" i="5"/>
  <c r="I124" i="5"/>
  <c r="J124" i="5"/>
  <c r="K124" i="5"/>
  <c r="H125" i="5"/>
  <c r="I125" i="5"/>
  <c r="J125" i="5"/>
  <c r="K125" i="5"/>
  <c r="H126" i="5"/>
  <c r="I126" i="5"/>
  <c r="J126" i="5"/>
  <c r="K126" i="5"/>
  <c r="H127" i="5"/>
  <c r="I127" i="5"/>
  <c r="J127" i="5"/>
  <c r="K127" i="5"/>
  <c r="H128" i="5"/>
  <c r="I128" i="5"/>
  <c r="J128" i="5"/>
  <c r="K128" i="5"/>
  <c r="H129" i="5"/>
  <c r="I129" i="5"/>
  <c r="J129" i="5"/>
  <c r="K129" i="5"/>
  <c r="H130" i="5"/>
  <c r="I130" i="5"/>
  <c r="J130" i="5"/>
  <c r="K130" i="5"/>
  <c r="H131" i="5"/>
  <c r="I131" i="5"/>
  <c r="J131" i="5"/>
  <c r="K131" i="5"/>
  <c r="H132" i="5"/>
  <c r="I132" i="5"/>
  <c r="J132" i="5"/>
  <c r="K132" i="5"/>
  <c r="H133" i="5"/>
  <c r="I133" i="5"/>
  <c r="J133" i="5"/>
  <c r="K133" i="5"/>
  <c r="H134" i="5"/>
  <c r="I134" i="5"/>
  <c r="J134" i="5"/>
  <c r="K134" i="5"/>
  <c r="H135" i="5"/>
  <c r="I135" i="5"/>
  <c r="J135" i="5"/>
  <c r="K135" i="5"/>
  <c r="H114" i="5"/>
  <c r="I114" i="5"/>
  <c r="J114" i="5"/>
  <c r="K114" i="5"/>
  <c r="H91" i="5"/>
  <c r="I91" i="5"/>
  <c r="J91" i="5"/>
  <c r="K91" i="5"/>
  <c r="H92" i="5"/>
  <c r="I92" i="5"/>
  <c r="J92" i="5"/>
  <c r="K92" i="5"/>
  <c r="H93" i="5"/>
  <c r="I93" i="5"/>
  <c r="J93" i="5"/>
  <c r="K93" i="5"/>
  <c r="H94" i="5"/>
  <c r="I94" i="5"/>
  <c r="J94" i="5"/>
  <c r="K94" i="5"/>
  <c r="H95" i="5"/>
  <c r="I95" i="5"/>
  <c r="J95" i="5"/>
  <c r="K95" i="5"/>
  <c r="H96" i="5"/>
  <c r="I96" i="5"/>
  <c r="J96" i="5"/>
  <c r="K96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H90" i="5"/>
  <c r="I90" i="5"/>
  <c r="J90" i="5"/>
  <c r="K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G69" i="5"/>
  <c r="H69" i="5"/>
  <c r="I69" i="5"/>
  <c r="J69" i="5"/>
  <c r="K69" i="5"/>
  <c r="H8" i="5"/>
  <c r="I8" i="5"/>
  <c r="J8" i="5"/>
  <c r="K8" i="5"/>
  <c r="H9" i="5"/>
  <c r="I9" i="5"/>
  <c r="J9" i="5"/>
  <c r="K9" i="5"/>
  <c r="H10" i="5"/>
  <c r="I10" i="5"/>
  <c r="J10" i="5"/>
  <c r="K10" i="5"/>
  <c r="H11" i="5"/>
  <c r="I11" i="5"/>
  <c r="J11" i="5"/>
  <c r="K11" i="5"/>
  <c r="H12" i="5"/>
  <c r="I12" i="5"/>
  <c r="J12" i="5"/>
  <c r="K12" i="5"/>
  <c r="H13" i="5"/>
  <c r="I13" i="5"/>
  <c r="J13" i="5"/>
  <c r="K13" i="5"/>
  <c r="H14" i="5"/>
  <c r="I14" i="5"/>
  <c r="J14" i="5"/>
  <c r="K14" i="5"/>
  <c r="H15" i="5"/>
  <c r="I15" i="5"/>
  <c r="J15" i="5"/>
  <c r="K15" i="5"/>
  <c r="H16" i="5"/>
  <c r="I16" i="5"/>
  <c r="J16" i="5"/>
  <c r="K16" i="5"/>
  <c r="H17" i="5"/>
  <c r="I17" i="5"/>
  <c r="J17" i="5"/>
  <c r="K17" i="5"/>
  <c r="H18" i="5"/>
  <c r="I18" i="5"/>
  <c r="J18" i="5"/>
  <c r="K18" i="5"/>
  <c r="H19" i="5"/>
  <c r="I19" i="5"/>
  <c r="J19" i="5"/>
  <c r="K19" i="5"/>
  <c r="H20" i="5"/>
  <c r="I20" i="5"/>
  <c r="J20" i="5"/>
  <c r="K20" i="5"/>
  <c r="H21" i="5"/>
  <c r="I21" i="5"/>
  <c r="J21" i="5"/>
  <c r="K21" i="5"/>
  <c r="H22" i="5"/>
  <c r="I22" i="5"/>
  <c r="J22" i="5"/>
  <c r="K22" i="5"/>
  <c r="H23" i="5"/>
  <c r="I23" i="5"/>
  <c r="J23" i="5"/>
  <c r="K23" i="5"/>
  <c r="H24" i="5"/>
  <c r="I24" i="5"/>
  <c r="J24" i="5"/>
  <c r="K24" i="5"/>
  <c r="H25" i="5"/>
  <c r="I25" i="5"/>
  <c r="J25" i="5"/>
  <c r="K25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H7" i="5"/>
  <c r="I7" i="5"/>
  <c r="J7" i="5"/>
  <c r="K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8" i="5" l="1"/>
  <c r="Q138" i="5" s="1"/>
  <c r="L137" i="5"/>
  <c r="Q137" i="5" s="1"/>
  <c r="L139" i="5"/>
  <c r="Q139" i="5" s="1"/>
  <c r="L112" i="6"/>
  <c r="L135" i="5"/>
  <c r="Q135" i="5" s="1"/>
  <c r="L112" i="3"/>
  <c r="K141" i="5"/>
  <c r="L136" i="5"/>
  <c r="Q136" i="5" s="1"/>
  <c r="L140" i="5"/>
  <c r="Q140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H103" i="5"/>
  <c r="I103" i="5"/>
  <c r="J103" i="5"/>
  <c r="H104" i="5"/>
  <c r="I104" i="5"/>
  <c r="J104" i="5"/>
  <c r="H105" i="5"/>
  <c r="I105" i="5"/>
  <c r="J105" i="5"/>
  <c r="H106" i="5"/>
  <c r="I106" i="5"/>
  <c r="J106" i="5"/>
  <c r="H107" i="5"/>
  <c r="I107" i="5"/>
  <c r="J107" i="5"/>
  <c r="H108" i="5"/>
  <c r="I108" i="5"/>
  <c r="J108" i="5"/>
  <c r="H109" i="5"/>
  <c r="I109" i="5"/>
  <c r="J109" i="5"/>
  <c r="G110" i="5"/>
  <c r="H110" i="5"/>
  <c r="I110" i="5"/>
  <c r="J110" i="5"/>
  <c r="D111" i="5"/>
  <c r="E111" i="5"/>
  <c r="F111" i="5"/>
  <c r="G111" i="5"/>
  <c r="H111" i="5"/>
  <c r="I111" i="5"/>
  <c r="J111" i="5"/>
  <c r="H102" i="5"/>
  <c r="I102" i="5"/>
  <c r="J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T98" i="5" l="1"/>
  <c r="J141" i="5"/>
  <c r="E141" i="5"/>
  <c r="F141" i="5"/>
  <c r="I141" i="5"/>
  <c r="H141" i="5"/>
  <c r="D141" i="5"/>
  <c r="G141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Q100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T110" i="5" l="1"/>
  <c r="Q112" i="5"/>
  <c r="L141" i="5"/>
  <c r="L112" i="5"/>
  <c r="L88" i="5"/>
  <c r="Q88" i="5" s="1"/>
  <c r="L67" i="5"/>
  <c r="Q67" i="5" s="1"/>
  <c r="M141" i="5" l="1"/>
  <c r="N141" i="5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<sst xmlns="http://schemas.openxmlformats.org/spreadsheetml/2006/main" count="615" uniqueCount="146">
  <si>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</si>
  <si>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</si>
  <si>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</si>
  <si>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</si>
  <si>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</si>
  <si>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</si>
  <si>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</si>
  <si>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</si>
  <si>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</si>
  <si>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</si>
  <si>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</si>
  <si>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</si>
  <si>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</si>
  <si>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</si>
  <si>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</si>
  <si>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</si>
  <si>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</si>
  <si>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</si>
  <si>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</si>
  <si>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</si>
  <si>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</si>
  <si>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</si>
  <si>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</si>
  <si>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</si>
  <si>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</si>
  <si>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</si>
  <si>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</si>
  <si>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</si>
  <si>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</si>
  <si>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</si>
  <si>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</si>
  <si>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</si>
  <si>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</si>
  <si>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</si>
  <si>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</si>
  <si>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</si>
  <si>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</si>
  <si>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</si>
  <si>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</si>
  <si>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</si>
  <si>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</si>
  <si>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</si>
  <si>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</si>
  <si>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</si>
  <si>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</si>
  <si>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</si>
  <si>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</si>
  <si>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</si>
  <si>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</si>
  <si>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</si>
  <si>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</si>
  <si>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</si>
  <si>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</si>
  <si>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</si>
  <si>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</si>
  <si>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</si>
  <si>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</si>
  <si>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</si>
  <si>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</si>
  <si>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</si>
  <si>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</si>
  <si>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</si>
  <si>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</si>
  <si>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</si>
  <si>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</si>
  <si>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</si>
  <si>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</si>
  <si>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</si>
  <si>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</si>
  <si>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</si>
  <si>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</si>
  <si>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</si>
  <si>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</si>
  <si>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</si>
  <si>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</si>
  <si>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</si>
  <si>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</si>
  <si>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</si>
  <si>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</si>
  <si>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</si>
  <si>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</si>
  <si>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</si>
  <si>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</si>
  <si>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</si>
  <si>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</si>
  <si>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</si>
  <si>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</si>
  <si>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</si>
  <si>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</si>
  <si>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</si>
  <si>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</si>
  <si>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</si>
  <si>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</si>
  <si>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</si>
  <si>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</si>
  <si>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</si>
  <si>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</si>
  <si>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</si>
  <si>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</si>
  <si>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</si>
  <si>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</si>
  <si>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</si>
  <si>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</si>
  <si>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</si>
  <si>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</si>
  <si>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</si>
  <si>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</si>
  <si>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</si>
  <si>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</si>
  <si>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</si>
  <si>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</si>
  <si>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</si>
  <si>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</si>
  <si>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</si>
  <si>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</si>
  <si>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</si>
  <si>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</si>
  <si>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</si>
  <si>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</si>
  <si>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</si>
  <si>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</si>
  <si>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</si>
  <si>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</si>
  <si>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</si>
  <si>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</si>
  <si>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</si>
  <si>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</si>
  <si>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</si>
  <si>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</si>
  <si>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</si>
  <si>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</si>
  <si>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</si>
  <si>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</si>
  <si>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</si>
  <si>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</si>
  <si>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</si>
  <si>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</si>
  <si>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</si>
  <si>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</si>
  <si>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</si>
  <si>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</si>
  <si>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</si>
  <si>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</si>
  <si>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</si>
  <si>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ยอดจริง ออนไลน์ วันที่  26/2/2568- เช้า</t>
  </si>
  <si>
    <t>ยอดจริง ออนไลน์ วันที่ 26/2/2568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</si>
</sst>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3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  <font>
      <sz val="14"/>
      <color theme="1"/>
      <name val="Calibri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12" fillId="0" borderId="0" xfId="0" applyNumberFormat="1" applyFont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D44" sqref="D44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9" t="s">
        <v>137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2" t="s">
        <v>104</v>
      </c>
      <c r="C142" s="62"/>
      <c r="D142" s="33"/>
      <c r="E142" s="58"/>
      <c r="F142" s="58"/>
      <c r="G142" s="28"/>
      <c r="H142" s="27"/>
      <c r="I142" s="62" t="s">
        <v>104</v>
      </c>
      <c r="J142" s="62"/>
      <c r="K142" s="62"/>
      <c r="L142" s="62"/>
    </row>
    <row r="143" spans="2:12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07" zoomScale="60" zoomScaleNormal="60" workbookViewId="0">
      <selection activeCell="G123" sqref="G123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6" customWidth="1"/>
  </cols>
  <sheetData>
    <row r="1" spans="2:12">
      <c r="B1" s="59" t="s">
        <v>144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>
      <c r="B7" s="11">
        <v>1111002</v>
      </c>
      <c r="C7" s="15" t="s">
        <v>107</v>
      </c>
      <c r="D7" s="31">
        <v>21</v>
      </c>
      <c r="E7" s="31">
        <v>20</v>
      </c>
      <c r="F7" s="31">
        <v>120</v>
      </c>
      <c r="G7" s="31">
        <v>4</v>
      </c>
      <c r="H7" s="31"/>
      <c r="I7" s="31"/>
      <c r="J7" s="44"/>
      <c r="K7" s="44">
        <v>15</v>
      </c>
      <c r="L7" s="37">
        <f>SUM(D7:K7)</f>
        <v>180</v>
      </c>
    </row>
    <row r="8" spans="2:12" ht="22.5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>
        <v>1</v>
      </c>
      <c r="E25" s="31">
        <v>4</v>
      </c>
      <c r="F25" s="31">
        <v>1</v>
      </c>
      <c r="G25" s="31">
        <v>10</v>
      </c>
      <c r="H25" s="31"/>
      <c r="I25" s="31"/>
      <c r="J25" s="44"/>
      <c r="K25" s="44">
        <v>3</v>
      </c>
      <c r="L25" s="37">
        <f t="shared" si="0"/>
        <v>19</v>
      </c>
    </row>
    <row r="26" spans="2:12">
      <c r="B26" s="11">
        <v>1004055</v>
      </c>
      <c r="C26" s="15" t="s">
        <v>108</v>
      </c>
      <c r="D26" s="31"/>
      <c r="E26" s="31">
        <v>2</v>
      </c>
      <c r="F26" s="31"/>
      <c r="G26" s="31">
        <v>9</v>
      </c>
      <c r="H26" s="31"/>
      <c r="I26" s="31"/>
      <c r="J26" s="44"/>
      <c r="K26" s="44">
        <v>5</v>
      </c>
      <c r="L26" s="37">
        <f t="shared" si="0"/>
        <v>16</v>
      </c>
    </row>
    <row r="27" spans="2:12" ht="22.5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>
      <c r="B69" s="11">
        <v>1111009</v>
      </c>
      <c r="C69" s="20" t="s">
        <v>56</v>
      </c>
      <c r="D69" s="31">
        <v>12</v>
      </c>
      <c r="E69" s="31">
        <v>1</v>
      </c>
      <c r="F69" s="31">
        <v>8</v>
      </c>
      <c r="G69" s="31">
        <v>6</v>
      </c>
      <c r="H69" s="31"/>
      <c r="I69" s="31"/>
      <c r="J69" s="44"/>
      <c r="K69" s="44">
        <v>4</v>
      </c>
      <c r="L69" s="37">
        <f t="shared" ref="L69:L76" si="1">SUM(D69:K69)</f>
        <v>31</v>
      </c>
    </row>
    <row r="70" spans="2:12" hidden="1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hidden="1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hidden="1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hidden="1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hidden="1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hidden="1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hidden="1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hidden="1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hidden="1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>
        <v>3</v>
      </c>
      <c r="H87" s="31"/>
      <c r="I87" s="31"/>
      <c r="J87" s="44"/>
      <c r="K87" s="44"/>
      <c r="L87" s="37">
        <f t="shared" si="2"/>
        <v>3</v>
      </c>
    </row>
    <row r="88" spans="2:12" hidden="1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>
      <c r="B90" s="11">
        <v>1112009</v>
      </c>
      <c r="C90" s="20" t="s">
        <v>75</v>
      </c>
      <c r="D90" s="31">
        <v>21</v>
      </c>
      <c r="E90" s="31">
        <v>1</v>
      </c>
      <c r="F90" s="31">
        <v>6</v>
      </c>
      <c r="G90" s="31">
        <v>6</v>
      </c>
      <c r="H90" s="31"/>
      <c r="I90" s="31"/>
      <c r="J90" s="44"/>
      <c r="K90" s="44">
        <v>3</v>
      </c>
      <c r="L90" s="37">
        <f t="shared" ref="L90:L99" si="3">SUM(D90:K90)</f>
        <v>37</v>
      </c>
    </row>
    <row r="91" spans="2:12">
      <c r="B91" s="11">
        <v>1112011</v>
      </c>
      <c r="C91" s="20" t="s">
        <v>76</v>
      </c>
      <c r="D91" s="31">
        <v>38</v>
      </c>
      <c r="E91" s="31">
        <v>2</v>
      </c>
      <c r="F91" s="31">
        <v>6</v>
      </c>
      <c r="G91" s="31">
        <v>6</v>
      </c>
      <c r="H91" s="31"/>
      <c r="I91" s="31"/>
      <c r="J91" s="44"/>
      <c r="K91" s="44">
        <v>5</v>
      </c>
      <c r="L91" s="37">
        <f t="shared" si="3"/>
        <v>57</v>
      </c>
    </row>
    <row r="92" spans="2:12">
      <c r="B92" s="11">
        <v>1112003</v>
      </c>
      <c r="C92" s="20" t="s">
        <v>77</v>
      </c>
      <c r="D92" s="31">
        <v>15</v>
      </c>
      <c r="E92" s="31">
        <v>1</v>
      </c>
      <c r="F92" s="31">
        <v>6</v>
      </c>
      <c r="G92" s="31">
        <v>6</v>
      </c>
      <c r="H92" s="31"/>
      <c r="I92" s="31"/>
      <c r="J92" s="44"/>
      <c r="K92" s="44"/>
      <c r="L92" s="37">
        <f t="shared" si="3"/>
        <v>28</v>
      </c>
    </row>
    <row r="93" spans="2:12">
      <c r="B93" s="11">
        <v>1112005</v>
      </c>
      <c r="C93" s="20" t="s">
        <v>78</v>
      </c>
      <c r="D93" s="31">
        <v>14</v>
      </c>
      <c r="E93" s="31"/>
      <c r="F93" s="31"/>
      <c r="G93" s="31"/>
      <c r="H93" s="31"/>
      <c r="I93" s="31"/>
      <c r="J93" s="44"/>
      <c r="K93" s="44"/>
      <c r="L93" s="37">
        <f t="shared" si="3"/>
        <v>14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>
        <v>16</v>
      </c>
      <c r="E96" s="31"/>
      <c r="F96" s="31">
        <v>6</v>
      </c>
      <c r="G96" s="31">
        <v>8</v>
      </c>
      <c r="H96" s="31"/>
      <c r="I96" s="31"/>
      <c r="J96" s="44"/>
      <c r="K96" s="44"/>
      <c r="L96" s="37">
        <f t="shared" si="3"/>
        <v>30</v>
      </c>
    </row>
    <row r="97" spans="2:12">
      <c r="B97" s="11">
        <v>1112015</v>
      </c>
      <c r="C97" s="20" t="s">
        <v>82</v>
      </c>
      <c r="D97" s="31">
        <v>1</v>
      </c>
      <c r="E97" s="31"/>
      <c r="F97" s="31">
        <v>6</v>
      </c>
      <c r="G97" s="31">
        <v>6</v>
      </c>
      <c r="H97" s="31"/>
      <c r="I97" s="31"/>
      <c r="J97" s="44"/>
      <c r="K97" s="44"/>
      <c r="L97" s="37">
        <f t="shared" si="3"/>
        <v>13</v>
      </c>
    </row>
    <row r="98" spans="2:12">
      <c r="B98" s="11">
        <v>1112013</v>
      </c>
      <c r="C98" s="20" t="s">
        <v>83</v>
      </c>
      <c r="D98" s="31">
        <v>40</v>
      </c>
      <c r="E98" s="31"/>
      <c r="F98" s="31">
        <v>8</v>
      </c>
      <c r="G98" s="31">
        <v>6</v>
      </c>
      <c r="H98" s="31"/>
      <c r="I98" s="31"/>
      <c r="J98" s="44"/>
      <c r="K98" s="44">
        <v>5</v>
      </c>
      <c r="L98" s="37">
        <f t="shared" si="3"/>
        <v>59</v>
      </c>
    </row>
    <row r="99" spans="2:12" hidden="1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hidden="1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>
      <c r="B102" s="11">
        <v>1112008</v>
      </c>
      <c r="C102" s="20" t="s">
        <v>75</v>
      </c>
      <c r="D102" s="31"/>
      <c r="E102" s="31">
        <v>1</v>
      </c>
      <c r="F102" s="31">
        <v>1</v>
      </c>
      <c r="G102" s="31"/>
      <c r="H102" s="31"/>
      <c r="I102" s="31"/>
      <c r="J102" s="44"/>
      <c r="K102" s="44"/>
      <c r="L102" s="37">
        <f t="shared" ref="L102:L111" si="5">SUM(D102:K102)</f>
        <v>2</v>
      </c>
    </row>
    <row r="103" spans="2:12">
      <c r="B103" s="11">
        <v>1112010</v>
      </c>
      <c r="C103" s="20" t="s">
        <v>76</v>
      </c>
      <c r="D103" s="31">
        <v>3</v>
      </c>
      <c r="E103" s="31"/>
      <c r="F103" s="31">
        <v>1</v>
      </c>
      <c r="G103" s="31"/>
      <c r="H103" s="31"/>
      <c r="I103" s="31"/>
      <c r="J103" s="44"/>
      <c r="K103" s="44"/>
      <c r="L103" s="37">
        <f t="shared" si="5"/>
        <v>4</v>
      </c>
    </row>
    <row r="104" spans="2:12">
      <c r="B104" s="11">
        <v>1112002</v>
      </c>
      <c r="C104" s="20" t="s">
        <v>77</v>
      </c>
      <c r="D104" s="31"/>
      <c r="E104" s="31"/>
      <c r="F104" s="31">
        <v>1</v>
      </c>
      <c r="G104" s="31"/>
      <c r="H104" s="31"/>
      <c r="I104" s="31"/>
      <c r="J104" s="44"/>
      <c r="K104" s="44"/>
      <c r="L104" s="37">
        <f t="shared" si="5"/>
        <v>1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hidden="1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hidden="1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7</v>
      </c>
    </row>
    <row r="113" spans="2:12" ht="21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>
      <c r="B115" s="11">
        <v>1113171</v>
      </c>
      <c r="C115" s="22" t="s">
        <v>88</v>
      </c>
      <c r="D115" s="31">
        <v>2</v>
      </c>
      <c r="E115" s="31"/>
      <c r="F115" s="31"/>
      <c r="G115" s="31">
        <v>1</v>
      </c>
      <c r="H115" s="31"/>
      <c r="I115" s="31"/>
      <c r="J115" s="44"/>
      <c r="K115" s="44"/>
      <c r="L115" s="37">
        <f t="shared" si="6"/>
        <v>3</v>
      </c>
    </row>
    <row r="116" spans="2:12">
      <c r="B116" s="11">
        <v>1113172</v>
      </c>
      <c r="C116" s="22" t="s">
        <v>89</v>
      </c>
      <c r="D116" s="31">
        <v>2</v>
      </c>
      <c r="E116" s="31"/>
      <c r="F116" s="31"/>
      <c r="G116" s="31">
        <v>1</v>
      </c>
      <c r="H116" s="31"/>
      <c r="I116" s="31"/>
      <c r="J116" s="44"/>
      <c r="K116" s="44"/>
      <c r="L116" s="37">
        <f t="shared" si="6"/>
        <v>3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>
        <v>50</v>
      </c>
      <c r="L119" s="37">
        <f t="shared" si="6"/>
        <v>50</v>
      </c>
    </row>
    <row r="120" spans="2:12">
      <c r="B120" s="11">
        <v>1100002</v>
      </c>
      <c r="C120" s="22" t="s">
        <v>123</v>
      </c>
      <c r="D120" s="31"/>
      <c r="E120" s="31">
        <v>1</v>
      </c>
      <c r="F120" s="31"/>
      <c r="G120" s="31"/>
      <c r="H120" s="31"/>
      <c r="I120" s="31"/>
      <c r="J120" s="44"/>
      <c r="K120" s="44"/>
      <c r="L120" s="37">
        <f t="shared" si="6"/>
        <v>1</v>
      </c>
    </row>
    <row r="121" spans="2:12">
      <c r="B121" s="11">
        <v>1200001</v>
      </c>
      <c r="C121" s="22" t="s">
        <v>93</v>
      </c>
      <c r="D121" s="31"/>
      <c r="E121" s="31">
        <v>1</v>
      </c>
      <c r="F121" s="31"/>
      <c r="G121" s="31"/>
      <c r="H121" s="31"/>
      <c r="I121" s="31"/>
      <c r="J121" s="44"/>
      <c r="K121" s="44"/>
      <c r="L121" s="37">
        <f t="shared" si="6"/>
        <v>1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>
        <v>10</v>
      </c>
      <c r="E123" s="31">
        <v>5</v>
      </c>
      <c r="F123" s="31"/>
      <c r="G123" s="31">
        <v>48</v>
      </c>
      <c r="H123" s="31"/>
      <c r="I123" s="31"/>
      <c r="J123" s="44"/>
      <c r="K123" s="44"/>
      <c r="L123" s="37">
        <f t="shared" si="6"/>
        <v>63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>
        <v>1</v>
      </c>
      <c r="F125" s="31"/>
      <c r="G125" s="31"/>
      <c r="H125" s="31"/>
      <c r="I125" s="31"/>
      <c r="J125" s="44"/>
      <c r="K125" s="44"/>
      <c r="L125" s="37">
        <f t="shared" si="6"/>
        <v>1</v>
      </c>
    </row>
    <row r="126" spans="2:12">
      <c r="B126" s="11">
        <v>1124021</v>
      </c>
      <c r="C126" s="22" t="s">
        <v>98</v>
      </c>
      <c r="D126" s="31"/>
      <c r="E126" s="31">
        <v>1</v>
      </c>
      <c r="F126" s="31">
        <v>45</v>
      </c>
      <c r="G126" s="31">
        <v>7</v>
      </c>
      <c r="H126" s="31"/>
      <c r="I126" s="31"/>
      <c r="J126" s="44"/>
      <c r="K126" s="44"/>
      <c r="L126" s="37">
        <f t="shared" si="6"/>
        <v>53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23">
        <v>20052721</v>
      </c>
      <c r="C137" s="22" t="s">
        <v>143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62" t="s">
        <v>104</v>
      </c>
      <c r="C143" s="62"/>
      <c r="D143" s="33"/>
      <c r="E143" s="58"/>
      <c r="F143" s="58"/>
      <c r="G143" s="28"/>
      <c r="H143" s="27"/>
      <c r="I143" s="62" t="s">
        <v>104</v>
      </c>
      <c r="J143" s="62"/>
      <c r="K143" s="62"/>
      <c r="L143" s="62"/>
    </row>
    <row r="144" spans="2:12">
      <c r="B144" s="58" t="s">
        <v>105</v>
      </c>
      <c r="C144" s="58"/>
      <c r="D144" s="34"/>
      <c r="E144" s="34"/>
      <c r="F144" s="34"/>
      <c r="G144" s="34"/>
      <c r="H144" s="34"/>
      <c r="I144" s="58" t="s">
        <v>106</v>
      </c>
      <c r="J144" s="58"/>
      <c r="K144" s="58"/>
      <c r="L144" s="58"/>
    </row>
    <row r="145" spans="2:1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topLeftCell="A85" zoomScale="60" zoomScaleNormal="60" workbookViewId="0">
      <selection activeCell="O91" sqref="O91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9" t="s">
        <v>135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>
      <c r="B7" s="11">
        <v>1111002</v>
      </c>
      <c r="C7" s="15" t="s">
        <v>107</v>
      </c>
      <c r="D7" s="31"/>
      <c r="E7" s="31">
        <v>68</v>
      </c>
      <c r="F7" s="31">
        <v>7</v>
      </c>
      <c r="G7" s="31">
        <v>6</v>
      </c>
      <c r="H7" s="31"/>
      <c r="I7" s="31"/>
      <c r="J7" s="44"/>
      <c r="K7" s="44"/>
      <c r="L7" s="37">
        <f>SUM(D7:K7)</f>
        <v>81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>
        <v>4</v>
      </c>
      <c r="F25" s="31"/>
      <c r="G25" s="31">
        <v>2</v>
      </c>
      <c r="H25" s="31"/>
      <c r="I25" s="31"/>
      <c r="J25" s="44"/>
      <c r="K25" s="44"/>
      <c r="L25" s="37">
        <f t="shared" si="0"/>
        <v>6</v>
      </c>
    </row>
    <row r="26" spans="2:12">
      <c r="B26" s="11">
        <v>1004055</v>
      </c>
      <c r="C26" s="15" t="s">
        <v>108</v>
      </c>
      <c r="D26" s="31"/>
      <c r="E26" s="31">
        <v>2</v>
      </c>
      <c r="F26" s="31"/>
      <c r="G26" s="31">
        <v>3</v>
      </c>
      <c r="H26" s="31"/>
      <c r="I26" s="31"/>
      <c r="J26" s="44"/>
      <c r="K26" s="44"/>
      <c r="L26" s="37">
        <f t="shared" si="0"/>
        <v>5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>
      <c r="B69" s="11">
        <v>1111009</v>
      </c>
      <c r="C69" s="20" t="s">
        <v>56</v>
      </c>
      <c r="D69" s="31"/>
      <c r="E69" s="31">
        <v>7</v>
      </c>
      <c r="F69" s="31"/>
      <c r="G69" s="31">
        <v>3</v>
      </c>
      <c r="H69" s="31"/>
      <c r="I69" s="31"/>
      <c r="J69" s="44"/>
      <c r="K69" s="44"/>
      <c r="L69" s="37">
        <f t="shared" ref="L69:L76" si="1">SUM(D69:K69)</f>
        <v>10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>
        <v>18</v>
      </c>
      <c r="H87" s="31"/>
      <c r="I87" s="31"/>
      <c r="J87" s="44"/>
      <c r="K87" s="44"/>
      <c r="L87" s="37">
        <f t="shared" si="2"/>
        <v>18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>
      <c r="B90" s="11">
        <v>1112009</v>
      </c>
      <c r="C90" s="20" t="s">
        <v>75</v>
      </c>
      <c r="D90" s="31"/>
      <c r="E90" s="31"/>
      <c r="F90" s="31">
        <v>2</v>
      </c>
      <c r="G90" s="31">
        <v>5</v>
      </c>
      <c r="H90" s="31"/>
      <c r="I90" s="31"/>
      <c r="J90" s="44"/>
      <c r="K90" s="44"/>
      <c r="L90" s="37">
        <f t="shared" ref="L90:L99" si="3">SUM(D90:K90)</f>
        <v>7</v>
      </c>
    </row>
    <row r="91" spans="2:12">
      <c r="B91" s="11">
        <v>1112011</v>
      </c>
      <c r="C91" s="20" t="s">
        <v>76</v>
      </c>
      <c r="D91" s="31"/>
      <c r="E91" s="31"/>
      <c r="F91" s="31">
        <v>2</v>
      </c>
      <c r="G91" s="31">
        <v>5</v>
      </c>
      <c r="H91" s="31"/>
      <c r="I91" s="31"/>
      <c r="J91" s="44"/>
      <c r="K91" s="44"/>
      <c r="L91" s="37">
        <f t="shared" si="3"/>
        <v>7</v>
      </c>
    </row>
    <row r="92" spans="2:12">
      <c r="B92" s="11">
        <v>1112003</v>
      </c>
      <c r="C92" s="20" t="s">
        <v>77</v>
      </c>
      <c r="D92" s="31"/>
      <c r="E92" s="31"/>
      <c r="F92" s="31">
        <v>1</v>
      </c>
      <c r="G92" s="31">
        <v>4</v>
      </c>
      <c r="H92" s="31"/>
      <c r="I92" s="31"/>
      <c r="J92" s="44"/>
      <c r="K92" s="44"/>
      <c r="L92" s="37">
        <f t="shared" si="3"/>
        <v>5</v>
      </c>
    </row>
    <row r="93" spans="2:12">
      <c r="B93" s="11">
        <v>1112005</v>
      </c>
      <c r="C93" s="20" t="s">
        <v>78</v>
      </c>
      <c r="D93" s="31"/>
      <c r="E93" s="31"/>
      <c r="F93" s="31">
        <v>1</v>
      </c>
      <c r="G93" s="31">
        <v>2</v>
      </c>
      <c r="H93" s="31"/>
      <c r="I93" s="31"/>
      <c r="J93" s="44"/>
      <c r="K93" s="44"/>
      <c r="L93" s="37">
        <f t="shared" si="3"/>
        <v>3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>
      <c r="B102" s="11">
        <v>1112008</v>
      </c>
      <c r="C102" s="20" t="s">
        <v>75</v>
      </c>
      <c r="D102" s="31"/>
      <c r="E102" s="31"/>
      <c r="F102" s="31"/>
      <c r="G102" s="31">
        <v>1</v>
      </c>
      <c r="H102" s="31"/>
      <c r="I102" s="31"/>
      <c r="J102" s="44"/>
      <c r="K102" s="44"/>
      <c r="L102" s="37">
        <f t="shared" ref="L102:L111" si="5">SUM(D102:K102)</f>
        <v>1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>
        <v>1</v>
      </c>
      <c r="H103" s="31"/>
      <c r="I103" s="31"/>
      <c r="J103" s="44"/>
      <c r="K103" s="44"/>
      <c r="L103" s="37">
        <f t="shared" si="5"/>
        <v>1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>
        <v>1</v>
      </c>
      <c r="H104" s="31"/>
      <c r="I104" s="31"/>
      <c r="J104" s="44"/>
      <c r="K104" s="44"/>
      <c r="L104" s="37">
        <f t="shared" si="5"/>
        <v>1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3</v>
      </c>
    </row>
    <row r="113" spans="2:12" ht="21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>
        <v>1</v>
      </c>
      <c r="H115" s="31"/>
      <c r="I115" s="31"/>
      <c r="J115" s="44"/>
      <c r="K115" s="44"/>
      <c r="L115" s="37">
        <f t="shared" si="6"/>
        <v>1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>
        <v>3</v>
      </c>
      <c r="H116" s="31"/>
      <c r="I116" s="31"/>
      <c r="J116" s="44"/>
      <c r="K116" s="44"/>
      <c r="L116" s="37">
        <f t="shared" si="6"/>
        <v>3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>
        <v>3</v>
      </c>
      <c r="G123" s="31">
        <v>108</v>
      </c>
      <c r="H123" s="31"/>
      <c r="I123" s="31"/>
      <c r="J123" s="44"/>
      <c r="K123" s="44"/>
      <c r="L123" s="37">
        <f t="shared" si="6"/>
        <v>111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>
        <v>28</v>
      </c>
      <c r="G126" s="31">
        <v>1</v>
      </c>
      <c r="H126" s="31"/>
      <c r="I126" s="31"/>
      <c r="J126" s="44"/>
      <c r="K126" s="44"/>
      <c r="L126" s="37">
        <f t="shared" si="6"/>
        <v>29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2" t="s">
        <v>104</v>
      </c>
      <c r="C142" s="62"/>
      <c r="D142" s="33"/>
      <c r="E142" s="58"/>
      <c r="F142" s="58"/>
      <c r="G142" s="28"/>
      <c r="H142" s="27"/>
      <c r="I142" s="62" t="s">
        <v>104</v>
      </c>
      <c r="J142" s="62"/>
      <c r="K142" s="62"/>
      <c r="L142" s="62"/>
    </row>
    <row r="143" spans="2:12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A93" zoomScale="50" zoomScaleNormal="50" workbookViewId="0">
      <selection activeCell="M119" sqref="M119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  <col min="13" max="13" width="16.140625" style="24" customWidth="1"/>
    <col min="14" max="15" width="15.42578125" style="24" customWidth="1"/>
    <col min="16" max="16" width="25.42578125" style="24" customWidth="1"/>
    <col min="17" max="17" width="14.42578125" style="29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9" t="s">
        <v>145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7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  <c r="M2" s="68" t="s">
        <v>127</v>
      </c>
      <c r="N2" s="68" t="s">
        <v>130</v>
      </c>
      <c r="O2" s="68" t="s">
        <v>141</v>
      </c>
      <c r="P2" s="68" t="s">
        <v>142</v>
      </c>
      <c r="Q2" s="71" t="s">
        <v>1</v>
      </c>
    </row>
    <row r="3" spans="2:17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  <c r="M3" s="69"/>
      <c r="N3" s="69"/>
      <c r="O3" s="69"/>
      <c r="P3" s="69"/>
      <c r="Q3" s="72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70"/>
      <c r="N4" s="70"/>
      <c r="O4" s="70"/>
      <c r="P4" s="70"/>
      <c r="Q4" s="73"/>
    </row>
    <row r="5" spans="2:17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21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7"/>
    </row>
    <row r="7" spans="2:17">
      <c r="B7" s="11">
        <v>1111002</v>
      </c>
      <c r="C7" s="15" t="s">
        <v>107</v>
      </c>
      <c r="D7" s="31">
        <f>'เย็น '!D7+'เช้า '!D7+บ่าย!D7</f>
        <v>21</v>
      </c>
      <c r="E7" s="31">
        <f>'เย็น '!E7+'เช้า '!E7+บ่าย!E7</f>
        <v>88</v>
      </c>
      <c r="F7" s="31">
        <f>'เย็น '!F7+'เช้า '!F7+บ่าย!F7</f>
        <v>127</v>
      </c>
      <c r="G7" s="31">
        <f>'เย็น '!G7+'เช้า '!G7+บ่าย!G7</f>
        <v>10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15</v>
      </c>
      <c r="L7" s="37">
        <f>SUM(D7:K7)</f>
        <v>261</v>
      </c>
      <c r="M7" s="11">
        <v>165</v>
      </c>
      <c r="N7" s="11">
        <v>207</v>
      </c>
      <c r="O7" s="11"/>
      <c r="P7" s="11">
        <v>100</v>
      </c>
      <c r="Q7" s="45">
        <f>(M7+N7+O7+P7)-L7</f>
        <v>211</v>
      </c>
    </row>
    <row r="8" spans="2:17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>
      <c r="B25" s="11">
        <v>1111056</v>
      </c>
      <c r="C25" s="15" t="s">
        <v>28</v>
      </c>
      <c r="D25" s="31">
        <f>'เย็น '!D25+'เช้า '!D25+บ่าย!D25</f>
        <v>1</v>
      </c>
      <c r="E25" s="31">
        <f>'เย็น '!E25+'เช้า '!E25+บ่าย!E25</f>
        <v>8</v>
      </c>
      <c r="F25" s="31">
        <f>'เย็น '!F25+'เช้า '!F25+บ่าย!F25</f>
        <v>1</v>
      </c>
      <c r="G25" s="31">
        <f>'เย็น '!G25+'เช้า '!G25+บ่าย!G25</f>
        <v>12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3</v>
      </c>
      <c r="L25" s="37">
        <f t="shared" si="0"/>
        <v>25</v>
      </c>
      <c r="M25" s="11">
        <v>23</v>
      </c>
      <c r="N25" s="11">
        <v>13</v>
      </c>
      <c r="O25" s="11"/>
      <c r="P25" s="11">
        <v>20</v>
      </c>
      <c r="Q25" s="45">
        <f t="shared" si="1"/>
        <v>31</v>
      </c>
    </row>
    <row r="26" spans="2:17">
      <c r="B26" s="11">
        <v>1004055</v>
      </c>
      <c r="C26" s="15" t="s">
        <v>108</v>
      </c>
      <c r="D26" s="31">
        <f>'เย็น '!D26+'เช้า '!D26+บ่าย!D26</f>
        <v>0</v>
      </c>
      <c r="E26" s="31">
        <f>'เย็น '!E26+'เช้า '!E26+บ่าย!E26</f>
        <v>4</v>
      </c>
      <c r="F26" s="31">
        <f>'เย็น '!F26+'เช้า '!F26+บ่าย!F26</f>
        <v>0</v>
      </c>
      <c r="G26" s="31">
        <f>'เย็น '!G26+'เช้า '!G26+บ่าย!G26</f>
        <v>12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5</v>
      </c>
      <c r="L26" s="37">
        <f t="shared" si="0"/>
        <v>21</v>
      </c>
      <c r="M26" s="11">
        <v>13</v>
      </c>
      <c r="N26" s="11"/>
      <c r="O26" s="11"/>
      <c r="P26" s="11">
        <v>20</v>
      </c>
      <c r="Q26" s="45">
        <f t="shared" si="1"/>
        <v>12</v>
      </c>
    </row>
    <row r="27" spans="2:17" hidden="1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hidden="1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 hidden="1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 hidden="1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 hidden="1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 hidden="1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 hidden="1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 hidden="1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 hidden="1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 hidden="1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0" hidden="1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0" hidden="1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0" hidden="1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0" hidden="1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  <c r="T52" s="46"/>
    </row>
    <row r="53" spans="2:20" hidden="1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hidden="1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hidden="1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0</v>
      </c>
      <c r="M56" s="11"/>
      <c r="N56" s="11"/>
      <c r="O56" s="11"/>
      <c r="P56" s="11"/>
      <c r="Q56" s="45">
        <f t="shared" si="1"/>
        <v>0</v>
      </c>
    </row>
    <row r="57" spans="2:20" hidden="1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0</v>
      </c>
      <c r="M57" s="11"/>
      <c r="N57" s="11"/>
      <c r="O57" s="11"/>
      <c r="P57" s="11"/>
      <c r="Q57" s="45">
        <f t="shared" si="1"/>
        <v>0</v>
      </c>
    </row>
    <row r="58" spans="2:20" hidden="1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0</v>
      </c>
      <c r="M58" s="11"/>
      <c r="N58" s="11"/>
      <c r="O58" s="11"/>
      <c r="P58" s="11"/>
      <c r="Q58" s="45">
        <f t="shared" si="1"/>
        <v>0</v>
      </c>
    </row>
    <row r="59" spans="2:20" hidden="1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0</v>
      </c>
      <c r="M59" s="11"/>
      <c r="N59" s="11"/>
      <c r="O59" s="11"/>
      <c r="P59" s="11"/>
      <c r="Q59" s="45">
        <f t="shared" si="1"/>
        <v>0</v>
      </c>
    </row>
    <row r="60" spans="2:20" hidden="1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0</v>
      </c>
      <c r="M60" s="11"/>
      <c r="N60" s="11"/>
      <c r="O60" s="11"/>
      <c r="P60" s="11"/>
      <c r="Q60" s="45">
        <f t="shared" si="1"/>
        <v>0</v>
      </c>
    </row>
    <row r="61" spans="2:20" hidden="1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0" hidden="1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0" hidden="1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0" hidden="1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 hidden="1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6"/>
    </row>
    <row r="66" spans="2:20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21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7"/>
    </row>
    <row r="69" spans="2:20">
      <c r="B69" s="11">
        <v>1111009</v>
      </c>
      <c r="C69" s="20" t="s">
        <v>56</v>
      </c>
      <c r="D69" s="31">
        <f>'เย็น '!D69+'เช้า '!D69+บ่าย!D69</f>
        <v>12</v>
      </c>
      <c r="E69" s="31">
        <f>'เย็น '!E69+'เช้า '!E69+บ่าย!E69</f>
        <v>8</v>
      </c>
      <c r="F69" s="31">
        <f>'เย็น '!F69+'เช้า '!F69+บ่าย!F69</f>
        <v>8</v>
      </c>
      <c r="G69" s="31">
        <f>'เย็น '!G69+'เช้า '!G69+บ่าย!G69</f>
        <v>9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4</v>
      </c>
      <c r="L69" s="37">
        <f t="shared" ref="L69:L76" si="4">SUM(D69:K69)</f>
        <v>41</v>
      </c>
      <c r="M69" s="11">
        <v>19</v>
      </c>
      <c r="N69" s="11">
        <v>9</v>
      </c>
      <c r="O69" s="11"/>
      <c r="P69" s="11">
        <v>17</v>
      </c>
      <c r="Q69" s="45">
        <f t="shared" ref="Q69:Q76" si="5">(M69+N69+O69+P69)-L69</f>
        <v>4</v>
      </c>
    </row>
    <row r="70" spans="2:20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21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7"/>
    </row>
    <row r="79" spans="2:20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f>'เย็น '!E87+'เช้า '!E87+บ่าย!E87</f>
        <v>0</v>
      </c>
      <c r="F87" s="31">
        <f>'เย็น '!F87+'เช้า '!F87+บ่าย!F87</f>
        <v>0</v>
      </c>
      <c r="G87" s="31">
        <f>'เย็น '!G87+'เช้า '!G87+บ่าย!G87</f>
        <v>21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21</v>
      </c>
      <c r="M87" s="11">
        <v>20</v>
      </c>
      <c r="N87" s="11">
        <v>1</v>
      </c>
      <c r="O87" s="11"/>
      <c r="P87" s="11">
        <v>20</v>
      </c>
      <c r="Q87" s="45">
        <f t="shared" si="8"/>
        <v>20</v>
      </c>
    </row>
    <row r="88" spans="2:17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21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7"/>
    </row>
    <row r="90" spans="2:17">
      <c r="B90" s="11">
        <v>1112009</v>
      </c>
      <c r="C90" s="20" t="s">
        <v>75</v>
      </c>
      <c r="D90" s="31">
        <f>'เย็น '!D90+'เช้า '!D90+บ่าย!D90</f>
        <v>21</v>
      </c>
      <c r="E90" s="31">
        <f>'เย็น '!E90+'เช้า '!E90+บ่าย!E90</f>
        <v>1</v>
      </c>
      <c r="F90" s="31">
        <f>'เย็น '!F90+'เช้า '!F90+บ่าย!F90</f>
        <v>8</v>
      </c>
      <c r="G90" s="31">
        <f>'เย็น '!G90+'เช้า '!G90+บ่าย!G90</f>
        <v>11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3</v>
      </c>
      <c r="L90" s="37">
        <f t="shared" ref="L90:L99" si="9">SUM(D90:K90)</f>
        <v>44</v>
      </c>
      <c r="M90" s="11">
        <v>3</v>
      </c>
      <c r="N90" s="11">
        <v>46</v>
      </c>
      <c r="O90" s="11"/>
      <c r="P90" s="11">
        <v>13</v>
      </c>
      <c r="Q90" s="45">
        <f t="shared" ref="Q90:Q99" si="10">(M90+N90+O90+P90)-L90</f>
        <v>18</v>
      </c>
    </row>
    <row r="91" spans="2:17">
      <c r="B91" s="11">
        <v>1112011</v>
      </c>
      <c r="C91" s="20" t="s">
        <v>76</v>
      </c>
      <c r="D91" s="31">
        <f>'เย็น '!D91+'เช้า '!D91+บ่าย!D91</f>
        <v>38</v>
      </c>
      <c r="E91" s="31">
        <f>'เย็น '!E91+'เช้า '!E91+บ่าย!E91</f>
        <v>2</v>
      </c>
      <c r="F91" s="31">
        <f>'เย็น '!F91+'เช้า '!F91+บ่าย!F91</f>
        <v>8</v>
      </c>
      <c r="G91" s="31">
        <f>'เย็น '!G91+'เช้า '!G91+บ่าย!G91</f>
        <v>11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5</v>
      </c>
      <c r="L91" s="37">
        <f t="shared" si="9"/>
        <v>64</v>
      </c>
      <c r="M91" s="11">
        <v>23</v>
      </c>
      <c r="N91" s="11">
        <v>33</v>
      </c>
      <c r="O91" s="11"/>
      <c r="P91" s="11">
        <v>11</v>
      </c>
      <c r="Q91" s="45">
        <f t="shared" si="10"/>
        <v>3</v>
      </c>
    </row>
    <row r="92" spans="2:17">
      <c r="B92" s="11">
        <v>1112003</v>
      </c>
      <c r="C92" s="20" t="s">
        <v>77</v>
      </c>
      <c r="D92" s="31">
        <f>'เย็น '!D92+'เช้า '!D92+บ่าย!D92</f>
        <v>15</v>
      </c>
      <c r="E92" s="31">
        <f>'เย็น '!E92+'เช้า '!E92+บ่าย!E92</f>
        <v>1</v>
      </c>
      <c r="F92" s="31">
        <f>'เย็น '!F92+'เช้า '!F92+บ่าย!F92</f>
        <v>7</v>
      </c>
      <c r="G92" s="31">
        <f>'เย็น '!G92+'เช้า '!G92+บ่าย!G92</f>
        <v>10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33</v>
      </c>
      <c r="M92" s="11"/>
      <c r="N92" s="11">
        <v>25</v>
      </c>
      <c r="O92" s="11"/>
      <c r="P92" s="11">
        <v>11</v>
      </c>
      <c r="Q92" s="45">
        <f t="shared" si="10"/>
        <v>3</v>
      </c>
    </row>
    <row r="93" spans="2:17">
      <c r="B93" s="11">
        <v>1112005</v>
      </c>
      <c r="C93" s="20" t="s">
        <v>78</v>
      </c>
      <c r="D93" s="31">
        <f>'เย็น '!D93+'เช้า '!D93+บ่าย!D93</f>
        <v>14</v>
      </c>
      <c r="E93" s="31">
        <f>'เย็น '!E93+'เช้า '!E93+บ่าย!E93</f>
        <v>0</v>
      </c>
      <c r="F93" s="31">
        <f>'เย็น '!F93+'เช้า '!F93+บ่าย!F93</f>
        <v>1</v>
      </c>
      <c r="G93" s="31">
        <f>'เย็น '!G93+'เช้า '!G93+บ่าย!G93</f>
        <v>2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17</v>
      </c>
      <c r="M93" s="11">
        <v>14</v>
      </c>
      <c r="N93" s="11"/>
      <c r="O93" s="11"/>
      <c r="P93" s="11">
        <v>13</v>
      </c>
      <c r="Q93" s="45">
        <f t="shared" si="10"/>
        <v>10</v>
      </c>
    </row>
    <row r="94" spans="2:17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>
      <c r="B96" s="11">
        <v>1112017</v>
      </c>
      <c r="C96" s="20" t="s">
        <v>81</v>
      </c>
      <c r="D96" s="31">
        <f>'เย็น '!D96+'เช้า '!D96+บ่าย!D96</f>
        <v>16</v>
      </c>
      <c r="E96" s="31">
        <f>'เย็น '!E96+'เช้า '!E96+บ่าย!E96</f>
        <v>0</v>
      </c>
      <c r="F96" s="31">
        <f>'เย็น '!F96+'เช้า '!F96+บ่าย!F96</f>
        <v>6</v>
      </c>
      <c r="G96" s="31">
        <f>'เย็น '!G96+'เช้า '!G96+บ่าย!G96</f>
        <v>8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30</v>
      </c>
      <c r="M96" s="11"/>
      <c r="N96" s="11">
        <v>48</v>
      </c>
      <c r="O96" s="11"/>
      <c r="P96" s="11"/>
      <c r="Q96" s="45">
        <f t="shared" si="10"/>
        <v>18</v>
      </c>
    </row>
    <row r="97" spans="2:20">
      <c r="B97" s="11">
        <v>1112015</v>
      </c>
      <c r="C97" s="20" t="s">
        <v>82</v>
      </c>
      <c r="D97" s="31">
        <f>'เย็น '!D97+'เช้า '!D97+บ่าย!D97</f>
        <v>1</v>
      </c>
      <c r="E97" s="31">
        <f>'เย็น '!E97+'เช้า '!E97+บ่าย!E97</f>
        <v>0</v>
      </c>
      <c r="F97" s="31">
        <f>'เย็น '!F97+'เช้า '!F97+บ่าย!F97</f>
        <v>6</v>
      </c>
      <c r="G97" s="31">
        <f>'เย็น '!G97+'เช้า '!G97+บ่าย!G97</f>
        <v>6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13</v>
      </c>
      <c r="M97" s="11"/>
      <c r="N97" s="11">
        <v>1</v>
      </c>
      <c r="O97" s="11"/>
      <c r="P97" s="11"/>
      <c r="Q97" s="45">
        <f t="shared" si="10"/>
        <v>-12</v>
      </c>
    </row>
    <row r="98" spans="2:20">
      <c r="B98" s="11">
        <v>1112013</v>
      </c>
      <c r="C98" s="20" t="s">
        <v>83</v>
      </c>
      <c r="D98" s="31">
        <f>'เย็น '!D98+'เช้า '!D98+บ่าย!D98</f>
        <v>40</v>
      </c>
      <c r="E98" s="31">
        <f>'เย็น '!E98+'เช้า '!E98+บ่าย!E98</f>
        <v>0</v>
      </c>
      <c r="F98" s="31">
        <f>'เย็น '!F98+'เช้า '!F98+บ่าย!F98</f>
        <v>8</v>
      </c>
      <c r="G98" s="31">
        <f>'เย็น '!G98+'เช้า '!G98+บ่าย!G98</f>
        <v>6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5</v>
      </c>
      <c r="L98" s="37">
        <f t="shared" si="9"/>
        <v>59</v>
      </c>
      <c r="M98" s="11">
        <v>23</v>
      </c>
      <c r="N98" s="11">
        <v>51</v>
      </c>
      <c r="O98" s="11"/>
      <c r="P98" s="11"/>
      <c r="Q98" s="45">
        <f t="shared" si="10"/>
        <v>15</v>
      </c>
      <c r="S98" s="57"/>
      <c r="T98" s="57">
        <f>SUM(Q90:Q98)</f>
        <v>55</v>
      </c>
    </row>
    <row r="99" spans="2:20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20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260</v>
      </c>
      <c r="M100" s="11"/>
      <c r="N100" s="11"/>
      <c r="O100" s="11"/>
      <c r="P100" s="11"/>
      <c r="Q100" s="45">
        <f>SUM(Q90:Q99)</f>
        <v>55</v>
      </c>
    </row>
    <row r="101" spans="2:20" ht="21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7"/>
    </row>
    <row r="102" spans="2:20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1</v>
      </c>
      <c r="F102" s="31">
        <f>บ่าย!F102+'เช้า '!F102+'เย็น '!F102</f>
        <v>1</v>
      </c>
      <c r="G102" s="31">
        <f>บ่าย!G102+'เช้า '!G102+'เย็น '!G102</f>
        <v>1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3</v>
      </c>
      <c r="M102" s="11"/>
      <c r="N102" s="11">
        <v>9</v>
      </c>
      <c r="O102" s="11"/>
      <c r="P102" s="11">
        <v>18</v>
      </c>
      <c r="Q102" s="45">
        <f t="shared" ref="Q102:Q111" si="12">(M102+N102+O102+P102)-L102</f>
        <v>24</v>
      </c>
    </row>
    <row r="103" spans="2:20">
      <c r="B103" s="11">
        <v>1112010</v>
      </c>
      <c r="C103" s="20" t="s">
        <v>76</v>
      </c>
      <c r="D103" s="31">
        <f>บ่าย!D103+'เช้า '!D103+'เย็น '!D103</f>
        <v>3</v>
      </c>
      <c r="E103" s="31">
        <f>บ่าย!E103+'เช้า '!E103+'เย็น '!E103</f>
        <v>0</v>
      </c>
      <c r="F103" s="31">
        <f>บ่าย!F103+'เช้า '!F103+'เย็น '!F103</f>
        <v>1</v>
      </c>
      <c r="G103" s="31">
        <f>บ่าย!G103+'เช้า '!G103+'เย็น '!G103</f>
        <v>1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5</v>
      </c>
      <c r="M103" s="11"/>
      <c r="N103" s="11">
        <v>12</v>
      </c>
      <c r="O103" s="11"/>
      <c r="P103" s="11">
        <v>18</v>
      </c>
      <c r="Q103" s="45">
        <f t="shared" si="12"/>
        <v>25</v>
      </c>
    </row>
    <row r="104" spans="2:20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1</v>
      </c>
      <c r="G104" s="31">
        <f>บ่าย!G104+'เช้า '!G104+'เย็น '!G104</f>
        <v>1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2</v>
      </c>
      <c r="M104" s="11"/>
      <c r="N104" s="11">
        <v>3</v>
      </c>
      <c r="O104" s="11"/>
      <c r="P104" s="11"/>
      <c r="Q104" s="45">
        <f t="shared" si="12"/>
        <v>1</v>
      </c>
    </row>
    <row r="105" spans="2:20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20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20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20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20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20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  <c r="S110" s="48"/>
      <c r="T110" s="47">
        <f>SUM(Q102:Q110)</f>
        <v>50</v>
      </c>
    </row>
    <row r="111" spans="2:20" hidden="1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20" hidden="1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>SUM(Q102:Q111)</f>
        <v>50</v>
      </c>
    </row>
    <row r="113" spans="2:17" ht="21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7"/>
    </row>
    <row r="114" spans="2:17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40" si="14">SUM(D114:K114)</f>
        <v>0</v>
      </c>
      <c r="M114" s="11"/>
      <c r="N114" s="11"/>
      <c r="O114" s="11"/>
      <c r="P114" s="11"/>
      <c r="Q114" s="45">
        <f t="shared" ref="Q114:Q140" si="15">(M114+N114+O114+P114)-L114</f>
        <v>0</v>
      </c>
    </row>
    <row r="115" spans="2:17">
      <c r="B115" s="11">
        <v>1113171</v>
      </c>
      <c r="C115" s="22" t="s">
        <v>88</v>
      </c>
      <c r="D115" s="31">
        <f>'เย็น '!D115+'เช้า '!D115+บ่าย!D115</f>
        <v>2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2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4"/>
        <v>4</v>
      </c>
      <c r="M115" s="11">
        <v>20</v>
      </c>
      <c r="N115" s="11">
        <v>10</v>
      </c>
      <c r="O115" s="11"/>
      <c r="P115" s="11">
        <v>10</v>
      </c>
      <c r="Q115" s="45">
        <f t="shared" si="15"/>
        <v>36</v>
      </c>
    </row>
    <row r="116" spans="2:17">
      <c r="B116" s="11">
        <v>1113172</v>
      </c>
      <c r="C116" s="22" t="s">
        <v>89</v>
      </c>
      <c r="D116" s="31">
        <f>'เย็น '!D116+'เช้า '!D116+บ่าย!D116</f>
        <v>2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4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4"/>
        <v>6</v>
      </c>
      <c r="M116" s="11">
        <v>20</v>
      </c>
      <c r="N116" s="11">
        <v>5</v>
      </c>
      <c r="O116" s="11"/>
      <c r="P116" s="11">
        <v>10</v>
      </c>
      <c r="Q116" s="45">
        <f t="shared" si="15"/>
        <v>29</v>
      </c>
    </row>
    <row r="117" spans="2:17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4"/>
        <v>0</v>
      </c>
      <c r="M117" s="11"/>
      <c r="N117" s="11"/>
      <c r="O117" s="11"/>
      <c r="P117" s="11"/>
      <c r="Q117" s="45">
        <f t="shared" si="15"/>
        <v>0</v>
      </c>
    </row>
    <row r="118" spans="2:17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4"/>
        <v>0</v>
      </c>
      <c r="M118" s="11"/>
      <c r="N118" s="11"/>
      <c r="O118" s="11"/>
      <c r="P118" s="11"/>
      <c r="Q118" s="45">
        <f t="shared" si="15"/>
        <v>0</v>
      </c>
    </row>
    <row r="119" spans="2:17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50</v>
      </c>
      <c r="L119" s="37">
        <f t="shared" si="14"/>
        <v>50</v>
      </c>
      <c r="M119" s="11">
        <v>50</v>
      </c>
      <c r="N119" s="11"/>
      <c r="O119" s="11"/>
      <c r="P119" s="11"/>
      <c r="Q119" s="45">
        <f t="shared" si="15"/>
        <v>0</v>
      </c>
    </row>
    <row r="120" spans="2:17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1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4"/>
        <v>1</v>
      </c>
      <c r="M120" s="11"/>
      <c r="N120" s="11">
        <v>60</v>
      </c>
      <c r="O120" s="11"/>
      <c r="P120" s="11"/>
      <c r="Q120" s="45">
        <f t="shared" si="15"/>
        <v>59</v>
      </c>
    </row>
    <row r="121" spans="2:17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1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4"/>
        <v>1</v>
      </c>
      <c r="M121" s="11"/>
      <c r="N121" s="11">
        <v>3</v>
      </c>
      <c r="O121" s="11"/>
      <c r="P121" s="11"/>
      <c r="Q121" s="45">
        <f t="shared" si="15"/>
        <v>2</v>
      </c>
    </row>
    <row r="122" spans="2:17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4"/>
        <v>0</v>
      </c>
      <c r="M122" s="11"/>
      <c r="N122" s="11"/>
      <c r="O122" s="11"/>
      <c r="P122" s="11"/>
      <c r="Q122" s="45">
        <f t="shared" si="15"/>
        <v>0</v>
      </c>
    </row>
    <row r="123" spans="2:17">
      <c r="B123" s="11">
        <v>1114501</v>
      </c>
      <c r="C123" s="22" t="s">
        <v>95</v>
      </c>
      <c r="D123" s="31">
        <f>'เย็น '!D123+'เช้า '!D123+บ่าย!D123</f>
        <v>10</v>
      </c>
      <c r="E123" s="31">
        <f>'เย็น '!E123+'เช้า '!E123+บ่าย!E123</f>
        <v>5</v>
      </c>
      <c r="F123" s="31">
        <f>'เย็น '!F123+'เช้า '!F123+บ่าย!F123</f>
        <v>3</v>
      </c>
      <c r="G123" s="31">
        <f>'เย็น '!G123+'เช้า '!G123+บ่าย!G123</f>
        <v>156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4"/>
        <v>174</v>
      </c>
      <c r="M123" s="11">
        <v>159</v>
      </c>
      <c r="N123" s="11">
        <v>32</v>
      </c>
      <c r="O123" s="11"/>
      <c r="P123" s="11"/>
      <c r="Q123" s="45">
        <f t="shared" si="15"/>
        <v>17</v>
      </c>
    </row>
    <row r="124" spans="2:17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0</v>
      </c>
      <c r="F124" s="31">
        <f>'เย็น '!F124+'เช้า '!F124+บ่าย!F124</f>
        <v>0</v>
      </c>
      <c r="G124" s="31">
        <f>'เย็น '!G124+'เช้า '!G124+บ่าย!G124</f>
        <v>0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4"/>
        <v>0</v>
      </c>
      <c r="M124" s="11"/>
      <c r="N124" s="11"/>
      <c r="O124" s="11"/>
      <c r="P124" s="11"/>
      <c r="Q124" s="45">
        <f t="shared" si="15"/>
        <v>0</v>
      </c>
    </row>
    <row r="125" spans="2:17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1</v>
      </c>
      <c r="F125" s="31">
        <f>'เย็น '!F125+'เช้า '!F125+บ่าย!F125</f>
        <v>0</v>
      </c>
      <c r="G125" s="31">
        <f>'เย็น '!G125+'เช้า '!G125+บ่าย!G125</f>
        <v>0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4"/>
        <v>1</v>
      </c>
      <c r="M125" s="11"/>
      <c r="N125" s="11"/>
      <c r="O125" s="11"/>
      <c r="P125" s="11"/>
      <c r="Q125" s="45">
        <f t="shared" si="15"/>
        <v>-1</v>
      </c>
    </row>
    <row r="126" spans="2:17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1</v>
      </c>
      <c r="F126" s="31">
        <f>'เย็น '!F126+'เช้า '!F126+บ่าย!F126</f>
        <v>73</v>
      </c>
      <c r="G126" s="31">
        <f>'เย็น '!G126+'เช้า '!G126+บ่าย!G126</f>
        <v>8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4"/>
        <v>82</v>
      </c>
      <c r="M126" s="11">
        <v>41</v>
      </c>
      <c r="N126" s="11">
        <v>32</v>
      </c>
      <c r="O126" s="11"/>
      <c r="P126" s="11"/>
      <c r="Q126" s="45">
        <f t="shared" si="15"/>
        <v>-9</v>
      </c>
    </row>
    <row r="127" spans="2:17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4"/>
        <v>0</v>
      </c>
      <c r="M127" s="11"/>
      <c r="N127" s="11"/>
      <c r="O127" s="11"/>
      <c r="P127" s="11"/>
      <c r="Q127" s="45">
        <f t="shared" si="15"/>
        <v>0</v>
      </c>
    </row>
    <row r="128" spans="2:17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4"/>
        <v>0</v>
      </c>
      <c r="M128" s="11"/>
      <c r="N128" s="11"/>
      <c r="O128" s="11"/>
      <c r="P128" s="11"/>
      <c r="Q128" s="45">
        <f t="shared" si="15"/>
        <v>0</v>
      </c>
    </row>
    <row r="129" spans="2:17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4"/>
        <v>0</v>
      </c>
      <c r="M129" s="11"/>
      <c r="N129" s="11"/>
      <c r="O129" s="11"/>
      <c r="P129" s="11"/>
      <c r="Q129" s="45">
        <f t="shared" si="15"/>
        <v>0</v>
      </c>
    </row>
    <row r="130" spans="2:17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4"/>
        <v>0</v>
      </c>
      <c r="M130" s="11"/>
      <c r="N130" s="11"/>
      <c r="O130" s="11"/>
      <c r="P130" s="11"/>
      <c r="Q130" s="45">
        <f t="shared" si="15"/>
        <v>0</v>
      </c>
    </row>
    <row r="131" spans="2:17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4"/>
        <v>0</v>
      </c>
      <c r="M131" s="11"/>
      <c r="N131" s="11"/>
      <c r="O131" s="11"/>
      <c r="P131" s="11"/>
      <c r="Q131" s="45">
        <f t="shared" si="15"/>
        <v>0</v>
      </c>
    </row>
    <row r="132" spans="2:17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4"/>
        <v>0</v>
      </c>
      <c r="M132" s="11"/>
      <c r="N132" s="11"/>
      <c r="O132" s="11"/>
      <c r="P132" s="11"/>
      <c r="Q132" s="45">
        <f t="shared" si="15"/>
        <v>0</v>
      </c>
    </row>
    <row r="133" spans="2:17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4"/>
        <v>0</v>
      </c>
      <c r="M133" s="11"/>
      <c r="N133" s="11"/>
      <c r="O133" s="11"/>
      <c r="P133" s="11"/>
      <c r="Q133" s="45">
        <f t="shared" si="15"/>
        <v>0</v>
      </c>
    </row>
    <row r="134" spans="2:17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4"/>
        <v>0</v>
      </c>
      <c r="M134" s="11"/>
      <c r="N134" s="11"/>
      <c r="O134" s="11"/>
      <c r="P134" s="11"/>
      <c r="Q134" s="45">
        <f t="shared" si="15"/>
        <v>0</v>
      </c>
    </row>
    <row r="135" spans="2:17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0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4"/>
        <v>0</v>
      </c>
      <c r="M135" s="11"/>
      <c r="N135" s="11"/>
      <c r="O135" s="11"/>
      <c r="P135" s="11"/>
      <c r="Q135" s="45">
        <f t="shared" si="15"/>
        <v>0</v>
      </c>
    </row>
    <row r="136" spans="2:17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4"/>
        <v>0</v>
      </c>
      <c r="M136" s="11"/>
      <c r="N136" s="11"/>
      <c r="O136" s="11"/>
      <c r="P136" s="11"/>
      <c r="Q136" s="45">
        <f t="shared" si="15"/>
        <v>0</v>
      </c>
    </row>
    <row r="137" spans="2:17">
      <c r="B137" s="23">
        <v>20052721</v>
      </c>
      <c r="C137" s="22" t="s">
        <v>143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4"/>
        <v>0</v>
      </c>
      <c r="M137" s="11"/>
      <c r="N137" s="11"/>
      <c r="O137" s="11"/>
      <c r="P137" s="11"/>
      <c r="Q137" s="45">
        <f t="shared" si="15"/>
        <v>0</v>
      </c>
    </row>
    <row r="138" spans="2:17">
      <c r="B138" s="51"/>
      <c r="C138" s="50" t="s">
        <v>138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4"/>
        <v>0</v>
      </c>
      <c r="M138" s="11"/>
      <c r="N138" s="11"/>
      <c r="O138" s="11"/>
      <c r="P138" s="11"/>
      <c r="Q138" s="45">
        <f t="shared" si="15"/>
        <v>0</v>
      </c>
    </row>
    <row r="139" spans="2:17">
      <c r="B139" s="51"/>
      <c r="C139" s="50" t="s">
        <v>139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4"/>
        <v>0</v>
      </c>
      <c r="M139" s="11"/>
      <c r="N139" s="11"/>
      <c r="O139" s="11"/>
      <c r="P139" s="11"/>
      <c r="Q139" s="45">
        <f t="shared" si="15"/>
        <v>0</v>
      </c>
    </row>
    <row r="140" spans="2:17">
      <c r="B140" s="51"/>
      <c r="C140" s="50" t="s">
        <v>140</v>
      </c>
      <c r="D140" s="31">
        <f>'เย็น '!D139+'เช้า '!D140+บ่าย!D139</f>
        <v>0</v>
      </c>
      <c r="E140" s="31">
        <f>'เย็น '!E139+'เช้า '!E140+บ่าย!E139</f>
        <v>0</v>
      </c>
      <c r="F140" s="31">
        <f>'เย็น '!F139+'เช้า '!F140+บ่าย!F139</f>
        <v>0</v>
      </c>
      <c r="G140" s="31">
        <f>'เย็น '!G139+'เช้า '!G140+บ่าย!G139</f>
        <v>0</v>
      </c>
      <c r="H140" s="31">
        <f>'เย็น '!H139+'เช้า '!H140+บ่าย!H139</f>
        <v>0</v>
      </c>
      <c r="I140" s="31">
        <f>'เย็น '!I139+'เช้า '!I140+บ่าย!I139</f>
        <v>0</v>
      </c>
      <c r="J140" s="31">
        <f>'เย็น '!J139+'เช้า '!J140+บ่าย!J139</f>
        <v>0</v>
      </c>
      <c r="K140" s="31">
        <f>'เย็น '!K139+'เช้า '!K140+บ่าย!K139</f>
        <v>0</v>
      </c>
      <c r="L140" s="37">
        <f t="shared" si="14"/>
        <v>0</v>
      </c>
      <c r="M140" s="11"/>
      <c r="N140" s="11"/>
      <c r="O140" s="11"/>
      <c r="P140" s="11"/>
      <c r="Q140" s="45">
        <f t="shared" si="15"/>
        <v>0</v>
      </c>
    </row>
    <row r="141" spans="2:17" ht="40.5" customHeight="1">
      <c r="C141" s="36"/>
      <c r="D141" s="37">
        <f>SUM(D114:D140,D90:D99,D79:D87,D69:D76,D7:D66,D102:D111)</f>
        <v>196</v>
      </c>
      <c r="E141" s="37">
        <f t="shared" ref="E141:K141" si="16">SUM(E114:E140,E90:E99,E79:E87,E69:E76,E7:E66,E102:E111)</f>
        <v>122</v>
      </c>
      <c r="F141" s="37">
        <f t="shared" si="16"/>
        <v>259</v>
      </c>
      <c r="G141" s="37">
        <f t="shared" si="16"/>
        <v>291</v>
      </c>
      <c r="H141" s="37">
        <f t="shared" si="16"/>
        <v>0</v>
      </c>
      <c r="I141" s="37">
        <f t="shared" si="16"/>
        <v>0</v>
      </c>
      <c r="J141" s="37">
        <f t="shared" si="16"/>
        <v>0</v>
      </c>
      <c r="K141" s="37">
        <f t="shared" si="16"/>
        <v>90</v>
      </c>
      <c r="L141" s="37">
        <f>SUM(L114:L140,L90:L99,L79:L87,L69:L76,L7:L66,L102:L111)</f>
        <v>958</v>
      </c>
      <c r="M141" s="31">
        <f>SUM(M114:M136,M90:M98,M79:M87,M69:M76,M7:M66)</f>
        <v>593</v>
      </c>
      <c r="N141" s="31">
        <f>SUM(N114:N136,N90:N98,N79:N87,N69:N76,N7:N66)</f>
        <v>576</v>
      </c>
      <c r="O141" s="31"/>
      <c r="P141" s="31"/>
      <c r="Q141" s="45">
        <f t="shared" ref="Q141" si="17">(M141+N141)-L141</f>
        <v>211</v>
      </c>
    </row>
    <row r="142" spans="2:17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>
      <c r="C144" s="25"/>
      <c r="D144" s="32"/>
      <c r="E144" s="62"/>
      <c r="F144" s="62"/>
      <c r="G144" s="27"/>
      <c r="L144" s="41"/>
    </row>
    <row r="145" spans="2:12">
      <c r="B145" s="62" t="s">
        <v>104</v>
      </c>
      <c r="C145" s="62"/>
      <c r="D145" s="33"/>
      <c r="E145" s="58"/>
      <c r="F145" s="58"/>
      <c r="G145" s="28"/>
      <c r="H145" s="27"/>
      <c r="I145" s="62" t="s">
        <v>104</v>
      </c>
      <c r="J145" s="62"/>
      <c r="K145" s="62"/>
      <c r="L145" s="62"/>
    </row>
    <row r="146" spans="2:12">
      <c r="B146" s="58" t="s">
        <v>105</v>
      </c>
      <c r="C146" s="58"/>
      <c r="D146" s="34"/>
      <c r="E146" s="34"/>
      <c r="F146" s="34"/>
      <c r="G146" s="34"/>
      <c r="H146" s="34"/>
      <c r="I146" s="58" t="s">
        <v>106</v>
      </c>
      <c r="J146" s="58"/>
      <c r="K146" s="58"/>
      <c r="L146" s="58"/>
    </row>
    <row r="147" spans="2:12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5"/>
    </row>
    <row r="148" spans="2:12" ht="21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1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1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1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21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  <row r="162" spans="4:8">
      <c r="D162" s="32"/>
      <c r="E162" s="32"/>
      <c r="F162" s="32"/>
      <c r="G162" s="32"/>
      <c r="H162" s="32"/>
    </row>
    <row r="163" spans="4:8">
      <c r="D163" s="32"/>
      <c r="E163" s="32"/>
      <c r="F163" s="32"/>
      <c r="G163" s="32"/>
      <c r="H163" s="32"/>
    </row>
  </sheetData>
  <mergeCells count="20">
    <mergeCell ref="B146:C146"/>
    <mergeCell ref="I146:L146"/>
    <mergeCell ref="B101:Q101"/>
    <mergeCell ref="B113:Q113"/>
    <mergeCell ref="E144:F144"/>
    <mergeCell ref="B145:C145"/>
    <mergeCell ref="E145:F145"/>
    <mergeCell ref="I145:L145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2025-02-26T01:04:15Z</cp:lastPrinted>
  <dcterms:created xsi:type="dcterms:W3CDTF">2024-04-30T05:21:27Z</dcterms:created>
  <dcterms:modified xsi:type="dcterms:W3CDTF">2025-02-26T06:15:55Z</dcterms:modified>
</cp:coreProperties>
</file>