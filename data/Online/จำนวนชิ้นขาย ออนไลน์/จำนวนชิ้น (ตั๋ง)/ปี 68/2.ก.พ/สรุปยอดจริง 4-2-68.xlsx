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7E42F4CC-2C17-4B95-841A-E9C83C0E19F3}" xr6:coauthVersionLast="47" xr6:coauthVersionMax="47" xr10:uidLastSave="{00000000-0000-0000-0000-000000000000}"/>
  <bookViews>
    <workbookView xWindow="4995" yWindow="750" windowWidth="18930" windowHeight="14610" firstSheet="1" activeTab="3" xr2:uid="{55C9AAA3-F459-48EC-A639-AACFFC6390F5}"/>
  </bookViews>
  <sheets>
    <sheet name="เย็น " sheetId="6" state="hidden" r:id="rId1"/>
    <sheet name="เช้า " sheetId="3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9" i="4" l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32" i="3"/>
  <c r="L133" i="3"/>
  <c r="L134" i="3"/>
  <c r="L135" i="3"/>
  <c r="L136" i="3"/>
  <c r="L137" i="3"/>
  <c r="L138" i="3"/>
  <c r="L139" i="3"/>
  <c r="Q136" i="5"/>
  <c r="Q138" i="5"/>
  <c r="Q139" i="5"/>
  <c r="L138" i="5"/>
  <c r="D137" i="5"/>
  <c r="E137" i="5"/>
  <c r="F137" i="5"/>
  <c r="G137" i="5"/>
  <c r="L137" i="5" s="1"/>
  <c r="Q137" i="5" s="1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E87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1" i="5"/>
  <c r="Q77" i="5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6" i="5" l="1"/>
  <c r="L112" i="3"/>
  <c r="L112" i="6"/>
  <c r="L135" i="5"/>
  <c r="Q135" i="5" s="1"/>
  <c r="K141" i="5"/>
  <c r="L139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11" i="5"/>
  <c r="E111" i="5"/>
  <c r="F111" i="5"/>
  <c r="G111" i="5"/>
  <c r="H111" i="5"/>
  <c r="I111" i="5"/>
  <c r="J111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<sst xmlns="http://schemas.openxmlformats.org/spreadsheetml/2006/main" count="617" uniqueCount="146">
  <si>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</si>
  <si>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</si>
  <si>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</si>
  <si>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</si>
  <si>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</si>
  <si>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</si>
  <si>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</si>
  <si>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</si>
  <si>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</si>
  <si>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</si>
  <si>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</si>
  <si>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</si>
  <si>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</si>
  <si>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</si>
  <si>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</si>
  <si>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</si>
  <si>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</si>
  <si>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</si>
  <si>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</si>
  <si>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</si>
  <si>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</si>
  <si>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</si>
  <si>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</si>
  <si>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</si>
  <si>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</si>
  <si>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</si>
  <si>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</si>
  <si>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</si>
  <si>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</si>
  <si>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</si>
  <si>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</si>
  <si>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</si>
  <si>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</si>
  <si>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</si>
  <si>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</si>
  <si>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</si>
  <si>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</si>
  <si>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</si>
  <si>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</si>
  <si>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</si>
  <si>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</si>
  <si>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</si>
  <si>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</si>
  <si>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</si>
  <si>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</si>
  <si>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</si>
  <si>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</si>
  <si>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</si>
  <si>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</si>
  <si>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</si>
  <si>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</si>
  <si>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</si>
  <si>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</si>
  <si>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</si>
  <si>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</si>
  <si>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</si>
  <si>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</si>
  <si>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</si>
  <si>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</si>
  <si>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</si>
  <si>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</si>
  <si>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</si>
  <si>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</si>
  <si>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</si>
  <si>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</si>
  <si>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</si>
  <si>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</si>
  <si>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</si>
  <si>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</si>
  <si>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</si>
  <si>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</si>
  <si>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</si>
  <si>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</si>
  <si>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</si>
  <si>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</si>
  <si>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</si>
  <si>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</si>
  <si>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</si>
  <si>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</si>
  <si>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</si>
  <si>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</si>
  <si>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</si>
  <si>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</si>
  <si>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</si>
  <si>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</si>
  <si>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</si>
  <si>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</si>
  <si>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</si>
  <si>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</si>
  <si>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</si>
  <si>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</si>
  <si>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</si>
  <si>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</si>
  <si>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</si>
  <si>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</si>
  <si>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</si>
  <si>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</si>
  <si>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</si>
  <si>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</si>
  <si>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</si>
  <si>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</si>
  <si>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</si>
  <si>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</si>
  <si>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</si>
  <si>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</si>
  <si>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</si>
  <si>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</si>
  <si>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</si>
  <si>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</si>
  <si>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</si>
  <si>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</si>
  <si>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</si>
  <si>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</si>
  <si>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</si>
  <si>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</si>
  <si>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</si>
  <si>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</si>
  <si>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</si>
  <si>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</si>
  <si>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</si>
  <si>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</si>
  <si>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</si>
  <si>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</si>
  <si>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</si>
  <si>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</si>
  <si>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</si>
  <si>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</si>
  <si>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</si>
  <si>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</si>
  <si>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</si>
  <si>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</si>
  <si>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</si>
  <si>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</si>
  <si>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</si>
  <si>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</si>
  <si>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</si>
  <si>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</si>
  <si>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</si>
  <si>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</si>
  <si>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</si>
  <si>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</si>
  <si>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</si>
  <si>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</si>
  <si>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 xml:space="preserve">ยอดจริง ออนไลน์ วันที่ </t>
  </si>
  <si>
    <t>ยอดจริง ออนไลน์ วันที่ 4/2/68  รวม</t>
  </si>
  <si>
    <t>แซนวิชโบราณ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</si>
</sst>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15" zoomScale="60" zoomScaleNormal="60" workbookViewId="0">
      <selection activeCell="L132" sqref="L132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145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5" zoomScale="60" zoomScaleNormal="60" workbookViewId="0">
      <selection activeCell="L131" sqref="L131:L139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8</v>
      </c>
      <c r="E7" s="31">
        <v>20</v>
      </c>
      <c r="F7" s="31">
        <v>20</v>
      </c>
      <c r="G7" s="31">
        <v>28</v>
      </c>
      <c r="H7" s="31"/>
      <c r="I7" s="31"/>
      <c r="J7" s="44"/>
      <c r="K7" s="44"/>
      <c r="L7" s="37">
        <f>SUM(D7:K7)</f>
        <v>76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8</v>
      </c>
      <c r="E25" s="31">
        <v>2</v>
      </c>
      <c r="F25" s="31"/>
      <c r="G25" s="31">
        <v>10</v>
      </c>
      <c r="H25" s="31"/>
      <c r="I25" s="31"/>
      <c r="J25" s="44"/>
      <c r="K25" s="44"/>
      <c r="L25" s="37">
        <f t="shared" si="0"/>
        <v>20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8</v>
      </c>
      <c r="E69" s="31">
        <v>1</v>
      </c>
      <c r="F69" s="31">
        <v>9</v>
      </c>
      <c r="G69" s="31">
        <v>7</v>
      </c>
      <c r="H69" s="31"/>
      <c r="I69" s="31"/>
      <c r="J69" s="44"/>
      <c r="K69" s="44"/>
      <c r="L69" s="37">
        <f t="shared" ref="L69:L76" si="1">SUM(D69:K69)</f>
        <v>25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 hidden="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hidden="1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hidden="1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hidden="1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hidden="1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hidden="1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hidden="1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5</v>
      </c>
      <c r="E102" s="31">
        <v>1</v>
      </c>
      <c r="F102" s="31"/>
      <c r="G102" s="31">
        <v>3</v>
      </c>
      <c r="H102" s="31"/>
      <c r="I102" s="31"/>
      <c r="J102" s="44"/>
      <c r="K102" s="44"/>
      <c r="L102" s="37">
        <f t="shared" ref="L102:L111" si="5">SUM(D102:K102)</f>
        <v>9</v>
      </c>
    </row>
    <row r="103" spans="2:12">
      <c r="B103" s="11">
        <v>1112010</v>
      </c>
      <c r="C103" s="20" t="s">
        <v>76</v>
      </c>
      <c r="D103" s="31">
        <v>7</v>
      </c>
      <c r="E103" s="31"/>
      <c r="F103" s="31"/>
      <c r="G103" s="31">
        <v>3</v>
      </c>
      <c r="H103" s="31"/>
      <c r="I103" s="31"/>
      <c r="J103" s="44"/>
      <c r="K103" s="44"/>
      <c r="L103" s="37">
        <f t="shared" si="5"/>
        <v>10</v>
      </c>
    </row>
    <row r="104" spans="2:12">
      <c r="B104" s="11">
        <v>1112002</v>
      </c>
      <c r="C104" s="20" t="s">
        <v>77</v>
      </c>
      <c r="D104" s="31">
        <v>4</v>
      </c>
      <c r="E104" s="31"/>
      <c r="F104" s="31"/>
      <c r="G104" s="31">
        <v>3</v>
      </c>
      <c r="H104" s="31"/>
      <c r="I104" s="31"/>
      <c r="J104" s="44"/>
      <c r="K104" s="44"/>
      <c r="L104" s="37">
        <f t="shared" si="5"/>
        <v>7</v>
      </c>
    </row>
    <row r="105" spans="2:12">
      <c r="B105" s="11">
        <v>1112004</v>
      </c>
      <c r="C105" s="20" t="s">
        <v>78</v>
      </c>
      <c r="D105" s="31">
        <v>2</v>
      </c>
      <c r="E105" s="31"/>
      <c r="F105" s="31"/>
      <c r="G105" s="31">
        <v>3</v>
      </c>
      <c r="H105" s="31"/>
      <c r="I105" s="31"/>
      <c r="J105" s="44"/>
      <c r="K105" s="44"/>
      <c r="L105" s="37">
        <f t="shared" si="5"/>
        <v>5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>
        <v>1</v>
      </c>
      <c r="G108" s="31">
        <v>2</v>
      </c>
      <c r="H108" s="31"/>
      <c r="I108" s="31"/>
      <c r="J108" s="44"/>
      <c r="K108" s="44"/>
      <c r="L108" s="37">
        <f t="shared" si="5"/>
        <v>3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>
        <v>2</v>
      </c>
      <c r="H109" s="31"/>
      <c r="I109" s="31"/>
      <c r="J109" s="44"/>
      <c r="K109" s="44"/>
      <c r="L109" s="37">
        <f t="shared" si="5"/>
        <v>2</v>
      </c>
    </row>
    <row r="110" spans="2:12">
      <c r="B110" s="11">
        <v>1112012</v>
      </c>
      <c r="C110" s="20" t="s">
        <v>83</v>
      </c>
      <c r="D110" s="31">
        <v>6</v>
      </c>
      <c r="E110" s="31"/>
      <c r="F110" s="31"/>
      <c r="G110" s="31">
        <v>2</v>
      </c>
      <c r="H110" s="31"/>
      <c r="I110" s="31"/>
      <c r="J110" s="44"/>
      <c r="K110" s="44"/>
      <c r="L110" s="37">
        <f t="shared" si="5"/>
        <v>8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44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>
        <v>1</v>
      </c>
      <c r="G123" s="31">
        <v>3</v>
      </c>
      <c r="H123" s="31"/>
      <c r="I123" s="31"/>
      <c r="J123" s="44"/>
      <c r="K123" s="44"/>
      <c r="L123" s="37">
        <f t="shared" si="6"/>
        <v>5</v>
      </c>
    </row>
    <row r="124" spans="2:12">
      <c r="B124" s="11">
        <v>1114502</v>
      </c>
      <c r="C124" s="22" t="s">
        <v>96</v>
      </c>
      <c r="D124" s="31">
        <v>1</v>
      </c>
      <c r="E124" s="31">
        <v>1</v>
      </c>
      <c r="F124" s="31">
        <v>1</v>
      </c>
      <c r="G124" s="31">
        <v>4</v>
      </c>
      <c r="H124" s="31"/>
      <c r="I124" s="31"/>
      <c r="J124" s="44"/>
      <c r="K124" s="44"/>
      <c r="L124" s="37">
        <f t="shared" si="6"/>
        <v>7</v>
      </c>
    </row>
    <row r="125" spans="2:12">
      <c r="B125" s="11">
        <v>1114503</v>
      </c>
      <c r="C125" s="22" t="s">
        <v>97</v>
      </c>
      <c r="D125" s="31">
        <v>2</v>
      </c>
      <c r="E125" s="31"/>
      <c r="F125" s="31">
        <v>1</v>
      </c>
      <c r="G125" s="31">
        <v>2</v>
      </c>
      <c r="H125" s="31"/>
      <c r="I125" s="31"/>
      <c r="J125" s="44"/>
      <c r="K125" s="44"/>
      <c r="L125" s="37">
        <f t="shared" si="6"/>
        <v>5</v>
      </c>
    </row>
    <row r="126" spans="2:12">
      <c r="B126" s="11">
        <v>1124021</v>
      </c>
      <c r="C126" s="22" t="s">
        <v>98</v>
      </c>
      <c r="D126" s="31"/>
      <c r="E126" s="31">
        <v>11</v>
      </c>
      <c r="F126" s="31">
        <v>6</v>
      </c>
      <c r="G126" s="31">
        <v>1</v>
      </c>
      <c r="H126" s="31"/>
      <c r="I126" s="31"/>
      <c r="J126" s="44"/>
      <c r="K126" s="44"/>
      <c r="L126" s="37">
        <f t="shared" si="6"/>
        <v>18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145</v>
      </c>
      <c r="D137" s="31"/>
      <c r="E137" s="31"/>
      <c r="F137" s="31"/>
      <c r="G137" s="31">
        <v>40</v>
      </c>
      <c r="H137" s="31"/>
      <c r="I137" s="31"/>
      <c r="J137" s="44"/>
      <c r="K137" s="44"/>
      <c r="L137" s="37">
        <f t="shared" si="6"/>
        <v>40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12" zoomScale="60" zoomScaleNormal="60" workbookViewId="0">
      <selection activeCell="L128" sqref="L128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145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3"/>
  <sheetViews>
    <sheetView tabSelected="1" topLeftCell="A61" zoomScale="50" zoomScaleNormal="50" workbookViewId="0">
      <selection activeCell="M61" sqref="M1:R1048576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style="46" customWidth="1"/>
    <col min="21" max="25" width="9.140625" style="46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8</v>
      </c>
      <c r="E7" s="31">
        <f>'เย็น '!E7+'เช้า '!E7+บ่าย!E7</f>
        <v>20</v>
      </c>
      <c r="F7" s="31">
        <f>'เย็น '!F7+'เช้า '!F7+บ่าย!F7</f>
        <v>20</v>
      </c>
      <c r="G7" s="31">
        <f>'เย็น '!G7+'เช้า '!G7+บ่าย!G7</f>
        <v>28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76</v>
      </c>
      <c r="M7" s="11"/>
      <c r="N7" s="11"/>
      <c r="O7" s="11"/>
      <c r="P7" s="11"/>
      <c r="Q7" s="45">
        <f>(M7+N7+O7+P7)-L7</f>
        <v>-76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8</v>
      </c>
      <c r="E25" s="31">
        <f>'เย็น '!E25+'เช้า '!E25+บ่าย!E25</f>
        <v>2</v>
      </c>
      <c r="F25" s="31">
        <f>'เย็น '!F25+'เช้า '!F25+บ่าย!F25</f>
        <v>0</v>
      </c>
      <c r="G25" s="31">
        <f>'เย็น '!G25+'เช้า '!G25+บ่าย!G25</f>
        <v>10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20</v>
      </c>
      <c r="M25" s="11"/>
      <c r="N25" s="11"/>
      <c r="O25" s="11"/>
      <c r="P25" s="11"/>
      <c r="Q25" s="45">
        <f t="shared" si="1"/>
        <v>-20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8</v>
      </c>
      <c r="E69" s="31">
        <f>'เย็น '!E69+'เช้า '!E69+บ่าย!E69</f>
        <v>1</v>
      </c>
      <c r="F69" s="31">
        <f>'เย็น '!F69+'เช้า '!F69+บ่าย!F69</f>
        <v>9</v>
      </c>
      <c r="G69" s="31">
        <f>'เย็น '!G69+'เช้า '!G69+บ่าย!G69</f>
        <v>7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25</v>
      </c>
      <c r="M69" s="11"/>
      <c r="N69" s="11"/>
      <c r="O69" s="11"/>
      <c r="P69" s="11"/>
      <c r="Q69" s="45">
        <f t="shared" ref="Q69:Q76" si="5">(M69+N69+O69+P69)-L69</f>
        <v>-25</v>
      </c>
      <c r="T69" s="47"/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0</v>
      </c>
      <c r="M87" s="11"/>
      <c r="N87" s="11"/>
      <c r="O87" s="11"/>
      <c r="P87" s="11"/>
      <c r="Q87" s="45">
        <f t="shared" si="8"/>
        <v>0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0</v>
      </c>
      <c r="M90" s="11"/>
      <c r="N90" s="11"/>
      <c r="O90" s="11"/>
      <c r="P90" s="11"/>
      <c r="Q90" s="45">
        <f t="shared" ref="Q90:Q99" si="10">(M90+N90+O90+P90)-L90</f>
        <v>0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/>
      <c r="O91" s="11"/>
      <c r="P91" s="11"/>
      <c r="Q91" s="45">
        <f t="shared" si="10"/>
        <v>0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0</v>
      </c>
      <c r="M92" s="11"/>
      <c r="N92" s="11"/>
      <c r="O92" s="11"/>
      <c r="P92" s="11"/>
      <c r="Q92" s="45">
        <f t="shared" si="10"/>
        <v>0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0</v>
      </c>
      <c r="M93" s="11"/>
      <c r="N93" s="11"/>
      <c r="O93" s="11"/>
      <c r="P93" s="11"/>
      <c r="Q93" s="45">
        <f t="shared" si="10"/>
        <v>0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0</v>
      </c>
      <c r="M100" s="11"/>
      <c r="N100" s="11"/>
      <c r="O100" s="11"/>
      <c r="P100" s="11"/>
      <c r="Q100" s="45">
        <f>SUM(Q90:Q99)</f>
        <v>0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5</v>
      </c>
      <c r="E102" s="31">
        <f>บ่าย!E102+'เช้า '!E102+'เย็น '!E102</f>
        <v>1</v>
      </c>
      <c r="F102" s="31">
        <f>บ่าย!F102+'เช้า '!F102+'เย็น '!F102</f>
        <v>0</v>
      </c>
      <c r="G102" s="31">
        <f>บ่าย!G102+'เช้า '!G102+'เย็น '!G102</f>
        <v>3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9</v>
      </c>
      <c r="M102" s="11"/>
      <c r="N102" s="11"/>
      <c r="O102" s="11"/>
      <c r="P102" s="11"/>
      <c r="Q102" s="45">
        <f t="shared" ref="Q102:Q111" si="12">(M102+N102+O102+P102)-L102</f>
        <v>-9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7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3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10</v>
      </c>
      <c r="M103" s="11"/>
      <c r="N103" s="11"/>
      <c r="O103" s="11"/>
      <c r="P103" s="11"/>
      <c r="Q103" s="45">
        <f t="shared" si="12"/>
        <v>-10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4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3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7</v>
      </c>
      <c r="M104" s="11"/>
      <c r="N104" s="11"/>
      <c r="O104" s="11"/>
      <c r="P104" s="11"/>
      <c r="Q104" s="45">
        <f t="shared" si="12"/>
        <v>-7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3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5</v>
      </c>
      <c r="M105" s="11"/>
      <c r="N105" s="11"/>
      <c r="O105" s="11"/>
      <c r="P105" s="11"/>
      <c r="Q105" s="45">
        <f t="shared" si="12"/>
        <v>-5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1</v>
      </c>
      <c r="G108" s="31">
        <f>บ่าย!G108+'เช้า '!G108+'เย็น '!G108</f>
        <v>2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3</v>
      </c>
      <c r="M108" s="11"/>
      <c r="N108" s="11"/>
      <c r="O108" s="11"/>
      <c r="P108" s="11"/>
      <c r="Q108" s="45">
        <f t="shared" si="12"/>
        <v>-3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2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2</v>
      </c>
      <c r="M109" s="11"/>
      <c r="N109" s="11"/>
      <c r="O109" s="11"/>
      <c r="P109" s="11"/>
      <c r="Q109" s="45">
        <f t="shared" si="12"/>
        <v>-2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6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2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8</v>
      </c>
      <c r="M110" s="11"/>
      <c r="N110" s="11"/>
      <c r="O110" s="11"/>
      <c r="P110" s="11"/>
      <c r="Q110" s="45">
        <f t="shared" si="12"/>
        <v>-8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</v>
      </c>
      <c r="F123" s="31">
        <f>'เย็น '!F123+'เช้า '!F123+บ่าย!F123</f>
        <v>1</v>
      </c>
      <c r="G123" s="31">
        <f>'เย็น '!G123+'เช้า '!G123+บ่าย!G123</f>
        <v>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5</v>
      </c>
      <c r="M123" s="11"/>
      <c r="N123" s="11"/>
      <c r="O123" s="11"/>
      <c r="P123" s="11"/>
      <c r="Q123" s="45">
        <f t="shared" si="16"/>
        <v>-5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1</v>
      </c>
      <c r="F124" s="31">
        <f>'เย็น '!F124+'เช้า '!F124+บ่าย!F124</f>
        <v>1</v>
      </c>
      <c r="G124" s="31">
        <f>'เย็น '!G124+'เช้า '!G124+บ่าย!G124</f>
        <v>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7</v>
      </c>
      <c r="M124" s="11"/>
      <c r="N124" s="11"/>
      <c r="O124" s="11"/>
      <c r="P124" s="11"/>
      <c r="Q124" s="45">
        <f t="shared" si="16"/>
        <v>-7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2</v>
      </c>
      <c r="E125" s="31">
        <f>'เย็น '!E125+'เช้า '!E125+บ่าย!E125</f>
        <v>0</v>
      </c>
      <c r="F125" s="31">
        <f>'เย็น '!F125+'เช้า '!F125+บ่าย!F125</f>
        <v>1</v>
      </c>
      <c r="G125" s="31">
        <f>'เย็น '!G125+'เช้า '!G125+บ่าย!G125</f>
        <v>2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5</v>
      </c>
      <c r="M125" s="11"/>
      <c r="N125" s="11"/>
      <c r="O125" s="11"/>
      <c r="P125" s="11"/>
      <c r="Q125" s="45">
        <f t="shared" si="16"/>
        <v>-5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11</v>
      </c>
      <c r="F126" s="31">
        <f>'เย็น '!F126+'เช้า '!F126+บ่าย!F126</f>
        <v>6</v>
      </c>
      <c r="G126" s="31">
        <f>'เย็น '!G126+'เช้า '!G126+บ่าย!G126</f>
        <v>1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18</v>
      </c>
      <c r="M126" s="11"/>
      <c r="N126" s="11"/>
      <c r="O126" s="11"/>
      <c r="P126" s="11"/>
      <c r="Q126" s="45">
        <f t="shared" si="16"/>
        <v>-18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145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40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40</v>
      </c>
      <c r="M137" s="11"/>
      <c r="N137" s="11"/>
      <c r="O137" s="11"/>
      <c r="P137" s="11"/>
      <c r="Q137" s="45">
        <f t="shared" si="16"/>
        <v>-40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139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51</v>
      </c>
      <c r="E141" s="37">
        <f t="shared" ref="E141:K141" si="17">SUM(E114:E140,E90:E99,E79:E87,E69:E76,E7:E66,E102:E111)</f>
        <v>37</v>
      </c>
      <c r="F141" s="37">
        <f t="shared" si="17"/>
        <v>39</v>
      </c>
      <c r="G141" s="37">
        <f t="shared" si="17"/>
        <v>113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0</v>
      </c>
      <c r="L141" s="37">
        <f>SUM(L114:L140,L90:L99,L79:L87,L69:L76,L7:L66,L102:L111)</f>
        <v>240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-240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2025-02-03T00:53:31Z</cp:lastPrinted>
  <dcterms:created xsi:type="dcterms:W3CDTF">2024-04-30T05:21:27Z</dcterms:created>
  <dcterms:modified xsi:type="dcterms:W3CDTF">2025-02-04T00:37:39Z</dcterms:modified>
</cp:coreProperties>
</file>