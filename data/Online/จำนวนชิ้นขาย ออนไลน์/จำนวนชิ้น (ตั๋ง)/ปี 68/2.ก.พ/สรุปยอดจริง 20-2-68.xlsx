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2.ก.พ\"/>
    </mc:Choice>
  </mc:AlternateContent>
  <xr:revisionPtr revIDLastSave="0" documentId="13_ncr:1_{F8E4C5C6-5CC7-44D3-8929-54FBE781DB96}" xr6:coauthVersionLast="47" xr6:coauthVersionMax="47" xr10:uidLastSave="{00000000-0000-0000-0000-000000000000}"/>
  <bookViews>
    <workbookView xWindow="384" yWindow="384" windowWidth="17280" windowHeight="8928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7" i="5"/>
  <c r="D7" i="5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K137" i="5"/>
  <c r="L137" i="5"/>
  <c r="H138" i="5"/>
  <c r="I138" i="5"/>
  <c r="K138" i="5"/>
  <c r="L138" i="5"/>
  <c r="H139" i="5"/>
  <c r="I139" i="5"/>
  <c r="K139" i="5"/>
  <c r="L139" i="5"/>
  <c r="L135" i="3"/>
  <c r="L136" i="3"/>
  <c r="L137" i="3"/>
  <c r="L138" i="3"/>
  <c r="L139" i="3"/>
  <c r="R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K140" i="5"/>
  <c r="L140" i="5"/>
  <c r="H136" i="5"/>
  <c r="I136" i="5"/>
  <c r="K136" i="5"/>
  <c r="L136" i="5"/>
  <c r="H115" i="5"/>
  <c r="I115" i="5"/>
  <c r="K115" i="5"/>
  <c r="L115" i="5"/>
  <c r="H116" i="5"/>
  <c r="I116" i="5"/>
  <c r="K116" i="5"/>
  <c r="L116" i="5"/>
  <c r="H117" i="5"/>
  <c r="I117" i="5"/>
  <c r="K117" i="5"/>
  <c r="L117" i="5"/>
  <c r="H118" i="5"/>
  <c r="I118" i="5"/>
  <c r="K118" i="5"/>
  <c r="L118" i="5"/>
  <c r="H119" i="5"/>
  <c r="I119" i="5"/>
  <c r="K119" i="5"/>
  <c r="L119" i="5"/>
  <c r="H120" i="5"/>
  <c r="I120" i="5"/>
  <c r="K120" i="5"/>
  <c r="L120" i="5"/>
  <c r="H121" i="5"/>
  <c r="I121" i="5"/>
  <c r="K121" i="5"/>
  <c r="L121" i="5"/>
  <c r="H122" i="5"/>
  <c r="I122" i="5"/>
  <c r="K122" i="5"/>
  <c r="L122" i="5"/>
  <c r="H123" i="5"/>
  <c r="I123" i="5"/>
  <c r="K123" i="5"/>
  <c r="L123" i="5"/>
  <c r="H124" i="5"/>
  <c r="I124" i="5"/>
  <c r="K124" i="5"/>
  <c r="L124" i="5"/>
  <c r="H125" i="5"/>
  <c r="I125" i="5"/>
  <c r="K125" i="5"/>
  <c r="L125" i="5"/>
  <c r="H126" i="5"/>
  <c r="I126" i="5"/>
  <c r="K126" i="5"/>
  <c r="L126" i="5"/>
  <c r="H127" i="5"/>
  <c r="I127" i="5"/>
  <c r="K127" i="5"/>
  <c r="L127" i="5"/>
  <c r="H128" i="5"/>
  <c r="I128" i="5"/>
  <c r="K128" i="5"/>
  <c r="L128" i="5"/>
  <c r="H129" i="5"/>
  <c r="I129" i="5"/>
  <c r="K129" i="5"/>
  <c r="L129" i="5"/>
  <c r="H130" i="5"/>
  <c r="I130" i="5"/>
  <c r="K130" i="5"/>
  <c r="L130" i="5"/>
  <c r="H131" i="5"/>
  <c r="I131" i="5"/>
  <c r="K131" i="5"/>
  <c r="L131" i="5"/>
  <c r="H132" i="5"/>
  <c r="I132" i="5"/>
  <c r="K132" i="5"/>
  <c r="L132" i="5"/>
  <c r="H133" i="5"/>
  <c r="I133" i="5"/>
  <c r="K133" i="5"/>
  <c r="L133" i="5"/>
  <c r="H134" i="5"/>
  <c r="I134" i="5"/>
  <c r="K134" i="5"/>
  <c r="L134" i="5"/>
  <c r="H135" i="5"/>
  <c r="I135" i="5"/>
  <c r="K135" i="5"/>
  <c r="L135" i="5"/>
  <c r="H114" i="5"/>
  <c r="I114" i="5"/>
  <c r="K114" i="5"/>
  <c r="L114" i="5"/>
  <c r="H91" i="5"/>
  <c r="I91" i="5"/>
  <c r="K91" i="5"/>
  <c r="L91" i="5"/>
  <c r="H92" i="5"/>
  <c r="I92" i="5"/>
  <c r="K92" i="5"/>
  <c r="L92" i="5"/>
  <c r="H93" i="5"/>
  <c r="I93" i="5"/>
  <c r="K93" i="5"/>
  <c r="L93" i="5"/>
  <c r="H94" i="5"/>
  <c r="I94" i="5"/>
  <c r="K94" i="5"/>
  <c r="L94" i="5"/>
  <c r="H95" i="5"/>
  <c r="I95" i="5"/>
  <c r="K95" i="5"/>
  <c r="L95" i="5"/>
  <c r="H96" i="5"/>
  <c r="I96" i="5"/>
  <c r="K96" i="5"/>
  <c r="L96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H90" i="5"/>
  <c r="I90" i="5"/>
  <c r="K90" i="5"/>
  <c r="L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G69" i="5"/>
  <c r="H69" i="5"/>
  <c r="I69" i="5"/>
  <c r="K69" i="5"/>
  <c r="L69" i="5"/>
  <c r="H8" i="5"/>
  <c r="I8" i="5"/>
  <c r="K8" i="5"/>
  <c r="L8" i="5"/>
  <c r="H9" i="5"/>
  <c r="I9" i="5"/>
  <c r="K9" i="5"/>
  <c r="L9" i="5"/>
  <c r="H10" i="5"/>
  <c r="I10" i="5"/>
  <c r="K10" i="5"/>
  <c r="L10" i="5"/>
  <c r="H11" i="5"/>
  <c r="I11" i="5"/>
  <c r="K11" i="5"/>
  <c r="L11" i="5"/>
  <c r="H12" i="5"/>
  <c r="I12" i="5"/>
  <c r="K12" i="5"/>
  <c r="L12" i="5"/>
  <c r="H13" i="5"/>
  <c r="I13" i="5"/>
  <c r="K13" i="5"/>
  <c r="L13" i="5"/>
  <c r="H14" i="5"/>
  <c r="I14" i="5"/>
  <c r="K14" i="5"/>
  <c r="L14" i="5"/>
  <c r="H15" i="5"/>
  <c r="I15" i="5"/>
  <c r="K15" i="5"/>
  <c r="L15" i="5"/>
  <c r="H16" i="5"/>
  <c r="I16" i="5"/>
  <c r="K16" i="5"/>
  <c r="L16" i="5"/>
  <c r="H17" i="5"/>
  <c r="I17" i="5"/>
  <c r="K17" i="5"/>
  <c r="L17" i="5"/>
  <c r="H18" i="5"/>
  <c r="I18" i="5"/>
  <c r="K18" i="5"/>
  <c r="L18" i="5"/>
  <c r="H19" i="5"/>
  <c r="I19" i="5"/>
  <c r="K19" i="5"/>
  <c r="L19" i="5"/>
  <c r="H20" i="5"/>
  <c r="I20" i="5"/>
  <c r="K20" i="5"/>
  <c r="L20" i="5"/>
  <c r="H21" i="5"/>
  <c r="I21" i="5"/>
  <c r="K21" i="5"/>
  <c r="L21" i="5"/>
  <c r="H22" i="5"/>
  <c r="I22" i="5"/>
  <c r="K22" i="5"/>
  <c r="L22" i="5"/>
  <c r="H23" i="5"/>
  <c r="I23" i="5"/>
  <c r="K23" i="5"/>
  <c r="L23" i="5"/>
  <c r="H24" i="5"/>
  <c r="I24" i="5"/>
  <c r="K24" i="5"/>
  <c r="L24" i="5"/>
  <c r="H25" i="5"/>
  <c r="I25" i="5"/>
  <c r="K25" i="5"/>
  <c r="L25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H7" i="5"/>
  <c r="I7" i="5"/>
  <c r="K7" i="5"/>
  <c r="L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38" i="5" l="1"/>
  <c r="R137" i="5"/>
  <c r="R139" i="5"/>
  <c r="L112" i="6"/>
  <c r="R135" i="5"/>
  <c r="L112" i="3"/>
  <c r="L141" i="5"/>
  <c r="R136" i="5"/>
  <c r="R140" i="5"/>
  <c r="R130" i="5"/>
  <c r="R129" i="5"/>
  <c r="R90" i="5"/>
  <c r="R93" i="5"/>
  <c r="R95" i="5"/>
  <c r="R127" i="5"/>
  <c r="R118" i="5"/>
  <c r="R131" i="5"/>
  <c r="R133" i="5"/>
  <c r="R126" i="5"/>
  <c r="R119" i="5"/>
  <c r="R124" i="5"/>
  <c r="R117" i="5"/>
  <c r="R94" i="5"/>
  <c r="R128" i="5"/>
  <c r="R96" i="5"/>
  <c r="R125" i="5"/>
  <c r="R121" i="5"/>
  <c r="R134" i="5"/>
  <c r="R120" i="5"/>
  <c r="R87" i="5"/>
  <c r="R115" i="5"/>
  <c r="R92" i="5"/>
  <c r="R98" i="5"/>
  <c r="R97" i="5"/>
  <c r="R91" i="5"/>
  <c r="R123" i="5"/>
  <c r="R132" i="5"/>
  <c r="R122" i="5"/>
  <c r="R116" i="5"/>
  <c r="R114" i="5"/>
  <c r="H103" i="5"/>
  <c r="I103" i="5"/>
  <c r="K103" i="5"/>
  <c r="H104" i="5"/>
  <c r="I104" i="5"/>
  <c r="K104" i="5"/>
  <c r="H105" i="5"/>
  <c r="I105" i="5"/>
  <c r="K105" i="5"/>
  <c r="H106" i="5"/>
  <c r="I106" i="5"/>
  <c r="K106" i="5"/>
  <c r="H107" i="5"/>
  <c r="I107" i="5"/>
  <c r="K107" i="5"/>
  <c r="H108" i="5"/>
  <c r="I108" i="5"/>
  <c r="K108" i="5"/>
  <c r="H109" i="5"/>
  <c r="I109" i="5"/>
  <c r="K109" i="5"/>
  <c r="G110" i="5"/>
  <c r="H110" i="5"/>
  <c r="I110" i="5"/>
  <c r="K110" i="5"/>
  <c r="D111" i="5"/>
  <c r="E111" i="5"/>
  <c r="F111" i="5"/>
  <c r="G111" i="5"/>
  <c r="H111" i="5"/>
  <c r="I111" i="5"/>
  <c r="K111" i="5"/>
  <c r="H102" i="5"/>
  <c r="I102" i="5"/>
  <c r="K102" i="5"/>
  <c r="D99" i="5"/>
  <c r="E99" i="5"/>
  <c r="F99" i="5"/>
  <c r="G99" i="5"/>
  <c r="H99" i="5"/>
  <c r="I99" i="5"/>
  <c r="K99" i="5"/>
  <c r="D66" i="5"/>
  <c r="E66" i="5"/>
  <c r="F66" i="5"/>
  <c r="G66" i="5"/>
  <c r="H66" i="5"/>
  <c r="I66" i="5"/>
  <c r="K66" i="5"/>
  <c r="K141" i="5" l="1"/>
  <c r="E141" i="5"/>
  <c r="F141" i="5"/>
  <c r="I141" i="5"/>
  <c r="H141" i="5"/>
  <c r="D141" i="5"/>
  <c r="G141" i="5"/>
  <c r="R102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100" i="5" s="1"/>
  <c r="R35" i="5"/>
  <c r="R44" i="5"/>
  <c r="R62" i="5"/>
  <c r="R23" i="5"/>
  <c r="R66" i="5"/>
  <c r="R50" i="5"/>
  <c r="R34" i="5"/>
  <c r="R18" i="5"/>
  <c r="R82" i="5"/>
  <c r="R112" i="5" l="1"/>
  <c r="M141" i="5"/>
  <c r="R88" i="5"/>
  <c r="R67" i="5"/>
  <c r="N141" i="5" l="1"/>
  <c r="O141" i="5"/>
  <c r="R141" i="5" l="1"/>
  <c r="L100" i="4" l="1"/>
  <c r="L112" i="4" l="1"/>
</calcChain>
</file>

<file path=xl/sharedStrings.xml><?xml version="1.0" encoding="utf-8"?>
<sst xmlns="http://schemas.openxmlformats.org/spreadsheetml/2006/main" count="616" uniqueCount="147">
  <si>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</si>
  <si>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</si>
  <si>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</si>
  <si>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</si>
  <si>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</si>
  <si>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</si>
  <si>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</si>
  <si>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</si>
  <si>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</si>
  <si>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</si>
  <si>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</si>
  <si>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</si>
  <si>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</si>
  <si>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</si>
  <si>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</si>
  <si>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</si>
  <si>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</si>
  <si>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</si>
  <si>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</si>
  <si>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</si>
  <si>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</si>
  <si>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</si>
  <si>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</si>
  <si>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</si>
  <si>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</si>
  <si>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</si>
  <si>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</si>
  <si>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</si>
  <si>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</si>
  <si>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</si>
  <si>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</si>
  <si>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</si>
  <si>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</si>
  <si>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</si>
  <si>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</si>
  <si>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</si>
  <si>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</si>
  <si>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</si>
  <si>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</si>
  <si>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</si>
  <si>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</si>
  <si>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</si>
  <si>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</si>
  <si>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</si>
  <si>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</si>
  <si>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</si>
  <si>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</si>
  <si>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</si>
  <si>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</si>
  <si>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</si>
  <si>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</si>
  <si>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</si>
  <si>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</si>
  <si>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</si>
  <si>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</si>
  <si>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</si>
  <si>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</si>
  <si>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</si>
  <si>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</si>
  <si>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</si>
  <si>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</si>
  <si>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</si>
  <si>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</si>
  <si>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</si>
  <si>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</si>
  <si>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</si>
  <si>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</si>
  <si>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</si>
  <si>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</si>
  <si>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</si>
  <si>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</si>
  <si>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</si>
  <si>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</si>
  <si>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</si>
  <si>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</si>
  <si>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</si>
  <si>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</si>
  <si>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</si>
  <si>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</si>
  <si>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</si>
  <si>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</si>
  <si>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</si>
  <si>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</si>
  <si>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</si>
  <si>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</si>
  <si>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</si>
  <si>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</si>
  <si>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</si>
  <si>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</si>
  <si>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</si>
  <si>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</si>
  <si>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</si>
  <si>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</si>
  <si>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</si>
  <si>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</si>
  <si>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</si>
  <si>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</si>
  <si>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</si>
  <si>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</si>
  <si>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</si>
  <si>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</si>
  <si>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</si>
  <si>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</si>
  <si>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</si>
  <si>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</si>
  <si>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</si>
  <si>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</si>
  <si>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</si>
  <si>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</si>
  <si>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</si>
  <si>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</si>
  <si>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</si>
  <si>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</si>
  <si>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</si>
  <si>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</si>
  <si>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</si>
  <si>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</si>
  <si>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</si>
  <si>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</si>
  <si>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</si>
  <si>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</si>
  <si>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</si>
  <si>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</si>
  <si>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</si>
  <si>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</si>
  <si>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</si>
  <si>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</si>
  <si>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</si>
  <si>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</si>
  <si>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</si>
  <si>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</si>
  <si>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</si>
  <si>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</si>
  <si>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</si>
  <si>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</si>
  <si>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</si>
  <si>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</si>
  <si>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</si>
  <si>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</si>
  <si>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</si>
  <si>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</si>
  <si>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</si>
  <si>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</si>
  <si>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</si>
  <si>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20/2/2568- เช้า</t>
  </si>
  <si>
    <t>ยอดจริง ออนไลน์ วันที่ 20/2/2568 รวม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</si>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</sst>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5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5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5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G94" sqref="G94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7" width="14.3984375" style="16" customWidth="1"/>
    <col min="8" max="10" width="14.3984375" style="16" hidden="1" customWidth="1"/>
    <col min="11" max="11" width="14.3984375" style="16" customWidth="1"/>
    <col min="12" max="12" width="17.59765625" style="26" customWidth="1"/>
  </cols>
  <sheetData>
    <row r="1" spans="2:12" x14ac:dyDescent="0.25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5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5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5">
      <c r="B7" s="11">
        <v>1111002</v>
      </c>
      <c r="C7" s="15" t="s">
        <v>107</v>
      </c>
      <c r="D7" s="31">
        <v>52</v>
      </c>
      <c r="E7" s="31">
        <v>14</v>
      </c>
      <c r="F7" s="31">
        <v>74</v>
      </c>
      <c r="G7" s="31">
        <v>15</v>
      </c>
      <c r="H7" s="31"/>
      <c r="I7" s="31"/>
      <c r="J7" s="44"/>
      <c r="K7" s="44">
        <v>10</v>
      </c>
      <c r="L7" s="37">
        <f>SUM(D7:K7)</f>
        <v>165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2</v>
      </c>
      <c r="E25" s="31"/>
      <c r="F25" s="31">
        <v>17</v>
      </c>
      <c r="G25" s="31"/>
      <c r="H25" s="31"/>
      <c r="I25" s="31"/>
      <c r="J25" s="44"/>
      <c r="K25" s="44"/>
      <c r="L25" s="37">
        <f t="shared" si="0"/>
        <v>19</v>
      </c>
    </row>
    <row r="26" spans="2:12" x14ac:dyDescent="0.25">
      <c r="B26" s="11">
        <v>1004055</v>
      </c>
      <c r="C26" s="15" t="s">
        <v>108</v>
      </c>
      <c r="D26" s="31">
        <v>30</v>
      </c>
      <c r="E26" s="31">
        <v>4</v>
      </c>
      <c r="F26" s="31"/>
      <c r="G26" s="31">
        <v>15</v>
      </c>
      <c r="H26" s="31"/>
      <c r="I26" s="31"/>
      <c r="J26" s="44"/>
      <c r="K26" s="44"/>
      <c r="L26" s="37">
        <f t="shared" si="0"/>
        <v>49</v>
      </c>
    </row>
    <row r="27" spans="2:12" ht="22.5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5">
      <c r="B69" s="11">
        <v>1111009</v>
      </c>
      <c r="C69" s="20" t="s">
        <v>56</v>
      </c>
      <c r="D69" s="31">
        <v>9</v>
      </c>
      <c r="E69" s="31"/>
      <c r="F69" s="31">
        <v>17</v>
      </c>
      <c r="G69" s="31">
        <v>5</v>
      </c>
      <c r="H69" s="31"/>
      <c r="I69" s="31"/>
      <c r="J69" s="44"/>
      <c r="K69" s="44">
        <v>10</v>
      </c>
      <c r="L69" s="37">
        <f t="shared" ref="L69:L76" si="1">SUM(D69:K69)</f>
        <v>41</v>
      </c>
    </row>
    <row r="70" spans="2:12" hidden="1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hidden="1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hidden="1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hidden="1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hidden="1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hidden="1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hidden="1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hidden="1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hidden="1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>
        <v>18</v>
      </c>
      <c r="H87" s="31"/>
      <c r="I87" s="31"/>
      <c r="J87" s="44"/>
      <c r="K87" s="44"/>
      <c r="L87" s="37">
        <f t="shared" si="2"/>
        <v>18</v>
      </c>
    </row>
    <row r="88" spans="2:12" hidden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5">
      <c r="B90" s="11">
        <v>1112009</v>
      </c>
      <c r="C90" s="20" t="s">
        <v>75</v>
      </c>
      <c r="D90" s="31">
        <v>21</v>
      </c>
      <c r="E90" s="31">
        <v>1</v>
      </c>
      <c r="F90" s="31"/>
      <c r="G90" s="31">
        <v>12</v>
      </c>
      <c r="H90" s="31"/>
      <c r="I90" s="31"/>
      <c r="J90" s="44"/>
      <c r="K90" s="44">
        <v>5</v>
      </c>
      <c r="L90" s="37">
        <f t="shared" ref="L90:L99" si="3">SUM(D90:K90)</f>
        <v>39</v>
      </c>
    </row>
    <row r="91" spans="2:12" x14ac:dyDescent="0.25">
      <c r="B91" s="11">
        <v>1112011</v>
      </c>
      <c r="C91" s="20" t="s">
        <v>76</v>
      </c>
      <c r="D91" s="31">
        <v>21</v>
      </c>
      <c r="E91" s="31">
        <v>1</v>
      </c>
      <c r="F91" s="31"/>
      <c r="G91" s="31">
        <v>11</v>
      </c>
      <c r="H91" s="31"/>
      <c r="I91" s="31"/>
      <c r="J91" s="44"/>
      <c r="K91" s="44">
        <v>5</v>
      </c>
      <c r="L91" s="37">
        <f t="shared" si="3"/>
        <v>38</v>
      </c>
    </row>
    <row r="92" spans="2:12" x14ac:dyDescent="0.25">
      <c r="B92" s="11">
        <v>1112003</v>
      </c>
      <c r="C92" s="20" t="s">
        <v>77</v>
      </c>
      <c r="D92" s="31">
        <v>13</v>
      </c>
      <c r="E92" s="31">
        <v>1</v>
      </c>
      <c r="F92" s="31"/>
      <c r="G92" s="31">
        <v>12</v>
      </c>
      <c r="H92" s="31"/>
      <c r="I92" s="31"/>
      <c r="J92" s="44"/>
      <c r="K92" s="44">
        <v>2</v>
      </c>
      <c r="L92" s="37">
        <f t="shared" si="3"/>
        <v>28</v>
      </c>
    </row>
    <row r="93" spans="2:12" x14ac:dyDescent="0.25">
      <c r="B93" s="11">
        <v>1112005</v>
      </c>
      <c r="C93" s="20" t="s">
        <v>78</v>
      </c>
      <c r="D93" s="31">
        <v>20</v>
      </c>
      <c r="E93" s="31"/>
      <c r="F93" s="31"/>
      <c r="G93" s="31">
        <v>12</v>
      </c>
      <c r="H93" s="31"/>
      <c r="I93" s="31"/>
      <c r="J93" s="44"/>
      <c r="K93" s="44"/>
      <c r="L93" s="37">
        <f t="shared" si="3"/>
        <v>32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>
        <v>3</v>
      </c>
      <c r="L97" s="37">
        <f t="shared" si="3"/>
        <v>3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hidden="1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5">
      <c r="B102" s="11">
        <v>1112008</v>
      </c>
      <c r="C102" s="20" t="s">
        <v>75</v>
      </c>
      <c r="D102" s="31">
        <v>1</v>
      </c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1</v>
      </c>
    </row>
    <row r="103" spans="2:12" x14ac:dyDescent="0.25">
      <c r="B103" s="11">
        <v>1112010</v>
      </c>
      <c r="C103" s="20" t="s">
        <v>76</v>
      </c>
      <c r="D103" s="31">
        <v>2</v>
      </c>
      <c r="E103" s="31"/>
      <c r="F103" s="31"/>
      <c r="G103" s="31"/>
      <c r="H103" s="31"/>
      <c r="I103" s="31"/>
      <c r="J103" s="44"/>
      <c r="K103" s="44"/>
      <c r="L103" s="37">
        <f t="shared" si="5"/>
        <v>2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3</v>
      </c>
    </row>
    <row r="113" spans="2:12" ht="20.399999999999999" x14ac:dyDescent="0.25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5">
      <c r="B115" s="11">
        <v>1113171</v>
      </c>
      <c r="C115" s="22" t="s">
        <v>88</v>
      </c>
      <c r="D115" s="31">
        <v>10</v>
      </c>
      <c r="E115" s="31"/>
      <c r="F115" s="31"/>
      <c r="G115" s="31"/>
      <c r="H115" s="31"/>
      <c r="I115" s="31"/>
      <c r="J115" s="44"/>
      <c r="K115" s="44"/>
      <c r="L115" s="37">
        <f t="shared" si="6"/>
        <v>10</v>
      </c>
    </row>
    <row r="116" spans="2:12" x14ac:dyDescent="0.25">
      <c r="B116" s="11">
        <v>1113172</v>
      </c>
      <c r="C116" s="22" t="s">
        <v>89</v>
      </c>
      <c r="D116" s="31">
        <v>13</v>
      </c>
      <c r="E116" s="31"/>
      <c r="F116" s="31"/>
      <c r="G116" s="31"/>
      <c r="H116" s="31"/>
      <c r="I116" s="31"/>
      <c r="J116" s="44"/>
      <c r="K116" s="44"/>
      <c r="L116" s="37">
        <f t="shared" si="6"/>
        <v>13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>
        <v>7</v>
      </c>
      <c r="E123" s="31">
        <v>2</v>
      </c>
      <c r="F123" s="31"/>
      <c r="G123" s="31">
        <v>60</v>
      </c>
      <c r="H123" s="31"/>
      <c r="I123" s="31"/>
      <c r="J123" s="44"/>
      <c r="K123" s="44"/>
      <c r="L123" s="37">
        <f t="shared" si="6"/>
        <v>69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>
        <v>41</v>
      </c>
      <c r="G126" s="31"/>
      <c r="H126" s="31"/>
      <c r="I126" s="31"/>
      <c r="J126" s="44"/>
      <c r="K126" s="44"/>
      <c r="L126" s="37">
        <f t="shared" si="6"/>
        <v>41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>
        <v>1</v>
      </c>
      <c r="F135" s="31">
        <v>1</v>
      </c>
      <c r="G135" s="31"/>
      <c r="H135" s="31"/>
      <c r="I135" s="31"/>
      <c r="J135" s="44"/>
      <c r="K135" s="44"/>
      <c r="L135" s="37">
        <f t="shared" si="6"/>
        <v>2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23">
        <v>20052721</v>
      </c>
      <c r="C137" s="22" t="s">
        <v>143</v>
      </c>
      <c r="D137" s="31"/>
      <c r="E137" s="31"/>
      <c r="F137" s="31"/>
      <c r="G137" s="31">
        <v>12</v>
      </c>
      <c r="H137" s="31"/>
      <c r="I137" s="31"/>
      <c r="J137" s="44"/>
      <c r="K137" s="44"/>
      <c r="L137" s="37">
        <f t="shared" si="6"/>
        <v>12</v>
      </c>
    </row>
    <row r="138" spans="2:12" x14ac:dyDescent="0.25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5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5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54"/>
      <c r="C142" s="55"/>
      <c r="D142" s="32"/>
      <c r="E142" s="32"/>
      <c r="F142" s="32"/>
      <c r="G142" s="27"/>
      <c r="L142" s="56"/>
    </row>
    <row r="143" spans="2:12" x14ac:dyDescent="0.25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 x14ac:dyDescent="0.25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 x14ac:dyDescent="0.25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3.8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5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5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5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3"/>
  <sheetViews>
    <sheetView tabSelected="1" zoomScale="50" zoomScaleNormal="50" workbookViewId="0">
      <pane xSplit="3" ySplit="4" topLeftCell="D63" activePane="bottomRight" state="frozen"/>
      <selection pane="topRight" activeCell="D1" sqref="D1"/>
      <selection pane="bottomLeft" activeCell="A5" sqref="A5"/>
      <selection pane="bottomRight" activeCell="R76" sqref="R76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2" width="14.3984375" style="16" customWidth="1"/>
    <col min="13" max="13" width="17.59765625" style="26" customWidth="1"/>
    <col min="14" max="14" width="16.09765625" style="24" customWidth="1"/>
    <col min="15" max="16" width="15.3984375" style="24" customWidth="1"/>
    <col min="17" max="17" width="25.3984375" style="24" customWidth="1"/>
    <col min="18" max="18" width="14.3984375" style="29" customWidth="1"/>
    <col min="19" max="19" width="9.09765625" customWidth="1"/>
    <col min="20" max="20" width="7.3984375" customWidth="1"/>
    <col min="21" max="21" width="22.69921875" customWidth="1"/>
    <col min="22" max="24" width="8.796875" customWidth="1"/>
  </cols>
  <sheetData>
    <row r="1" spans="2:18" x14ac:dyDescent="0.25">
      <c r="B1" s="74" t="s">
        <v>145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2:18" x14ac:dyDescent="0.25">
      <c r="B2" s="75"/>
      <c r="C2" s="76"/>
      <c r="D2" s="1"/>
      <c r="E2" s="77"/>
      <c r="F2" s="77"/>
      <c r="G2" s="2"/>
      <c r="H2" s="2"/>
      <c r="I2" s="2"/>
      <c r="J2" s="2"/>
      <c r="K2" s="2"/>
      <c r="L2" s="2"/>
      <c r="M2" s="3" t="s">
        <v>0</v>
      </c>
      <c r="N2" s="71" t="s">
        <v>127</v>
      </c>
      <c r="O2" s="71" t="s">
        <v>130</v>
      </c>
      <c r="P2" s="71" t="s">
        <v>141</v>
      </c>
      <c r="Q2" s="71" t="s">
        <v>142</v>
      </c>
      <c r="R2" s="79" t="s">
        <v>1</v>
      </c>
    </row>
    <row r="3" spans="2:18" x14ac:dyDescent="0.25">
      <c r="B3" s="75"/>
      <c r="C3" s="76"/>
      <c r="D3" s="4"/>
      <c r="E3" s="78"/>
      <c r="F3" s="78"/>
      <c r="G3" s="5"/>
      <c r="H3" s="5"/>
      <c r="I3" s="5"/>
      <c r="J3" s="67"/>
      <c r="K3" s="42"/>
      <c r="L3" s="42"/>
      <c r="M3" s="6" t="s">
        <v>2</v>
      </c>
      <c r="N3" s="72"/>
      <c r="O3" s="72"/>
      <c r="P3" s="72"/>
      <c r="Q3" s="72"/>
      <c r="R3" s="80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146</v>
      </c>
      <c r="K4" s="43" t="s">
        <v>133</v>
      </c>
      <c r="L4" s="43" t="s">
        <v>136</v>
      </c>
      <c r="M4" s="10" t="s">
        <v>10</v>
      </c>
      <c r="N4" s="73"/>
      <c r="O4" s="73"/>
      <c r="P4" s="73"/>
      <c r="Q4" s="73"/>
      <c r="R4" s="81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43"/>
      <c r="M5" s="14"/>
      <c r="N5" s="11"/>
      <c r="O5" s="11"/>
      <c r="P5" s="11"/>
      <c r="Q5" s="11"/>
      <c r="R5" s="30"/>
    </row>
    <row r="6" spans="2:18" ht="20.399999999999999" x14ac:dyDescent="0.25">
      <c r="B6" s="68" t="s">
        <v>11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70"/>
    </row>
    <row r="7" spans="2:18" x14ac:dyDescent="0.25">
      <c r="B7" s="11">
        <v>1111002</v>
      </c>
      <c r="C7" s="15" t="s">
        <v>107</v>
      </c>
      <c r="D7" s="31">
        <f>'เย็น '!D7+'เช้า '!D7+บ่าย!D7</f>
        <v>52</v>
      </c>
      <c r="E7" s="31">
        <f>'เย็น '!E7+'เช้า '!E7+บ่าย!E7</f>
        <v>14</v>
      </c>
      <c r="F7" s="31">
        <f>'เย็น '!F7+'เช้า '!F7+บ่าย!F7</f>
        <v>74</v>
      </c>
      <c r="G7" s="31">
        <f>'เย็น '!G7+'เช้า '!G7+บ่าย!G7</f>
        <v>15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+G7+H7+I7</f>
        <v>15</v>
      </c>
      <c r="K7" s="31">
        <f>'เย็น '!J7+'เช้า '!J7+บ่าย!J7</f>
        <v>0</v>
      </c>
      <c r="L7" s="31">
        <f>'เย็น '!K7+'เช้า '!K7+บ่าย!K7</f>
        <v>10</v>
      </c>
      <c r="M7" s="37">
        <f>+D7+E7+F7+J7+K7+L7</f>
        <v>165</v>
      </c>
      <c r="N7" s="11">
        <v>210</v>
      </c>
      <c r="O7" s="11">
        <v>77</v>
      </c>
      <c r="P7" s="11"/>
      <c r="Q7" s="11"/>
      <c r="R7" s="45">
        <f>(N7+O7+P7+Q7)-M7</f>
        <v>122</v>
      </c>
    </row>
    <row r="8" spans="2:18" x14ac:dyDescent="0.2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 t="shared" ref="J8:J71" si="0">+G8+H8+I8</f>
        <v>0</v>
      </c>
      <c r="K8" s="31">
        <f>'เย็น '!J8+'เช้า '!J8+บ่าย!J8</f>
        <v>0</v>
      </c>
      <c r="L8" s="31">
        <f>'เย็น '!K8+'เช้า '!K8+บ่าย!K8</f>
        <v>0</v>
      </c>
      <c r="M8" s="37">
        <f t="shared" ref="M8:M71" si="1">+D8+E8+F8+J8+K8+L8</f>
        <v>0</v>
      </c>
      <c r="N8" s="11"/>
      <c r="O8" s="11"/>
      <c r="P8" s="11"/>
      <c r="Q8" s="11"/>
      <c r="R8" s="45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 t="shared" si="0"/>
        <v>0</v>
      </c>
      <c r="K9" s="31">
        <f>'เย็น '!J9+'เช้า '!J9+บ่าย!J9</f>
        <v>0</v>
      </c>
      <c r="L9" s="31">
        <f>'เย็น '!K9+'เช้า '!K9+บ่าย!K9</f>
        <v>0</v>
      </c>
      <c r="M9" s="37">
        <f t="shared" si="1"/>
        <v>0</v>
      </c>
      <c r="N9" s="11"/>
      <c r="O9" s="11"/>
      <c r="P9" s="11"/>
      <c r="Q9" s="11"/>
      <c r="R9" s="45">
        <f t="shared" si="2"/>
        <v>0</v>
      </c>
    </row>
    <row r="10" spans="2:18" x14ac:dyDescent="0.2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 t="shared" si="0"/>
        <v>0</v>
      </c>
      <c r="K10" s="31">
        <f>'เย็น '!J10+'เช้า '!J10+บ่าย!J10</f>
        <v>0</v>
      </c>
      <c r="L10" s="31">
        <f>'เย็น '!K10+'เช้า '!K10+บ่าย!K10</f>
        <v>0</v>
      </c>
      <c r="M10" s="37">
        <f t="shared" si="1"/>
        <v>0</v>
      </c>
      <c r="N10" s="11"/>
      <c r="O10" s="11"/>
      <c r="P10" s="11"/>
      <c r="Q10" s="11"/>
      <c r="R10" s="45">
        <f t="shared" si="2"/>
        <v>0</v>
      </c>
    </row>
    <row r="11" spans="2:18" x14ac:dyDescent="0.25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 t="shared" si="0"/>
        <v>0</v>
      </c>
      <c r="K11" s="31">
        <f>'เย็น '!J11+'เช้า '!J11+บ่าย!J11</f>
        <v>0</v>
      </c>
      <c r="L11" s="31">
        <f>'เย็น '!K11+'เช้า '!K11+บ่าย!K11</f>
        <v>0</v>
      </c>
      <c r="M11" s="37">
        <f t="shared" si="1"/>
        <v>0</v>
      </c>
      <c r="N11" s="11"/>
      <c r="O11" s="11"/>
      <c r="P11" s="11"/>
      <c r="Q11" s="11"/>
      <c r="R11" s="45">
        <f t="shared" si="2"/>
        <v>0</v>
      </c>
    </row>
    <row r="12" spans="2:18" x14ac:dyDescent="0.2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 t="shared" si="0"/>
        <v>0</v>
      </c>
      <c r="K12" s="31">
        <f>'เย็น '!J12+'เช้า '!J12+บ่าย!J12</f>
        <v>0</v>
      </c>
      <c r="L12" s="31">
        <f>'เย็น '!K12+'เช้า '!K12+บ่าย!K12</f>
        <v>0</v>
      </c>
      <c r="M12" s="37">
        <f t="shared" si="1"/>
        <v>0</v>
      </c>
      <c r="N12" s="11"/>
      <c r="O12" s="11"/>
      <c r="P12" s="11"/>
      <c r="Q12" s="11"/>
      <c r="R12" s="45">
        <f t="shared" si="2"/>
        <v>0</v>
      </c>
    </row>
    <row r="13" spans="2:18" x14ac:dyDescent="0.2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 t="shared" si="0"/>
        <v>0</v>
      </c>
      <c r="K13" s="31">
        <f>'เย็น '!J13+'เช้า '!J13+บ่าย!J13</f>
        <v>0</v>
      </c>
      <c r="L13" s="31">
        <f>'เย็น '!K13+'เช้า '!K13+บ่าย!K13</f>
        <v>0</v>
      </c>
      <c r="M13" s="37">
        <f t="shared" si="1"/>
        <v>0</v>
      </c>
      <c r="N13" s="11"/>
      <c r="O13" s="11"/>
      <c r="P13" s="11"/>
      <c r="Q13" s="11"/>
      <c r="R13" s="45">
        <f t="shared" si="2"/>
        <v>0</v>
      </c>
    </row>
    <row r="14" spans="2:18" x14ac:dyDescent="0.2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 t="shared" si="0"/>
        <v>0</v>
      </c>
      <c r="K14" s="31">
        <f>'เย็น '!J14+'เช้า '!J14+บ่าย!J14</f>
        <v>0</v>
      </c>
      <c r="L14" s="31">
        <f>'เย็น '!K14+'เช้า '!K14+บ่าย!K14</f>
        <v>0</v>
      </c>
      <c r="M14" s="37">
        <f t="shared" si="1"/>
        <v>0</v>
      </c>
      <c r="N14" s="11"/>
      <c r="O14" s="11"/>
      <c r="P14" s="11"/>
      <c r="Q14" s="11"/>
      <c r="R14" s="45">
        <f t="shared" si="2"/>
        <v>0</v>
      </c>
    </row>
    <row r="15" spans="2:18" x14ac:dyDescent="0.2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 t="shared" si="0"/>
        <v>0</v>
      </c>
      <c r="K15" s="31">
        <f>'เย็น '!J15+'เช้า '!J15+บ่าย!J15</f>
        <v>0</v>
      </c>
      <c r="L15" s="31">
        <f>'เย็น '!K15+'เช้า '!K15+บ่าย!K15</f>
        <v>0</v>
      </c>
      <c r="M15" s="37">
        <f t="shared" si="1"/>
        <v>0</v>
      </c>
      <c r="N15" s="11"/>
      <c r="O15" s="11"/>
      <c r="P15" s="11"/>
      <c r="Q15" s="11"/>
      <c r="R15" s="45">
        <f t="shared" si="2"/>
        <v>0</v>
      </c>
    </row>
    <row r="16" spans="2:18" x14ac:dyDescent="0.2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 t="shared" si="0"/>
        <v>0</v>
      </c>
      <c r="K16" s="31">
        <f>'เย็น '!J16+'เช้า '!J16+บ่าย!J16</f>
        <v>0</v>
      </c>
      <c r="L16" s="31">
        <f>'เย็น '!K16+'เช้า '!K16+บ่าย!K16</f>
        <v>0</v>
      </c>
      <c r="M16" s="37">
        <f t="shared" si="1"/>
        <v>0</v>
      </c>
      <c r="N16" s="11"/>
      <c r="O16" s="11"/>
      <c r="P16" s="11"/>
      <c r="Q16" s="11"/>
      <c r="R16" s="45">
        <f t="shared" si="2"/>
        <v>0</v>
      </c>
    </row>
    <row r="17" spans="2:18" x14ac:dyDescent="0.2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 t="shared" si="0"/>
        <v>0</v>
      </c>
      <c r="K17" s="31">
        <f>'เย็น '!J17+'เช้า '!J17+บ่าย!J17</f>
        <v>0</v>
      </c>
      <c r="L17" s="31">
        <f>'เย็น '!K17+'เช้า '!K17+บ่าย!K17</f>
        <v>0</v>
      </c>
      <c r="M17" s="37">
        <f t="shared" si="1"/>
        <v>0</v>
      </c>
      <c r="N17" s="11"/>
      <c r="O17" s="11"/>
      <c r="P17" s="11"/>
      <c r="Q17" s="11"/>
      <c r="R17" s="45">
        <f t="shared" si="2"/>
        <v>0</v>
      </c>
    </row>
    <row r="18" spans="2:18" x14ac:dyDescent="0.2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 t="shared" si="0"/>
        <v>0</v>
      </c>
      <c r="K18" s="31">
        <f>'เย็น '!J18+'เช้า '!J18+บ่าย!J18</f>
        <v>0</v>
      </c>
      <c r="L18" s="31">
        <f>'เย็น '!K18+'เช้า '!K18+บ่าย!K18</f>
        <v>0</v>
      </c>
      <c r="M18" s="37">
        <f t="shared" si="1"/>
        <v>0</v>
      </c>
      <c r="N18" s="11"/>
      <c r="O18" s="11"/>
      <c r="P18" s="11"/>
      <c r="Q18" s="11"/>
      <c r="R18" s="45">
        <f t="shared" si="2"/>
        <v>0</v>
      </c>
    </row>
    <row r="19" spans="2:18" x14ac:dyDescent="0.2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 t="shared" si="0"/>
        <v>0</v>
      </c>
      <c r="K19" s="31">
        <f>'เย็น '!J19+'เช้า '!J19+บ่าย!J19</f>
        <v>0</v>
      </c>
      <c r="L19" s="31">
        <f>'เย็น '!K19+'เช้า '!K19+บ่าย!K19</f>
        <v>0</v>
      </c>
      <c r="M19" s="37">
        <f t="shared" si="1"/>
        <v>0</v>
      </c>
      <c r="N19" s="11"/>
      <c r="O19" s="11"/>
      <c r="P19" s="11"/>
      <c r="Q19" s="11"/>
      <c r="R19" s="45">
        <f t="shared" si="2"/>
        <v>0</v>
      </c>
    </row>
    <row r="20" spans="2:18" x14ac:dyDescent="0.2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 t="shared" si="0"/>
        <v>0</v>
      </c>
      <c r="K20" s="31">
        <f>'เย็น '!J20+'เช้า '!J20+บ่าย!J20</f>
        <v>0</v>
      </c>
      <c r="L20" s="31">
        <f>'เย็น '!K20+'เช้า '!K20+บ่าย!K20</f>
        <v>0</v>
      </c>
      <c r="M20" s="37">
        <f t="shared" si="1"/>
        <v>0</v>
      </c>
      <c r="N20" s="11"/>
      <c r="O20" s="11"/>
      <c r="P20" s="11"/>
      <c r="Q20" s="11"/>
      <c r="R20" s="45">
        <f t="shared" si="2"/>
        <v>0</v>
      </c>
    </row>
    <row r="21" spans="2:18" x14ac:dyDescent="0.2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 t="shared" si="0"/>
        <v>0</v>
      </c>
      <c r="K21" s="31">
        <f>'เย็น '!J21+'เช้า '!J21+บ่าย!J21</f>
        <v>0</v>
      </c>
      <c r="L21" s="31">
        <f>'เย็น '!K21+'เช้า '!K21+บ่าย!K21</f>
        <v>0</v>
      </c>
      <c r="M21" s="37">
        <f t="shared" si="1"/>
        <v>0</v>
      </c>
      <c r="N21" s="11"/>
      <c r="O21" s="11"/>
      <c r="P21" s="11"/>
      <c r="Q21" s="11"/>
      <c r="R21" s="45">
        <f t="shared" si="2"/>
        <v>0</v>
      </c>
    </row>
    <row r="22" spans="2:18" x14ac:dyDescent="0.2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 t="shared" si="0"/>
        <v>0</v>
      </c>
      <c r="K22" s="31">
        <f>'เย็น '!J22+'เช้า '!J22+บ่าย!J22</f>
        <v>0</v>
      </c>
      <c r="L22" s="31">
        <f>'เย็น '!K22+'เช้า '!K22+บ่าย!K22</f>
        <v>0</v>
      </c>
      <c r="M22" s="37">
        <f t="shared" si="1"/>
        <v>0</v>
      </c>
      <c r="N22" s="11"/>
      <c r="O22" s="11"/>
      <c r="P22" s="11"/>
      <c r="Q22" s="11"/>
      <c r="R22" s="45">
        <f t="shared" si="2"/>
        <v>0</v>
      </c>
    </row>
    <row r="23" spans="2:18" x14ac:dyDescent="0.2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 t="shared" si="0"/>
        <v>0</v>
      </c>
      <c r="K23" s="31">
        <f>'เย็น '!J23+'เช้า '!J23+บ่าย!J23</f>
        <v>0</v>
      </c>
      <c r="L23" s="31">
        <f>'เย็น '!K23+'เช้า '!K23+บ่าย!K23</f>
        <v>0</v>
      </c>
      <c r="M23" s="37">
        <f t="shared" si="1"/>
        <v>0</v>
      </c>
      <c r="N23" s="11"/>
      <c r="O23" s="11"/>
      <c r="P23" s="11"/>
      <c r="Q23" s="11"/>
      <c r="R23" s="45">
        <f t="shared" si="2"/>
        <v>0</v>
      </c>
    </row>
    <row r="24" spans="2:18" x14ac:dyDescent="0.2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 t="shared" si="0"/>
        <v>0</v>
      </c>
      <c r="K24" s="31">
        <f>'เย็น '!J24+'เช้า '!J24+บ่าย!J24</f>
        <v>0</v>
      </c>
      <c r="L24" s="31">
        <f>'เย็น '!K24+'เช้า '!K24+บ่าย!K24</f>
        <v>0</v>
      </c>
      <c r="M24" s="37">
        <f t="shared" si="1"/>
        <v>0</v>
      </c>
      <c r="N24" s="11"/>
      <c r="O24" s="11"/>
      <c r="P24" s="11"/>
      <c r="Q24" s="11"/>
      <c r="R24" s="45">
        <f t="shared" si="2"/>
        <v>0</v>
      </c>
    </row>
    <row r="25" spans="2:18" x14ac:dyDescent="0.25">
      <c r="B25" s="11">
        <v>1111056</v>
      </c>
      <c r="C25" s="15" t="s">
        <v>28</v>
      </c>
      <c r="D25" s="31">
        <f>'เย็น '!D25+'เช้า '!D25+บ่าย!D25</f>
        <v>2</v>
      </c>
      <c r="E25" s="31">
        <f>'เย็น '!E25+'เช้า '!E25+บ่าย!E25</f>
        <v>0</v>
      </c>
      <c r="F25" s="31">
        <f>'เย็น '!F25+'เช้า '!F25+บ่าย!F25</f>
        <v>17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 t="shared" si="0"/>
        <v>0</v>
      </c>
      <c r="K25" s="31">
        <f>'เย็น '!J25+'เช้า '!J25+บ่าย!J25</f>
        <v>0</v>
      </c>
      <c r="L25" s="31">
        <f>'เย็น '!K25+'เช้า '!K25+บ่าย!K25</f>
        <v>0</v>
      </c>
      <c r="M25" s="37">
        <f t="shared" si="1"/>
        <v>19</v>
      </c>
      <c r="N25" s="11">
        <v>74</v>
      </c>
      <c r="O25" s="11">
        <v>67</v>
      </c>
      <c r="P25" s="11"/>
      <c r="Q25" s="11"/>
      <c r="R25" s="45">
        <f t="shared" si="2"/>
        <v>122</v>
      </c>
    </row>
    <row r="26" spans="2:18" x14ac:dyDescent="0.25">
      <c r="B26" s="11">
        <v>1004055</v>
      </c>
      <c r="C26" s="15" t="s">
        <v>108</v>
      </c>
      <c r="D26" s="31">
        <f>'เย็น '!D26+'เช้า '!D26+บ่าย!D26</f>
        <v>30</v>
      </c>
      <c r="E26" s="31">
        <f>'เย็น '!E26+'เช้า '!E26+บ่าย!E26</f>
        <v>4</v>
      </c>
      <c r="F26" s="31">
        <f>'เย็น '!F26+'เช้า '!F26+บ่าย!F26</f>
        <v>0</v>
      </c>
      <c r="G26" s="31">
        <f>'เย็น '!G26+'เช้า '!G26+บ่าย!G26</f>
        <v>15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 t="shared" si="0"/>
        <v>15</v>
      </c>
      <c r="K26" s="31">
        <f>'เย็น '!J26+'เช้า '!J26+บ่าย!J26</f>
        <v>0</v>
      </c>
      <c r="L26" s="31">
        <f>'เย็น '!K26+'เช้า '!K26+บ่าย!K26</f>
        <v>0</v>
      </c>
      <c r="M26" s="37">
        <f t="shared" si="1"/>
        <v>49</v>
      </c>
      <c r="N26" s="11"/>
      <c r="O26" s="11">
        <v>117</v>
      </c>
      <c r="P26" s="11"/>
      <c r="Q26" s="11"/>
      <c r="R26" s="45">
        <f t="shared" si="2"/>
        <v>68</v>
      </c>
    </row>
    <row r="27" spans="2:18" x14ac:dyDescent="0.2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 t="shared" si="0"/>
        <v>0</v>
      </c>
      <c r="K27" s="31">
        <f>'เย็น '!J27+'เช้า '!J27+บ่าย!J27</f>
        <v>0</v>
      </c>
      <c r="L27" s="31">
        <f>'เย็น '!K27+'เช้า '!K27+บ่าย!K27</f>
        <v>0</v>
      </c>
      <c r="M27" s="37">
        <f t="shared" si="1"/>
        <v>0</v>
      </c>
      <c r="N27" s="11"/>
      <c r="O27" s="11"/>
      <c r="P27" s="11"/>
      <c r="Q27" s="11"/>
      <c r="R27" s="45">
        <f t="shared" si="2"/>
        <v>0</v>
      </c>
    </row>
    <row r="28" spans="2:18" x14ac:dyDescent="0.2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 t="shared" si="0"/>
        <v>0</v>
      </c>
      <c r="K28" s="31">
        <f>'เย็น '!J28+'เช้า '!J28+บ่าย!J28</f>
        <v>0</v>
      </c>
      <c r="L28" s="31">
        <f>'เย็น '!K28+'เช้า '!K28+บ่าย!K28</f>
        <v>0</v>
      </c>
      <c r="M28" s="37">
        <f t="shared" si="1"/>
        <v>0</v>
      </c>
      <c r="N28" s="11"/>
      <c r="O28" s="11"/>
      <c r="P28" s="11"/>
      <c r="Q28" s="11"/>
      <c r="R28" s="45">
        <f t="shared" si="2"/>
        <v>0</v>
      </c>
    </row>
    <row r="29" spans="2:18" x14ac:dyDescent="0.2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 t="shared" si="0"/>
        <v>0</v>
      </c>
      <c r="K29" s="31">
        <f>'เย็น '!J29+'เช้า '!J29+บ่าย!J29</f>
        <v>0</v>
      </c>
      <c r="L29" s="31">
        <f>'เย็น '!K29+'เช้า '!K29+บ่าย!K29</f>
        <v>0</v>
      </c>
      <c r="M29" s="37">
        <f t="shared" si="1"/>
        <v>0</v>
      </c>
      <c r="N29" s="11"/>
      <c r="O29" s="11"/>
      <c r="P29" s="11"/>
      <c r="Q29" s="11"/>
      <c r="R29" s="45">
        <f t="shared" si="2"/>
        <v>0</v>
      </c>
    </row>
    <row r="30" spans="2:18" x14ac:dyDescent="0.2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 t="shared" si="0"/>
        <v>0</v>
      </c>
      <c r="K30" s="31">
        <f>'เย็น '!J30+'เช้า '!J30+บ่าย!J30</f>
        <v>0</v>
      </c>
      <c r="L30" s="31">
        <f>'เย็น '!K30+'เช้า '!K30+บ่าย!K30</f>
        <v>0</v>
      </c>
      <c r="M30" s="37">
        <f t="shared" si="1"/>
        <v>0</v>
      </c>
      <c r="N30" s="11"/>
      <c r="O30" s="11"/>
      <c r="P30" s="11"/>
      <c r="Q30" s="11"/>
      <c r="R30" s="45">
        <f t="shared" si="2"/>
        <v>0</v>
      </c>
    </row>
    <row r="31" spans="2:18" x14ac:dyDescent="0.2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 t="shared" si="0"/>
        <v>0</v>
      </c>
      <c r="K31" s="31">
        <f>'เย็น '!J31+'เช้า '!J31+บ่าย!J31</f>
        <v>0</v>
      </c>
      <c r="L31" s="31">
        <f>'เย็น '!K31+'เช้า '!K31+บ่าย!K31</f>
        <v>0</v>
      </c>
      <c r="M31" s="37">
        <f t="shared" si="1"/>
        <v>0</v>
      </c>
      <c r="N31" s="11"/>
      <c r="O31" s="11"/>
      <c r="P31" s="11"/>
      <c r="Q31" s="11"/>
      <c r="R31" s="45">
        <f t="shared" si="2"/>
        <v>0</v>
      </c>
    </row>
    <row r="32" spans="2:18" x14ac:dyDescent="0.2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 t="shared" si="0"/>
        <v>0</v>
      </c>
      <c r="K32" s="31">
        <f>'เย็น '!J32+'เช้า '!J32+บ่าย!J32</f>
        <v>0</v>
      </c>
      <c r="L32" s="31">
        <f>'เย็น '!K32+'เช้า '!K32+บ่าย!K32</f>
        <v>0</v>
      </c>
      <c r="M32" s="37">
        <f t="shared" si="1"/>
        <v>0</v>
      </c>
      <c r="N32" s="11"/>
      <c r="O32" s="11"/>
      <c r="P32" s="11"/>
      <c r="Q32" s="11"/>
      <c r="R32" s="45">
        <f t="shared" si="2"/>
        <v>0</v>
      </c>
    </row>
    <row r="33" spans="2:18" x14ac:dyDescent="0.2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 t="shared" si="0"/>
        <v>0</v>
      </c>
      <c r="K33" s="31">
        <f>'เย็น '!J33+'เช้า '!J33+บ่าย!J33</f>
        <v>0</v>
      </c>
      <c r="L33" s="31">
        <f>'เย็น '!K33+'เช้า '!K33+บ่าย!K33</f>
        <v>0</v>
      </c>
      <c r="M33" s="37">
        <f t="shared" si="1"/>
        <v>0</v>
      </c>
      <c r="N33" s="11"/>
      <c r="O33" s="11"/>
      <c r="P33" s="11"/>
      <c r="Q33" s="11"/>
      <c r="R33" s="45">
        <f t="shared" si="2"/>
        <v>0</v>
      </c>
    </row>
    <row r="34" spans="2:18" x14ac:dyDescent="0.2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 t="shared" si="0"/>
        <v>0</v>
      </c>
      <c r="K34" s="31">
        <f>'เย็น '!J34+'เช้า '!J34+บ่าย!J34</f>
        <v>0</v>
      </c>
      <c r="L34" s="31">
        <f>'เย็น '!K34+'เช้า '!K34+บ่าย!K34</f>
        <v>0</v>
      </c>
      <c r="M34" s="37">
        <f t="shared" si="1"/>
        <v>0</v>
      </c>
      <c r="N34" s="11"/>
      <c r="O34" s="11"/>
      <c r="P34" s="11"/>
      <c r="Q34" s="11"/>
      <c r="R34" s="45">
        <f t="shared" si="2"/>
        <v>0</v>
      </c>
    </row>
    <row r="35" spans="2:18" x14ac:dyDescent="0.2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 t="shared" si="0"/>
        <v>0</v>
      </c>
      <c r="K35" s="31">
        <f>'เย็น '!J35+'เช้า '!J35+บ่าย!J35</f>
        <v>0</v>
      </c>
      <c r="L35" s="31">
        <f>'เย็น '!K35+'เช้า '!K35+บ่าย!K35</f>
        <v>0</v>
      </c>
      <c r="M35" s="37">
        <f t="shared" si="1"/>
        <v>0</v>
      </c>
      <c r="N35" s="11"/>
      <c r="O35" s="11"/>
      <c r="P35" s="11"/>
      <c r="Q35" s="11"/>
      <c r="R35" s="45">
        <f t="shared" si="2"/>
        <v>0</v>
      </c>
    </row>
    <row r="36" spans="2:18" x14ac:dyDescent="0.2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 t="shared" si="0"/>
        <v>0</v>
      </c>
      <c r="K36" s="31">
        <f>'เย็น '!J36+'เช้า '!J36+บ่าย!J36</f>
        <v>0</v>
      </c>
      <c r="L36" s="31">
        <f>'เย็น '!K36+'เช้า '!K36+บ่าย!K36</f>
        <v>0</v>
      </c>
      <c r="M36" s="37">
        <f t="shared" si="1"/>
        <v>0</v>
      </c>
      <c r="N36" s="11"/>
      <c r="O36" s="11"/>
      <c r="P36" s="11"/>
      <c r="Q36" s="11"/>
      <c r="R36" s="45">
        <f t="shared" si="2"/>
        <v>0</v>
      </c>
    </row>
    <row r="37" spans="2:18" x14ac:dyDescent="0.2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 t="shared" si="0"/>
        <v>0</v>
      </c>
      <c r="K37" s="31">
        <f>'เย็น '!J37+'เช้า '!J37+บ่าย!J37</f>
        <v>0</v>
      </c>
      <c r="L37" s="31">
        <f>'เย็น '!K37+'เช้า '!K37+บ่าย!K37</f>
        <v>0</v>
      </c>
      <c r="M37" s="37">
        <f t="shared" si="1"/>
        <v>0</v>
      </c>
      <c r="N37" s="11"/>
      <c r="O37" s="11"/>
      <c r="P37" s="11"/>
      <c r="Q37" s="11"/>
      <c r="R37" s="45">
        <f t="shared" si="2"/>
        <v>0</v>
      </c>
    </row>
    <row r="38" spans="2:18" x14ac:dyDescent="0.2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 t="shared" si="0"/>
        <v>0</v>
      </c>
      <c r="K38" s="31">
        <f>'เย็น '!J38+'เช้า '!J38+บ่าย!J38</f>
        <v>0</v>
      </c>
      <c r="L38" s="31">
        <f>'เย็น '!K38+'เช้า '!K38+บ่าย!K38</f>
        <v>0</v>
      </c>
      <c r="M38" s="37">
        <f t="shared" si="1"/>
        <v>0</v>
      </c>
      <c r="N38" s="11"/>
      <c r="O38" s="11"/>
      <c r="P38" s="11"/>
      <c r="Q38" s="11"/>
      <c r="R38" s="45">
        <f t="shared" si="2"/>
        <v>0</v>
      </c>
    </row>
    <row r="39" spans="2:18" x14ac:dyDescent="0.2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 t="shared" si="0"/>
        <v>0</v>
      </c>
      <c r="K39" s="31">
        <f>'เย็น '!J39+'เช้า '!J39+บ่าย!J39</f>
        <v>0</v>
      </c>
      <c r="L39" s="31">
        <f>'เย็น '!K39+'เช้า '!K39+บ่าย!K39</f>
        <v>0</v>
      </c>
      <c r="M39" s="37">
        <f t="shared" si="1"/>
        <v>0</v>
      </c>
      <c r="N39" s="11"/>
      <c r="O39" s="11"/>
      <c r="P39" s="11"/>
      <c r="Q39" s="11"/>
      <c r="R39" s="45">
        <f t="shared" si="2"/>
        <v>0</v>
      </c>
    </row>
    <row r="40" spans="2:18" x14ac:dyDescent="0.25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 t="shared" si="0"/>
        <v>0</v>
      </c>
      <c r="K40" s="31">
        <f>'เย็น '!J40+'เช้า '!J40+บ่าย!J40</f>
        <v>0</v>
      </c>
      <c r="L40" s="31">
        <f>'เย็น '!K40+'เช้า '!K40+บ่าย!K40</f>
        <v>0</v>
      </c>
      <c r="M40" s="37">
        <f t="shared" si="1"/>
        <v>0</v>
      </c>
      <c r="N40" s="11"/>
      <c r="O40" s="11"/>
      <c r="P40" s="11"/>
      <c r="Q40" s="11"/>
      <c r="R40" s="45">
        <f t="shared" si="2"/>
        <v>0</v>
      </c>
    </row>
    <row r="41" spans="2:18" x14ac:dyDescent="0.25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 t="shared" si="0"/>
        <v>0</v>
      </c>
      <c r="K41" s="31">
        <f>'เย็น '!J41+'เช้า '!J41+บ่าย!J41</f>
        <v>0</v>
      </c>
      <c r="L41" s="31">
        <f>'เย็น '!K41+'เช้า '!K41+บ่าย!K41</f>
        <v>0</v>
      </c>
      <c r="M41" s="37">
        <f t="shared" si="1"/>
        <v>0</v>
      </c>
      <c r="N41" s="11"/>
      <c r="O41" s="11"/>
      <c r="P41" s="11"/>
      <c r="Q41" s="11"/>
      <c r="R41" s="45">
        <f t="shared" si="2"/>
        <v>0</v>
      </c>
    </row>
    <row r="42" spans="2:18" x14ac:dyDescent="0.25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 t="shared" si="0"/>
        <v>0</v>
      </c>
      <c r="K42" s="31">
        <f>'เย็น '!J42+'เช้า '!J42+บ่าย!J42</f>
        <v>0</v>
      </c>
      <c r="L42" s="31">
        <f>'เย็น '!K42+'เช้า '!K42+บ่าย!K42</f>
        <v>0</v>
      </c>
      <c r="M42" s="37">
        <f t="shared" si="1"/>
        <v>0</v>
      </c>
      <c r="N42" s="11"/>
      <c r="O42" s="11"/>
      <c r="P42" s="11"/>
      <c r="Q42" s="11"/>
      <c r="R42" s="45">
        <f t="shared" si="2"/>
        <v>0</v>
      </c>
    </row>
    <row r="43" spans="2:18" x14ac:dyDescent="0.25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 t="shared" si="0"/>
        <v>0</v>
      </c>
      <c r="K43" s="31">
        <f>'เย็น '!J43+'เช้า '!J43+บ่าย!J43</f>
        <v>0</v>
      </c>
      <c r="L43" s="31">
        <f>'เย็น '!K43+'เช้า '!K43+บ่าย!K43</f>
        <v>0</v>
      </c>
      <c r="M43" s="37">
        <f t="shared" si="1"/>
        <v>0</v>
      </c>
      <c r="N43" s="11"/>
      <c r="O43" s="11"/>
      <c r="P43" s="11"/>
      <c r="Q43" s="11"/>
      <c r="R43" s="45">
        <f t="shared" si="2"/>
        <v>0</v>
      </c>
    </row>
    <row r="44" spans="2:18" x14ac:dyDescent="0.25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 t="shared" si="0"/>
        <v>0</v>
      </c>
      <c r="K44" s="31">
        <f>'เย็น '!J44+'เช้า '!J44+บ่าย!J44</f>
        <v>0</v>
      </c>
      <c r="L44" s="31">
        <f>'เย็น '!K44+'เช้า '!K44+บ่าย!K44</f>
        <v>0</v>
      </c>
      <c r="M44" s="37">
        <f t="shared" si="1"/>
        <v>0</v>
      </c>
      <c r="N44" s="11"/>
      <c r="O44" s="11"/>
      <c r="P44" s="11"/>
      <c r="Q44" s="11"/>
      <c r="R44" s="45">
        <f t="shared" si="2"/>
        <v>0</v>
      </c>
    </row>
    <row r="45" spans="2:18" x14ac:dyDescent="0.25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 t="shared" si="0"/>
        <v>0</v>
      </c>
      <c r="K45" s="31">
        <f>'เย็น '!J45+'เช้า '!J45+บ่าย!J45</f>
        <v>0</v>
      </c>
      <c r="L45" s="31">
        <f>'เย็น '!K45+'เช้า '!K45+บ่าย!K45</f>
        <v>0</v>
      </c>
      <c r="M45" s="37">
        <f t="shared" si="1"/>
        <v>0</v>
      </c>
      <c r="N45" s="11"/>
      <c r="O45" s="11"/>
      <c r="P45" s="11"/>
      <c r="Q45" s="11"/>
      <c r="R45" s="45">
        <f t="shared" si="2"/>
        <v>0</v>
      </c>
    </row>
    <row r="46" spans="2:18" x14ac:dyDescent="0.25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 t="shared" si="0"/>
        <v>0</v>
      </c>
      <c r="K46" s="31">
        <f>'เย็น '!J46+'เช้า '!J46+บ่าย!J46</f>
        <v>0</v>
      </c>
      <c r="L46" s="31">
        <f>'เย็น '!K46+'เช้า '!K46+บ่าย!K46</f>
        <v>0</v>
      </c>
      <c r="M46" s="37">
        <f t="shared" si="1"/>
        <v>0</v>
      </c>
      <c r="N46" s="11"/>
      <c r="O46" s="11"/>
      <c r="P46" s="11"/>
      <c r="Q46" s="11"/>
      <c r="R46" s="45">
        <f t="shared" si="2"/>
        <v>0</v>
      </c>
    </row>
    <row r="47" spans="2:18" x14ac:dyDescent="0.25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 t="shared" si="0"/>
        <v>0</v>
      </c>
      <c r="K47" s="31">
        <f>'เย็น '!J47+'เช้า '!J47+บ่าย!J47</f>
        <v>0</v>
      </c>
      <c r="L47" s="31">
        <f>'เย็น '!K47+'เช้า '!K47+บ่าย!K47</f>
        <v>0</v>
      </c>
      <c r="M47" s="37">
        <f t="shared" si="1"/>
        <v>0</v>
      </c>
      <c r="N47" s="11"/>
      <c r="O47" s="11"/>
      <c r="P47" s="11"/>
      <c r="Q47" s="11"/>
      <c r="R47" s="45">
        <f t="shared" si="2"/>
        <v>0</v>
      </c>
    </row>
    <row r="48" spans="2:18" x14ac:dyDescent="0.25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 t="shared" si="0"/>
        <v>0</v>
      </c>
      <c r="K48" s="31">
        <f>'เย็น '!J48+'เช้า '!J48+บ่าย!J48</f>
        <v>0</v>
      </c>
      <c r="L48" s="31">
        <f>'เย็น '!K48+'เช้า '!K48+บ่าย!K48</f>
        <v>0</v>
      </c>
      <c r="M48" s="37">
        <f t="shared" si="1"/>
        <v>0</v>
      </c>
      <c r="N48" s="11"/>
      <c r="O48" s="11"/>
      <c r="P48" s="11"/>
      <c r="Q48" s="11"/>
      <c r="R48" s="45">
        <f t="shared" si="2"/>
        <v>0</v>
      </c>
    </row>
    <row r="49" spans="2:21" x14ac:dyDescent="0.25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 t="shared" si="0"/>
        <v>0</v>
      </c>
      <c r="K49" s="31">
        <f>'เย็น '!J49+'เช้า '!J49+บ่าย!J49</f>
        <v>0</v>
      </c>
      <c r="L49" s="31">
        <f>'เย็น '!K49+'เช้า '!K49+บ่าย!K49</f>
        <v>0</v>
      </c>
      <c r="M49" s="37">
        <f t="shared" si="1"/>
        <v>0</v>
      </c>
      <c r="N49" s="11"/>
      <c r="O49" s="11"/>
      <c r="P49" s="11"/>
      <c r="Q49" s="11"/>
      <c r="R49" s="45">
        <f t="shared" si="2"/>
        <v>0</v>
      </c>
    </row>
    <row r="50" spans="2:21" x14ac:dyDescent="0.25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 t="shared" si="0"/>
        <v>0</v>
      </c>
      <c r="K50" s="31">
        <f>'เย็น '!J50+'เช้า '!J50+บ่าย!J50</f>
        <v>0</v>
      </c>
      <c r="L50" s="31">
        <f>'เย็น '!K50+'เช้า '!K50+บ่าย!K50</f>
        <v>0</v>
      </c>
      <c r="M50" s="37">
        <f t="shared" si="1"/>
        <v>0</v>
      </c>
      <c r="N50" s="11"/>
      <c r="O50" s="11"/>
      <c r="P50" s="11"/>
      <c r="Q50" s="11"/>
      <c r="R50" s="45">
        <f t="shared" si="2"/>
        <v>0</v>
      </c>
    </row>
    <row r="51" spans="2:21" x14ac:dyDescent="0.25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 t="shared" si="0"/>
        <v>0</v>
      </c>
      <c r="K51" s="31">
        <f>'เย็น '!J51+'เช้า '!J51+บ่าย!J51</f>
        <v>0</v>
      </c>
      <c r="L51" s="31">
        <f>'เย็น '!K51+'เช้า '!K51+บ่าย!K51</f>
        <v>0</v>
      </c>
      <c r="M51" s="37">
        <f t="shared" si="1"/>
        <v>0</v>
      </c>
      <c r="N51" s="11"/>
      <c r="O51" s="11"/>
      <c r="P51" s="11"/>
      <c r="Q51" s="11"/>
      <c r="R51" s="45">
        <f t="shared" si="2"/>
        <v>0</v>
      </c>
    </row>
    <row r="52" spans="2:21" x14ac:dyDescent="0.3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 t="shared" si="0"/>
        <v>0</v>
      </c>
      <c r="K52" s="31">
        <f>'เย็น '!J52+'เช้า '!J52+บ่าย!J52</f>
        <v>0</v>
      </c>
      <c r="L52" s="31">
        <f>'เย็น '!K52+'เช้า '!K52+บ่าย!K52</f>
        <v>0</v>
      </c>
      <c r="M52" s="37">
        <f t="shared" si="1"/>
        <v>0</v>
      </c>
      <c r="N52" s="11"/>
      <c r="O52" s="11"/>
      <c r="P52" s="11"/>
      <c r="Q52" s="11"/>
      <c r="R52" s="45">
        <f t="shared" si="2"/>
        <v>0</v>
      </c>
      <c r="T52" s="47"/>
      <c r="U52" s="46"/>
    </row>
    <row r="53" spans="2:21" x14ac:dyDescent="0.2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 t="shared" si="0"/>
        <v>0</v>
      </c>
      <c r="K53" s="31">
        <f>'เย็น '!J53+'เช้า '!J53+บ่าย!J53</f>
        <v>0</v>
      </c>
      <c r="L53" s="31">
        <f>'เย็น '!K53+'เช้า '!K53+บ่าย!K53</f>
        <v>0</v>
      </c>
      <c r="M53" s="37">
        <f t="shared" si="1"/>
        <v>0</v>
      </c>
      <c r="N53" s="11"/>
      <c r="O53" s="11"/>
      <c r="P53" s="11"/>
      <c r="Q53" s="11"/>
      <c r="R53" s="45">
        <f t="shared" si="2"/>
        <v>0</v>
      </c>
    </row>
    <row r="54" spans="2:21" x14ac:dyDescent="0.2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 t="shared" si="0"/>
        <v>0</v>
      </c>
      <c r="K54" s="31">
        <f>'เย็น '!J54+'เช้า '!J54+บ่าย!J54</f>
        <v>0</v>
      </c>
      <c r="L54" s="31">
        <f>'เย็น '!K54+'เช้า '!K54+บ่าย!K54</f>
        <v>0</v>
      </c>
      <c r="M54" s="37">
        <f t="shared" si="1"/>
        <v>0</v>
      </c>
      <c r="N54" s="11"/>
      <c r="O54" s="11"/>
      <c r="P54" s="11"/>
      <c r="Q54" s="11"/>
      <c r="R54" s="45">
        <f t="shared" si="2"/>
        <v>0</v>
      </c>
    </row>
    <row r="55" spans="2:21" x14ac:dyDescent="0.2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 t="shared" si="0"/>
        <v>0</v>
      </c>
      <c r="K55" s="31">
        <f>'เย็น '!J55+'เช้า '!J55+บ่าย!J55</f>
        <v>0</v>
      </c>
      <c r="L55" s="31">
        <f>'เย็น '!K55+'เช้า '!K55+บ่าย!K55</f>
        <v>0</v>
      </c>
      <c r="M55" s="37">
        <f t="shared" si="1"/>
        <v>0</v>
      </c>
      <c r="N55" s="11"/>
      <c r="O55" s="11"/>
      <c r="P55" s="11"/>
      <c r="Q55" s="11"/>
      <c r="R55" s="45">
        <f t="shared" si="2"/>
        <v>0</v>
      </c>
    </row>
    <row r="56" spans="2:21" x14ac:dyDescent="0.25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 t="shared" si="0"/>
        <v>0</v>
      </c>
      <c r="K56" s="31">
        <f>'เย็น '!J56+'เช้า '!J56+บ่าย!J56</f>
        <v>0</v>
      </c>
      <c r="L56" s="31">
        <f>'เย็น '!K56+'เช้า '!K56+บ่าย!K56</f>
        <v>0</v>
      </c>
      <c r="M56" s="37">
        <f t="shared" si="1"/>
        <v>0</v>
      </c>
      <c r="N56" s="11"/>
      <c r="O56" s="11"/>
      <c r="P56" s="11"/>
      <c r="Q56" s="11"/>
      <c r="R56" s="45">
        <f t="shared" si="2"/>
        <v>0</v>
      </c>
    </row>
    <row r="57" spans="2:21" x14ac:dyDescent="0.25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 t="shared" si="0"/>
        <v>0</v>
      </c>
      <c r="K57" s="31">
        <f>'เย็น '!J57+'เช้า '!J57+บ่าย!J57</f>
        <v>0</v>
      </c>
      <c r="L57" s="31">
        <f>'เย็น '!K57+'เช้า '!K57+บ่าย!K57</f>
        <v>0</v>
      </c>
      <c r="M57" s="37">
        <f t="shared" si="1"/>
        <v>0</v>
      </c>
      <c r="N57" s="11"/>
      <c r="O57" s="11"/>
      <c r="P57" s="11"/>
      <c r="Q57" s="11"/>
      <c r="R57" s="45">
        <f t="shared" si="2"/>
        <v>0</v>
      </c>
    </row>
    <row r="58" spans="2:21" x14ac:dyDescent="0.25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 t="shared" si="0"/>
        <v>0</v>
      </c>
      <c r="K58" s="31">
        <f>'เย็น '!J58+'เช้า '!J58+บ่าย!J58</f>
        <v>0</v>
      </c>
      <c r="L58" s="31">
        <f>'เย็น '!K58+'เช้า '!K58+บ่าย!K58</f>
        <v>0</v>
      </c>
      <c r="M58" s="37">
        <f t="shared" si="1"/>
        <v>0</v>
      </c>
      <c r="N58" s="11"/>
      <c r="O58" s="11"/>
      <c r="P58" s="11"/>
      <c r="Q58" s="11"/>
      <c r="R58" s="45">
        <f t="shared" si="2"/>
        <v>0</v>
      </c>
    </row>
    <row r="59" spans="2:21" x14ac:dyDescent="0.25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 t="shared" si="0"/>
        <v>0</v>
      </c>
      <c r="K59" s="31">
        <f>'เย็น '!J59+'เช้า '!J59+บ่าย!J59</f>
        <v>0</v>
      </c>
      <c r="L59" s="31">
        <f>'เย็น '!K59+'เช้า '!K59+บ่าย!K59</f>
        <v>0</v>
      </c>
      <c r="M59" s="37">
        <f t="shared" si="1"/>
        <v>0</v>
      </c>
      <c r="N59" s="11"/>
      <c r="O59" s="11"/>
      <c r="P59" s="11"/>
      <c r="Q59" s="11"/>
      <c r="R59" s="45">
        <f t="shared" si="2"/>
        <v>0</v>
      </c>
    </row>
    <row r="60" spans="2:21" x14ac:dyDescent="0.25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 t="shared" si="0"/>
        <v>0</v>
      </c>
      <c r="K60" s="31">
        <f>'เย็น '!J60+'เช้า '!J60+บ่าย!J60</f>
        <v>0</v>
      </c>
      <c r="L60" s="31">
        <f>'เย็น '!K60+'เช้า '!K60+บ่าย!K60</f>
        <v>0</v>
      </c>
      <c r="M60" s="37">
        <f t="shared" si="1"/>
        <v>0</v>
      </c>
      <c r="N60" s="11"/>
      <c r="O60" s="11"/>
      <c r="P60" s="11"/>
      <c r="Q60" s="11"/>
      <c r="R60" s="45">
        <f t="shared" si="2"/>
        <v>0</v>
      </c>
    </row>
    <row r="61" spans="2:21" x14ac:dyDescent="0.25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 t="shared" si="0"/>
        <v>0</v>
      </c>
      <c r="K61" s="31">
        <f>'เย็น '!J61+'เช้า '!J61+บ่าย!J61</f>
        <v>0</v>
      </c>
      <c r="L61" s="31">
        <f>'เย็น '!K61+'เช้า '!K61+บ่าย!K61</f>
        <v>0</v>
      </c>
      <c r="M61" s="37">
        <f t="shared" si="1"/>
        <v>0</v>
      </c>
      <c r="N61" s="11"/>
      <c r="O61" s="11"/>
      <c r="P61" s="11"/>
      <c r="Q61" s="11"/>
      <c r="R61" s="45">
        <f t="shared" si="2"/>
        <v>0</v>
      </c>
    </row>
    <row r="62" spans="2:21" x14ac:dyDescent="0.25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 t="shared" si="0"/>
        <v>0</v>
      </c>
      <c r="K62" s="31">
        <f>'เย็น '!J62+'เช้า '!J62+บ่าย!J62</f>
        <v>0</v>
      </c>
      <c r="L62" s="31">
        <f>'เย็น '!K62+'เช้า '!K62+บ่าย!K62</f>
        <v>0</v>
      </c>
      <c r="M62" s="37">
        <f t="shared" si="1"/>
        <v>0</v>
      </c>
      <c r="N62" s="11"/>
      <c r="O62" s="11"/>
      <c r="P62" s="11"/>
      <c r="Q62" s="11"/>
      <c r="R62" s="45">
        <f t="shared" si="2"/>
        <v>0</v>
      </c>
    </row>
    <row r="63" spans="2:21" x14ac:dyDescent="0.25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 t="shared" si="0"/>
        <v>0</v>
      </c>
      <c r="K63" s="31">
        <f>'เย็น '!J63+'เช้า '!J63+บ่าย!J63</f>
        <v>0</v>
      </c>
      <c r="L63" s="31">
        <f>'เย็น '!K63+'เช้า '!K63+บ่าย!K63</f>
        <v>0</v>
      </c>
      <c r="M63" s="37">
        <f t="shared" si="1"/>
        <v>0</v>
      </c>
      <c r="N63" s="11"/>
      <c r="O63" s="11"/>
      <c r="P63" s="11"/>
      <c r="Q63" s="11"/>
      <c r="R63" s="45">
        <f t="shared" si="2"/>
        <v>0</v>
      </c>
    </row>
    <row r="64" spans="2:21" x14ac:dyDescent="0.25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 t="shared" si="0"/>
        <v>0</v>
      </c>
      <c r="K64" s="31">
        <f>'เย็น '!J64+'เช้า '!J64+บ่าย!J64</f>
        <v>0</v>
      </c>
      <c r="L64" s="31">
        <f>'เย็น '!K64+'เช้า '!K64+บ่าย!K64</f>
        <v>0</v>
      </c>
      <c r="M64" s="37">
        <f t="shared" si="1"/>
        <v>0</v>
      </c>
      <c r="N64" s="11"/>
      <c r="O64" s="11"/>
      <c r="P64" s="11"/>
      <c r="Q64" s="11"/>
      <c r="R64" s="45">
        <f t="shared" si="2"/>
        <v>0</v>
      </c>
    </row>
    <row r="65" spans="2:21" x14ac:dyDescent="0.3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 t="shared" si="0"/>
        <v>0</v>
      </c>
      <c r="K65" s="31">
        <f>'เย็น '!J65+'เช้า '!J65+บ่าย!J65</f>
        <v>0</v>
      </c>
      <c r="L65" s="31">
        <f>'เย็น '!K65+'เช้า '!K65+บ่าย!K65</f>
        <v>0</v>
      </c>
      <c r="M65" s="37">
        <f t="shared" si="1"/>
        <v>0</v>
      </c>
      <c r="N65" s="11"/>
      <c r="O65" s="11"/>
      <c r="P65" s="11"/>
      <c r="Q65" s="11"/>
      <c r="R65" s="45">
        <f t="shared" si="2"/>
        <v>0</v>
      </c>
      <c r="T65" s="48"/>
      <c r="U65" s="46"/>
    </row>
    <row r="66" spans="2:2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 t="shared" si="0"/>
        <v>0</v>
      </c>
      <c r="K66" s="31">
        <f>บ่าย!J66+'เช้า '!J66+'เย็น '!J66</f>
        <v>0</v>
      </c>
      <c r="L66" s="44"/>
      <c r="M66" s="37">
        <f t="shared" si="1"/>
        <v>0</v>
      </c>
      <c r="N66" s="11"/>
      <c r="O66" s="11"/>
      <c r="P66" s="11"/>
      <c r="Q66" s="11"/>
      <c r="R66" s="45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1">
        <f t="shared" si="0"/>
        <v>0</v>
      </c>
      <c r="K67" s="21"/>
      <c r="L67" s="21"/>
      <c r="M67" s="37">
        <f t="shared" si="1"/>
        <v>0</v>
      </c>
      <c r="N67" s="11"/>
      <c r="O67" s="11"/>
      <c r="P67" s="11"/>
      <c r="Q67" s="11"/>
      <c r="R67" s="45">
        <f t="shared" ref="R67" si="3">(N67+O67+P67+Q67)-M67</f>
        <v>0</v>
      </c>
    </row>
    <row r="68" spans="2:21" x14ac:dyDescent="0.25">
      <c r="B68" s="68" t="s">
        <v>55</v>
      </c>
      <c r="C68" s="69"/>
      <c r="D68" s="69"/>
      <c r="E68" s="69"/>
      <c r="F68" s="69"/>
      <c r="G68" s="69"/>
      <c r="H68" s="69"/>
      <c r="I68" s="69"/>
      <c r="J68" s="31">
        <f t="shared" si="0"/>
        <v>0</v>
      </c>
      <c r="K68" s="69"/>
      <c r="L68" s="69"/>
      <c r="M68" s="37">
        <f t="shared" si="1"/>
        <v>0</v>
      </c>
      <c r="N68" s="69"/>
      <c r="O68" s="69"/>
      <c r="P68" s="69"/>
      <c r="Q68" s="69"/>
      <c r="R68" s="70"/>
    </row>
    <row r="69" spans="2:21" x14ac:dyDescent="0.25">
      <c r="B69" s="11">
        <v>1111009</v>
      </c>
      <c r="C69" s="20" t="s">
        <v>56</v>
      </c>
      <c r="D69" s="31">
        <f>'เย็น '!D69+'เช้า '!D69+บ่าย!D69</f>
        <v>9</v>
      </c>
      <c r="E69" s="31">
        <f>'เย็น '!E69+'เช้า '!E69+บ่าย!E69</f>
        <v>0</v>
      </c>
      <c r="F69" s="31">
        <f>'เย็น '!F69+'เช้า '!F69+บ่าย!F69</f>
        <v>17</v>
      </c>
      <c r="G69" s="31">
        <f>'เย็น '!G69+'เช้า '!G69+บ่าย!G69</f>
        <v>5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 t="shared" si="0"/>
        <v>5</v>
      </c>
      <c r="K69" s="31">
        <f>'เย็น '!J69+'เช้า '!J69+บ่าย!J69</f>
        <v>0</v>
      </c>
      <c r="L69" s="31">
        <f>'เย็น '!K69+'เช้า '!K69+บ่าย!K69</f>
        <v>10</v>
      </c>
      <c r="M69" s="37">
        <f t="shared" si="1"/>
        <v>41</v>
      </c>
      <c r="N69" s="11">
        <v>130</v>
      </c>
      <c r="O69" s="11">
        <v>21</v>
      </c>
      <c r="P69" s="11"/>
      <c r="Q69" s="11"/>
      <c r="R69" s="45">
        <f t="shared" ref="R69:R76" si="4">(N69+O69+P69+Q69)-M69</f>
        <v>110</v>
      </c>
    </row>
    <row r="70" spans="2:21" x14ac:dyDescent="0.2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 t="shared" si="0"/>
        <v>0</v>
      </c>
      <c r="K70" s="31">
        <f>'เย็น '!J70+'เช้า '!J70+บ่าย!J70</f>
        <v>0</v>
      </c>
      <c r="L70" s="31">
        <f>'เย็น '!K70+'เช้า '!K70+บ่าย!K70</f>
        <v>0</v>
      </c>
      <c r="M70" s="37">
        <f t="shared" si="1"/>
        <v>0</v>
      </c>
      <c r="N70" s="11"/>
      <c r="O70" s="11"/>
      <c r="P70" s="11"/>
      <c r="Q70" s="11"/>
      <c r="R70" s="45">
        <f t="shared" si="4"/>
        <v>0</v>
      </c>
    </row>
    <row r="71" spans="2:21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 t="shared" si="0"/>
        <v>0</v>
      </c>
      <c r="K71" s="31">
        <f>'เย็น '!J71+'เช้า '!J71+บ่าย!J71</f>
        <v>0</v>
      </c>
      <c r="L71" s="31">
        <f>'เย็น '!K71+'เช้า '!K71+บ่าย!K71</f>
        <v>0</v>
      </c>
      <c r="M71" s="37">
        <f t="shared" si="1"/>
        <v>0</v>
      </c>
      <c r="N71" s="11"/>
      <c r="O71" s="11"/>
      <c r="P71" s="11"/>
      <c r="Q71" s="11"/>
      <c r="R71" s="45">
        <f t="shared" si="4"/>
        <v>0</v>
      </c>
    </row>
    <row r="72" spans="2:21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 t="shared" ref="J72:J135" si="5">+G72+H72+I72</f>
        <v>0</v>
      </c>
      <c r="K72" s="31">
        <f>'เย็น '!J72+'เช้า '!J72+บ่าย!J72</f>
        <v>0</v>
      </c>
      <c r="L72" s="31">
        <f>'เย็น '!K72+'เช้า '!K72+บ่าย!K72</f>
        <v>0</v>
      </c>
      <c r="M72" s="37">
        <f t="shared" ref="M72:M135" si="6">+D72+E72+F72+J72+K72+L72</f>
        <v>0</v>
      </c>
      <c r="N72" s="11"/>
      <c r="O72" s="11"/>
      <c r="P72" s="11"/>
      <c r="Q72" s="11"/>
      <c r="R72" s="45">
        <f t="shared" si="4"/>
        <v>0</v>
      </c>
    </row>
    <row r="73" spans="2:21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 t="shared" si="5"/>
        <v>0</v>
      </c>
      <c r="K73" s="31">
        <f>'เย็น '!J73+'เช้า '!J73+บ่าย!J73</f>
        <v>0</v>
      </c>
      <c r="L73" s="31">
        <f>'เย็น '!K73+'เช้า '!K73+บ่าย!K73</f>
        <v>0</v>
      </c>
      <c r="M73" s="37">
        <f t="shared" si="6"/>
        <v>0</v>
      </c>
      <c r="N73" s="11"/>
      <c r="O73" s="11"/>
      <c r="P73" s="11"/>
      <c r="Q73" s="11"/>
      <c r="R73" s="45">
        <f t="shared" si="4"/>
        <v>0</v>
      </c>
    </row>
    <row r="74" spans="2:21" x14ac:dyDescent="0.2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 t="shared" si="5"/>
        <v>0</v>
      </c>
      <c r="K74" s="31">
        <f>'เย็น '!J74+'เช้า '!J74+บ่าย!J74</f>
        <v>0</v>
      </c>
      <c r="L74" s="31">
        <f>'เย็น '!K74+'เช้า '!K74+บ่าย!K74</f>
        <v>0</v>
      </c>
      <c r="M74" s="37">
        <f t="shared" si="6"/>
        <v>0</v>
      </c>
      <c r="N74" s="11"/>
      <c r="O74" s="11"/>
      <c r="P74" s="11"/>
      <c r="Q74" s="11"/>
      <c r="R74" s="45">
        <f t="shared" si="4"/>
        <v>0</v>
      </c>
    </row>
    <row r="75" spans="2:21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 t="shared" si="5"/>
        <v>0</v>
      </c>
      <c r="K75" s="31">
        <f>'เย็น '!J75+'เช้า '!J75+บ่าย!J75</f>
        <v>0</v>
      </c>
      <c r="L75" s="31">
        <f>'เย็น '!K75+'เช้า '!K75+บ่าย!K75</f>
        <v>0</v>
      </c>
      <c r="M75" s="37">
        <f t="shared" si="6"/>
        <v>0</v>
      </c>
      <c r="N75" s="11"/>
      <c r="O75" s="11"/>
      <c r="P75" s="11"/>
      <c r="Q75" s="11"/>
      <c r="R75" s="45">
        <f t="shared" si="4"/>
        <v>0</v>
      </c>
    </row>
    <row r="76" spans="2:21" x14ac:dyDescent="0.2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 t="shared" si="5"/>
        <v>0</v>
      </c>
      <c r="K76" s="31">
        <f>'เย็น '!J76+'เช้า '!J76+บ่าย!J76</f>
        <v>0</v>
      </c>
      <c r="L76" s="31">
        <f>'เย็น '!K76+'เช้า '!K76+บ่าย!K76</f>
        <v>0</v>
      </c>
      <c r="M76" s="37">
        <f t="shared" si="6"/>
        <v>0</v>
      </c>
      <c r="N76" s="11"/>
      <c r="O76" s="11"/>
      <c r="P76" s="11"/>
      <c r="Q76" s="11"/>
      <c r="R76" s="45">
        <f t="shared" si="4"/>
        <v>0</v>
      </c>
    </row>
    <row r="77" spans="2:21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31">
        <f t="shared" si="5"/>
        <v>0</v>
      </c>
      <c r="K77" s="21"/>
      <c r="L77" s="21"/>
      <c r="M77" s="37">
        <f t="shared" si="6"/>
        <v>0</v>
      </c>
      <c r="N77" s="11"/>
      <c r="O77" s="11"/>
      <c r="P77" s="11"/>
      <c r="Q77" s="11"/>
      <c r="R77" s="45">
        <f t="shared" ref="R77:R88" si="7">(N77+O77+P77+Q77)-M77</f>
        <v>0</v>
      </c>
    </row>
    <row r="78" spans="2:21" x14ac:dyDescent="0.25">
      <c r="B78" s="68" t="s">
        <v>64</v>
      </c>
      <c r="C78" s="69"/>
      <c r="D78" s="69"/>
      <c r="E78" s="69"/>
      <c r="F78" s="69"/>
      <c r="G78" s="69"/>
      <c r="H78" s="69"/>
      <c r="I78" s="69"/>
      <c r="J78" s="31">
        <f t="shared" si="5"/>
        <v>0</v>
      </c>
      <c r="K78" s="69"/>
      <c r="L78" s="69"/>
      <c r="M78" s="37">
        <f t="shared" si="6"/>
        <v>0</v>
      </c>
      <c r="N78" s="69"/>
      <c r="O78" s="69"/>
      <c r="P78" s="69"/>
      <c r="Q78" s="69"/>
      <c r="R78" s="70"/>
    </row>
    <row r="79" spans="2:21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 t="shared" si="5"/>
        <v>0</v>
      </c>
      <c r="K79" s="31">
        <f>'เย็น '!J79+'เช้า '!J79+บ่าย!J79</f>
        <v>0</v>
      </c>
      <c r="L79" s="31">
        <f>'เย็น '!K79+'เช้า '!K79+บ่าย!K79</f>
        <v>0</v>
      </c>
      <c r="M79" s="37">
        <f t="shared" si="6"/>
        <v>0</v>
      </c>
      <c r="N79" s="11"/>
      <c r="O79" s="11"/>
      <c r="P79" s="11"/>
      <c r="Q79" s="11"/>
      <c r="R79" s="45">
        <f t="shared" ref="R79:R87" si="8">(N79+O79+P79+Q79)-M79</f>
        <v>0</v>
      </c>
    </row>
    <row r="80" spans="2:21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 t="shared" si="5"/>
        <v>0</v>
      </c>
      <c r="K80" s="31">
        <f>'เย็น '!J80+'เช้า '!J80+บ่าย!J80</f>
        <v>0</v>
      </c>
      <c r="L80" s="31">
        <f>'เย็น '!K80+'เช้า '!K80+บ่าย!K80</f>
        <v>0</v>
      </c>
      <c r="M80" s="37">
        <f t="shared" si="6"/>
        <v>0</v>
      </c>
      <c r="N80" s="11"/>
      <c r="O80" s="11"/>
      <c r="P80" s="11"/>
      <c r="Q80" s="11"/>
      <c r="R80" s="45">
        <f t="shared" si="8"/>
        <v>0</v>
      </c>
    </row>
    <row r="81" spans="2:18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 t="shared" si="5"/>
        <v>0</v>
      </c>
      <c r="K81" s="31">
        <f>'เย็น '!J81+'เช้า '!J81+บ่าย!J81</f>
        <v>0</v>
      </c>
      <c r="L81" s="31">
        <f>'เย็น '!K81+'เช้า '!K81+บ่าย!K81</f>
        <v>0</v>
      </c>
      <c r="M81" s="37">
        <f t="shared" si="6"/>
        <v>0</v>
      </c>
      <c r="N81" s="11"/>
      <c r="O81" s="11"/>
      <c r="P81" s="11"/>
      <c r="Q81" s="11"/>
      <c r="R81" s="45">
        <f t="shared" si="8"/>
        <v>0</v>
      </c>
    </row>
    <row r="82" spans="2:18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 t="shared" si="5"/>
        <v>0</v>
      </c>
      <c r="K82" s="31">
        <f>'เย็น '!J82+'เช้า '!J82+บ่าย!J82</f>
        <v>0</v>
      </c>
      <c r="L82" s="31">
        <f>'เย็น '!K82+'เช้า '!K82+บ่าย!K82</f>
        <v>0</v>
      </c>
      <c r="M82" s="37">
        <f t="shared" si="6"/>
        <v>0</v>
      </c>
      <c r="N82" s="11"/>
      <c r="O82" s="11"/>
      <c r="P82" s="11"/>
      <c r="Q82" s="11"/>
      <c r="R82" s="45">
        <f t="shared" si="8"/>
        <v>0</v>
      </c>
    </row>
    <row r="83" spans="2:18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 t="shared" si="5"/>
        <v>0</v>
      </c>
      <c r="K83" s="31">
        <f>'เย็น '!J83+'เช้า '!J83+บ่าย!J83</f>
        <v>0</v>
      </c>
      <c r="L83" s="31">
        <f>'เย็น '!K83+'เช้า '!K83+บ่าย!K83</f>
        <v>0</v>
      </c>
      <c r="M83" s="37">
        <f t="shared" si="6"/>
        <v>0</v>
      </c>
      <c r="N83" s="11"/>
      <c r="O83" s="11"/>
      <c r="P83" s="11"/>
      <c r="Q83" s="11"/>
      <c r="R83" s="45">
        <f t="shared" si="8"/>
        <v>0</v>
      </c>
    </row>
    <row r="84" spans="2:18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 t="shared" si="5"/>
        <v>0</v>
      </c>
      <c r="K84" s="31">
        <f>'เย็น '!J84+'เช้า '!J84+บ่าย!J84</f>
        <v>0</v>
      </c>
      <c r="L84" s="31">
        <f>'เย็น '!K84+'เช้า '!K84+บ่าย!K84</f>
        <v>0</v>
      </c>
      <c r="M84" s="37">
        <f t="shared" si="6"/>
        <v>0</v>
      </c>
      <c r="N84" s="11"/>
      <c r="O84" s="11"/>
      <c r="P84" s="11"/>
      <c r="Q84" s="11"/>
      <c r="R84" s="45">
        <f t="shared" si="8"/>
        <v>0</v>
      </c>
    </row>
    <row r="85" spans="2:18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 t="shared" si="5"/>
        <v>0</v>
      </c>
      <c r="K85" s="31">
        <f>'เย็น '!J85+'เช้า '!J85+บ่าย!J85</f>
        <v>0</v>
      </c>
      <c r="L85" s="31">
        <f>'เย็น '!K85+'เช้า '!K85+บ่าย!K85</f>
        <v>0</v>
      </c>
      <c r="M85" s="37">
        <f t="shared" si="6"/>
        <v>0</v>
      </c>
      <c r="N85" s="11"/>
      <c r="O85" s="11"/>
      <c r="P85" s="11"/>
      <c r="Q85" s="11"/>
      <c r="R85" s="45">
        <f t="shared" si="8"/>
        <v>0</v>
      </c>
    </row>
    <row r="86" spans="2:18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 t="shared" si="5"/>
        <v>0</v>
      </c>
      <c r="K86" s="31">
        <f>'เย็น '!J86+'เช้า '!J86+บ่าย!J86</f>
        <v>0</v>
      </c>
      <c r="L86" s="31">
        <f>'เย็น '!K86+'เช้า '!K86+บ่าย!K86</f>
        <v>0</v>
      </c>
      <c r="M86" s="37">
        <f t="shared" si="6"/>
        <v>0</v>
      </c>
      <c r="N86" s="11"/>
      <c r="O86" s="11"/>
      <c r="P86" s="11"/>
      <c r="Q86" s="11"/>
      <c r="R86" s="45">
        <f t="shared" si="8"/>
        <v>0</v>
      </c>
    </row>
    <row r="87" spans="2:18" x14ac:dyDescent="0.25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18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 t="shared" si="5"/>
        <v>18</v>
      </c>
      <c r="K87" s="31">
        <f>'เย็น '!J87+'เช้า '!J87+บ่าย!J87</f>
        <v>0</v>
      </c>
      <c r="L87" s="31">
        <f>'เย็น '!K87+'เช้า '!K87+บ่าย!K87</f>
        <v>0</v>
      </c>
      <c r="M87" s="37">
        <f t="shared" si="6"/>
        <v>18</v>
      </c>
      <c r="N87" s="11">
        <v>12</v>
      </c>
      <c r="O87" s="11">
        <v>101</v>
      </c>
      <c r="P87" s="11"/>
      <c r="Q87" s="11"/>
      <c r="R87" s="45">
        <f t="shared" si="8"/>
        <v>95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1">
        <f t="shared" si="5"/>
        <v>0</v>
      </c>
      <c r="K88" s="21"/>
      <c r="L88" s="21"/>
      <c r="M88" s="37">
        <f t="shared" si="6"/>
        <v>0</v>
      </c>
      <c r="N88" s="11"/>
      <c r="O88" s="11"/>
      <c r="P88" s="11"/>
      <c r="Q88" s="11"/>
      <c r="R88" s="45">
        <f t="shared" si="7"/>
        <v>0</v>
      </c>
    </row>
    <row r="89" spans="2:18" x14ac:dyDescent="0.25">
      <c r="B89" s="68" t="s">
        <v>74</v>
      </c>
      <c r="C89" s="69"/>
      <c r="D89" s="69"/>
      <c r="E89" s="69"/>
      <c r="F89" s="69"/>
      <c r="G89" s="69"/>
      <c r="H89" s="69"/>
      <c r="I89" s="69"/>
      <c r="J89" s="31">
        <f t="shared" si="5"/>
        <v>0</v>
      </c>
      <c r="K89" s="69"/>
      <c r="L89" s="69"/>
      <c r="M89" s="37">
        <f t="shared" si="6"/>
        <v>0</v>
      </c>
      <c r="N89" s="69"/>
      <c r="O89" s="69"/>
      <c r="P89" s="69"/>
      <c r="Q89" s="69"/>
      <c r="R89" s="70"/>
    </row>
    <row r="90" spans="2:18" x14ac:dyDescent="0.25">
      <c r="B90" s="11">
        <v>1112009</v>
      </c>
      <c r="C90" s="20" t="s">
        <v>75</v>
      </c>
      <c r="D90" s="31">
        <f>'เย็น '!D90+'เช้า '!D90+บ่าย!D90</f>
        <v>21</v>
      </c>
      <c r="E90" s="31">
        <f>'เย็น '!E90+'เช้า '!E90+บ่าย!E90</f>
        <v>1</v>
      </c>
      <c r="F90" s="31">
        <f>'เย็น '!F90+'เช้า '!F90+บ่าย!F90</f>
        <v>0</v>
      </c>
      <c r="G90" s="31">
        <f>'เย็น '!G90+'เช้า '!G90+บ่าย!G90</f>
        <v>12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 t="shared" si="5"/>
        <v>12</v>
      </c>
      <c r="K90" s="31">
        <f>'เย็น '!J90+'เช้า '!J90+บ่าย!J90</f>
        <v>0</v>
      </c>
      <c r="L90" s="31">
        <f>'เย็น '!K90+'เช้า '!K90+บ่าย!K90</f>
        <v>5</v>
      </c>
      <c r="M90" s="37">
        <f t="shared" si="6"/>
        <v>39</v>
      </c>
      <c r="N90" s="11">
        <v>6</v>
      </c>
      <c r="O90" s="11">
        <v>123</v>
      </c>
      <c r="P90" s="11"/>
      <c r="Q90" s="11"/>
      <c r="R90" s="45">
        <f t="shared" ref="R90:R99" si="9">(N90+O90+P90+Q90)-M90</f>
        <v>90</v>
      </c>
    </row>
    <row r="91" spans="2:18" x14ac:dyDescent="0.25">
      <c r="B91" s="11">
        <v>1112011</v>
      </c>
      <c r="C91" s="20" t="s">
        <v>76</v>
      </c>
      <c r="D91" s="31">
        <f>'เย็น '!D91+'เช้า '!D91+บ่าย!D91</f>
        <v>21</v>
      </c>
      <c r="E91" s="31">
        <f>'เย็น '!E91+'เช้า '!E91+บ่าย!E91</f>
        <v>1</v>
      </c>
      <c r="F91" s="31">
        <f>'เย็น '!F91+'เช้า '!F91+บ่าย!F91</f>
        <v>0</v>
      </c>
      <c r="G91" s="31">
        <f>'เย็น '!G91+'เช้า '!G91+บ่าย!G91</f>
        <v>11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 t="shared" si="5"/>
        <v>11</v>
      </c>
      <c r="K91" s="31">
        <f>'เย็น '!J91+'เช้า '!J91+บ่าย!J91</f>
        <v>0</v>
      </c>
      <c r="L91" s="31">
        <f>'เย็น '!K91+'เช้า '!K91+บ่าย!K91</f>
        <v>5</v>
      </c>
      <c r="M91" s="37">
        <f t="shared" si="6"/>
        <v>38</v>
      </c>
      <c r="N91" s="11">
        <v>33</v>
      </c>
      <c r="O91" s="11">
        <v>71</v>
      </c>
      <c r="P91" s="11"/>
      <c r="Q91" s="11"/>
      <c r="R91" s="45">
        <f t="shared" si="9"/>
        <v>66</v>
      </c>
    </row>
    <row r="92" spans="2:18" x14ac:dyDescent="0.25">
      <c r="B92" s="11">
        <v>1112003</v>
      </c>
      <c r="C92" s="20" t="s">
        <v>77</v>
      </c>
      <c r="D92" s="31">
        <f>'เย็น '!D92+'เช้า '!D92+บ่าย!D92</f>
        <v>13</v>
      </c>
      <c r="E92" s="31">
        <f>'เย็น '!E92+'เช้า '!E92+บ่าย!E92</f>
        <v>1</v>
      </c>
      <c r="F92" s="31">
        <f>'เย็น '!F92+'เช้า '!F92+บ่าย!F92</f>
        <v>0</v>
      </c>
      <c r="G92" s="31">
        <f>'เย็น '!G92+'เช้า '!G92+บ่าย!G92</f>
        <v>12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 t="shared" si="5"/>
        <v>12</v>
      </c>
      <c r="K92" s="31">
        <f>'เย็น '!J92+'เช้า '!J92+บ่าย!J92</f>
        <v>0</v>
      </c>
      <c r="L92" s="31">
        <f>'เย็น '!K92+'เช้า '!K92+บ่าย!K92</f>
        <v>2</v>
      </c>
      <c r="M92" s="37">
        <f t="shared" si="6"/>
        <v>28</v>
      </c>
      <c r="N92" s="11">
        <v>39</v>
      </c>
      <c r="O92" s="11">
        <v>49</v>
      </c>
      <c r="P92" s="11"/>
      <c r="Q92" s="11"/>
      <c r="R92" s="45">
        <f t="shared" si="9"/>
        <v>60</v>
      </c>
    </row>
    <row r="93" spans="2:18" x14ac:dyDescent="0.25">
      <c r="B93" s="11">
        <v>1112005</v>
      </c>
      <c r="C93" s="20" t="s">
        <v>78</v>
      </c>
      <c r="D93" s="31">
        <f>'เย็น '!D93+'เช้า '!D93+บ่าย!D93</f>
        <v>20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12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 t="shared" si="5"/>
        <v>12</v>
      </c>
      <c r="K93" s="31">
        <f>'เย็น '!J93+'เช้า '!J93+บ่าย!J93</f>
        <v>0</v>
      </c>
      <c r="L93" s="31">
        <f>'เย็น '!K93+'เช้า '!K93+บ่าย!K93</f>
        <v>0</v>
      </c>
      <c r="M93" s="37">
        <f t="shared" si="6"/>
        <v>32</v>
      </c>
      <c r="N93" s="11">
        <v>17</v>
      </c>
      <c r="O93" s="11">
        <v>43</v>
      </c>
      <c r="P93" s="11"/>
      <c r="Q93" s="11"/>
      <c r="R93" s="45">
        <f t="shared" si="9"/>
        <v>28</v>
      </c>
    </row>
    <row r="94" spans="2:18" x14ac:dyDescent="0.2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 t="shared" si="5"/>
        <v>0</v>
      </c>
      <c r="K94" s="31">
        <f>'เย็น '!J94+'เช้า '!J94+บ่าย!J94</f>
        <v>0</v>
      </c>
      <c r="L94" s="31">
        <f>'เย็น '!K94+'เช้า '!K94+บ่าย!K94</f>
        <v>0</v>
      </c>
      <c r="M94" s="37">
        <f t="shared" si="6"/>
        <v>0</v>
      </c>
      <c r="N94" s="11"/>
      <c r="O94" s="11"/>
      <c r="P94" s="11"/>
      <c r="Q94" s="11"/>
      <c r="R94" s="45">
        <f t="shared" si="9"/>
        <v>0</v>
      </c>
    </row>
    <row r="95" spans="2:18" x14ac:dyDescent="0.2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 t="shared" si="5"/>
        <v>0</v>
      </c>
      <c r="K95" s="31">
        <f>'เย็น '!J95+'เช้า '!J95+บ่าย!J95</f>
        <v>0</v>
      </c>
      <c r="L95" s="31">
        <f>'เย็น '!K95+'เช้า '!K95+บ่าย!K95</f>
        <v>0</v>
      </c>
      <c r="M95" s="37">
        <f t="shared" si="6"/>
        <v>0</v>
      </c>
      <c r="N95" s="11"/>
      <c r="O95" s="11"/>
      <c r="P95" s="11"/>
      <c r="Q95" s="11"/>
      <c r="R95" s="45">
        <f t="shared" si="9"/>
        <v>0</v>
      </c>
    </row>
    <row r="96" spans="2:18" x14ac:dyDescent="0.25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 t="shared" si="5"/>
        <v>0</v>
      </c>
      <c r="K96" s="31">
        <f>'เย็น '!J96+'เช้า '!J96+บ่าย!J96</f>
        <v>0</v>
      </c>
      <c r="L96" s="31">
        <f>'เย็น '!K96+'เช้า '!K96+บ่าย!K96</f>
        <v>0</v>
      </c>
      <c r="M96" s="37">
        <f t="shared" si="6"/>
        <v>0</v>
      </c>
      <c r="N96" s="11"/>
      <c r="O96" s="11"/>
      <c r="P96" s="11"/>
      <c r="Q96" s="11"/>
      <c r="R96" s="45">
        <f t="shared" si="9"/>
        <v>0</v>
      </c>
    </row>
    <row r="97" spans="2:20" x14ac:dyDescent="0.25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 t="shared" si="5"/>
        <v>0</v>
      </c>
      <c r="K97" s="31">
        <f>'เย็น '!J97+'เช้า '!J97+บ่าย!J97</f>
        <v>0</v>
      </c>
      <c r="L97" s="31">
        <f>'เย็น '!K97+'เช้า '!K97+บ่าย!K97</f>
        <v>3</v>
      </c>
      <c r="M97" s="37">
        <f t="shared" si="6"/>
        <v>3</v>
      </c>
      <c r="N97" s="11">
        <v>3</v>
      </c>
      <c r="O97" s="11"/>
      <c r="P97" s="11"/>
      <c r="Q97" s="11"/>
      <c r="R97" s="45">
        <f t="shared" si="9"/>
        <v>0</v>
      </c>
    </row>
    <row r="98" spans="2:20" x14ac:dyDescent="0.3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 t="shared" si="5"/>
        <v>0</v>
      </c>
      <c r="K98" s="31">
        <f>'เย็น '!J98+'เช้า '!J98+บ่าย!J98</f>
        <v>0</v>
      </c>
      <c r="L98" s="31">
        <f>'เย็น '!K98+'เช้า '!K98+บ่าย!K98</f>
        <v>0</v>
      </c>
      <c r="M98" s="37">
        <f t="shared" si="6"/>
        <v>0</v>
      </c>
      <c r="N98" s="11">
        <v>33</v>
      </c>
      <c r="O98" s="11"/>
      <c r="P98" s="11"/>
      <c r="Q98" s="11"/>
      <c r="R98" s="45">
        <f t="shared" si="9"/>
        <v>33</v>
      </c>
      <c r="T98" s="57"/>
    </row>
    <row r="99" spans="2:20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 t="shared" si="5"/>
        <v>0</v>
      </c>
      <c r="K99" s="31">
        <f>บ่าย!J99+'เช้า '!J99+'เย็น '!J99</f>
        <v>0</v>
      </c>
      <c r="L99" s="44"/>
      <c r="M99" s="37">
        <f t="shared" si="6"/>
        <v>0</v>
      </c>
      <c r="N99" s="11"/>
      <c r="O99" s="11"/>
      <c r="P99" s="11"/>
      <c r="Q99" s="11"/>
      <c r="R99" s="45">
        <f t="shared" si="9"/>
        <v>0</v>
      </c>
    </row>
    <row r="100" spans="2:20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1">
        <f t="shared" si="5"/>
        <v>0</v>
      </c>
      <c r="K100" s="21"/>
      <c r="L100" s="21"/>
      <c r="M100" s="37">
        <f t="shared" si="6"/>
        <v>0</v>
      </c>
      <c r="N100" s="11"/>
      <c r="O100" s="11"/>
      <c r="P100" s="11"/>
      <c r="Q100" s="11"/>
      <c r="R100" s="45">
        <f>SUM(R90:R99)</f>
        <v>277</v>
      </c>
    </row>
    <row r="101" spans="2:20" x14ac:dyDescent="0.25">
      <c r="B101" s="68" t="s">
        <v>85</v>
      </c>
      <c r="C101" s="69"/>
      <c r="D101" s="69"/>
      <c r="E101" s="69"/>
      <c r="F101" s="69"/>
      <c r="G101" s="69"/>
      <c r="H101" s="69"/>
      <c r="I101" s="69"/>
      <c r="J101" s="31">
        <f t="shared" si="5"/>
        <v>0</v>
      </c>
      <c r="K101" s="69"/>
      <c r="L101" s="69"/>
      <c r="M101" s="37">
        <f t="shared" si="6"/>
        <v>0</v>
      </c>
      <c r="N101" s="69"/>
      <c r="O101" s="69"/>
      <c r="P101" s="69"/>
      <c r="Q101" s="69"/>
      <c r="R101" s="70"/>
    </row>
    <row r="102" spans="2:20" x14ac:dyDescent="0.25">
      <c r="B102" s="11">
        <v>1112008</v>
      </c>
      <c r="C102" s="20" t="s">
        <v>75</v>
      </c>
      <c r="D102" s="31">
        <f>บ่าย!D102+'เช้า '!D102+'เย็น '!D102</f>
        <v>1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 t="shared" si="5"/>
        <v>0</v>
      </c>
      <c r="K102" s="31">
        <f>บ่าย!J102+'เช้า '!J102+'เย็น '!J102</f>
        <v>0</v>
      </c>
      <c r="L102" s="44"/>
      <c r="M102" s="37">
        <f t="shared" si="6"/>
        <v>1</v>
      </c>
      <c r="N102" s="11"/>
      <c r="O102" s="11">
        <v>1</v>
      </c>
      <c r="P102" s="11"/>
      <c r="Q102" s="11"/>
      <c r="R102" s="45">
        <f t="shared" ref="R102:R111" si="10">(N102+O102+P102+Q102)-M102</f>
        <v>0</v>
      </c>
    </row>
    <row r="103" spans="2:20" x14ac:dyDescent="0.25">
      <c r="B103" s="11">
        <v>1112010</v>
      </c>
      <c r="C103" s="20" t="s">
        <v>76</v>
      </c>
      <c r="D103" s="31">
        <f>บ่าย!D103+'เช้า '!D103+'เย็น '!D103</f>
        <v>2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 t="shared" si="5"/>
        <v>0</v>
      </c>
      <c r="K103" s="31">
        <f>บ่าย!J103+'เช้า '!J103+'เย็น '!J103</f>
        <v>0</v>
      </c>
      <c r="L103" s="44"/>
      <c r="M103" s="37">
        <f t="shared" si="6"/>
        <v>2</v>
      </c>
      <c r="N103" s="11">
        <v>18</v>
      </c>
      <c r="O103" s="11">
        <v>1</v>
      </c>
      <c r="P103" s="11"/>
      <c r="Q103" s="11"/>
      <c r="R103" s="45">
        <f t="shared" si="10"/>
        <v>17</v>
      </c>
    </row>
    <row r="104" spans="2:20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 t="shared" si="5"/>
        <v>0</v>
      </c>
      <c r="K104" s="31">
        <f>บ่าย!J104+'เช้า '!J104+'เย็น '!J104</f>
        <v>0</v>
      </c>
      <c r="L104" s="44"/>
      <c r="M104" s="37">
        <f t="shared" si="6"/>
        <v>0</v>
      </c>
      <c r="N104" s="11"/>
      <c r="O104" s="11">
        <v>2</v>
      </c>
      <c r="P104" s="11"/>
      <c r="Q104" s="11"/>
      <c r="R104" s="45">
        <f t="shared" si="10"/>
        <v>2</v>
      </c>
    </row>
    <row r="105" spans="2:20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 t="shared" si="5"/>
        <v>0</v>
      </c>
      <c r="K105" s="31">
        <f>บ่าย!J105+'เช้า '!J105+'เย็น '!J105</f>
        <v>0</v>
      </c>
      <c r="L105" s="44"/>
      <c r="M105" s="37">
        <f t="shared" si="6"/>
        <v>0</v>
      </c>
      <c r="N105" s="11"/>
      <c r="O105" s="11">
        <v>2</v>
      </c>
      <c r="P105" s="11"/>
      <c r="Q105" s="11"/>
      <c r="R105" s="45">
        <f t="shared" si="10"/>
        <v>2</v>
      </c>
    </row>
    <row r="106" spans="2:20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 t="shared" si="5"/>
        <v>0</v>
      </c>
      <c r="K106" s="31">
        <f>บ่าย!J106+'เช้า '!J106+'เย็น '!J106</f>
        <v>0</v>
      </c>
      <c r="L106" s="44"/>
      <c r="M106" s="37">
        <f t="shared" si="6"/>
        <v>0</v>
      </c>
      <c r="N106" s="11"/>
      <c r="O106" s="11"/>
      <c r="P106" s="11"/>
      <c r="Q106" s="11"/>
      <c r="R106" s="45">
        <f t="shared" si="10"/>
        <v>0</v>
      </c>
    </row>
    <row r="107" spans="2:20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 t="shared" si="5"/>
        <v>0</v>
      </c>
      <c r="K107" s="31">
        <f>บ่าย!J107+'เช้า '!J107+'เย็น '!J107</f>
        <v>0</v>
      </c>
      <c r="L107" s="44"/>
      <c r="M107" s="37">
        <f t="shared" si="6"/>
        <v>0</v>
      </c>
      <c r="N107" s="11"/>
      <c r="O107" s="11"/>
      <c r="P107" s="11"/>
      <c r="Q107" s="11"/>
      <c r="R107" s="45">
        <f t="shared" si="10"/>
        <v>0</v>
      </c>
    </row>
    <row r="108" spans="2:20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 t="shared" si="5"/>
        <v>0</v>
      </c>
      <c r="K108" s="31">
        <f>บ่าย!J108+'เช้า '!J108+'เย็น '!J108</f>
        <v>0</v>
      </c>
      <c r="L108" s="44"/>
      <c r="M108" s="37">
        <f t="shared" si="6"/>
        <v>0</v>
      </c>
      <c r="N108" s="11"/>
      <c r="O108" s="11">
        <v>2</v>
      </c>
      <c r="P108" s="11"/>
      <c r="Q108" s="11"/>
      <c r="R108" s="45">
        <f t="shared" si="10"/>
        <v>2</v>
      </c>
    </row>
    <row r="109" spans="2:20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 t="shared" si="5"/>
        <v>0</v>
      </c>
      <c r="K109" s="31">
        <f>บ่าย!J109+'เช้า '!J109+'เย็น '!J109</f>
        <v>0</v>
      </c>
      <c r="L109" s="44"/>
      <c r="M109" s="37">
        <f t="shared" si="6"/>
        <v>0</v>
      </c>
      <c r="N109" s="11"/>
      <c r="O109" s="11">
        <v>1</v>
      </c>
      <c r="P109" s="11"/>
      <c r="Q109" s="11"/>
      <c r="R109" s="45">
        <f t="shared" si="10"/>
        <v>1</v>
      </c>
    </row>
    <row r="110" spans="2:20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 t="shared" si="5"/>
        <v>0</v>
      </c>
      <c r="K110" s="31">
        <f>บ่าย!J110+'เช้า '!J110+'เย็น '!J110</f>
        <v>0</v>
      </c>
      <c r="L110" s="44"/>
      <c r="M110" s="37">
        <f t="shared" si="6"/>
        <v>0</v>
      </c>
      <c r="N110" s="11">
        <v>18</v>
      </c>
      <c r="O110" s="11">
        <v>2</v>
      </c>
      <c r="P110" s="11"/>
      <c r="Q110" s="11"/>
      <c r="R110" s="45">
        <f t="shared" si="10"/>
        <v>20</v>
      </c>
      <c r="T110" s="48"/>
    </row>
    <row r="111" spans="2:20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 t="shared" si="5"/>
        <v>0</v>
      </c>
      <c r="K111" s="31">
        <f>บ่าย!J111+'เช้า '!J111+'เย็น '!J111</f>
        <v>0</v>
      </c>
      <c r="L111" s="44"/>
      <c r="M111" s="37">
        <f t="shared" si="6"/>
        <v>0</v>
      </c>
      <c r="N111" s="11"/>
      <c r="O111" s="11"/>
      <c r="P111" s="11"/>
      <c r="Q111" s="11"/>
      <c r="R111" s="45">
        <f t="shared" si="10"/>
        <v>0</v>
      </c>
    </row>
    <row r="112" spans="2:20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1">
        <f t="shared" si="5"/>
        <v>0</v>
      </c>
      <c r="K112" s="21"/>
      <c r="L112" s="21"/>
      <c r="M112" s="37">
        <f t="shared" si="6"/>
        <v>0</v>
      </c>
      <c r="N112" s="11"/>
      <c r="O112" s="11"/>
      <c r="P112" s="11"/>
      <c r="Q112" s="11"/>
      <c r="R112" s="45">
        <f>SUM(R102:R111)</f>
        <v>44</v>
      </c>
    </row>
    <row r="113" spans="2:18" x14ac:dyDescent="0.25">
      <c r="B113" s="68" t="s">
        <v>86</v>
      </c>
      <c r="C113" s="69"/>
      <c r="D113" s="69"/>
      <c r="E113" s="69"/>
      <c r="F113" s="69"/>
      <c r="G113" s="69"/>
      <c r="H113" s="69"/>
      <c r="I113" s="69"/>
      <c r="J113" s="31">
        <f t="shared" si="5"/>
        <v>0</v>
      </c>
      <c r="K113" s="69"/>
      <c r="L113" s="69"/>
      <c r="M113" s="37">
        <f t="shared" si="6"/>
        <v>0</v>
      </c>
      <c r="N113" s="69"/>
      <c r="O113" s="69"/>
      <c r="P113" s="69"/>
      <c r="Q113" s="69"/>
      <c r="R113" s="70"/>
    </row>
    <row r="114" spans="2:18" x14ac:dyDescent="0.25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 t="shared" si="5"/>
        <v>0</v>
      </c>
      <c r="K114" s="31">
        <f>'เย็น '!J114+'เช้า '!J114+บ่าย!J114</f>
        <v>0</v>
      </c>
      <c r="L114" s="31">
        <f>'เย็น '!K114+'เช้า '!K114+บ่าย!K114</f>
        <v>0</v>
      </c>
      <c r="M114" s="37">
        <f t="shared" si="6"/>
        <v>0</v>
      </c>
      <c r="N114" s="11">
        <v>-1</v>
      </c>
      <c r="O114" s="11"/>
      <c r="P114" s="11"/>
      <c r="Q114" s="11"/>
      <c r="R114" s="45">
        <f t="shared" ref="R114:R140" si="11">(N114+O114+P114+Q114)-M114</f>
        <v>-1</v>
      </c>
    </row>
    <row r="115" spans="2:18" x14ac:dyDescent="0.25">
      <c r="B115" s="11">
        <v>1113171</v>
      </c>
      <c r="C115" s="22" t="s">
        <v>88</v>
      </c>
      <c r="D115" s="31">
        <f>'เย็น '!D115+'เช้า '!D115+บ่าย!D115</f>
        <v>10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 t="shared" si="5"/>
        <v>0</v>
      </c>
      <c r="K115" s="31">
        <f>'เย็น '!J115+'เช้า '!J115+บ่าย!J115</f>
        <v>0</v>
      </c>
      <c r="L115" s="31">
        <f>'เย็น '!K115+'เช้า '!K115+บ่าย!K115</f>
        <v>0</v>
      </c>
      <c r="M115" s="37">
        <f t="shared" si="6"/>
        <v>10</v>
      </c>
      <c r="N115" s="11">
        <v>20</v>
      </c>
      <c r="O115" s="11">
        <v>21</v>
      </c>
      <c r="P115" s="11"/>
      <c r="Q115" s="11"/>
      <c r="R115" s="45">
        <f t="shared" si="11"/>
        <v>31</v>
      </c>
    </row>
    <row r="116" spans="2:18" x14ac:dyDescent="0.25">
      <c r="B116" s="11">
        <v>1113172</v>
      </c>
      <c r="C116" s="22" t="s">
        <v>89</v>
      </c>
      <c r="D116" s="31">
        <f>'เย็น '!D116+'เช้า '!D116+บ่าย!D116</f>
        <v>13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 t="shared" si="5"/>
        <v>0</v>
      </c>
      <c r="K116" s="31">
        <f>'เย็น '!J116+'เช้า '!J116+บ่าย!J116</f>
        <v>0</v>
      </c>
      <c r="L116" s="31">
        <f>'เย็น '!K116+'เช้า '!K116+บ่าย!K116</f>
        <v>0</v>
      </c>
      <c r="M116" s="37">
        <f t="shared" si="6"/>
        <v>13</v>
      </c>
      <c r="N116" s="11">
        <v>15</v>
      </c>
      <c r="O116" s="11">
        <v>11</v>
      </c>
      <c r="P116" s="11"/>
      <c r="Q116" s="11"/>
      <c r="R116" s="45">
        <f t="shared" si="11"/>
        <v>13</v>
      </c>
    </row>
    <row r="117" spans="2:18" x14ac:dyDescent="0.2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 t="shared" si="5"/>
        <v>0</v>
      </c>
      <c r="K117" s="31">
        <f>'เย็น '!J117+'เช้า '!J117+บ่าย!J117</f>
        <v>0</v>
      </c>
      <c r="L117" s="31">
        <f>'เย็น '!K117+'เช้า '!K117+บ่าย!K117</f>
        <v>0</v>
      </c>
      <c r="M117" s="37">
        <f t="shared" si="6"/>
        <v>0</v>
      </c>
      <c r="N117" s="11"/>
      <c r="O117" s="11"/>
      <c r="P117" s="11"/>
      <c r="Q117" s="11"/>
      <c r="R117" s="45">
        <f t="shared" si="11"/>
        <v>0</v>
      </c>
    </row>
    <row r="118" spans="2:18" x14ac:dyDescent="0.2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 t="shared" si="5"/>
        <v>0</v>
      </c>
      <c r="K118" s="31">
        <f>'เย็น '!J118+'เช้า '!J118+บ่าย!J118</f>
        <v>0</v>
      </c>
      <c r="L118" s="31">
        <f>'เย็น '!K118+'เช้า '!K118+บ่าย!K118</f>
        <v>0</v>
      </c>
      <c r="M118" s="37">
        <f t="shared" si="6"/>
        <v>0</v>
      </c>
      <c r="N118" s="11"/>
      <c r="O118" s="11"/>
      <c r="P118" s="11"/>
      <c r="Q118" s="11"/>
      <c r="R118" s="45">
        <f t="shared" si="11"/>
        <v>0</v>
      </c>
    </row>
    <row r="119" spans="2:18" x14ac:dyDescent="0.2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 t="shared" si="5"/>
        <v>0</v>
      </c>
      <c r="K119" s="31">
        <f>'เย็น '!J119+'เช้า '!J119+บ่าย!J119</f>
        <v>0</v>
      </c>
      <c r="L119" s="31">
        <f>'เย็น '!K119+'เช้า '!K119+บ่าย!K119</f>
        <v>0</v>
      </c>
      <c r="M119" s="37">
        <f t="shared" si="6"/>
        <v>0</v>
      </c>
      <c r="N119" s="11"/>
      <c r="O119" s="11"/>
      <c r="P119" s="11"/>
      <c r="Q119" s="11"/>
      <c r="R119" s="45">
        <f t="shared" si="11"/>
        <v>0</v>
      </c>
    </row>
    <row r="120" spans="2:18" x14ac:dyDescent="0.2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 t="shared" si="5"/>
        <v>0</v>
      </c>
      <c r="K120" s="31">
        <f>'เย็น '!J120+'เช้า '!J120+บ่าย!J120</f>
        <v>0</v>
      </c>
      <c r="L120" s="31">
        <f>'เย็น '!K120+'เช้า '!K120+บ่าย!K120</f>
        <v>0</v>
      </c>
      <c r="M120" s="37">
        <f t="shared" si="6"/>
        <v>0</v>
      </c>
      <c r="N120" s="11"/>
      <c r="O120" s="11">
        <v>66</v>
      </c>
      <c r="P120" s="11"/>
      <c r="Q120" s="11"/>
      <c r="R120" s="45">
        <f t="shared" si="11"/>
        <v>66</v>
      </c>
    </row>
    <row r="121" spans="2:18" x14ac:dyDescent="0.25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 t="shared" si="5"/>
        <v>0</v>
      </c>
      <c r="K121" s="31">
        <f>'เย็น '!J121+'เช้า '!J121+บ่าย!J121</f>
        <v>0</v>
      </c>
      <c r="L121" s="31">
        <f>'เย็น '!K121+'เช้า '!K121+บ่าย!K121</f>
        <v>0</v>
      </c>
      <c r="M121" s="37">
        <f t="shared" si="6"/>
        <v>0</v>
      </c>
      <c r="N121" s="11"/>
      <c r="O121" s="11">
        <v>91</v>
      </c>
      <c r="P121" s="11"/>
      <c r="Q121" s="11"/>
      <c r="R121" s="45">
        <f t="shared" si="11"/>
        <v>91</v>
      </c>
    </row>
    <row r="122" spans="2:18" x14ac:dyDescent="0.25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 t="shared" si="5"/>
        <v>0</v>
      </c>
      <c r="K122" s="31">
        <f>'เย็น '!J122+'เช้า '!J122+บ่าย!J122</f>
        <v>0</v>
      </c>
      <c r="L122" s="31">
        <f>'เย็น '!K122+'เช้า '!K122+บ่าย!K122</f>
        <v>0</v>
      </c>
      <c r="M122" s="37">
        <f t="shared" si="6"/>
        <v>0</v>
      </c>
      <c r="N122" s="11"/>
      <c r="O122" s="11"/>
      <c r="P122" s="11"/>
      <c r="Q122" s="11"/>
      <c r="R122" s="45">
        <f t="shared" si="11"/>
        <v>0</v>
      </c>
    </row>
    <row r="123" spans="2:18" x14ac:dyDescent="0.25">
      <c r="B123" s="11">
        <v>1114501</v>
      </c>
      <c r="C123" s="22" t="s">
        <v>95</v>
      </c>
      <c r="D123" s="31">
        <f>'เย็น '!D123+'เช้า '!D123+บ่าย!D123</f>
        <v>7</v>
      </c>
      <c r="E123" s="31">
        <f>'เย็น '!E123+'เช้า '!E123+บ่าย!E123</f>
        <v>2</v>
      </c>
      <c r="F123" s="31">
        <f>'เย็น '!F123+'เช้า '!F123+บ่าย!F123</f>
        <v>0</v>
      </c>
      <c r="G123" s="31">
        <f>'เย็น '!G123+'เช้า '!G123+บ่าย!G123</f>
        <v>60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 t="shared" si="5"/>
        <v>60</v>
      </c>
      <c r="K123" s="31">
        <f>'เย็น '!J123+'เช้า '!J123+บ่าย!J123</f>
        <v>0</v>
      </c>
      <c r="L123" s="31">
        <f>'เย็น '!K123+'เช้า '!K123+บ่าย!K123</f>
        <v>0</v>
      </c>
      <c r="M123" s="37">
        <f t="shared" si="6"/>
        <v>69</v>
      </c>
      <c r="N123" s="11">
        <v>-30</v>
      </c>
      <c r="O123" s="11">
        <v>218</v>
      </c>
      <c r="P123" s="11"/>
      <c r="Q123" s="11"/>
      <c r="R123" s="45">
        <f t="shared" si="11"/>
        <v>119</v>
      </c>
    </row>
    <row r="124" spans="2:18" x14ac:dyDescent="0.25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 t="shared" si="5"/>
        <v>0</v>
      </c>
      <c r="K124" s="31">
        <f>'เย็น '!J124+'เช้า '!J124+บ่าย!J124</f>
        <v>0</v>
      </c>
      <c r="L124" s="31">
        <f>'เย็น '!K124+'เช้า '!K124+บ่าย!K124</f>
        <v>0</v>
      </c>
      <c r="M124" s="37">
        <f t="shared" si="6"/>
        <v>0</v>
      </c>
      <c r="N124" s="11"/>
      <c r="O124" s="11"/>
      <c r="P124" s="11"/>
      <c r="Q124" s="11"/>
      <c r="R124" s="45">
        <f t="shared" si="11"/>
        <v>0</v>
      </c>
    </row>
    <row r="125" spans="2:18" x14ac:dyDescent="0.25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 t="shared" si="5"/>
        <v>0</v>
      </c>
      <c r="K125" s="31">
        <f>'เย็น '!J125+'เช้า '!J125+บ่าย!J125</f>
        <v>0</v>
      </c>
      <c r="L125" s="31">
        <f>'เย็น '!K125+'เช้า '!K125+บ่าย!K125</f>
        <v>0</v>
      </c>
      <c r="M125" s="37">
        <f t="shared" si="6"/>
        <v>0</v>
      </c>
      <c r="N125" s="11"/>
      <c r="O125" s="11">
        <v>20</v>
      </c>
      <c r="P125" s="11"/>
      <c r="Q125" s="11"/>
      <c r="R125" s="45">
        <f t="shared" si="11"/>
        <v>20</v>
      </c>
    </row>
    <row r="126" spans="2:18" x14ac:dyDescent="0.25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41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 t="shared" si="5"/>
        <v>0</v>
      </c>
      <c r="K126" s="31">
        <f>'เย็น '!J126+'เช้า '!J126+บ่าย!J126</f>
        <v>0</v>
      </c>
      <c r="L126" s="31">
        <f>'เย็น '!K126+'เช้า '!K126+บ่าย!K126</f>
        <v>0</v>
      </c>
      <c r="M126" s="37">
        <f t="shared" si="6"/>
        <v>41</v>
      </c>
      <c r="N126" s="11">
        <v>70</v>
      </c>
      <c r="O126" s="11">
        <v>1</v>
      </c>
      <c r="P126" s="11"/>
      <c r="Q126" s="11"/>
      <c r="R126" s="45">
        <f t="shared" si="11"/>
        <v>30</v>
      </c>
    </row>
    <row r="127" spans="2:18" x14ac:dyDescent="0.2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 t="shared" si="5"/>
        <v>0</v>
      </c>
      <c r="K127" s="31">
        <f>'เย็น '!J127+'เช้า '!J127+บ่าย!J127</f>
        <v>0</v>
      </c>
      <c r="L127" s="31">
        <f>'เย็น '!K127+'เช้า '!K127+บ่าย!K127</f>
        <v>0</v>
      </c>
      <c r="M127" s="37">
        <f t="shared" si="6"/>
        <v>0</v>
      </c>
      <c r="N127" s="11"/>
      <c r="O127" s="11"/>
      <c r="P127" s="11"/>
      <c r="Q127" s="11"/>
      <c r="R127" s="45">
        <f t="shared" si="11"/>
        <v>0</v>
      </c>
    </row>
    <row r="128" spans="2:18" x14ac:dyDescent="0.2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 t="shared" si="5"/>
        <v>0</v>
      </c>
      <c r="K128" s="31">
        <f>'เย็น '!J128+'เช้า '!J128+บ่าย!J128</f>
        <v>0</v>
      </c>
      <c r="L128" s="31">
        <f>'เย็น '!K128+'เช้า '!K128+บ่าย!K128</f>
        <v>0</v>
      </c>
      <c r="M128" s="37">
        <f t="shared" si="6"/>
        <v>0</v>
      </c>
      <c r="N128" s="11"/>
      <c r="O128" s="11"/>
      <c r="P128" s="11"/>
      <c r="Q128" s="11"/>
      <c r="R128" s="45">
        <f t="shared" si="11"/>
        <v>0</v>
      </c>
    </row>
    <row r="129" spans="2:18" x14ac:dyDescent="0.2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 t="shared" si="5"/>
        <v>0</v>
      </c>
      <c r="K129" s="31">
        <f>'เย็น '!J129+'เช้า '!J129+บ่าย!J129</f>
        <v>0</v>
      </c>
      <c r="L129" s="31">
        <f>'เย็น '!K129+'เช้า '!K129+บ่าย!K129</f>
        <v>0</v>
      </c>
      <c r="M129" s="37">
        <f t="shared" si="6"/>
        <v>0</v>
      </c>
      <c r="N129" s="11"/>
      <c r="O129" s="11"/>
      <c r="P129" s="11"/>
      <c r="Q129" s="11"/>
      <c r="R129" s="45">
        <f t="shared" si="11"/>
        <v>0</v>
      </c>
    </row>
    <row r="130" spans="2:18" x14ac:dyDescent="0.2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 t="shared" si="5"/>
        <v>0</v>
      </c>
      <c r="K130" s="31">
        <f>'เย็น '!J130+'เช้า '!J130+บ่าย!J130</f>
        <v>0</v>
      </c>
      <c r="L130" s="31">
        <f>'เย็น '!K130+'เช้า '!K130+บ่าย!K130</f>
        <v>0</v>
      </c>
      <c r="M130" s="37">
        <f t="shared" si="6"/>
        <v>0</v>
      </c>
      <c r="N130" s="11"/>
      <c r="O130" s="11"/>
      <c r="P130" s="11"/>
      <c r="Q130" s="11"/>
      <c r="R130" s="45">
        <f t="shared" si="11"/>
        <v>0</v>
      </c>
    </row>
    <row r="131" spans="2:18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 t="shared" si="5"/>
        <v>0</v>
      </c>
      <c r="K131" s="31">
        <f>'เย็น '!J131+'เช้า '!J131+บ่าย!J131</f>
        <v>0</v>
      </c>
      <c r="L131" s="31">
        <f>'เย็น '!K131+'เช้า '!K131+บ่าย!K131</f>
        <v>0</v>
      </c>
      <c r="M131" s="37">
        <f t="shared" si="6"/>
        <v>0</v>
      </c>
      <c r="N131" s="11"/>
      <c r="O131" s="11"/>
      <c r="P131" s="11"/>
      <c r="Q131" s="11"/>
      <c r="R131" s="45">
        <f t="shared" si="11"/>
        <v>0</v>
      </c>
    </row>
    <row r="132" spans="2:18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 t="shared" si="5"/>
        <v>0</v>
      </c>
      <c r="K132" s="31">
        <f>'เย็น '!J132+'เช้า '!J132+บ่าย!J132</f>
        <v>0</v>
      </c>
      <c r="L132" s="31">
        <f>'เย็น '!K132+'เช้า '!K132+บ่าย!K132</f>
        <v>0</v>
      </c>
      <c r="M132" s="37">
        <f t="shared" si="6"/>
        <v>0</v>
      </c>
      <c r="N132" s="11"/>
      <c r="O132" s="11"/>
      <c r="P132" s="11"/>
      <c r="Q132" s="11"/>
      <c r="R132" s="45">
        <f t="shared" si="11"/>
        <v>0</v>
      </c>
    </row>
    <row r="133" spans="2:18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 t="shared" si="5"/>
        <v>0</v>
      </c>
      <c r="K133" s="31">
        <f>'เย็น '!J133+'เช้า '!J133+บ่าย!J133</f>
        <v>0</v>
      </c>
      <c r="L133" s="31">
        <f>'เย็น '!K133+'เช้า '!K133+บ่าย!K133</f>
        <v>0</v>
      </c>
      <c r="M133" s="37">
        <f t="shared" si="6"/>
        <v>0</v>
      </c>
      <c r="N133" s="11"/>
      <c r="O133" s="11"/>
      <c r="P133" s="11"/>
      <c r="Q133" s="11"/>
      <c r="R133" s="45">
        <f t="shared" si="11"/>
        <v>0</v>
      </c>
    </row>
    <row r="134" spans="2:18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 t="shared" si="5"/>
        <v>0</v>
      </c>
      <c r="K134" s="31">
        <f>'เย็น '!J134+'เช้า '!J134+บ่าย!J134</f>
        <v>0</v>
      </c>
      <c r="L134" s="31">
        <f>'เย็น '!K134+'เช้า '!K134+บ่าย!K134</f>
        <v>0</v>
      </c>
      <c r="M134" s="37">
        <f t="shared" si="6"/>
        <v>0</v>
      </c>
      <c r="N134" s="11"/>
      <c r="O134" s="11"/>
      <c r="P134" s="11"/>
      <c r="Q134" s="11"/>
      <c r="R134" s="45">
        <f t="shared" si="11"/>
        <v>0</v>
      </c>
    </row>
    <row r="135" spans="2:18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1</v>
      </c>
      <c r="F135" s="31">
        <f>'เย็น '!F135+'เช้า '!F135+บ่าย!F135</f>
        <v>1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 t="shared" si="5"/>
        <v>0</v>
      </c>
      <c r="K135" s="31">
        <f>'เย็น '!J135+'เช้า '!J135+บ่าย!J135</f>
        <v>0</v>
      </c>
      <c r="L135" s="31">
        <f>'เย็น '!K135+'เช้า '!K135+บ่าย!K135</f>
        <v>0</v>
      </c>
      <c r="M135" s="37">
        <f t="shared" si="6"/>
        <v>2</v>
      </c>
      <c r="N135" s="11"/>
      <c r="O135" s="11"/>
      <c r="P135" s="11"/>
      <c r="Q135" s="11"/>
      <c r="R135" s="45">
        <f t="shared" si="11"/>
        <v>-2</v>
      </c>
    </row>
    <row r="136" spans="2:18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 t="shared" ref="J136:J140" si="12">+G136+H136+I136</f>
        <v>0</v>
      </c>
      <c r="K136" s="31">
        <f>'เย็น '!J136+'เช้า '!J136+บ่าย!J136</f>
        <v>0</v>
      </c>
      <c r="L136" s="31">
        <f>'เย็น '!K136+'เช้า '!K136+บ่าย!K136</f>
        <v>0</v>
      </c>
      <c r="M136" s="37">
        <f t="shared" ref="M136:M140" si="13">+D136+E136+F136+J136+K136+L136</f>
        <v>0</v>
      </c>
      <c r="N136" s="11"/>
      <c r="O136" s="11"/>
      <c r="P136" s="11"/>
      <c r="Q136" s="11"/>
      <c r="R136" s="45">
        <f t="shared" si="11"/>
        <v>0</v>
      </c>
    </row>
    <row r="137" spans="2:18" x14ac:dyDescent="0.25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12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 t="shared" si="12"/>
        <v>12</v>
      </c>
      <c r="K137" s="31">
        <f>'เย็น '!J137+'เช้า '!J137+บ่าย!J137</f>
        <v>0</v>
      </c>
      <c r="L137" s="31">
        <f>'เย็น '!K137+'เช้า '!K137+บ่าย!K137</f>
        <v>0</v>
      </c>
      <c r="M137" s="37">
        <f t="shared" si="13"/>
        <v>12</v>
      </c>
      <c r="N137" s="11"/>
      <c r="O137" s="11">
        <v>12</v>
      </c>
      <c r="P137" s="11"/>
      <c r="Q137" s="11"/>
      <c r="R137" s="45">
        <f t="shared" si="11"/>
        <v>0</v>
      </c>
    </row>
    <row r="138" spans="2:18" x14ac:dyDescent="0.25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 t="shared" si="12"/>
        <v>0</v>
      </c>
      <c r="K138" s="31">
        <f>'เย็น '!J138+'เช้า '!J138+บ่าย!J138</f>
        <v>0</v>
      </c>
      <c r="L138" s="31">
        <f>'เย็น '!K138+'เช้า '!K138+บ่าย!K138</f>
        <v>0</v>
      </c>
      <c r="M138" s="37">
        <f t="shared" si="13"/>
        <v>0</v>
      </c>
      <c r="N138" s="11"/>
      <c r="O138" s="11"/>
      <c r="P138" s="11"/>
      <c r="Q138" s="11"/>
      <c r="R138" s="45">
        <f t="shared" si="11"/>
        <v>0</v>
      </c>
    </row>
    <row r="139" spans="2:18" x14ac:dyDescent="0.25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 t="shared" si="12"/>
        <v>0</v>
      </c>
      <c r="K139" s="31">
        <f>'เย็น '!J139+'เช้า '!J139+บ่าย!J139</f>
        <v>0</v>
      </c>
      <c r="L139" s="31">
        <f>'เย็น '!K139+'เช้า '!K139+บ่าย!K139</f>
        <v>0</v>
      </c>
      <c r="M139" s="37">
        <f t="shared" si="13"/>
        <v>0</v>
      </c>
      <c r="N139" s="11"/>
      <c r="O139" s="11"/>
      <c r="P139" s="11"/>
      <c r="Q139" s="11"/>
      <c r="R139" s="45">
        <f t="shared" si="11"/>
        <v>0</v>
      </c>
    </row>
    <row r="140" spans="2:18" x14ac:dyDescent="0.25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 t="shared" si="12"/>
        <v>0</v>
      </c>
      <c r="K140" s="31">
        <f>'เย็น '!J139+'เช้า '!J140+บ่าย!J139</f>
        <v>0</v>
      </c>
      <c r="L140" s="31">
        <f>'เย็น '!K139+'เช้า '!K140+บ่าย!K139</f>
        <v>0</v>
      </c>
      <c r="M140" s="37">
        <f t="shared" si="13"/>
        <v>0</v>
      </c>
      <c r="N140" s="11"/>
      <c r="O140" s="11"/>
      <c r="P140" s="11"/>
      <c r="Q140" s="11"/>
      <c r="R140" s="45">
        <f t="shared" si="11"/>
        <v>0</v>
      </c>
    </row>
    <row r="141" spans="2:18" ht="40.5" customHeight="1" x14ac:dyDescent="0.25">
      <c r="C141" s="36"/>
      <c r="D141" s="37">
        <f>SUM(D114:D140,D90:D99,D79:D87,D69:D76,D7:D66,D102:D111)</f>
        <v>201</v>
      </c>
      <c r="E141" s="37">
        <f t="shared" ref="E141:L141" si="14">SUM(E114:E140,E90:E99,E79:E87,E69:E76,E7:E66,E102:E111)</f>
        <v>24</v>
      </c>
      <c r="F141" s="37">
        <f t="shared" si="14"/>
        <v>150</v>
      </c>
      <c r="G141" s="37">
        <f t="shared" si="14"/>
        <v>172</v>
      </c>
      <c r="H141" s="37">
        <f t="shared" si="14"/>
        <v>0</v>
      </c>
      <c r="I141" s="37">
        <f t="shared" si="14"/>
        <v>0</v>
      </c>
      <c r="J141" s="37"/>
      <c r="K141" s="37">
        <f t="shared" si="14"/>
        <v>0</v>
      </c>
      <c r="L141" s="37">
        <f t="shared" si="14"/>
        <v>35</v>
      </c>
      <c r="M141" s="37">
        <f>SUM(M114:M140,M90:M99,M79:M87,M69:M76,M7:M66,M102:M111)</f>
        <v>582</v>
      </c>
      <c r="N141" s="31">
        <f>SUM(N114:N136,N90:N98,N79:N87,N69:N76,N7:N66)</f>
        <v>631</v>
      </c>
      <c r="O141" s="31">
        <f>SUM(O114:O136,O90:O98,O79:O87,O69:O76,O7:O66)</f>
        <v>1097</v>
      </c>
      <c r="P141" s="31"/>
      <c r="Q141" s="31"/>
      <c r="R141" s="45">
        <f t="shared" ref="R141" si="15">(N141+O141)-M141</f>
        <v>1146</v>
      </c>
    </row>
    <row r="142" spans="2:18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39"/>
      <c r="M142" s="40"/>
    </row>
    <row r="143" spans="2:18" x14ac:dyDescent="0.25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39"/>
      <c r="M143" s="40"/>
    </row>
    <row r="144" spans="2:18" x14ac:dyDescent="0.25">
      <c r="C144" s="25"/>
      <c r="D144" s="32"/>
      <c r="E144" s="32"/>
      <c r="F144" s="32"/>
      <c r="G144" s="27"/>
      <c r="M144" s="41"/>
    </row>
    <row r="145" spans="2:13" x14ac:dyDescent="0.25">
      <c r="B145" s="32" t="s">
        <v>104</v>
      </c>
      <c r="C145" s="32"/>
      <c r="D145" s="33"/>
      <c r="E145" s="33"/>
      <c r="F145" s="33"/>
      <c r="G145" s="28"/>
      <c r="H145" s="27"/>
      <c r="I145" s="32" t="s">
        <v>104</v>
      </c>
      <c r="J145" s="32"/>
      <c r="K145" s="32"/>
      <c r="L145" s="32"/>
      <c r="M145" s="32"/>
    </row>
    <row r="146" spans="2:13" x14ac:dyDescent="0.25">
      <c r="B146" s="33" t="s">
        <v>105</v>
      </c>
      <c r="C146" s="33"/>
      <c r="D146" s="34"/>
      <c r="E146" s="34"/>
      <c r="F146" s="34"/>
      <c r="G146" s="34"/>
      <c r="H146" s="34"/>
      <c r="I146" s="33" t="s">
        <v>106</v>
      </c>
      <c r="J146" s="33"/>
      <c r="K146" s="33"/>
      <c r="L146" s="33"/>
      <c r="M146" s="33"/>
    </row>
    <row r="147" spans="2:13" x14ac:dyDescent="0.25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2"/>
      <c r="M147" s="35"/>
    </row>
    <row r="148" spans="2:13" ht="20.399999999999999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5"/>
    </row>
    <row r="149" spans="2:13" ht="20.399999999999999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5"/>
    </row>
    <row r="150" spans="2:13" ht="20.399999999999999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5"/>
    </row>
    <row r="151" spans="2:13" ht="20.399999999999999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5"/>
    </row>
    <row r="152" spans="2:13" ht="20.399999999999999" x14ac:dyDescent="0.25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5"/>
    </row>
    <row r="153" spans="2:13" x14ac:dyDescent="0.25">
      <c r="D153" s="32"/>
      <c r="E153" s="32"/>
      <c r="F153" s="32"/>
      <c r="G153" s="32"/>
      <c r="H153" s="32"/>
    </row>
    <row r="154" spans="2:13" x14ac:dyDescent="0.25">
      <c r="D154" s="32"/>
      <c r="E154" s="32"/>
      <c r="F154" s="32"/>
      <c r="G154" s="32"/>
      <c r="H154" s="32"/>
    </row>
    <row r="155" spans="2:13" x14ac:dyDescent="0.25">
      <c r="D155" s="32"/>
      <c r="E155" s="32"/>
      <c r="F155" s="32"/>
      <c r="G155" s="32"/>
      <c r="H155" s="32"/>
    </row>
    <row r="156" spans="2:13" x14ac:dyDescent="0.25">
      <c r="D156" s="32"/>
      <c r="E156" s="32"/>
      <c r="F156" s="32"/>
      <c r="G156" s="32"/>
      <c r="H156" s="32"/>
    </row>
    <row r="157" spans="2:13" x14ac:dyDescent="0.25">
      <c r="D157" s="32"/>
      <c r="E157" s="32"/>
      <c r="F157" s="32"/>
      <c r="G157" s="32"/>
      <c r="H157" s="32"/>
    </row>
    <row r="158" spans="2:13" x14ac:dyDescent="0.25">
      <c r="D158" s="32"/>
      <c r="E158" s="32"/>
      <c r="F158" s="32"/>
      <c r="G158" s="32"/>
      <c r="H158" s="32"/>
    </row>
    <row r="159" spans="2:13" x14ac:dyDescent="0.25">
      <c r="D159" s="32"/>
      <c r="E159" s="32"/>
      <c r="F159" s="32"/>
      <c r="G159" s="32"/>
      <c r="H159" s="32"/>
    </row>
    <row r="160" spans="2:13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  <row r="162" spans="4:8" x14ac:dyDescent="0.25">
      <c r="D162" s="32"/>
      <c r="E162" s="32"/>
      <c r="F162" s="32"/>
      <c r="G162" s="32"/>
      <c r="H162" s="32"/>
    </row>
    <row r="163" spans="4:8" x14ac:dyDescent="0.25">
      <c r="D163" s="32"/>
      <c r="E163" s="32"/>
      <c r="F163" s="32"/>
      <c r="G163" s="32"/>
      <c r="H163" s="32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2025-02-20T00:46:29Z</cp:lastPrinted>
  <dcterms:created xsi:type="dcterms:W3CDTF">2024-04-30T05:21:27Z</dcterms:created>
  <dcterms:modified xsi:type="dcterms:W3CDTF">2025-02-21T03:16:27Z</dcterms:modified>
</cp:coreProperties>
</file>