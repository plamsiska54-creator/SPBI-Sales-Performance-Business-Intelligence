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0BF29770-21C1-47AA-AC62-FA66E2FC746B}" xr6:coauthVersionLast="47" xr6:coauthVersionMax="47" xr10:uidLastSave="{00000000-0000-0000-0000-000000000000}"/>
  <bookViews>
    <workbookView xWindow="645" yWindow="2625" windowWidth="17565" windowHeight="1314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<sst xmlns="http://schemas.openxmlformats.org/spreadsheetml/2006/main" count="615" uniqueCount="146">
  <si>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</si>
  <si>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</si>
  <si>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</si>
  <si>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</si>
  <si>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</si>
  <si>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</si>
  <si>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</si>
  <si>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</si>
  <si>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</si>
  <si>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</si>
  <si>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</si>
  <si>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</si>
  <si>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</si>
  <si>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</si>
  <si>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</si>
  <si>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</si>
  <si>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</si>
  <si>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</si>
  <si>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</si>
  <si>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</si>
  <si>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</si>
  <si>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</si>
  <si>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</si>
  <si>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</si>
  <si>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</si>
  <si>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</si>
  <si>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</si>
  <si>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</si>
  <si>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</si>
  <si>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</si>
  <si>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</si>
  <si>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</si>
  <si>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</si>
  <si>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</si>
  <si>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</si>
  <si>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</si>
  <si>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</si>
  <si>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</si>
  <si>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</si>
  <si>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</si>
  <si>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</si>
  <si>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</si>
  <si>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</si>
  <si>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</si>
  <si>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</si>
  <si>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</si>
  <si>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</si>
  <si>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</si>
  <si>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</si>
  <si>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</si>
  <si>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</si>
  <si>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</si>
  <si>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</si>
  <si>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</si>
  <si>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</si>
  <si>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</si>
  <si>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</si>
  <si>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</si>
  <si>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</si>
  <si>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</si>
  <si>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</si>
  <si>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</si>
  <si>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</si>
  <si>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</si>
  <si>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</si>
  <si>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</si>
  <si>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</si>
  <si>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</si>
  <si>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</si>
  <si>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</si>
  <si>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</si>
  <si>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</si>
  <si>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</si>
  <si>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</si>
  <si>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</si>
  <si>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</si>
  <si>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</si>
  <si>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</si>
  <si>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</si>
  <si>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</si>
  <si>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</si>
  <si>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</si>
  <si>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</si>
  <si>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</si>
  <si>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</si>
  <si>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</si>
  <si>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</si>
  <si>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</si>
  <si>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</si>
  <si>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</si>
  <si>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</si>
  <si>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</si>
  <si>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</si>
  <si>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</si>
  <si>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</si>
  <si>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</si>
  <si>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</si>
  <si>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</si>
  <si>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</si>
  <si>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</si>
  <si>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</si>
  <si>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</si>
  <si>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</si>
  <si>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</si>
  <si>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</si>
  <si>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</si>
  <si>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</si>
  <si>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</si>
  <si>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</si>
  <si>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</si>
  <si>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</si>
  <si>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</si>
  <si>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</si>
  <si>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</si>
  <si>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</si>
  <si>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</si>
  <si>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</si>
  <si>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</si>
  <si>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</si>
  <si>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</si>
  <si>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</si>
  <si>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</si>
  <si>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</si>
  <si>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</si>
  <si>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</si>
  <si>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</si>
  <si>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</si>
  <si>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</si>
  <si>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</si>
  <si>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</si>
  <si>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</si>
  <si>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</si>
  <si>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</si>
  <si>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</si>
  <si>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</si>
  <si>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</si>
  <si>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</si>
  <si>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</si>
  <si>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</si>
  <si>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</si>
  <si>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</si>
  <si>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</si>
  <si>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</si>
  <si>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</si>
  <si>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24/2/2568- เช้า</t>
  </si>
  <si>
    <t>ยอดจริง ออนไลน์ วันที่ 25/2/2568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</si>
</sst>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8" zoomScale="60" zoomScaleNormal="60" workbookViewId="0">
      <selection activeCell="G92" sqref="G9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13</v>
      </c>
      <c r="E7" s="31">
        <v>13</v>
      </c>
      <c r="F7" s="31">
        <v>30</v>
      </c>
      <c r="G7" s="31">
        <v>13</v>
      </c>
      <c r="H7" s="31"/>
      <c r="I7" s="31"/>
      <c r="J7" s="44"/>
      <c r="K7" s="44"/>
      <c r="L7" s="37">
        <f>SUM(D7:K7)</f>
        <v>69</v>
      </c>
    </row>
    <row r="8" spans="2:12" ht="22.5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5</v>
      </c>
      <c r="F25" s="31"/>
      <c r="G25" s="31"/>
      <c r="H25" s="31"/>
      <c r="I25" s="31"/>
      <c r="J25" s="44"/>
      <c r="K25" s="44"/>
      <c r="L25" s="37">
        <f t="shared" si="0"/>
        <v>5</v>
      </c>
    </row>
    <row r="26" spans="2:12" x14ac:dyDescent="0.2">
      <c r="B26" s="11">
        <v>1004055</v>
      </c>
      <c r="C26" s="15" t="s">
        <v>108</v>
      </c>
      <c r="D26" s="31">
        <v>11</v>
      </c>
      <c r="E26" s="31">
        <v>2</v>
      </c>
      <c r="F26" s="31"/>
      <c r="G26" s="31"/>
      <c r="H26" s="31"/>
      <c r="I26" s="31"/>
      <c r="J26" s="44"/>
      <c r="K26" s="44"/>
      <c r="L26" s="37">
        <f t="shared" si="0"/>
        <v>13</v>
      </c>
    </row>
    <row r="27" spans="2:12" ht="22.5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>
        <v>2</v>
      </c>
      <c r="F69" s="31">
        <v>12</v>
      </c>
      <c r="G69" s="31">
        <v>3</v>
      </c>
      <c r="H69" s="31"/>
      <c r="I69" s="31"/>
      <c r="J69" s="44"/>
      <c r="K69" s="44"/>
      <c r="L69" s="37">
        <f t="shared" ref="L69:L76" si="1">SUM(D69:K69)</f>
        <v>17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>
        <v>10</v>
      </c>
      <c r="L71" s="37">
        <f t="shared" si="1"/>
        <v>10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10</v>
      </c>
      <c r="E87" s="31">
        <v>1</v>
      </c>
      <c r="F87" s="31"/>
      <c r="G87" s="31"/>
      <c r="H87" s="31"/>
      <c r="I87" s="31"/>
      <c r="J87" s="44"/>
      <c r="K87" s="44"/>
      <c r="L87" s="37">
        <f t="shared" si="2"/>
        <v>11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4</v>
      </c>
      <c r="E90" s="31">
        <v>1</v>
      </c>
      <c r="F90" s="31"/>
      <c r="G90" s="31">
        <v>1</v>
      </c>
      <c r="H90" s="31"/>
      <c r="I90" s="31"/>
      <c r="J90" s="44"/>
      <c r="K90" s="44"/>
      <c r="L90" s="37">
        <f t="shared" ref="L90:L99" si="3">SUM(D90:K90)</f>
        <v>6</v>
      </c>
    </row>
    <row r="91" spans="2:12" x14ac:dyDescent="0.2">
      <c r="B91" s="11">
        <v>1112011</v>
      </c>
      <c r="C91" s="20" t="s">
        <v>76</v>
      </c>
      <c r="D91" s="31">
        <v>6</v>
      </c>
      <c r="E91" s="31">
        <v>1</v>
      </c>
      <c r="F91" s="31"/>
      <c r="G91" s="31">
        <v>1</v>
      </c>
      <c r="H91" s="31"/>
      <c r="I91" s="31"/>
      <c r="J91" s="44"/>
      <c r="K91" s="44"/>
      <c r="L91" s="37">
        <f t="shared" si="3"/>
        <v>8</v>
      </c>
    </row>
    <row r="92" spans="2:12" x14ac:dyDescent="0.2">
      <c r="B92" s="11">
        <v>1112003</v>
      </c>
      <c r="C92" s="20" t="s">
        <v>77</v>
      </c>
      <c r="D92" s="31">
        <v>6</v>
      </c>
      <c r="E92" s="31">
        <v>1</v>
      </c>
      <c r="F92" s="31"/>
      <c r="G92" s="31"/>
      <c r="H92" s="31"/>
      <c r="I92" s="31"/>
      <c r="J92" s="44"/>
      <c r="K92" s="44"/>
      <c r="L92" s="37">
        <f t="shared" si="3"/>
        <v>7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>
        <v>3</v>
      </c>
      <c r="E98" s="31"/>
      <c r="F98" s="31"/>
      <c r="G98" s="31"/>
      <c r="H98" s="31"/>
      <c r="I98" s="31"/>
      <c r="J98" s="44"/>
      <c r="K98" s="44"/>
      <c r="L98" s="37">
        <f t="shared" si="3"/>
        <v>3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>
        <v>9</v>
      </c>
      <c r="E115" s="31"/>
      <c r="F115" s="31"/>
      <c r="G115" s="31"/>
      <c r="H115" s="31"/>
      <c r="I115" s="31"/>
      <c r="J115" s="44"/>
      <c r="K115" s="44">
        <v>1</v>
      </c>
      <c r="L115" s="37">
        <f t="shared" si="6"/>
        <v>10</v>
      </c>
    </row>
    <row r="116" spans="2:12" x14ac:dyDescent="0.2">
      <c r="B116" s="11">
        <v>1113172</v>
      </c>
      <c r="C116" s="22" t="s">
        <v>89</v>
      </c>
      <c r="D116" s="31">
        <v>7</v>
      </c>
      <c r="E116" s="31"/>
      <c r="F116" s="31"/>
      <c r="G116" s="31"/>
      <c r="H116" s="31"/>
      <c r="I116" s="31"/>
      <c r="J116" s="44"/>
      <c r="K116" s="44">
        <v>5</v>
      </c>
      <c r="L116" s="37">
        <f t="shared" si="6"/>
        <v>12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6</v>
      </c>
      <c r="E123" s="31">
        <v>2</v>
      </c>
      <c r="F123" s="31"/>
      <c r="G123" s="31">
        <v>24</v>
      </c>
      <c r="H123" s="31"/>
      <c r="I123" s="31"/>
      <c r="J123" s="44"/>
      <c r="K123" s="44"/>
      <c r="L123" s="37">
        <f t="shared" si="6"/>
        <v>32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>
        <v>28</v>
      </c>
      <c r="G126" s="31">
        <v>3</v>
      </c>
      <c r="H126" s="31"/>
      <c r="I126" s="31"/>
      <c r="J126" s="44"/>
      <c r="K126" s="44"/>
      <c r="L126" s="37">
        <f t="shared" si="6"/>
        <v>31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>
        <v>4</v>
      </c>
      <c r="H137" s="31"/>
      <c r="I137" s="31"/>
      <c r="J137" s="44"/>
      <c r="K137" s="44"/>
      <c r="L137" s="37">
        <f t="shared" si="6"/>
        <v>4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9" zoomScale="50" zoomScaleNormal="50" workbookViewId="0">
      <selection activeCell="B1" sqref="B1:Q14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13</v>
      </c>
      <c r="E7" s="31">
        <f>'เย็น '!E7+'เช้า '!E7+บ่าย!E7</f>
        <v>13</v>
      </c>
      <c r="F7" s="31">
        <f>'เย็น '!F7+'เช้า '!F7+บ่าย!F7</f>
        <v>30</v>
      </c>
      <c r="G7" s="31">
        <f>'เย็น '!G7+'เช้า '!G7+บ่าย!G7</f>
        <v>13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69</v>
      </c>
      <c r="M7" s="11"/>
      <c r="N7" s="11"/>
      <c r="O7" s="11"/>
      <c r="P7" s="11"/>
      <c r="Q7" s="45">
        <f>(M7+N7+O7+P7)-L7</f>
        <v>-69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5</v>
      </c>
      <c r="F25" s="31">
        <f>'เย็น '!F25+'เช้า '!F25+บ่าย!F25</f>
        <v>0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5</v>
      </c>
      <c r="M25" s="11"/>
      <c r="N25" s="11"/>
      <c r="O25" s="11"/>
      <c r="P25" s="11"/>
      <c r="Q25" s="45">
        <f t="shared" si="1"/>
        <v>-5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11</v>
      </c>
      <c r="E26" s="31">
        <f>'เย็น '!E26+'เช้า '!E26+บ่าย!E26</f>
        <v>2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13</v>
      </c>
      <c r="M26" s="11"/>
      <c r="N26" s="11"/>
      <c r="O26" s="11"/>
      <c r="P26" s="11"/>
      <c r="Q26" s="45">
        <f t="shared" si="1"/>
        <v>-13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2</v>
      </c>
      <c r="F69" s="31">
        <f>'เย็น '!F69+'เช้า '!F69+บ่าย!F69</f>
        <v>12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17</v>
      </c>
      <c r="M69" s="11"/>
      <c r="N69" s="11"/>
      <c r="O69" s="11"/>
      <c r="P69" s="11"/>
      <c r="Q69" s="45">
        <f t="shared" ref="Q69:Q76" si="5">(M69+N69+O69+P69)-L69</f>
        <v>-17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10</v>
      </c>
      <c r="L71" s="37">
        <f t="shared" si="4"/>
        <v>10</v>
      </c>
      <c r="M71" s="11"/>
      <c r="N71" s="11"/>
      <c r="O71" s="11"/>
      <c r="P71" s="11"/>
      <c r="Q71" s="45">
        <f t="shared" si="5"/>
        <v>-10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10</v>
      </c>
      <c r="E87" s="31">
        <f>'เย็น '!E87+'เช้า '!E87+บ่าย!E87</f>
        <v>1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11</v>
      </c>
      <c r="M87" s="11"/>
      <c r="N87" s="11"/>
      <c r="O87" s="11"/>
      <c r="P87" s="11"/>
      <c r="Q87" s="45">
        <f t="shared" si="8"/>
        <v>-11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4</v>
      </c>
      <c r="E90" s="31">
        <f>'เย็น '!E90+'เช้า '!E90+บ่าย!E90</f>
        <v>1</v>
      </c>
      <c r="F90" s="31">
        <f>'เย็น '!F90+'เช้า '!F90+บ่าย!F90</f>
        <v>0</v>
      </c>
      <c r="G90" s="31">
        <f>'เย็น '!G90+'เช้า '!G90+บ่าย!G90</f>
        <v>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6</v>
      </c>
      <c r="M90" s="11"/>
      <c r="N90" s="11"/>
      <c r="O90" s="11"/>
      <c r="P90" s="11"/>
      <c r="Q90" s="45">
        <f t="shared" ref="Q90:Q99" si="10">(M90+N90+O90+P90)-L90</f>
        <v>-6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6</v>
      </c>
      <c r="E91" s="31">
        <f>'เย็น '!E91+'เช้า '!E91+บ่าย!E91</f>
        <v>1</v>
      </c>
      <c r="F91" s="31">
        <f>'เย็น '!F91+'เช้า '!F91+บ่าย!F91</f>
        <v>0</v>
      </c>
      <c r="G91" s="31">
        <f>'เย็น '!G91+'เช้า '!G91+บ่าย!G91</f>
        <v>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8</v>
      </c>
      <c r="M91" s="11"/>
      <c r="N91" s="11"/>
      <c r="O91" s="11"/>
      <c r="P91" s="11"/>
      <c r="Q91" s="45">
        <f t="shared" si="10"/>
        <v>-8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6</v>
      </c>
      <c r="E92" s="31">
        <f>'เย็น '!E92+'เช้า '!E92+บ่าย!E92</f>
        <v>1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7</v>
      </c>
      <c r="M92" s="11"/>
      <c r="N92" s="11"/>
      <c r="O92" s="11"/>
      <c r="P92" s="11"/>
      <c r="Q92" s="45">
        <f t="shared" si="10"/>
        <v>-7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0</v>
      </c>
      <c r="M93" s="11"/>
      <c r="N93" s="11"/>
      <c r="O93" s="11"/>
      <c r="P93" s="11"/>
      <c r="Q93" s="45">
        <f t="shared" si="10"/>
        <v>0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9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9" x14ac:dyDescent="0.25">
      <c r="B98" s="11">
        <v>1112013</v>
      </c>
      <c r="C98" s="20" t="s">
        <v>83</v>
      </c>
      <c r="D98" s="31">
        <f>'เย็น '!D98+'เช้า '!D98+บ่าย!D98</f>
        <v>3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3</v>
      </c>
      <c r="M98" s="11"/>
      <c r="N98" s="11"/>
      <c r="O98" s="11"/>
      <c r="P98" s="11"/>
      <c r="Q98" s="45">
        <f t="shared" si="10"/>
        <v>-3</v>
      </c>
      <c r="S98" s="57"/>
    </row>
    <row r="99" spans="2:19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9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24</v>
      </c>
      <c r="M100" s="11"/>
      <c r="N100" s="11"/>
      <c r="O100" s="11"/>
      <c r="P100" s="11"/>
      <c r="Q100" s="45">
        <f>SUM(Q90:Q99)</f>
        <v>-24</v>
      </c>
    </row>
    <row r="101" spans="2:19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19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9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9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9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9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9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9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9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9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</row>
    <row r="111" spans="2:19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9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0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9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1</v>
      </c>
      <c r="L115" s="37">
        <f t="shared" si="14"/>
        <v>10</v>
      </c>
      <c r="M115" s="11"/>
      <c r="N115" s="11"/>
      <c r="O115" s="11"/>
      <c r="P115" s="11"/>
      <c r="Q115" s="45">
        <f t="shared" si="15"/>
        <v>-10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7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5</v>
      </c>
      <c r="L116" s="37">
        <f t="shared" si="14"/>
        <v>12</v>
      </c>
      <c r="M116" s="11"/>
      <c r="N116" s="11"/>
      <c r="O116" s="11"/>
      <c r="P116" s="11"/>
      <c r="Q116" s="45">
        <f t="shared" si="15"/>
        <v>-12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0</v>
      </c>
      <c r="M120" s="11"/>
      <c r="N120" s="11"/>
      <c r="O120" s="11"/>
      <c r="P120" s="11"/>
      <c r="Q120" s="45">
        <f t="shared" si="15"/>
        <v>0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0</v>
      </c>
      <c r="M121" s="11"/>
      <c r="N121" s="11"/>
      <c r="O121" s="11"/>
      <c r="P121" s="11"/>
      <c r="Q121" s="45">
        <f t="shared" si="15"/>
        <v>0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6</v>
      </c>
      <c r="E123" s="31">
        <f>'เย็น '!E123+'เช้า '!E123+บ่าย!E123</f>
        <v>2</v>
      </c>
      <c r="F123" s="31">
        <f>'เย็น '!F123+'เช้า '!F123+บ่าย!F123</f>
        <v>0</v>
      </c>
      <c r="G123" s="31">
        <f>'เย็น '!G123+'เช้า '!G123+บ่าย!G123</f>
        <v>24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32</v>
      </c>
      <c r="M123" s="11"/>
      <c r="N123" s="11"/>
      <c r="O123" s="11"/>
      <c r="P123" s="11"/>
      <c r="Q123" s="45">
        <f t="shared" si="15"/>
        <v>-32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0</v>
      </c>
      <c r="M125" s="11"/>
      <c r="N125" s="11"/>
      <c r="O125" s="11"/>
      <c r="P125" s="11"/>
      <c r="Q125" s="45">
        <f t="shared" si="15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28</v>
      </c>
      <c r="G126" s="31">
        <f>'เย็น '!G126+'เช้า '!G126+บ่าย!G126</f>
        <v>3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31</v>
      </c>
      <c r="M126" s="11"/>
      <c r="N126" s="11"/>
      <c r="O126" s="11"/>
      <c r="P126" s="11"/>
      <c r="Q126" s="45">
        <f t="shared" si="15"/>
        <v>-31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4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4</v>
      </c>
      <c r="M137" s="11"/>
      <c r="N137" s="11"/>
      <c r="O137" s="11"/>
      <c r="P137" s="11"/>
      <c r="Q137" s="45">
        <f t="shared" si="15"/>
        <v>-4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75</v>
      </c>
      <c r="E141" s="37">
        <f t="shared" ref="E141:K141" si="16">SUM(E114:E140,E90:E99,E79:E87,E69:E76,E7:E66,E102:E111)</f>
        <v>28</v>
      </c>
      <c r="F141" s="37">
        <f t="shared" si="16"/>
        <v>70</v>
      </c>
      <c r="G141" s="37">
        <f t="shared" si="16"/>
        <v>49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16</v>
      </c>
      <c r="L141" s="37">
        <f>SUM(L114:L140,L90:L99,L79:L87,L69:L76,L7:L66,L102:L111)</f>
        <v>238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-238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2025-02-25T00:56:53Z</cp:lastPrinted>
  <dcterms:created xsi:type="dcterms:W3CDTF">2024-04-30T05:21:27Z</dcterms:created>
  <dcterms:modified xsi:type="dcterms:W3CDTF">2025-02-25T00:56:59Z</dcterms:modified>
</cp:coreProperties>
</file>