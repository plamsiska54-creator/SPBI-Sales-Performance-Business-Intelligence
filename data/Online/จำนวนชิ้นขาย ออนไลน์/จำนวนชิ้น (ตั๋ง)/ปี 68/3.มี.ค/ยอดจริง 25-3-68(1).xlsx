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090D6447-B480-4606-A0C9-5F4527DCC710}" xr6:coauthVersionLast="47" xr6:coauthVersionMax="47" xr10:uidLastSave="{00000000-0000-0000-0000-000000000000}"/>
  <bookViews>
    <workbookView xWindow="1740" yWindow="810" windowWidth="25590" windowHeight="14625" activeTab="2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88" i="4"/>
  <c r="L67" i="4"/>
  <c r="K141" i="5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<sst xmlns="http://schemas.openxmlformats.org/spreadsheetml/2006/main" count="617" uniqueCount="146">
  <si>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</si>
  <si>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</si>
  <si>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</si>
  <si>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</si>
  <si>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</si>
  <si>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</si>
  <si>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</si>
  <si>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</si>
  <si>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</si>
  <si>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</si>
  <si>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</si>
  <si>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</si>
  <si>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</si>
  <si>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</si>
  <si>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</si>
  <si>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</si>
  <si>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</si>
  <si>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</si>
  <si>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</si>
  <si>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</si>
  <si>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</si>
  <si>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</si>
  <si>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</si>
  <si>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</si>
  <si>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</si>
  <si>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</si>
  <si>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</si>
  <si>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</si>
  <si>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</si>
  <si>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</si>
  <si>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</si>
  <si>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</si>
  <si>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</si>
  <si>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</si>
  <si>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</si>
  <si>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</si>
  <si>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</si>
  <si>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</si>
  <si>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</si>
  <si>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</si>
  <si>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</si>
  <si>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</si>
  <si>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</si>
  <si>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</si>
  <si>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</si>
  <si>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</si>
  <si>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</si>
  <si>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</si>
  <si>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</si>
  <si>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</si>
  <si>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</si>
  <si>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</si>
  <si>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</si>
  <si>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</si>
  <si>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</si>
  <si>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</si>
  <si>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</si>
  <si>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</si>
  <si>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</si>
  <si>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</si>
  <si>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</si>
  <si>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</si>
  <si>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</si>
  <si>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</si>
  <si>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</si>
  <si>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</si>
  <si>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</si>
  <si>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</si>
  <si>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</si>
  <si>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</si>
  <si>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</si>
  <si>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</si>
  <si>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</si>
  <si>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</si>
  <si>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</si>
  <si>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</si>
  <si>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</si>
  <si>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</si>
  <si>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</si>
  <si>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</si>
  <si>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</si>
  <si>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</si>
  <si>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</si>
  <si>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</si>
  <si>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</si>
  <si>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</si>
  <si>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</si>
  <si>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</si>
  <si>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</si>
  <si>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</si>
  <si>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</si>
  <si>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</si>
  <si>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</si>
  <si>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</si>
  <si>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</si>
  <si>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</si>
  <si>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</si>
  <si>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</si>
  <si>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</si>
  <si>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</si>
  <si>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</si>
  <si>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</si>
  <si>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</si>
  <si>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</si>
  <si>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</si>
  <si>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</si>
  <si>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</si>
  <si>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</si>
  <si>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</si>
  <si>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</si>
  <si>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</si>
  <si>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</si>
  <si>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</si>
  <si>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</si>
  <si>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</si>
  <si>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</si>
  <si>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</si>
  <si>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</si>
  <si>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</si>
  <si>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</si>
  <si>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</si>
  <si>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</si>
  <si>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</si>
  <si>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</si>
  <si>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</si>
  <si>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</si>
  <si>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</si>
  <si>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</si>
  <si>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</si>
  <si>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</si>
  <si>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</si>
  <si>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</si>
  <si>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</si>
  <si>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</si>
  <si>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</si>
  <si>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</si>
  <si>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</si>
  <si>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</si>
  <si>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</si>
  <si>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</si>
  <si>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</si>
  <si>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</si>
  <si>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</si>
  <si>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วันที่25-3-68  รวม</t>
  </si>
  <si>
    <t>ยอดจริง ออนไลน์ วันที่  25-3-68 เช้า</t>
  </si>
  <si>
    <t>ยอดจริง ออนไลน์ วันที่  25-3-68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</si>
</sst>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66" zoomScale="60" zoomScaleNormal="60" workbookViewId="0">
      <selection activeCell="Q128" sqref="Q128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2</v>
      </c>
      <c r="E7" s="30">
        <v>23</v>
      </c>
      <c r="F7" s="30">
        <v>145</v>
      </c>
      <c r="G7" s="30">
        <v>17</v>
      </c>
      <c r="H7" s="30"/>
      <c r="I7" s="30"/>
      <c r="J7" s="43"/>
      <c r="K7" s="43"/>
      <c r="L7" s="36">
        <f>SUM(D7:K7)</f>
        <v>187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1</v>
      </c>
      <c r="E25" s="30">
        <v>11</v>
      </c>
      <c r="F25" s="30">
        <v>17</v>
      </c>
      <c r="G25" s="30"/>
      <c r="H25" s="30"/>
      <c r="I25" s="30"/>
      <c r="J25" s="43"/>
      <c r="K25" s="43"/>
      <c r="L25" s="36">
        <f t="shared" si="0"/>
        <v>29</v>
      </c>
    </row>
    <row r="26" spans="2:12" x14ac:dyDescent="0.2">
      <c r="B26" s="11">
        <v>1004055</v>
      </c>
      <c r="C26" s="15" t="s">
        <v>108</v>
      </c>
      <c r="D26" s="30">
        <v>2</v>
      </c>
      <c r="E26" s="30">
        <v>12</v>
      </c>
      <c r="F26" s="30"/>
      <c r="G26" s="30">
        <v>58</v>
      </c>
      <c r="H26" s="30"/>
      <c r="I26" s="30"/>
      <c r="J26" s="43"/>
      <c r="K26" s="43"/>
      <c r="L26" s="36">
        <f t="shared" si="0"/>
        <v>72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288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</v>
      </c>
      <c r="E69" s="30">
        <v>9</v>
      </c>
      <c r="F69" s="30">
        <v>1</v>
      </c>
      <c r="G69" s="30">
        <v>1</v>
      </c>
      <c r="H69" s="30"/>
      <c r="I69" s="30"/>
      <c r="J69" s="43"/>
      <c r="K69" s="43">
        <v>5</v>
      </c>
      <c r="L69" s="36">
        <f t="shared" ref="L69:L76" si="1">SUM(D69:K69)</f>
        <v>17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2</v>
      </c>
      <c r="E87" s="30">
        <v>34</v>
      </c>
      <c r="F87" s="30"/>
      <c r="G87" s="30">
        <v>117</v>
      </c>
      <c r="H87" s="30"/>
      <c r="I87" s="30"/>
      <c r="J87" s="43"/>
      <c r="K87" s="43"/>
      <c r="L87" s="36">
        <f t="shared" si="2"/>
        <v>153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153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9</v>
      </c>
      <c r="E90" s="30">
        <v>3</v>
      </c>
      <c r="F90" s="30">
        <v>4</v>
      </c>
      <c r="G90" s="30">
        <v>37</v>
      </c>
      <c r="H90" s="30"/>
      <c r="I90" s="30"/>
      <c r="J90" s="43"/>
      <c r="K90" s="43"/>
      <c r="L90" s="36">
        <f t="shared" ref="L90:L99" si="3">SUM(D90:K90)</f>
        <v>53</v>
      </c>
    </row>
    <row r="91" spans="2:12" x14ac:dyDescent="0.2">
      <c r="B91" s="11">
        <v>1112011</v>
      </c>
      <c r="C91" s="19" t="s">
        <v>76</v>
      </c>
      <c r="D91" s="30">
        <v>1</v>
      </c>
      <c r="E91" s="30">
        <v>1</v>
      </c>
      <c r="F91" s="30">
        <v>8</v>
      </c>
      <c r="G91" s="30">
        <v>34</v>
      </c>
      <c r="H91" s="30"/>
      <c r="I91" s="30"/>
      <c r="J91" s="43"/>
      <c r="K91" s="43"/>
      <c r="L91" s="36">
        <f t="shared" si="3"/>
        <v>44</v>
      </c>
    </row>
    <row r="92" spans="2:12" x14ac:dyDescent="0.2">
      <c r="B92" s="11">
        <v>1112003</v>
      </c>
      <c r="C92" s="19" t="s">
        <v>77</v>
      </c>
      <c r="D92" s="30">
        <v>1</v>
      </c>
      <c r="E92" s="30">
        <v>2</v>
      </c>
      <c r="F92" s="30">
        <v>2</v>
      </c>
      <c r="G92" s="30">
        <v>34</v>
      </c>
      <c r="H92" s="30"/>
      <c r="I92" s="30"/>
      <c r="J92" s="43"/>
      <c r="K92" s="43"/>
      <c r="L92" s="36">
        <f t="shared" si="3"/>
        <v>39</v>
      </c>
    </row>
    <row r="93" spans="2:12" x14ac:dyDescent="0.2">
      <c r="B93" s="11">
        <v>1112005</v>
      </c>
      <c r="C93" s="19" t="s">
        <v>78</v>
      </c>
      <c r="D93" s="30">
        <v>8</v>
      </c>
      <c r="E93" s="30">
        <v>2</v>
      </c>
      <c r="F93" s="30">
        <v>2</v>
      </c>
      <c r="G93" s="30">
        <v>34</v>
      </c>
      <c r="H93" s="30"/>
      <c r="I93" s="30"/>
      <c r="J93" s="43"/>
      <c r="K93" s="43"/>
      <c r="L93" s="36">
        <f t="shared" si="3"/>
        <v>46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1</v>
      </c>
      <c r="F97" s="30">
        <v>1</v>
      </c>
      <c r="G97" s="30">
        <v>34</v>
      </c>
      <c r="H97" s="30"/>
      <c r="I97" s="30"/>
      <c r="J97" s="43"/>
      <c r="K97" s="43"/>
      <c r="L97" s="36">
        <f t="shared" si="3"/>
        <v>36</v>
      </c>
    </row>
    <row r="98" spans="2:12" x14ac:dyDescent="0.2">
      <c r="B98" s="11">
        <v>1112013</v>
      </c>
      <c r="C98" s="19" t="s">
        <v>83</v>
      </c>
      <c r="D98" s="30"/>
      <c r="E98" s="30">
        <v>2</v>
      </c>
      <c r="F98" s="30">
        <v>3</v>
      </c>
      <c r="G98" s="30">
        <v>36</v>
      </c>
      <c r="H98" s="30"/>
      <c r="I98" s="30"/>
      <c r="J98" s="43"/>
      <c r="K98" s="43"/>
      <c r="L98" s="36">
        <f t="shared" si="3"/>
        <v>41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259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>
        <v>6</v>
      </c>
      <c r="F121" s="30"/>
      <c r="G121" s="30"/>
      <c r="H121" s="30"/>
      <c r="I121" s="30"/>
      <c r="J121" s="43"/>
      <c r="K121" s="43"/>
      <c r="L121" s="36">
        <f t="shared" si="5"/>
        <v>6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>
        <v>6</v>
      </c>
      <c r="F123" s="30"/>
      <c r="G123" s="30">
        <v>14</v>
      </c>
      <c r="H123" s="30"/>
      <c r="I123" s="30"/>
      <c r="J123" s="43"/>
      <c r="K123" s="43"/>
      <c r="L123" s="36">
        <f t="shared" si="5"/>
        <v>20</v>
      </c>
    </row>
    <row r="124" spans="2:12" x14ac:dyDescent="0.2">
      <c r="B124" s="11">
        <v>1114502</v>
      </c>
      <c r="C124" s="21" t="s">
        <v>96</v>
      </c>
      <c r="D124" s="30"/>
      <c r="E124" s="30">
        <v>3</v>
      </c>
      <c r="F124" s="30"/>
      <c r="G124" s="30">
        <v>14</v>
      </c>
      <c r="H124" s="30"/>
      <c r="I124" s="30"/>
      <c r="J124" s="43"/>
      <c r="K124" s="43"/>
      <c r="L124" s="36">
        <f t="shared" si="5"/>
        <v>17</v>
      </c>
    </row>
    <row r="125" spans="2:12" x14ac:dyDescent="0.2">
      <c r="B125" s="11">
        <v>1114503</v>
      </c>
      <c r="C125" s="21" t="s">
        <v>97</v>
      </c>
      <c r="D125" s="30"/>
      <c r="E125" s="30"/>
      <c r="F125" s="30">
        <v>1</v>
      </c>
      <c r="G125" s="30">
        <v>15</v>
      </c>
      <c r="H125" s="30"/>
      <c r="I125" s="30"/>
      <c r="J125" s="43"/>
      <c r="K125" s="43"/>
      <c r="L125" s="36">
        <f t="shared" si="5"/>
        <v>16</v>
      </c>
    </row>
    <row r="126" spans="2:12" x14ac:dyDescent="0.2">
      <c r="B126" s="11">
        <v>1124021</v>
      </c>
      <c r="C126" s="21" t="s">
        <v>98</v>
      </c>
      <c r="D126" s="30"/>
      <c r="E126" s="30">
        <v>2</v>
      </c>
      <c r="F126" s="30">
        <v>58</v>
      </c>
      <c r="G126" s="30">
        <v>2</v>
      </c>
      <c r="H126" s="30"/>
      <c r="I126" s="30"/>
      <c r="J126" s="43"/>
      <c r="K126" s="43"/>
      <c r="L126" s="36">
        <f t="shared" si="5"/>
        <v>62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abSelected="1" topLeftCell="A118" zoomScale="60" zoomScaleNormal="60" workbookViewId="0">
      <selection activeCell="B1" sqref="B1:L140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10</v>
      </c>
      <c r="E7" s="30">
        <v>7</v>
      </c>
      <c r="F7" s="30">
        <v>5</v>
      </c>
      <c r="G7" s="30">
        <v>8</v>
      </c>
      <c r="H7" s="30"/>
      <c r="I7" s="30"/>
      <c r="J7" s="43"/>
      <c r="K7" s="43"/>
      <c r="L7" s="36">
        <f>SUM(D7:K7)</f>
        <v>30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>
        <v>38</v>
      </c>
      <c r="G25" s="30">
        <v>2</v>
      </c>
      <c r="H25" s="30"/>
      <c r="I25" s="30"/>
      <c r="J25" s="43"/>
      <c r="K25" s="43"/>
      <c r="L25" s="36">
        <f t="shared" si="0"/>
        <v>40</v>
      </c>
    </row>
    <row r="26" spans="2:12" x14ac:dyDescent="0.2">
      <c r="B26" s="11">
        <v>1004055</v>
      </c>
      <c r="C26" s="15" t="s">
        <v>108</v>
      </c>
      <c r="D26" s="30">
        <v>30</v>
      </c>
      <c r="E26" s="30">
        <v>1</v>
      </c>
      <c r="F26" s="30">
        <v>1</v>
      </c>
      <c r="G26" s="30">
        <v>18</v>
      </c>
      <c r="H26" s="30"/>
      <c r="I26" s="30"/>
      <c r="J26" s="43"/>
      <c r="K26" s="43"/>
      <c r="L26" s="36">
        <f t="shared" si="0"/>
        <v>50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10</v>
      </c>
      <c r="E69" s="30">
        <v>1</v>
      </c>
      <c r="F69" s="30">
        <v>9</v>
      </c>
      <c r="G69" s="30">
        <v>2</v>
      </c>
      <c r="H69" s="30"/>
      <c r="I69" s="30"/>
      <c r="J69" s="43"/>
      <c r="K69" s="43"/>
      <c r="L69" s="36">
        <f t="shared" ref="L69:L76" si="1">SUM(D69:K69)</f>
        <v>22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22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30</v>
      </c>
      <c r="E87" s="30">
        <v>4</v>
      </c>
      <c r="F87" s="30"/>
      <c r="G87" s="30">
        <v>12</v>
      </c>
      <c r="H87" s="30"/>
      <c r="I87" s="30"/>
      <c r="J87" s="43"/>
      <c r="K87" s="43"/>
      <c r="L87" s="36">
        <f t="shared" si="2"/>
        <v>46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46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>
        <v>1</v>
      </c>
      <c r="F90" s="30"/>
      <c r="G90" s="30">
        <v>11</v>
      </c>
      <c r="H90" s="30"/>
      <c r="I90" s="30"/>
      <c r="J90" s="43"/>
      <c r="K90" s="43"/>
      <c r="L90" s="36">
        <f t="shared" ref="L90:L99" si="3">SUM(D90:K90)</f>
        <v>12</v>
      </c>
    </row>
    <row r="91" spans="2:12" x14ac:dyDescent="0.2">
      <c r="B91" s="11">
        <v>1112011</v>
      </c>
      <c r="C91" s="19" t="s">
        <v>76</v>
      </c>
      <c r="D91" s="30"/>
      <c r="E91" s="30">
        <v>1</v>
      </c>
      <c r="F91" s="30">
        <v>6</v>
      </c>
      <c r="G91" s="30">
        <v>10</v>
      </c>
      <c r="H91" s="30"/>
      <c r="I91" s="30"/>
      <c r="J91" s="43"/>
      <c r="K91" s="43"/>
      <c r="L91" s="36">
        <f t="shared" si="3"/>
        <v>17</v>
      </c>
    </row>
    <row r="92" spans="2:12" x14ac:dyDescent="0.2">
      <c r="B92" s="11">
        <v>1112003</v>
      </c>
      <c r="C92" s="19" t="s">
        <v>77</v>
      </c>
      <c r="D92" s="30"/>
      <c r="E92" s="30">
        <v>1</v>
      </c>
      <c r="F92" s="30"/>
      <c r="G92" s="30">
        <v>11</v>
      </c>
      <c r="H92" s="30"/>
      <c r="I92" s="30"/>
      <c r="J92" s="43"/>
      <c r="K92" s="43"/>
      <c r="L92" s="36">
        <f t="shared" si="3"/>
        <v>12</v>
      </c>
    </row>
    <row r="93" spans="2:12" x14ac:dyDescent="0.2">
      <c r="B93" s="11">
        <v>1112005</v>
      </c>
      <c r="C93" s="19" t="s">
        <v>78</v>
      </c>
      <c r="D93" s="30"/>
      <c r="E93" s="30">
        <v>1</v>
      </c>
      <c r="F93" s="30"/>
      <c r="G93" s="30">
        <v>10</v>
      </c>
      <c r="H93" s="30"/>
      <c r="I93" s="30"/>
      <c r="J93" s="43"/>
      <c r="K93" s="43"/>
      <c r="L93" s="36">
        <f t="shared" si="3"/>
        <v>11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1</v>
      </c>
      <c r="F97" s="30"/>
      <c r="G97" s="30">
        <v>10</v>
      </c>
      <c r="H97" s="30"/>
      <c r="I97" s="30"/>
      <c r="J97" s="43"/>
      <c r="K97" s="43"/>
      <c r="L97" s="36">
        <f t="shared" si="3"/>
        <v>11</v>
      </c>
    </row>
    <row r="98" spans="2:12" x14ac:dyDescent="0.2">
      <c r="B98" s="11">
        <v>1112013</v>
      </c>
      <c r="C98" s="19" t="s">
        <v>83</v>
      </c>
      <c r="D98" s="30"/>
      <c r="E98" s="30">
        <v>1</v>
      </c>
      <c r="F98" s="30"/>
      <c r="G98" s="30">
        <v>11</v>
      </c>
      <c r="H98" s="30"/>
      <c r="I98" s="30"/>
      <c r="J98" s="43"/>
      <c r="K98" s="43"/>
      <c r="L98" s="36">
        <f t="shared" si="3"/>
        <v>12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75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>
        <v>1</v>
      </c>
      <c r="G121" s="30"/>
      <c r="H121" s="30"/>
      <c r="I121" s="30"/>
      <c r="J121" s="43"/>
      <c r="K121" s="43"/>
      <c r="L121" s="36">
        <f t="shared" si="5"/>
        <v>1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>
        <v>6</v>
      </c>
      <c r="F123" s="30">
        <v>9</v>
      </c>
      <c r="G123" s="30">
        <v>102</v>
      </c>
      <c r="H123" s="30"/>
      <c r="I123" s="30"/>
      <c r="J123" s="43"/>
      <c r="K123" s="43"/>
      <c r="L123" s="36">
        <f t="shared" si="5"/>
        <v>117</v>
      </c>
    </row>
    <row r="124" spans="2:12" x14ac:dyDescent="0.2">
      <c r="B124" s="11">
        <v>1114502</v>
      </c>
      <c r="C124" s="21" t="s">
        <v>96</v>
      </c>
      <c r="D124" s="30"/>
      <c r="E124" s="30">
        <v>2</v>
      </c>
      <c r="F124" s="30">
        <v>2</v>
      </c>
      <c r="G124" s="30">
        <v>99</v>
      </c>
      <c r="H124" s="30"/>
      <c r="I124" s="30"/>
      <c r="J124" s="43"/>
      <c r="K124" s="43"/>
      <c r="L124" s="36">
        <f t="shared" si="5"/>
        <v>103</v>
      </c>
    </row>
    <row r="125" spans="2:12" x14ac:dyDescent="0.2">
      <c r="B125" s="11">
        <v>1114503</v>
      </c>
      <c r="C125" s="21" t="s">
        <v>97</v>
      </c>
      <c r="D125" s="30"/>
      <c r="E125" s="30">
        <v>3</v>
      </c>
      <c r="F125" s="30">
        <v>2</v>
      </c>
      <c r="G125" s="30">
        <v>100</v>
      </c>
      <c r="H125" s="30"/>
      <c r="I125" s="30"/>
      <c r="J125" s="43"/>
      <c r="K125" s="43"/>
      <c r="L125" s="36">
        <f t="shared" si="5"/>
        <v>105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26" zoomScale="50" zoomScaleNormal="50" workbookViewId="0">
      <selection activeCell="T53" sqref="T53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  <col min="13" max="13" width="16.125" style="23" customWidth="1"/>
    <col min="14" max="15" width="15.375" style="23" customWidth="1"/>
    <col min="16" max="16" width="25.375" style="23" customWidth="1"/>
    <col min="17" max="17" width="14.375" style="28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12</v>
      </c>
      <c r="E7" s="30">
        <f>'เย็น '!E7+'เช้า '!E7+บ่าย!E7</f>
        <v>30</v>
      </c>
      <c r="F7" s="30">
        <f>'เย็น '!F7+'เช้า '!F7+บ่าย!F7</f>
        <v>150</v>
      </c>
      <c r="G7" s="30">
        <f>'เย็น '!G7+'เช้า '!G7+บ่าย!G7</f>
        <v>25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217</v>
      </c>
      <c r="M7" s="11">
        <v>100</v>
      </c>
      <c r="N7" s="11">
        <v>203</v>
      </c>
      <c r="O7" s="11"/>
      <c r="P7" s="11">
        <v>100</v>
      </c>
      <c r="Q7" s="44">
        <f>(M7+N7+O7+P7)-L7</f>
        <v>186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11</v>
      </c>
      <c r="F25" s="30">
        <f>'เย็น '!F25+'เช้า '!F25+บ่าย!F25</f>
        <v>55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69</v>
      </c>
      <c r="M25" s="11">
        <v>60</v>
      </c>
      <c r="N25" s="11">
        <v>158</v>
      </c>
      <c r="O25" s="11"/>
      <c r="P25" s="11">
        <v>60</v>
      </c>
      <c r="Q25" s="44">
        <f t="shared" si="1"/>
        <v>209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32</v>
      </c>
      <c r="E26" s="30">
        <f>'เย็น '!E26+'เช้า '!E26+บ่าย!E26</f>
        <v>13</v>
      </c>
      <c r="F26" s="30">
        <f>'เย็น '!F26+'เช้า '!F26+บ่าย!F26</f>
        <v>1</v>
      </c>
      <c r="G26" s="30">
        <f>'เย็น '!G26+'เช้า '!G26+บ่าย!G26</f>
        <v>76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122</v>
      </c>
      <c r="M26" s="11"/>
      <c r="N26" s="11">
        <v>441</v>
      </c>
      <c r="O26" s="11"/>
      <c r="P26" s="11"/>
      <c r="Q26" s="44">
        <f t="shared" si="1"/>
        <v>319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>
        <v>1</v>
      </c>
      <c r="O57" s="11"/>
      <c r="P57" s="11"/>
      <c r="Q57" s="44">
        <f t="shared" si="1"/>
        <v>1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>
        <v>1</v>
      </c>
      <c r="O59" s="11"/>
      <c r="P59" s="11"/>
      <c r="Q59" s="44">
        <f t="shared" si="1"/>
        <v>1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10</v>
      </c>
      <c r="F69" s="30">
        <f>'เย็น '!F69+'เช้า '!F69+บ่าย!F69</f>
        <v>10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5</v>
      </c>
      <c r="L69" s="36">
        <f t="shared" ref="L69:L76" si="4">SUM(D69:K69)</f>
        <v>39</v>
      </c>
      <c r="M69" s="11">
        <v>50</v>
      </c>
      <c r="N69" s="11">
        <v>62</v>
      </c>
      <c r="O69" s="11"/>
      <c r="P69" s="11">
        <v>50</v>
      </c>
      <c r="Q69" s="44">
        <f t="shared" ref="Q69:Q76" si="5">(M69+N69+O69+P69)-L69</f>
        <v>123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32</v>
      </c>
      <c r="E87" s="30">
        <f>'เย็น '!E87+'เช้า '!E87+บ่าย!E87</f>
        <v>38</v>
      </c>
      <c r="F87" s="30">
        <f>'เย็น '!F87+'เช้า '!F87+บ่าย!F87</f>
        <v>0</v>
      </c>
      <c r="G87" s="30">
        <f>'เย็น '!G87+'เช้า '!G87+บ่าย!G87</f>
        <v>129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199</v>
      </c>
      <c r="M87" s="11"/>
      <c r="N87" s="11">
        <v>589</v>
      </c>
      <c r="O87" s="11"/>
      <c r="P87" s="11"/>
      <c r="Q87" s="44">
        <f t="shared" si="8"/>
        <v>390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4</v>
      </c>
      <c r="F90" s="30">
        <f>'เย็น '!F90+'เช้า '!F90+บ่าย!F90</f>
        <v>4</v>
      </c>
      <c r="G90" s="30">
        <f>'เย็น '!G90+'เช้า '!G90+บ่าย!G90</f>
        <v>48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65</v>
      </c>
      <c r="M90" s="11">
        <v>85</v>
      </c>
      <c r="N90" s="11">
        <v>83</v>
      </c>
      <c r="O90" s="11"/>
      <c r="P90" s="11">
        <v>85</v>
      </c>
      <c r="Q90" s="44">
        <f t="shared" ref="Q90:Q100" si="10">(M90+N90+O90+P90)-L90</f>
        <v>188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2</v>
      </c>
      <c r="F91" s="30">
        <f>'เย็น '!F91+'เช้า '!F91+บ่าย!F91</f>
        <v>14</v>
      </c>
      <c r="G91" s="30">
        <f>'เย็น '!G91+'เช้า '!G91+บ่าย!G91</f>
        <v>44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61</v>
      </c>
      <c r="M91" s="11">
        <v>128</v>
      </c>
      <c r="N91" s="11">
        <v>9</v>
      </c>
      <c r="O91" s="11"/>
      <c r="P91" s="11">
        <v>84</v>
      </c>
      <c r="Q91" s="44">
        <f t="shared" si="10"/>
        <v>160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3</v>
      </c>
      <c r="F92" s="30">
        <f>'เย็น '!F92+'เช้า '!F92+บ่าย!F92</f>
        <v>2</v>
      </c>
      <c r="G92" s="30">
        <f>'เย็น '!G92+'เช้า '!G92+บ่าย!G92</f>
        <v>45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51</v>
      </c>
      <c r="M92" s="11">
        <v>40</v>
      </c>
      <c r="N92" s="11">
        <v>16</v>
      </c>
      <c r="O92" s="11"/>
      <c r="P92" s="11">
        <v>40</v>
      </c>
      <c r="Q92" s="44">
        <f t="shared" si="10"/>
        <v>45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3</v>
      </c>
      <c r="F93" s="30">
        <f>'เย็น '!F93+'เช้า '!F93+บ่าย!F93</f>
        <v>2</v>
      </c>
      <c r="G93" s="30">
        <f>'เย็น '!G93+'เช้า '!G93+บ่าย!G93</f>
        <v>44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57</v>
      </c>
      <c r="M93" s="11">
        <v>40</v>
      </c>
      <c r="N93" s="11">
        <v>28</v>
      </c>
      <c r="O93" s="11"/>
      <c r="P93" s="11">
        <v>40</v>
      </c>
      <c r="Q93" s="44">
        <f t="shared" si="10"/>
        <v>51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44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47</v>
      </c>
      <c r="M97" s="11">
        <v>40</v>
      </c>
      <c r="N97" s="11">
        <v>6</v>
      </c>
      <c r="O97" s="11"/>
      <c r="P97" s="11">
        <v>40</v>
      </c>
      <c r="Q97" s="44">
        <f t="shared" si="10"/>
        <v>39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3</v>
      </c>
      <c r="F98" s="30">
        <f>'เย็น '!F98+'เช้า '!F98+บ่าย!F98</f>
        <v>3</v>
      </c>
      <c r="G98" s="30">
        <f>'เย็น '!G98+'เช้า '!G98+บ่าย!G98</f>
        <v>47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53</v>
      </c>
      <c r="M98" s="11">
        <v>60</v>
      </c>
      <c r="N98" s="11">
        <v>77</v>
      </c>
      <c r="O98" s="11"/>
      <c r="P98" s="11">
        <v>60</v>
      </c>
      <c r="Q98" s="44">
        <f t="shared" si="10"/>
        <v>144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334</v>
      </c>
      <c r="M100" s="11">
        <f>SUM(M90:M99)</f>
        <v>393</v>
      </c>
      <c r="N100" s="11">
        <f>SUM(N90:N99)</f>
        <v>219</v>
      </c>
      <c r="O100" s="11">
        <f>SUM(O90:O99)</f>
        <v>0</v>
      </c>
      <c r="P100" s="11">
        <f>SUM(P90:P99)</f>
        <v>349</v>
      </c>
      <c r="Q100" s="44">
        <f t="shared" si="10"/>
        <v>627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>
        <v>2</v>
      </c>
      <c r="N102" s="11"/>
      <c r="O102" s="11"/>
      <c r="P102" s="11"/>
      <c r="Q102" s="44">
        <f t="shared" ref="Q102:Q112" si="12">(M102+N102+O102+P102)-L102</f>
        <v>2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2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2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</v>
      </c>
      <c r="O120" s="11"/>
      <c r="P120" s="11"/>
      <c r="Q120" s="44">
        <f t="shared" si="14"/>
        <v>2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6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7</v>
      </c>
      <c r="M121" s="11"/>
      <c r="N121" s="11">
        <v>48</v>
      </c>
      <c r="O121" s="11"/>
      <c r="P121" s="11"/>
      <c r="Q121" s="44">
        <f t="shared" si="14"/>
        <v>41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12</v>
      </c>
      <c r="F123" s="30">
        <f>'เย็น '!F123+'เช้า '!F123+บ่าย!F123</f>
        <v>9</v>
      </c>
      <c r="G123" s="30">
        <f>'เย็น '!G123+'เช้า '!G123+บ่าย!G123</f>
        <v>116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137</v>
      </c>
      <c r="M123" s="11">
        <v>102</v>
      </c>
      <c r="N123" s="11">
        <v>22</v>
      </c>
      <c r="O123" s="11"/>
      <c r="P123" s="11">
        <v>40</v>
      </c>
      <c r="Q123" s="44">
        <f t="shared" si="14"/>
        <v>27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5</v>
      </c>
      <c r="F124" s="30">
        <f>'เย็น '!F124+'เช้า '!F124+บ่าย!F124</f>
        <v>2</v>
      </c>
      <c r="G124" s="30">
        <f>'เย็น '!G124+'เช้า '!G124+บ่าย!G124</f>
        <v>113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120</v>
      </c>
      <c r="M124" s="11">
        <v>103</v>
      </c>
      <c r="N124" s="11">
        <v>18</v>
      </c>
      <c r="O124" s="11"/>
      <c r="P124" s="11">
        <v>30</v>
      </c>
      <c r="Q124" s="44">
        <f t="shared" si="14"/>
        <v>31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3</v>
      </c>
      <c r="F125" s="30">
        <f>'เย็น '!F125+'เช้า '!F125+บ่าย!F125</f>
        <v>3</v>
      </c>
      <c r="G125" s="30">
        <f>'เย็น '!G125+'เช้า '!G125+บ่าย!G125</f>
        <v>115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121</v>
      </c>
      <c r="M125" s="11">
        <v>30</v>
      </c>
      <c r="N125" s="11">
        <v>112</v>
      </c>
      <c r="O125" s="11"/>
      <c r="P125" s="11">
        <v>30</v>
      </c>
      <c r="Q125" s="44">
        <f t="shared" si="14"/>
        <v>51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</v>
      </c>
      <c r="F126" s="30">
        <f>'เย็น '!F126+'เช้า '!F126+บ่าย!F126</f>
        <v>58</v>
      </c>
      <c r="G126" s="30">
        <f>'เย็น '!G126+'เช้า '!G126+บ่าย!G126</f>
        <v>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62</v>
      </c>
      <c r="M126" s="11"/>
      <c r="N126" s="11">
        <v>59</v>
      </c>
      <c r="O126" s="11"/>
      <c r="P126" s="11"/>
      <c r="Q126" s="44">
        <f t="shared" si="14"/>
        <v>-3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107</v>
      </c>
      <c r="E141" s="36">
        <f t="shared" ref="E141:K141" si="15">SUM(E114:E140,E90:E99,E79:E87,E69:E76,E7:E66,E102:E111)</f>
        <v>147</v>
      </c>
      <c r="F141" s="36">
        <f t="shared" si="15"/>
        <v>315</v>
      </c>
      <c r="G141" s="36">
        <f t="shared" si="15"/>
        <v>853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1427</v>
      </c>
      <c r="M141" s="36">
        <f>SUM(M114:M140,M90:M99,M79:M87,M69:M76,M7:M66,M102:M111)</f>
        <v>840</v>
      </c>
      <c r="N141" s="36">
        <f t="shared" ref="N141" si="16">SUM(N114:N140,N90:N99,N79:N87,N69:N76,N7:N66,N102:N111)</f>
        <v>1935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659</v>
      </c>
      <c r="Q141" s="36">
        <f t="shared" ref="Q141" si="19">SUM(Q114:Q140,Q90:Q99,Q79:Q87,Q69:Q76,Q7:Q66,Q102:Q111)</f>
        <v>2007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2025-03-25T06:31:55Z</cp:lastPrinted>
  <dcterms:created xsi:type="dcterms:W3CDTF">2024-04-30T05:21:27Z</dcterms:created>
  <dcterms:modified xsi:type="dcterms:W3CDTF">2025-03-25T06:32:56Z</dcterms:modified>
</cp:coreProperties>
</file>