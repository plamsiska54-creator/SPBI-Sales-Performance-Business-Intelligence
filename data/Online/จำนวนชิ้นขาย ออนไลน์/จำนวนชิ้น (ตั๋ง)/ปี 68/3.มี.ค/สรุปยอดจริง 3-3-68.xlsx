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863A4DF-3EC0-4376-8805-BF21B2A06A8E}" xr6:coauthVersionLast="47" xr6:coauthVersionMax="47" xr10:uidLastSave="{00000000-0000-0000-0000-000000000000}"/>
  <bookViews>
    <workbookView xWindow="-60" yWindow="1050" windowWidth="18405" windowHeight="13515" activeTab="3" xr2:uid="{55C9AAA3-F459-48EC-A639-AACFFC6390F5}"/>
  </bookViews>
  <sheets>
    <sheet name="เย็น " sheetId="6" r:id="rId1"/>
    <sheet name="เช้า " sheetId="3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7" i="5" l="1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L131" i="5"/>
  <c r="L132" i="5"/>
  <c r="L133" i="5"/>
  <c r="L134" i="5"/>
  <c r="L136" i="5"/>
  <c r="L137" i="5"/>
  <c r="L138" i="5"/>
  <c r="L139" i="5"/>
  <c r="D135" i="5"/>
  <c r="E135" i="5"/>
  <c r="F135" i="5"/>
  <c r="L135" i="5" s="1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D121" i="5"/>
  <c r="E121" i="5"/>
  <c r="F121" i="5"/>
  <c r="G121" i="5"/>
  <c r="H121" i="5"/>
  <c r="I121" i="5"/>
  <c r="J121" i="5"/>
  <c r="D122" i="5"/>
  <c r="E122" i="5"/>
  <c r="F122" i="5"/>
  <c r="G122" i="5"/>
  <c r="H122" i="5"/>
  <c r="I122" i="5"/>
  <c r="J122" i="5"/>
  <c r="D123" i="5"/>
  <c r="E123" i="5"/>
  <c r="F123" i="5"/>
  <c r="G123" i="5"/>
  <c r="H123" i="5"/>
  <c r="I123" i="5"/>
  <c r="J123" i="5"/>
  <c r="D124" i="5"/>
  <c r="E124" i="5"/>
  <c r="F124" i="5"/>
  <c r="G124" i="5"/>
  <c r="H124" i="5"/>
  <c r="I124" i="5"/>
  <c r="J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D127" i="5"/>
  <c r="E127" i="5"/>
  <c r="F127" i="5"/>
  <c r="G127" i="5"/>
  <c r="H127" i="5"/>
  <c r="I127" i="5"/>
  <c r="J127" i="5"/>
  <c r="D128" i="5"/>
  <c r="E128" i="5"/>
  <c r="F128" i="5"/>
  <c r="G128" i="5"/>
  <c r="H128" i="5"/>
  <c r="I128" i="5"/>
  <c r="J128" i="5"/>
  <c r="D129" i="5"/>
  <c r="E129" i="5"/>
  <c r="F129" i="5"/>
  <c r="G129" i="5"/>
  <c r="H129" i="5"/>
  <c r="I129" i="5"/>
  <c r="J129" i="5"/>
  <c r="D130" i="5"/>
  <c r="E130" i="5"/>
  <c r="F130" i="5"/>
  <c r="G130" i="5"/>
  <c r="H130" i="5"/>
  <c r="I130" i="5"/>
  <c r="J130" i="5"/>
  <c r="D131" i="5"/>
  <c r="E131" i="5"/>
  <c r="F131" i="5"/>
  <c r="G131" i="5"/>
  <c r="H131" i="5"/>
  <c r="I131" i="5"/>
  <c r="J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Q139" i="5"/>
  <c r="Q135" i="5"/>
  <c r="L112" i="3"/>
  <c r="Q138" i="5"/>
  <c r="K141" i="5"/>
  <c r="Q136" i="5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1" i="5" l="1"/>
  <c r="L112" i="5"/>
  <c r="Q112" i="5" s="1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<sst xmlns="http://schemas.openxmlformats.org/spreadsheetml/2006/main" count="617" uniqueCount="146">
  <si>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</si>
  <si>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</si>
  <si>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</si>
  <si>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</si>
  <si>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</si>
  <si>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</si>
  <si>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</si>
  <si>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</si>
  <si>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</si>
  <si>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</si>
  <si>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</si>
  <si>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</si>
  <si>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</si>
  <si>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</si>
  <si>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</si>
  <si>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</si>
  <si>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</si>
  <si>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</si>
  <si>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</si>
  <si>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</si>
  <si>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</si>
  <si>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</si>
  <si>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</si>
  <si>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</si>
  <si>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</si>
  <si>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</si>
  <si>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</si>
  <si>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</si>
  <si>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</si>
  <si>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</si>
  <si>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</si>
  <si>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</si>
  <si>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</si>
  <si>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</si>
  <si>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</si>
  <si>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</si>
  <si>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</si>
  <si>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</si>
  <si>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</si>
  <si>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</si>
  <si>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</si>
  <si>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</si>
  <si>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</si>
  <si>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</si>
  <si>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</si>
  <si>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</si>
  <si>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</si>
  <si>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</si>
  <si>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</si>
  <si>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</si>
  <si>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</si>
  <si>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</si>
  <si>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</si>
  <si>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</si>
  <si>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</si>
  <si>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</si>
  <si>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</si>
  <si>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</si>
  <si>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</si>
  <si>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</si>
  <si>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</si>
  <si>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</si>
  <si>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</si>
  <si>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</si>
  <si>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</si>
  <si>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</si>
  <si>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</si>
  <si>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</si>
  <si>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</si>
  <si>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</si>
  <si>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</si>
  <si>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</si>
  <si>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</si>
  <si>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</si>
  <si>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</si>
  <si>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</si>
  <si>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</si>
  <si>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</si>
  <si>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</si>
  <si>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</si>
  <si>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</si>
  <si>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</si>
  <si>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</si>
  <si>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</si>
  <si>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</si>
  <si>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</si>
  <si>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</si>
  <si>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</si>
  <si>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</si>
  <si>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</si>
  <si>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</si>
  <si>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</si>
  <si>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</si>
  <si>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</si>
  <si>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</si>
  <si>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</si>
  <si>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</si>
  <si>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</si>
  <si>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</si>
  <si>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</si>
  <si>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</si>
  <si>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</si>
  <si>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</si>
  <si>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</si>
  <si>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</si>
  <si>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</si>
  <si>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</si>
  <si>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</si>
  <si>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</si>
  <si>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</si>
  <si>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</si>
  <si>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</si>
  <si>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</si>
  <si>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</si>
  <si>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</si>
  <si>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</si>
  <si>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</si>
  <si>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</si>
  <si>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</si>
  <si>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</si>
  <si>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</si>
  <si>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</si>
  <si>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</si>
  <si>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</si>
  <si>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</si>
  <si>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</si>
  <si>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</si>
  <si>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</si>
  <si>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</si>
  <si>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</si>
  <si>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</si>
  <si>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</si>
  <si>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</si>
  <si>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</si>
  <si>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</si>
  <si>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</si>
  <si>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</si>
  <si>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</si>
  <si>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</si>
  <si>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</si>
  <si>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</si>
  <si>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</si>
  <si>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</si>
  <si>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</si>
  <si>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3/3/2568 - เช้า</t>
  </si>
  <si>
    <t>ยอดจริง ออนไลน์ วันที่  3/3/2568รวม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</si>
</sst>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21" zoomScale="60" zoomScaleNormal="60" workbookViewId="0">
      <selection activeCell="L132" sqref="L132:L140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17" sqref="K17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11</v>
      </c>
      <c r="E7" s="31">
        <v>24</v>
      </c>
      <c r="F7" s="31">
        <v>21</v>
      </c>
      <c r="G7" s="31">
        <v>18</v>
      </c>
      <c r="H7" s="31"/>
      <c r="I7" s="31"/>
      <c r="J7" s="44"/>
      <c r="K7" s="44"/>
      <c r="L7" s="37">
        <f>SUM(D7:K7)</f>
        <v>74</v>
      </c>
    </row>
    <row r="8" spans="2:12" ht="22.5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>
        <v>180</v>
      </c>
      <c r="L16" s="37">
        <f t="shared" si="0"/>
        <v>180</v>
      </c>
    </row>
    <row r="17" spans="2:12" ht="22.5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7</v>
      </c>
      <c r="E25" s="31">
        <v>12</v>
      </c>
      <c r="F25" s="31">
        <v>13</v>
      </c>
      <c r="G25" s="31"/>
      <c r="H25" s="31"/>
      <c r="I25" s="31"/>
      <c r="J25" s="44"/>
      <c r="K25" s="44"/>
      <c r="L25" s="37">
        <f t="shared" si="0"/>
        <v>32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>
        <v>1</v>
      </c>
      <c r="F56" s="31"/>
      <c r="G56" s="31"/>
      <c r="H56" s="31"/>
      <c r="I56" s="31"/>
      <c r="J56" s="44"/>
      <c r="K56" s="44"/>
      <c r="L56" s="37">
        <f t="shared" si="0"/>
        <v>1</v>
      </c>
    </row>
    <row r="57" spans="2:12" x14ac:dyDescent="0.2">
      <c r="B57" s="11">
        <v>1111075</v>
      </c>
      <c r="C57" s="15" t="s">
        <v>45</v>
      </c>
      <c r="D57" s="31"/>
      <c r="E57" s="31">
        <v>1</v>
      </c>
      <c r="F57" s="31"/>
      <c r="G57" s="31"/>
      <c r="H57" s="31"/>
      <c r="I57" s="31"/>
      <c r="J57" s="44"/>
      <c r="K57" s="44"/>
      <c r="L57" s="37">
        <f t="shared" si="0"/>
        <v>1</v>
      </c>
    </row>
    <row r="58" spans="2:12" x14ac:dyDescent="0.2">
      <c r="B58" s="11">
        <v>1111076</v>
      </c>
      <c r="C58" s="15" t="s">
        <v>46</v>
      </c>
      <c r="D58" s="31"/>
      <c r="E58" s="31">
        <v>1</v>
      </c>
      <c r="F58" s="31"/>
      <c r="G58" s="31"/>
      <c r="H58" s="31"/>
      <c r="I58" s="31"/>
      <c r="J58" s="44"/>
      <c r="K58" s="44"/>
      <c r="L58" s="37">
        <f t="shared" si="0"/>
        <v>1</v>
      </c>
    </row>
    <row r="59" spans="2:12" x14ac:dyDescent="0.2">
      <c r="B59" s="11">
        <v>1111077</v>
      </c>
      <c r="C59" s="15" t="s">
        <v>47</v>
      </c>
      <c r="D59" s="31"/>
      <c r="E59" s="31">
        <v>1</v>
      </c>
      <c r="F59" s="31"/>
      <c r="G59" s="31"/>
      <c r="H59" s="31"/>
      <c r="I59" s="31"/>
      <c r="J59" s="44"/>
      <c r="K59" s="44"/>
      <c r="L59" s="37">
        <f t="shared" si="0"/>
        <v>1</v>
      </c>
    </row>
    <row r="60" spans="2:12" x14ac:dyDescent="0.2">
      <c r="B60" s="11">
        <v>1111078</v>
      </c>
      <c r="C60" s="15" t="s">
        <v>48</v>
      </c>
      <c r="D60" s="31"/>
      <c r="E60" s="31">
        <v>1</v>
      </c>
      <c r="F60" s="31"/>
      <c r="G60" s="31"/>
      <c r="H60" s="31"/>
      <c r="I60" s="31"/>
      <c r="J60" s="44"/>
      <c r="K60" s="44"/>
      <c r="L60" s="37">
        <f t="shared" si="0"/>
        <v>1</v>
      </c>
    </row>
    <row r="61" spans="2:12" x14ac:dyDescent="0.2">
      <c r="B61" s="11">
        <v>1111079</v>
      </c>
      <c r="C61" s="15" t="s">
        <v>49</v>
      </c>
      <c r="D61" s="31"/>
      <c r="E61" s="31">
        <v>1</v>
      </c>
      <c r="F61" s="31"/>
      <c r="G61" s="31"/>
      <c r="H61" s="31"/>
      <c r="I61" s="31"/>
      <c r="J61" s="44"/>
      <c r="K61" s="44"/>
      <c r="L61" s="37">
        <f t="shared" si="0"/>
        <v>1</v>
      </c>
    </row>
    <row r="62" spans="2:12" x14ac:dyDescent="0.2">
      <c r="B62" s="11">
        <v>1111080</v>
      </c>
      <c r="C62" s="15" t="s">
        <v>50</v>
      </c>
      <c r="D62" s="31"/>
      <c r="E62" s="31">
        <v>1</v>
      </c>
      <c r="F62" s="31"/>
      <c r="G62" s="31"/>
      <c r="H62" s="31"/>
      <c r="I62" s="31"/>
      <c r="J62" s="44"/>
      <c r="K62" s="44"/>
      <c r="L62" s="37">
        <f t="shared" si="0"/>
        <v>1</v>
      </c>
    </row>
    <row r="63" spans="2:12" x14ac:dyDescent="0.2">
      <c r="B63" s="11">
        <v>1111081</v>
      </c>
      <c r="C63" s="15" t="s">
        <v>51</v>
      </c>
      <c r="D63" s="31"/>
      <c r="E63" s="31">
        <v>1</v>
      </c>
      <c r="F63" s="31"/>
      <c r="G63" s="31"/>
      <c r="H63" s="31"/>
      <c r="I63" s="31"/>
      <c r="J63" s="44"/>
      <c r="K63" s="44"/>
      <c r="L63" s="37">
        <f t="shared" si="0"/>
        <v>1</v>
      </c>
    </row>
    <row r="64" spans="2:12" x14ac:dyDescent="0.2">
      <c r="B64" s="11">
        <v>1111082</v>
      </c>
      <c r="C64" s="15" t="s">
        <v>52</v>
      </c>
      <c r="D64" s="31"/>
      <c r="E64" s="31">
        <v>1</v>
      </c>
      <c r="F64" s="31"/>
      <c r="G64" s="31"/>
      <c r="H64" s="31"/>
      <c r="I64" s="31"/>
      <c r="J64" s="44"/>
      <c r="K64" s="44"/>
      <c r="L64" s="37">
        <f t="shared" si="0"/>
        <v>1</v>
      </c>
    </row>
    <row r="65" spans="2:12" x14ac:dyDescent="0.2">
      <c r="B65" s="11">
        <v>1111083</v>
      </c>
      <c r="C65" s="15" t="s">
        <v>53</v>
      </c>
      <c r="D65" s="31"/>
      <c r="E65" s="31">
        <v>1</v>
      </c>
      <c r="F65" s="31"/>
      <c r="G65" s="31"/>
      <c r="H65" s="31"/>
      <c r="I65" s="31"/>
      <c r="J65" s="44"/>
      <c r="K65" s="44"/>
      <c r="L65" s="37">
        <f t="shared" si="0"/>
        <v>1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9</v>
      </c>
      <c r="E69" s="31">
        <v>2</v>
      </c>
      <c r="F69" s="31">
        <v>3</v>
      </c>
      <c r="G69" s="31"/>
      <c r="H69" s="31"/>
      <c r="I69" s="31"/>
      <c r="J69" s="44"/>
      <c r="K69" s="44"/>
      <c r="L69" s="37">
        <f t="shared" ref="L69:L76" si="1">SUM(D69:K69)</f>
        <v>14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>
        <v>1</v>
      </c>
      <c r="E87" s="31">
        <v>4</v>
      </c>
      <c r="F87" s="31">
        <v>3</v>
      </c>
      <c r="G87" s="31">
        <v>3</v>
      </c>
      <c r="H87" s="31"/>
      <c r="I87" s="31"/>
      <c r="J87" s="44"/>
      <c r="K87" s="44"/>
      <c r="L87" s="37">
        <f t="shared" si="2"/>
        <v>11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10</v>
      </c>
      <c r="E90" s="31">
        <v>3</v>
      </c>
      <c r="F90" s="31">
        <v>9</v>
      </c>
      <c r="G90" s="31">
        <v>22</v>
      </c>
      <c r="H90" s="31"/>
      <c r="I90" s="31"/>
      <c r="J90" s="44"/>
      <c r="K90" s="44"/>
      <c r="L90" s="37">
        <f t="shared" ref="L90:L99" si="3">SUM(D90:K90)</f>
        <v>44</v>
      </c>
    </row>
    <row r="91" spans="2:12" x14ac:dyDescent="0.2">
      <c r="B91" s="11">
        <v>1112011</v>
      </c>
      <c r="C91" s="20" t="s">
        <v>76</v>
      </c>
      <c r="D91" s="31">
        <v>15</v>
      </c>
      <c r="E91" s="31">
        <v>2</v>
      </c>
      <c r="F91" s="31">
        <v>9</v>
      </c>
      <c r="G91" s="31">
        <v>21</v>
      </c>
      <c r="H91" s="31"/>
      <c r="I91" s="31"/>
      <c r="J91" s="44"/>
      <c r="K91" s="44"/>
      <c r="L91" s="37">
        <f t="shared" si="3"/>
        <v>47</v>
      </c>
    </row>
    <row r="92" spans="2:12" x14ac:dyDescent="0.2">
      <c r="B92" s="11">
        <v>1112003</v>
      </c>
      <c r="C92" s="20" t="s">
        <v>77</v>
      </c>
      <c r="D92" s="31">
        <v>6</v>
      </c>
      <c r="E92" s="31">
        <v>1</v>
      </c>
      <c r="F92" s="31">
        <v>4</v>
      </c>
      <c r="G92" s="31">
        <v>21</v>
      </c>
      <c r="H92" s="31"/>
      <c r="I92" s="31"/>
      <c r="J92" s="44"/>
      <c r="K92" s="44"/>
      <c r="L92" s="37">
        <f t="shared" si="3"/>
        <v>32</v>
      </c>
    </row>
    <row r="93" spans="2:12" x14ac:dyDescent="0.2">
      <c r="B93" s="11">
        <v>1112005</v>
      </c>
      <c r="C93" s="20" t="s">
        <v>78</v>
      </c>
      <c r="D93" s="31">
        <v>10</v>
      </c>
      <c r="E93" s="31">
        <v>1</v>
      </c>
      <c r="F93" s="31">
        <v>4</v>
      </c>
      <c r="G93" s="31">
        <v>21</v>
      </c>
      <c r="H93" s="31"/>
      <c r="I93" s="31"/>
      <c r="J93" s="44"/>
      <c r="K93" s="44"/>
      <c r="L93" s="37">
        <f t="shared" si="3"/>
        <v>36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>
        <v>3</v>
      </c>
      <c r="F102" s="31"/>
      <c r="G102" s="31"/>
      <c r="H102" s="31"/>
      <c r="I102" s="31"/>
      <c r="J102" s="44"/>
      <c r="K102" s="44"/>
      <c r="L102" s="37">
        <f t="shared" ref="L102:L111" si="5">SUM(D102:K102)</f>
        <v>3</v>
      </c>
    </row>
    <row r="103" spans="2:12" x14ac:dyDescent="0.2">
      <c r="B103" s="11">
        <v>1112010</v>
      </c>
      <c r="C103" s="20" t="s">
        <v>76</v>
      </c>
      <c r="D103" s="31">
        <v>1</v>
      </c>
      <c r="E103" s="31"/>
      <c r="F103" s="31"/>
      <c r="G103" s="31"/>
      <c r="H103" s="31"/>
      <c r="I103" s="31"/>
      <c r="J103" s="44"/>
      <c r="K103" s="44"/>
      <c r="L103" s="37">
        <f t="shared" si="5"/>
        <v>1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4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>
        <v>1</v>
      </c>
      <c r="L118" s="37">
        <f t="shared" si="6"/>
        <v>1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>
        <v>4</v>
      </c>
      <c r="H120" s="31"/>
      <c r="I120" s="31"/>
      <c r="J120" s="44"/>
      <c r="K120" s="44"/>
      <c r="L120" s="37">
        <f t="shared" si="6"/>
        <v>4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>
        <v>1</v>
      </c>
      <c r="L121" s="37">
        <f t="shared" si="6"/>
        <v>1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</v>
      </c>
      <c r="E123" s="31">
        <v>8</v>
      </c>
      <c r="F123" s="31">
        <v>1</v>
      </c>
      <c r="G123" s="31">
        <v>18</v>
      </c>
      <c r="H123" s="31"/>
      <c r="I123" s="31"/>
      <c r="J123" s="44"/>
      <c r="K123" s="44"/>
      <c r="L123" s="37">
        <f t="shared" si="6"/>
        <v>28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>
        <v>16</v>
      </c>
      <c r="F126" s="31">
        <v>18</v>
      </c>
      <c r="G126" s="31"/>
      <c r="H126" s="31"/>
      <c r="I126" s="31"/>
      <c r="J126" s="44"/>
      <c r="K126" s="44"/>
      <c r="L126" s="37">
        <f t="shared" si="6"/>
        <v>34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1</v>
      </c>
      <c r="F135" s="31">
        <v>6</v>
      </c>
      <c r="G135" s="31"/>
      <c r="H135" s="31"/>
      <c r="I135" s="31"/>
      <c r="J135" s="44"/>
      <c r="K135" s="44"/>
      <c r="L135" s="37">
        <f t="shared" si="6"/>
        <v>7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124" zoomScale="60" zoomScaleNormal="60" workbookViewId="0">
      <selection activeCell="L129" sqref="L129:L139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40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M102" sqref="M10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customWidth="1"/>
    <col min="14" max="15" width="15.375" style="24" customWidth="1"/>
    <col min="16" max="16" width="25.375" style="24" customWidth="1"/>
    <col min="17" max="17" width="14.375" style="29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11</v>
      </c>
      <c r="E7" s="31">
        <f>'เย็น '!E7+'เช้า '!E7+บ่าย!E7</f>
        <v>24</v>
      </c>
      <c r="F7" s="31">
        <f>'เย็น '!F7+'เช้า '!F7+บ่าย!F7</f>
        <v>21</v>
      </c>
      <c r="G7" s="31">
        <f>'เย็น '!G7+'เช้า '!G7+บ่าย!G7</f>
        <v>18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74</v>
      </c>
      <c r="M7" s="11"/>
      <c r="N7" s="11">
        <v>63</v>
      </c>
      <c r="O7" s="11"/>
      <c r="P7" s="11"/>
      <c r="Q7" s="45">
        <f>(M7+N7+O7+P7)-L7</f>
        <v>-11</v>
      </c>
    </row>
    <row r="8" spans="2:17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>
        <v>2</v>
      </c>
      <c r="O8" s="11"/>
      <c r="P8" s="11"/>
      <c r="Q8" s="45">
        <f t="shared" ref="Q8:Q66" si="1">(M8+N8+O8+P8)-L8</f>
        <v>2</v>
      </c>
    </row>
    <row r="9" spans="2:17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>
        <v>19</v>
      </c>
      <c r="O9" s="11"/>
      <c r="P9" s="11"/>
      <c r="Q9" s="45">
        <f t="shared" si="1"/>
        <v>19</v>
      </c>
    </row>
    <row r="10" spans="2:17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180</v>
      </c>
      <c r="L16" s="37">
        <f t="shared" si="0"/>
        <v>180</v>
      </c>
      <c r="M16" s="11"/>
      <c r="N16" s="11"/>
      <c r="O16" s="11"/>
      <c r="P16" s="11"/>
      <c r="Q16" s="45">
        <f t="shared" si="1"/>
        <v>-180</v>
      </c>
    </row>
    <row r="17" spans="2:17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7</v>
      </c>
      <c r="E25" s="31">
        <f>'เย็น '!E25+'เช้า '!E25+บ่าย!E25</f>
        <v>12</v>
      </c>
      <c r="F25" s="31">
        <f>'เย็น '!F25+'เช้า '!F25+บ่าย!F25</f>
        <v>13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32</v>
      </c>
      <c r="M25" s="11"/>
      <c r="N25" s="11"/>
      <c r="O25" s="11"/>
      <c r="P25" s="11"/>
      <c r="Q25" s="45">
        <f t="shared" si="1"/>
        <v>-32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1</v>
      </c>
      <c r="M56" s="11"/>
      <c r="N56" s="11"/>
      <c r="O56" s="11"/>
      <c r="P56" s="11"/>
      <c r="Q56" s="45">
        <f t="shared" si="1"/>
        <v>-1</v>
      </c>
    </row>
    <row r="57" spans="2:20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1</v>
      </c>
      <c r="M57" s="11"/>
      <c r="N57" s="11"/>
      <c r="O57" s="11"/>
      <c r="P57" s="11"/>
      <c r="Q57" s="45">
        <f t="shared" si="1"/>
        <v>-1</v>
      </c>
    </row>
    <row r="58" spans="2:20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1</v>
      </c>
      <c r="M58" s="11"/>
      <c r="N58" s="11"/>
      <c r="O58" s="11"/>
      <c r="P58" s="11"/>
      <c r="Q58" s="45">
        <f t="shared" si="1"/>
        <v>-1</v>
      </c>
    </row>
    <row r="59" spans="2:20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1</v>
      </c>
      <c r="M59" s="11"/>
      <c r="N59" s="11"/>
      <c r="O59" s="11"/>
      <c r="P59" s="11"/>
      <c r="Q59" s="45">
        <f t="shared" si="1"/>
        <v>-1</v>
      </c>
    </row>
    <row r="60" spans="2:20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1</v>
      </c>
      <c r="M60" s="11"/>
      <c r="N60" s="11"/>
      <c r="O60" s="11"/>
      <c r="P60" s="11"/>
      <c r="Q60" s="45">
        <f t="shared" si="1"/>
        <v>-1</v>
      </c>
    </row>
    <row r="61" spans="2:20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1</v>
      </c>
      <c r="M61" s="11"/>
      <c r="N61" s="11"/>
      <c r="O61" s="11"/>
      <c r="P61" s="11"/>
      <c r="Q61" s="45">
        <f t="shared" si="1"/>
        <v>-1</v>
      </c>
    </row>
    <row r="62" spans="2:20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1</v>
      </c>
      <c r="M62" s="11"/>
      <c r="N62" s="11"/>
      <c r="O62" s="11"/>
      <c r="P62" s="11"/>
      <c r="Q62" s="45">
        <f t="shared" si="1"/>
        <v>-1</v>
      </c>
    </row>
    <row r="63" spans="2:20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1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1</v>
      </c>
      <c r="M63" s="11"/>
      <c r="N63" s="11"/>
      <c r="O63" s="11"/>
      <c r="P63" s="11"/>
      <c r="Q63" s="45">
        <f t="shared" si="1"/>
        <v>-1</v>
      </c>
    </row>
    <row r="64" spans="2:20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1</v>
      </c>
      <c r="M64" s="11"/>
      <c r="N64" s="11"/>
      <c r="O64" s="11"/>
      <c r="P64" s="11"/>
      <c r="Q64" s="45">
        <f t="shared" si="1"/>
        <v>-1</v>
      </c>
    </row>
    <row r="65" spans="2:20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1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</v>
      </c>
      <c r="M65" s="11"/>
      <c r="N65" s="11"/>
      <c r="O65" s="11"/>
      <c r="P65" s="11"/>
      <c r="Q65" s="45">
        <f t="shared" si="1"/>
        <v>-1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9</v>
      </c>
      <c r="E69" s="31">
        <f>'เย็น '!E69+'เช้า '!E69+บ่าย!E69</f>
        <v>2</v>
      </c>
      <c r="F69" s="31">
        <f>'เย็น '!F69+'เช้า '!F69+บ่าย!F69</f>
        <v>3</v>
      </c>
      <c r="G69" s="31">
        <f>'เย็น '!G69+'เช้า '!G69+บ่าย!G69</f>
        <v>0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14</v>
      </c>
      <c r="M69" s="11"/>
      <c r="N69" s="11">
        <v>1</v>
      </c>
      <c r="O69" s="11"/>
      <c r="P69" s="11"/>
      <c r="Q69" s="45">
        <f t="shared" ref="Q69:Q76" si="5">(M69+N69+O69+P69)-L69</f>
        <v>-13</v>
      </c>
    </row>
    <row r="70" spans="2:20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1</v>
      </c>
      <c r="E87" s="31">
        <f>'เย็น '!E87+'เช้า '!E87+บ่าย!E87</f>
        <v>4</v>
      </c>
      <c r="F87" s="31">
        <f>'เย็น '!F87+'เช้า '!F87+บ่าย!F87</f>
        <v>3</v>
      </c>
      <c r="G87" s="31">
        <f>'เย็น '!G87+'เช้า '!G87+บ่าย!G87</f>
        <v>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11</v>
      </c>
      <c r="M87" s="11"/>
      <c r="N87" s="11">
        <v>3</v>
      </c>
      <c r="O87" s="11"/>
      <c r="P87" s="11"/>
      <c r="Q87" s="45">
        <f t="shared" si="8"/>
        <v>-8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10</v>
      </c>
      <c r="E90" s="31">
        <f>'เย็น '!E90+'เช้า '!E90+บ่าย!E90</f>
        <v>3</v>
      </c>
      <c r="F90" s="31">
        <f>'เย็น '!F90+'เช้า '!F90+บ่าย!F90</f>
        <v>9</v>
      </c>
      <c r="G90" s="31">
        <f>'เย็น '!G90+'เช้า '!G90+บ่าย!G90</f>
        <v>22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44</v>
      </c>
      <c r="M90" s="11"/>
      <c r="N90" s="11">
        <v>9</v>
      </c>
      <c r="O90" s="11"/>
      <c r="P90" s="11"/>
      <c r="Q90" s="45">
        <f t="shared" ref="Q90:Q99" si="10">(M90+N90+O90+P90)-L90</f>
        <v>-35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15</v>
      </c>
      <c r="E91" s="31">
        <f>'เย็น '!E91+'เช้า '!E91+บ่าย!E91</f>
        <v>2</v>
      </c>
      <c r="F91" s="31">
        <f>'เย็น '!F91+'เช้า '!F91+บ่าย!F91</f>
        <v>9</v>
      </c>
      <c r="G91" s="31">
        <f>'เย็น '!G91+'เช้า '!G91+บ่าย!G91</f>
        <v>21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47</v>
      </c>
      <c r="M91" s="11"/>
      <c r="N91" s="11">
        <v>12</v>
      </c>
      <c r="O91" s="11"/>
      <c r="P91" s="11"/>
      <c r="Q91" s="45">
        <f t="shared" si="10"/>
        <v>-35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6</v>
      </c>
      <c r="E92" s="31">
        <f>'เย็น '!E92+'เช้า '!E92+บ่าย!E92</f>
        <v>1</v>
      </c>
      <c r="F92" s="31">
        <f>'เย็น '!F92+'เช้า '!F92+บ่าย!F92</f>
        <v>4</v>
      </c>
      <c r="G92" s="31">
        <f>'เย็น '!G92+'เช้า '!G92+บ่าย!G92</f>
        <v>21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32</v>
      </c>
      <c r="M92" s="11"/>
      <c r="N92" s="11">
        <v>7</v>
      </c>
      <c r="O92" s="11"/>
      <c r="P92" s="11"/>
      <c r="Q92" s="45">
        <f t="shared" si="10"/>
        <v>-25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10</v>
      </c>
      <c r="E93" s="31">
        <f>'เย็น '!E93+'เช้า '!E93+บ่าย!E93</f>
        <v>1</v>
      </c>
      <c r="F93" s="31">
        <f>'เย็น '!F93+'เช้า '!F93+บ่าย!F93</f>
        <v>4</v>
      </c>
      <c r="G93" s="31">
        <f>'เย็น '!G93+'เช้า '!G93+บ่าย!G93</f>
        <v>21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36</v>
      </c>
      <c r="M93" s="11"/>
      <c r="N93" s="11">
        <v>11</v>
      </c>
      <c r="O93" s="11"/>
      <c r="P93" s="11"/>
      <c r="Q93" s="45">
        <f t="shared" si="10"/>
        <v>-25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>
        <v>10</v>
      </c>
      <c r="O96" s="11"/>
      <c r="P96" s="11"/>
      <c r="Q96" s="45">
        <f t="shared" si="10"/>
        <v>10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>
        <v>23</v>
      </c>
      <c r="O97" s="11"/>
      <c r="P97" s="11"/>
      <c r="Q97" s="45">
        <f t="shared" si="10"/>
        <v>23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0</v>
      </c>
      <c r="M98" s="11"/>
      <c r="N98" s="11"/>
      <c r="O98" s="11"/>
      <c r="P98" s="11"/>
      <c r="Q98" s="45">
        <f t="shared" si="10"/>
        <v>0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159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3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</v>
      </c>
      <c r="M102" s="11"/>
      <c r="N102" s="11"/>
      <c r="O102" s="11"/>
      <c r="P102" s="11"/>
      <c r="Q102" s="45">
        <f t="shared" ref="Q102:Q111" si="12">(M102+N102+O102+P102)-L102</f>
        <v>-3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1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</v>
      </c>
      <c r="M103" s="11"/>
      <c r="N103" s="11"/>
      <c r="O103" s="11"/>
      <c r="P103" s="11"/>
      <c r="Q103" s="45">
        <f t="shared" si="12"/>
        <v>-1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>
        <v>1</v>
      </c>
      <c r="O104" s="11"/>
      <c r="P104" s="11"/>
      <c r="Q104" s="45">
        <f t="shared" si="12"/>
        <v>1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5">SUM(D114:K114)</f>
        <v>0</v>
      </c>
      <c r="M114" s="11"/>
      <c r="N114" s="11"/>
      <c r="O114" s="11"/>
      <c r="P114" s="11"/>
      <c r="Q114" s="45">
        <f t="shared" ref="Q114:Q140" si="16">(M114+N114+O114+P114)-L114</f>
        <v>0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/>
      <c r="N115" s="11"/>
      <c r="O115" s="11"/>
      <c r="P115" s="11"/>
      <c r="Q115" s="45">
        <f t="shared" si="16"/>
        <v>-2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0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5"/>
        <v>0</v>
      </c>
      <c r="M116" s="11"/>
      <c r="N116" s="11"/>
      <c r="O116" s="11"/>
      <c r="P116" s="11"/>
      <c r="Q116" s="45">
        <f t="shared" si="16"/>
        <v>0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1</v>
      </c>
      <c r="L118" s="37">
        <f t="shared" si="15"/>
        <v>1</v>
      </c>
      <c r="M118" s="11"/>
      <c r="N118" s="11"/>
      <c r="O118" s="11"/>
      <c r="P118" s="11"/>
      <c r="Q118" s="45">
        <f t="shared" si="16"/>
        <v>-1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0</v>
      </c>
      <c r="M119" s="11"/>
      <c r="N119" s="11">
        <v>3</v>
      </c>
      <c r="O119" s="11"/>
      <c r="P119" s="11"/>
      <c r="Q119" s="45">
        <f t="shared" si="16"/>
        <v>3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4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4</v>
      </c>
      <c r="M120" s="11"/>
      <c r="N120" s="11">
        <v>55</v>
      </c>
      <c r="O120" s="11"/>
      <c r="P120" s="11"/>
      <c r="Q120" s="45">
        <f t="shared" si="16"/>
        <v>51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1</v>
      </c>
      <c r="L121" s="37">
        <f t="shared" si="15"/>
        <v>1</v>
      </c>
      <c r="M121" s="11"/>
      <c r="N121" s="11">
        <v>20</v>
      </c>
      <c r="O121" s="11"/>
      <c r="P121" s="11"/>
      <c r="Q121" s="45">
        <f t="shared" si="16"/>
        <v>19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0</v>
      </c>
      <c r="M122" s="11"/>
      <c r="N122" s="11"/>
      <c r="O122" s="11"/>
      <c r="P122" s="11"/>
      <c r="Q122" s="45">
        <f t="shared" si="16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</v>
      </c>
      <c r="E123" s="31">
        <f>'เย็น '!E123+'เช้า '!E123+บ่าย!E123</f>
        <v>8</v>
      </c>
      <c r="F123" s="31">
        <f>'เย็น '!F123+'เช้า '!F123+บ่าย!F123</f>
        <v>1</v>
      </c>
      <c r="G123" s="31">
        <f>'เย็น '!G123+'เช้า '!G123+บ่าย!G123</f>
        <v>18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28</v>
      </c>
      <c r="M123" s="11"/>
      <c r="N123" s="11"/>
      <c r="O123" s="11"/>
      <c r="P123" s="11"/>
      <c r="Q123" s="45">
        <f t="shared" si="16"/>
        <v>-28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0</v>
      </c>
      <c r="F124" s="31">
        <f>'เย็น '!F124+'เช้า '!F124+บ่าย!F124</f>
        <v>0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0</v>
      </c>
      <c r="M124" s="11"/>
      <c r="N124" s="11"/>
      <c r="O124" s="11"/>
      <c r="P124" s="11"/>
      <c r="Q124" s="45">
        <f t="shared" si="16"/>
        <v>0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0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0</v>
      </c>
      <c r="M125" s="11"/>
      <c r="N125" s="11"/>
      <c r="O125" s="11"/>
      <c r="P125" s="11"/>
      <c r="Q125" s="45">
        <f t="shared" si="16"/>
        <v>0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16</v>
      </c>
      <c r="F126" s="31">
        <f>'เย็น '!F126+'เช้า '!F126+บ่าย!F126</f>
        <v>18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34</v>
      </c>
      <c r="M126" s="11"/>
      <c r="N126" s="11">
        <v>9</v>
      </c>
      <c r="O126" s="11"/>
      <c r="P126" s="11"/>
      <c r="Q126" s="45">
        <f t="shared" si="16"/>
        <v>-25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/>
      <c r="O130" s="11"/>
      <c r="P130" s="11"/>
      <c r="Q130" s="45">
        <f t="shared" si="16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/>
      <c r="N131" s="11"/>
      <c r="O131" s="11"/>
      <c r="P131" s="11"/>
      <c r="Q131" s="45">
        <f t="shared" si="16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1</v>
      </c>
      <c r="F135" s="31">
        <f>'เย็น '!F135+'เช้า '!F135+บ่าย!F135</f>
        <v>6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7</v>
      </c>
      <c r="M135" s="11"/>
      <c r="N135" s="11"/>
      <c r="O135" s="11"/>
      <c r="P135" s="11"/>
      <c r="Q135" s="45">
        <f t="shared" si="16"/>
        <v>-7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/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x14ac:dyDescent="0.2">
      <c r="B140" s="51"/>
      <c r="C140" s="50" t="s">
        <v>140</v>
      </c>
      <c r="D140" s="31">
        <f>'เย็น '!D140+'เช้า '!D140+บ่าย!D140</f>
        <v>0</v>
      </c>
      <c r="E140" s="31">
        <f>'เย็น '!E140+'เช้า '!E140+บ่าย!E140</f>
        <v>0</v>
      </c>
      <c r="F140" s="31">
        <f>'เย็น '!F140+'เช้า '!F140+บ่าย!F140</f>
        <v>0</v>
      </c>
      <c r="G140" s="31">
        <f>'เย็น '!G140+'เช้า '!G140+บ่าย!G140</f>
        <v>0</v>
      </c>
      <c r="H140" s="31">
        <f>'เย็น '!H140+'เช้า '!H140+บ่าย!H140</f>
        <v>0</v>
      </c>
      <c r="I140" s="31">
        <f>'เย็น '!I140+'เช้า '!I140+บ่าย!I140</f>
        <v>0</v>
      </c>
      <c r="J140" s="31">
        <f>'เย็น '!J140+'เช้า '!J140+บ่าย!J140</f>
        <v>0</v>
      </c>
      <c r="K140" s="31">
        <f>'เย็น '!K140+'เช้า '!K140+บ่าย!K140</f>
        <v>0</v>
      </c>
      <c r="L140" s="37">
        <f t="shared" si="15"/>
        <v>0</v>
      </c>
      <c r="M140" s="11"/>
      <c r="N140" s="11"/>
      <c r="O140" s="11"/>
      <c r="P140" s="11"/>
      <c r="Q140" s="45">
        <f t="shared" si="16"/>
        <v>0</v>
      </c>
    </row>
    <row r="141" spans="2:17" ht="40.5" customHeight="1" x14ac:dyDescent="0.2">
      <c r="C141" s="36"/>
      <c r="D141" s="37">
        <f>SUM(D114:D140,D90:D99,D79:D87,D69:D76,D7:D66,D102:D111)</f>
        <v>73</v>
      </c>
      <c r="E141" s="37">
        <f t="shared" ref="E141:K141" si="17">SUM(E114:E140,E90:E99,E79:E87,E69:E76,E7:E66,E102:E111)</f>
        <v>87</v>
      </c>
      <c r="F141" s="37">
        <f t="shared" si="17"/>
        <v>91</v>
      </c>
      <c r="G141" s="37">
        <f t="shared" si="17"/>
        <v>128</v>
      </c>
      <c r="H141" s="37">
        <f t="shared" si="17"/>
        <v>0</v>
      </c>
      <c r="I141" s="37">
        <f t="shared" si="17"/>
        <v>0</v>
      </c>
      <c r="J141" s="37">
        <f t="shared" si="17"/>
        <v>0</v>
      </c>
      <c r="K141" s="37">
        <f t="shared" si="17"/>
        <v>182</v>
      </c>
      <c r="L141" s="37">
        <f>SUM(L114:L140,L90:L99,L79:L87,L69:L76,L7:L66,L102:L111)</f>
        <v>561</v>
      </c>
      <c r="M141" s="31">
        <f>SUM(M114:M136,M90:M98,M79:M87,M69:M76,M7:M66)</f>
        <v>0</v>
      </c>
      <c r="N141" s="31">
        <f>SUM(N114:N136,N90:N98,N79:N87,N69:N76,N7:N66)</f>
        <v>247</v>
      </c>
      <c r="O141" s="31"/>
      <c r="P141" s="31"/>
      <c r="Q141" s="45">
        <f t="shared" ref="Q141" si="18">(M141+N141)-L141</f>
        <v>-314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USER</cp:lastModifiedBy>
  <cp:lastPrinted>2024-10-30T00:45:46Z</cp:lastPrinted>
  <dcterms:created xsi:type="dcterms:W3CDTF">2024-04-30T05:21:27Z</dcterms:created>
  <dcterms:modified xsi:type="dcterms:W3CDTF">2025-03-03T00:41:00Z</dcterms:modified>
</cp:coreProperties>
</file>