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6D860AE-8549-4A0F-994B-29617B2DD0E5}" xr6:coauthVersionLast="47" xr6:coauthVersionMax="47" xr10:uidLastSave="{00000000-0000-0000-0000-000000000000}"/>
  <bookViews>
    <workbookView xWindow="3840" yWindow="1215" windowWidth="18405" windowHeight="13515" activeTab="3" xr2:uid="{55C9AAA3-F459-48EC-A639-AACFFC6390F5}"/>
  </bookViews>
  <sheets>
    <sheet name="เย็น " sheetId="6" r:id="rId1"/>
    <sheet name="เช้า " sheetId="3" r:id="rId2"/>
    <sheet name="บ่าย" sheetId="4" r:id="rId3"/>
    <sheet name="รวม" sheetId="5" r:id="rId4"/>
  </sheets>
  <definedNames>
    <definedName name="_xlnm._FilterDatabase" localSheetId="3" hidden="1">รวม!$Q$1:$Q$163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31" i="5" l="1"/>
  <c r="L132" i="5"/>
  <c r="L133" i="5"/>
  <c r="L134" i="5"/>
  <c r="L136" i="5"/>
  <c r="L137" i="5"/>
  <c r="L138" i="5"/>
  <c r="L139" i="5"/>
  <c r="D135" i="5"/>
  <c r="E135" i="5"/>
  <c r="L135" i="5" s="1"/>
  <c r="F135" i="5"/>
  <c r="G135" i="5"/>
  <c r="H135" i="5"/>
  <c r="I135" i="5"/>
  <c r="J135" i="5"/>
  <c r="K135" i="5"/>
  <c r="D136" i="5"/>
  <c r="E136" i="5"/>
  <c r="F136" i="5"/>
  <c r="G136" i="5"/>
  <c r="H136" i="5"/>
  <c r="I136" i="5"/>
  <c r="J136" i="5"/>
  <c r="K136" i="5"/>
  <c r="D137" i="5"/>
  <c r="E137" i="5"/>
  <c r="F137" i="5"/>
  <c r="G137" i="5"/>
  <c r="H137" i="5"/>
  <c r="I137" i="5"/>
  <c r="J137" i="5"/>
  <c r="K137" i="5"/>
  <c r="D138" i="5"/>
  <c r="E138" i="5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Q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00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100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140" i="5"/>
  <c r="E140" i="5"/>
  <c r="F140" i="5"/>
  <c r="G140" i="5"/>
  <c r="H140" i="5"/>
  <c r="I140" i="5"/>
  <c r="J140" i="5"/>
  <c r="K140" i="5"/>
  <c r="D115" i="5"/>
  <c r="E115" i="5"/>
  <c r="F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I131" i="5"/>
  <c r="J131" i="5"/>
  <c r="K131" i="5"/>
  <c r="D132" i="5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J133" i="5"/>
  <c r="K133" i="5"/>
  <c r="D134" i="5"/>
  <c r="E134" i="5"/>
  <c r="F134" i="5"/>
  <c r="G134" i="5"/>
  <c r="H134" i="5"/>
  <c r="I134" i="5"/>
  <c r="J134" i="5"/>
  <c r="K134" i="5"/>
  <c r="E114" i="5"/>
  <c r="F114" i="5"/>
  <c r="H114" i="5"/>
  <c r="I114" i="5"/>
  <c r="J114" i="5"/>
  <c r="K114" i="5"/>
  <c r="D114" i="5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112" i="6" l="1"/>
  <c r="Q139" i="5"/>
  <c r="Q135" i="5"/>
  <c r="L112" i="3"/>
  <c r="Q138" i="5"/>
  <c r="K141" i="5"/>
  <c r="Q136" i="5"/>
  <c r="L140" i="5"/>
  <c r="Q140" i="5" s="1"/>
  <c r="L130" i="5"/>
  <c r="Q130" i="5" s="1"/>
  <c r="L129" i="5"/>
  <c r="Q129" i="5" s="1"/>
  <c r="L90" i="5"/>
  <c r="Q90" i="5" s="1"/>
  <c r="L93" i="5"/>
  <c r="Q93" i="5" s="1"/>
  <c r="L95" i="5"/>
  <c r="Q95" i="5" s="1"/>
  <c r="L127" i="5"/>
  <c r="Q127" i="5" s="1"/>
  <c r="L118" i="5"/>
  <c r="Q118" i="5" s="1"/>
  <c r="Q131" i="5"/>
  <c r="Q133" i="5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Q134" i="5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Q132" i="5"/>
  <c r="L122" i="5"/>
  <c r="Q122" i="5" s="1"/>
  <c r="L116" i="5"/>
  <c r="Q116" i="5" s="1"/>
  <c r="L114" i="5"/>
  <c r="Q114" i="5" s="1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F99" i="5"/>
  <c r="G99" i="5"/>
  <c r="H99" i="5"/>
  <c r="I99" i="5"/>
  <c r="J99" i="5"/>
  <c r="D66" i="5"/>
  <c r="E66" i="5"/>
  <c r="F66" i="5"/>
  <c r="G66" i="5"/>
  <c r="H66" i="5"/>
  <c r="I66" i="5"/>
  <c r="J66" i="5"/>
  <c r="J141" i="5" l="1"/>
  <c r="E141" i="5"/>
  <c r="F141" i="5"/>
  <c r="I141" i="5"/>
  <c r="H141" i="5"/>
  <c r="D141" i="5"/>
  <c r="G141" i="5"/>
  <c r="L102" i="5"/>
  <c r="Q102" i="5" s="1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L141" i="5" l="1"/>
  <c r="L112" i="5"/>
  <c r="Q112" i="5" s="1"/>
  <c r="L88" i="5"/>
  <c r="Q88" i="5" s="1"/>
  <c r="L67" i="5"/>
  <c r="Q67" i="5" s="1"/>
  <c r="M141" i="5" l="1"/>
  <c r="N141" i="5"/>
  <c r="L100" i="5" l="1"/>
  <c r="Q141" i="5"/>
  <c r="L100" i="4" l="1"/>
  <c r="L112" i="4" l="1"/>
</calcChain>
</file>

<file path=xl/sharedStrings.xml><?xml version="1.0" encoding="utf-8"?>
<sst xmlns="http://schemas.openxmlformats.org/spreadsheetml/2006/main" count="617" uniqueCount="146">
  <si>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</si>
  <si>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</si>
  <si>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</si>
  <si>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</si>
  <si>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</si>
  <si>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</si>
  <si>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</si>
  <si>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</si>
  <si>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</si>
  <si>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</si>
  <si>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</si>
  <si>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</si>
  <si>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</si>
  <si>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</si>
  <si>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</si>
  <si>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</si>
  <si>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</si>
  <si>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</si>
  <si>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</si>
  <si>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</si>
  <si>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</si>
  <si>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</si>
  <si>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</si>
  <si>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</si>
  <si>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</si>
  <si>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</si>
  <si>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</si>
  <si>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</si>
  <si>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</si>
  <si>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</si>
  <si>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</si>
  <si>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</si>
  <si>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</si>
  <si>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</si>
  <si>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</si>
  <si>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</si>
  <si>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</si>
  <si>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</si>
  <si>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</si>
  <si>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</si>
  <si>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</si>
  <si>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</si>
  <si>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</si>
  <si>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</si>
  <si>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</si>
  <si>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</si>
  <si>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</si>
  <si>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</si>
  <si>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</si>
  <si>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</si>
  <si>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</si>
  <si>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</si>
  <si>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</si>
  <si>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</si>
  <si>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</si>
  <si>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</si>
  <si>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</si>
  <si>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</si>
  <si>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</si>
  <si>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</si>
  <si>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</si>
  <si>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</si>
  <si>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</si>
  <si>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</si>
  <si>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</si>
  <si>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</si>
  <si>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</si>
  <si>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</si>
  <si>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</si>
  <si>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</si>
  <si>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</si>
  <si>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</si>
  <si>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</si>
  <si>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</si>
  <si>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</si>
  <si>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</si>
  <si>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</si>
  <si>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</si>
  <si>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</si>
  <si>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</si>
  <si>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</si>
  <si>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</si>
  <si>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</si>
  <si>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</si>
  <si>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</si>
  <si>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</si>
  <si>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</si>
  <si>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</si>
  <si>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</si>
  <si>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</si>
  <si>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</si>
  <si>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</si>
  <si>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</si>
  <si>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</si>
  <si>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</si>
  <si>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</si>
  <si>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</si>
  <si>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</si>
  <si>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</si>
  <si>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</si>
  <si>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</si>
  <si>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</si>
  <si>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</si>
  <si>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</si>
  <si>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</si>
  <si>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</si>
  <si>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</si>
  <si>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</si>
  <si>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</si>
  <si>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</si>
  <si>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</si>
  <si>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</si>
  <si>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</si>
  <si>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</si>
  <si>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</si>
  <si>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</si>
  <si>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</si>
  <si>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</si>
  <si>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</si>
  <si>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</si>
  <si>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</si>
  <si>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</si>
  <si>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</si>
  <si>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</si>
  <si>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</si>
  <si>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</si>
  <si>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</si>
  <si>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</si>
  <si>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</si>
  <si>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</si>
  <si>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</si>
  <si>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</si>
  <si>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</si>
  <si>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</si>
  <si>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</si>
  <si>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</si>
  <si>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</si>
  <si>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</si>
  <si>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กล่องทาร์ตสับปะรด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</si>
  <si>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</si>
  <si>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</si>
  <si>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</si>
  <si>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</si>
  <si>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</si>
  <si>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ยอดจริง ออนไลน์ วันที่ 2/3/2568 - เช้า</t>
  </si>
  <si>
    <t>ยอดจริง ออนไลน์ วันที่ 2/3/2568 รวม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</si>
</sst>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2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name val="Tahoma"/>
      <family val="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6" fillId="5" borderId="0" xfId="0" applyNumberFormat="1" applyFont="1" applyFill="1" applyAlignment="1">
      <alignment horizontal="center" vertical="center"/>
    </xf>
    <xf numFmtId="187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3" fillId="2" borderId="3" xfId="0" applyNumberFormat="1" applyFont="1" applyFill="1" applyBorder="1" applyAlignment="1">
      <alignment horizontal="center" vertical="center"/>
    </xf>
    <xf numFmtId="187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87" fontId="10" fillId="0" borderId="0" xfId="0" applyNumberFormat="1" applyFont="1"/>
    <xf numFmtId="187" fontId="0" fillId="0" borderId="0" xfId="0" applyNumberFormat="1"/>
    <xf numFmtId="187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1"/>
  <sheetViews>
    <sheetView topLeftCell="A121" zoomScale="60" zoomScaleNormal="60" workbookViewId="0">
      <selection activeCell="L132" sqref="L132:L140"/>
    </sheetView>
  </sheetViews>
  <sheetFormatPr defaultRowHeight="22.5" x14ac:dyDescent="0.2"/>
  <cols>
    <col min="2" max="2" width="22.125" style="24" customWidth="1"/>
    <col min="3" max="3" width="59.125" style="24" customWidth="1"/>
    <col min="4" max="11" width="14.375" style="16" customWidth="1"/>
    <col min="12" max="12" width="17.625" style="26" customWidth="1"/>
  </cols>
  <sheetData>
    <row r="1" spans="2:12" x14ac:dyDescent="0.2">
      <c r="B1" s="58" t="s">
        <v>137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">
      <c r="B7" s="11">
        <v>1111002</v>
      </c>
      <c r="C7" s="15" t="s">
        <v>107</v>
      </c>
      <c r="D7" s="31"/>
      <c r="E7" s="31"/>
      <c r="F7" s="31"/>
      <c r="G7" s="31"/>
      <c r="H7" s="31"/>
      <c r="I7" s="31"/>
      <c r="J7" s="44"/>
      <c r="K7" s="44"/>
      <c r="L7" s="37">
        <f>SUM(D7:K7)</f>
        <v>0</v>
      </c>
    </row>
    <row r="8" spans="2:12" ht="22.5" hidden="1" customHeight="1" x14ac:dyDescent="0.2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">
      <c r="B25" s="11">
        <v>1111056</v>
      </c>
      <c r="C25" s="15" t="s">
        <v>28</v>
      </c>
      <c r="D25" s="31"/>
      <c r="E25" s="31"/>
      <c r="F25" s="31"/>
      <c r="G25" s="31"/>
      <c r="H25" s="31"/>
      <c r="I25" s="31"/>
      <c r="J25" s="44"/>
      <c r="K25" s="44"/>
      <c r="L25" s="37">
        <f t="shared" si="0"/>
        <v>0</v>
      </c>
    </row>
    <row r="26" spans="2:12" x14ac:dyDescent="0.2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44"/>
      <c r="K26" s="44"/>
      <c r="L26" s="37">
        <f t="shared" si="0"/>
        <v>0</v>
      </c>
    </row>
    <row r="27" spans="2:12" ht="22.5" hidden="1" customHeight="1" x14ac:dyDescent="0.2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 x14ac:dyDescent="0.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 x14ac:dyDescent="0.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 x14ac:dyDescent="0.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 x14ac:dyDescent="0.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 x14ac:dyDescent="0.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 x14ac:dyDescent="0.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 x14ac:dyDescent="0.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 x14ac:dyDescent="0.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 x14ac:dyDescent="0.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 x14ac:dyDescent="0.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 x14ac:dyDescent="0.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 x14ac:dyDescent="0.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 x14ac:dyDescent="0.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 x14ac:dyDescent="0.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 x14ac:dyDescent="0.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 x14ac:dyDescent="0.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 x14ac:dyDescent="0.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 x14ac:dyDescent="0.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 x14ac:dyDescent="0.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 x14ac:dyDescent="0.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 x14ac:dyDescent="0.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 x14ac:dyDescent="0.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 x14ac:dyDescent="0.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">
      <c r="B69" s="11">
        <v>1111009</v>
      </c>
      <c r="C69" s="20" t="s">
        <v>56</v>
      </c>
      <c r="D69" s="31"/>
      <c r="E69" s="31"/>
      <c r="F69" s="31"/>
      <c r="G69" s="31"/>
      <c r="H69" s="31"/>
      <c r="I69" s="31"/>
      <c r="J69" s="44"/>
      <c r="K69" s="44"/>
      <c r="L69" s="37">
        <f t="shared" ref="L69:L76" si="1">SUM(D69:K69)</f>
        <v>0</v>
      </c>
    </row>
    <row r="70" spans="2:12" x14ac:dyDescent="0.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x14ac:dyDescent="0.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x14ac:dyDescent="0.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x14ac:dyDescent="0.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x14ac:dyDescent="0.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x14ac:dyDescent="0.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x14ac:dyDescent="0.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x14ac:dyDescent="0.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x14ac:dyDescent="0.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x14ac:dyDescent="0.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x14ac:dyDescent="0.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x14ac:dyDescent="0.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x14ac:dyDescent="0.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">
      <c r="B87" s="11">
        <v>1111008</v>
      </c>
      <c r="C87" s="20" t="s">
        <v>73</v>
      </c>
      <c r="D87" s="31"/>
      <c r="E87" s="31"/>
      <c r="F87" s="31"/>
      <c r="G87" s="31"/>
      <c r="H87" s="31"/>
      <c r="I87" s="31"/>
      <c r="J87" s="44"/>
      <c r="K87" s="44"/>
      <c r="L87" s="37">
        <f t="shared" si="2"/>
        <v>0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">
      <c r="B90" s="11">
        <v>1112009</v>
      </c>
      <c r="C90" s="20" t="s">
        <v>75</v>
      </c>
      <c r="D90" s="31"/>
      <c r="E90" s="31"/>
      <c r="F90" s="31"/>
      <c r="G90" s="31"/>
      <c r="H90" s="31"/>
      <c r="I90" s="31"/>
      <c r="J90" s="44"/>
      <c r="K90" s="44"/>
      <c r="L90" s="37">
        <f t="shared" ref="L90:L99" si="3">SUM(D90:K90)</f>
        <v>0</v>
      </c>
    </row>
    <row r="91" spans="2:12" x14ac:dyDescent="0.2">
      <c r="B91" s="11">
        <v>1112011</v>
      </c>
      <c r="C91" s="20" t="s">
        <v>76</v>
      </c>
      <c r="D91" s="31"/>
      <c r="E91" s="31"/>
      <c r="F91" s="31"/>
      <c r="G91" s="31"/>
      <c r="H91" s="31"/>
      <c r="I91" s="31"/>
      <c r="J91" s="44"/>
      <c r="K91" s="44"/>
      <c r="L91" s="37">
        <f t="shared" si="3"/>
        <v>0</v>
      </c>
    </row>
    <row r="92" spans="2:12" x14ac:dyDescent="0.2">
      <c r="B92" s="11">
        <v>1112003</v>
      </c>
      <c r="C92" s="20" t="s">
        <v>77</v>
      </c>
      <c r="D92" s="31"/>
      <c r="E92" s="31"/>
      <c r="F92" s="31"/>
      <c r="G92" s="31"/>
      <c r="H92" s="31"/>
      <c r="I92" s="31"/>
      <c r="J92" s="44"/>
      <c r="K92" s="44"/>
      <c r="L92" s="37">
        <f t="shared" si="3"/>
        <v>0</v>
      </c>
    </row>
    <row r="93" spans="2:12" x14ac:dyDescent="0.2">
      <c r="B93" s="11">
        <v>1112005</v>
      </c>
      <c r="C93" s="20" t="s">
        <v>78</v>
      </c>
      <c r="D93" s="31"/>
      <c r="E93" s="31"/>
      <c r="F93" s="31"/>
      <c r="G93" s="31"/>
      <c r="H93" s="31"/>
      <c r="I93" s="31"/>
      <c r="J93" s="44"/>
      <c r="K93" s="44"/>
      <c r="L93" s="37">
        <f t="shared" si="3"/>
        <v>0</v>
      </c>
    </row>
    <row r="94" spans="2:12" x14ac:dyDescent="0.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x14ac:dyDescent="0.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x14ac:dyDescent="0.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 x14ac:dyDescent="0.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 x14ac:dyDescent="0.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 x14ac:dyDescent="0.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19.5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 x14ac:dyDescent="0.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 x14ac:dyDescent="0.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x14ac:dyDescent="0.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x14ac:dyDescent="0.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x14ac:dyDescent="0.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x14ac:dyDescent="0.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x14ac:dyDescent="0.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x14ac:dyDescent="0.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x14ac:dyDescent="0.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40" si="6">SUM(D114:K114)</f>
        <v>0</v>
      </c>
    </row>
    <row r="115" spans="2:12" x14ac:dyDescent="0.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 x14ac:dyDescent="0.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 x14ac:dyDescent="0.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 x14ac:dyDescent="0.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 x14ac:dyDescent="0.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 x14ac:dyDescent="0.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 x14ac:dyDescent="0.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">
      <c r="B123" s="11">
        <v>1114501</v>
      </c>
      <c r="C123" s="22" t="s">
        <v>95</v>
      </c>
      <c r="D123" s="31"/>
      <c r="E123" s="31"/>
      <c r="F123" s="31"/>
      <c r="G123" s="31"/>
      <c r="H123" s="31"/>
      <c r="I123" s="31"/>
      <c r="J123" s="44"/>
      <c r="K123" s="44"/>
      <c r="L123" s="37">
        <f t="shared" si="6"/>
        <v>0</v>
      </c>
    </row>
    <row r="124" spans="2:12" x14ac:dyDescent="0.2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 x14ac:dyDescent="0.2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 x14ac:dyDescent="0.2">
      <c r="B126" s="11">
        <v>1124021</v>
      </c>
      <c r="C126" s="22" t="s">
        <v>98</v>
      </c>
      <c r="D126" s="31"/>
      <c r="E126" s="31"/>
      <c r="F126" s="31"/>
      <c r="G126" s="31"/>
      <c r="H126" s="31"/>
      <c r="I126" s="31"/>
      <c r="J126" s="44"/>
      <c r="K126" s="44"/>
      <c r="L126" s="37">
        <f t="shared" si="6"/>
        <v>0</v>
      </c>
    </row>
    <row r="127" spans="2:12" x14ac:dyDescent="0.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 x14ac:dyDescent="0.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 x14ac:dyDescent="0.2">
      <c r="B137" s="23">
        <v>20052721</v>
      </c>
      <c r="C137" s="22" t="s">
        <v>143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 x14ac:dyDescent="0.2">
      <c r="B138" s="51"/>
      <c r="C138" s="50" t="s">
        <v>138</v>
      </c>
      <c r="D138" s="31"/>
      <c r="E138" s="31"/>
      <c r="F138" s="31"/>
      <c r="G138" s="31"/>
      <c r="H138" s="31"/>
      <c r="I138" s="31"/>
      <c r="J138" s="44"/>
      <c r="K138" s="44"/>
      <c r="L138" s="37">
        <f t="shared" si="6"/>
        <v>0</v>
      </c>
    </row>
    <row r="139" spans="2:12" x14ac:dyDescent="0.2">
      <c r="B139" s="51"/>
      <c r="C139" s="50" t="s">
        <v>139</v>
      </c>
      <c r="D139" s="49"/>
      <c r="E139" s="49"/>
      <c r="F139" s="49"/>
      <c r="G139" s="49"/>
      <c r="H139" s="49"/>
      <c r="I139" s="49"/>
      <c r="J139" s="49"/>
      <c r="K139" s="49"/>
      <c r="L139" s="37">
        <f t="shared" si="6"/>
        <v>0</v>
      </c>
    </row>
    <row r="140" spans="2:12" x14ac:dyDescent="0.2">
      <c r="B140" s="51"/>
      <c r="C140" s="50" t="s">
        <v>140</v>
      </c>
      <c r="D140" s="52"/>
      <c r="E140" s="52"/>
      <c r="F140" s="52"/>
      <c r="G140" s="53"/>
      <c r="H140" s="9"/>
      <c r="I140" s="9"/>
      <c r="J140" s="9"/>
      <c r="K140" s="9"/>
      <c r="L140" s="37">
        <f t="shared" si="6"/>
        <v>0</v>
      </c>
    </row>
    <row r="141" spans="2:12" x14ac:dyDescent="0.2">
      <c r="B141" s="54"/>
      <c r="C141" s="55"/>
      <c r="D141" s="32"/>
      <c r="E141" s="32"/>
      <c r="F141" s="32"/>
      <c r="G141" s="27"/>
      <c r="L141" s="56"/>
    </row>
    <row r="142" spans="2:12" x14ac:dyDescent="0.2">
      <c r="B142" s="54"/>
      <c r="C142" s="55"/>
      <c r="D142" s="32"/>
      <c r="E142" s="32"/>
      <c r="F142" s="32"/>
      <c r="G142" s="27"/>
      <c r="L142" s="56"/>
    </row>
    <row r="143" spans="2:12" x14ac:dyDescent="0.2">
      <c r="B143" s="61" t="s">
        <v>104</v>
      </c>
      <c r="C143" s="61"/>
      <c r="D143" s="33"/>
      <c r="E143" s="57"/>
      <c r="F143" s="57"/>
      <c r="G143" s="28"/>
      <c r="H143" s="27"/>
      <c r="I143" s="61" t="s">
        <v>104</v>
      </c>
      <c r="J143" s="61"/>
      <c r="K143" s="61"/>
      <c r="L143" s="61"/>
    </row>
    <row r="144" spans="2:12" x14ac:dyDescent="0.2">
      <c r="B144" s="57" t="s">
        <v>105</v>
      </c>
      <c r="C144" s="57"/>
      <c r="D144" s="34"/>
      <c r="E144" s="34"/>
      <c r="F144" s="34"/>
      <c r="G144" s="34"/>
      <c r="H144" s="34"/>
      <c r="I144" s="57" t="s">
        <v>106</v>
      </c>
      <c r="J144" s="57"/>
      <c r="K144" s="57"/>
      <c r="L144" s="57"/>
    </row>
    <row r="145" spans="2:12" x14ac:dyDescent="0.2">
      <c r="B145" s="32"/>
      <c r="C145" s="32"/>
      <c r="D145" s="34"/>
      <c r="E145" s="34"/>
      <c r="F145" s="34"/>
      <c r="G145" s="34"/>
      <c r="H145" s="34"/>
      <c r="I145" s="32"/>
      <c r="J145" s="32"/>
      <c r="K145" s="32"/>
      <c r="L145" s="35"/>
    </row>
    <row r="146" spans="2:12" ht="14.25" x14ac:dyDescent="0.2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4.25" x14ac:dyDescent="0.2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4.2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4.2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14.25" x14ac:dyDescent="0.2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 x14ac:dyDescent="0.2">
      <c r="D151" s="32"/>
      <c r="E151" s="32"/>
      <c r="F151" s="32"/>
      <c r="G151" s="32"/>
      <c r="H151" s="32"/>
    </row>
    <row r="152" spans="2:12" x14ac:dyDescent="0.2">
      <c r="D152" s="32"/>
      <c r="E152" s="32"/>
      <c r="F152" s="32"/>
      <c r="G152" s="32"/>
      <c r="H152" s="32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  <row r="161" spans="4:8" x14ac:dyDescent="0.2">
      <c r="D161" s="32"/>
      <c r="E161" s="32"/>
      <c r="F161" s="32"/>
      <c r="G161" s="32"/>
      <c r="H161" s="32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zoomScale="60" zoomScaleNormal="60" workbookViewId="0">
      <selection activeCell="F43" sqref="F43"/>
    </sheetView>
  </sheetViews>
  <sheetFormatPr defaultRowHeight="22.5" x14ac:dyDescent="0.2"/>
  <cols>
    <col min="2" max="2" width="22.125" style="24" customWidth="1"/>
    <col min="3" max="3" width="59.125" style="24" customWidth="1"/>
    <col min="4" max="11" width="14.375" style="16" customWidth="1"/>
    <col min="12" max="12" width="17.625" style="26" customWidth="1"/>
  </cols>
  <sheetData>
    <row r="1" spans="2:12" x14ac:dyDescent="0.2">
      <c r="B1" s="58" t="s">
        <v>144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">
      <c r="B7" s="11">
        <v>1111002</v>
      </c>
      <c r="C7" s="15" t="s">
        <v>107</v>
      </c>
      <c r="D7" s="31"/>
      <c r="E7" s="31">
        <v>4</v>
      </c>
      <c r="F7" s="31">
        <v>10</v>
      </c>
      <c r="G7" s="31">
        <v>3</v>
      </c>
      <c r="H7" s="31"/>
      <c r="I7" s="31"/>
      <c r="J7" s="44"/>
      <c r="K7" s="44"/>
      <c r="L7" s="37">
        <f>SUM(D7:K7)</f>
        <v>17</v>
      </c>
    </row>
    <row r="8" spans="2:12" ht="22.5" hidden="1" customHeight="1" x14ac:dyDescent="0.2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">
      <c r="B25" s="11">
        <v>1111056</v>
      </c>
      <c r="C25" s="15" t="s">
        <v>28</v>
      </c>
      <c r="D25" s="31"/>
      <c r="E25" s="31">
        <v>9</v>
      </c>
      <c r="F25" s="31">
        <v>3</v>
      </c>
      <c r="G25" s="31">
        <v>3</v>
      </c>
      <c r="H25" s="31"/>
      <c r="I25" s="31"/>
      <c r="J25" s="44"/>
      <c r="K25" s="44"/>
      <c r="L25" s="37">
        <f t="shared" si="0"/>
        <v>15</v>
      </c>
    </row>
    <row r="26" spans="2:12" x14ac:dyDescent="0.2">
      <c r="B26" s="11">
        <v>1004055</v>
      </c>
      <c r="C26" s="15" t="s">
        <v>108</v>
      </c>
      <c r="D26" s="31"/>
      <c r="E26" s="31">
        <v>3</v>
      </c>
      <c r="F26" s="31"/>
      <c r="G26" s="31"/>
      <c r="H26" s="31"/>
      <c r="I26" s="31"/>
      <c r="J26" s="44"/>
      <c r="K26" s="44"/>
      <c r="L26" s="37">
        <f t="shared" si="0"/>
        <v>3</v>
      </c>
    </row>
    <row r="27" spans="2:12" ht="22.5" hidden="1" customHeight="1" x14ac:dyDescent="0.2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">
      <c r="B40" s="11">
        <v>1111057</v>
      </c>
      <c r="C40" s="15" t="s">
        <v>30</v>
      </c>
      <c r="D40" s="31"/>
      <c r="E40" s="31">
        <v>4</v>
      </c>
      <c r="F40" s="31">
        <v>9</v>
      </c>
      <c r="G40" s="31"/>
      <c r="H40" s="31"/>
      <c r="I40" s="31"/>
      <c r="J40" s="44"/>
      <c r="K40" s="44"/>
      <c r="L40" s="37">
        <f t="shared" si="0"/>
        <v>13</v>
      </c>
    </row>
    <row r="41" spans="2:12" x14ac:dyDescent="0.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 x14ac:dyDescent="0.2">
      <c r="B42" s="11">
        <v>1111059</v>
      </c>
      <c r="C42" s="15" t="s">
        <v>32</v>
      </c>
      <c r="D42" s="31"/>
      <c r="E42" s="31">
        <v>4</v>
      </c>
      <c r="F42" s="31">
        <v>9</v>
      </c>
      <c r="G42" s="31"/>
      <c r="H42" s="31"/>
      <c r="I42" s="31"/>
      <c r="J42" s="44"/>
      <c r="K42" s="44"/>
      <c r="L42" s="37">
        <f t="shared" si="0"/>
        <v>13</v>
      </c>
    </row>
    <row r="43" spans="2:12" x14ac:dyDescent="0.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 x14ac:dyDescent="0.2">
      <c r="B44" s="11">
        <v>1111061</v>
      </c>
      <c r="C44" s="15" t="s">
        <v>34</v>
      </c>
      <c r="D44" s="31"/>
      <c r="E44" s="31">
        <v>3</v>
      </c>
      <c r="F44" s="31">
        <v>8</v>
      </c>
      <c r="G44" s="31"/>
      <c r="H44" s="31"/>
      <c r="I44" s="31"/>
      <c r="J44" s="44"/>
      <c r="K44" s="44"/>
      <c r="L44" s="37">
        <f t="shared" si="0"/>
        <v>11</v>
      </c>
    </row>
    <row r="45" spans="2:12" x14ac:dyDescent="0.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 x14ac:dyDescent="0.2">
      <c r="B46" s="11">
        <v>1111063</v>
      </c>
      <c r="C46" s="15" t="s">
        <v>36</v>
      </c>
      <c r="D46" s="31"/>
      <c r="E46" s="31">
        <v>3</v>
      </c>
      <c r="F46" s="31">
        <v>8</v>
      </c>
      <c r="G46" s="31"/>
      <c r="H46" s="31"/>
      <c r="I46" s="31"/>
      <c r="J46" s="44"/>
      <c r="K46" s="44"/>
      <c r="L46" s="37">
        <f t="shared" si="0"/>
        <v>11</v>
      </c>
    </row>
    <row r="47" spans="2:12" x14ac:dyDescent="0.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 x14ac:dyDescent="0.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 x14ac:dyDescent="0.2">
      <c r="B49" s="11">
        <v>1111066</v>
      </c>
      <c r="C49" s="15" t="s">
        <v>39</v>
      </c>
      <c r="D49" s="31"/>
      <c r="E49" s="31">
        <v>4</v>
      </c>
      <c r="F49" s="31">
        <v>9</v>
      </c>
      <c r="G49" s="31"/>
      <c r="H49" s="31"/>
      <c r="I49" s="31"/>
      <c r="J49" s="44"/>
      <c r="K49" s="44"/>
      <c r="L49" s="37">
        <f t="shared" si="0"/>
        <v>13</v>
      </c>
    </row>
    <row r="50" spans="2:12" x14ac:dyDescent="0.2">
      <c r="B50" s="11">
        <v>1111067</v>
      </c>
      <c r="C50" s="15" t="s">
        <v>40</v>
      </c>
      <c r="D50" s="31"/>
      <c r="E50" s="31">
        <v>4</v>
      </c>
      <c r="F50" s="31">
        <v>9</v>
      </c>
      <c r="G50" s="31"/>
      <c r="H50" s="31"/>
      <c r="I50" s="31"/>
      <c r="J50" s="44"/>
      <c r="K50" s="44"/>
      <c r="L50" s="37">
        <f t="shared" si="0"/>
        <v>13</v>
      </c>
    </row>
    <row r="51" spans="2:12" x14ac:dyDescent="0.2">
      <c r="B51" s="11">
        <v>1111068</v>
      </c>
      <c r="C51" s="15" t="s">
        <v>41</v>
      </c>
      <c r="D51" s="31"/>
      <c r="E51" s="31">
        <v>4</v>
      </c>
      <c r="F51" s="31">
        <v>9</v>
      </c>
      <c r="G51" s="31"/>
      <c r="H51" s="31"/>
      <c r="I51" s="31"/>
      <c r="J51" s="44"/>
      <c r="K51" s="44"/>
      <c r="L51" s="37">
        <f t="shared" si="0"/>
        <v>13</v>
      </c>
    </row>
    <row r="52" spans="2:12" x14ac:dyDescent="0.2">
      <c r="B52" s="11">
        <v>1111069</v>
      </c>
      <c r="C52" s="15" t="s">
        <v>42</v>
      </c>
      <c r="D52" s="31"/>
      <c r="E52" s="31">
        <v>4</v>
      </c>
      <c r="F52" s="31">
        <v>9</v>
      </c>
      <c r="G52" s="31"/>
      <c r="H52" s="31"/>
      <c r="I52" s="31"/>
      <c r="J52" s="44"/>
      <c r="K52" s="44"/>
      <c r="L52" s="37">
        <f t="shared" si="0"/>
        <v>13</v>
      </c>
    </row>
    <row r="53" spans="2:12" x14ac:dyDescent="0.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">
      <c r="B56" s="11">
        <v>1111074</v>
      </c>
      <c r="C56" s="15" t="s">
        <v>44</v>
      </c>
      <c r="D56" s="31"/>
      <c r="E56" s="31">
        <v>5</v>
      </c>
      <c r="F56" s="31"/>
      <c r="G56" s="31"/>
      <c r="H56" s="31"/>
      <c r="I56" s="31"/>
      <c r="J56" s="44"/>
      <c r="K56" s="44"/>
      <c r="L56" s="37">
        <f t="shared" si="0"/>
        <v>5</v>
      </c>
    </row>
    <row r="57" spans="2:12" x14ac:dyDescent="0.2">
      <c r="B57" s="11">
        <v>1111075</v>
      </c>
      <c r="C57" s="15" t="s">
        <v>45</v>
      </c>
      <c r="D57" s="31"/>
      <c r="E57" s="31">
        <v>5</v>
      </c>
      <c r="F57" s="31"/>
      <c r="G57" s="31"/>
      <c r="H57" s="31"/>
      <c r="I57" s="31"/>
      <c r="J57" s="44"/>
      <c r="K57" s="44"/>
      <c r="L57" s="37">
        <f t="shared" si="0"/>
        <v>5</v>
      </c>
    </row>
    <row r="58" spans="2:12" x14ac:dyDescent="0.2">
      <c r="B58" s="11">
        <v>1111076</v>
      </c>
      <c r="C58" s="15" t="s">
        <v>46</v>
      </c>
      <c r="D58" s="31"/>
      <c r="E58" s="31">
        <v>5</v>
      </c>
      <c r="F58" s="31"/>
      <c r="G58" s="31"/>
      <c r="H58" s="31"/>
      <c r="I58" s="31"/>
      <c r="J58" s="44"/>
      <c r="K58" s="44"/>
      <c r="L58" s="37">
        <f t="shared" si="0"/>
        <v>5</v>
      </c>
    </row>
    <row r="59" spans="2:12" x14ac:dyDescent="0.2">
      <c r="B59" s="11">
        <v>1111077</v>
      </c>
      <c r="C59" s="15" t="s">
        <v>47</v>
      </c>
      <c r="D59" s="31"/>
      <c r="E59" s="31">
        <v>5</v>
      </c>
      <c r="F59" s="31"/>
      <c r="G59" s="31"/>
      <c r="H59" s="31"/>
      <c r="I59" s="31"/>
      <c r="J59" s="44"/>
      <c r="K59" s="44"/>
      <c r="L59" s="37">
        <f t="shared" si="0"/>
        <v>5</v>
      </c>
    </row>
    <row r="60" spans="2:12" x14ac:dyDescent="0.2">
      <c r="B60" s="11">
        <v>1111078</v>
      </c>
      <c r="C60" s="15" t="s">
        <v>48</v>
      </c>
      <c r="D60" s="31"/>
      <c r="E60" s="31">
        <v>5</v>
      </c>
      <c r="F60" s="31"/>
      <c r="G60" s="31"/>
      <c r="H60" s="31"/>
      <c r="I60" s="31"/>
      <c r="J60" s="44"/>
      <c r="K60" s="44"/>
      <c r="L60" s="37">
        <f t="shared" si="0"/>
        <v>5</v>
      </c>
    </row>
    <row r="61" spans="2:12" x14ac:dyDescent="0.2">
      <c r="B61" s="11">
        <v>1111079</v>
      </c>
      <c r="C61" s="15" t="s">
        <v>49</v>
      </c>
      <c r="D61" s="31"/>
      <c r="E61" s="31">
        <v>5</v>
      </c>
      <c r="F61" s="31"/>
      <c r="G61" s="31"/>
      <c r="H61" s="31"/>
      <c r="I61" s="31"/>
      <c r="J61" s="44"/>
      <c r="K61" s="44"/>
      <c r="L61" s="37">
        <f t="shared" si="0"/>
        <v>5</v>
      </c>
    </row>
    <row r="62" spans="2:12" x14ac:dyDescent="0.2">
      <c r="B62" s="11">
        <v>1111080</v>
      </c>
      <c r="C62" s="15" t="s">
        <v>50</v>
      </c>
      <c r="D62" s="31"/>
      <c r="E62" s="31">
        <v>5</v>
      </c>
      <c r="F62" s="31"/>
      <c r="G62" s="31"/>
      <c r="H62" s="31"/>
      <c r="I62" s="31"/>
      <c r="J62" s="44"/>
      <c r="K62" s="44"/>
      <c r="L62" s="37">
        <f t="shared" si="0"/>
        <v>5</v>
      </c>
    </row>
    <row r="63" spans="2:12" x14ac:dyDescent="0.2">
      <c r="B63" s="11">
        <v>1111081</v>
      </c>
      <c r="C63" s="15" t="s">
        <v>51</v>
      </c>
      <c r="D63" s="31"/>
      <c r="E63" s="31">
        <v>5</v>
      </c>
      <c r="F63" s="31"/>
      <c r="G63" s="31"/>
      <c r="H63" s="31"/>
      <c r="I63" s="31"/>
      <c r="J63" s="44"/>
      <c r="K63" s="44"/>
      <c r="L63" s="37">
        <f t="shared" si="0"/>
        <v>5</v>
      </c>
    </row>
    <row r="64" spans="2:12" x14ac:dyDescent="0.2">
      <c r="B64" s="11">
        <v>1111082</v>
      </c>
      <c r="C64" s="15" t="s">
        <v>52</v>
      </c>
      <c r="D64" s="31"/>
      <c r="E64" s="31">
        <v>5</v>
      </c>
      <c r="F64" s="31"/>
      <c r="G64" s="31"/>
      <c r="H64" s="31"/>
      <c r="I64" s="31"/>
      <c r="J64" s="44"/>
      <c r="K64" s="44"/>
      <c r="L64" s="37">
        <f t="shared" si="0"/>
        <v>5</v>
      </c>
    </row>
    <row r="65" spans="2:12" x14ac:dyDescent="0.2">
      <c r="B65" s="11">
        <v>1111083</v>
      </c>
      <c r="C65" s="15" t="s">
        <v>53</v>
      </c>
      <c r="D65" s="31"/>
      <c r="E65" s="31">
        <v>5</v>
      </c>
      <c r="F65" s="31"/>
      <c r="G65" s="31"/>
      <c r="H65" s="31"/>
      <c r="I65" s="31"/>
      <c r="J65" s="44"/>
      <c r="K65" s="44"/>
      <c r="L65" s="37">
        <f t="shared" si="0"/>
        <v>5</v>
      </c>
    </row>
    <row r="66" spans="2:12" x14ac:dyDescent="0.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">
      <c r="B69" s="11">
        <v>1111009</v>
      </c>
      <c r="C69" s="20" t="s">
        <v>56</v>
      </c>
      <c r="D69" s="31"/>
      <c r="E69" s="31"/>
      <c r="F69" s="31"/>
      <c r="G69" s="31">
        <v>3</v>
      </c>
      <c r="H69" s="31"/>
      <c r="I69" s="31"/>
      <c r="J69" s="44"/>
      <c r="K69" s="44"/>
      <c r="L69" s="37">
        <f t="shared" ref="L69:L76" si="1">SUM(D69:K69)</f>
        <v>3</v>
      </c>
    </row>
    <row r="70" spans="2:12" x14ac:dyDescent="0.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x14ac:dyDescent="0.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x14ac:dyDescent="0.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x14ac:dyDescent="0.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x14ac:dyDescent="0.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x14ac:dyDescent="0.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x14ac:dyDescent="0.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x14ac:dyDescent="0.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x14ac:dyDescent="0.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x14ac:dyDescent="0.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x14ac:dyDescent="0.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x14ac:dyDescent="0.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x14ac:dyDescent="0.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">
      <c r="B87" s="11">
        <v>1111008</v>
      </c>
      <c r="C87" s="20" t="s">
        <v>73</v>
      </c>
      <c r="D87" s="31"/>
      <c r="E87" s="31">
        <v>3</v>
      </c>
      <c r="F87" s="31"/>
      <c r="G87" s="31"/>
      <c r="H87" s="31"/>
      <c r="I87" s="31"/>
      <c r="J87" s="44"/>
      <c r="K87" s="44"/>
      <c r="L87" s="37">
        <f t="shared" si="2"/>
        <v>3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">
      <c r="B90" s="11">
        <v>1112009</v>
      </c>
      <c r="C90" s="20" t="s">
        <v>75</v>
      </c>
      <c r="D90" s="31"/>
      <c r="E90" s="31">
        <v>1</v>
      </c>
      <c r="F90" s="31"/>
      <c r="G90" s="31">
        <v>5</v>
      </c>
      <c r="H90" s="31"/>
      <c r="I90" s="31"/>
      <c r="J90" s="44"/>
      <c r="K90" s="44">
        <v>2</v>
      </c>
      <c r="L90" s="37">
        <f t="shared" ref="L90:L99" si="3">SUM(D90:K90)</f>
        <v>8</v>
      </c>
    </row>
    <row r="91" spans="2:12" x14ac:dyDescent="0.2">
      <c r="B91" s="11">
        <v>1112011</v>
      </c>
      <c r="C91" s="20" t="s">
        <v>76</v>
      </c>
      <c r="D91" s="31"/>
      <c r="E91" s="31">
        <v>1</v>
      </c>
      <c r="F91" s="31">
        <v>6</v>
      </c>
      <c r="G91" s="31">
        <v>5</v>
      </c>
      <c r="H91" s="31"/>
      <c r="I91" s="31"/>
      <c r="J91" s="44"/>
      <c r="K91" s="44"/>
      <c r="L91" s="37">
        <f t="shared" si="3"/>
        <v>12</v>
      </c>
    </row>
    <row r="92" spans="2:12" x14ac:dyDescent="0.2">
      <c r="B92" s="11">
        <v>1112003</v>
      </c>
      <c r="C92" s="20" t="s">
        <v>77</v>
      </c>
      <c r="D92" s="31"/>
      <c r="E92" s="31">
        <v>1</v>
      </c>
      <c r="F92" s="31"/>
      <c r="G92" s="31">
        <v>4</v>
      </c>
      <c r="H92" s="31"/>
      <c r="I92" s="31"/>
      <c r="J92" s="44"/>
      <c r="K92" s="44"/>
      <c r="L92" s="37">
        <f t="shared" si="3"/>
        <v>5</v>
      </c>
    </row>
    <row r="93" spans="2:12" x14ac:dyDescent="0.2">
      <c r="B93" s="11">
        <v>1112005</v>
      </c>
      <c r="C93" s="20" t="s">
        <v>78</v>
      </c>
      <c r="D93" s="31"/>
      <c r="E93" s="31"/>
      <c r="F93" s="31"/>
      <c r="G93" s="31">
        <v>4</v>
      </c>
      <c r="H93" s="31"/>
      <c r="I93" s="31"/>
      <c r="J93" s="44"/>
      <c r="K93" s="44"/>
      <c r="L93" s="37">
        <f t="shared" si="3"/>
        <v>4</v>
      </c>
    </row>
    <row r="94" spans="2:12" x14ac:dyDescent="0.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x14ac:dyDescent="0.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>
        <v>2</v>
      </c>
      <c r="L95" s="37">
        <f t="shared" si="3"/>
        <v>2</v>
      </c>
    </row>
    <row r="96" spans="2:12" x14ac:dyDescent="0.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 x14ac:dyDescent="0.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 x14ac:dyDescent="0.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 x14ac:dyDescent="0.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19.5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">
      <c r="B102" s="11">
        <v>1112008</v>
      </c>
      <c r="C102" s="20" t="s">
        <v>75</v>
      </c>
      <c r="D102" s="31"/>
      <c r="E102" s="31">
        <v>2</v>
      </c>
      <c r="F102" s="31"/>
      <c r="G102" s="31"/>
      <c r="H102" s="31"/>
      <c r="I102" s="31"/>
      <c r="J102" s="44"/>
      <c r="K102" s="44"/>
      <c r="L102" s="37">
        <f t="shared" ref="L102:L111" si="5">SUM(D102:K102)</f>
        <v>2</v>
      </c>
    </row>
    <row r="103" spans="2:12" x14ac:dyDescent="0.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 x14ac:dyDescent="0.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x14ac:dyDescent="0.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x14ac:dyDescent="0.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x14ac:dyDescent="0.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x14ac:dyDescent="0.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x14ac:dyDescent="0.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x14ac:dyDescent="0.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x14ac:dyDescent="0.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2</v>
      </c>
    </row>
    <row r="113" spans="2:12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">
      <c r="B114" s="11">
        <v>1113170</v>
      </c>
      <c r="C114" s="22" t="s">
        <v>87</v>
      </c>
      <c r="D114" s="31"/>
      <c r="E114" s="31"/>
      <c r="F114" s="31"/>
      <c r="G114" s="31">
        <v>2</v>
      </c>
      <c r="H114" s="31"/>
      <c r="I114" s="31"/>
      <c r="J114" s="44"/>
      <c r="K114" s="44"/>
      <c r="L114" s="37">
        <f t="shared" ref="L114:L140" si="6">SUM(D114:K114)</f>
        <v>2</v>
      </c>
    </row>
    <row r="115" spans="2:12" x14ac:dyDescent="0.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 x14ac:dyDescent="0.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 x14ac:dyDescent="0.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 x14ac:dyDescent="0.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 x14ac:dyDescent="0.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 x14ac:dyDescent="0.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 x14ac:dyDescent="0.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">
      <c r="B123" s="11">
        <v>1114501</v>
      </c>
      <c r="C123" s="22" t="s">
        <v>95</v>
      </c>
      <c r="D123" s="31">
        <v>4</v>
      </c>
      <c r="E123" s="31">
        <v>10</v>
      </c>
      <c r="F123" s="31">
        <v>9</v>
      </c>
      <c r="G123" s="31">
        <v>108</v>
      </c>
      <c r="H123" s="31"/>
      <c r="I123" s="31"/>
      <c r="J123" s="44"/>
      <c r="K123" s="44"/>
      <c r="L123" s="37">
        <f t="shared" si="6"/>
        <v>131</v>
      </c>
    </row>
    <row r="124" spans="2:12" x14ac:dyDescent="0.2">
      <c r="B124" s="11">
        <v>1114502</v>
      </c>
      <c r="C124" s="22" t="s">
        <v>96</v>
      </c>
      <c r="D124" s="31"/>
      <c r="E124" s="31">
        <v>1</v>
      </c>
      <c r="F124" s="31"/>
      <c r="G124" s="31">
        <v>6</v>
      </c>
      <c r="H124" s="31"/>
      <c r="I124" s="31"/>
      <c r="J124" s="44"/>
      <c r="K124" s="44"/>
      <c r="L124" s="37">
        <f t="shared" si="6"/>
        <v>7</v>
      </c>
    </row>
    <row r="125" spans="2:12" x14ac:dyDescent="0.2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 x14ac:dyDescent="0.2">
      <c r="B126" s="11">
        <v>1124021</v>
      </c>
      <c r="C126" s="22" t="s">
        <v>98</v>
      </c>
      <c r="D126" s="31"/>
      <c r="E126" s="31">
        <v>4</v>
      </c>
      <c r="F126" s="31"/>
      <c r="G126" s="31"/>
      <c r="H126" s="31"/>
      <c r="I126" s="31"/>
      <c r="J126" s="44"/>
      <c r="K126" s="44"/>
      <c r="L126" s="37">
        <f t="shared" si="6"/>
        <v>4</v>
      </c>
    </row>
    <row r="127" spans="2:12" x14ac:dyDescent="0.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">
      <c r="B135" s="23"/>
      <c r="C135" s="22" t="s">
        <v>124</v>
      </c>
      <c r="D135" s="31"/>
      <c r="E135" s="31">
        <v>1</v>
      </c>
      <c r="F135" s="31"/>
      <c r="G135" s="31"/>
      <c r="H135" s="31"/>
      <c r="I135" s="31"/>
      <c r="J135" s="44"/>
      <c r="K135" s="44"/>
      <c r="L135" s="37">
        <f t="shared" si="6"/>
        <v>1</v>
      </c>
    </row>
    <row r="136" spans="2:12" x14ac:dyDescent="0.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 x14ac:dyDescent="0.2">
      <c r="B137" s="23">
        <v>20052721</v>
      </c>
      <c r="C137" s="22" t="s">
        <v>143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 x14ac:dyDescent="0.2">
      <c r="B138" s="51"/>
      <c r="C138" s="50" t="s">
        <v>138</v>
      </c>
      <c r="D138" s="31"/>
      <c r="E138" s="31"/>
      <c r="F138" s="31"/>
      <c r="G138" s="31"/>
      <c r="H138" s="31"/>
      <c r="I138" s="31"/>
      <c r="J138" s="44"/>
      <c r="K138" s="44"/>
      <c r="L138" s="37">
        <f t="shared" si="6"/>
        <v>0</v>
      </c>
    </row>
    <row r="139" spans="2:12" x14ac:dyDescent="0.2">
      <c r="B139" s="51"/>
      <c r="C139" s="50" t="s">
        <v>139</v>
      </c>
      <c r="D139" s="49"/>
      <c r="E139" s="49"/>
      <c r="F139" s="49"/>
      <c r="G139" s="49"/>
      <c r="H139" s="49"/>
      <c r="I139" s="49"/>
      <c r="J139" s="49"/>
      <c r="K139" s="49"/>
      <c r="L139" s="37">
        <f t="shared" si="6"/>
        <v>0</v>
      </c>
    </row>
    <row r="140" spans="2:12" x14ac:dyDescent="0.2">
      <c r="B140" s="51"/>
      <c r="C140" s="50" t="s">
        <v>140</v>
      </c>
      <c r="D140" s="52"/>
      <c r="E140" s="52"/>
      <c r="F140" s="52"/>
      <c r="G140" s="53"/>
      <c r="H140" s="9"/>
      <c r="I140" s="9"/>
      <c r="J140" s="9"/>
      <c r="K140" s="9"/>
      <c r="L140" s="37">
        <f t="shared" si="6"/>
        <v>0</v>
      </c>
    </row>
    <row r="141" spans="2:12" x14ac:dyDescent="0.2">
      <c r="B141" s="54"/>
      <c r="C141" s="55"/>
      <c r="D141" s="32"/>
      <c r="E141" s="32"/>
      <c r="F141" s="32"/>
      <c r="G141" s="27"/>
      <c r="L141" s="56"/>
    </row>
    <row r="142" spans="2:12" x14ac:dyDescent="0.2">
      <c r="B142" s="54"/>
      <c r="C142" s="55"/>
      <c r="D142" s="32"/>
      <c r="E142" s="32"/>
      <c r="F142" s="32"/>
      <c r="G142" s="27"/>
      <c r="L142" s="56"/>
    </row>
    <row r="143" spans="2:12" x14ac:dyDescent="0.2">
      <c r="B143" s="61" t="s">
        <v>104</v>
      </c>
      <c r="C143" s="61"/>
      <c r="D143" s="33"/>
      <c r="E143" s="57"/>
      <c r="F143" s="57"/>
      <c r="G143" s="28"/>
      <c r="H143" s="27"/>
      <c r="I143" s="61" t="s">
        <v>104</v>
      </c>
      <c r="J143" s="61"/>
      <c r="K143" s="61"/>
      <c r="L143" s="61"/>
    </row>
    <row r="144" spans="2:12" x14ac:dyDescent="0.2">
      <c r="B144" s="57" t="s">
        <v>105</v>
      </c>
      <c r="C144" s="57"/>
      <c r="D144" s="34"/>
      <c r="E144" s="34"/>
      <c r="F144" s="34"/>
      <c r="G144" s="34"/>
      <c r="H144" s="34"/>
      <c r="I144" s="57" t="s">
        <v>106</v>
      </c>
      <c r="J144" s="57"/>
      <c r="K144" s="57"/>
      <c r="L144" s="57"/>
    </row>
    <row r="145" spans="2:12" x14ac:dyDescent="0.2">
      <c r="B145" s="32"/>
      <c r="C145" s="32"/>
      <c r="D145" s="34"/>
      <c r="E145" s="34"/>
      <c r="F145" s="34"/>
      <c r="G145" s="34"/>
      <c r="H145" s="34"/>
      <c r="I145" s="32"/>
      <c r="J145" s="32"/>
      <c r="K145" s="32"/>
      <c r="L145" s="35"/>
    </row>
    <row r="146" spans="2:12" ht="14.25" x14ac:dyDescent="0.2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4.25" x14ac:dyDescent="0.2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4.2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4.2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14.25" x14ac:dyDescent="0.2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 x14ac:dyDescent="0.2">
      <c r="D151" s="32"/>
      <c r="E151" s="32"/>
      <c r="F151" s="32"/>
      <c r="G151" s="32"/>
      <c r="H151" s="32"/>
    </row>
    <row r="152" spans="2:12" x14ac:dyDescent="0.2">
      <c r="D152" s="32"/>
      <c r="E152" s="32"/>
      <c r="F152" s="32"/>
      <c r="G152" s="32"/>
      <c r="H152" s="32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  <row r="161" spans="4:8" x14ac:dyDescent="0.2">
      <c r="D161" s="32"/>
      <c r="E161" s="32"/>
      <c r="F161" s="32"/>
      <c r="G161" s="32"/>
      <c r="H161" s="32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1"/>
  <sheetViews>
    <sheetView zoomScale="60" zoomScaleNormal="60" workbookViewId="0">
      <selection activeCell="E136" sqref="E136"/>
    </sheetView>
  </sheetViews>
  <sheetFormatPr defaultRowHeight="22.5" x14ac:dyDescent="0.2"/>
  <cols>
    <col min="2" max="2" width="22.125" style="24" customWidth="1"/>
    <col min="3" max="3" width="59.125" style="24" customWidth="1"/>
    <col min="4" max="11" width="14.375" style="16" customWidth="1"/>
    <col min="12" max="12" width="17.625" style="26" customWidth="1"/>
  </cols>
  <sheetData>
    <row r="1" spans="2:12" x14ac:dyDescent="0.2">
      <c r="B1" s="58" t="s">
        <v>135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">
      <c r="B7" s="11">
        <v>1111002</v>
      </c>
      <c r="C7" s="15" t="s">
        <v>107</v>
      </c>
      <c r="D7" s="31"/>
      <c r="E7" s="31">
        <v>9</v>
      </c>
      <c r="F7" s="31">
        <v>1</v>
      </c>
      <c r="G7" s="31">
        <v>12</v>
      </c>
      <c r="H7" s="31"/>
      <c r="I7" s="31"/>
      <c r="J7" s="44"/>
      <c r="K7" s="44"/>
      <c r="L7" s="37">
        <f>SUM(D7:K7)</f>
        <v>22</v>
      </c>
    </row>
    <row r="8" spans="2:12" ht="22.5" hidden="1" customHeight="1" x14ac:dyDescent="0.2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">
      <c r="B25" s="11">
        <v>1111056</v>
      </c>
      <c r="C25" s="15" t="s">
        <v>28</v>
      </c>
      <c r="D25" s="31"/>
      <c r="E25" s="31">
        <v>3</v>
      </c>
      <c r="F25" s="31"/>
      <c r="G25" s="31">
        <v>1</v>
      </c>
      <c r="H25" s="31"/>
      <c r="I25" s="31"/>
      <c r="J25" s="44"/>
      <c r="K25" s="44"/>
      <c r="L25" s="37">
        <f t="shared" si="0"/>
        <v>4</v>
      </c>
    </row>
    <row r="26" spans="2:12" x14ac:dyDescent="0.2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44"/>
      <c r="K26" s="44"/>
      <c r="L26" s="37">
        <f t="shared" si="0"/>
        <v>0</v>
      </c>
    </row>
    <row r="27" spans="2:12" ht="22.5" hidden="1" customHeight="1" x14ac:dyDescent="0.2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 x14ac:dyDescent="0.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 x14ac:dyDescent="0.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 x14ac:dyDescent="0.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 x14ac:dyDescent="0.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 x14ac:dyDescent="0.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 x14ac:dyDescent="0.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 x14ac:dyDescent="0.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 x14ac:dyDescent="0.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 x14ac:dyDescent="0.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 x14ac:dyDescent="0.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 x14ac:dyDescent="0.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 x14ac:dyDescent="0.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 x14ac:dyDescent="0.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 x14ac:dyDescent="0.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 x14ac:dyDescent="0.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 x14ac:dyDescent="0.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 x14ac:dyDescent="0.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 x14ac:dyDescent="0.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 x14ac:dyDescent="0.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 x14ac:dyDescent="0.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 x14ac:dyDescent="0.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 x14ac:dyDescent="0.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 x14ac:dyDescent="0.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">
      <c r="B69" s="11">
        <v>1111009</v>
      </c>
      <c r="C69" s="20" t="s">
        <v>56</v>
      </c>
      <c r="D69" s="31"/>
      <c r="E69" s="31">
        <v>1</v>
      </c>
      <c r="F69" s="31"/>
      <c r="G69" s="31">
        <v>12</v>
      </c>
      <c r="H69" s="31"/>
      <c r="I69" s="31"/>
      <c r="J69" s="44"/>
      <c r="K69" s="44"/>
      <c r="L69" s="37">
        <f t="shared" ref="L69:L76" si="1">SUM(D69:K69)</f>
        <v>13</v>
      </c>
    </row>
    <row r="70" spans="2:12" x14ac:dyDescent="0.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x14ac:dyDescent="0.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x14ac:dyDescent="0.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x14ac:dyDescent="0.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x14ac:dyDescent="0.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x14ac:dyDescent="0.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x14ac:dyDescent="0.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x14ac:dyDescent="0.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x14ac:dyDescent="0.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x14ac:dyDescent="0.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x14ac:dyDescent="0.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x14ac:dyDescent="0.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x14ac:dyDescent="0.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">
      <c r="B87" s="11">
        <v>1111008</v>
      </c>
      <c r="C87" s="20" t="s">
        <v>73</v>
      </c>
      <c r="D87" s="31"/>
      <c r="E87" s="31"/>
      <c r="F87" s="31"/>
      <c r="G87" s="31">
        <v>21</v>
      </c>
      <c r="H87" s="31"/>
      <c r="I87" s="31"/>
      <c r="J87" s="44"/>
      <c r="K87" s="44"/>
      <c r="L87" s="37">
        <f t="shared" si="2"/>
        <v>21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">
      <c r="B90" s="11">
        <v>1112009</v>
      </c>
      <c r="C90" s="20" t="s">
        <v>75</v>
      </c>
      <c r="D90" s="31"/>
      <c r="E90" s="31">
        <v>1</v>
      </c>
      <c r="F90" s="31"/>
      <c r="G90" s="31">
        <v>4</v>
      </c>
      <c r="H90" s="31"/>
      <c r="I90" s="31"/>
      <c r="J90" s="44"/>
      <c r="K90" s="44"/>
      <c r="L90" s="37">
        <f t="shared" ref="L90:L99" si="3">SUM(D90:K90)</f>
        <v>5</v>
      </c>
    </row>
    <row r="91" spans="2:12" x14ac:dyDescent="0.2">
      <c r="B91" s="11">
        <v>1112011</v>
      </c>
      <c r="C91" s="20" t="s">
        <v>76</v>
      </c>
      <c r="D91" s="31"/>
      <c r="E91" s="31">
        <v>1</v>
      </c>
      <c r="F91" s="31"/>
      <c r="G91" s="31">
        <v>3</v>
      </c>
      <c r="H91" s="31"/>
      <c r="I91" s="31"/>
      <c r="J91" s="44"/>
      <c r="K91" s="44"/>
      <c r="L91" s="37">
        <f t="shared" si="3"/>
        <v>4</v>
      </c>
    </row>
    <row r="92" spans="2:12" x14ac:dyDescent="0.2">
      <c r="B92" s="11">
        <v>1112003</v>
      </c>
      <c r="C92" s="20" t="s">
        <v>77</v>
      </c>
      <c r="D92" s="31"/>
      <c r="E92" s="31">
        <v>1</v>
      </c>
      <c r="F92" s="31"/>
      <c r="G92" s="31">
        <v>3</v>
      </c>
      <c r="H92" s="31"/>
      <c r="I92" s="31"/>
      <c r="J92" s="44"/>
      <c r="K92" s="44"/>
      <c r="L92" s="37">
        <f t="shared" si="3"/>
        <v>4</v>
      </c>
    </row>
    <row r="93" spans="2:12" x14ac:dyDescent="0.2">
      <c r="B93" s="11">
        <v>1112005</v>
      </c>
      <c r="C93" s="20" t="s">
        <v>78</v>
      </c>
      <c r="D93" s="31"/>
      <c r="E93" s="31"/>
      <c r="F93" s="31"/>
      <c r="G93" s="31">
        <v>3</v>
      </c>
      <c r="H93" s="31"/>
      <c r="I93" s="31"/>
      <c r="J93" s="44"/>
      <c r="K93" s="44"/>
      <c r="L93" s="37">
        <f t="shared" si="3"/>
        <v>3</v>
      </c>
    </row>
    <row r="94" spans="2:12" x14ac:dyDescent="0.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x14ac:dyDescent="0.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x14ac:dyDescent="0.2">
      <c r="B96" s="11">
        <v>1112017</v>
      </c>
      <c r="C96" s="20" t="s">
        <v>81</v>
      </c>
      <c r="D96" s="31"/>
      <c r="E96" s="31"/>
      <c r="F96" s="31"/>
      <c r="G96" s="31">
        <v>3</v>
      </c>
      <c r="H96" s="31"/>
      <c r="I96" s="31"/>
      <c r="J96" s="44"/>
      <c r="K96" s="44"/>
      <c r="L96" s="37">
        <f t="shared" si="3"/>
        <v>3</v>
      </c>
    </row>
    <row r="97" spans="2:12" x14ac:dyDescent="0.2">
      <c r="B97" s="11">
        <v>1112015</v>
      </c>
      <c r="C97" s="20" t="s">
        <v>82</v>
      </c>
      <c r="D97" s="31"/>
      <c r="E97" s="31"/>
      <c r="F97" s="31"/>
      <c r="G97" s="31">
        <v>4</v>
      </c>
      <c r="H97" s="31"/>
      <c r="I97" s="31"/>
      <c r="J97" s="44"/>
      <c r="K97" s="44"/>
      <c r="L97" s="37">
        <f t="shared" si="3"/>
        <v>4</v>
      </c>
    </row>
    <row r="98" spans="2:12" x14ac:dyDescent="0.2">
      <c r="B98" s="11">
        <v>1112013</v>
      </c>
      <c r="C98" s="20" t="s">
        <v>83</v>
      </c>
      <c r="D98" s="31"/>
      <c r="E98" s="31"/>
      <c r="F98" s="31"/>
      <c r="G98" s="31">
        <v>3</v>
      </c>
      <c r="H98" s="31"/>
      <c r="I98" s="31"/>
      <c r="J98" s="44"/>
      <c r="K98" s="44"/>
      <c r="L98" s="37">
        <f t="shared" si="3"/>
        <v>3</v>
      </c>
    </row>
    <row r="99" spans="2:12" x14ac:dyDescent="0.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19.5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 x14ac:dyDescent="0.2">
      <c r="B103" s="11">
        <v>1112010</v>
      </c>
      <c r="C103" s="20" t="s">
        <v>76</v>
      </c>
      <c r="D103" s="31"/>
      <c r="E103" s="31"/>
      <c r="F103" s="31"/>
      <c r="G103" s="31">
        <v>5</v>
      </c>
      <c r="H103" s="31"/>
      <c r="I103" s="31"/>
      <c r="J103" s="44"/>
      <c r="K103" s="44"/>
      <c r="L103" s="37">
        <f t="shared" si="5"/>
        <v>5</v>
      </c>
    </row>
    <row r="104" spans="2:12" x14ac:dyDescent="0.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x14ac:dyDescent="0.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x14ac:dyDescent="0.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x14ac:dyDescent="0.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x14ac:dyDescent="0.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x14ac:dyDescent="0.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x14ac:dyDescent="0.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x14ac:dyDescent="0.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5</v>
      </c>
    </row>
    <row r="113" spans="2:12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40" si="6">SUM(D114:K114)</f>
        <v>0</v>
      </c>
    </row>
    <row r="115" spans="2:12" x14ac:dyDescent="0.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 x14ac:dyDescent="0.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 x14ac:dyDescent="0.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 x14ac:dyDescent="0.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 x14ac:dyDescent="0.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 x14ac:dyDescent="0.2">
      <c r="B121" s="11">
        <v>1200001</v>
      </c>
      <c r="C121" s="22" t="s">
        <v>93</v>
      </c>
      <c r="D121" s="31"/>
      <c r="E121" s="31">
        <v>6</v>
      </c>
      <c r="F121" s="31"/>
      <c r="G121" s="31"/>
      <c r="H121" s="31"/>
      <c r="I121" s="31"/>
      <c r="J121" s="44"/>
      <c r="K121" s="44"/>
      <c r="L121" s="37">
        <f t="shared" si="6"/>
        <v>6</v>
      </c>
    </row>
    <row r="122" spans="2:12" x14ac:dyDescent="0.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">
      <c r="B123" s="11">
        <v>1114501</v>
      </c>
      <c r="C123" s="22" t="s">
        <v>95</v>
      </c>
      <c r="D123" s="31"/>
      <c r="E123" s="31">
        <v>7</v>
      </c>
      <c r="F123" s="31">
        <v>3</v>
      </c>
      <c r="G123" s="31">
        <v>67</v>
      </c>
      <c r="H123" s="31"/>
      <c r="I123" s="31"/>
      <c r="J123" s="44"/>
      <c r="K123" s="44"/>
      <c r="L123" s="37">
        <f t="shared" si="6"/>
        <v>77</v>
      </c>
    </row>
    <row r="124" spans="2:12" x14ac:dyDescent="0.2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 x14ac:dyDescent="0.2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 x14ac:dyDescent="0.2">
      <c r="B126" s="11">
        <v>1124021</v>
      </c>
      <c r="C126" s="22" t="s">
        <v>98</v>
      </c>
      <c r="D126" s="31"/>
      <c r="E126" s="31">
        <v>8</v>
      </c>
      <c r="F126" s="31"/>
      <c r="G126" s="31">
        <v>4</v>
      </c>
      <c r="H126" s="31"/>
      <c r="I126" s="31"/>
      <c r="J126" s="44"/>
      <c r="K126" s="44"/>
      <c r="L126" s="37">
        <f t="shared" si="6"/>
        <v>12</v>
      </c>
    </row>
    <row r="127" spans="2:12" x14ac:dyDescent="0.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">
      <c r="B135" s="23"/>
      <c r="C135" s="22" t="s">
        <v>124</v>
      </c>
      <c r="D135" s="31"/>
      <c r="E135" s="31">
        <v>1</v>
      </c>
      <c r="F135" s="31"/>
      <c r="G135" s="31"/>
      <c r="H135" s="31"/>
      <c r="I135" s="31"/>
      <c r="J135" s="44"/>
      <c r="K135" s="44"/>
      <c r="L135" s="37">
        <f t="shared" si="6"/>
        <v>1</v>
      </c>
    </row>
    <row r="136" spans="2:12" x14ac:dyDescent="0.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 x14ac:dyDescent="0.2">
      <c r="B137" s="23">
        <v>20052721</v>
      </c>
      <c r="C137" s="22" t="s">
        <v>143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 x14ac:dyDescent="0.2">
      <c r="B138" s="51"/>
      <c r="C138" s="50" t="s">
        <v>138</v>
      </c>
      <c r="D138" s="31"/>
      <c r="E138" s="31"/>
      <c r="F138" s="31"/>
      <c r="G138" s="31"/>
      <c r="H138" s="31"/>
      <c r="I138" s="31"/>
      <c r="J138" s="44"/>
      <c r="K138" s="44"/>
      <c r="L138" s="37">
        <f t="shared" si="6"/>
        <v>0</v>
      </c>
    </row>
    <row r="139" spans="2:12" x14ac:dyDescent="0.2">
      <c r="B139" s="51"/>
      <c r="C139" s="50" t="s">
        <v>139</v>
      </c>
      <c r="D139" s="49"/>
      <c r="E139" s="49"/>
      <c r="F139" s="49"/>
      <c r="G139" s="49"/>
      <c r="H139" s="49"/>
      <c r="I139" s="49"/>
      <c r="J139" s="49"/>
      <c r="K139" s="49"/>
      <c r="L139" s="37">
        <f t="shared" si="6"/>
        <v>0</v>
      </c>
    </row>
    <row r="140" spans="2:12" x14ac:dyDescent="0.2">
      <c r="B140" s="51"/>
      <c r="C140" s="50" t="s">
        <v>140</v>
      </c>
      <c r="D140" s="52"/>
      <c r="E140" s="52"/>
      <c r="F140" s="52"/>
      <c r="G140" s="53"/>
      <c r="H140" s="9"/>
      <c r="I140" s="9"/>
      <c r="J140" s="9"/>
      <c r="K140" s="9"/>
      <c r="L140" s="37">
        <f t="shared" si="6"/>
        <v>0</v>
      </c>
    </row>
    <row r="141" spans="2:12" x14ac:dyDescent="0.2">
      <c r="B141" s="54"/>
      <c r="C141" s="55"/>
      <c r="D141" s="32"/>
      <c r="E141" s="32"/>
      <c r="F141" s="32"/>
      <c r="G141" s="27"/>
      <c r="L141" s="56"/>
    </row>
    <row r="142" spans="2:12" x14ac:dyDescent="0.2">
      <c r="B142" s="54"/>
      <c r="C142" s="55"/>
      <c r="D142" s="32"/>
      <c r="E142" s="32"/>
      <c r="F142" s="32"/>
      <c r="G142" s="27"/>
      <c r="L142" s="56"/>
    </row>
    <row r="143" spans="2:12" x14ac:dyDescent="0.2">
      <c r="B143" s="61" t="s">
        <v>104</v>
      </c>
      <c r="C143" s="61"/>
      <c r="D143" s="33"/>
      <c r="E143" s="57"/>
      <c r="F143" s="57"/>
      <c r="G143" s="28"/>
      <c r="H143" s="27"/>
      <c r="I143" s="61" t="s">
        <v>104</v>
      </c>
      <c r="J143" s="61"/>
      <c r="K143" s="61"/>
      <c r="L143" s="61"/>
    </row>
    <row r="144" spans="2:12" x14ac:dyDescent="0.2">
      <c r="B144" s="57" t="s">
        <v>105</v>
      </c>
      <c r="C144" s="57"/>
      <c r="D144" s="34"/>
      <c r="E144" s="34"/>
      <c r="F144" s="34"/>
      <c r="G144" s="34"/>
      <c r="H144" s="34"/>
      <c r="I144" s="57" t="s">
        <v>106</v>
      </c>
      <c r="J144" s="57"/>
      <c r="K144" s="57"/>
      <c r="L144" s="57"/>
    </row>
    <row r="145" spans="2:12" x14ac:dyDescent="0.2">
      <c r="B145" s="32"/>
      <c r="C145" s="32"/>
      <c r="D145" s="34"/>
      <c r="E145" s="34"/>
      <c r="F145" s="34"/>
      <c r="G145" s="34"/>
      <c r="H145" s="34"/>
      <c r="I145" s="32"/>
      <c r="J145" s="32"/>
      <c r="K145" s="32"/>
      <c r="L145" s="35"/>
    </row>
    <row r="146" spans="2:12" ht="14.25" x14ac:dyDescent="0.2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4.25" x14ac:dyDescent="0.2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4.2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4.2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14.25" x14ac:dyDescent="0.2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 x14ac:dyDescent="0.2">
      <c r="D151" s="32"/>
      <c r="E151" s="32"/>
      <c r="F151" s="32"/>
      <c r="G151" s="32"/>
      <c r="H151" s="32"/>
    </row>
    <row r="152" spans="2:12" x14ac:dyDescent="0.2">
      <c r="D152" s="32"/>
      <c r="E152" s="32"/>
      <c r="F152" s="32"/>
      <c r="G152" s="32"/>
      <c r="H152" s="32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  <row r="161" spans="4:8" x14ac:dyDescent="0.2">
      <c r="D161" s="32"/>
      <c r="E161" s="32"/>
      <c r="F161" s="32"/>
      <c r="G161" s="32"/>
      <c r="H161" s="32"/>
    </row>
  </sheetData>
  <mergeCells count="14">
    <mergeCell ref="B78:L78"/>
    <mergeCell ref="B89:L89"/>
    <mergeCell ref="B101:L101"/>
    <mergeCell ref="B113:L113"/>
    <mergeCell ref="B144:C144"/>
    <mergeCell ref="I144:L144"/>
    <mergeCell ref="B143:C143"/>
    <mergeCell ref="E143:F143"/>
    <mergeCell ref="I143:L143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3"/>
  <sheetViews>
    <sheetView tabSelected="1" zoomScale="50" zoomScaleNormal="50" workbookViewId="0">
      <selection activeCell="O56" sqref="O56:O65"/>
    </sheetView>
  </sheetViews>
  <sheetFormatPr defaultRowHeight="22.5" x14ac:dyDescent="0.2"/>
  <cols>
    <col min="2" max="2" width="22.125" style="24" customWidth="1"/>
    <col min="3" max="3" width="59.125" style="24" customWidth="1"/>
    <col min="4" max="11" width="14.375" style="16" customWidth="1"/>
    <col min="12" max="12" width="17.625" style="26" customWidth="1"/>
    <col min="13" max="13" width="16.125" style="24" customWidth="1"/>
    <col min="14" max="15" width="15.375" style="24" customWidth="1"/>
    <col min="16" max="16" width="25.375" style="24" customWidth="1"/>
    <col min="17" max="17" width="14.375" style="29" customWidth="1"/>
    <col min="18" max="18" width="9.125" customWidth="1"/>
    <col min="19" max="19" width="7.375" customWidth="1"/>
    <col min="20" max="20" width="22.75" customWidth="1"/>
  </cols>
  <sheetData>
    <row r="1" spans="2:17" x14ac:dyDescent="0.2">
      <c r="B1" s="58" t="s">
        <v>145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7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7" t="s">
        <v>127</v>
      </c>
      <c r="N2" s="67" t="s">
        <v>130</v>
      </c>
      <c r="O2" s="67" t="s">
        <v>141</v>
      </c>
      <c r="P2" s="67" t="s">
        <v>142</v>
      </c>
      <c r="Q2" s="70" t="s">
        <v>1</v>
      </c>
    </row>
    <row r="3" spans="2:17" x14ac:dyDescent="0.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  <c r="M3" s="68"/>
      <c r="N3" s="68"/>
      <c r="O3" s="68"/>
      <c r="P3" s="68"/>
      <c r="Q3" s="71"/>
    </row>
    <row r="4" spans="2:17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3" t="s">
        <v>133</v>
      </c>
      <c r="K4" s="43" t="s">
        <v>136</v>
      </c>
      <c r="L4" s="10" t="s">
        <v>10</v>
      </c>
      <c r="M4" s="69"/>
      <c r="N4" s="69"/>
      <c r="O4" s="69"/>
      <c r="P4" s="69"/>
      <c r="Q4" s="72"/>
    </row>
    <row r="5" spans="2:17" x14ac:dyDescent="0.2">
      <c r="B5" s="11"/>
      <c r="C5" s="12"/>
      <c r="D5" s="13"/>
      <c r="E5" s="9"/>
      <c r="F5" s="9"/>
      <c r="G5" s="9"/>
      <c r="H5" s="9"/>
      <c r="I5" s="9"/>
      <c r="J5" s="43"/>
      <c r="K5" s="43"/>
      <c r="L5" s="14"/>
      <c r="M5" s="11"/>
      <c r="N5" s="11"/>
      <c r="O5" s="11"/>
      <c r="P5" s="11"/>
      <c r="Q5" s="30"/>
    </row>
    <row r="6" spans="2:17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6"/>
    </row>
    <row r="7" spans="2:17" x14ac:dyDescent="0.2">
      <c r="B7" s="11">
        <v>1111002</v>
      </c>
      <c r="C7" s="15" t="s">
        <v>107</v>
      </c>
      <c r="D7" s="31">
        <f>'เย็น '!D7+'เช้า '!D7+บ่าย!D7</f>
        <v>0</v>
      </c>
      <c r="E7" s="31">
        <f>'เย็น '!E7+'เช้า '!E7+บ่าย!E7</f>
        <v>13</v>
      </c>
      <c r="F7" s="31">
        <f>'เย็น '!F7+'เช้า '!F7+บ่าย!F7</f>
        <v>11</v>
      </c>
      <c r="G7" s="31">
        <f>'เย็น '!G7+'เช้า '!G7+บ่าย!G7</f>
        <v>15</v>
      </c>
      <c r="H7" s="31">
        <f>'เย็น '!H7+'เช้า '!H7+บ่าย!H7</f>
        <v>0</v>
      </c>
      <c r="I7" s="31">
        <f>'เย็น '!I7+'เช้า '!I7+บ่าย!I7</f>
        <v>0</v>
      </c>
      <c r="J7" s="31">
        <f>'เย็น '!J7+'เช้า '!J7+บ่าย!J7</f>
        <v>0</v>
      </c>
      <c r="K7" s="31">
        <f>'เย็น '!K7+'เช้า '!K7+บ่าย!K7</f>
        <v>0</v>
      </c>
      <c r="L7" s="37">
        <f>SUM(D7:K7)</f>
        <v>39</v>
      </c>
      <c r="M7" s="11"/>
      <c r="N7" s="11">
        <v>102</v>
      </c>
      <c r="O7" s="11"/>
      <c r="P7" s="11">
        <v>250</v>
      </c>
      <c r="Q7" s="45">
        <f>(M7+N7+O7+P7)-L7</f>
        <v>313</v>
      </c>
    </row>
    <row r="8" spans="2:17" hidden="1" x14ac:dyDescent="0.2">
      <c r="B8" s="11"/>
      <c r="C8" s="15" t="s">
        <v>126</v>
      </c>
      <c r="D8" s="31">
        <f>'เย็น '!D8+'เช้า '!D8+บ่าย!D8</f>
        <v>0</v>
      </c>
      <c r="E8" s="31">
        <f>'เย็น '!E8+'เช้า '!E8+บ่าย!E8</f>
        <v>0</v>
      </c>
      <c r="F8" s="31">
        <f>'เย็น '!F8+'เช้า '!F8+บ่าย!F8</f>
        <v>0</v>
      </c>
      <c r="G8" s="31">
        <f>'เย็น '!G8+'เช้า '!G8+บ่าย!G8</f>
        <v>0</v>
      </c>
      <c r="H8" s="31">
        <f>'เย็น '!H8+'เช้า '!H8+บ่าย!H8</f>
        <v>0</v>
      </c>
      <c r="I8" s="31">
        <f>'เย็น '!I8+'เช้า '!I8+บ่าย!I8</f>
        <v>0</v>
      </c>
      <c r="J8" s="31">
        <f>'เย็น '!J8+'เช้า '!J8+บ่าย!J8</f>
        <v>0</v>
      </c>
      <c r="K8" s="31">
        <f>'เย็น '!K8+'เช้า '!K8+บ่าย!K8</f>
        <v>0</v>
      </c>
      <c r="L8" s="37">
        <f t="shared" ref="L8:L66" si="0">SUM(D8:K8)</f>
        <v>0</v>
      </c>
      <c r="M8" s="11"/>
      <c r="N8" s="11"/>
      <c r="O8" s="11"/>
      <c r="P8" s="11"/>
      <c r="Q8" s="45">
        <f t="shared" ref="Q8:Q66" si="1">(M8+N8+O8+P8)-L8</f>
        <v>0</v>
      </c>
    </row>
    <row r="9" spans="2:17" hidden="1" x14ac:dyDescent="0.2">
      <c r="B9" s="11">
        <v>1111084</v>
      </c>
      <c r="C9" s="15" t="s">
        <v>12</v>
      </c>
      <c r="D9" s="31">
        <f>'เย็น '!D9+'เช้า '!D9+บ่าย!D9</f>
        <v>0</v>
      </c>
      <c r="E9" s="31">
        <f>'เย็น '!E9+'เช้า '!E9+บ่าย!E9</f>
        <v>0</v>
      </c>
      <c r="F9" s="31">
        <f>'เย็น '!F9+'เช้า '!F9+บ่าย!F9</f>
        <v>0</v>
      </c>
      <c r="G9" s="31">
        <f>'เย็น '!G9+'เช้า '!G9+บ่าย!G9</f>
        <v>0</v>
      </c>
      <c r="H9" s="31">
        <f>'เย็น '!H9+'เช้า '!H9+บ่าย!H9</f>
        <v>0</v>
      </c>
      <c r="I9" s="31">
        <f>'เย็น '!I9+'เช้า '!I9+บ่าย!I9</f>
        <v>0</v>
      </c>
      <c r="J9" s="31">
        <f>'เย็น '!J9+'เช้า '!J9+บ่าย!J9</f>
        <v>0</v>
      </c>
      <c r="K9" s="31">
        <f>'เย็น '!K9+'เช้า '!K9+บ่าย!K9</f>
        <v>0</v>
      </c>
      <c r="L9" s="37">
        <f t="shared" si="0"/>
        <v>0</v>
      </c>
      <c r="M9" s="11"/>
      <c r="N9" s="11"/>
      <c r="O9" s="11"/>
      <c r="P9" s="11"/>
      <c r="Q9" s="45">
        <f t="shared" si="1"/>
        <v>0</v>
      </c>
    </row>
    <row r="10" spans="2:17" hidden="1" x14ac:dyDescent="0.2">
      <c r="B10" s="11">
        <v>1111085</v>
      </c>
      <c r="C10" s="15" t="s">
        <v>13</v>
      </c>
      <c r="D10" s="31">
        <f>'เย็น '!D10+'เช้า '!D10+บ่าย!D10</f>
        <v>0</v>
      </c>
      <c r="E10" s="31">
        <f>'เย็น '!E10+'เช้า '!E10+บ่าย!E10</f>
        <v>0</v>
      </c>
      <c r="F10" s="31">
        <f>'เย็น '!F10+'เช้า '!F10+บ่าย!F10</f>
        <v>0</v>
      </c>
      <c r="G10" s="31">
        <f>'เย็น '!G10+'เช้า '!G10+บ่าย!G10</f>
        <v>0</v>
      </c>
      <c r="H10" s="31">
        <f>'เย็น '!H10+'เช้า '!H10+บ่าย!H10</f>
        <v>0</v>
      </c>
      <c r="I10" s="31">
        <f>'เย็น '!I10+'เช้า '!I10+บ่าย!I10</f>
        <v>0</v>
      </c>
      <c r="J10" s="31">
        <f>'เย็น '!J10+'เช้า '!J10+บ่าย!J10</f>
        <v>0</v>
      </c>
      <c r="K10" s="31">
        <f>'เย็น '!K10+'เช้า '!K10+บ่าย!K10</f>
        <v>0</v>
      </c>
      <c r="L10" s="37">
        <f t="shared" si="0"/>
        <v>0</v>
      </c>
      <c r="M10" s="11"/>
      <c r="N10" s="11"/>
      <c r="O10" s="11"/>
      <c r="P10" s="11"/>
      <c r="Q10" s="45">
        <f t="shared" si="1"/>
        <v>0</v>
      </c>
    </row>
    <row r="11" spans="2:17" hidden="1" x14ac:dyDescent="0.2">
      <c r="B11" s="11">
        <v>1111086</v>
      </c>
      <c r="C11" s="15" t="s">
        <v>14</v>
      </c>
      <c r="D11" s="31">
        <f>'เย็น '!D11+'เช้า '!D11+บ่าย!D11</f>
        <v>0</v>
      </c>
      <c r="E11" s="31">
        <f>'เย็น '!E11+'เช้า '!E11+บ่าย!E11</f>
        <v>0</v>
      </c>
      <c r="F11" s="31">
        <f>'เย็น '!F11+'เช้า '!F11+บ่าย!F11</f>
        <v>0</v>
      </c>
      <c r="G11" s="31">
        <f>'เย็น '!G11+'เช้า '!G11+บ่าย!G11</f>
        <v>0</v>
      </c>
      <c r="H11" s="31">
        <f>'เย็น '!H11+'เช้า '!H11+บ่าย!H11</f>
        <v>0</v>
      </c>
      <c r="I11" s="31">
        <f>'เย็น '!I11+'เช้า '!I11+บ่าย!I11</f>
        <v>0</v>
      </c>
      <c r="J11" s="31">
        <f>'เย็น '!J11+'เช้า '!J11+บ่าย!J11</f>
        <v>0</v>
      </c>
      <c r="K11" s="31">
        <f>'เย็น '!K11+'เช้า '!K11+บ่าย!K11</f>
        <v>0</v>
      </c>
      <c r="L11" s="37">
        <f t="shared" si="0"/>
        <v>0</v>
      </c>
      <c r="M11" s="11"/>
      <c r="N11" s="11"/>
      <c r="O11" s="11"/>
      <c r="P11" s="11"/>
      <c r="Q11" s="45">
        <f t="shared" si="1"/>
        <v>0</v>
      </c>
    </row>
    <row r="12" spans="2:17" hidden="1" x14ac:dyDescent="0.2">
      <c r="B12" s="11">
        <v>1111087</v>
      </c>
      <c r="C12" s="15" t="s">
        <v>15</v>
      </c>
      <c r="D12" s="31">
        <f>'เย็น '!D12+'เช้า '!D12+บ่าย!D12</f>
        <v>0</v>
      </c>
      <c r="E12" s="31">
        <f>'เย็น '!E12+'เช้า '!E12+บ่าย!E12</f>
        <v>0</v>
      </c>
      <c r="F12" s="31">
        <f>'เย็น '!F12+'เช้า '!F12+บ่าย!F12</f>
        <v>0</v>
      </c>
      <c r="G12" s="31">
        <f>'เย็น '!G12+'เช้า '!G12+บ่าย!G12</f>
        <v>0</v>
      </c>
      <c r="H12" s="31">
        <f>'เย็น '!H12+'เช้า '!H12+บ่าย!H12</f>
        <v>0</v>
      </c>
      <c r="I12" s="31">
        <f>'เย็น '!I12+'เช้า '!I12+บ่าย!I12</f>
        <v>0</v>
      </c>
      <c r="J12" s="31">
        <f>'เย็น '!J12+'เช้า '!J12+บ่าย!J12</f>
        <v>0</v>
      </c>
      <c r="K12" s="31">
        <f>'เย็น '!K12+'เช้า '!K12+บ่าย!K12</f>
        <v>0</v>
      </c>
      <c r="L12" s="37">
        <f t="shared" si="0"/>
        <v>0</v>
      </c>
      <c r="M12" s="11"/>
      <c r="N12" s="11"/>
      <c r="O12" s="11"/>
      <c r="P12" s="11"/>
      <c r="Q12" s="45">
        <f t="shared" si="1"/>
        <v>0</v>
      </c>
    </row>
    <row r="13" spans="2:17" hidden="1" x14ac:dyDescent="0.2">
      <c r="B13" s="11">
        <v>1111088</v>
      </c>
      <c r="C13" s="15" t="s">
        <v>16</v>
      </c>
      <c r="D13" s="31">
        <f>'เย็น '!D13+'เช้า '!D13+บ่าย!D13</f>
        <v>0</v>
      </c>
      <c r="E13" s="31">
        <f>'เย็น '!E13+'เช้า '!E13+บ่าย!E13</f>
        <v>0</v>
      </c>
      <c r="F13" s="31">
        <f>'เย็น '!F13+'เช้า '!F13+บ่าย!F13</f>
        <v>0</v>
      </c>
      <c r="G13" s="31">
        <f>'เย็น '!G13+'เช้า '!G13+บ่าย!G13</f>
        <v>0</v>
      </c>
      <c r="H13" s="31">
        <f>'เย็น '!H13+'เช้า '!H13+บ่าย!H13</f>
        <v>0</v>
      </c>
      <c r="I13" s="31">
        <f>'เย็น '!I13+'เช้า '!I13+บ่าย!I13</f>
        <v>0</v>
      </c>
      <c r="J13" s="31">
        <f>'เย็น '!J13+'เช้า '!J13+บ่าย!J13</f>
        <v>0</v>
      </c>
      <c r="K13" s="31">
        <f>'เย็น '!K13+'เช้า '!K13+บ่าย!K13</f>
        <v>0</v>
      </c>
      <c r="L13" s="37">
        <f t="shared" si="0"/>
        <v>0</v>
      </c>
      <c r="M13" s="11"/>
      <c r="N13" s="11"/>
      <c r="O13" s="11"/>
      <c r="P13" s="11"/>
      <c r="Q13" s="45">
        <f t="shared" si="1"/>
        <v>0</v>
      </c>
    </row>
    <row r="14" spans="2:17" hidden="1" x14ac:dyDescent="0.2">
      <c r="B14" s="11">
        <v>1111089</v>
      </c>
      <c r="C14" s="15" t="s">
        <v>17</v>
      </c>
      <c r="D14" s="31">
        <f>'เย็น '!D14+'เช้า '!D14+บ่าย!D14</f>
        <v>0</v>
      </c>
      <c r="E14" s="31">
        <f>'เย็น '!E14+'เช้า '!E14+บ่าย!E14</f>
        <v>0</v>
      </c>
      <c r="F14" s="31">
        <f>'เย็น '!F14+'เช้า '!F14+บ่าย!F14</f>
        <v>0</v>
      </c>
      <c r="G14" s="31">
        <f>'เย็น '!G14+'เช้า '!G14+บ่าย!G14</f>
        <v>0</v>
      </c>
      <c r="H14" s="31">
        <f>'เย็น '!H14+'เช้า '!H14+บ่าย!H14</f>
        <v>0</v>
      </c>
      <c r="I14" s="31">
        <f>'เย็น '!I14+'เช้า '!I14+บ่าย!I14</f>
        <v>0</v>
      </c>
      <c r="J14" s="31">
        <f>'เย็น '!J14+'เช้า '!J14+บ่าย!J14</f>
        <v>0</v>
      </c>
      <c r="K14" s="31">
        <f>'เย็น '!K14+'เช้า '!K14+บ่าย!K14</f>
        <v>0</v>
      </c>
      <c r="L14" s="37">
        <f t="shared" si="0"/>
        <v>0</v>
      </c>
      <c r="M14" s="11"/>
      <c r="N14" s="11"/>
      <c r="O14" s="11"/>
      <c r="P14" s="11"/>
      <c r="Q14" s="45">
        <f t="shared" si="1"/>
        <v>0</v>
      </c>
    </row>
    <row r="15" spans="2:17" hidden="1" x14ac:dyDescent="0.2">
      <c r="B15" s="11">
        <v>1111090</v>
      </c>
      <c r="C15" s="15" t="s">
        <v>18</v>
      </c>
      <c r="D15" s="31">
        <f>'เย็น '!D15+'เช้า '!D15+บ่าย!D15</f>
        <v>0</v>
      </c>
      <c r="E15" s="31">
        <f>'เย็น '!E15+'เช้า '!E15+บ่าย!E15</f>
        <v>0</v>
      </c>
      <c r="F15" s="31">
        <f>'เย็น '!F15+'เช้า '!F15+บ่าย!F15</f>
        <v>0</v>
      </c>
      <c r="G15" s="31">
        <f>'เย็น '!G15+'เช้า '!G15+บ่าย!G15</f>
        <v>0</v>
      </c>
      <c r="H15" s="31">
        <f>'เย็น '!H15+'เช้า '!H15+บ่าย!H15</f>
        <v>0</v>
      </c>
      <c r="I15" s="31">
        <f>'เย็น '!I15+'เช้า '!I15+บ่าย!I15</f>
        <v>0</v>
      </c>
      <c r="J15" s="31">
        <f>'เย็น '!J15+'เช้า '!J15+บ่าย!J15</f>
        <v>0</v>
      </c>
      <c r="K15" s="31">
        <f>'เย็น '!K15+'เช้า '!K15+บ่าย!K15</f>
        <v>0</v>
      </c>
      <c r="L15" s="37">
        <f t="shared" si="0"/>
        <v>0</v>
      </c>
      <c r="M15" s="11"/>
      <c r="N15" s="11"/>
      <c r="O15" s="11"/>
      <c r="P15" s="11"/>
      <c r="Q15" s="45">
        <f t="shared" si="1"/>
        <v>0</v>
      </c>
    </row>
    <row r="16" spans="2:17" hidden="1" x14ac:dyDescent="0.2">
      <c r="B16" s="11">
        <v>1111091</v>
      </c>
      <c r="C16" s="15" t="s">
        <v>19</v>
      </c>
      <c r="D16" s="31">
        <f>'เย็น '!D16+'เช้า '!D16+บ่าย!D16</f>
        <v>0</v>
      </c>
      <c r="E16" s="31">
        <f>'เย็น '!E16+'เช้า '!E16+บ่าย!E16</f>
        <v>0</v>
      </c>
      <c r="F16" s="31">
        <f>'เย็น '!F16+'เช้า '!F16+บ่าย!F16</f>
        <v>0</v>
      </c>
      <c r="G16" s="31">
        <f>'เย็น '!G16+'เช้า '!G16+บ่าย!G16</f>
        <v>0</v>
      </c>
      <c r="H16" s="31">
        <f>'เย็น '!H16+'เช้า '!H16+บ่าย!H16</f>
        <v>0</v>
      </c>
      <c r="I16" s="31">
        <f>'เย็น '!I16+'เช้า '!I16+บ่าย!I16</f>
        <v>0</v>
      </c>
      <c r="J16" s="31">
        <f>'เย็น '!J16+'เช้า '!J16+บ่าย!J16</f>
        <v>0</v>
      </c>
      <c r="K16" s="31">
        <f>'เย็น '!K16+'เช้า '!K16+บ่าย!K16</f>
        <v>0</v>
      </c>
      <c r="L16" s="37">
        <f t="shared" si="0"/>
        <v>0</v>
      </c>
      <c r="M16" s="11"/>
      <c r="N16" s="11"/>
      <c r="O16" s="11"/>
      <c r="P16" s="11"/>
      <c r="Q16" s="45">
        <f t="shared" si="1"/>
        <v>0</v>
      </c>
    </row>
    <row r="17" spans="2:17" hidden="1" x14ac:dyDescent="0.2">
      <c r="B17" s="11">
        <v>1111092</v>
      </c>
      <c r="C17" s="15" t="s">
        <v>20</v>
      </c>
      <c r="D17" s="31">
        <f>'เย็น '!D17+'เช้า '!D17+บ่าย!D17</f>
        <v>0</v>
      </c>
      <c r="E17" s="31">
        <f>'เย็น '!E17+'เช้า '!E17+บ่าย!E17</f>
        <v>0</v>
      </c>
      <c r="F17" s="31">
        <f>'เย็น '!F17+'เช้า '!F17+บ่าย!F17</f>
        <v>0</v>
      </c>
      <c r="G17" s="31">
        <f>'เย็น '!G17+'เช้า '!G17+บ่าย!G17</f>
        <v>0</v>
      </c>
      <c r="H17" s="31">
        <f>'เย็น '!H17+'เช้า '!H17+บ่าย!H17</f>
        <v>0</v>
      </c>
      <c r="I17" s="31">
        <f>'เย็น '!I17+'เช้า '!I17+บ่าย!I17</f>
        <v>0</v>
      </c>
      <c r="J17" s="31">
        <f>'เย็น '!J17+'เช้า '!J17+บ่าย!J17</f>
        <v>0</v>
      </c>
      <c r="K17" s="31">
        <f>'เย็น '!K17+'เช้า '!K17+บ่าย!K17</f>
        <v>0</v>
      </c>
      <c r="L17" s="37">
        <f t="shared" si="0"/>
        <v>0</v>
      </c>
      <c r="M17" s="11"/>
      <c r="N17" s="11"/>
      <c r="O17" s="11"/>
      <c r="P17" s="11"/>
      <c r="Q17" s="45">
        <f t="shared" si="1"/>
        <v>0</v>
      </c>
    </row>
    <row r="18" spans="2:17" hidden="1" x14ac:dyDescent="0.2">
      <c r="B18" s="11">
        <v>1111093</v>
      </c>
      <c r="C18" s="15" t="s">
        <v>21</v>
      </c>
      <c r="D18" s="31">
        <f>'เย็น '!D18+'เช้า '!D18+บ่าย!D18</f>
        <v>0</v>
      </c>
      <c r="E18" s="31">
        <f>'เย็น '!E18+'เช้า '!E18+บ่าย!E18</f>
        <v>0</v>
      </c>
      <c r="F18" s="31">
        <f>'เย็น '!F18+'เช้า '!F18+บ่าย!F18</f>
        <v>0</v>
      </c>
      <c r="G18" s="31">
        <f>'เย็น '!G18+'เช้า '!G18+บ่าย!G18</f>
        <v>0</v>
      </c>
      <c r="H18" s="31">
        <f>'เย็น '!H18+'เช้า '!H18+บ่าย!H18</f>
        <v>0</v>
      </c>
      <c r="I18" s="31">
        <f>'เย็น '!I18+'เช้า '!I18+บ่าย!I18</f>
        <v>0</v>
      </c>
      <c r="J18" s="31">
        <f>'เย็น '!J18+'เช้า '!J18+บ่าย!J18</f>
        <v>0</v>
      </c>
      <c r="K18" s="31">
        <f>'เย็น '!K18+'เช้า '!K18+บ่าย!K18</f>
        <v>0</v>
      </c>
      <c r="L18" s="37">
        <f t="shared" si="0"/>
        <v>0</v>
      </c>
      <c r="M18" s="11"/>
      <c r="N18" s="11"/>
      <c r="O18" s="11"/>
      <c r="P18" s="11"/>
      <c r="Q18" s="45">
        <f t="shared" si="1"/>
        <v>0</v>
      </c>
    </row>
    <row r="19" spans="2:17" hidden="1" x14ac:dyDescent="0.2">
      <c r="B19" s="11">
        <v>1111094</v>
      </c>
      <c r="C19" s="15" t="s">
        <v>22</v>
      </c>
      <c r="D19" s="31">
        <f>'เย็น '!D19+'เช้า '!D19+บ่าย!D19</f>
        <v>0</v>
      </c>
      <c r="E19" s="31">
        <f>'เย็น '!E19+'เช้า '!E19+บ่าย!E19</f>
        <v>0</v>
      </c>
      <c r="F19" s="31">
        <f>'เย็น '!F19+'เช้า '!F19+บ่าย!F19</f>
        <v>0</v>
      </c>
      <c r="G19" s="31">
        <f>'เย็น '!G19+'เช้า '!G19+บ่าย!G19</f>
        <v>0</v>
      </c>
      <c r="H19" s="31">
        <f>'เย็น '!H19+'เช้า '!H19+บ่าย!H19</f>
        <v>0</v>
      </c>
      <c r="I19" s="31">
        <f>'เย็น '!I19+'เช้า '!I19+บ่าย!I19</f>
        <v>0</v>
      </c>
      <c r="J19" s="31">
        <f>'เย็น '!J19+'เช้า '!J19+บ่าย!J19</f>
        <v>0</v>
      </c>
      <c r="K19" s="31">
        <f>'เย็น '!K19+'เช้า '!K19+บ่าย!K19</f>
        <v>0</v>
      </c>
      <c r="L19" s="37">
        <f t="shared" si="0"/>
        <v>0</v>
      </c>
      <c r="M19" s="11"/>
      <c r="N19" s="11"/>
      <c r="O19" s="11"/>
      <c r="P19" s="11"/>
      <c r="Q19" s="45">
        <f t="shared" si="1"/>
        <v>0</v>
      </c>
    </row>
    <row r="20" spans="2:17" hidden="1" x14ac:dyDescent="0.2">
      <c r="B20" s="11">
        <v>1111095</v>
      </c>
      <c r="C20" s="15" t="s">
        <v>23</v>
      </c>
      <c r="D20" s="31">
        <f>'เย็น '!D20+'เช้า '!D20+บ่าย!D20</f>
        <v>0</v>
      </c>
      <c r="E20" s="31">
        <f>'เย็น '!E20+'เช้า '!E20+บ่าย!E20</f>
        <v>0</v>
      </c>
      <c r="F20" s="31">
        <f>'เย็น '!F20+'เช้า '!F20+บ่าย!F20</f>
        <v>0</v>
      </c>
      <c r="G20" s="31">
        <f>'เย็น '!G20+'เช้า '!G20+บ่าย!G20</f>
        <v>0</v>
      </c>
      <c r="H20" s="31">
        <f>'เย็น '!H20+'เช้า '!H20+บ่าย!H20</f>
        <v>0</v>
      </c>
      <c r="I20" s="31">
        <f>'เย็น '!I20+'เช้า '!I20+บ่าย!I20</f>
        <v>0</v>
      </c>
      <c r="J20" s="31">
        <f>'เย็น '!J20+'เช้า '!J20+บ่าย!J20</f>
        <v>0</v>
      </c>
      <c r="K20" s="31">
        <f>'เย็น '!K20+'เช้า '!K20+บ่าย!K20</f>
        <v>0</v>
      </c>
      <c r="L20" s="37">
        <f t="shared" si="0"/>
        <v>0</v>
      </c>
      <c r="M20" s="11"/>
      <c r="N20" s="11"/>
      <c r="O20" s="11"/>
      <c r="P20" s="11"/>
      <c r="Q20" s="45">
        <f t="shared" si="1"/>
        <v>0</v>
      </c>
    </row>
    <row r="21" spans="2:17" hidden="1" x14ac:dyDescent="0.2">
      <c r="B21" s="11">
        <v>1111096</v>
      </c>
      <c r="C21" s="15" t="s">
        <v>24</v>
      </c>
      <c r="D21" s="31">
        <f>'เย็น '!D21+'เช้า '!D21+บ่าย!D21</f>
        <v>0</v>
      </c>
      <c r="E21" s="31">
        <f>'เย็น '!E21+'เช้า '!E21+บ่าย!E21</f>
        <v>0</v>
      </c>
      <c r="F21" s="31">
        <f>'เย็น '!F21+'เช้า '!F21+บ่าย!F21</f>
        <v>0</v>
      </c>
      <c r="G21" s="31">
        <f>'เย็น '!G21+'เช้า '!G21+บ่าย!G21</f>
        <v>0</v>
      </c>
      <c r="H21" s="31">
        <f>'เย็น '!H21+'เช้า '!H21+บ่าย!H21</f>
        <v>0</v>
      </c>
      <c r="I21" s="31">
        <f>'เย็น '!I21+'เช้า '!I21+บ่าย!I21</f>
        <v>0</v>
      </c>
      <c r="J21" s="31">
        <f>'เย็น '!J21+'เช้า '!J21+บ่าย!J21</f>
        <v>0</v>
      </c>
      <c r="K21" s="31">
        <f>'เย็น '!K21+'เช้า '!K21+บ่าย!K21</f>
        <v>0</v>
      </c>
      <c r="L21" s="37">
        <f t="shared" si="0"/>
        <v>0</v>
      </c>
      <c r="M21" s="11"/>
      <c r="N21" s="11"/>
      <c r="O21" s="11"/>
      <c r="P21" s="11"/>
      <c r="Q21" s="45">
        <f t="shared" si="1"/>
        <v>0</v>
      </c>
    </row>
    <row r="22" spans="2:17" hidden="1" x14ac:dyDescent="0.2">
      <c r="B22" s="11">
        <v>1111097</v>
      </c>
      <c r="C22" s="15" t="s">
        <v>25</v>
      </c>
      <c r="D22" s="31">
        <f>'เย็น '!D22+'เช้า '!D22+บ่าย!D22</f>
        <v>0</v>
      </c>
      <c r="E22" s="31">
        <f>'เย็น '!E22+'เช้า '!E22+บ่าย!E22</f>
        <v>0</v>
      </c>
      <c r="F22" s="31">
        <f>'เย็น '!F22+'เช้า '!F22+บ่าย!F22</f>
        <v>0</v>
      </c>
      <c r="G22" s="31">
        <f>'เย็น '!G22+'เช้า '!G22+บ่าย!G22</f>
        <v>0</v>
      </c>
      <c r="H22" s="31">
        <f>'เย็น '!H22+'เช้า '!H22+บ่าย!H22</f>
        <v>0</v>
      </c>
      <c r="I22" s="31">
        <f>'เย็น '!I22+'เช้า '!I22+บ่าย!I22</f>
        <v>0</v>
      </c>
      <c r="J22" s="31">
        <f>'เย็น '!J22+'เช้า '!J22+บ่าย!J22</f>
        <v>0</v>
      </c>
      <c r="K22" s="31">
        <f>'เย็น '!K22+'เช้า '!K22+บ่าย!K22</f>
        <v>0</v>
      </c>
      <c r="L22" s="37">
        <f t="shared" si="0"/>
        <v>0</v>
      </c>
      <c r="M22" s="11"/>
      <c r="N22" s="11"/>
      <c r="O22" s="11"/>
      <c r="P22" s="11"/>
      <c r="Q22" s="45">
        <f t="shared" si="1"/>
        <v>0</v>
      </c>
    </row>
    <row r="23" spans="2:17" hidden="1" x14ac:dyDescent="0.2">
      <c r="B23" s="11">
        <v>1111098</v>
      </c>
      <c r="C23" s="15" t="s">
        <v>26</v>
      </c>
      <c r="D23" s="31">
        <f>'เย็น '!D23+'เช้า '!D23+บ่าย!D23</f>
        <v>0</v>
      </c>
      <c r="E23" s="31">
        <f>'เย็น '!E23+'เช้า '!E23+บ่าย!E23</f>
        <v>0</v>
      </c>
      <c r="F23" s="31">
        <f>'เย็น '!F23+'เช้า '!F23+บ่าย!F23</f>
        <v>0</v>
      </c>
      <c r="G23" s="31">
        <f>'เย็น '!G23+'เช้า '!G23+บ่าย!G23</f>
        <v>0</v>
      </c>
      <c r="H23" s="31">
        <f>'เย็น '!H23+'เช้า '!H23+บ่าย!H23</f>
        <v>0</v>
      </c>
      <c r="I23" s="31">
        <f>'เย็น '!I23+'เช้า '!I23+บ่าย!I23</f>
        <v>0</v>
      </c>
      <c r="J23" s="31">
        <f>'เย็น '!J23+'เช้า '!J23+บ่าย!J23</f>
        <v>0</v>
      </c>
      <c r="K23" s="31">
        <f>'เย็น '!K23+'เช้า '!K23+บ่าย!K23</f>
        <v>0</v>
      </c>
      <c r="L23" s="37">
        <f t="shared" si="0"/>
        <v>0</v>
      </c>
      <c r="M23" s="11"/>
      <c r="N23" s="11"/>
      <c r="O23" s="11"/>
      <c r="P23" s="11"/>
      <c r="Q23" s="45">
        <f t="shared" si="1"/>
        <v>0</v>
      </c>
    </row>
    <row r="24" spans="2:17" hidden="1" x14ac:dyDescent="0.2">
      <c r="B24" s="11">
        <v>1111043</v>
      </c>
      <c r="C24" s="15" t="s">
        <v>27</v>
      </c>
      <c r="D24" s="31">
        <f>'เย็น '!D24+'เช้า '!D24+บ่าย!D24</f>
        <v>0</v>
      </c>
      <c r="E24" s="31">
        <f>'เย็น '!E24+'เช้า '!E24+บ่าย!E24</f>
        <v>0</v>
      </c>
      <c r="F24" s="31">
        <f>'เย็น '!F24+'เช้า '!F24+บ่าย!F24</f>
        <v>0</v>
      </c>
      <c r="G24" s="31">
        <f>'เย็น '!G24+'เช้า '!G24+บ่าย!G24</f>
        <v>0</v>
      </c>
      <c r="H24" s="31">
        <f>'เย็น '!H24+'เช้า '!H24+บ่าย!H24</f>
        <v>0</v>
      </c>
      <c r="I24" s="31">
        <f>'เย็น '!I24+'เช้า '!I24+บ่าย!I24</f>
        <v>0</v>
      </c>
      <c r="J24" s="31">
        <f>'เย็น '!J24+'เช้า '!J24+บ่าย!J24</f>
        <v>0</v>
      </c>
      <c r="K24" s="31">
        <f>'เย็น '!K24+'เช้า '!K24+บ่าย!K24</f>
        <v>0</v>
      </c>
      <c r="L24" s="37">
        <f t="shared" si="0"/>
        <v>0</v>
      </c>
      <c r="M24" s="11"/>
      <c r="N24" s="11"/>
      <c r="O24" s="11"/>
      <c r="P24" s="11"/>
      <c r="Q24" s="45">
        <f t="shared" si="1"/>
        <v>0</v>
      </c>
    </row>
    <row r="25" spans="2:17" x14ac:dyDescent="0.2">
      <c r="B25" s="11">
        <v>1111056</v>
      </c>
      <c r="C25" s="15" t="s">
        <v>28</v>
      </c>
      <c r="D25" s="31">
        <f>'เย็น '!D25+'เช้า '!D25+บ่าย!D25</f>
        <v>0</v>
      </c>
      <c r="E25" s="31">
        <f>'เย็น '!E25+'เช้า '!E25+บ่าย!E25</f>
        <v>12</v>
      </c>
      <c r="F25" s="31">
        <f>'เย็น '!F25+'เช้า '!F25+บ่าย!F25</f>
        <v>3</v>
      </c>
      <c r="G25" s="31">
        <f>'เย็น '!G25+'เช้า '!G25+บ่าย!G25</f>
        <v>4</v>
      </c>
      <c r="H25" s="31">
        <f>'เย็น '!H25+'เช้า '!H25+บ่าย!H25</f>
        <v>0</v>
      </c>
      <c r="I25" s="31">
        <f>'เย็น '!I25+'เช้า '!I25+บ่าย!I25</f>
        <v>0</v>
      </c>
      <c r="J25" s="31">
        <f>'เย็น '!J25+'เช้า '!J25+บ่าย!J25</f>
        <v>0</v>
      </c>
      <c r="K25" s="31">
        <f>'เย็น '!K25+'เช้า '!K25+บ่าย!K25</f>
        <v>0</v>
      </c>
      <c r="L25" s="37">
        <f t="shared" si="0"/>
        <v>19</v>
      </c>
      <c r="M25" s="11"/>
      <c r="N25" s="11">
        <v>2</v>
      </c>
      <c r="O25" s="11">
        <v>15</v>
      </c>
      <c r="P25" s="11">
        <v>20</v>
      </c>
      <c r="Q25" s="45">
        <f t="shared" si="1"/>
        <v>18</v>
      </c>
    </row>
    <row r="26" spans="2:17" x14ac:dyDescent="0.2">
      <c r="B26" s="11">
        <v>1004055</v>
      </c>
      <c r="C26" s="15" t="s">
        <v>108</v>
      </c>
      <c r="D26" s="31">
        <f>'เย็น '!D26+'เช้า '!D26+บ่าย!D26</f>
        <v>0</v>
      </c>
      <c r="E26" s="31">
        <f>'เย็น '!E26+'เช้า '!E26+บ่าย!E26</f>
        <v>3</v>
      </c>
      <c r="F26" s="31">
        <f>'เย็น '!F26+'เช้า '!F26+บ่าย!F26</f>
        <v>0</v>
      </c>
      <c r="G26" s="31">
        <f>'เย็น '!G26+'เช้า '!G26+บ่าย!G26</f>
        <v>0</v>
      </c>
      <c r="H26" s="31">
        <f>'เย็น '!H26+'เช้า '!H26+บ่าย!H26</f>
        <v>0</v>
      </c>
      <c r="I26" s="31">
        <f>'เย็น '!I26+'เช้า '!I26+บ่าย!I26</f>
        <v>0</v>
      </c>
      <c r="J26" s="31">
        <f>'เย็น '!J26+'เช้า '!J26+บ่าย!J26</f>
        <v>0</v>
      </c>
      <c r="K26" s="31">
        <f>'เย็น '!K26+'เช้า '!K26+บ่าย!K26</f>
        <v>0</v>
      </c>
      <c r="L26" s="37">
        <f t="shared" si="0"/>
        <v>3</v>
      </c>
      <c r="M26" s="11"/>
      <c r="N26" s="11">
        <v>19</v>
      </c>
      <c r="O26" s="11"/>
      <c r="P26" s="11">
        <v>30</v>
      </c>
      <c r="Q26" s="45">
        <f t="shared" si="1"/>
        <v>46</v>
      </c>
    </row>
    <row r="27" spans="2:17" hidden="1" x14ac:dyDescent="0.2">
      <c r="B27" s="11">
        <v>1004055</v>
      </c>
      <c r="C27" s="15" t="s">
        <v>109</v>
      </c>
      <c r="D27" s="31">
        <f>'เย็น '!D27+'เช้า '!D27+บ่าย!D27</f>
        <v>0</v>
      </c>
      <c r="E27" s="31">
        <f>'เย็น '!E27+'เช้า '!E27+บ่าย!E27</f>
        <v>0</v>
      </c>
      <c r="F27" s="31">
        <f>'เย็น '!F27+'เช้า '!F27+บ่าย!F27</f>
        <v>0</v>
      </c>
      <c r="G27" s="31">
        <f>'เย็น '!G27+'เช้า '!G27+บ่าย!G27</f>
        <v>0</v>
      </c>
      <c r="H27" s="31">
        <f>'เย็น '!H27+'เช้า '!H27+บ่าย!H27</f>
        <v>0</v>
      </c>
      <c r="I27" s="31">
        <f>'เย็น '!I27+'เช้า '!I27+บ่าย!I27</f>
        <v>0</v>
      </c>
      <c r="J27" s="31">
        <f>'เย็น '!J27+'เช้า '!J27+บ่าย!J27</f>
        <v>0</v>
      </c>
      <c r="K27" s="31">
        <f>'เย็น '!K27+'เช้า '!K27+บ่าย!K27</f>
        <v>0</v>
      </c>
      <c r="L27" s="37">
        <f t="shared" si="0"/>
        <v>0</v>
      </c>
      <c r="M27" s="11"/>
      <c r="N27" s="11"/>
      <c r="O27" s="11"/>
      <c r="P27" s="11"/>
      <c r="Q27" s="45">
        <f t="shared" si="1"/>
        <v>0</v>
      </c>
    </row>
    <row r="28" spans="2:17" hidden="1" x14ac:dyDescent="0.2">
      <c r="B28" s="11">
        <v>1004055</v>
      </c>
      <c r="C28" s="15" t="s">
        <v>110</v>
      </c>
      <c r="D28" s="31">
        <f>'เย็น '!D28+'เช้า '!D28+บ่าย!D28</f>
        <v>0</v>
      </c>
      <c r="E28" s="31">
        <f>'เย็น '!E28+'เช้า '!E28+บ่าย!E28</f>
        <v>0</v>
      </c>
      <c r="F28" s="31">
        <f>'เย็น '!F28+'เช้า '!F28+บ่าย!F28</f>
        <v>0</v>
      </c>
      <c r="G28" s="31">
        <f>'เย็น '!G28+'เช้า '!G28+บ่าย!G28</f>
        <v>0</v>
      </c>
      <c r="H28" s="31">
        <f>'เย็น '!H28+'เช้า '!H28+บ่าย!H28</f>
        <v>0</v>
      </c>
      <c r="I28" s="31">
        <f>'เย็น '!I28+'เช้า '!I28+บ่าย!I28</f>
        <v>0</v>
      </c>
      <c r="J28" s="31">
        <f>'เย็น '!J28+'เช้า '!J28+บ่าย!J28</f>
        <v>0</v>
      </c>
      <c r="K28" s="31">
        <f>'เย็น '!K28+'เช้า '!K28+บ่าย!K28</f>
        <v>0</v>
      </c>
      <c r="L28" s="37">
        <f t="shared" si="0"/>
        <v>0</v>
      </c>
      <c r="M28" s="11"/>
      <c r="N28" s="11"/>
      <c r="O28" s="11"/>
      <c r="P28" s="11"/>
      <c r="Q28" s="45">
        <f t="shared" si="1"/>
        <v>0</v>
      </c>
    </row>
    <row r="29" spans="2:17" hidden="1" x14ac:dyDescent="0.2">
      <c r="B29" s="11">
        <v>1004055</v>
      </c>
      <c r="C29" s="15" t="s">
        <v>111</v>
      </c>
      <c r="D29" s="31">
        <f>'เย็น '!D29+'เช้า '!D29+บ่าย!D29</f>
        <v>0</v>
      </c>
      <c r="E29" s="31">
        <f>'เย็น '!E29+'เช้า '!E29+บ่าย!E29</f>
        <v>0</v>
      </c>
      <c r="F29" s="31">
        <f>'เย็น '!F29+'เช้า '!F29+บ่าย!F29</f>
        <v>0</v>
      </c>
      <c r="G29" s="31">
        <f>'เย็น '!G29+'เช้า '!G29+บ่าย!G29</f>
        <v>0</v>
      </c>
      <c r="H29" s="31">
        <f>'เย็น '!H29+'เช้า '!H29+บ่าย!H29</f>
        <v>0</v>
      </c>
      <c r="I29" s="31">
        <f>'เย็น '!I29+'เช้า '!I29+บ่าย!I29</f>
        <v>0</v>
      </c>
      <c r="J29" s="31">
        <f>'เย็น '!J29+'เช้า '!J29+บ่าย!J29</f>
        <v>0</v>
      </c>
      <c r="K29" s="31">
        <f>'เย็น '!K29+'เช้า '!K29+บ่าย!K29</f>
        <v>0</v>
      </c>
      <c r="L29" s="37">
        <f t="shared" si="0"/>
        <v>0</v>
      </c>
      <c r="M29" s="11"/>
      <c r="N29" s="11"/>
      <c r="O29" s="11"/>
      <c r="P29" s="11"/>
      <c r="Q29" s="45">
        <f t="shared" si="1"/>
        <v>0</v>
      </c>
    </row>
    <row r="30" spans="2:17" hidden="1" x14ac:dyDescent="0.2">
      <c r="B30" s="11">
        <v>1004055</v>
      </c>
      <c r="C30" s="15" t="s">
        <v>112</v>
      </c>
      <c r="D30" s="31">
        <f>'เย็น '!D30+'เช้า '!D30+บ่าย!D30</f>
        <v>0</v>
      </c>
      <c r="E30" s="31">
        <f>'เย็น '!E30+'เช้า '!E30+บ่าย!E30</f>
        <v>0</v>
      </c>
      <c r="F30" s="31">
        <f>'เย็น '!F30+'เช้า '!F30+บ่าย!F30</f>
        <v>0</v>
      </c>
      <c r="G30" s="31">
        <f>'เย็น '!G30+'เช้า '!G30+บ่าย!G30</f>
        <v>0</v>
      </c>
      <c r="H30" s="31">
        <f>'เย็น '!H30+'เช้า '!H30+บ่าย!H30</f>
        <v>0</v>
      </c>
      <c r="I30" s="31">
        <f>'เย็น '!I30+'เช้า '!I30+บ่าย!I30</f>
        <v>0</v>
      </c>
      <c r="J30" s="31">
        <f>'เย็น '!J30+'เช้า '!J30+บ่าย!J30</f>
        <v>0</v>
      </c>
      <c r="K30" s="31">
        <f>'เย็น '!K30+'เช้า '!K30+บ่าย!K30</f>
        <v>0</v>
      </c>
      <c r="L30" s="37">
        <f t="shared" si="0"/>
        <v>0</v>
      </c>
      <c r="M30" s="11"/>
      <c r="N30" s="11"/>
      <c r="O30" s="11"/>
      <c r="P30" s="11"/>
      <c r="Q30" s="45">
        <f t="shared" si="1"/>
        <v>0</v>
      </c>
    </row>
    <row r="31" spans="2:17" hidden="1" x14ac:dyDescent="0.2">
      <c r="B31" s="11">
        <v>1004055</v>
      </c>
      <c r="C31" s="15" t="s">
        <v>113</v>
      </c>
      <c r="D31" s="31">
        <f>'เย็น '!D31+'เช้า '!D31+บ่าย!D31</f>
        <v>0</v>
      </c>
      <c r="E31" s="31">
        <f>'เย็น '!E31+'เช้า '!E31+บ่าย!E31</f>
        <v>0</v>
      </c>
      <c r="F31" s="31">
        <f>'เย็น '!F31+'เช้า '!F31+บ่าย!F31</f>
        <v>0</v>
      </c>
      <c r="G31" s="31">
        <f>'เย็น '!G31+'เช้า '!G31+บ่าย!G31</f>
        <v>0</v>
      </c>
      <c r="H31" s="31">
        <f>'เย็น '!H31+'เช้า '!H31+บ่าย!H31</f>
        <v>0</v>
      </c>
      <c r="I31" s="31">
        <f>'เย็น '!I31+'เช้า '!I31+บ่าย!I31</f>
        <v>0</v>
      </c>
      <c r="J31" s="31">
        <f>'เย็น '!J31+'เช้า '!J31+บ่าย!J31</f>
        <v>0</v>
      </c>
      <c r="K31" s="31">
        <f>'เย็น '!K31+'เช้า '!K31+บ่าย!K31</f>
        <v>0</v>
      </c>
      <c r="L31" s="37">
        <f t="shared" si="0"/>
        <v>0</v>
      </c>
      <c r="M31" s="11"/>
      <c r="N31" s="11"/>
      <c r="O31" s="11"/>
      <c r="P31" s="11"/>
      <c r="Q31" s="45">
        <f t="shared" si="1"/>
        <v>0</v>
      </c>
    </row>
    <row r="32" spans="2:17" hidden="1" x14ac:dyDescent="0.2">
      <c r="B32" s="11">
        <v>1004055</v>
      </c>
      <c r="C32" s="15" t="s">
        <v>114</v>
      </c>
      <c r="D32" s="31">
        <f>'เย็น '!D32+'เช้า '!D32+บ่าย!D32</f>
        <v>0</v>
      </c>
      <c r="E32" s="31">
        <f>'เย็น '!E32+'เช้า '!E32+บ่าย!E32</f>
        <v>0</v>
      </c>
      <c r="F32" s="31">
        <f>'เย็น '!F32+'เช้า '!F32+บ่าย!F32</f>
        <v>0</v>
      </c>
      <c r="G32" s="31">
        <f>'เย็น '!G32+'เช้า '!G32+บ่าย!G32</f>
        <v>0</v>
      </c>
      <c r="H32" s="31">
        <f>'เย็น '!H32+'เช้า '!H32+บ่าย!H32</f>
        <v>0</v>
      </c>
      <c r="I32" s="31">
        <f>'เย็น '!I32+'เช้า '!I32+บ่าย!I32</f>
        <v>0</v>
      </c>
      <c r="J32" s="31">
        <f>'เย็น '!J32+'เช้า '!J32+บ่าย!J32</f>
        <v>0</v>
      </c>
      <c r="K32" s="31">
        <f>'เย็น '!K32+'เช้า '!K32+บ่าย!K32</f>
        <v>0</v>
      </c>
      <c r="L32" s="37">
        <f t="shared" si="0"/>
        <v>0</v>
      </c>
      <c r="M32" s="11"/>
      <c r="N32" s="11"/>
      <c r="O32" s="11"/>
      <c r="P32" s="11"/>
      <c r="Q32" s="45">
        <f t="shared" si="1"/>
        <v>0</v>
      </c>
    </row>
    <row r="33" spans="2:17" hidden="1" x14ac:dyDescent="0.2">
      <c r="B33" s="11">
        <v>1004055</v>
      </c>
      <c r="C33" s="15" t="s">
        <v>115</v>
      </c>
      <c r="D33" s="31">
        <f>'เย็น '!D33+'เช้า '!D33+บ่าย!D33</f>
        <v>0</v>
      </c>
      <c r="E33" s="31">
        <f>'เย็น '!E33+'เช้า '!E33+บ่าย!E33</f>
        <v>0</v>
      </c>
      <c r="F33" s="31">
        <f>'เย็น '!F33+'เช้า '!F33+บ่าย!F33</f>
        <v>0</v>
      </c>
      <c r="G33" s="31">
        <f>'เย็น '!G33+'เช้า '!G33+บ่าย!G33</f>
        <v>0</v>
      </c>
      <c r="H33" s="31">
        <f>'เย็น '!H33+'เช้า '!H33+บ่าย!H33</f>
        <v>0</v>
      </c>
      <c r="I33" s="31">
        <f>'เย็น '!I33+'เช้า '!I33+บ่าย!I33</f>
        <v>0</v>
      </c>
      <c r="J33" s="31">
        <f>'เย็น '!J33+'เช้า '!J33+บ่าย!J33</f>
        <v>0</v>
      </c>
      <c r="K33" s="31">
        <f>'เย็น '!K33+'เช้า '!K33+บ่าย!K33</f>
        <v>0</v>
      </c>
      <c r="L33" s="37">
        <f t="shared" si="0"/>
        <v>0</v>
      </c>
      <c r="M33" s="11"/>
      <c r="N33" s="11"/>
      <c r="O33" s="11"/>
      <c r="P33" s="11"/>
      <c r="Q33" s="45">
        <f t="shared" si="1"/>
        <v>0</v>
      </c>
    </row>
    <row r="34" spans="2:17" hidden="1" x14ac:dyDescent="0.2">
      <c r="B34" s="11">
        <v>1004055</v>
      </c>
      <c r="C34" s="15" t="s">
        <v>29</v>
      </c>
      <c r="D34" s="31">
        <f>'เย็น '!D34+'เช้า '!D34+บ่าย!D34</f>
        <v>0</v>
      </c>
      <c r="E34" s="31">
        <f>'เย็น '!E34+'เช้า '!E34+บ่าย!E34</f>
        <v>0</v>
      </c>
      <c r="F34" s="31">
        <f>'เย็น '!F34+'เช้า '!F34+บ่าย!F34</f>
        <v>0</v>
      </c>
      <c r="G34" s="31">
        <f>'เย็น '!G34+'เช้า '!G34+บ่าย!G34</f>
        <v>0</v>
      </c>
      <c r="H34" s="31">
        <f>'เย็น '!H34+'เช้า '!H34+บ่าย!H34</f>
        <v>0</v>
      </c>
      <c r="I34" s="31">
        <f>'เย็น '!I34+'เช้า '!I34+บ่าย!I34</f>
        <v>0</v>
      </c>
      <c r="J34" s="31">
        <f>'เย็น '!J34+'เช้า '!J34+บ่าย!J34</f>
        <v>0</v>
      </c>
      <c r="K34" s="31">
        <f>'เย็น '!K34+'เช้า '!K34+บ่าย!K34</f>
        <v>0</v>
      </c>
      <c r="L34" s="37">
        <f t="shared" si="0"/>
        <v>0</v>
      </c>
      <c r="M34" s="11"/>
      <c r="N34" s="11"/>
      <c r="O34" s="11"/>
      <c r="P34" s="11"/>
      <c r="Q34" s="45">
        <f t="shared" si="1"/>
        <v>0</v>
      </c>
    </row>
    <row r="35" spans="2:17" hidden="1" x14ac:dyDescent="0.2">
      <c r="B35" s="11">
        <v>1004055</v>
      </c>
      <c r="C35" s="15" t="s">
        <v>116</v>
      </c>
      <c r="D35" s="31">
        <f>'เย็น '!D35+'เช้า '!D35+บ่าย!D35</f>
        <v>0</v>
      </c>
      <c r="E35" s="31">
        <f>'เย็น '!E35+'เช้า '!E35+บ่าย!E35</f>
        <v>0</v>
      </c>
      <c r="F35" s="31">
        <f>'เย็น '!F35+'เช้า '!F35+บ่าย!F35</f>
        <v>0</v>
      </c>
      <c r="G35" s="31">
        <f>'เย็น '!G35+'เช้า '!G35+บ่าย!G35</f>
        <v>0</v>
      </c>
      <c r="H35" s="31">
        <f>'เย็น '!H35+'เช้า '!H35+บ่าย!H35</f>
        <v>0</v>
      </c>
      <c r="I35" s="31">
        <f>'เย็น '!I35+'เช้า '!I35+บ่าย!I35</f>
        <v>0</v>
      </c>
      <c r="J35" s="31">
        <f>'เย็น '!J35+'เช้า '!J35+บ่าย!J35</f>
        <v>0</v>
      </c>
      <c r="K35" s="31">
        <f>'เย็น '!K35+'เช้า '!K35+บ่าย!K35</f>
        <v>0</v>
      </c>
      <c r="L35" s="37">
        <f t="shared" si="0"/>
        <v>0</v>
      </c>
      <c r="M35" s="11"/>
      <c r="N35" s="11"/>
      <c r="O35" s="11"/>
      <c r="P35" s="11"/>
      <c r="Q35" s="45">
        <f t="shared" si="1"/>
        <v>0</v>
      </c>
    </row>
    <row r="36" spans="2:17" hidden="1" x14ac:dyDescent="0.2">
      <c r="B36" s="11">
        <v>1004055</v>
      </c>
      <c r="C36" s="15" t="s">
        <v>117</v>
      </c>
      <c r="D36" s="31">
        <f>'เย็น '!D36+'เช้า '!D36+บ่าย!D36</f>
        <v>0</v>
      </c>
      <c r="E36" s="31">
        <f>'เย็น '!E36+'เช้า '!E36+บ่าย!E36</f>
        <v>0</v>
      </c>
      <c r="F36" s="31">
        <f>'เย็น '!F36+'เช้า '!F36+บ่าย!F36</f>
        <v>0</v>
      </c>
      <c r="G36" s="31">
        <f>'เย็น '!G36+'เช้า '!G36+บ่าย!G36</f>
        <v>0</v>
      </c>
      <c r="H36" s="31">
        <f>'เย็น '!H36+'เช้า '!H36+บ่าย!H36</f>
        <v>0</v>
      </c>
      <c r="I36" s="31">
        <f>'เย็น '!I36+'เช้า '!I36+บ่าย!I36</f>
        <v>0</v>
      </c>
      <c r="J36" s="31">
        <f>'เย็น '!J36+'เช้า '!J36+บ่าย!J36</f>
        <v>0</v>
      </c>
      <c r="K36" s="31">
        <f>'เย็น '!K36+'เช้า '!K36+บ่าย!K36</f>
        <v>0</v>
      </c>
      <c r="L36" s="37">
        <f t="shared" si="0"/>
        <v>0</v>
      </c>
      <c r="M36" s="11"/>
      <c r="N36" s="11"/>
      <c r="O36" s="11"/>
      <c r="P36" s="11"/>
      <c r="Q36" s="45">
        <f t="shared" si="1"/>
        <v>0</v>
      </c>
    </row>
    <row r="37" spans="2:17" hidden="1" x14ac:dyDescent="0.2">
      <c r="B37" s="11">
        <v>1004055</v>
      </c>
      <c r="C37" s="15" t="s">
        <v>118</v>
      </c>
      <c r="D37" s="31">
        <f>'เย็น '!D37+'เช้า '!D37+บ่าย!D37</f>
        <v>0</v>
      </c>
      <c r="E37" s="31">
        <f>'เย็น '!E37+'เช้า '!E37+บ่าย!E37</f>
        <v>0</v>
      </c>
      <c r="F37" s="31">
        <f>'เย็น '!F37+'เช้า '!F37+บ่าย!F37</f>
        <v>0</v>
      </c>
      <c r="G37" s="31">
        <f>'เย็น '!G37+'เช้า '!G37+บ่าย!G37</f>
        <v>0</v>
      </c>
      <c r="H37" s="31">
        <f>'เย็น '!H37+'เช้า '!H37+บ่าย!H37</f>
        <v>0</v>
      </c>
      <c r="I37" s="31">
        <f>'เย็น '!I37+'เช้า '!I37+บ่าย!I37</f>
        <v>0</v>
      </c>
      <c r="J37" s="31">
        <f>'เย็น '!J37+'เช้า '!J37+บ่าย!J37</f>
        <v>0</v>
      </c>
      <c r="K37" s="31">
        <f>'เย็น '!K37+'เช้า '!K37+บ่าย!K37</f>
        <v>0</v>
      </c>
      <c r="L37" s="37">
        <f t="shared" si="0"/>
        <v>0</v>
      </c>
      <c r="M37" s="11"/>
      <c r="N37" s="11"/>
      <c r="O37" s="11"/>
      <c r="P37" s="11"/>
      <c r="Q37" s="45">
        <f t="shared" si="1"/>
        <v>0</v>
      </c>
    </row>
    <row r="38" spans="2:17" hidden="1" x14ac:dyDescent="0.2">
      <c r="B38" s="11">
        <v>1004055</v>
      </c>
      <c r="C38" s="15" t="s">
        <v>119</v>
      </c>
      <c r="D38" s="31">
        <f>'เย็น '!D38+'เช้า '!D38+บ่าย!D38</f>
        <v>0</v>
      </c>
      <c r="E38" s="31">
        <f>'เย็น '!E38+'เช้า '!E38+บ่าย!E38</f>
        <v>0</v>
      </c>
      <c r="F38" s="31">
        <f>'เย็น '!F38+'เช้า '!F38+บ่าย!F38</f>
        <v>0</v>
      </c>
      <c r="G38" s="31">
        <f>'เย็น '!G38+'เช้า '!G38+บ่าย!G38</f>
        <v>0</v>
      </c>
      <c r="H38" s="31">
        <f>'เย็น '!H38+'เช้า '!H38+บ่าย!H38</f>
        <v>0</v>
      </c>
      <c r="I38" s="31">
        <f>'เย็น '!I38+'เช้า '!I38+บ่าย!I38</f>
        <v>0</v>
      </c>
      <c r="J38" s="31">
        <f>'เย็น '!J38+'เช้า '!J38+บ่าย!J38</f>
        <v>0</v>
      </c>
      <c r="K38" s="31">
        <f>'เย็น '!K38+'เช้า '!K38+บ่าย!K38</f>
        <v>0</v>
      </c>
      <c r="L38" s="37">
        <f t="shared" si="0"/>
        <v>0</v>
      </c>
      <c r="M38" s="11"/>
      <c r="N38" s="11"/>
      <c r="O38" s="11"/>
      <c r="P38" s="11"/>
      <c r="Q38" s="45">
        <f t="shared" si="1"/>
        <v>0</v>
      </c>
    </row>
    <row r="39" spans="2:17" hidden="1" x14ac:dyDescent="0.2">
      <c r="B39" s="11">
        <v>1004055</v>
      </c>
      <c r="C39" s="15" t="s">
        <v>120</v>
      </c>
      <c r="D39" s="31">
        <f>'เย็น '!D39+'เช้า '!D39+บ่าย!D39</f>
        <v>0</v>
      </c>
      <c r="E39" s="31">
        <f>'เย็น '!E39+'เช้า '!E39+บ่าย!E39</f>
        <v>0</v>
      </c>
      <c r="F39" s="31">
        <f>'เย็น '!F39+'เช้า '!F39+บ่าย!F39</f>
        <v>0</v>
      </c>
      <c r="G39" s="31">
        <f>'เย็น '!G39+'เช้า '!G39+บ่าย!G39</f>
        <v>0</v>
      </c>
      <c r="H39" s="31">
        <f>'เย็น '!H39+'เช้า '!H39+บ่าย!H39</f>
        <v>0</v>
      </c>
      <c r="I39" s="31">
        <f>'เย็น '!I39+'เช้า '!I39+บ่าย!I39</f>
        <v>0</v>
      </c>
      <c r="J39" s="31">
        <f>'เย็น '!J39+'เช้า '!J39+บ่าย!J39</f>
        <v>0</v>
      </c>
      <c r="K39" s="31">
        <f>'เย็น '!K39+'เช้า '!K39+บ่าย!K39</f>
        <v>0</v>
      </c>
      <c r="L39" s="37">
        <f t="shared" si="0"/>
        <v>0</v>
      </c>
      <c r="M39" s="11"/>
      <c r="N39" s="11"/>
      <c r="O39" s="11"/>
      <c r="P39" s="11"/>
      <c r="Q39" s="45">
        <f t="shared" si="1"/>
        <v>0</v>
      </c>
    </row>
    <row r="40" spans="2:17" x14ac:dyDescent="0.2">
      <c r="B40" s="11">
        <v>1111057</v>
      </c>
      <c r="C40" s="15" t="s">
        <v>30</v>
      </c>
      <c r="D40" s="31">
        <f>'เย็น '!D40+'เช้า '!D40+บ่าย!D40</f>
        <v>0</v>
      </c>
      <c r="E40" s="31">
        <f>'เย็น '!E40+'เช้า '!E40+บ่าย!E40</f>
        <v>4</v>
      </c>
      <c r="F40" s="31">
        <f>'เย็น '!F40+'เช้า '!F40+บ่าย!F40</f>
        <v>9</v>
      </c>
      <c r="G40" s="31">
        <f>'เย็น '!G40+'เช้า '!G40+บ่าย!G40</f>
        <v>0</v>
      </c>
      <c r="H40" s="31">
        <f>'เย็น '!H40+'เช้า '!H40+บ่าย!H40</f>
        <v>0</v>
      </c>
      <c r="I40" s="31">
        <f>'เย็น '!I40+'เช้า '!I40+บ่าย!I40</f>
        <v>0</v>
      </c>
      <c r="J40" s="31">
        <f>'เย็น '!J40+'เช้า '!J40+บ่าย!J40</f>
        <v>0</v>
      </c>
      <c r="K40" s="31">
        <f>'เย็น '!K40+'เช้า '!K40+บ่าย!K40</f>
        <v>0</v>
      </c>
      <c r="L40" s="37">
        <f t="shared" si="0"/>
        <v>13</v>
      </c>
      <c r="M40" s="11"/>
      <c r="N40" s="11"/>
      <c r="O40" s="11">
        <v>13</v>
      </c>
      <c r="P40" s="11"/>
      <c r="Q40" s="45">
        <f t="shared" si="1"/>
        <v>0</v>
      </c>
    </row>
    <row r="41" spans="2:17" x14ac:dyDescent="0.2">
      <c r="B41" s="11">
        <v>1111058</v>
      </c>
      <c r="C41" s="15" t="s">
        <v>31</v>
      </c>
      <c r="D41" s="31">
        <f>'เย็น '!D41+'เช้า '!D41+บ่าย!D41</f>
        <v>0</v>
      </c>
      <c r="E41" s="31">
        <f>'เย็น '!E41+'เช้า '!E41+บ่าย!E41</f>
        <v>0</v>
      </c>
      <c r="F41" s="31">
        <f>'เย็น '!F41+'เช้า '!F41+บ่าย!F41</f>
        <v>0</v>
      </c>
      <c r="G41" s="31">
        <f>'เย็น '!G41+'เช้า '!G41+บ่าย!G41</f>
        <v>0</v>
      </c>
      <c r="H41" s="31">
        <f>'เย็น '!H41+'เช้า '!H41+บ่าย!H41</f>
        <v>0</v>
      </c>
      <c r="I41" s="31">
        <f>'เย็น '!I41+'เช้า '!I41+บ่าย!I41</f>
        <v>0</v>
      </c>
      <c r="J41" s="31">
        <f>'เย็น '!J41+'เช้า '!J41+บ่าย!J41</f>
        <v>0</v>
      </c>
      <c r="K41" s="31">
        <f>'เย็น '!K41+'เช้า '!K41+บ่าย!K41</f>
        <v>0</v>
      </c>
      <c r="L41" s="37">
        <f t="shared" si="0"/>
        <v>0</v>
      </c>
      <c r="M41" s="11"/>
      <c r="N41" s="11"/>
      <c r="O41" s="11"/>
      <c r="P41" s="11"/>
      <c r="Q41" s="45">
        <f t="shared" si="1"/>
        <v>0</v>
      </c>
    </row>
    <row r="42" spans="2:17" x14ac:dyDescent="0.2">
      <c r="B42" s="11">
        <v>1111059</v>
      </c>
      <c r="C42" s="15" t="s">
        <v>32</v>
      </c>
      <c r="D42" s="31">
        <f>'เย็น '!D42+'เช้า '!D42+บ่าย!D42</f>
        <v>0</v>
      </c>
      <c r="E42" s="31">
        <f>'เย็น '!E42+'เช้า '!E42+บ่าย!E42</f>
        <v>4</v>
      </c>
      <c r="F42" s="31">
        <f>'เย็น '!F42+'เช้า '!F42+บ่าย!F42</f>
        <v>9</v>
      </c>
      <c r="G42" s="31">
        <f>'เย็น '!G42+'เช้า '!G42+บ่าย!G42</f>
        <v>0</v>
      </c>
      <c r="H42" s="31">
        <f>'เย็น '!H42+'เช้า '!H42+บ่าย!H42</f>
        <v>0</v>
      </c>
      <c r="I42" s="31">
        <f>'เย็น '!I42+'เช้า '!I42+บ่าย!I42</f>
        <v>0</v>
      </c>
      <c r="J42" s="31">
        <f>'เย็น '!J42+'เช้า '!J42+บ่าย!J42</f>
        <v>0</v>
      </c>
      <c r="K42" s="31">
        <f>'เย็น '!K42+'เช้า '!K42+บ่าย!K42</f>
        <v>0</v>
      </c>
      <c r="L42" s="37">
        <f t="shared" si="0"/>
        <v>13</v>
      </c>
      <c r="M42" s="11"/>
      <c r="N42" s="11"/>
      <c r="O42" s="11">
        <v>13</v>
      </c>
      <c r="P42" s="11"/>
      <c r="Q42" s="45">
        <f t="shared" si="1"/>
        <v>0</v>
      </c>
    </row>
    <row r="43" spans="2:17" x14ac:dyDescent="0.2">
      <c r="B43" s="11">
        <v>1111060</v>
      </c>
      <c r="C43" s="15" t="s">
        <v>33</v>
      </c>
      <c r="D43" s="31">
        <f>'เย็น '!D43+'เช้า '!D43+บ่าย!D43</f>
        <v>0</v>
      </c>
      <c r="E43" s="31">
        <f>'เย็น '!E43+'เช้า '!E43+บ่าย!E43</f>
        <v>0</v>
      </c>
      <c r="F43" s="31">
        <f>'เย็น '!F43+'เช้า '!F43+บ่าย!F43</f>
        <v>0</v>
      </c>
      <c r="G43" s="31">
        <f>'เย็น '!G43+'เช้า '!G43+บ่าย!G43</f>
        <v>0</v>
      </c>
      <c r="H43" s="31">
        <f>'เย็น '!H43+'เช้า '!H43+บ่าย!H43</f>
        <v>0</v>
      </c>
      <c r="I43" s="31">
        <f>'เย็น '!I43+'เช้า '!I43+บ่าย!I43</f>
        <v>0</v>
      </c>
      <c r="J43" s="31">
        <f>'เย็น '!J43+'เช้า '!J43+บ่าย!J43</f>
        <v>0</v>
      </c>
      <c r="K43" s="31">
        <f>'เย็น '!K43+'เช้า '!K43+บ่าย!K43</f>
        <v>0</v>
      </c>
      <c r="L43" s="37">
        <f t="shared" si="0"/>
        <v>0</v>
      </c>
      <c r="M43" s="11"/>
      <c r="N43" s="11"/>
      <c r="O43" s="11"/>
      <c r="P43" s="11"/>
      <c r="Q43" s="45">
        <f t="shared" si="1"/>
        <v>0</v>
      </c>
    </row>
    <row r="44" spans="2:17" x14ac:dyDescent="0.2">
      <c r="B44" s="11">
        <v>1111061</v>
      </c>
      <c r="C44" s="15" t="s">
        <v>34</v>
      </c>
      <c r="D44" s="31">
        <f>'เย็น '!D44+'เช้า '!D44+บ่าย!D44</f>
        <v>0</v>
      </c>
      <c r="E44" s="31">
        <f>'เย็น '!E44+'เช้า '!E44+บ่าย!E44</f>
        <v>3</v>
      </c>
      <c r="F44" s="31">
        <f>'เย็น '!F44+'เช้า '!F44+บ่าย!F44</f>
        <v>8</v>
      </c>
      <c r="G44" s="31">
        <f>'เย็น '!G44+'เช้า '!G44+บ่าย!G44</f>
        <v>0</v>
      </c>
      <c r="H44" s="31">
        <f>'เย็น '!H44+'เช้า '!H44+บ่าย!H44</f>
        <v>0</v>
      </c>
      <c r="I44" s="31">
        <f>'เย็น '!I44+'เช้า '!I44+บ่าย!I44</f>
        <v>0</v>
      </c>
      <c r="J44" s="31">
        <f>'เย็น '!J44+'เช้า '!J44+บ่าย!J44</f>
        <v>0</v>
      </c>
      <c r="K44" s="31">
        <f>'เย็น '!K44+'เช้า '!K44+บ่าย!K44</f>
        <v>0</v>
      </c>
      <c r="L44" s="37">
        <f t="shared" si="0"/>
        <v>11</v>
      </c>
      <c r="M44" s="11"/>
      <c r="N44" s="11"/>
      <c r="O44" s="11">
        <v>11</v>
      </c>
      <c r="P44" s="11"/>
      <c r="Q44" s="45">
        <f t="shared" si="1"/>
        <v>0</v>
      </c>
    </row>
    <row r="45" spans="2:17" x14ac:dyDescent="0.2">
      <c r="B45" s="11">
        <v>1111062</v>
      </c>
      <c r="C45" s="15" t="s">
        <v>35</v>
      </c>
      <c r="D45" s="31">
        <f>'เย็น '!D45+'เช้า '!D45+บ่าย!D45</f>
        <v>0</v>
      </c>
      <c r="E45" s="31">
        <f>'เย็น '!E45+'เช้า '!E45+บ่าย!E45</f>
        <v>0</v>
      </c>
      <c r="F45" s="31">
        <f>'เย็น '!F45+'เช้า '!F45+บ่าย!F45</f>
        <v>0</v>
      </c>
      <c r="G45" s="31">
        <f>'เย็น '!G45+'เช้า '!G45+บ่าย!G45</f>
        <v>0</v>
      </c>
      <c r="H45" s="31">
        <f>'เย็น '!H45+'เช้า '!H45+บ่าย!H45</f>
        <v>0</v>
      </c>
      <c r="I45" s="31">
        <f>'เย็น '!I45+'เช้า '!I45+บ่าย!I45</f>
        <v>0</v>
      </c>
      <c r="J45" s="31">
        <f>'เย็น '!J45+'เช้า '!J45+บ่าย!J45</f>
        <v>0</v>
      </c>
      <c r="K45" s="31">
        <f>'เย็น '!K45+'เช้า '!K45+บ่าย!K45</f>
        <v>0</v>
      </c>
      <c r="L45" s="37">
        <f t="shared" si="0"/>
        <v>0</v>
      </c>
      <c r="M45" s="11"/>
      <c r="N45" s="11"/>
      <c r="O45" s="11"/>
      <c r="P45" s="11"/>
      <c r="Q45" s="45">
        <f t="shared" si="1"/>
        <v>0</v>
      </c>
    </row>
    <row r="46" spans="2:17" x14ac:dyDescent="0.2">
      <c r="B46" s="11">
        <v>1111063</v>
      </c>
      <c r="C46" s="15" t="s">
        <v>36</v>
      </c>
      <c r="D46" s="31">
        <f>'เย็น '!D46+'เช้า '!D46+บ่าย!D46</f>
        <v>0</v>
      </c>
      <c r="E46" s="31">
        <f>'เย็น '!E46+'เช้า '!E46+บ่าย!E46</f>
        <v>3</v>
      </c>
      <c r="F46" s="31">
        <f>'เย็น '!F46+'เช้า '!F46+บ่าย!F46</f>
        <v>8</v>
      </c>
      <c r="G46" s="31">
        <f>'เย็น '!G46+'เช้า '!G46+บ่าย!G46</f>
        <v>0</v>
      </c>
      <c r="H46" s="31">
        <f>'เย็น '!H46+'เช้า '!H46+บ่าย!H46</f>
        <v>0</v>
      </c>
      <c r="I46" s="31">
        <f>'เย็น '!I46+'เช้า '!I46+บ่าย!I46</f>
        <v>0</v>
      </c>
      <c r="J46" s="31">
        <f>'เย็น '!J46+'เช้า '!J46+บ่าย!J46</f>
        <v>0</v>
      </c>
      <c r="K46" s="31">
        <f>'เย็น '!K46+'เช้า '!K46+บ่าย!K46</f>
        <v>0</v>
      </c>
      <c r="L46" s="37">
        <f t="shared" si="0"/>
        <v>11</v>
      </c>
      <c r="M46" s="11"/>
      <c r="N46" s="11"/>
      <c r="O46" s="11">
        <v>11</v>
      </c>
      <c r="P46" s="11"/>
      <c r="Q46" s="45">
        <f t="shared" si="1"/>
        <v>0</v>
      </c>
    </row>
    <row r="47" spans="2:17" x14ac:dyDescent="0.2">
      <c r="B47" s="11">
        <v>1111064</v>
      </c>
      <c r="C47" s="15" t="s">
        <v>37</v>
      </c>
      <c r="D47" s="31">
        <f>'เย็น '!D47+'เช้า '!D47+บ่าย!D47</f>
        <v>0</v>
      </c>
      <c r="E47" s="31">
        <f>'เย็น '!E47+'เช้า '!E47+บ่าย!E47</f>
        <v>0</v>
      </c>
      <c r="F47" s="31">
        <f>'เย็น '!F47+'เช้า '!F47+บ่าย!F47</f>
        <v>0</v>
      </c>
      <c r="G47" s="31">
        <f>'เย็น '!G47+'เช้า '!G47+บ่าย!G47</f>
        <v>0</v>
      </c>
      <c r="H47" s="31">
        <f>'เย็น '!H47+'เช้า '!H47+บ่าย!H47</f>
        <v>0</v>
      </c>
      <c r="I47" s="31">
        <f>'เย็น '!I47+'เช้า '!I47+บ่าย!I47</f>
        <v>0</v>
      </c>
      <c r="J47" s="31">
        <f>'เย็น '!J47+'เช้า '!J47+บ่าย!J47</f>
        <v>0</v>
      </c>
      <c r="K47" s="31">
        <f>'เย็น '!K47+'เช้า '!K47+บ่าย!K47</f>
        <v>0</v>
      </c>
      <c r="L47" s="37">
        <f t="shared" si="0"/>
        <v>0</v>
      </c>
      <c r="M47" s="11"/>
      <c r="N47" s="11"/>
      <c r="O47" s="11"/>
      <c r="P47" s="11"/>
      <c r="Q47" s="45">
        <f t="shared" si="1"/>
        <v>0</v>
      </c>
    </row>
    <row r="48" spans="2:17" x14ac:dyDescent="0.2">
      <c r="B48" s="11">
        <v>1111065</v>
      </c>
      <c r="C48" s="15" t="s">
        <v>38</v>
      </c>
      <c r="D48" s="31">
        <f>'เย็น '!D48+'เช้า '!D48+บ่าย!D48</f>
        <v>0</v>
      </c>
      <c r="E48" s="31">
        <f>'เย็น '!E48+'เช้า '!E48+บ่าย!E48</f>
        <v>0</v>
      </c>
      <c r="F48" s="31">
        <f>'เย็น '!F48+'เช้า '!F48+บ่าย!F48</f>
        <v>0</v>
      </c>
      <c r="G48" s="31">
        <f>'เย็น '!G48+'เช้า '!G48+บ่าย!G48</f>
        <v>0</v>
      </c>
      <c r="H48" s="31">
        <f>'เย็น '!H48+'เช้า '!H48+บ่าย!H48</f>
        <v>0</v>
      </c>
      <c r="I48" s="31">
        <f>'เย็น '!I48+'เช้า '!I48+บ่าย!I48</f>
        <v>0</v>
      </c>
      <c r="J48" s="31">
        <f>'เย็น '!J48+'เช้า '!J48+บ่าย!J48</f>
        <v>0</v>
      </c>
      <c r="K48" s="31">
        <f>'เย็น '!K48+'เช้า '!K48+บ่าย!K48</f>
        <v>0</v>
      </c>
      <c r="L48" s="37">
        <f t="shared" si="0"/>
        <v>0</v>
      </c>
      <c r="M48" s="11"/>
      <c r="N48" s="11"/>
      <c r="O48" s="11"/>
      <c r="P48" s="11"/>
      <c r="Q48" s="45">
        <f t="shared" si="1"/>
        <v>0</v>
      </c>
    </row>
    <row r="49" spans="2:20" x14ac:dyDescent="0.2">
      <c r="B49" s="11">
        <v>1111066</v>
      </c>
      <c r="C49" s="15" t="s">
        <v>39</v>
      </c>
      <c r="D49" s="31">
        <f>'เย็น '!D49+'เช้า '!D49+บ่าย!D49</f>
        <v>0</v>
      </c>
      <c r="E49" s="31">
        <f>'เย็น '!E49+'เช้า '!E49+บ่าย!E49</f>
        <v>4</v>
      </c>
      <c r="F49" s="31">
        <f>'เย็น '!F49+'เช้า '!F49+บ่าย!F49</f>
        <v>9</v>
      </c>
      <c r="G49" s="31">
        <f>'เย็น '!G49+'เช้า '!G49+บ่าย!G49</f>
        <v>0</v>
      </c>
      <c r="H49" s="31">
        <f>'เย็น '!H49+'เช้า '!H49+บ่าย!H49</f>
        <v>0</v>
      </c>
      <c r="I49" s="31">
        <f>'เย็น '!I49+'เช้า '!I49+บ่าย!I49</f>
        <v>0</v>
      </c>
      <c r="J49" s="31">
        <f>'เย็น '!J49+'เช้า '!J49+บ่าย!J49</f>
        <v>0</v>
      </c>
      <c r="K49" s="31">
        <f>'เย็น '!K49+'เช้า '!K49+บ่าย!K49</f>
        <v>0</v>
      </c>
      <c r="L49" s="37">
        <f t="shared" si="0"/>
        <v>13</v>
      </c>
      <c r="M49" s="11"/>
      <c r="N49" s="11"/>
      <c r="O49" s="11">
        <v>13</v>
      </c>
      <c r="P49" s="11"/>
      <c r="Q49" s="45">
        <f t="shared" si="1"/>
        <v>0</v>
      </c>
    </row>
    <row r="50" spans="2:20" x14ac:dyDescent="0.2">
      <c r="B50" s="11">
        <v>1111067</v>
      </c>
      <c r="C50" s="15" t="s">
        <v>40</v>
      </c>
      <c r="D50" s="31">
        <f>'เย็น '!D50+'เช้า '!D50+บ่าย!D50</f>
        <v>0</v>
      </c>
      <c r="E50" s="31">
        <f>'เย็น '!E50+'เช้า '!E50+บ่าย!E50</f>
        <v>4</v>
      </c>
      <c r="F50" s="31">
        <f>'เย็น '!F50+'เช้า '!F50+บ่าย!F50</f>
        <v>9</v>
      </c>
      <c r="G50" s="31">
        <f>'เย็น '!G50+'เช้า '!G50+บ่าย!G50</f>
        <v>0</v>
      </c>
      <c r="H50" s="31">
        <f>'เย็น '!H50+'เช้า '!H50+บ่าย!H50</f>
        <v>0</v>
      </c>
      <c r="I50" s="31">
        <f>'เย็น '!I50+'เช้า '!I50+บ่าย!I50</f>
        <v>0</v>
      </c>
      <c r="J50" s="31">
        <f>'เย็น '!J50+'เช้า '!J50+บ่าย!J50</f>
        <v>0</v>
      </c>
      <c r="K50" s="31">
        <f>'เย็น '!K50+'เช้า '!K50+บ่าย!K50</f>
        <v>0</v>
      </c>
      <c r="L50" s="37">
        <f t="shared" si="0"/>
        <v>13</v>
      </c>
      <c r="M50" s="11"/>
      <c r="N50" s="11"/>
      <c r="O50" s="11">
        <v>13</v>
      </c>
      <c r="P50" s="11"/>
      <c r="Q50" s="45">
        <f t="shared" si="1"/>
        <v>0</v>
      </c>
    </row>
    <row r="51" spans="2:20" x14ac:dyDescent="0.2">
      <c r="B51" s="11">
        <v>1111068</v>
      </c>
      <c r="C51" s="15" t="s">
        <v>41</v>
      </c>
      <c r="D51" s="31">
        <f>'เย็น '!D51+'เช้า '!D51+บ่าย!D51</f>
        <v>0</v>
      </c>
      <c r="E51" s="31">
        <f>'เย็น '!E51+'เช้า '!E51+บ่าย!E51</f>
        <v>4</v>
      </c>
      <c r="F51" s="31">
        <f>'เย็น '!F51+'เช้า '!F51+บ่าย!F51</f>
        <v>9</v>
      </c>
      <c r="G51" s="31">
        <f>'เย็น '!G51+'เช้า '!G51+บ่าย!G51</f>
        <v>0</v>
      </c>
      <c r="H51" s="31">
        <f>'เย็น '!H51+'เช้า '!H51+บ่าย!H51</f>
        <v>0</v>
      </c>
      <c r="I51" s="31">
        <f>'เย็น '!I51+'เช้า '!I51+บ่าย!I51</f>
        <v>0</v>
      </c>
      <c r="J51" s="31">
        <f>'เย็น '!J51+'เช้า '!J51+บ่าย!J51</f>
        <v>0</v>
      </c>
      <c r="K51" s="31">
        <f>'เย็น '!K51+'เช้า '!K51+บ่าย!K51</f>
        <v>0</v>
      </c>
      <c r="L51" s="37">
        <f t="shared" si="0"/>
        <v>13</v>
      </c>
      <c r="M51" s="11"/>
      <c r="N51" s="11"/>
      <c r="O51" s="11">
        <v>13</v>
      </c>
      <c r="P51" s="11"/>
      <c r="Q51" s="45">
        <f t="shared" si="1"/>
        <v>0</v>
      </c>
    </row>
    <row r="52" spans="2:20" x14ac:dyDescent="0.25">
      <c r="B52" s="11">
        <v>1111069</v>
      </c>
      <c r="C52" s="15" t="s">
        <v>42</v>
      </c>
      <c r="D52" s="31">
        <f>'เย็น '!D52+'เช้า '!D52+บ่าย!D52</f>
        <v>0</v>
      </c>
      <c r="E52" s="31">
        <f>'เย็น '!E52+'เช้า '!E52+บ่าย!E52</f>
        <v>4</v>
      </c>
      <c r="F52" s="31">
        <f>'เย็น '!F52+'เช้า '!F52+บ่าย!F52</f>
        <v>9</v>
      </c>
      <c r="G52" s="31">
        <f>'เย็น '!G52+'เช้า '!G52+บ่าย!G52</f>
        <v>0</v>
      </c>
      <c r="H52" s="31">
        <f>'เย็น '!H52+'เช้า '!H52+บ่าย!H52</f>
        <v>0</v>
      </c>
      <c r="I52" s="31">
        <f>'เย็น '!I52+'เช้า '!I52+บ่าย!I52</f>
        <v>0</v>
      </c>
      <c r="J52" s="31">
        <f>'เย็น '!J52+'เช้า '!J52+บ่าย!J52</f>
        <v>0</v>
      </c>
      <c r="K52" s="31">
        <f>'เย็น '!K52+'เช้า '!K52+บ่าย!K52</f>
        <v>0</v>
      </c>
      <c r="L52" s="37">
        <f t="shared" si="0"/>
        <v>13</v>
      </c>
      <c r="M52" s="11"/>
      <c r="N52" s="11"/>
      <c r="O52" s="11">
        <v>13</v>
      </c>
      <c r="P52" s="11"/>
      <c r="Q52" s="45">
        <f t="shared" si="1"/>
        <v>0</v>
      </c>
      <c r="S52" s="47"/>
      <c r="T52" s="46"/>
    </row>
    <row r="53" spans="2:20" x14ac:dyDescent="0.2">
      <c r="B53" s="11">
        <v>1111070</v>
      </c>
      <c r="C53" s="15" t="s">
        <v>128</v>
      </c>
      <c r="D53" s="31">
        <f>'เย็น '!D53+'เช้า '!D53+บ่าย!D53</f>
        <v>0</v>
      </c>
      <c r="E53" s="31">
        <f>'เย็น '!E53+'เช้า '!E53+บ่าย!E53</f>
        <v>0</v>
      </c>
      <c r="F53" s="31">
        <f>'เย็น '!F53+'เช้า '!F53+บ่าย!F53</f>
        <v>0</v>
      </c>
      <c r="G53" s="31">
        <f>'เย็น '!G53+'เช้า '!G53+บ่าย!G53</f>
        <v>0</v>
      </c>
      <c r="H53" s="31">
        <f>'เย็น '!H53+'เช้า '!H53+บ่าย!H53</f>
        <v>0</v>
      </c>
      <c r="I53" s="31">
        <f>'เย็น '!I53+'เช้า '!I53+บ่าย!I53</f>
        <v>0</v>
      </c>
      <c r="J53" s="31">
        <f>'เย็น '!J53+'เช้า '!J53+บ่าย!J53</f>
        <v>0</v>
      </c>
      <c r="K53" s="31">
        <f>'เย็น '!K53+'เช้า '!K53+บ่าย!K53</f>
        <v>0</v>
      </c>
      <c r="L53" s="37">
        <f t="shared" si="0"/>
        <v>0</v>
      </c>
      <c r="M53" s="11"/>
      <c r="N53" s="11"/>
      <c r="O53" s="11"/>
      <c r="P53" s="11"/>
      <c r="Q53" s="45">
        <f t="shared" si="1"/>
        <v>0</v>
      </c>
    </row>
    <row r="54" spans="2:20" x14ac:dyDescent="0.2">
      <c r="B54" s="11">
        <v>1111071</v>
      </c>
      <c r="C54" s="15" t="s">
        <v>129</v>
      </c>
      <c r="D54" s="31">
        <f>'เย็น '!D54+'เช้า '!D54+บ่าย!D54</f>
        <v>0</v>
      </c>
      <c r="E54" s="31">
        <f>'เย็น '!E54+'เช้า '!E54+บ่าย!E54</f>
        <v>0</v>
      </c>
      <c r="F54" s="31">
        <f>'เย็น '!F54+'เช้า '!F54+บ่าย!F54</f>
        <v>0</v>
      </c>
      <c r="G54" s="31">
        <f>'เย็น '!G54+'เช้า '!G54+บ่าย!G54</f>
        <v>0</v>
      </c>
      <c r="H54" s="31">
        <f>'เย็น '!H54+'เช้า '!H54+บ่าย!H54</f>
        <v>0</v>
      </c>
      <c r="I54" s="31">
        <f>'เย็น '!I54+'เช้า '!I54+บ่าย!I54</f>
        <v>0</v>
      </c>
      <c r="J54" s="31">
        <f>'เย็น '!J54+'เช้า '!J54+บ่าย!J54</f>
        <v>0</v>
      </c>
      <c r="K54" s="31">
        <f>'เย็น '!K54+'เช้า '!K54+บ่าย!K54</f>
        <v>0</v>
      </c>
      <c r="L54" s="37">
        <f t="shared" si="0"/>
        <v>0</v>
      </c>
      <c r="M54" s="11"/>
      <c r="N54" s="11"/>
      <c r="O54" s="11"/>
      <c r="P54" s="11"/>
      <c r="Q54" s="45">
        <f t="shared" si="1"/>
        <v>0</v>
      </c>
    </row>
    <row r="55" spans="2:20" x14ac:dyDescent="0.2">
      <c r="B55" s="11">
        <v>1111001</v>
      </c>
      <c r="C55" s="15" t="s">
        <v>43</v>
      </c>
      <c r="D55" s="31">
        <f>'เย็น '!D55+'เช้า '!D55+บ่าย!D55</f>
        <v>0</v>
      </c>
      <c r="E55" s="31">
        <f>'เย็น '!E55+'เช้า '!E55+บ่าย!E55</f>
        <v>0</v>
      </c>
      <c r="F55" s="31">
        <f>'เย็น '!F55+'เช้า '!F55+บ่าย!F55</f>
        <v>0</v>
      </c>
      <c r="G55" s="31">
        <f>'เย็น '!G55+'เช้า '!G55+บ่าย!G55</f>
        <v>0</v>
      </c>
      <c r="H55" s="31">
        <f>'เย็น '!H55+'เช้า '!H55+บ่าย!H55</f>
        <v>0</v>
      </c>
      <c r="I55" s="31">
        <f>'เย็น '!I55+'เช้า '!I55+บ่าย!I55</f>
        <v>0</v>
      </c>
      <c r="J55" s="31">
        <f>'เย็น '!J55+'เช้า '!J55+บ่าย!J55</f>
        <v>0</v>
      </c>
      <c r="K55" s="31">
        <f>'เย็น '!K55+'เช้า '!K55+บ่าย!K55</f>
        <v>0</v>
      </c>
      <c r="L55" s="37">
        <f t="shared" si="0"/>
        <v>0</v>
      </c>
      <c r="M55" s="11"/>
      <c r="N55" s="11"/>
      <c r="O55" s="11"/>
      <c r="P55" s="11"/>
      <c r="Q55" s="45">
        <f t="shared" si="1"/>
        <v>0</v>
      </c>
    </row>
    <row r="56" spans="2:20" x14ac:dyDescent="0.2">
      <c r="B56" s="11">
        <v>1111074</v>
      </c>
      <c r="C56" s="15" t="s">
        <v>44</v>
      </c>
      <c r="D56" s="31">
        <f>'เย็น '!D56+'เช้า '!D56+บ่าย!D56</f>
        <v>0</v>
      </c>
      <c r="E56" s="31">
        <f>'เย็น '!E56+'เช้า '!E56+บ่าย!E56</f>
        <v>5</v>
      </c>
      <c r="F56" s="31">
        <f>'เย็น '!F56+'เช้า '!F56+บ่าย!F56</f>
        <v>0</v>
      </c>
      <c r="G56" s="31">
        <f>'เย็น '!G56+'เช้า '!G56+บ่าย!G56</f>
        <v>0</v>
      </c>
      <c r="H56" s="31">
        <f>'เย็น '!H56+'เช้า '!H56+บ่าย!H56</f>
        <v>0</v>
      </c>
      <c r="I56" s="31">
        <f>'เย็น '!I56+'เช้า '!I56+บ่าย!I56</f>
        <v>0</v>
      </c>
      <c r="J56" s="31">
        <f>'เย็น '!J56+'เช้า '!J56+บ่าย!J56</f>
        <v>0</v>
      </c>
      <c r="K56" s="31">
        <f>'เย็น '!K56+'เช้า '!K56+บ่าย!K56</f>
        <v>0</v>
      </c>
      <c r="L56" s="37">
        <f t="shared" si="0"/>
        <v>5</v>
      </c>
      <c r="M56" s="11"/>
      <c r="N56" s="11"/>
      <c r="O56" s="11">
        <v>5</v>
      </c>
      <c r="P56" s="11"/>
      <c r="Q56" s="45">
        <f t="shared" si="1"/>
        <v>0</v>
      </c>
    </row>
    <row r="57" spans="2:20" x14ac:dyDescent="0.2">
      <c r="B57" s="11">
        <v>1111075</v>
      </c>
      <c r="C57" s="15" t="s">
        <v>45</v>
      </c>
      <c r="D57" s="31">
        <f>'เย็น '!D57+'เช้า '!D57+บ่าย!D57</f>
        <v>0</v>
      </c>
      <c r="E57" s="31">
        <f>'เย็น '!E57+'เช้า '!E57+บ่าย!E57</f>
        <v>5</v>
      </c>
      <c r="F57" s="31">
        <f>'เย็น '!F57+'เช้า '!F57+บ่าย!F57</f>
        <v>0</v>
      </c>
      <c r="G57" s="31">
        <f>'เย็น '!G57+'เช้า '!G57+บ่าย!G57</f>
        <v>0</v>
      </c>
      <c r="H57" s="31">
        <f>'เย็น '!H57+'เช้า '!H57+บ่าย!H57</f>
        <v>0</v>
      </c>
      <c r="I57" s="31">
        <f>'เย็น '!I57+'เช้า '!I57+บ่าย!I57</f>
        <v>0</v>
      </c>
      <c r="J57" s="31">
        <f>'เย็น '!J57+'เช้า '!J57+บ่าย!J57</f>
        <v>0</v>
      </c>
      <c r="K57" s="31">
        <f>'เย็น '!K57+'เช้า '!K57+บ่าย!K57</f>
        <v>0</v>
      </c>
      <c r="L57" s="37">
        <f t="shared" si="0"/>
        <v>5</v>
      </c>
      <c r="M57" s="11"/>
      <c r="N57" s="11"/>
      <c r="O57" s="11">
        <v>5</v>
      </c>
      <c r="P57" s="11"/>
      <c r="Q57" s="45">
        <f t="shared" si="1"/>
        <v>0</v>
      </c>
    </row>
    <row r="58" spans="2:20" x14ac:dyDescent="0.2">
      <c r="B58" s="11">
        <v>1111076</v>
      </c>
      <c r="C58" s="15" t="s">
        <v>46</v>
      </c>
      <c r="D58" s="31">
        <f>'เย็น '!D58+'เช้า '!D58+บ่าย!D58</f>
        <v>0</v>
      </c>
      <c r="E58" s="31">
        <f>'เย็น '!E58+'เช้า '!E58+บ่าย!E58</f>
        <v>5</v>
      </c>
      <c r="F58" s="31">
        <f>'เย็น '!F58+'เช้า '!F58+บ่าย!F58</f>
        <v>0</v>
      </c>
      <c r="G58" s="31">
        <f>'เย็น '!G58+'เช้า '!G58+บ่าย!G58</f>
        <v>0</v>
      </c>
      <c r="H58" s="31">
        <f>'เย็น '!H58+'เช้า '!H58+บ่าย!H58</f>
        <v>0</v>
      </c>
      <c r="I58" s="31">
        <f>'เย็น '!I58+'เช้า '!I58+บ่าย!I58</f>
        <v>0</v>
      </c>
      <c r="J58" s="31">
        <f>'เย็น '!J58+'เช้า '!J58+บ่าย!J58</f>
        <v>0</v>
      </c>
      <c r="K58" s="31">
        <f>'เย็น '!K58+'เช้า '!K58+บ่าย!K58</f>
        <v>0</v>
      </c>
      <c r="L58" s="37">
        <f t="shared" si="0"/>
        <v>5</v>
      </c>
      <c r="M58" s="11"/>
      <c r="N58" s="11"/>
      <c r="O58" s="11">
        <v>5</v>
      </c>
      <c r="P58" s="11"/>
      <c r="Q58" s="45">
        <f t="shared" si="1"/>
        <v>0</v>
      </c>
    </row>
    <row r="59" spans="2:20" x14ac:dyDescent="0.2">
      <c r="B59" s="11">
        <v>1111077</v>
      </c>
      <c r="C59" s="15" t="s">
        <v>47</v>
      </c>
      <c r="D59" s="31">
        <f>'เย็น '!D59+'เช้า '!D59+บ่าย!D59</f>
        <v>0</v>
      </c>
      <c r="E59" s="31">
        <f>'เย็น '!E59+'เช้า '!E59+บ่าย!E59</f>
        <v>5</v>
      </c>
      <c r="F59" s="31">
        <f>'เย็น '!F59+'เช้า '!F59+บ่าย!F59</f>
        <v>0</v>
      </c>
      <c r="G59" s="31">
        <f>'เย็น '!G59+'เช้า '!G59+บ่าย!G59</f>
        <v>0</v>
      </c>
      <c r="H59" s="31">
        <f>'เย็น '!H59+'เช้า '!H59+บ่าย!H59</f>
        <v>0</v>
      </c>
      <c r="I59" s="31">
        <f>'เย็น '!I59+'เช้า '!I59+บ่าย!I59</f>
        <v>0</v>
      </c>
      <c r="J59" s="31">
        <f>'เย็น '!J59+'เช้า '!J59+บ่าย!J59</f>
        <v>0</v>
      </c>
      <c r="K59" s="31">
        <f>'เย็น '!K59+'เช้า '!K59+บ่าย!K59</f>
        <v>0</v>
      </c>
      <c r="L59" s="37">
        <f t="shared" si="0"/>
        <v>5</v>
      </c>
      <c r="M59" s="11"/>
      <c r="N59" s="11"/>
      <c r="O59" s="11">
        <v>5</v>
      </c>
      <c r="P59" s="11"/>
      <c r="Q59" s="45">
        <f t="shared" si="1"/>
        <v>0</v>
      </c>
    </row>
    <row r="60" spans="2:20" x14ac:dyDescent="0.2">
      <c r="B60" s="11">
        <v>1111078</v>
      </c>
      <c r="C60" s="15" t="s">
        <v>48</v>
      </c>
      <c r="D60" s="31">
        <f>'เย็น '!D60+'เช้า '!D60+บ่าย!D60</f>
        <v>0</v>
      </c>
      <c r="E60" s="31">
        <f>'เย็น '!E60+'เช้า '!E60+บ่าย!E60</f>
        <v>5</v>
      </c>
      <c r="F60" s="31">
        <f>'เย็น '!F60+'เช้า '!F60+บ่าย!F60</f>
        <v>0</v>
      </c>
      <c r="G60" s="31">
        <f>'เย็น '!G60+'เช้า '!G60+บ่าย!G60</f>
        <v>0</v>
      </c>
      <c r="H60" s="31">
        <f>'เย็น '!H60+'เช้า '!H60+บ่าย!H60</f>
        <v>0</v>
      </c>
      <c r="I60" s="31">
        <f>'เย็น '!I60+'เช้า '!I60+บ่าย!I60</f>
        <v>0</v>
      </c>
      <c r="J60" s="31">
        <f>'เย็น '!J60+'เช้า '!J60+บ่าย!J60</f>
        <v>0</v>
      </c>
      <c r="K60" s="31">
        <f>'เย็น '!K60+'เช้า '!K60+บ่าย!K60</f>
        <v>0</v>
      </c>
      <c r="L60" s="37">
        <f t="shared" si="0"/>
        <v>5</v>
      </c>
      <c r="M60" s="11"/>
      <c r="N60" s="11"/>
      <c r="O60" s="11">
        <v>5</v>
      </c>
      <c r="P60" s="11"/>
      <c r="Q60" s="45">
        <f t="shared" si="1"/>
        <v>0</v>
      </c>
    </row>
    <row r="61" spans="2:20" x14ac:dyDescent="0.2">
      <c r="B61" s="11">
        <v>1111079</v>
      </c>
      <c r="C61" s="15" t="s">
        <v>49</v>
      </c>
      <c r="D61" s="31">
        <f>'เย็น '!D61+'เช้า '!D61+บ่าย!D61</f>
        <v>0</v>
      </c>
      <c r="E61" s="31">
        <f>'เย็น '!E61+'เช้า '!E61+บ่าย!E61</f>
        <v>5</v>
      </c>
      <c r="F61" s="31">
        <f>'เย็น '!F61+'เช้า '!F61+บ่าย!F61</f>
        <v>0</v>
      </c>
      <c r="G61" s="31">
        <f>'เย็น '!G61+'เช้า '!G61+บ่าย!G61</f>
        <v>0</v>
      </c>
      <c r="H61" s="31">
        <f>'เย็น '!H61+'เช้า '!H61+บ่าย!H61</f>
        <v>0</v>
      </c>
      <c r="I61" s="31">
        <f>'เย็น '!I61+'เช้า '!I61+บ่าย!I61</f>
        <v>0</v>
      </c>
      <c r="J61" s="31">
        <f>'เย็น '!J61+'เช้า '!J61+บ่าย!J61</f>
        <v>0</v>
      </c>
      <c r="K61" s="31">
        <f>'เย็น '!K61+'เช้า '!K61+บ่าย!K61</f>
        <v>0</v>
      </c>
      <c r="L61" s="37">
        <f t="shared" si="0"/>
        <v>5</v>
      </c>
      <c r="M61" s="11"/>
      <c r="N61" s="11"/>
      <c r="O61" s="11">
        <v>5</v>
      </c>
      <c r="P61" s="11"/>
      <c r="Q61" s="45">
        <f t="shared" si="1"/>
        <v>0</v>
      </c>
    </row>
    <row r="62" spans="2:20" x14ac:dyDescent="0.2">
      <c r="B62" s="11">
        <v>1111080</v>
      </c>
      <c r="C62" s="15" t="s">
        <v>50</v>
      </c>
      <c r="D62" s="31">
        <f>'เย็น '!D62+'เช้า '!D62+บ่าย!D62</f>
        <v>0</v>
      </c>
      <c r="E62" s="31">
        <f>'เย็น '!E62+'เช้า '!E62+บ่าย!E62</f>
        <v>5</v>
      </c>
      <c r="F62" s="31">
        <f>'เย็น '!F62+'เช้า '!F62+บ่าย!F62</f>
        <v>0</v>
      </c>
      <c r="G62" s="31">
        <f>'เย็น '!G62+'เช้า '!G62+บ่าย!G62</f>
        <v>0</v>
      </c>
      <c r="H62" s="31">
        <f>'เย็น '!H62+'เช้า '!H62+บ่าย!H62</f>
        <v>0</v>
      </c>
      <c r="I62" s="31">
        <f>'เย็น '!I62+'เช้า '!I62+บ่าย!I62</f>
        <v>0</v>
      </c>
      <c r="J62" s="31">
        <f>'เย็น '!J62+'เช้า '!J62+บ่าย!J62</f>
        <v>0</v>
      </c>
      <c r="K62" s="31">
        <f>'เย็น '!K62+'เช้า '!K62+บ่าย!K62</f>
        <v>0</v>
      </c>
      <c r="L62" s="37">
        <f t="shared" si="0"/>
        <v>5</v>
      </c>
      <c r="M62" s="11"/>
      <c r="N62" s="11"/>
      <c r="O62" s="11">
        <v>5</v>
      </c>
      <c r="P62" s="11"/>
      <c r="Q62" s="45">
        <f t="shared" si="1"/>
        <v>0</v>
      </c>
    </row>
    <row r="63" spans="2:20" x14ac:dyDescent="0.2">
      <c r="B63" s="11">
        <v>1111081</v>
      </c>
      <c r="C63" s="15" t="s">
        <v>51</v>
      </c>
      <c r="D63" s="31">
        <f>'เย็น '!D63+'เช้า '!D63+บ่าย!D63</f>
        <v>0</v>
      </c>
      <c r="E63" s="31">
        <f>'เย็น '!E63+'เช้า '!E63+บ่าย!E63</f>
        <v>5</v>
      </c>
      <c r="F63" s="31">
        <f>'เย็น '!F63+'เช้า '!F63+บ่าย!F63</f>
        <v>0</v>
      </c>
      <c r="G63" s="31">
        <f>'เย็น '!G63+'เช้า '!G63+บ่าย!G63</f>
        <v>0</v>
      </c>
      <c r="H63" s="31">
        <f>'เย็น '!H63+'เช้า '!H63+บ่าย!H63</f>
        <v>0</v>
      </c>
      <c r="I63" s="31">
        <f>'เย็น '!I63+'เช้า '!I63+บ่าย!I63</f>
        <v>0</v>
      </c>
      <c r="J63" s="31">
        <f>'เย็น '!J63+'เช้า '!J63+บ่าย!J63</f>
        <v>0</v>
      </c>
      <c r="K63" s="31">
        <f>'เย็น '!K63+'เช้า '!K63+บ่าย!K63</f>
        <v>0</v>
      </c>
      <c r="L63" s="37">
        <f t="shared" si="0"/>
        <v>5</v>
      </c>
      <c r="M63" s="11"/>
      <c r="N63" s="11"/>
      <c r="O63" s="11">
        <v>5</v>
      </c>
      <c r="P63" s="11"/>
      <c r="Q63" s="45">
        <f t="shared" si="1"/>
        <v>0</v>
      </c>
    </row>
    <row r="64" spans="2:20" x14ac:dyDescent="0.2">
      <c r="B64" s="11">
        <v>1111082</v>
      </c>
      <c r="C64" s="15" t="s">
        <v>52</v>
      </c>
      <c r="D64" s="31">
        <f>'เย็น '!D64+'เช้า '!D64+บ่าย!D64</f>
        <v>0</v>
      </c>
      <c r="E64" s="31">
        <f>'เย็น '!E64+'เช้า '!E64+บ่าย!E64</f>
        <v>5</v>
      </c>
      <c r="F64" s="31">
        <f>'เย็น '!F64+'เช้า '!F64+บ่าย!F64</f>
        <v>0</v>
      </c>
      <c r="G64" s="31">
        <f>'เย็น '!G64+'เช้า '!G64+บ่าย!G64</f>
        <v>0</v>
      </c>
      <c r="H64" s="31">
        <f>'เย็น '!H64+'เช้า '!H64+บ่าย!H64</f>
        <v>0</v>
      </c>
      <c r="I64" s="31">
        <f>'เย็น '!I64+'เช้า '!I64+บ่าย!I64</f>
        <v>0</v>
      </c>
      <c r="J64" s="31">
        <f>'เย็น '!J64+'เช้า '!J64+บ่าย!J64</f>
        <v>0</v>
      </c>
      <c r="K64" s="31">
        <f>'เย็น '!K64+'เช้า '!K64+บ่าย!K64</f>
        <v>0</v>
      </c>
      <c r="L64" s="37">
        <f t="shared" si="0"/>
        <v>5</v>
      </c>
      <c r="M64" s="11"/>
      <c r="N64" s="11"/>
      <c r="O64" s="11">
        <v>5</v>
      </c>
      <c r="P64" s="11"/>
      <c r="Q64" s="45">
        <f t="shared" si="1"/>
        <v>0</v>
      </c>
    </row>
    <row r="65" spans="2:20" x14ac:dyDescent="0.25">
      <c r="B65" s="11">
        <v>1111083</v>
      </c>
      <c r="C65" s="15" t="s">
        <v>53</v>
      </c>
      <c r="D65" s="31">
        <f>'เย็น '!D65+'เช้า '!D65+บ่าย!D65</f>
        <v>0</v>
      </c>
      <c r="E65" s="31">
        <f>'เย็น '!E65+'เช้า '!E65+บ่าย!E65</f>
        <v>5</v>
      </c>
      <c r="F65" s="31">
        <f>'เย็น '!F65+'เช้า '!F65+บ่าย!F65</f>
        <v>0</v>
      </c>
      <c r="G65" s="31">
        <f>'เย็น '!G65+'เช้า '!G65+บ่าย!G65</f>
        <v>0</v>
      </c>
      <c r="H65" s="31">
        <f>'เย็น '!H65+'เช้า '!H65+บ่าย!H65</f>
        <v>0</v>
      </c>
      <c r="I65" s="31">
        <f>'เย็น '!I65+'เช้า '!I65+บ่าย!I65</f>
        <v>0</v>
      </c>
      <c r="J65" s="31">
        <f>'เย็น '!J65+'เช้า '!J65+บ่าย!J65</f>
        <v>0</v>
      </c>
      <c r="K65" s="31">
        <f>'เย็น '!K65+'เช้า '!K65+บ่าย!K65</f>
        <v>0</v>
      </c>
      <c r="L65" s="37">
        <f t="shared" si="0"/>
        <v>5</v>
      </c>
      <c r="M65" s="11"/>
      <c r="N65" s="11"/>
      <c r="O65" s="11">
        <v>5</v>
      </c>
      <c r="P65" s="11"/>
      <c r="Q65" s="45">
        <f t="shared" si="1"/>
        <v>0</v>
      </c>
      <c r="S65" s="48"/>
      <c r="T65" s="46"/>
    </row>
    <row r="66" spans="2:20" x14ac:dyDescent="0.2">
      <c r="B66" s="11">
        <v>1111010</v>
      </c>
      <c r="C66" s="15" t="s">
        <v>54</v>
      </c>
      <c r="D66" s="31">
        <f>บ่าย!D66+'เช้า '!D66+'เย็น '!D66</f>
        <v>0</v>
      </c>
      <c r="E66" s="31">
        <f>บ่าย!E66+'เช้า '!E66+'เย็น '!E66</f>
        <v>0</v>
      </c>
      <c r="F66" s="31">
        <f>บ่าย!F66+'เช้า '!F66+'เย็น '!F66</f>
        <v>0</v>
      </c>
      <c r="G66" s="31">
        <f>บ่าย!G66+'เช้า '!G66+'เย็น '!G66</f>
        <v>0</v>
      </c>
      <c r="H66" s="31">
        <f>บ่าย!H66+'เช้า '!H66+'เย็น '!H66</f>
        <v>0</v>
      </c>
      <c r="I66" s="31">
        <f>บ่าย!I66+'เช้า '!I66+'เย็น '!I66</f>
        <v>0</v>
      </c>
      <c r="J66" s="31">
        <f>บ่าย!J66+'เช้า '!J66+'เย็น '!J66</f>
        <v>0</v>
      </c>
      <c r="K66" s="44"/>
      <c r="L66" s="37">
        <f t="shared" si="0"/>
        <v>0</v>
      </c>
      <c r="M66" s="11"/>
      <c r="N66" s="11"/>
      <c r="O66" s="11"/>
      <c r="P66" s="11"/>
      <c r="Q66" s="45">
        <f t="shared" si="1"/>
        <v>0</v>
      </c>
    </row>
    <row r="67" spans="2:20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37">
        <f t="shared" ref="L67" si="2">SUM(D67:J67)</f>
        <v>0</v>
      </c>
      <c r="M67" s="11"/>
      <c r="N67" s="11"/>
      <c r="O67" s="11"/>
      <c r="P67" s="11"/>
      <c r="Q67" s="45">
        <f t="shared" ref="Q67" si="3">(M67+N67+O67+P67)-L67</f>
        <v>0</v>
      </c>
    </row>
    <row r="68" spans="2:20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6"/>
    </row>
    <row r="69" spans="2:20" x14ac:dyDescent="0.2">
      <c r="B69" s="11">
        <v>1111009</v>
      </c>
      <c r="C69" s="20" t="s">
        <v>56</v>
      </c>
      <c r="D69" s="31">
        <f>'เย็น '!D69+'เช้า '!D69+บ่าย!D69</f>
        <v>0</v>
      </c>
      <c r="E69" s="31">
        <f>'เย็น '!E69+'เช้า '!E69+บ่าย!E69</f>
        <v>1</v>
      </c>
      <c r="F69" s="31">
        <f>'เย็น '!F69+'เช้า '!F69+บ่าย!F69</f>
        <v>0</v>
      </c>
      <c r="G69" s="31">
        <f>'เย็น '!G69+'เช้า '!G69+บ่าย!G69</f>
        <v>15</v>
      </c>
      <c r="H69" s="31">
        <f>'เย็น '!H69+'เช้า '!H69+บ่าย!H69</f>
        <v>0</v>
      </c>
      <c r="I69" s="31">
        <f>'เย็น '!I69+'เช้า '!I69+บ่าย!I69</f>
        <v>0</v>
      </c>
      <c r="J69" s="31">
        <f>'เย็น '!J69+'เช้า '!J69+บ่าย!J69</f>
        <v>0</v>
      </c>
      <c r="K69" s="31">
        <f>'เย็น '!K69+'เช้า '!K69+บ่าย!K69</f>
        <v>0</v>
      </c>
      <c r="L69" s="37">
        <f t="shared" ref="L69:L76" si="4">SUM(D69:K69)</f>
        <v>16</v>
      </c>
      <c r="M69" s="11"/>
      <c r="N69" s="11">
        <v>7</v>
      </c>
      <c r="O69" s="11">
        <v>3</v>
      </c>
      <c r="P69" s="11">
        <v>20</v>
      </c>
      <c r="Q69" s="45">
        <f t="shared" ref="Q69:Q76" si="5">(M69+N69+O69+P69)-L69</f>
        <v>14</v>
      </c>
    </row>
    <row r="70" spans="2:20" x14ac:dyDescent="0.2">
      <c r="B70" s="11">
        <v>1111023</v>
      </c>
      <c r="C70" s="20" t="s">
        <v>57</v>
      </c>
      <c r="D70" s="31">
        <f>'เย็น '!D70+'เช้า '!D70+บ่าย!D70</f>
        <v>0</v>
      </c>
      <c r="E70" s="31">
        <f>'เย็น '!E70+'เช้า '!E70+บ่าย!E70</f>
        <v>0</v>
      </c>
      <c r="F70" s="31">
        <f>'เย็น '!F70+'เช้า '!F70+บ่าย!F70</f>
        <v>0</v>
      </c>
      <c r="G70" s="31">
        <f>'เย็น '!G70+'เช้า '!G70+บ่าย!G70</f>
        <v>0</v>
      </c>
      <c r="H70" s="31">
        <f>'เย็น '!H70+'เช้า '!H70+บ่าย!H70</f>
        <v>0</v>
      </c>
      <c r="I70" s="31">
        <f>'เย็น '!I70+'เช้า '!I70+บ่าย!I70</f>
        <v>0</v>
      </c>
      <c r="J70" s="31">
        <f>'เย็น '!J70+'เช้า '!J70+บ่าย!J70</f>
        <v>0</v>
      </c>
      <c r="K70" s="31">
        <f>'เย็น '!K70+'เช้า '!K70+บ่าย!K70</f>
        <v>0</v>
      </c>
      <c r="L70" s="37">
        <f t="shared" si="4"/>
        <v>0</v>
      </c>
      <c r="M70" s="11"/>
      <c r="N70" s="11"/>
      <c r="O70" s="11"/>
      <c r="P70" s="11"/>
      <c r="Q70" s="45">
        <f t="shared" si="5"/>
        <v>0</v>
      </c>
    </row>
    <row r="71" spans="2:20" x14ac:dyDescent="0.2">
      <c r="B71" s="11">
        <v>1111016</v>
      </c>
      <c r="C71" s="20" t="s">
        <v>58</v>
      </c>
      <c r="D71" s="31">
        <f>'เย็น '!D71+'เช้า '!D71+บ่าย!D71</f>
        <v>0</v>
      </c>
      <c r="E71" s="31">
        <f>'เย็น '!E71+'เช้า '!E71+บ่าย!E71</f>
        <v>0</v>
      </c>
      <c r="F71" s="31">
        <f>'เย็น '!F71+'เช้า '!F71+บ่าย!F71</f>
        <v>0</v>
      </c>
      <c r="G71" s="31">
        <f>'เย็น '!G71+'เช้า '!G71+บ่าย!G71</f>
        <v>0</v>
      </c>
      <c r="H71" s="31">
        <f>'เย็น '!H71+'เช้า '!H71+บ่าย!H71</f>
        <v>0</v>
      </c>
      <c r="I71" s="31">
        <f>'เย็น '!I71+'เช้า '!I71+บ่าย!I71</f>
        <v>0</v>
      </c>
      <c r="J71" s="31">
        <f>'เย็น '!J71+'เช้า '!J71+บ่าย!J71</f>
        <v>0</v>
      </c>
      <c r="K71" s="31">
        <f>'เย็น '!K71+'เช้า '!K71+บ่าย!K71</f>
        <v>0</v>
      </c>
      <c r="L71" s="37">
        <f t="shared" si="4"/>
        <v>0</v>
      </c>
      <c r="M71" s="11"/>
      <c r="N71" s="11"/>
      <c r="O71" s="11"/>
      <c r="P71" s="11"/>
      <c r="Q71" s="45">
        <f t="shared" si="5"/>
        <v>0</v>
      </c>
    </row>
    <row r="72" spans="2:20" x14ac:dyDescent="0.2">
      <c r="B72" s="11">
        <v>1111014</v>
      </c>
      <c r="C72" s="20" t="s">
        <v>59</v>
      </c>
      <c r="D72" s="31">
        <f>'เย็น '!D72+'เช้า '!D72+บ่าย!D72</f>
        <v>0</v>
      </c>
      <c r="E72" s="31">
        <f>'เย็น '!E72+'เช้า '!E72+บ่าย!E72</f>
        <v>0</v>
      </c>
      <c r="F72" s="31">
        <f>'เย็น '!F72+'เช้า '!F72+บ่าย!F72</f>
        <v>0</v>
      </c>
      <c r="G72" s="31">
        <f>'เย็น '!G72+'เช้า '!G72+บ่าย!G72</f>
        <v>0</v>
      </c>
      <c r="H72" s="31">
        <f>'เย็น '!H72+'เช้า '!H72+บ่าย!H72</f>
        <v>0</v>
      </c>
      <c r="I72" s="31">
        <f>'เย็น '!I72+'เช้า '!I72+บ่าย!I72</f>
        <v>0</v>
      </c>
      <c r="J72" s="31">
        <f>'เย็น '!J72+'เช้า '!J72+บ่าย!J72</f>
        <v>0</v>
      </c>
      <c r="K72" s="31">
        <f>'เย็น '!K72+'เช้า '!K72+บ่าย!K72</f>
        <v>0</v>
      </c>
      <c r="L72" s="37">
        <f t="shared" si="4"/>
        <v>0</v>
      </c>
      <c r="M72" s="11"/>
      <c r="N72" s="11"/>
      <c r="O72" s="11"/>
      <c r="P72" s="11"/>
      <c r="Q72" s="45">
        <f t="shared" si="5"/>
        <v>0</v>
      </c>
    </row>
    <row r="73" spans="2:20" x14ac:dyDescent="0.2">
      <c r="B73" s="11">
        <v>1111025</v>
      </c>
      <c r="C73" s="20" t="s">
        <v>60</v>
      </c>
      <c r="D73" s="31">
        <f>'เย็น '!D73+'เช้า '!D73+บ่าย!D73</f>
        <v>0</v>
      </c>
      <c r="E73" s="31">
        <f>'เย็น '!E73+'เช้า '!E73+บ่าย!E73</f>
        <v>0</v>
      </c>
      <c r="F73" s="31">
        <f>'เย็น '!F73+'เช้า '!F73+บ่าย!F73</f>
        <v>0</v>
      </c>
      <c r="G73" s="31">
        <f>'เย็น '!G73+'เช้า '!G73+บ่าย!G73</f>
        <v>0</v>
      </c>
      <c r="H73" s="31">
        <f>'เย็น '!H73+'เช้า '!H73+บ่าย!H73</f>
        <v>0</v>
      </c>
      <c r="I73" s="31">
        <f>'เย็น '!I73+'เช้า '!I73+บ่าย!I73</f>
        <v>0</v>
      </c>
      <c r="J73" s="31">
        <f>'เย็น '!J73+'เช้า '!J73+บ่าย!J73</f>
        <v>0</v>
      </c>
      <c r="K73" s="31">
        <f>'เย็น '!K73+'เช้า '!K73+บ่าย!K73</f>
        <v>0</v>
      </c>
      <c r="L73" s="37">
        <f t="shared" si="4"/>
        <v>0</v>
      </c>
      <c r="M73" s="11"/>
      <c r="N73" s="11"/>
      <c r="O73" s="11"/>
      <c r="P73" s="11"/>
      <c r="Q73" s="45">
        <f t="shared" si="5"/>
        <v>0</v>
      </c>
    </row>
    <row r="74" spans="2:20" x14ac:dyDescent="0.2">
      <c r="B74" s="11">
        <v>1111018</v>
      </c>
      <c r="C74" s="20" t="s">
        <v>61</v>
      </c>
      <c r="D74" s="31">
        <f>'เย็น '!D74+'เช้า '!D74+บ่าย!D74</f>
        <v>0</v>
      </c>
      <c r="E74" s="31">
        <f>'เย็น '!E74+'เช้า '!E74+บ่าย!E74</f>
        <v>0</v>
      </c>
      <c r="F74" s="31">
        <f>'เย็น '!F74+'เช้า '!F74+บ่าย!F74</f>
        <v>0</v>
      </c>
      <c r="G74" s="31">
        <f>'เย็น '!G74+'เช้า '!G74+บ่าย!G74</f>
        <v>0</v>
      </c>
      <c r="H74" s="31">
        <f>'เย็น '!H74+'เช้า '!H74+บ่าย!H74</f>
        <v>0</v>
      </c>
      <c r="I74" s="31">
        <f>'เย็น '!I74+'เช้า '!I74+บ่าย!I74</f>
        <v>0</v>
      </c>
      <c r="J74" s="31">
        <f>'เย็น '!J74+'เช้า '!J74+บ่าย!J74</f>
        <v>0</v>
      </c>
      <c r="K74" s="31">
        <f>'เย็น '!K74+'เช้า '!K74+บ่าย!K74</f>
        <v>0</v>
      </c>
      <c r="L74" s="37">
        <f t="shared" si="4"/>
        <v>0</v>
      </c>
      <c r="M74" s="11"/>
      <c r="N74" s="11"/>
      <c r="O74" s="11"/>
      <c r="P74" s="11"/>
      <c r="Q74" s="45">
        <f t="shared" si="5"/>
        <v>0</v>
      </c>
    </row>
    <row r="75" spans="2:20" x14ac:dyDescent="0.2">
      <c r="B75" s="11">
        <v>1111012</v>
      </c>
      <c r="C75" s="20" t="s">
        <v>62</v>
      </c>
      <c r="D75" s="31">
        <f>'เย็น '!D75+'เช้า '!D75+บ่าย!D75</f>
        <v>0</v>
      </c>
      <c r="E75" s="31">
        <f>'เย็น '!E75+'เช้า '!E75+บ่าย!E75</f>
        <v>0</v>
      </c>
      <c r="F75" s="31">
        <f>'เย็น '!F75+'เช้า '!F75+บ่าย!F75</f>
        <v>0</v>
      </c>
      <c r="G75" s="31">
        <f>'เย็น '!G75+'เช้า '!G75+บ่าย!G75</f>
        <v>0</v>
      </c>
      <c r="H75" s="31">
        <f>'เย็น '!H75+'เช้า '!H75+บ่าย!H75</f>
        <v>0</v>
      </c>
      <c r="I75" s="31">
        <f>'เย็น '!I75+'เช้า '!I75+บ่าย!I75</f>
        <v>0</v>
      </c>
      <c r="J75" s="31">
        <f>'เย็น '!J75+'เช้า '!J75+บ่าย!J75</f>
        <v>0</v>
      </c>
      <c r="K75" s="31">
        <f>'เย็น '!K75+'เช้า '!K75+บ่าย!K75</f>
        <v>0</v>
      </c>
      <c r="L75" s="37">
        <f t="shared" si="4"/>
        <v>0</v>
      </c>
      <c r="M75" s="11"/>
      <c r="N75" s="11"/>
      <c r="O75" s="11"/>
      <c r="P75" s="11"/>
      <c r="Q75" s="45">
        <f t="shared" si="5"/>
        <v>0</v>
      </c>
    </row>
    <row r="76" spans="2:20" x14ac:dyDescent="0.2">
      <c r="B76" s="11">
        <v>1111020</v>
      </c>
      <c r="C76" s="20" t="s">
        <v>63</v>
      </c>
      <c r="D76" s="31">
        <f>'เย็น '!D76+'เช้า '!D76+บ่าย!D76</f>
        <v>0</v>
      </c>
      <c r="E76" s="31">
        <f>'เย็น '!E76+'เช้า '!E76+บ่าย!E76</f>
        <v>0</v>
      </c>
      <c r="F76" s="31">
        <f>'เย็น '!F76+'เช้า '!F76+บ่าย!F76</f>
        <v>0</v>
      </c>
      <c r="G76" s="31">
        <f>'เย็น '!G76+'เช้า '!G76+บ่าย!G76</f>
        <v>0</v>
      </c>
      <c r="H76" s="31">
        <f>'เย็น '!H76+'เช้า '!H76+บ่าย!H76</f>
        <v>0</v>
      </c>
      <c r="I76" s="31">
        <f>'เย็น '!I76+'เช้า '!I76+บ่าย!I76</f>
        <v>0</v>
      </c>
      <c r="J76" s="31">
        <f>'เย็น '!J76+'เช้า '!J76+บ่าย!J76</f>
        <v>0</v>
      </c>
      <c r="K76" s="31">
        <f>'เย็น '!K76+'เช้า '!K76+บ่าย!K76</f>
        <v>0</v>
      </c>
      <c r="L76" s="37">
        <f t="shared" si="4"/>
        <v>0</v>
      </c>
      <c r="M76" s="11"/>
      <c r="N76" s="11"/>
      <c r="O76" s="11"/>
      <c r="P76" s="11"/>
      <c r="Q76" s="45">
        <f t="shared" si="5"/>
        <v>0</v>
      </c>
    </row>
    <row r="77" spans="2:20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37"/>
      <c r="M77" s="11"/>
      <c r="N77" s="11"/>
      <c r="O77" s="11"/>
      <c r="P77" s="11"/>
      <c r="Q77" s="45">
        <f t="shared" ref="Q77:Q88" si="6">(M77+N77+O77+P77)-L77</f>
        <v>0</v>
      </c>
    </row>
    <row r="78" spans="2:20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6"/>
    </row>
    <row r="79" spans="2:20" x14ac:dyDescent="0.2">
      <c r="B79" s="11">
        <v>1111022</v>
      </c>
      <c r="C79" s="20" t="s">
        <v>65</v>
      </c>
      <c r="D79" s="31">
        <f>'เย็น '!D79+'เช้า '!D79+บ่าย!D79</f>
        <v>0</v>
      </c>
      <c r="E79" s="31">
        <f>'เย็น '!E79+'เช้า '!E79+บ่าย!E79</f>
        <v>0</v>
      </c>
      <c r="F79" s="31">
        <f>'เย็น '!F79+'เช้า '!F79+บ่าย!F79</f>
        <v>0</v>
      </c>
      <c r="G79" s="31">
        <f>'เย็น '!G79+'เช้า '!G79+บ่าย!G79</f>
        <v>0</v>
      </c>
      <c r="H79" s="31">
        <f>'เย็น '!H79+'เช้า '!H79+บ่าย!H79</f>
        <v>0</v>
      </c>
      <c r="I79" s="31">
        <f>'เย็น '!I79+'เช้า '!I79+บ่าย!I79</f>
        <v>0</v>
      </c>
      <c r="J79" s="31">
        <f>'เย็น '!J79+'เช้า '!J79+บ่าย!J79</f>
        <v>0</v>
      </c>
      <c r="K79" s="31">
        <f>'เย็น '!K79+'เช้า '!K79+บ่าย!K79</f>
        <v>0</v>
      </c>
      <c r="L79" s="37">
        <f t="shared" ref="L79:L87" si="7">SUM(D79:K79)</f>
        <v>0</v>
      </c>
      <c r="M79" s="11"/>
      <c r="N79" s="11"/>
      <c r="O79" s="11"/>
      <c r="P79" s="11"/>
      <c r="Q79" s="45">
        <f t="shared" ref="Q79:Q87" si="8">(M79+N79+O79+P79)-L79</f>
        <v>0</v>
      </c>
    </row>
    <row r="80" spans="2:20" x14ac:dyDescent="0.2">
      <c r="B80" s="11">
        <v>1111015</v>
      </c>
      <c r="C80" s="20" t="s">
        <v>66</v>
      </c>
      <c r="D80" s="31">
        <f>'เย็น '!D80+'เช้า '!D80+บ่าย!D80</f>
        <v>0</v>
      </c>
      <c r="E80" s="31">
        <f>'เย็น '!E80+'เช้า '!E80+บ่าย!E80</f>
        <v>0</v>
      </c>
      <c r="F80" s="31">
        <f>'เย็น '!F80+'เช้า '!F80+บ่าย!F80</f>
        <v>0</v>
      </c>
      <c r="G80" s="31">
        <f>'เย็น '!G80+'เช้า '!G80+บ่าย!G80</f>
        <v>0</v>
      </c>
      <c r="H80" s="31">
        <f>'เย็น '!H80+'เช้า '!H80+บ่าย!H80</f>
        <v>0</v>
      </c>
      <c r="I80" s="31">
        <f>'เย็น '!I80+'เช้า '!I80+บ่าย!I80</f>
        <v>0</v>
      </c>
      <c r="J80" s="31">
        <f>'เย็น '!J80+'เช้า '!J80+บ่าย!J80</f>
        <v>0</v>
      </c>
      <c r="K80" s="31">
        <f>'เย็น '!K80+'เช้า '!K80+บ่าย!K80</f>
        <v>0</v>
      </c>
      <c r="L80" s="37">
        <f t="shared" si="7"/>
        <v>0</v>
      </c>
      <c r="M80" s="11"/>
      <c r="N80" s="11"/>
      <c r="O80" s="11"/>
      <c r="P80" s="11"/>
      <c r="Q80" s="45">
        <f t="shared" si="8"/>
        <v>0</v>
      </c>
    </row>
    <row r="81" spans="2:17" x14ac:dyDescent="0.2">
      <c r="B81" s="11">
        <v>1111013</v>
      </c>
      <c r="C81" s="20" t="s">
        <v>67</v>
      </c>
      <c r="D81" s="31">
        <f>'เย็น '!D81+'เช้า '!D81+บ่าย!D81</f>
        <v>0</v>
      </c>
      <c r="E81" s="31">
        <f>'เย็น '!E81+'เช้า '!E81+บ่าย!E81</f>
        <v>0</v>
      </c>
      <c r="F81" s="31">
        <f>'เย็น '!F81+'เช้า '!F81+บ่าย!F81</f>
        <v>0</v>
      </c>
      <c r="G81" s="31">
        <f>'เย็น '!G81+'เช้า '!G81+บ่าย!G81</f>
        <v>0</v>
      </c>
      <c r="H81" s="31">
        <f>'เย็น '!H81+'เช้า '!H81+บ่าย!H81</f>
        <v>0</v>
      </c>
      <c r="I81" s="31">
        <f>'เย็น '!I81+'เช้า '!I81+บ่าย!I81</f>
        <v>0</v>
      </c>
      <c r="J81" s="31">
        <f>'เย็น '!J81+'เช้า '!J81+บ่าย!J81</f>
        <v>0</v>
      </c>
      <c r="K81" s="31">
        <f>'เย็น '!K81+'เช้า '!K81+บ่าย!K81</f>
        <v>0</v>
      </c>
      <c r="L81" s="37">
        <f t="shared" si="7"/>
        <v>0</v>
      </c>
      <c r="M81" s="11"/>
      <c r="N81" s="11"/>
      <c r="O81" s="11"/>
      <c r="P81" s="11"/>
      <c r="Q81" s="45">
        <f t="shared" si="8"/>
        <v>0</v>
      </c>
    </row>
    <row r="82" spans="2:17" x14ac:dyDescent="0.2">
      <c r="B82" s="11">
        <v>1111024</v>
      </c>
      <c r="C82" s="20" t="s">
        <v>68</v>
      </c>
      <c r="D82" s="31">
        <f>'เย็น '!D82+'เช้า '!D82+บ่าย!D82</f>
        <v>0</v>
      </c>
      <c r="E82" s="31">
        <f>'เย็น '!E82+'เช้า '!E82+บ่าย!E82</f>
        <v>0</v>
      </c>
      <c r="F82" s="31">
        <f>'เย็น '!F82+'เช้า '!F82+บ่าย!F82</f>
        <v>0</v>
      </c>
      <c r="G82" s="31">
        <f>'เย็น '!G82+'เช้า '!G82+บ่าย!G82</f>
        <v>0</v>
      </c>
      <c r="H82" s="31">
        <f>'เย็น '!H82+'เช้า '!H82+บ่าย!H82</f>
        <v>0</v>
      </c>
      <c r="I82" s="31">
        <f>'เย็น '!I82+'เช้า '!I82+บ่าย!I82</f>
        <v>0</v>
      </c>
      <c r="J82" s="31">
        <f>'เย็น '!J82+'เช้า '!J82+บ่าย!J82</f>
        <v>0</v>
      </c>
      <c r="K82" s="31">
        <f>'เย็น '!K82+'เช้า '!K82+บ่าย!K82</f>
        <v>0</v>
      </c>
      <c r="L82" s="37">
        <f t="shared" si="7"/>
        <v>0</v>
      </c>
      <c r="M82" s="11"/>
      <c r="N82" s="11"/>
      <c r="O82" s="11"/>
      <c r="P82" s="11"/>
      <c r="Q82" s="45">
        <f t="shared" si="8"/>
        <v>0</v>
      </c>
    </row>
    <row r="83" spans="2:17" x14ac:dyDescent="0.2">
      <c r="B83" s="11">
        <v>1111017</v>
      </c>
      <c r="C83" s="20" t="s">
        <v>69</v>
      </c>
      <c r="D83" s="31">
        <f>'เย็น '!D83+'เช้า '!D83+บ่าย!D83</f>
        <v>0</v>
      </c>
      <c r="E83" s="31">
        <f>'เย็น '!E83+'เช้า '!E83+บ่าย!E83</f>
        <v>0</v>
      </c>
      <c r="F83" s="31">
        <f>'เย็น '!F83+'เช้า '!F83+บ่าย!F83</f>
        <v>0</v>
      </c>
      <c r="G83" s="31">
        <f>'เย็น '!G83+'เช้า '!G83+บ่าย!G83</f>
        <v>0</v>
      </c>
      <c r="H83" s="31">
        <f>'เย็น '!H83+'เช้า '!H83+บ่าย!H83</f>
        <v>0</v>
      </c>
      <c r="I83" s="31">
        <f>'เย็น '!I83+'เช้า '!I83+บ่าย!I83</f>
        <v>0</v>
      </c>
      <c r="J83" s="31">
        <f>'เย็น '!J83+'เช้า '!J83+บ่าย!J83</f>
        <v>0</v>
      </c>
      <c r="K83" s="31">
        <f>'เย็น '!K83+'เช้า '!K83+บ่าย!K83</f>
        <v>0</v>
      </c>
      <c r="L83" s="37">
        <f t="shared" si="7"/>
        <v>0</v>
      </c>
      <c r="M83" s="11"/>
      <c r="N83" s="11"/>
      <c r="O83" s="11"/>
      <c r="P83" s="11"/>
      <c r="Q83" s="45">
        <f t="shared" si="8"/>
        <v>0</v>
      </c>
    </row>
    <row r="84" spans="2:17" x14ac:dyDescent="0.2">
      <c r="B84" s="11">
        <v>1111011</v>
      </c>
      <c r="C84" s="20" t="s">
        <v>70</v>
      </c>
      <c r="D84" s="31">
        <f>'เย็น '!D84+'เช้า '!D84+บ่าย!D84</f>
        <v>0</v>
      </c>
      <c r="E84" s="31">
        <f>'เย็น '!E84+'เช้า '!E84+บ่าย!E84</f>
        <v>0</v>
      </c>
      <c r="F84" s="31">
        <f>'เย็น '!F84+'เช้า '!F84+บ่าย!F84</f>
        <v>0</v>
      </c>
      <c r="G84" s="31">
        <f>'เย็น '!G84+'เช้า '!G84+บ่าย!G84</f>
        <v>0</v>
      </c>
      <c r="H84" s="31">
        <f>'เย็น '!H84+'เช้า '!H84+บ่าย!H84</f>
        <v>0</v>
      </c>
      <c r="I84" s="31">
        <f>'เย็น '!I84+'เช้า '!I84+บ่าย!I84</f>
        <v>0</v>
      </c>
      <c r="J84" s="31">
        <f>'เย็น '!J84+'เช้า '!J84+บ่าย!J84</f>
        <v>0</v>
      </c>
      <c r="K84" s="31">
        <f>'เย็น '!K84+'เช้า '!K84+บ่าย!K84</f>
        <v>0</v>
      </c>
      <c r="L84" s="37">
        <f t="shared" si="7"/>
        <v>0</v>
      </c>
      <c r="M84" s="11"/>
      <c r="N84" s="11"/>
      <c r="O84" s="11"/>
      <c r="P84" s="11"/>
      <c r="Q84" s="45">
        <f t="shared" si="8"/>
        <v>0</v>
      </c>
    </row>
    <row r="85" spans="2:17" x14ac:dyDescent="0.2">
      <c r="B85" s="11">
        <v>1111019</v>
      </c>
      <c r="C85" s="20" t="s">
        <v>71</v>
      </c>
      <c r="D85" s="31">
        <f>'เย็น '!D85+'เช้า '!D85+บ่าย!D85</f>
        <v>0</v>
      </c>
      <c r="E85" s="31">
        <f>'เย็น '!E85+'เช้า '!E85+บ่าย!E85</f>
        <v>0</v>
      </c>
      <c r="F85" s="31">
        <f>'เย็น '!F85+'เช้า '!F85+บ่าย!F85</f>
        <v>0</v>
      </c>
      <c r="G85" s="31">
        <f>'เย็น '!G85+'เช้า '!G85+บ่าย!G85</f>
        <v>0</v>
      </c>
      <c r="H85" s="31">
        <f>'เย็น '!H85+'เช้า '!H85+บ่าย!H85</f>
        <v>0</v>
      </c>
      <c r="I85" s="31">
        <f>'เย็น '!I85+'เช้า '!I85+บ่าย!I85</f>
        <v>0</v>
      </c>
      <c r="J85" s="31">
        <f>'เย็น '!J85+'เช้า '!J85+บ่าย!J85</f>
        <v>0</v>
      </c>
      <c r="K85" s="31">
        <f>'เย็น '!K85+'เช้า '!K85+บ่าย!K85</f>
        <v>0</v>
      </c>
      <c r="L85" s="37">
        <f t="shared" si="7"/>
        <v>0</v>
      </c>
      <c r="M85" s="11"/>
      <c r="N85" s="11"/>
      <c r="O85" s="11"/>
      <c r="P85" s="11"/>
      <c r="Q85" s="45">
        <f t="shared" si="8"/>
        <v>0</v>
      </c>
    </row>
    <row r="86" spans="2:17" x14ac:dyDescent="0.2">
      <c r="B86" s="11">
        <v>1113081</v>
      </c>
      <c r="C86" s="20" t="s">
        <v>72</v>
      </c>
      <c r="D86" s="31">
        <f>'เย็น '!D86+'เช้า '!D86+บ่าย!D86</f>
        <v>0</v>
      </c>
      <c r="E86" s="31">
        <f>'เย็น '!E86+'เช้า '!E86+บ่าย!E86</f>
        <v>0</v>
      </c>
      <c r="F86" s="31">
        <f>'เย็น '!F86+'เช้า '!F86+บ่าย!F86</f>
        <v>0</v>
      </c>
      <c r="G86" s="31">
        <f>'เย็น '!G86+'เช้า '!G86+บ่าย!G86</f>
        <v>0</v>
      </c>
      <c r="H86" s="31">
        <f>'เย็น '!H86+'เช้า '!H86+บ่าย!H86</f>
        <v>0</v>
      </c>
      <c r="I86" s="31">
        <f>'เย็น '!I86+'เช้า '!I86+บ่าย!I86</f>
        <v>0</v>
      </c>
      <c r="J86" s="31">
        <f>'เย็น '!J86+'เช้า '!J86+บ่าย!J86</f>
        <v>0</v>
      </c>
      <c r="K86" s="31">
        <f>'เย็น '!K86+'เช้า '!K86+บ่าย!K86</f>
        <v>0</v>
      </c>
      <c r="L86" s="37">
        <f t="shared" si="7"/>
        <v>0</v>
      </c>
      <c r="M86" s="11"/>
      <c r="N86" s="11"/>
      <c r="O86" s="11"/>
      <c r="P86" s="11"/>
      <c r="Q86" s="45">
        <f t="shared" si="8"/>
        <v>0</v>
      </c>
    </row>
    <row r="87" spans="2:17" x14ac:dyDescent="0.2">
      <c r="B87" s="11">
        <v>1111008</v>
      </c>
      <c r="C87" s="20" t="s">
        <v>73</v>
      </c>
      <c r="D87" s="31">
        <f>'เย็น '!D87+'เช้า '!D87+บ่าย!D87</f>
        <v>0</v>
      </c>
      <c r="E87" s="31">
        <f>'เย็น '!E87+'เช้า '!E87+บ่าย!E87</f>
        <v>3</v>
      </c>
      <c r="F87" s="31">
        <f>'เย็น '!F87+'เช้า '!F87+บ่าย!F87</f>
        <v>0</v>
      </c>
      <c r="G87" s="31">
        <f>'เย็น '!G87+'เช้า '!G87+บ่าย!G87</f>
        <v>21</v>
      </c>
      <c r="H87" s="31">
        <f>'เย็น '!H87+'เช้า '!H87+บ่าย!H87</f>
        <v>0</v>
      </c>
      <c r="I87" s="31">
        <f>'เย็น '!I87+'เช้า '!I87+บ่าย!I87</f>
        <v>0</v>
      </c>
      <c r="J87" s="31">
        <f>'เย็น '!J87+'เช้า '!J87+บ่าย!J87</f>
        <v>0</v>
      </c>
      <c r="K87" s="31">
        <f>'เย็น '!K87+'เช้า '!K87+บ่าย!K87</f>
        <v>0</v>
      </c>
      <c r="L87" s="37">
        <f t="shared" si="7"/>
        <v>24</v>
      </c>
      <c r="M87" s="11"/>
      <c r="N87" s="11">
        <v>3</v>
      </c>
      <c r="O87" s="11">
        <v>3</v>
      </c>
      <c r="P87" s="11">
        <v>50</v>
      </c>
      <c r="Q87" s="45">
        <f t="shared" si="8"/>
        <v>32</v>
      </c>
    </row>
    <row r="88" spans="2:17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37">
        <f>SUM(D88:J88)</f>
        <v>0</v>
      </c>
      <c r="M88" s="11"/>
      <c r="N88" s="11"/>
      <c r="O88" s="11"/>
      <c r="P88" s="11"/>
      <c r="Q88" s="45">
        <f t="shared" si="6"/>
        <v>0</v>
      </c>
    </row>
    <row r="89" spans="2:17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6"/>
    </row>
    <row r="90" spans="2:17" x14ac:dyDescent="0.2">
      <c r="B90" s="11">
        <v>1112009</v>
      </c>
      <c r="C90" s="20" t="s">
        <v>75</v>
      </c>
      <c r="D90" s="31">
        <f>'เย็น '!D90+'เช้า '!D90+บ่าย!D90</f>
        <v>0</v>
      </c>
      <c r="E90" s="31">
        <f>'เย็น '!E90+'เช้า '!E90+บ่าย!E90</f>
        <v>2</v>
      </c>
      <c r="F90" s="31">
        <f>'เย็น '!F90+'เช้า '!F90+บ่าย!F90</f>
        <v>0</v>
      </c>
      <c r="G90" s="31">
        <f>'เย็น '!G90+'เช้า '!G90+บ่าย!G90</f>
        <v>9</v>
      </c>
      <c r="H90" s="31">
        <f>'เย็น '!H90+'เช้า '!H90+บ่าย!H90</f>
        <v>0</v>
      </c>
      <c r="I90" s="31">
        <f>'เย็น '!I90+'เช้า '!I90+บ่าย!I90</f>
        <v>0</v>
      </c>
      <c r="J90" s="31">
        <f>'เย็น '!J90+'เช้า '!J90+บ่าย!J90</f>
        <v>0</v>
      </c>
      <c r="K90" s="31">
        <f>'เย็น '!K90+'เช้า '!K90+บ่าย!K90</f>
        <v>2</v>
      </c>
      <c r="L90" s="37">
        <f t="shared" ref="L90:L99" si="9">SUM(D90:K90)</f>
        <v>13</v>
      </c>
      <c r="M90" s="11"/>
      <c r="N90" s="11">
        <v>26</v>
      </c>
      <c r="O90" s="11">
        <v>6</v>
      </c>
      <c r="P90" s="11">
        <v>40</v>
      </c>
      <c r="Q90" s="45">
        <f t="shared" ref="Q90:Q99" si="10">(M90+N90+O90+P90)-L90</f>
        <v>59</v>
      </c>
    </row>
    <row r="91" spans="2:17" x14ac:dyDescent="0.2">
      <c r="B91" s="11">
        <v>1112011</v>
      </c>
      <c r="C91" s="20" t="s">
        <v>76</v>
      </c>
      <c r="D91" s="31">
        <f>'เย็น '!D91+'เช้า '!D91+บ่าย!D91</f>
        <v>0</v>
      </c>
      <c r="E91" s="31">
        <f>'เย็น '!E91+'เช้า '!E91+บ่าย!E91</f>
        <v>2</v>
      </c>
      <c r="F91" s="31">
        <f>'เย็น '!F91+'เช้า '!F91+บ่าย!F91</f>
        <v>6</v>
      </c>
      <c r="G91" s="31">
        <f>'เย็น '!G91+'เช้า '!G91+บ่าย!G91</f>
        <v>8</v>
      </c>
      <c r="H91" s="31">
        <f>'เย็น '!H91+'เช้า '!H91+บ่าย!H91</f>
        <v>0</v>
      </c>
      <c r="I91" s="31">
        <f>'เย็น '!I91+'เช้า '!I91+บ่าย!I91</f>
        <v>0</v>
      </c>
      <c r="J91" s="31">
        <f>'เย็น '!J91+'เช้า '!J91+บ่าย!J91</f>
        <v>0</v>
      </c>
      <c r="K91" s="31">
        <f>'เย็น '!K91+'เช้า '!K91+บ่าย!K91</f>
        <v>0</v>
      </c>
      <c r="L91" s="37">
        <f t="shared" si="9"/>
        <v>16</v>
      </c>
      <c r="M91" s="11"/>
      <c r="N91" s="11">
        <v>22</v>
      </c>
      <c r="O91" s="11">
        <v>12</v>
      </c>
      <c r="P91" s="11">
        <v>60</v>
      </c>
      <c r="Q91" s="45">
        <f t="shared" si="10"/>
        <v>78</v>
      </c>
    </row>
    <row r="92" spans="2:17" x14ac:dyDescent="0.2">
      <c r="B92" s="11">
        <v>1112003</v>
      </c>
      <c r="C92" s="20" t="s">
        <v>77</v>
      </c>
      <c r="D92" s="31">
        <f>'เย็น '!D92+'เช้า '!D92+บ่าย!D92</f>
        <v>0</v>
      </c>
      <c r="E92" s="31">
        <f>'เย็น '!E92+'เช้า '!E92+บ่าย!E92</f>
        <v>2</v>
      </c>
      <c r="F92" s="31">
        <f>'เย็น '!F92+'เช้า '!F92+บ่าย!F92</f>
        <v>0</v>
      </c>
      <c r="G92" s="31">
        <f>'เย็น '!G92+'เช้า '!G92+บ่าย!G92</f>
        <v>7</v>
      </c>
      <c r="H92" s="31">
        <f>'เย็น '!H92+'เช้า '!H92+บ่าย!H92</f>
        <v>0</v>
      </c>
      <c r="I92" s="31">
        <f>'เย็น '!I92+'เช้า '!I92+บ่าย!I92</f>
        <v>0</v>
      </c>
      <c r="J92" s="31">
        <f>'เย็น '!J92+'เช้า '!J92+บ่าย!J92</f>
        <v>0</v>
      </c>
      <c r="K92" s="31">
        <f>'เย็น '!K92+'เช้า '!K92+บ่าย!K92</f>
        <v>0</v>
      </c>
      <c r="L92" s="37">
        <f t="shared" si="9"/>
        <v>9</v>
      </c>
      <c r="M92" s="11"/>
      <c r="N92" s="11">
        <v>13</v>
      </c>
      <c r="O92" s="11">
        <v>5</v>
      </c>
      <c r="P92" s="11">
        <v>40</v>
      </c>
      <c r="Q92" s="45">
        <f t="shared" si="10"/>
        <v>49</v>
      </c>
    </row>
    <row r="93" spans="2:17" x14ac:dyDescent="0.2">
      <c r="B93" s="11">
        <v>1112005</v>
      </c>
      <c r="C93" s="20" t="s">
        <v>78</v>
      </c>
      <c r="D93" s="31">
        <f>'เย็น '!D93+'เช้า '!D93+บ่าย!D93</f>
        <v>0</v>
      </c>
      <c r="E93" s="31">
        <f>'เย็น '!E93+'เช้า '!E93+บ่าย!E93</f>
        <v>0</v>
      </c>
      <c r="F93" s="31">
        <f>'เย็น '!F93+'เช้า '!F93+บ่าย!F93</f>
        <v>0</v>
      </c>
      <c r="G93" s="31">
        <f>'เย็น '!G93+'เช้า '!G93+บ่าย!G93</f>
        <v>7</v>
      </c>
      <c r="H93" s="31">
        <f>'เย็น '!H93+'เช้า '!H93+บ่าย!H93</f>
        <v>0</v>
      </c>
      <c r="I93" s="31">
        <f>'เย็น '!I93+'เช้า '!I93+บ่าย!I93</f>
        <v>0</v>
      </c>
      <c r="J93" s="31">
        <f>'เย็น '!J93+'เช้า '!J93+บ่าย!J93</f>
        <v>0</v>
      </c>
      <c r="K93" s="31">
        <f>'เย็น '!K93+'เช้า '!K93+บ่าย!K93</f>
        <v>0</v>
      </c>
      <c r="L93" s="37">
        <f t="shared" si="9"/>
        <v>7</v>
      </c>
      <c r="M93" s="11"/>
      <c r="N93" s="11">
        <v>22</v>
      </c>
      <c r="O93" s="11">
        <v>4</v>
      </c>
      <c r="P93" s="11">
        <v>40</v>
      </c>
      <c r="Q93" s="45">
        <f t="shared" si="10"/>
        <v>59</v>
      </c>
    </row>
    <row r="94" spans="2:17" x14ac:dyDescent="0.2">
      <c r="B94" s="11">
        <v>1112007</v>
      </c>
      <c r="C94" s="20" t="s">
        <v>79</v>
      </c>
      <c r="D94" s="31">
        <f>'เย็น '!D94+'เช้า '!D94+บ่าย!D94</f>
        <v>0</v>
      </c>
      <c r="E94" s="31">
        <f>'เย็น '!E94+'เช้า '!E94+บ่าย!E94</f>
        <v>0</v>
      </c>
      <c r="F94" s="31">
        <f>'เย็น '!F94+'เช้า '!F94+บ่าย!F94</f>
        <v>0</v>
      </c>
      <c r="G94" s="31">
        <f>'เย็น '!G94+'เช้า '!G94+บ่าย!G94</f>
        <v>0</v>
      </c>
      <c r="H94" s="31">
        <f>'เย็น '!H94+'เช้า '!H94+บ่าย!H94</f>
        <v>0</v>
      </c>
      <c r="I94" s="31">
        <f>'เย็น '!I94+'เช้า '!I94+บ่าย!I94</f>
        <v>0</v>
      </c>
      <c r="J94" s="31">
        <f>'เย็น '!J94+'เช้า '!J94+บ่าย!J94</f>
        <v>0</v>
      </c>
      <c r="K94" s="31">
        <f>'เย็น '!K94+'เช้า '!K94+บ่าย!K94</f>
        <v>0</v>
      </c>
      <c r="L94" s="37">
        <f t="shared" si="9"/>
        <v>0</v>
      </c>
      <c r="M94" s="11"/>
      <c r="N94" s="11"/>
      <c r="O94" s="11"/>
      <c r="P94" s="11"/>
      <c r="Q94" s="45">
        <f t="shared" si="10"/>
        <v>0</v>
      </c>
    </row>
    <row r="95" spans="2:17" x14ac:dyDescent="0.2">
      <c r="B95" s="11">
        <v>1112019</v>
      </c>
      <c r="C95" s="20" t="s">
        <v>80</v>
      </c>
      <c r="D95" s="31">
        <f>'เย็น '!D95+'เช้า '!D95+บ่าย!D95</f>
        <v>0</v>
      </c>
      <c r="E95" s="31">
        <f>'เย็น '!E95+'เช้า '!E95+บ่าย!E95</f>
        <v>0</v>
      </c>
      <c r="F95" s="31">
        <f>'เย็น '!F95+'เช้า '!F95+บ่าย!F95</f>
        <v>0</v>
      </c>
      <c r="G95" s="31">
        <f>'เย็น '!G95+'เช้า '!G95+บ่าย!G95</f>
        <v>0</v>
      </c>
      <c r="H95" s="31">
        <f>'เย็น '!H95+'เช้า '!H95+บ่าย!H95</f>
        <v>0</v>
      </c>
      <c r="I95" s="31">
        <f>'เย็น '!I95+'เช้า '!I95+บ่าย!I95</f>
        <v>0</v>
      </c>
      <c r="J95" s="31">
        <f>'เย็น '!J95+'เช้า '!J95+บ่าย!J95</f>
        <v>0</v>
      </c>
      <c r="K95" s="31">
        <f>'เย็น '!K95+'เช้า '!K95+บ่าย!K95</f>
        <v>2</v>
      </c>
      <c r="L95" s="37">
        <f t="shared" si="9"/>
        <v>2</v>
      </c>
      <c r="M95" s="11"/>
      <c r="N95" s="11"/>
      <c r="O95" s="11"/>
      <c r="P95" s="11"/>
      <c r="Q95" s="45">
        <f t="shared" si="10"/>
        <v>-2</v>
      </c>
    </row>
    <row r="96" spans="2:17" x14ac:dyDescent="0.2">
      <c r="B96" s="11">
        <v>1112017</v>
      </c>
      <c r="C96" s="20" t="s">
        <v>81</v>
      </c>
      <c r="D96" s="31">
        <f>'เย็น '!D96+'เช้า '!D96+บ่าย!D96</f>
        <v>0</v>
      </c>
      <c r="E96" s="31">
        <f>'เย็น '!E96+'เช้า '!E96+บ่าย!E96</f>
        <v>0</v>
      </c>
      <c r="F96" s="31">
        <f>'เย็น '!F96+'เช้า '!F96+บ่าย!F96</f>
        <v>0</v>
      </c>
      <c r="G96" s="31">
        <f>'เย็น '!G96+'เช้า '!G96+บ่าย!G96</f>
        <v>3</v>
      </c>
      <c r="H96" s="31">
        <f>'เย็น '!H96+'เช้า '!H96+บ่าย!H96</f>
        <v>0</v>
      </c>
      <c r="I96" s="31">
        <f>'เย็น '!I96+'เช้า '!I96+บ่าย!I96</f>
        <v>0</v>
      </c>
      <c r="J96" s="31">
        <f>'เย็น '!J96+'เช้า '!J96+บ่าย!J96</f>
        <v>0</v>
      </c>
      <c r="K96" s="31">
        <f>'เย็น '!K96+'เช้า '!K96+บ่าย!K96</f>
        <v>0</v>
      </c>
      <c r="L96" s="37">
        <f t="shared" si="9"/>
        <v>3</v>
      </c>
      <c r="M96" s="11"/>
      <c r="N96" s="11">
        <v>14</v>
      </c>
      <c r="O96" s="11"/>
      <c r="P96" s="11"/>
      <c r="Q96" s="45">
        <f t="shared" si="10"/>
        <v>11</v>
      </c>
    </row>
    <row r="97" spans="2:17" x14ac:dyDescent="0.2">
      <c r="B97" s="11">
        <v>1112015</v>
      </c>
      <c r="C97" s="20" t="s">
        <v>82</v>
      </c>
      <c r="D97" s="31">
        <f>'เย็น '!D97+'เช้า '!D97+บ่าย!D97</f>
        <v>0</v>
      </c>
      <c r="E97" s="31">
        <f>'เย็น '!E97+'เช้า '!E97+บ่าย!E97</f>
        <v>0</v>
      </c>
      <c r="F97" s="31">
        <f>'เย็น '!F97+'เช้า '!F97+บ่าย!F97</f>
        <v>0</v>
      </c>
      <c r="G97" s="31">
        <f>'เย็น '!G97+'เช้า '!G97+บ่าย!G97</f>
        <v>4</v>
      </c>
      <c r="H97" s="31">
        <f>'เย็น '!H97+'เช้า '!H97+บ่าย!H97</f>
        <v>0</v>
      </c>
      <c r="I97" s="31">
        <f>'เย็น '!I97+'เช้า '!I97+บ่าย!I97</f>
        <v>0</v>
      </c>
      <c r="J97" s="31">
        <f>'เย็น '!J97+'เช้า '!J97+บ่าย!J97</f>
        <v>0</v>
      </c>
      <c r="K97" s="31">
        <f>'เย็น '!K97+'เช้า '!K97+บ่าย!K97</f>
        <v>0</v>
      </c>
      <c r="L97" s="37">
        <f t="shared" si="9"/>
        <v>4</v>
      </c>
      <c r="M97" s="11"/>
      <c r="N97" s="11">
        <v>34</v>
      </c>
      <c r="O97" s="11"/>
      <c r="P97" s="11"/>
      <c r="Q97" s="45">
        <f t="shared" si="10"/>
        <v>30</v>
      </c>
    </row>
    <row r="98" spans="2:17" x14ac:dyDescent="0.2">
      <c r="B98" s="11">
        <v>1112013</v>
      </c>
      <c r="C98" s="20" t="s">
        <v>83</v>
      </c>
      <c r="D98" s="31">
        <f>'เย็น '!D98+'เช้า '!D98+บ่าย!D98</f>
        <v>0</v>
      </c>
      <c r="E98" s="31">
        <f>'เย็น '!E98+'เช้า '!E98+บ่าย!E98</f>
        <v>0</v>
      </c>
      <c r="F98" s="31">
        <f>'เย็น '!F98+'เช้า '!F98+บ่าย!F98</f>
        <v>0</v>
      </c>
      <c r="G98" s="31">
        <f>'เย็น '!G98+'เช้า '!G98+บ่าย!G98</f>
        <v>3</v>
      </c>
      <c r="H98" s="31">
        <f>'เย็น '!H98+'เช้า '!H98+บ่าย!H98</f>
        <v>0</v>
      </c>
      <c r="I98" s="31">
        <f>'เย็น '!I98+'เช้า '!I98+บ่าย!I98</f>
        <v>0</v>
      </c>
      <c r="J98" s="31">
        <f>'เย็น '!J98+'เช้า '!J98+บ่าย!J98</f>
        <v>0</v>
      </c>
      <c r="K98" s="31">
        <f>'เย็น '!K98+'เช้า '!K98+บ่าย!K98</f>
        <v>0</v>
      </c>
      <c r="L98" s="37">
        <f t="shared" si="9"/>
        <v>3</v>
      </c>
      <c r="M98" s="11"/>
      <c r="N98" s="11">
        <v>2</v>
      </c>
      <c r="O98" s="11"/>
      <c r="P98" s="11"/>
      <c r="Q98" s="45">
        <f t="shared" si="10"/>
        <v>-1</v>
      </c>
    </row>
    <row r="99" spans="2:17" x14ac:dyDescent="0.2">
      <c r="B99" s="11">
        <v>1124043</v>
      </c>
      <c r="C99" s="20" t="s">
        <v>84</v>
      </c>
      <c r="D99" s="31">
        <f>บ่าย!D99+'เช้า '!D99+'เย็น '!D99</f>
        <v>0</v>
      </c>
      <c r="E99" s="31">
        <f>บ่าย!E99+'เช้า '!E99+'เย็น '!E99</f>
        <v>0</v>
      </c>
      <c r="F99" s="31">
        <f>บ่าย!F99+'เช้า '!F99+'เย็น '!F99</f>
        <v>0</v>
      </c>
      <c r="G99" s="31">
        <f>บ่าย!G99+'เช้า '!G99+'เย็น '!G99</f>
        <v>0</v>
      </c>
      <c r="H99" s="31">
        <f>บ่าย!H99+'เช้า '!H99+'เย็น '!H99</f>
        <v>0</v>
      </c>
      <c r="I99" s="31">
        <f>บ่าย!I99+'เช้า '!I99+'เย็น '!I99</f>
        <v>0</v>
      </c>
      <c r="J99" s="31">
        <f>บ่าย!J99+'เช้า '!J99+'เย็น '!J99</f>
        <v>0</v>
      </c>
      <c r="K99" s="44"/>
      <c r="L99" s="37">
        <f t="shared" si="9"/>
        <v>0</v>
      </c>
      <c r="M99" s="11"/>
      <c r="N99" s="11"/>
      <c r="O99" s="11"/>
      <c r="P99" s="11"/>
      <c r="Q99" s="45">
        <f t="shared" si="10"/>
        <v>0</v>
      </c>
    </row>
    <row r="100" spans="2:17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>SUM(L90:L99)</f>
        <v>57</v>
      </c>
      <c r="M100" s="11"/>
      <c r="N100" s="11"/>
      <c r="O100" s="11"/>
      <c r="P100" s="11"/>
      <c r="Q100" s="45"/>
    </row>
    <row r="101" spans="2:17" ht="19.5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6"/>
    </row>
    <row r="102" spans="2:17" x14ac:dyDescent="0.2">
      <c r="B102" s="11">
        <v>1112008</v>
      </c>
      <c r="C102" s="20" t="s">
        <v>75</v>
      </c>
      <c r="D102" s="31">
        <f>บ่าย!D102+'เช้า '!D102+'เย็น '!D102</f>
        <v>0</v>
      </c>
      <c r="E102" s="31">
        <f>บ่าย!E102+'เช้า '!E102+'เย็น '!E102</f>
        <v>2</v>
      </c>
      <c r="F102" s="31">
        <f>บ่าย!F102+'เช้า '!F102+'เย็น '!F102</f>
        <v>0</v>
      </c>
      <c r="G102" s="31">
        <f>บ่าย!G102+'เช้า '!G102+'เย็น '!G102</f>
        <v>0</v>
      </c>
      <c r="H102" s="31">
        <f>บ่าย!H102+'เช้า '!H102+'เย็น '!H102</f>
        <v>0</v>
      </c>
      <c r="I102" s="31">
        <f>บ่าย!I102+'เช้า '!I102+'เย็น '!I102</f>
        <v>0</v>
      </c>
      <c r="J102" s="31">
        <f>บ่าย!J102+'เช้า '!J102+'เย็น '!J102</f>
        <v>0</v>
      </c>
      <c r="K102" s="44"/>
      <c r="L102" s="37">
        <f t="shared" ref="L102:L111" si="11">SUM(D102:K102)</f>
        <v>2</v>
      </c>
      <c r="M102" s="11"/>
      <c r="N102" s="11">
        <v>2</v>
      </c>
      <c r="O102" s="11">
        <v>2</v>
      </c>
      <c r="P102" s="11"/>
      <c r="Q102" s="45">
        <f t="shared" ref="Q102:Q111" si="12">(M102+N102+O102+P102)-L102</f>
        <v>2</v>
      </c>
    </row>
    <row r="103" spans="2:17" x14ac:dyDescent="0.2">
      <c r="B103" s="11">
        <v>1112010</v>
      </c>
      <c r="C103" s="20" t="s">
        <v>76</v>
      </c>
      <c r="D103" s="31">
        <f>บ่าย!D103+'เช้า '!D103+'เย็น '!D103</f>
        <v>0</v>
      </c>
      <c r="E103" s="31">
        <f>บ่าย!E103+'เช้า '!E103+'เย็น '!E103</f>
        <v>0</v>
      </c>
      <c r="F103" s="31">
        <f>บ่าย!F103+'เช้า '!F103+'เย็น '!F103</f>
        <v>0</v>
      </c>
      <c r="G103" s="31">
        <f>บ่าย!G103+'เช้า '!G103+'เย็น '!G103</f>
        <v>5</v>
      </c>
      <c r="H103" s="31">
        <f>บ่าย!H103+'เช้า '!H103+'เย็น '!H103</f>
        <v>0</v>
      </c>
      <c r="I103" s="31">
        <f>บ่าย!I103+'เช้า '!I103+'เย็น '!I103</f>
        <v>0</v>
      </c>
      <c r="J103" s="31">
        <f>บ่าย!J103+'เช้า '!J103+'เย็น '!J103</f>
        <v>0</v>
      </c>
      <c r="K103" s="44"/>
      <c r="L103" s="37">
        <f t="shared" si="11"/>
        <v>5</v>
      </c>
      <c r="M103" s="11"/>
      <c r="N103" s="11">
        <v>2</v>
      </c>
      <c r="O103" s="11"/>
      <c r="P103" s="11">
        <v>20</v>
      </c>
      <c r="Q103" s="45">
        <f t="shared" si="12"/>
        <v>17</v>
      </c>
    </row>
    <row r="104" spans="2:17" x14ac:dyDescent="0.2">
      <c r="B104" s="11">
        <v>1112002</v>
      </c>
      <c r="C104" s="20" t="s">
        <v>77</v>
      </c>
      <c r="D104" s="31">
        <f>บ่าย!D104+'เช้า '!D104+'เย็น '!D104</f>
        <v>0</v>
      </c>
      <c r="E104" s="31">
        <f>บ่าย!E104+'เช้า '!E104+'เย็น '!E104</f>
        <v>0</v>
      </c>
      <c r="F104" s="31">
        <f>บ่าย!F104+'เช้า '!F104+'เย็น '!F104</f>
        <v>0</v>
      </c>
      <c r="G104" s="31">
        <f>บ่าย!G104+'เช้า '!G104+'เย็น '!G104</f>
        <v>0</v>
      </c>
      <c r="H104" s="31">
        <f>บ่าย!H104+'เช้า '!H104+'เย็น '!H104</f>
        <v>0</v>
      </c>
      <c r="I104" s="31">
        <f>บ่าย!I104+'เช้า '!I104+'เย็น '!I104</f>
        <v>0</v>
      </c>
      <c r="J104" s="31">
        <f>บ่าย!J104+'เช้า '!J104+'เย็น '!J104</f>
        <v>0</v>
      </c>
      <c r="K104" s="44"/>
      <c r="L104" s="37">
        <f t="shared" si="11"/>
        <v>0</v>
      </c>
      <c r="M104" s="11"/>
      <c r="N104" s="11">
        <v>1</v>
      </c>
      <c r="O104" s="11"/>
      <c r="P104" s="11"/>
      <c r="Q104" s="45">
        <f t="shared" si="12"/>
        <v>1</v>
      </c>
    </row>
    <row r="105" spans="2:17" x14ac:dyDescent="0.2">
      <c r="B105" s="11">
        <v>1112004</v>
      </c>
      <c r="C105" s="20" t="s">
        <v>78</v>
      </c>
      <c r="D105" s="31">
        <f>บ่าย!D105+'เช้า '!D105+'เย็น '!D105</f>
        <v>0</v>
      </c>
      <c r="E105" s="31">
        <f>บ่าย!E105+'เช้า '!E105+'เย็น '!E105</f>
        <v>0</v>
      </c>
      <c r="F105" s="31">
        <f>บ่าย!F105+'เช้า '!F105+'เย็น '!F105</f>
        <v>0</v>
      </c>
      <c r="G105" s="31">
        <f>บ่าย!G105+'เช้า '!G105+'เย็น '!G105</f>
        <v>0</v>
      </c>
      <c r="H105" s="31">
        <f>บ่าย!H105+'เช้า '!H105+'เย็น '!H105</f>
        <v>0</v>
      </c>
      <c r="I105" s="31">
        <f>บ่าย!I105+'เช้า '!I105+'เย็น '!I105</f>
        <v>0</v>
      </c>
      <c r="J105" s="31">
        <f>บ่าย!J105+'เช้า '!J105+'เย็น '!J105</f>
        <v>0</v>
      </c>
      <c r="K105" s="44"/>
      <c r="L105" s="37">
        <f t="shared" si="11"/>
        <v>0</v>
      </c>
      <c r="M105" s="11"/>
      <c r="N105" s="11"/>
      <c r="O105" s="11"/>
      <c r="P105" s="11"/>
      <c r="Q105" s="45">
        <f t="shared" si="12"/>
        <v>0</v>
      </c>
    </row>
    <row r="106" spans="2:17" x14ac:dyDescent="0.2">
      <c r="B106" s="11">
        <v>1112006</v>
      </c>
      <c r="C106" s="20" t="s">
        <v>79</v>
      </c>
      <c r="D106" s="31">
        <f>บ่าย!D106+'เช้า '!D106+'เย็น '!D106</f>
        <v>0</v>
      </c>
      <c r="E106" s="31">
        <f>บ่าย!E106+'เช้า '!E106+'เย็น '!E106</f>
        <v>0</v>
      </c>
      <c r="F106" s="31">
        <f>บ่าย!F106+'เช้า '!F106+'เย็น '!F106</f>
        <v>0</v>
      </c>
      <c r="G106" s="31">
        <f>บ่าย!G106+'เช้า '!G106+'เย็น '!G106</f>
        <v>0</v>
      </c>
      <c r="H106" s="31">
        <f>บ่าย!H106+'เช้า '!H106+'เย็น '!H106</f>
        <v>0</v>
      </c>
      <c r="I106" s="31">
        <f>บ่าย!I106+'เช้า '!I106+'เย็น '!I106</f>
        <v>0</v>
      </c>
      <c r="J106" s="31">
        <f>บ่าย!J106+'เช้า '!J106+'เย็น '!J106</f>
        <v>0</v>
      </c>
      <c r="K106" s="44"/>
      <c r="L106" s="37">
        <f t="shared" si="11"/>
        <v>0</v>
      </c>
      <c r="M106" s="11"/>
      <c r="N106" s="11"/>
      <c r="O106" s="11"/>
      <c r="P106" s="11"/>
      <c r="Q106" s="45">
        <f t="shared" si="12"/>
        <v>0</v>
      </c>
    </row>
    <row r="107" spans="2:17" x14ac:dyDescent="0.2">
      <c r="B107" s="11">
        <v>1112018</v>
      </c>
      <c r="C107" s="20" t="s">
        <v>80</v>
      </c>
      <c r="D107" s="31">
        <f>บ่าย!D107+'เช้า '!D107+'เย็น '!D107</f>
        <v>0</v>
      </c>
      <c r="E107" s="31">
        <f>บ่าย!E107+'เช้า '!E107+'เย็น '!E107</f>
        <v>0</v>
      </c>
      <c r="F107" s="31">
        <f>บ่าย!F107+'เช้า '!F107+'เย็น '!F107</f>
        <v>0</v>
      </c>
      <c r="G107" s="31">
        <f>บ่าย!G107+'เช้า '!G107+'เย็น '!G107</f>
        <v>0</v>
      </c>
      <c r="H107" s="31">
        <f>บ่าย!H107+'เช้า '!H107+'เย็น '!H107</f>
        <v>0</v>
      </c>
      <c r="I107" s="31">
        <f>บ่าย!I107+'เช้า '!I107+'เย็น '!I107</f>
        <v>0</v>
      </c>
      <c r="J107" s="31">
        <f>บ่าย!J107+'เช้า '!J107+'เย็น '!J107</f>
        <v>0</v>
      </c>
      <c r="K107" s="44"/>
      <c r="L107" s="37">
        <f t="shared" si="11"/>
        <v>0</v>
      </c>
      <c r="M107" s="11"/>
      <c r="N107" s="11"/>
      <c r="O107" s="11"/>
      <c r="P107" s="11"/>
      <c r="Q107" s="45">
        <f t="shared" si="12"/>
        <v>0</v>
      </c>
    </row>
    <row r="108" spans="2:17" x14ac:dyDescent="0.2">
      <c r="B108" s="11">
        <v>1112016</v>
      </c>
      <c r="C108" s="20" t="s">
        <v>81</v>
      </c>
      <c r="D108" s="31">
        <f>บ่าย!D108+'เช้า '!D108+'เย็น '!D108</f>
        <v>0</v>
      </c>
      <c r="E108" s="31">
        <f>บ่าย!E108+'เช้า '!E108+'เย็น '!E108</f>
        <v>0</v>
      </c>
      <c r="F108" s="31">
        <f>บ่าย!F108+'เช้า '!F108+'เย็น '!F108</f>
        <v>0</v>
      </c>
      <c r="G108" s="31">
        <f>บ่าย!G108+'เช้า '!G108+'เย็น '!G108</f>
        <v>0</v>
      </c>
      <c r="H108" s="31">
        <f>บ่าย!H108+'เช้า '!H108+'เย็น '!H108</f>
        <v>0</v>
      </c>
      <c r="I108" s="31">
        <f>บ่าย!I108+'เช้า '!I108+'เย็น '!I108</f>
        <v>0</v>
      </c>
      <c r="J108" s="31">
        <f>บ่าย!J108+'เช้า '!J108+'เย็น '!J108</f>
        <v>0</v>
      </c>
      <c r="K108" s="44"/>
      <c r="L108" s="37">
        <f t="shared" si="11"/>
        <v>0</v>
      </c>
      <c r="M108" s="11"/>
      <c r="N108" s="11"/>
      <c r="O108" s="11"/>
      <c r="P108" s="11"/>
      <c r="Q108" s="45">
        <f t="shared" si="12"/>
        <v>0</v>
      </c>
    </row>
    <row r="109" spans="2:17" x14ac:dyDescent="0.2">
      <c r="B109" s="11">
        <v>1112014</v>
      </c>
      <c r="C109" s="20" t="s">
        <v>82</v>
      </c>
      <c r="D109" s="31">
        <f>บ่าย!D109+'เช้า '!D109+'เย็น '!D109</f>
        <v>0</v>
      </c>
      <c r="E109" s="31">
        <f>บ่าย!E109+'เช้า '!E109+'เย็น '!E109</f>
        <v>0</v>
      </c>
      <c r="F109" s="31">
        <f>บ่าย!F109+'เช้า '!F109+'เย็น '!F109</f>
        <v>0</v>
      </c>
      <c r="G109" s="31">
        <f>บ่าย!G109+'เช้า '!G109+'เย็น '!G109</f>
        <v>0</v>
      </c>
      <c r="H109" s="31">
        <f>บ่าย!H109+'เช้า '!H109+'เย็น '!H109</f>
        <v>0</v>
      </c>
      <c r="I109" s="31">
        <f>บ่าย!I109+'เช้า '!I109+'เย็น '!I109</f>
        <v>0</v>
      </c>
      <c r="J109" s="31">
        <f>บ่าย!J109+'เช้า '!J109+'เย็น '!J109</f>
        <v>0</v>
      </c>
      <c r="K109" s="44"/>
      <c r="L109" s="37">
        <f t="shared" si="11"/>
        <v>0</v>
      </c>
      <c r="M109" s="11"/>
      <c r="N109" s="11"/>
      <c r="O109" s="11"/>
      <c r="P109" s="11"/>
      <c r="Q109" s="45">
        <f t="shared" si="12"/>
        <v>0</v>
      </c>
    </row>
    <row r="110" spans="2:17" x14ac:dyDescent="0.2">
      <c r="B110" s="11">
        <v>1112012</v>
      </c>
      <c r="C110" s="20" t="s">
        <v>83</v>
      </c>
      <c r="D110" s="31">
        <f>บ่าย!D110+'เช้า '!D110+'เย็น '!D110</f>
        <v>0</v>
      </c>
      <c r="E110" s="31">
        <f>บ่าย!E110+'เช้า '!E110+'เย็น '!E110</f>
        <v>0</v>
      </c>
      <c r="F110" s="31">
        <f>บ่าย!F110+'เช้า '!F110+'เย็น '!F110</f>
        <v>0</v>
      </c>
      <c r="G110" s="31">
        <f>บ่าย!G110+'เช้า '!G110+'เย็น '!G110</f>
        <v>0</v>
      </c>
      <c r="H110" s="31">
        <f>บ่าย!H110+'เช้า '!H110+'เย็น '!H110</f>
        <v>0</v>
      </c>
      <c r="I110" s="31">
        <f>บ่าย!I110+'เช้า '!I110+'เย็น '!I110</f>
        <v>0</v>
      </c>
      <c r="J110" s="31">
        <f>บ่าย!J110+'เช้า '!J110+'เย็น '!J110</f>
        <v>0</v>
      </c>
      <c r="K110" s="44"/>
      <c r="L110" s="37">
        <f t="shared" si="11"/>
        <v>0</v>
      </c>
      <c r="M110" s="11"/>
      <c r="N110" s="11"/>
      <c r="O110" s="11"/>
      <c r="P110" s="11"/>
      <c r="Q110" s="45">
        <f t="shared" si="12"/>
        <v>0</v>
      </c>
    </row>
    <row r="111" spans="2:17" x14ac:dyDescent="0.2">
      <c r="B111" s="11"/>
      <c r="C111" s="20" t="s">
        <v>84</v>
      </c>
      <c r="D111" s="31">
        <f>บ่าย!D111+'เช้า '!D111+'เย็น '!D111</f>
        <v>0</v>
      </c>
      <c r="E111" s="31">
        <f>บ่าย!E111+'เช้า '!E111+'เย็น '!E111</f>
        <v>0</v>
      </c>
      <c r="F111" s="31">
        <f>บ่าย!F111+'เช้า '!F111+'เย็น '!F111</f>
        <v>0</v>
      </c>
      <c r="G111" s="31">
        <f>บ่าย!G111+'เช้า '!G111+'เย็น '!G111</f>
        <v>0</v>
      </c>
      <c r="H111" s="31">
        <f>บ่าย!H111+'เช้า '!H111+'เย็น '!H111</f>
        <v>0</v>
      </c>
      <c r="I111" s="31">
        <f>บ่าย!I111+'เช้า '!I111+'เย็น '!I111</f>
        <v>0</v>
      </c>
      <c r="J111" s="31">
        <f>บ่าย!J111+'เช้า '!J111+'เย็น '!J111</f>
        <v>0</v>
      </c>
      <c r="K111" s="44"/>
      <c r="L111" s="37">
        <f t="shared" si="11"/>
        <v>0</v>
      </c>
      <c r="M111" s="11"/>
      <c r="N111" s="11"/>
      <c r="O111" s="11"/>
      <c r="P111" s="11"/>
      <c r="Q111" s="45">
        <f t="shared" si="12"/>
        <v>0</v>
      </c>
    </row>
    <row r="112" spans="2:17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37">
        <f t="shared" ref="L112" si="13">SUM(D112:J112)</f>
        <v>0</v>
      </c>
      <c r="M112" s="11"/>
      <c r="N112" s="11"/>
      <c r="O112" s="11"/>
      <c r="P112" s="11"/>
      <c r="Q112" s="45">
        <f t="shared" ref="Q112" si="14">(M112+N112)-L112</f>
        <v>0</v>
      </c>
    </row>
    <row r="113" spans="2:17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6"/>
    </row>
    <row r="114" spans="2:17" x14ac:dyDescent="0.2">
      <c r="B114" s="11">
        <v>1113170</v>
      </c>
      <c r="C114" s="22" t="s">
        <v>87</v>
      </c>
      <c r="D114" s="31">
        <f>'เย็น '!D114+'เช้า '!D114+บ่าย!D114</f>
        <v>0</v>
      </c>
      <c r="E114" s="31">
        <f>'เย็น '!E114+'เช้า '!E114+บ่าย!E114</f>
        <v>0</v>
      </c>
      <c r="F114" s="31">
        <f>'เย็น '!F114+'เช้า '!F114+บ่าย!F114</f>
        <v>0</v>
      </c>
      <c r="G114" s="31"/>
      <c r="H114" s="31">
        <f>'เย็น '!H114+'เช้า '!H114+บ่าย!H114</f>
        <v>0</v>
      </c>
      <c r="I114" s="31">
        <f>'เย็น '!I114+'เช้า '!I114+บ่าย!I114</f>
        <v>0</v>
      </c>
      <c r="J114" s="31">
        <f>'เย็น '!J114+'เช้า '!J114+บ่าย!J114</f>
        <v>0</v>
      </c>
      <c r="K114" s="31">
        <f>'เย็น '!K114+'เช้า '!K114+บ่าย!K114</f>
        <v>0</v>
      </c>
      <c r="L114" s="37">
        <f t="shared" ref="L114:L140" si="15">SUM(D114:K114)</f>
        <v>0</v>
      </c>
      <c r="M114" s="11"/>
      <c r="N114" s="11"/>
      <c r="O114" s="11"/>
      <c r="P114" s="11"/>
      <c r="Q114" s="45">
        <f t="shared" ref="Q114:Q140" si="16">(M114+N114+O114+P114)-L114</f>
        <v>0</v>
      </c>
    </row>
    <row r="115" spans="2:17" x14ac:dyDescent="0.2">
      <c r="B115" s="11">
        <v>1113171</v>
      </c>
      <c r="C115" s="22" t="s">
        <v>88</v>
      </c>
      <c r="D115" s="31">
        <f>'เย็น '!D115+'เช้า '!D115+บ่าย!D115</f>
        <v>0</v>
      </c>
      <c r="E115" s="31">
        <f>'เย็น '!E115+'เช้า '!E115+บ่าย!E115</f>
        <v>0</v>
      </c>
      <c r="F115" s="31">
        <f>'เย็น '!F115+'เช้า '!F115+บ่าย!F115</f>
        <v>0</v>
      </c>
      <c r="G115" s="31">
        <v>2</v>
      </c>
      <c r="H115" s="31">
        <f>'เย็น '!H115+'เช้า '!H115+บ่าย!H115</f>
        <v>0</v>
      </c>
      <c r="I115" s="31">
        <f>'เย็น '!I115+'เช้า '!I115+บ่าย!I115</f>
        <v>0</v>
      </c>
      <c r="J115" s="31">
        <f>'เย็น '!J115+'เช้า '!J115+บ่าย!J115</f>
        <v>0</v>
      </c>
      <c r="K115" s="31">
        <f>'เย็น '!K115+'เช้า '!K115+บ่าย!K115</f>
        <v>0</v>
      </c>
      <c r="L115" s="37">
        <f t="shared" si="15"/>
        <v>2</v>
      </c>
      <c r="M115" s="11"/>
      <c r="N115" s="11">
        <v>2</v>
      </c>
      <c r="O115" s="11">
        <v>2</v>
      </c>
      <c r="P115" s="11"/>
      <c r="Q115" s="45">
        <f t="shared" si="16"/>
        <v>2</v>
      </c>
    </row>
    <row r="116" spans="2:17" x14ac:dyDescent="0.2">
      <c r="B116" s="11">
        <v>1113172</v>
      </c>
      <c r="C116" s="22" t="s">
        <v>89</v>
      </c>
      <c r="D116" s="31">
        <f>'เย็น '!D116+'เช้า '!D116+บ่าย!D116</f>
        <v>0</v>
      </c>
      <c r="E116" s="31">
        <f>'เย็น '!E116+'เช้า '!E116+บ่าย!E116</f>
        <v>0</v>
      </c>
      <c r="F116" s="31">
        <f>'เย็น '!F116+'เช้า '!F116+บ่าย!F116</f>
        <v>0</v>
      </c>
      <c r="G116" s="31">
        <f>'เย็น '!G116+'เช้า '!G116+บ่าย!G116</f>
        <v>0</v>
      </c>
      <c r="H116" s="31">
        <f>'เย็น '!H116+'เช้า '!H116+บ่าย!H116</f>
        <v>0</v>
      </c>
      <c r="I116" s="31">
        <f>'เย็น '!I116+'เช้า '!I116+บ่าย!I116</f>
        <v>0</v>
      </c>
      <c r="J116" s="31">
        <f>'เย็น '!J116+'เช้า '!J116+บ่าย!J116</f>
        <v>0</v>
      </c>
      <c r="K116" s="31">
        <f>'เย็น '!K116+'เช้า '!K116+บ่าย!K116</f>
        <v>0</v>
      </c>
      <c r="L116" s="37">
        <f t="shared" si="15"/>
        <v>0</v>
      </c>
      <c r="M116" s="11"/>
      <c r="N116" s="11"/>
      <c r="O116" s="11"/>
      <c r="P116" s="11"/>
      <c r="Q116" s="45">
        <f t="shared" si="16"/>
        <v>0</v>
      </c>
    </row>
    <row r="117" spans="2:17" x14ac:dyDescent="0.2">
      <c r="B117" s="11">
        <v>1113173</v>
      </c>
      <c r="C117" s="22" t="s">
        <v>90</v>
      </c>
      <c r="D117" s="31">
        <f>'เย็น '!D117+'เช้า '!D117+บ่าย!D117</f>
        <v>0</v>
      </c>
      <c r="E117" s="31">
        <f>'เย็น '!E117+'เช้า '!E117+บ่าย!E117</f>
        <v>0</v>
      </c>
      <c r="F117" s="31">
        <f>'เย็น '!F117+'เช้า '!F117+บ่าย!F117</f>
        <v>0</v>
      </c>
      <c r="G117" s="31">
        <f>'เย็น '!G117+'เช้า '!G117+บ่าย!G117</f>
        <v>0</v>
      </c>
      <c r="H117" s="31">
        <f>'เย็น '!H117+'เช้า '!H117+บ่าย!H117</f>
        <v>0</v>
      </c>
      <c r="I117" s="31">
        <f>'เย็น '!I117+'เช้า '!I117+บ่าย!I117</f>
        <v>0</v>
      </c>
      <c r="J117" s="31">
        <f>'เย็น '!J117+'เช้า '!J117+บ่าย!J117</f>
        <v>0</v>
      </c>
      <c r="K117" s="31">
        <f>'เย็น '!K117+'เช้า '!K117+บ่าย!K117</f>
        <v>0</v>
      </c>
      <c r="L117" s="37">
        <f t="shared" si="15"/>
        <v>0</v>
      </c>
      <c r="M117" s="11"/>
      <c r="N117" s="11"/>
      <c r="O117" s="11"/>
      <c r="P117" s="11"/>
      <c r="Q117" s="45">
        <f t="shared" si="16"/>
        <v>0</v>
      </c>
    </row>
    <row r="118" spans="2:17" x14ac:dyDescent="0.2">
      <c r="B118" s="11">
        <v>1100003</v>
      </c>
      <c r="C118" s="22" t="s">
        <v>121</v>
      </c>
      <c r="D118" s="31">
        <f>'เย็น '!D118+'เช้า '!D118+บ่าย!D118</f>
        <v>0</v>
      </c>
      <c r="E118" s="31">
        <f>'เย็น '!E118+'เช้า '!E118+บ่าย!E118</f>
        <v>0</v>
      </c>
      <c r="F118" s="31">
        <f>'เย็น '!F118+'เช้า '!F118+บ่าย!F118</f>
        <v>0</v>
      </c>
      <c r="G118" s="31">
        <f>'เย็น '!G118+'เช้า '!G118+บ่าย!G118</f>
        <v>0</v>
      </c>
      <c r="H118" s="31">
        <f>'เย็น '!H118+'เช้า '!H118+บ่าย!H118</f>
        <v>0</v>
      </c>
      <c r="I118" s="31">
        <f>'เย็น '!I118+'เช้า '!I118+บ่าย!I118</f>
        <v>0</v>
      </c>
      <c r="J118" s="31">
        <f>'เย็น '!J118+'เช้า '!J118+บ่าย!J118</f>
        <v>0</v>
      </c>
      <c r="K118" s="31">
        <f>'เย็น '!K118+'เช้า '!K118+บ่าย!K118</f>
        <v>0</v>
      </c>
      <c r="L118" s="37">
        <f t="shared" si="15"/>
        <v>0</v>
      </c>
      <c r="M118" s="11"/>
      <c r="N118" s="11"/>
      <c r="O118" s="11"/>
      <c r="P118" s="11"/>
      <c r="Q118" s="45">
        <f t="shared" si="16"/>
        <v>0</v>
      </c>
    </row>
    <row r="119" spans="2:17" x14ac:dyDescent="0.2">
      <c r="B119" s="11">
        <v>1100001</v>
      </c>
      <c r="C119" s="22" t="s">
        <v>122</v>
      </c>
      <c r="D119" s="31">
        <f>'เย็น '!D119+'เช้า '!D119+บ่าย!D119</f>
        <v>0</v>
      </c>
      <c r="E119" s="31">
        <f>'เย็น '!E119+'เช้า '!E119+บ่าย!E119</f>
        <v>0</v>
      </c>
      <c r="F119" s="31">
        <f>'เย็น '!F119+'เช้า '!F119+บ่าย!F119</f>
        <v>0</v>
      </c>
      <c r="G119" s="31">
        <f>'เย็น '!G119+'เช้า '!G119+บ่าย!G119</f>
        <v>0</v>
      </c>
      <c r="H119" s="31">
        <f>'เย็น '!H119+'เช้า '!H119+บ่าย!H119</f>
        <v>0</v>
      </c>
      <c r="I119" s="31">
        <f>'เย็น '!I119+'เช้า '!I119+บ่าย!I119</f>
        <v>0</v>
      </c>
      <c r="J119" s="31">
        <f>'เย็น '!J119+'เช้า '!J119+บ่าย!J119</f>
        <v>0</v>
      </c>
      <c r="K119" s="31">
        <f>'เย็น '!K119+'เช้า '!K119+บ่าย!K119</f>
        <v>0</v>
      </c>
      <c r="L119" s="37">
        <f t="shared" si="15"/>
        <v>0</v>
      </c>
      <c r="M119" s="11"/>
      <c r="N119" s="11">
        <v>3</v>
      </c>
      <c r="O119" s="11"/>
      <c r="P119" s="11"/>
      <c r="Q119" s="45">
        <f t="shared" si="16"/>
        <v>3</v>
      </c>
    </row>
    <row r="120" spans="2:17" x14ac:dyDescent="0.2">
      <c r="B120" s="11">
        <v>1100002</v>
      </c>
      <c r="C120" s="22" t="s">
        <v>123</v>
      </c>
      <c r="D120" s="31">
        <f>'เย็น '!D120+'เช้า '!D120+บ่าย!D120</f>
        <v>0</v>
      </c>
      <c r="E120" s="31">
        <f>'เย็น '!E120+'เช้า '!E120+บ่าย!E120</f>
        <v>0</v>
      </c>
      <c r="F120" s="31">
        <f>'เย็น '!F120+'เช้า '!F120+บ่าย!F120</f>
        <v>0</v>
      </c>
      <c r="G120" s="31">
        <f>'เย็น '!G120+'เช้า '!G120+บ่าย!G120</f>
        <v>0</v>
      </c>
      <c r="H120" s="31">
        <f>'เย็น '!H120+'เช้า '!H120+บ่าย!H120</f>
        <v>0</v>
      </c>
      <c r="I120" s="31">
        <f>'เย็น '!I120+'เช้า '!I120+บ่าย!I120</f>
        <v>0</v>
      </c>
      <c r="J120" s="31">
        <f>'เย็น '!J120+'เช้า '!J120+บ่าย!J120</f>
        <v>0</v>
      </c>
      <c r="K120" s="31">
        <f>'เย็น '!K120+'เช้า '!K120+บ่าย!K120</f>
        <v>0</v>
      </c>
      <c r="L120" s="37">
        <f t="shared" si="15"/>
        <v>0</v>
      </c>
      <c r="M120" s="11"/>
      <c r="N120" s="11">
        <v>55</v>
      </c>
      <c r="O120" s="11"/>
      <c r="P120" s="11"/>
      <c r="Q120" s="45">
        <f t="shared" si="16"/>
        <v>55</v>
      </c>
    </row>
    <row r="121" spans="2:17" x14ac:dyDescent="0.2">
      <c r="B121" s="11">
        <v>1200001</v>
      </c>
      <c r="C121" s="22" t="s">
        <v>93</v>
      </c>
      <c r="D121" s="31">
        <f>'เย็น '!D121+'เช้า '!D121+บ่าย!D121</f>
        <v>0</v>
      </c>
      <c r="E121" s="31">
        <f>'เย็น '!E121+'เช้า '!E121+บ่าย!E121</f>
        <v>6</v>
      </c>
      <c r="F121" s="31">
        <f>'เย็น '!F121+'เช้า '!F121+บ่าย!F121</f>
        <v>0</v>
      </c>
      <c r="G121" s="31">
        <f>'เย็น '!G121+'เช้า '!G121+บ่าย!G121</f>
        <v>0</v>
      </c>
      <c r="H121" s="31">
        <f>'เย็น '!H121+'เช้า '!H121+บ่าย!H121</f>
        <v>0</v>
      </c>
      <c r="I121" s="31">
        <f>'เย็น '!I121+'เช้า '!I121+บ่าย!I121</f>
        <v>0</v>
      </c>
      <c r="J121" s="31">
        <f>'เย็น '!J121+'เช้า '!J121+บ่าย!J121</f>
        <v>0</v>
      </c>
      <c r="K121" s="31">
        <f>'เย็น '!K121+'เช้า '!K121+บ่าย!K121</f>
        <v>0</v>
      </c>
      <c r="L121" s="37">
        <f t="shared" si="15"/>
        <v>6</v>
      </c>
      <c r="M121" s="11"/>
      <c r="N121" s="11">
        <v>27</v>
      </c>
      <c r="O121" s="11"/>
      <c r="P121" s="11">
        <v>60</v>
      </c>
      <c r="Q121" s="45">
        <f t="shared" si="16"/>
        <v>81</v>
      </c>
    </row>
    <row r="122" spans="2:17" x14ac:dyDescent="0.2">
      <c r="B122" s="11">
        <v>1005761</v>
      </c>
      <c r="C122" s="22" t="s">
        <v>94</v>
      </c>
      <c r="D122" s="31">
        <f>'เย็น '!D122+'เช้า '!D122+บ่าย!D122</f>
        <v>0</v>
      </c>
      <c r="E122" s="31">
        <f>'เย็น '!E122+'เช้า '!E122+บ่าย!E122</f>
        <v>0</v>
      </c>
      <c r="F122" s="31">
        <f>'เย็น '!F122+'เช้า '!F122+บ่าย!F122</f>
        <v>0</v>
      </c>
      <c r="G122" s="31">
        <f>'เย็น '!G122+'เช้า '!G122+บ่าย!G122</f>
        <v>0</v>
      </c>
      <c r="H122" s="31">
        <f>'เย็น '!H122+'เช้า '!H122+บ่าย!H122</f>
        <v>0</v>
      </c>
      <c r="I122" s="31">
        <f>'เย็น '!I122+'เช้า '!I122+บ่าย!I122</f>
        <v>0</v>
      </c>
      <c r="J122" s="31">
        <f>'เย็น '!J122+'เช้า '!J122+บ่าย!J122</f>
        <v>0</v>
      </c>
      <c r="K122" s="31">
        <f>'เย็น '!K122+'เช้า '!K122+บ่าย!K122</f>
        <v>0</v>
      </c>
      <c r="L122" s="37">
        <f t="shared" si="15"/>
        <v>0</v>
      </c>
      <c r="M122" s="11"/>
      <c r="N122" s="11"/>
      <c r="O122" s="11"/>
      <c r="P122" s="11"/>
      <c r="Q122" s="45">
        <f t="shared" si="16"/>
        <v>0</v>
      </c>
    </row>
    <row r="123" spans="2:17" x14ac:dyDescent="0.2">
      <c r="B123" s="11">
        <v>1114501</v>
      </c>
      <c r="C123" s="22" t="s">
        <v>95</v>
      </c>
      <c r="D123" s="31">
        <f>'เย็น '!D123+'เช้า '!D123+บ่าย!D123</f>
        <v>4</v>
      </c>
      <c r="E123" s="31">
        <f>'เย็น '!E123+'เช้า '!E123+บ่าย!E123</f>
        <v>17</v>
      </c>
      <c r="F123" s="31">
        <f>'เย็น '!F123+'เช้า '!F123+บ่าย!F123</f>
        <v>12</v>
      </c>
      <c r="G123" s="31">
        <f>'เย็น '!G123+'เช้า '!G123+บ่าย!G123</f>
        <v>175</v>
      </c>
      <c r="H123" s="31">
        <f>'เย็น '!H123+'เช้า '!H123+บ่าย!H123</f>
        <v>0</v>
      </c>
      <c r="I123" s="31">
        <f>'เย็น '!I123+'เช้า '!I123+บ่าย!I123</f>
        <v>0</v>
      </c>
      <c r="J123" s="31">
        <f>'เย็น '!J123+'เช้า '!J123+บ่าย!J123</f>
        <v>0</v>
      </c>
      <c r="K123" s="31">
        <f>'เย็น '!K123+'เช้า '!K123+บ่าย!K123</f>
        <v>0</v>
      </c>
      <c r="L123" s="37">
        <f t="shared" si="15"/>
        <v>208</v>
      </c>
      <c r="M123" s="11"/>
      <c r="N123" s="11">
        <v>151</v>
      </c>
      <c r="O123" s="11">
        <v>131</v>
      </c>
      <c r="P123" s="11">
        <v>200</v>
      </c>
      <c r="Q123" s="45">
        <f t="shared" si="16"/>
        <v>274</v>
      </c>
    </row>
    <row r="124" spans="2:17" x14ac:dyDescent="0.2">
      <c r="B124" s="11">
        <v>1114502</v>
      </c>
      <c r="C124" s="22" t="s">
        <v>96</v>
      </c>
      <c r="D124" s="31">
        <f>'เย็น '!D124+'เช้า '!D124+บ่าย!D124</f>
        <v>0</v>
      </c>
      <c r="E124" s="31">
        <f>'เย็น '!E124+'เช้า '!E124+บ่าย!E124</f>
        <v>1</v>
      </c>
      <c r="F124" s="31">
        <f>'เย็น '!F124+'เช้า '!F124+บ่าย!F124</f>
        <v>0</v>
      </c>
      <c r="G124" s="31">
        <f>'เย็น '!G124+'เช้า '!G124+บ่าย!G124</f>
        <v>6</v>
      </c>
      <c r="H124" s="31">
        <f>'เย็น '!H124+'เช้า '!H124+บ่าย!H124</f>
        <v>0</v>
      </c>
      <c r="I124" s="31">
        <f>'เย็น '!I124+'เช้า '!I124+บ่าย!I124</f>
        <v>0</v>
      </c>
      <c r="J124" s="31">
        <f>'เย็น '!J124+'เช้า '!J124+บ่าย!J124</f>
        <v>0</v>
      </c>
      <c r="K124" s="31">
        <f>'เย็น '!K124+'เช้า '!K124+บ่าย!K124</f>
        <v>0</v>
      </c>
      <c r="L124" s="37">
        <f t="shared" si="15"/>
        <v>7</v>
      </c>
      <c r="M124" s="11"/>
      <c r="N124" s="11"/>
      <c r="O124" s="11">
        <v>7</v>
      </c>
      <c r="P124" s="11"/>
      <c r="Q124" s="45">
        <f t="shared" si="16"/>
        <v>0</v>
      </c>
    </row>
    <row r="125" spans="2:17" x14ac:dyDescent="0.2">
      <c r="B125" s="11">
        <v>1114503</v>
      </c>
      <c r="C125" s="22" t="s">
        <v>97</v>
      </c>
      <c r="D125" s="31">
        <f>'เย็น '!D125+'เช้า '!D125+บ่าย!D125</f>
        <v>0</v>
      </c>
      <c r="E125" s="31">
        <f>'เย็น '!E125+'เช้า '!E125+บ่าย!E125</f>
        <v>0</v>
      </c>
      <c r="F125" s="31">
        <f>'เย็น '!F125+'เช้า '!F125+บ่าย!F125</f>
        <v>0</v>
      </c>
      <c r="G125" s="31">
        <f>'เย็น '!G125+'เช้า '!G125+บ่าย!G125</f>
        <v>0</v>
      </c>
      <c r="H125" s="31">
        <f>'เย็น '!H125+'เช้า '!H125+บ่าย!H125</f>
        <v>0</v>
      </c>
      <c r="I125" s="31">
        <f>'เย็น '!I125+'เช้า '!I125+บ่าย!I125</f>
        <v>0</v>
      </c>
      <c r="J125" s="31">
        <f>'เย็น '!J125+'เช้า '!J125+บ่าย!J125</f>
        <v>0</v>
      </c>
      <c r="K125" s="31">
        <f>'เย็น '!K125+'เช้า '!K125+บ่าย!K125</f>
        <v>0</v>
      </c>
      <c r="L125" s="37">
        <f t="shared" si="15"/>
        <v>0</v>
      </c>
      <c r="M125" s="11"/>
      <c r="N125" s="11"/>
      <c r="O125" s="11"/>
      <c r="P125" s="11"/>
      <c r="Q125" s="45">
        <f t="shared" si="16"/>
        <v>0</v>
      </c>
    </row>
    <row r="126" spans="2:17" x14ac:dyDescent="0.2">
      <c r="B126" s="11">
        <v>1124021</v>
      </c>
      <c r="C126" s="22" t="s">
        <v>98</v>
      </c>
      <c r="D126" s="31">
        <f>'เย็น '!D126+'เช้า '!D126+บ่าย!D126</f>
        <v>0</v>
      </c>
      <c r="E126" s="31">
        <f>'เย็น '!E126+'เช้า '!E126+บ่าย!E126</f>
        <v>12</v>
      </c>
      <c r="F126" s="31">
        <f>'เย็น '!F126+'เช้า '!F126+บ่าย!F126</f>
        <v>0</v>
      </c>
      <c r="G126" s="31">
        <f>'เย็น '!G126+'เช้า '!G126+บ่าย!G126</f>
        <v>4</v>
      </c>
      <c r="H126" s="31">
        <f>'เย็น '!H126+'เช้า '!H126+บ่าย!H126</f>
        <v>0</v>
      </c>
      <c r="I126" s="31">
        <f>'เย็น '!I126+'เช้า '!I126+บ่าย!I126</f>
        <v>0</v>
      </c>
      <c r="J126" s="31">
        <f>'เย็น '!J126+'เช้า '!J126+บ่าย!J126</f>
        <v>0</v>
      </c>
      <c r="K126" s="31">
        <f>'เย็น '!K126+'เช้า '!K126+บ่าย!K126</f>
        <v>0</v>
      </c>
      <c r="L126" s="37">
        <f t="shared" si="15"/>
        <v>16</v>
      </c>
      <c r="M126" s="11"/>
      <c r="N126" s="11">
        <v>25</v>
      </c>
      <c r="O126" s="11">
        <v>4</v>
      </c>
      <c r="P126" s="11">
        <v>80</v>
      </c>
      <c r="Q126" s="45">
        <f t="shared" si="16"/>
        <v>93</v>
      </c>
    </row>
    <row r="127" spans="2:17" x14ac:dyDescent="0.2">
      <c r="B127" s="11">
        <v>1113084</v>
      </c>
      <c r="C127" s="22" t="s">
        <v>99</v>
      </c>
      <c r="D127" s="31">
        <f>'เย็น '!D127+'เช้า '!D127+บ่าย!D127</f>
        <v>0</v>
      </c>
      <c r="E127" s="31">
        <f>'เย็น '!E127+'เช้า '!E127+บ่าย!E127</f>
        <v>0</v>
      </c>
      <c r="F127" s="31">
        <f>'เย็น '!F127+'เช้า '!F127+บ่าย!F127</f>
        <v>0</v>
      </c>
      <c r="G127" s="31">
        <f>'เย็น '!G127+'เช้า '!G127+บ่าย!G127</f>
        <v>0</v>
      </c>
      <c r="H127" s="31">
        <f>'เย็น '!H127+'เช้า '!H127+บ่าย!H127</f>
        <v>0</v>
      </c>
      <c r="I127" s="31">
        <f>'เย็น '!I127+'เช้า '!I127+บ่าย!I127</f>
        <v>0</v>
      </c>
      <c r="J127" s="31">
        <f>'เย็น '!J127+'เช้า '!J127+บ่าย!J127</f>
        <v>0</v>
      </c>
      <c r="K127" s="31">
        <f>'เย็น '!K127+'เช้า '!K127+บ่าย!K127</f>
        <v>0</v>
      </c>
      <c r="L127" s="37">
        <f t="shared" si="15"/>
        <v>0</v>
      </c>
      <c r="M127" s="11"/>
      <c r="N127" s="11"/>
      <c r="O127" s="11"/>
      <c r="P127" s="11"/>
      <c r="Q127" s="45">
        <f t="shared" si="16"/>
        <v>0</v>
      </c>
    </row>
    <row r="128" spans="2:17" x14ac:dyDescent="0.2">
      <c r="B128" s="11">
        <v>900003</v>
      </c>
      <c r="C128" s="22" t="s">
        <v>132</v>
      </c>
      <c r="D128" s="31">
        <f>'เย็น '!D128+'เช้า '!D128+บ่าย!D128</f>
        <v>0</v>
      </c>
      <c r="E128" s="31">
        <f>'เย็น '!E128+'เช้า '!E128+บ่าย!E128</f>
        <v>0</v>
      </c>
      <c r="F128" s="31">
        <f>'เย็น '!F128+'เช้า '!F128+บ่าย!F128</f>
        <v>0</v>
      </c>
      <c r="G128" s="31">
        <f>'เย็น '!G128+'เช้า '!G128+บ่าย!G128</f>
        <v>0</v>
      </c>
      <c r="H128" s="31">
        <f>'เย็น '!H128+'เช้า '!H128+บ่าย!H128</f>
        <v>0</v>
      </c>
      <c r="I128" s="31">
        <f>'เย็น '!I128+'เช้า '!I128+บ่าย!I128</f>
        <v>0</v>
      </c>
      <c r="J128" s="31">
        <f>'เย็น '!J128+'เช้า '!J128+บ่าย!J128</f>
        <v>0</v>
      </c>
      <c r="K128" s="31">
        <f>'เย็น '!K128+'เช้า '!K128+บ่าย!K128</f>
        <v>0</v>
      </c>
      <c r="L128" s="37">
        <f t="shared" si="15"/>
        <v>0</v>
      </c>
      <c r="M128" s="11"/>
      <c r="N128" s="11"/>
      <c r="O128" s="11"/>
      <c r="P128" s="11"/>
      <c r="Q128" s="45">
        <f t="shared" si="16"/>
        <v>0</v>
      </c>
    </row>
    <row r="129" spans="2:17" x14ac:dyDescent="0.2">
      <c r="B129" s="11">
        <v>900004</v>
      </c>
      <c r="C129" s="22" t="s">
        <v>100</v>
      </c>
      <c r="D129" s="31">
        <f>'เย็น '!D129+'เช้า '!D129+บ่าย!D129</f>
        <v>0</v>
      </c>
      <c r="E129" s="31">
        <f>'เย็น '!E129+'เช้า '!E129+บ่าย!E129</f>
        <v>0</v>
      </c>
      <c r="F129" s="31">
        <f>'เย็น '!F129+'เช้า '!F129+บ่าย!F129</f>
        <v>0</v>
      </c>
      <c r="G129" s="31">
        <f>'เย็น '!G129+'เช้า '!G129+บ่าย!G129</f>
        <v>0</v>
      </c>
      <c r="H129" s="31">
        <f>'เย็น '!H129+'เช้า '!H129+บ่าย!H129</f>
        <v>0</v>
      </c>
      <c r="I129" s="31">
        <f>'เย็น '!I129+'เช้า '!I129+บ่าย!I129</f>
        <v>0</v>
      </c>
      <c r="J129" s="31">
        <f>'เย็น '!J129+'เช้า '!J129+บ่าย!J129</f>
        <v>0</v>
      </c>
      <c r="K129" s="31">
        <f>'เย็น '!K129+'เช้า '!K129+บ่าย!K129</f>
        <v>0</v>
      </c>
      <c r="L129" s="37">
        <f t="shared" si="15"/>
        <v>0</v>
      </c>
      <c r="M129" s="11"/>
      <c r="N129" s="11"/>
      <c r="O129" s="11"/>
      <c r="P129" s="11"/>
      <c r="Q129" s="45">
        <f t="shared" si="16"/>
        <v>0</v>
      </c>
    </row>
    <row r="130" spans="2:17" x14ac:dyDescent="0.2">
      <c r="B130" s="11">
        <v>1200002</v>
      </c>
      <c r="C130" s="22" t="s">
        <v>101</v>
      </c>
      <c r="D130" s="31">
        <f>'เย็น '!D130+'เช้า '!D130+บ่าย!D130</f>
        <v>0</v>
      </c>
      <c r="E130" s="31">
        <f>'เย็น '!E130+'เช้า '!E130+บ่าย!E130</f>
        <v>0</v>
      </c>
      <c r="F130" s="31">
        <f>'เย็น '!F130+'เช้า '!F130+บ่าย!F130</f>
        <v>0</v>
      </c>
      <c r="G130" s="31">
        <f>'เย็น '!G130+'เช้า '!G130+บ่าย!G130</f>
        <v>0</v>
      </c>
      <c r="H130" s="31">
        <f>'เย็น '!H130+'เช้า '!H130+บ่าย!H130</f>
        <v>0</v>
      </c>
      <c r="I130" s="31">
        <f>'เย็น '!I130+'เช้า '!I130+บ่าย!I130</f>
        <v>0</v>
      </c>
      <c r="J130" s="31">
        <f>'เย็น '!J130+'เช้า '!J130+บ่าย!J130</f>
        <v>0</v>
      </c>
      <c r="K130" s="31">
        <f>'เย็น '!K130+'เช้า '!K130+บ่าย!K130</f>
        <v>0</v>
      </c>
      <c r="L130" s="37">
        <f t="shared" si="15"/>
        <v>0</v>
      </c>
      <c r="M130" s="11"/>
      <c r="N130" s="11"/>
      <c r="O130" s="11"/>
      <c r="P130" s="11"/>
      <c r="Q130" s="45">
        <f t="shared" si="16"/>
        <v>0</v>
      </c>
    </row>
    <row r="131" spans="2:17" x14ac:dyDescent="0.2">
      <c r="B131" s="11">
        <v>1200003</v>
      </c>
      <c r="C131" s="22" t="s">
        <v>102</v>
      </c>
      <c r="D131" s="31">
        <f>'เย็น '!D131+'เช้า '!D131+บ่าย!D131</f>
        <v>0</v>
      </c>
      <c r="E131" s="31">
        <f>'เย็น '!E131+'เช้า '!E131+บ่าย!E131</f>
        <v>0</v>
      </c>
      <c r="F131" s="31">
        <f>'เย็น '!F131+'เช้า '!F131+บ่าย!F131</f>
        <v>0</v>
      </c>
      <c r="G131" s="31">
        <f>'เย็น '!G131+'เช้า '!G131+บ่าย!G131</f>
        <v>0</v>
      </c>
      <c r="H131" s="31">
        <f>'เย็น '!H131+'เช้า '!H131+บ่าย!H131</f>
        <v>0</v>
      </c>
      <c r="I131" s="31">
        <f>'เย็น '!I131+'เช้า '!I131+บ่าย!I131</f>
        <v>0</v>
      </c>
      <c r="J131" s="31">
        <f>'เย็น '!J131+'เช้า '!J131+บ่าย!J131</f>
        <v>0</v>
      </c>
      <c r="K131" s="31">
        <f>'เย็น '!K131+'เช้า '!K131+บ่าย!K131</f>
        <v>0</v>
      </c>
      <c r="L131" s="37">
        <f t="shared" si="15"/>
        <v>0</v>
      </c>
      <c r="M131" s="11"/>
      <c r="N131" s="11"/>
      <c r="O131" s="11"/>
      <c r="P131" s="11"/>
      <c r="Q131" s="45">
        <f t="shared" si="16"/>
        <v>0</v>
      </c>
    </row>
    <row r="132" spans="2:17" x14ac:dyDescent="0.2">
      <c r="B132" s="11">
        <v>1200004</v>
      </c>
      <c r="C132" s="22" t="s">
        <v>103</v>
      </c>
      <c r="D132" s="31">
        <f>'เย็น '!D132+'เช้า '!D132+บ่าย!D132</f>
        <v>0</v>
      </c>
      <c r="E132" s="31">
        <f>'เย็น '!E132+'เช้า '!E132+บ่าย!E132</f>
        <v>0</v>
      </c>
      <c r="F132" s="31">
        <f>'เย็น '!F132+'เช้า '!F132+บ่าย!F132</f>
        <v>0</v>
      </c>
      <c r="G132" s="31">
        <f>'เย็น '!G132+'เช้า '!G132+บ่าย!G132</f>
        <v>0</v>
      </c>
      <c r="H132" s="31">
        <f>'เย็น '!H132+'เช้า '!H132+บ่าย!H132</f>
        <v>0</v>
      </c>
      <c r="I132" s="31">
        <f>'เย็น '!I132+'เช้า '!I132+บ่าย!I132</f>
        <v>0</v>
      </c>
      <c r="J132" s="31">
        <f>'เย็น '!J132+'เช้า '!J132+บ่าย!J132</f>
        <v>0</v>
      </c>
      <c r="K132" s="31">
        <f>'เย็น '!K132+'เช้า '!K132+บ่าย!K132</f>
        <v>0</v>
      </c>
      <c r="L132" s="37">
        <f t="shared" si="15"/>
        <v>0</v>
      </c>
      <c r="M132" s="11"/>
      <c r="N132" s="11"/>
      <c r="O132" s="11"/>
      <c r="P132" s="11"/>
      <c r="Q132" s="45">
        <f t="shared" si="16"/>
        <v>0</v>
      </c>
    </row>
    <row r="133" spans="2:17" x14ac:dyDescent="0.2">
      <c r="B133" s="11">
        <v>1200093</v>
      </c>
      <c r="C133" s="22" t="s">
        <v>91</v>
      </c>
      <c r="D133" s="31">
        <f>'เย็น '!D133+'เช้า '!D133+บ่าย!D133</f>
        <v>0</v>
      </c>
      <c r="E133" s="31">
        <f>'เย็น '!E133+'เช้า '!E133+บ่าย!E133</f>
        <v>0</v>
      </c>
      <c r="F133" s="31">
        <f>'เย็น '!F133+'เช้า '!F133+บ่าย!F133</f>
        <v>0</v>
      </c>
      <c r="G133" s="31">
        <f>'เย็น '!G133+'เช้า '!G133+บ่าย!G133</f>
        <v>0</v>
      </c>
      <c r="H133" s="31">
        <f>'เย็น '!H133+'เช้า '!H133+บ่าย!H133</f>
        <v>0</v>
      </c>
      <c r="I133" s="31">
        <f>'เย็น '!I133+'เช้า '!I133+บ่าย!I133</f>
        <v>0</v>
      </c>
      <c r="J133" s="31">
        <f>'เย็น '!J133+'เช้า '!J133+บ่าย!J133</f>
        <v>0</v>
      </c>
      <c r="K133" s="31">
        <f>'เย็น '!K133+'เช้า '!K133+บ่าย!K133</f>
        <v>0</v>
      </c>
      <c r="L133" s="37">
        <f t="shared" si="15"/>
        <v>0</v>
      </c>
      <c r="M133" s="11"/>
      <c r="N133" s="11"/>
      <c r="O133" s="11"/>
      <c r="P133" s="11"/>
      <c r="Q133" s="45">
        <f t="shared" si="16"/>
        <v>0</v>
      </c>
    </row>
    <row r="134" spans="2:17" x14ac:dyDescent="0.2">
      <c r="B134" s="11">
        <v>1200092</v>
      </c>
      <c r="C134" s="20" t="s">
        <v>92</v>
      </c>
      <c r="D134" s="31">
        <f>'เย็น '!D134+'เช้า '!D134+บ่าย!D134</f>
        <v>0</v>
      </c>
      <c r="E134" s="31">
        <f>'เย็น '!E134+'เช้า '!E134+บ่าย!E134</f>
        <v>0</v>
      </c>
      <c r="F134" s="31">
        <f>'เย็น '!F134+'เช้า '!F134+บ่าย!F134</f>
        <v>0</v>
      </c>
      <c r="G134" s="31">
        <f>'เย็น '!G134+'เช้า '!G134+บ่าย!G134</f>
        <v>0</v>
      </c>
      <c r="H134" s="31">
        <f>'เย็น '!H134+'เช้า '!H134+บ่าย!H134</f>
        <v>0</v>
      </c>
      <c r="I134" s="31">
        <f>'เย็น '!I134+'เช้า '!I134+บ่าย!I134</f>
        <v>0</v>
      </c>
      <c r="J134" s="31">
        <f>'เย็น '!J134+'เช้า '!J134+บ่าย!J134</f>
        <v>0</v>
      </c>
      <c r="K134" s="31">
        <f>'เย็น '!K134+'เช้า '!K134+บ่าย!K134</f>
        <v>0</v>
      </c>
      <c r="L134" s="37">
        <f t="shared" si="15"/>
        <v>0</v>
      </c>
      <c r="M134" s="11"/>
      <c r="N134" s="11"/>
      <c r="O134" s="11"/>
      <c r="P134" s="11"/>
      <c r="Q134" s="45">
        <f t="shared" si="16"/>
        <v>0</v>
      </c>
    </row>
    <row r="135" spans="2:17" x14ac:dyDescent="0.2">
      <c r="B135" s="23"/>
      <c r="C135" s="22" t="s">
        <v>124</v>
      </c>
      <c r="D135" s="31">
        <f>'เย็น '!D135+'เช้า '!D135+บ่าย!D135</f>
        <v>0</v>
      </c>
      <c r="E135" s="31">
        <f>'เย็น '!E135+'เช้า '!E135+บ่าย!E135</f>
        <v>2</v>
      </c>
      <c r="F135" s="31">
        <f>'เย็น '!F135+'เช้า '!F135+บ่าย!F135</f>
        <v>0</v>
      </c>
      <c r="G135" s="31">
        <f>'เย็น '!G135+'เช้า '!G135+บ่าย!G135</f>
        <v>0</v>
      </c>
      <c r="H135" s="31">
        <f>'เย็น '!H135+'เช้า '!H135+บ่าย!H135</f>
        <v>0</v>
      </c>
      <c r="I135" s="31">
        <f>'เย็น '!I135+'เช้า '!I135+บ่าย!I135</f>
        <v>0</v>
      </c>
      <c r="J135" s="31">
        <f>'เย็น '!J135+'เช้า '!J135+บ่าย!J135</f>
        <v>0</v>
      </c>
      <c r="K135" s="31">
        <f>'เย็น '!K135+'เช้า '!K135+บ่าย!K135</f>
        <v>0</v>
      </c>
      <c r="L135" s="37">
        <f t="shared" si="15"/>
        <v>2</v>
      </c>
      <c r="M135" s="11"/>
      <c r="N135" s="11"/>
      <c r="O135" s="11"/>
      <c r="P135" s="11"/>
      <c r="Q135" s="45">
        <f t="shared" si="16"/>
        <v>-2</v>
      </c>
    </row>
    <row r="136" spans="2:17" x14ac:dyDescent="0.2">
      <c r="B136" s="23"/>
      <c r="C136" s="22" t="s">
        <v>125</v>
      </c>
      <c r="D136" s="31">
        <f>'เย็น '!D136+'เช้า '!D136+บ่าย!D136</f>
        <v>0</v>
      </c>
      <c r="E136" s="31">
        <f>'เย็น '!E136+'เช้า '!E136+บ่าย!E136</f>
        <v>0</v>
      </c>
      <c r="F136" s="31">
        <f>'เย็น '!F136+'เช้า '!F136+บ่าย!F136</f>
        <v>0</v>
      </c>
      <c r="G136" s="31">
        <f>'เย็น '!G136+'เช้า '!G136+บ่าย!G136</f>
        <v>0</v>
      </c>
      <c r="H136" s="31">
        <f>'เย็น '!H136+'เช้า '!H136+บ่าย!H136</f>
        <v>0</v>
      </c>
      <c r="I136" s="31">
        <f>'เย็น '!I136+'เช้า '!I136+บ่าย!I136</f>
        <v>0</v>
      </c>
      <c r="J136" s="31">
        <f>'เย็น '!J136+'เช้า '!J136+บ่าย!J136</f>
        <v>0</v>
      </c>
      <c r="K136" s="31">
        <f>'เย็น '!K136+'เช้า '!K136+บ่าย!K136</f>
        <v>0</v>
      </c>
      <c r="L136" s="37">
        <f t="shared" si="15"/>
        <v>0</v>
      </c>
      <c r="M136" s="11"/>
      <c r="N136" s="11"/>
      <c r="O136" s="11"/>
      <c r="P136" s="11"/>
      <c r="Q136" s="45">
        <f t="shared" si="16"/>
        <v>0</v>
      </c>
    </row>
    <row r="137" spans="2:17" x14ac:dyDescent="0.2">
      <c r="B137" s="23">
        <v>20052721</v>
      </c>
      <c r="C137" s="22" t="s">
        <v>143</v>
      </c>
      <c r="D137" s="31">
        <f>'เย็น '!D137+'เช้า '!D137+บ่าย!D137</f>
        <v>0</v>
      </c>
      <c r="E137" s="31">
        <f>'เย็น '!E137+'เช้า '!E137+บ่าย!E137</f>
        <v>0</v>
      </c>
      <c r="F137" s="31">
        <f>'เย็น '!F137+'เช้า '!F137+บ่าย!F137</f>
        <v>0</v>
      </c>
      <c r="G137" s="31">
        <f>'เย็น '!G137+'เช้า '!G137+บ่าย!G137</f>
        <v>0</v>
      </c>
      <c r="H137" s="31">
        <f>'เย็น '!H137+'เช้า '!H137+บ่าย!H137</f>
        <v>0</v>
      </c>
      <c r="I137" s="31">
        <f>'เย็น '!I137+'เช้า '!I137+บ่าย!I137</f>
        <v>0</v>
      </c>
      <c r="J137" s="31">
        <f>'เย็น '!J137+'เช้า '!J137+บ่าย!J137</f>
        <v>0</v>
      </c>
      <c r="K137" s="31">
        <f>'เย็น '!K137+'เช้า '!K137+บ่าย!K137</f>
        <v>0</v>
      </c>
      <c r="L137" s="37">
        <f t="shared" si="15"/>
        <v>0</v>
      </c>
      <c r="M137" s="11"/>
      <c r="N137" s="11"/>
      <c r="O137" s="11"/>
      <c r="P137" s="11">
        <v>40</v>
      </c>
      <c r="Q137" s="45"/>
    </row>
    <row r="138" spans="2:17" x14ac:dyDescent="0.2">
      <c r="B138" s="51"/>
      <c r="C138" s="50" t="s">
        <v>138</v>
      </c>
      <c r="D138" s="31">
        <f>'เย็น '!D138+'เช้า '!D138+บ่าย!D138</f>
        <v>0</v>
      </c>
      <c r="E138" s="31">
        <f>'เย็น '!E138+'เช้า '!E138+บ่าย!E138</f>
        <v>0</v>
      </c>
      <c r="F138" s="31">
        <f>'เย็น '!F138+'เช้า '!F138+บ่าย!F138</f>
        <v>0</v>
      </c>
      <c r="G138" s="31">
        <f>'เย็น '!G138+'เช้า '!G138+บ่าย!G138</f>
        <v>0</v>
      </c>
      <c r="H138" s="31">
        <f>'เย็น '!H138+'เช้า '!H138+บ่าย!H138</f>
        <v>0</v>
      </c>
      <c r="I138" s="31">
        <f>'เย็น '!I138+'เช้า '!I138+บ่าย!I138</f>
        <v>0</v>
      </c>
      <c r="J138" s="31">
        <f>'เย็น '!J138+'เช้า '!J138+บ่าย!J138</f>
        <v>0</v>
      </c>
      <c r="K138" s="31">
        <f>'เย็น '!K138+'เช้า '!K138+บ่าย!K138</f>
        <v>0</v>
      </c>
      <c r="L138" s="37">
        <f t="shared" si="15"/>
        <v>0</v>
      </c>
      <c r="M138" s="11"/>
      <c r="N138" s="11"/>
      <c r="O138" s="11"/>
      <c r="P138" s="11"/>
      <c r="Q138" s="45">
        <f t="shared" si="16"/>
        <v>0</v>
      </c>
    </row>
    <row r="139" spans="2:17" x14ac:dyDescent="0.2">
      <c r="B139" s="51"/>
      <c r="C139" s="50" t="s">
        <v>139</v>
      </c>
      <c r="D139" s="31">
        <f>'เย็น '!D139+'เช้า '!D139+บ่าย!D139</f>
        <v>0</v>
      </c>
      <c r="E139" s="31">
        <f>'เย็น '!E139+'เช้า '!E139+บ่าย!E139</f>
        <v>0</v>
      </c>
      <c r="F139" s="31">
        <f>'เย็น '!F139+'เช้า '!F139+บ่าย!F139</f>
        <v>0</v>
      </c>
      <c r="G139" s="31">
        <f>'เย็น '!G139+'เช้า '!G139+บ่าย!G139</f>
        <v>0</v>
      </c>
      <c r="H139" s="31">
        <f>'เย็น '!H139+'เช้า '!H139+บ่าย!H139</f>
        <v>0</v>
      </c>
      <c r="I139" s="31">
        <f>'เย็น '!I139+'เช้า '!I139+บ่าย!I139</f>
        <v>0</v>
      </c>
      <c r="J139" s="31">
        <f>'เย็น '!J139+'เช้า '!J139+บ่าย!J139</f>
        <v>0</v>
      </c>
      <c r="K139" s="31">
        <f>'เย็น '!K139+'เช้า '!K139+บ่าย!K139</f>
        <v>0</v>
      </c>
      <c r="L139" s="37">
        <f t="shared" si="15"/>
        <v>0</v>
      </c>
      <c r="M139" s="11"/>
      <c r="N139" s="11"/>
      <c r="O139" s="11"/>
      <c r="P139" s="11"/>
      <c r="Q139" s="45">
        <f t="shared" si="16"/>
        <v>0</v>
      </c>
    </row>
    <row r="140" spans="2:17" x14ac:dyDescent="0.2">
      <c r="B140" s="51"/>
      <c r="C140" s="50" t="s">
        <v>140</v>
      </c>
      <c r="D140" s="31">
        <f>'เย็น '!D140+'เช้า '!D140+บ่าย!D140</f>
        <v>0</v>
      </c>
      <c r="E140" s="31">
        <f>'เย็น '!E140+'เช้า '!E140+บ่าย!E140</f>
        <v>0</v>
      </c>
      <c r="F140" s="31">
        <f>'เย็น '!F140+'เช้า '!F140+บ่าย!F140</f>
        <v>0</v>
      </c>
      <c r="G140" s="31">
        <f>'เย็น '!G140+'เช้า '!G140+บ่าย!G140</f>
        <v>0</v>
      </c>
      <c r="H140" s="31">
        <f>'เย็น '!H140+'เช้า '!H140+บ่าย!H140</f>
        <v>0</v>
      </c>
      <c r="I140" s="31">
        <f>'เย็น '!I140+'เช้า '!I140+บ่าย!I140</f>
        <v>0</v>
      </c>
      <c r="J140" s="31">
        <f>'เย็น '!J140+'เช้า '!J140+บ่าย!J140</f>
        <v>0</v>
      </c>
      <c r="K140" s="31">
        <f>'เย็น '!K140+'เช้า '!K140+บ่าย!K140</f>
        <v>0</v>
      </c>
      <c r="L140" s="37">
        <f t="shared" si="15"/>
        <v>0</v>
      </c>
      <c r="M140" s="11"/>
      <c r="N140" s="11"/>
      <c r="O140" s="11"/>
      <c r="P140" s="11"/>
      <c r="Q140" s="45">
        <f t="shared" si="16"/>
        <v>0</v>
      </c>
    </row>
    <row r="141" spans="2:17" ht="40.5" customHeight="1" x14ac:dyDescent="0.2">
      <c r="C141" s="36"/>
      <c r="D141" s="37">
        <f>SUM(D114:D140,D90:D99,D79:D87,D69:D76,D7:D66,D102:D111)</f>
        <v>4</v>
      </c>
      <c r="E141" s="37">
        <f t="shared" ref="E141:K141" si="17">SUM(E114:E140,E90:E99,E79:E87,E69:E76,E7:E66,E102:E111)</f>
        <v>158</v>
      </c>
      <c r="F141" s="37">
        <f t="shared" si="17"/>
        <v>102</v>
      </c>
      <c r="G141" s="37">
        <f t="shared" si="17"/>
        <v>288</v>
      </c>
      <c r="H141" s="37">
        <f t="shared" si="17"/>
        <v>0</v>
      </c>
      <c r="I141" s="37">
        <f t="shared" si="17"/>
        <v>0</v>
      </c>
      <c r="J141" s="37">
        <f t="shared" si="17"/>
        <v>0</v>
      </c>
      <c r="K141" s="37">
        <f t="shared" si="17"/>
        <v>4</v>
      </c>
      <c r="L141" s="37">
        <f>SUM(L114:L140,L90:L99,L79:L87,L69:L76,L7:L66,L102:L111)</f>
        <v>556</v>
      </c>
      <c r="M141" s="31">
        <f>SUM(M114:M136,M90:M98,M79:M87,M69:M76,M7:M66)</f>
        <v>0</v>
      </c>
      <c r="N141" s="31">
        <f>SUM(N114:N136,N90:N98,N79:N87,N69:N76,N7:N66)</f>
        <v>529</v>
      </c>
      <c r="O141" s="31"/>
      <c r="P141" s="31"/>
      <c r="Q141" s="45">
        <f t="shared" ref="Q141" si="18">(M141+N141)-L141</f>
        <v>-27</v>
      </c>
    </row>
    <row r="142" spans="2:17" x14ac:dyDescent="0.2">
      <c r="B142" s="38"/>
      <c r="C142" s="36"/>
      <c r="D142" s="39"/>
      <c r="E142" s="39"/>
      <c r="F142" s="39"/>
      <c r="G142" s="39"/>
      <c r="H142" s="39"/>
      <c r="I142" s="39"/>
      <c r="J142" s="39"/>
      <c r="K142" s="39"/>
      <c r="L142" s="40"/>
    </row>
    <row r="143" spans="2:17" x14ac:dyDescent="0.2">
      <c r="B143" s="38"/>
      <c r="C143" s="36"/>
      <c r="D143" s="39"/>
      <c r="E143" s="39"/>
      <c r="F143" s="39"/>
      <c r="G143" s="39"/>
      <c r="H143" s="39"/>
      <c r="I143" s="39"/>
      <c r="J143" s="39"/>
      <c r="K143" s="39"/>
      <c r="L143" s="40"/>
    </row>
    <row r="144" spans="2:17" x14ac:dyDescent="0.2">
      <c r="C144" s="25"/>
      <c r="D144" s="32"/>
      <c r="E144" s="61"/>
      <c r="F144" s="61"/>
      <c r="G144" s="27"/>
      <c r="L144" s="41"/>
    </row>
    <row r="145" spans="2:12" x14ac:dyDescent="0.2">
      <c r="B145" s="61" t="s">
        <v>104</v>
      </c>
      <c r="C145" s="61"/>
      <c r="D145" s="33"/>
      <c r="E145" s="57"/>
      <c r="F145" s="57"/>
      <c r="G145" s="28"/>
      <c r="H145" s="27"/>
      <c r="I145" s="61" t="s">
        <v>104</v>
      </c>
      <c r="J145" s="61"/>
      <c r="K145" s="61"/>
      <c r="L145" s="61"/>
    </row>
    <row r="146" spans="2:12" x14ac:dyDescent="0.2">
      <c r="B146" s="57" t="s">
        <v>105</v>
      </c>
      <c r="C146" s="57"/>
      <c r="D146" s="34"/>
      <c r="E146" s="34"/>
      <c r="F146" s="34"/>
      <c r="G146" s="34"/>
      <c r="H146" s="34"/>
      <c r="I146" s="57" t="s">
        <v>106</v>
      </c>
      <c r="J146" s="57"/>
      <c r="K146" s="57"/>
      <c r="L146" s="57"/>
    </row>
    <row r="147" spans="2:12" x14ac:dyDescent="0.2">
      <c r="B147" s="32"/>
      <c r="C147" s="32"/>
      <c r="D147" s="34"/>
      <c r="E147" s="34"/>
      <c r="F147" s="34"/>
      <c r="G147" s="34"/>
      <c r="H147" s="34"/>
      <c r="I147" s="32"/>
      <c r="J147" s="32"/>
      <c r="K147" s="32"/>
      <c r="L147" s="35"/>
    </row>
    <row r="148" spans="2:12" ht="19.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9.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19.5" x14ac:dyDescent="0.2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 ht="19.5" x14ac:dyDescent="0.2"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5"/>
    </row>
    <row r="152" spans="2:12" ht="19.5" x14ac:dyDescent="0.2"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5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  <row r="161" spans="4:8" x14ac:dyDescent="0.2">
      <c r="D161" s="32"/>
      <c r="E161" s="32"/>
      <c r="F161" s="32"/>
      <c r="G161" s="32"/>
      <c r="H161" s="32"/>
    </row>
    <row r="162" spans="4:8" x14ac:dyDescent="0.2">
      <c r="D162" s="32"/>
      <c r="E162" s="32"/>
      <c r="F162" s="32"/>
      <c r="G162" s="32"/>
      <c r="H162" s="32"/>
    </row>
    <row r="163" spans="4:8" x14ac:dyDescent="0.2">
      <c r="D163" s="32"/>
      <c r="E163" s="32"/>
      <c r="F163" s="32"/>
      <c r="G163" s="32"/>
      <c r="H163" s="32"/>
    </row>
  </sheetData>
  <autoFilter ref="Q1:Q163" xr:uid="{3C47631F-A4FA-44D7-ADD8-57CE043BB388}"/>
  <mergeCells count="20"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  <mergeCell ref="B146:C146"/>
    <mergeCell ref="I146:L146"/>
    <mergeCell ref="B101:Q101"/>
    <mergeCell ref="B113:Q113"/>
    <mergeCell ref="E144:F144"/>
    <mergeCell ref="B145:C145"/>
    <mergeCell ref="E145:F145"/>
    <mergeCell ref="I145:L145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เย็น </vt:lpstr>
      <vt:lpstr>เช้า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USER</cp:lastModifiedBy>
  <cp:lastPrinted>2024-10-30T00:45:46Z</cp:lastPrinted>
  <dcterms:created xsi:type="dcterms:W3CDTF">2024-04-30T05:21:27Z</dcterms:created>
  <dcterms:modified xsi:type="dcterms:W3CDTF">2025-03-02T07:59:20Z</dcterms:modified>
</cp:coreProperties>
</file>