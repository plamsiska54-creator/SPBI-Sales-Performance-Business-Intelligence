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514ED3DF-49E8-4EBE-A8CF-7FE3F154EF35}" xr6:coauthVersionLast="47" xr6:coauthVersionMax="47" xr10:uidLastSave="{00000000-0000-0000-0000-000000000000}"/>
  <bookViews>
    <workbookView xWindow="675" yWindow="0" windowWidth="17205" windowHeight="1405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0" i="5" l="1"/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<sst xmlns="http://schemas.openxmlformats.org/spreadsheetml/2006/main" count="615" uniqueCount="146">
  <si>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</si>
  <si>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</si>
  <si>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</si>
  <si>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</si>
  <si>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</si>
  <si>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</si>
  <si>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</si>
  <si>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</si>
  <si>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</si>
  <si>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</si>
  <si>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</si>
  <si>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</si>
  <si>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</si>
  <si>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</si>
  <si>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</si>
  <si>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</si>
  <si>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</si>
  <si>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</si>
  <si>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</si>
  <si>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</si>
  <si>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</si>
  <si>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</si>
  <si>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</si>
  <si>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</si>
  <si>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</si>
  <si>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</si>
  <si>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</si>
  <si>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</si>
  <si>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</si>
  <si>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</si>
  <si>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</si>
  <si>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</si>
  <si>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</si>
  <si>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</si>
  <si>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</si>
  <si>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</si>
  <si>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</si>
  <si>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</si>
  <si>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</si>
  <si>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</si>
  <si>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</si>
  <si>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</si>
  <si>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</si>
  <si>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</si>
  <si>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</si>
  <si>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</si>
  <si>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</si>
  <si>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</si>
  <si>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</si>
  <si>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</si>
  <si>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</si>
  <si>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</si>
  <si>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</si>
  <si>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</si>
  <si>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</si>
  <si>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</si>
  <si>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</si>
  <si>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</si>
  <si>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</si>
  <si>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</si>
  <si>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</si>
  <si>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</si>
  <si>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</si>
  <si>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</si>
  <si>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</si>
  <si>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</si>
  <si>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</si>
  <si>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</si>
  <si>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</si>
  <si>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</si>
  <si>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</si>
  <si>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</si>
  <si>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</si>
  <si>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</si>
  <si>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</si>
  <si>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</si>
  <si>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</si>
  <si>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</si>
  <si>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</si>
  <si>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</si>
  <si>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</si>
  <si>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</si>
  <si>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</si>
  <si>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</si>
  <si>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</si>
  <si>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</si>
  <si>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</si>
  <si>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</si>
  <si>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</si>
  <si>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</si>
  <si>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</si>
  <si>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</si>
  <si>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</si>
  <si>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</si>
  <si>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</si>
  <si>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</si>
  <si>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</si>
  <si>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</si>
  <si>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</si>
  <si>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</si>
  <si>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</si>
  <si>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</si>
  <si>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</si>
  <si>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</si>
  <si>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</si>
  <si>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</si>
  <si>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</si>
  <si>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</si>
  <si>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</si>
  <si>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</si>
  <si>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</si>
  <si>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</si>
  <si>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</si>
  <si>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</si>
  <si>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</si>
  <si>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</si>
  <si>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</si>
  <si>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</si>
  <si>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</si>
  <si>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</si>
  <si>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</si>
  <si>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</si>
  <si>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</si>
  <si>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</si>
  <si>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</si>
  <si>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</si>
  <si>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</si>
  <si>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</si>
  <si>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</si>
  <si>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</si>
  <si>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</si>
  <si>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</si>
  <si>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</si>
  <si>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</si>
  <si>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</si>
  <si>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</si>
  <si>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</si>
  <si>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</si>
  <si>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</si>
  <si>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</si>
  <si>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</si>
  <si>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</si>
  <si>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</si>
  <si>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</si>
  <si>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21/3/2568 รวม</t>
  </si>
  <si>
    <t>ยอดจริง ออนไลน์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</si>
</sst>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87" fontId="3" fillId="0" borderId="2" xfId="0" applyNumberFormat="1" applyFont="1" applyFill="1" applyBorder="1" applyAlignment="1">
      <alignment horizontal="center" vertical="center"/>
    </xf>
    <xf numFmtId="187" fontId="3" fillId="0" borderId="3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9" t="s">
        <v>137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3" zoomScale="62" zoomScaleNormal="62" workbookViewId="0">
      <selection activeCell="B101" sqref="B101:L10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</cols>
  <sheetData>
    <row r="1" spans="2:12" x14ac:dyDescent="0.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>
        <v>1</v>
      </c>
      <c r="E7" s="31">
        <v>15</v>
      </c>
      <c r="F7" s="31">
        <v>10</v>
      </c>
      <c r="G7" s="31">
        <v>12</v>
      </c>
      <c r="H7" s="31"/>
      <c r="I7" s="31"/>
      <c r="J7" s="44"/>
      <c r="K7" s="44"/>
      <c r="L7" s="37">
        <f>SUM(D7:K7)</f>
        <v>38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1</v>
      </c>
      <c r="E25" s="31">
        <v>4</v>
      </c>
      <c r="F25" s="31">
        <v>5</v>
      </c>
      <c r="G25" s="31">
        <v>2</v>
      </c>
      <c r="H25" s="31"/>
      <c r="I25" s="31"/>
      <c r="J25" s="44"/>
      <c r="K25" s="44"/>
      <c r="L25" s="37">
        <f t="shared" si="0"/>
        <v>12</v>
      </c>
    </row>
    <row r="26" spans="2:12" x14ac:dyDescent="0.2">
      <c r="B26" s="11">
        <v>1004055</v>
      </c>
      <c r="C26" s="15" t="s">
        <v>108</v>
      </c>
      <c r="D26" s="31">
        <v>8</v>
      </c>
      <c r="E26" s="31">
        <v>3</v>
      </c>
      <c r="F26" s="31">
        <v>1</v>
      </c>
      <c r="G26" s="31">
        <v>84</v>
      </c>
      <c r="H26" s="31"/>
      <c r="I26" s="31"/>
      <c r="J26" s="44"/>
      <c r="K26" s="44"/>
      <c r="L26" s="37">
        <f t="shared" si="0"/>
        <v>96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>
        <v>1</v>
      </c>
      <c r="E69" s="31">
        <v>3</v>
      </c>
      <c r="F69" s="31">
        <v>7</v>
      </c>
      <c r="G69" s="31">
        <v>6</v>
      </c>
      <c r="H69" s="31"/>
      <c r="I69" s="31"/>
      <c r="J69" s="44"/>
      <c r="K69" s="44">
        <v>340</v>
      </c>
      <c r="L69" s="37">
        <f t="shared" ref="L69:L76" si="1">SUM(D69:K69)</f>
        <v>357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4</v>
      </c>
      <c r="E87" s="31"/>
      <c r="F87" s="31"/>
      <c r="G87" s="31">
        <v>27</v>
      </c>
      <c r="H87" s="31"/>
      <c r="I87" s="31"/>
      <c r="J87" s="44"/>
      <c r="K87" s="44"/>
      <c r="L87" s="37">
        <f t="shared" si="2"/>
        <v>31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>
        <v>8</v>
      </c>
      <c r="E90" s="31">
        <v>1</v>
      </c>
      <c r="F90" s="31">
        <v>3</v>
      </c>
      <c r="G90" s="31">
        <v>7</v>
      </c>
      <c r="H90" s="31"/>
      <c r="I90" s="31"/>
      <c r="J90" s="44"/>
      <c r="K90" s="44">
        <v>10</v>
      </c>
      <c r="L90" s="37">
        <f t="shared" ref="L90:L99" si="3">SUM(D90:K90)</f>
        <v>29</v>
      </c>
    </row>
    <row r="91" spans="2:12" x14ac:dyDescent="0.2">
      <c r="B91" s="11">
        <v>1112011</v>
      </c>
      <c r="C91" s="20" t="s">
        <v>76</v>
      </c>
      <c r="D91" s="31">
        <v>6</v>
      </c>
      <c r="E91" s="31">
        <v>1</v>
      </c>
      <c r="F91" s="31">
        <v>7</v>
      </c>
      <c r="G91" s="31">
        <v>8</v>
      </c>
      <c r="H91" s="31"/>
      <c r="I91" s="31"/>
      <c r="J91" s="44"/>
      <c r="K91" s="44"/>
      <c r="L91" s="37">
        <f t="shared" si="3"/>
        <v>22</v>
      </c>
    </row>
    <row r="92" spans="2:12" x14ac:dyDescent="0.2">
      <c r="B92" s="11">
        <v>1112003</v>
      </c>
      <c r="C92" s="20" t="s">
        <v>77</v>
      </c>
      <c r="D92" s="31">
        <v>3</v>
      </c>
      <c r="E92" s="31">
        <v>1</v>
      </c>
      <c r="F92" s="31">
        <v>3</v>
      </c>
      <c r="G92" s="31">
        <v>7</v>
      </c>
      <c r="H92" s="31"/>
      <c r="I92" s="31"/>
      <c r="J92" s="44"/>
      <c r="K92" s="44"/>
      <c r="L92" s="37">
        <f t="shared" si="3"/>
        <v>14</v>
      </c>
    </row>
    <row r="93" spans="2:12" x14ac:dyDescent="0.2">
      <c r="B93" s="11">
        <v>1112005</v>
      </c>
      <c r="C93" s="20" t="s">
        <v>78</v>
      </c>
      <c r="D93" s="31">
        <v>5</v>
      </c>
      <c r="E93" s="31">
        <v>1</v>
      </c>
      <c r="F93" s="31">
        <v>3</v>
      </c>
      <c r="G93" s="31">
        <v>7</v>
      </c>
      <c r="H93" s="31"/>
      <c r="I93" s="31"/>
      <c r="J93" s="44"/>
      <c r="K93" s="44">
        <v>9</v>
      </c>
      <c r="L93" s="37">
        <f t="shared" si="3"/>
        <v>25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>
        <v>1</v>
      </c>
      <c r="E97" s="31">
        <v>1</v>
      </c>
      <c r="F97" s="31">
        <v>3</v>
      </c>
      <c r="G97" s="31">
        <v>7</v>
      </c>
      <c r="H97" s="31"/>
      <c r="I97" s="31"/>
      <c r="J97" s="44"/>
      <c r="K97" s="44"/>
      <c r="L97" s="37">
        <f t="shared" si="3"/>
        <v>12</v>
      </c>
    </row>
    <row r="98" spans="2:12" x14ac:dyDescent="0.2">
      <c r="B98" s="11">
        <v>1112013</v>
      </c>
      <c r="C98" s="20" t="s">
        <v>83</v>
      </c>
      <c r="D98" s="31">
        <v>3</v>
      </c>
      <c r="E98" s="31">
        <v>1</v>
      </c>
      <c r="F98" s="31">
        <v>3</v>
      </c>
      <c r="G98" s="31">
        <v>9</v>
      </c>
      <c r="H98" s="31"/>
      <c r="I98" s="31"/>
      <c r="J98" s="44"/>
      <c r="K98" s="44"/>
      <c r="L98" s="37">
        <f t="shared" si="3"/>
        <v>16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20</v>
      </c>
      <c r="H120" s="31"/>
      <c r="I120" s="31"/>
      <c r="J120" s="44"/>
      <c r="K120" s="44"/>
      <c r="L120" s="37">
        <f t="shared" si="6"/>
        <v>20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>
        <v>21</v>
      </c>
      <c r="F123" s="31">
        <v>6</v>
      </c>
      <c r="G123" s="31">
        <v>57</v>
      </c>
      <c r="H123" s="31"/>
      <c r="I123" s="31"/>
      <c r="J123" s="44"/>
      <c r="K123" s="44"/>
      <c r="L123" s="37">
        <f t="shared" si="6"/>
        <v>84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>
        <v>45</v>
      </c>
      <c r="H124" s="31"/>
      <c r="I124" s="31"/>
      <c r="J124" s="44"/>
      <c r="K124" s="44"/>
      <c r="L124" s="37">
        <f t="shared" si="6"/>
        <v>45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>
        <v>42</v>
      </c>
      <c r="H125" s="31"/>
      <c r="I125" s="31"/>
      <c r="J125" s="44"/>
      <c r="K125" s="44"/>
      <c r="L125" s="37">
        <f t="shared" si="6"/>
        <v>42</v>
      </c>
    </row>
    <row r="126" spans="2:12" x14ac:dyDescent="0.2">
      <c r="B126" s="11">
        <v>1124021</v>
      </c>
      <c r="C126" s="22" t="s">
        <v>98</v>
      </c>
      <c r="D126" s="31"/>
      <c r="E126" s="31">
        <v>5</v>
      </c>
      <c r="F126" s="31">
        <v>2</v>
      </c>
      <c r="G126" s="31">
        <v>4</v>
      </c>
      <c r="H126" s="31"/>
      <c r="I126" s="31"/>
      <c r="J126" s="44"/>
      <c r="K126" s="44"/>
      <c r="L126" s="37">
        <f t="shared" si="6"/>
        <v>11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>
        <v>2</v>
      </c>
      <c r="F136" s="31"/>
      <c r="G136" s="31"/>
      <c r="H136" s="31"/>
      <c r="I136" s="31"/>
      <c r="J136" s="44"/>
      <c r="K136" s="44"/>
      <c r="L136" s="37">
        <f t="shared" si="6"/>
        <v>2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>
        <v>10</v>
      </c>
      <c r="L137" s="37">
        <f t="shared" si="6"/>
        <v>10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 x14ac:dyDescent="0.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85" zoomScale="60" zoomScaleNormal="60" workbookViewId="0">
      <selection activeCell="D7" sqref="D7:G43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9" t="s">
        <v>135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 x14ac:dyDescent="0.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17" zoomScale="50" zoomScaleNormal="50" workbookViewId="0">
      <selection activeCell="B1" sqref="B1:Q14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hidden="1" customWidth="1"/>
    <col min="20" max="20" width="22.75" hidden="1" customWidth="1"/>
    <col min="21" max="21" width="0" hidden="1" customWidth="1"/>
  </cols>
  <sheetData>
    <row r="1" spans="2:17" x14ac:dyDescent="0.2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 x14ac:dyDescent="0.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141</v>
      </c>
      <c r="P2" s="68" t="s">
        <v>142</v>
      </c>
      <c r="Q2" s="71" t="s">
        <v>1</v>
      </c>
    </row>
    <row r="3" spans="2:17" x14ac:dyDescent="0.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70"/>
      <c r="N4" s="70"/>
      <c r="O4" s="70"/>
      <c r="P4" s="70"/>
      <c r="Q4" s="73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 x14ac:dyDescent="0.2">
      <c r="B7" s="11">
        <v>1111002</v>
      </c>
      <c r="C7" s="15" t="s">
        <v>107</v>
      </c>
      <c r="D7" s="74">
        <f>'เย็น '!D7+'เช้า '!D7+บ่าย!D7</f>
        <v>1</v>
      </c>
      <c r="E7" s="74">
        <f>'เย็น '!E7+'เช้า '!E7+บ่าย!E7</f>
        <v>15</v>
      </c>
      <c r="F7" s="74">
        <f>'เย็น '!F7+'เช้า '!F7+บ่าย!F7</f>
        <v>10</v>
      </c>
      <c r="G7" s="74">
        <f>'เย็น '!G7+'เช้า '!G7+บ่าย!G7</f>
        <v>12</v>
      </c>
      <c r="H7" s="74">
        <f>'เย็น '!H7+'เช้า '!H7+บ่าย!H7</f>
        <v>0</v>
      </c>
      <c r="I7" s="74">
        <f>'เย็น '!I7+'เช้า '!I7+บ่าย!I7</f>
        <v>0</v>
      </c>
      <c r="J7" s="74">
        <f>'เย็น '!J7+'เช้า '!J7+บ่าย!J7</f>
        <v>0</v>
      </c>
      <c r="K7" s="74">
        <f>'เย็น '!K7+'เช้า '!K7+บ่าย!K7</f>
        <v>0</v>
      </c>
      <c r="L7" s="37">
        <f>SUM(D7:K7)</f>
        <v>38</v>
      </c>
      <c r="M7" s="11"/>
      <c r="N7" s="11"/>
      <c r="O7" s="11"/>
      <c r="P7" s="11"/>
      <c r="Q7" s="45">
        <f>(M7+N7+O7+P7)-L7</f>
        <v>-38</v>
      </c>
    </row>
    <row r="8" spans="2:17" hidden="1" x14ac:dyDescent="0.2">
      <c r="B8" s="11"/>
      <c r="C8" s="15" t="s">
        <v>126</v>
      </c>
      <c r="D8" s="74">
        <f>'เย็น '!D8+'เช้า '!D8+บ่าย!D8</f>
        <v>0</v>
      </c>
      <c r="E8" s="74">
        <f>'เย็น '!E8+'เช้า '!E8+บ่าย!E8</f>
        <v>0</v>
      </c>
      <c r="F8" s="74">
        <f>'เย็น '!F8+'เช้า '!F8+บ่าย!F8</f>
        <v>0</v>
      </c>
      <c r="G8" s="74">
        <f>'เย็น '!G8+'เช้า '!G8+บ่าย!G8</f>
        <v>0</v>
      </c>
      <c r="H8" s="74">
        <f>'เย็น '!H8+'เช้า '!H8+บ่าย!H8</f>
        <v>0</v>
      </c>
      <c r="I8" s="74">
        <f>'เย็น '!I8+'เช้า '!I8+บ่าย!I8</f>
        <v>0</v>
      </c>
      <c r="J8" s="74">
        <f>'เย็น '!J8+'เช้า '!J8+บ่าย!J8</f>
        <v>0</v>
      </c>
      <c r="K8" s="74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74">
        <f>'เย็น '!D9+'เช้า '!D9+บ่าย!D9</f>
        <v>0</v>
      </c>
      <c r="E9" s="74">
        <f>'เย็น '!E9+'เช้า '!E9+บ่าย!E9</f>
        <v>0</v>
      </c>
      <c r="F9" s="74">
        <f>'เย็น '!F9+'เช้า '!F9+บ่าย!F9</f>
        <v>0</v>
      </c>
      <c r="G9" s="74">
        <f>'เย็น '!G9+'เช้า '!G9+บ่าย!G9</f>
        <v>0</v>
      </c>
      <c r="H9" s="74">
        <f>'เย็น '!H9+'เช้า '!H9+บ่าย!H9</f>
        <v>0</v>
      </c>
      <c r="I9" s="74">
        <f>'เย็น '!I9+'เช้า '!I9+บ่าย!I9</f>
        <v>0</v>
      </c>
      <c r="J9" s="74">
        <f>'เย็น '!J9+'เช้า '!J9+บ่าย!J9</f>
        <v>0</v>
      </c>
      <c r="K9" s="74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74">
        <f>'เย็น '!D10+'เช้า '!D10+บ่าย!D10</f>
        <v>0</v>
      </c>
      <c r="E10" s="74">
        <f>'เย็น '!E10+'เช้า '!E10+บ่าย!E10</f>
        <v>0</v>
      </c>
      <c r="F10" s="74">
        <f>'เย็น '!F10+'เช้า '!F10+บ่าย!F10</f>
        <v>0</v>
      </c>
      <c r="G10" s="74">
        <f>'เย็น '!G10+'เช้า '!G10+บ่าย!G10</f>
        <v>0</v>
      </c>
      <c r="H10" s="74">
        <f>'เย็น '!H10+'เช้า '!H10+บ่าย!H10</f>
        <v>0</v>
      </c>
      <c r="I10" s="74">
        <f>'เย็น '!I10+'เช้า '!I10+บ่าย!I10</f>
        <v>0</v>
      </c>
      <c r="J10" s="74">
        <f>'เย็น '!J10+'เช้า '!J10+บ่าย!J10</f>
        <v>0</v>
      </c>
      <c r="K10" s="74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74">
        <f>'เย็น '!D11+'เช้า '!D11+บ่าย!D11</f>
        <v>0</v>
      </c>
      <c r="E11" s="74">
        <f>'เย็น '!E11+'เช้า '!E11+บ่าย!E11</f>
        <v>0</v>
      </c>
      <c r="F11" s="74">
        <f>'เย็น '!F11+'เช้า '!F11+บ่าย!F11</f>
        <v>0</v>
      </c>
      <c r="G11" s="74">
        <f>'เย็น '!G11+'เช้า '!G11+บ่าย!G11</f>
        <v>0</v>
      </c>
      <c r="H11" s="74">
        <f>'เย็น '!H11+'เช้า '!H11+บ่าย!H11</f>
        <v>0</v>
      </c>
      <c r="I11" s="74">
        <f>'เย็น '!I11+'เช้า '!I11+บ่าย!I11</f>
        <v>0</v>
      </c>
      <c r="J11" s="74">
        <f>'เย็น '!J11+'เช้า '!J11+บ่าย!J11</f>
        <v>0</v>
      </c>
      <c r="K11" s="74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74">
        <f>'เย็น '!D12+'เช้า '!D12+บ่าย!D12</f>
        <v>0</v>
      </c>
      <c r="E12" s="74">
        <f>'เย็น '!E12+'เช้า '!E12+บ่าย!E12</f>
        <v>0</v>
      </c>
      <c r="F12" s="74">
        <f>'เย็น '!F12+'เช้า '!F12+บ่าย!F12</f>
        <v>0</v>
      </c>
      <c r="G12" s="74">
        <f>'เย็น '!G12+'เช้า '!G12+บ่าย!G12</f>
        <v>0</v>
      </c>
      <c r="H12" s="74">
        <f>'เย็น '!H12+'เช้า '!H12+บ่าย!H12</f>
        <v>0</v>
      </c>
      <c r="I12" s="74">
        <f>'เย็น '!I12+'เช้า '!I12+บ่าย!I12</f>
        <v>0</v>
      </c>
      <c r="J12" s="74">
        <f>'เย็น '!J12+'เช้า '!J12+บ่าย!J12</f>
        <v>0</v>
      </c>
      <c r="K12" s="74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74">
        <f>'เย็น '!D13+'เช้า '!D13+บ่าย!D13</f>
        <v>0</v>
      </c>
      <c r="E13" s="74">
        <f>'เย็น '!E13+'เช้า '!E13+บ่าย!E13</f>
        <v>0</v>
      </c>
      <c r="F13" s="74">
        <f>'เย็น '!F13+'เช้า '!F13+บ่าย!F13</f>
        <v>0</v>
      </c>
      <c r="G13" s="74">
        <f>'เย็น '!G13+'เช้า '!G13+บ่าย!G13</f>
        <v>0</v>
      </c>
      <c r="H13" s="74">
        <f>'เย็น '!H13+'เช้า '!H13+บ่าย!H13</f>
        <v>0</v>
      </c>
      <c r="I13" s="74">
        <f>'เย็น '!I13+'เช้า '!I13+บ่าย!I13</f>
        <v>0</v>
      </c>
      <c r="J13" s="74">
        <f>'เย็น '!J13+'เช้า '!J13+บ่าย!J13</f>
        <v>0</v>
      </c>
      <c r="K13" s="74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74">
        <f>'เย็น '!D14+'เช้า '!D14+บ่าย!D14</f>
        <v>0</v>
      </c>
      <c r="E14" s="74">
        <f>'เย็น '!E14+'เช้า '!E14+บ่าย!E14</f>
        <v>0</v>
      </c>
      <c r="F14" s="74">
        <f>'เย็น '!F14+'เช้า '!F14+บ่าย!F14</f>
        <v>0</v>
      </c>
      <c r="G14" s="74">
        <f>'เย็น '!G14+'เช้า '!G14+บ่าย!G14</f>
        <v>0</v>
      </c>
      <c r="H14" s="74">
        <f>'เย็น '!H14+'เช้า '!H14+บ่าย!H14</f>
        <v>0</v>
      </c>
      <c r="I14" s="74">
        <f>'เย็น '!I14+'เช้า '!I14+บ่าย!I14</f>
        <v>0</v>
      </c>
      <c r="J14" s="74">
        <f>'เย็น '!J14+'เช้า '!J14+บ่าย!J14</f>
        <v>0</v>
      </c>
      <c r="K14" s="74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74">
        <f>'เย็น '!D15+'เช้า '!D15+บ่าย!D15</f>
        <v>0</v>
      </c>
      <c r="E15" s="74">
        <f>'เย็น '!E15+'เช้า '!E15+บ่าย!E15</f>
        <v>0</v>
      </c>
      <c r="F15" s="74">
        <f>'เย็น '!F15+'เช้า '!F15+บ่าย!F15</f>
        <v>0</v>
      </c>
      <c r="G15" s="74">
        <f>'เย็น '!G15+'เช้า '!G15+บ่าย!G15</f>
        <v>0</v>
      </c>
      <c r="H15" s="74">
        <f>'เย็น '!H15+'เช้า '!H15+บ่าย!H15</f>
        <v>0</v>
      </c>
      <c r="I15" s="74">
        <f>'เย็น '!I15+'เช้า '!I15+บ่าย!I15</f>
        <v>0</v>
      </c>
      <c r="J15" s="74">
        <f>'เย็น '!J15+'เช้า '!J15+บ่าย!J15</f>
        <v>0</v>
      </c>
      <c r="K15" s="74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74">
        <f>'เย็น '!D16+'เช้า '!D16+บ่าย!D16</f>
        <v>0</v>
      </c>
      <c r="E16" s="74">
        <f>'เย็น '!E16+'เช้า '!E16+บ่าย!E16</f>
        <v>0</v>
      </c>
      <c r="F16" s="74">
        <f>'เย็น '!F16+'เช้า '!F16+บ่าย!F16</f>
        <v>0</v>
      </c>
      <c r="G16" s="74">
        <f>'เย็น '!G16+'เช้า '!G16+บ่าย!G16</f>
        <v>0</v>
      </c>
      <c r="H16" s="74">
        <f>'เย็น '!H16+'เช้า '!H16+บ่าย!H16</f>
        <v>0</v>
      </c>
      <c r="I16" s="74">
        <f>'เย็น '!I16+'เช้า '!I16+บ่าย!I16</f>
        <v>0</v>
      </c>
      <c r="J16" s="74">
        <f>'เย็น '!J16+'เช้า '!J16+บ่าย!J16</f>
        <v>0</v>
      </c>
      <c r="K16" s="74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74">
        <f>'เย็น '!D17+'เช้า '!D17+บ่าย!D17</f>
        <v>0</v>
      </c>
      <c r="E17" s="74">
        <f>'เย็น '!E17+'เช้า '!E17+บ่าย!E17</f>
        <v>0</v>
      </c>
      <c r="F17" s="74">
        <f>'เย็น '!F17+'เช้า '!F17+บ่าย!F17</f>
        <v>0</v>
      </c>
      <c r="G17" s="74">
        <f>'เย็น '!G17+'เช้า '!G17+บ่าย!G17</f>
        <v>0</v>
      </c>
      <c r="H17" s="74">
        <f>'เย็น '!H17+'เช้า '!H17+บ่าย!H17</f>
        <v>0</v>
      </c>
      <c r="I17" s="74">
        <f>'เย็น '!I17+'เช้า '!I17+บ่าย!I17</f>
        <v>0</v>
      </c>
      <c r="J17" s="74">
        <f>'เย็น '!J17+'เช้า '!J17+บ่าย!J17</f>
        <v>0</v>
      </c>
      <c r="K17" s="74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74">
        <f>'เย็น '!D18+'เช้า '!D18+บ่าย!D18</f>
        <v>0</v>
      </c>
      <c r="E18" s="74">
        <f>'เย็น '!E18+'เช้า '!E18+บ่าย!E18</f>
        <v>0</v>
      </c>
      <c r="F18" s="74">
        <f>'เย็น '!F18+'เช้า '!F18+บ่าย!F18</f>
        <v>0</v>
      </c>
      <c r="G18" s="74">
        <f>'เย็น '!G18+'เช้า '!G18+บ่าย!G18</f>
        <v>0</v>
      </c>
      <c r="H18" s="74">
        <f>'เย็น '!H18+'เช้า '!H18+บ่าย!H18</f>
        <v>0</v>
      </c>
      <c r="I18" s="74">
        <f>'เย็น '!I18+'เช้า '!I18+บ่าย!I18</f>
        <v>0</v>
      </c>
      <c r="J18" s="74">
        <f>'เย็น '!J18+'เช้า '!J18+บ่าย!J18</f>
        <v>0</v>
      </c>
      <c r="K18" s="74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74">
        <f>'เย็น '!D19+'เช้า '!D19+บ่าย!D19</f>
        <v>0</v>
      </c>
      <c r="E19" s="74">
        <f>'เย็น '!E19+'เช้า '!E19+บ่าย!E19</f>
        <v>0</v>
      </c>
      <c r="F19" s="74">
        <f>'เย็น '!F19+'เช้า '!F19+บ่าย!F19</f>
        <v>0</v>
      </c>
      <c r="G19" s="74">
        <f>'เย็น '!G19+'เช้า '!G19+บ่าย!G19</f>
        <v>0</v>
      </c>
      <c r="H19" s="74">
        <f>'เย็น '!H19+'เช้า '!H19+บ่าย!H19</f>
        <v>0</v>
      </c>
      <c r="I19" s="74">
        <f>'เย็น '!I19+'เช้า '!I19+บ่าย!I19</f>
        <v>0</v>
      </c>
      <c r="J19" s="74">
        <f>'เย็น '!J19+'เช้า '!J19+บ่าย!J19</f>
        <v>0</v>
      </c>
      <c r="K19" s="74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74">
        <f>'เย็น '!D20+'เช้า '!D20+บ่าย!D20</f>
        <v>0</v>
      </c>
      <c r="E20" s="74">
        <f>'เย็น '!E20+'เช้า '!E20+บ่าย!E20</f>
        <v>0</v>
      </c>
      <c r="F20" s="74">
        <f>'เย็น '!F20+'เช้า '!F20+บ่าย!F20</f>
        <v>0</v>
      </c>
      <c r="G20" s="74">
        <f>'เย็น '!G20+'เช้า '!G20+บ่าย!G20</f>
        <v>0</v>
      </c>
      <c r="H20" s="74">
        <f>'เย็น '!H20+'เช้า '!H20+บ่าย!H20</f>
        <v>0</v>
      </c>
      <c r="I20" s="74">
        <f>'เย็น '!I20+'เช้า '!I20+บ่าย!I20</f>
        <v>0</v>
      </c>
      <c r="J20" s="74">
        <f>'เย็น '!J20+'เช้า '!J20+บ่าย!J20</f>
        <v>0</v>
      </c>
      <c r="K20" s="74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74">
        <f>'เย็น '!D21+'เช้า '!D21+บ่าย!D21</f>
        <v>0</v>
      </c>
      <c r="E21" s="74">
        <f>'เย็น '!E21+'เช้า '!E21+บ่าย!E21</f>
        <v>0</v>
      </c>
      <c r="F21" s="74">
        <f>'เย็น '!F21+'เช้า '!F21+บ่าย!F21</f>
        <v>0</v>
      </c>
      <c r="G21" s="74">
        <f>'เย็น '!G21+'เช้า '!G21+บ่าย!G21</f>
        <v>0</v>
      </c>
      <c r="H21" s="74">
        <f>'เย็น '!H21+'เช้า '!H21+บ่าย!H21</f>
        <v>0</v>
      </c>
      <c r="I21" s="74">
        <f>'เย็น '!I21+'เช้า '!I21+บ่าย!I21</f>
        <v>0</v>
      </c>
      <c r="J21" s="74">
        <f>'เย็น '!J21+'เช้า '!J21+บ่าย!J21</f>
        <v>0</v>
      </c>
      <c r="K21" s="74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74">
        <f>'เย็น '!D22+'เช้า '!D22+บ่าย!D22</f>
        <v>0</v>
      </c>
      <c r="E22" s="74">
        <f>'เย็น '!E22+'เช้า '!E22+บ่าย!E22</f>
        <v>0</v>
      </c>
      <c r="F22" s="74">
        <f>'เย็น '!F22+'เช้า '!F22+บ่าย!F22</f>
        <v>0</v>
      </c>
      <c r="G22" s="74">
        <f>'เย็น '!G22+'เช้า '!G22+บ่าย!G22</f>
        <v>0</v>
      </c>
      <c r="H22" s="74">
        <f>'เย็น '!H22+'เช้า '!H22+บ่าย!H22</f>
        <v>0</v>
      </c>
      <c r="I22" s="74">
        <f>'เย็น '!I22+'เช้า '!I22+บ่าย!I22</f>
        <v>0</v>
      </c>
      <c r="J22" s="74">
        <f>'เย็น '!J22+'เช้า '!J22+บ่าย!J22</f>
        <v>0</v>
      </c>
      <c r="K22" s="74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74">
        <f>'เย็น '!D23+'เช้า '!D23+บ่าย!D23</f>
        <v>0</v>
      </c>
      <c r="E23" s="74">
        <f>'เย็น '!E23+'เช้า '!E23+บ่าย!E23</f>
        <v>0</v>
      </c>
      <c r="F23" s="74">
        <f>'เย็น '!F23+'เช้า '!F23+บ่าย!F23</f>
        <v>0</v>
      </c>
      <c r="G23" s="74">
        <f>'เย็น '!G23+'เช้า '!G23+บ่าย!G23</f>
        <v>0</v>
      </c>
      <c r="H23" s="74">
        <f>'เย็น '!H23+'เช้า '!H23+บ่าย!H23</f>
        <v>0</v>
      </c>
      <c r="I23" s="74">
        <f>'เย็น '!I23+'เช้า '!I23+บ่าย!I23</f>
        <v>0</v>
      </c>
      <c r="J23" s="74">
        <f>'เย็น '!J23+'เช้า '!J23+บ่าย!J23</f>
        <v>0</v>
      </c>
      <c r="K23" s="74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74">
        <f>'เย็น '!D24+'เช้า '!D24+บ่าย!D24</f>
        <v>0</v>
      </c>
      <c r="E24" s="74">
        <f>'เย็น '!E24+'เช้า '!E24+บ่าย!E24</f>
        <v>0</v>
      </c>
      <c r="F24" s="74">
        <f>'เย็น '!F24+'เช้า '!F24+บ่าย!F24</f>
        <v>0</v>
      </c>
      <c r="G24" s="74">
        <f>'เย็น '!G24+'เช้า '!G24+บ่าย!G24</f>
        <v>0</v>
      </c>
      <c r="H24" s="74">
        <f>'เย็น '!H24+'เช้า '!H24+บ่าย!H24</f>
        <v>0</v>
      </c>
      <c r="I24" s="74">
        <f>'เย็น '!I24+'เช้า '!I24+บ่าย!I24</f>
        <v>0</v>
      </c>
      <c r="J24" s="74">
        <f>'เย็น '!J24+'เช้า '!J24+บ่าย!J24</f>
        <v>0</v>
      </c>
      <c r="K24" s="74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74">
        <f>'เย็น '!D25+'เช้า '!D25+บ่าย!D25</f>
        <v>1</v>
      </c>
      <c r="E25" s="74">
        <f>'เย็น '!E25+'เช้า '!E25+บ่าย!E25</f>
        <v>4</v>
      </c>
      <c r="F25" s="74">
        <f>'เย็น '!F25+'เช้า '!F25+บ่าย!F25</f>
        <v>5</v>
      </c>
      <c r="G25" s="74">
        <f>'เย็น '!G25+'เช้า '!G25+บ่าย!G25</f>
        <v>2</v>
      </c>
      <c r="H25" s="74">
        <f>'เย็น '!H25+'เช้า '!H25+บ่าย!H25</f>
        <v>0</v>
      </c>
      <c r="I25" s="74">
        <f>'เย็น '!I25+'เช้า '!I25+บ่าย!I25</f>
        <v>0</v>
      </c>
      <c r="J25" s="74">
        <f>'เย็น '!J25+'เช้า '!J25+บ่าย!J25</f>
        <v>0</v>
      </c>
      <c r="K25" s="74">
        <f>'เย็น '!K25+'เช้า '!K25+บ่าย!K25</f>
        <v>0</v>
      </c>
      <c r="L25" s="37">
        <f t="shared" si="0"/>
        <v>12</v>
      </c>
      <c r="M25" s="11"/>
      <c r="N25" s="11"/>
      <c r="O25" s="11"/>
      <c r="P25" s="11"/>
      <c r="Q25" s="45">
        <f t="shared" si="1"/>
        <v>-12</v>
      </c>
    </row>
    <row r="26" spans="2:17" x14ac:dyDescent="0.2">
      <c r="B26" s="11">
        <v>1004055</v>
      </c>
      <c r="C26" s="15" t="s">
        <v>108</v>
      </c>
      <c r="D26" s="74">
        <f>'เย็น '!D26+'เช้า '!D26+บ่าย!D26</f>
        <v>8</v>
      </c>
      <c r="E26" s="74">
        <f>'เย็น '!E26+'เช้า '!E26+บ่าย!E26</f>
        <v>3</v>
      </c>
      <c r="F26" s="74">
        <f>'เย็น '!F26+'เช้า '!F26+บ่าย!F26</f>
        <v>1</v>
      </c>
      <c r="G26" s="74">
        <f>'เย็น '!G26+'เช้า '!G26+บ่าย!G26</f>
        <v>84</v>
      </c>
      <c r="H26" s="74">
        <f>'เย็น '!H26+'เช้า '!H26+บ่าย!H26</f>
        <v>0</v>
      </c>
      <c r="I26" s="74">
        <f>'เย็น '!I26+'เช้า '!I26+บ่าย!I26</f>
        <v>0</v>
      </c>
      <c r="J26" s="74">
        <f>'เย็น '!J26+'เช้า '!J26+บ่าย!J26</f>
        <v>0</v>
      </c>
      <c r="K26" s="74">
        <f>'เย็น '!K26+'เช้า '!K26+บ่าย!K26</f>
        <v>0</v>
      </c>
      <c r="L26" s="37">
        <f t="shared" si="0"/>
        <v>96</v>
      </c>
      <c r="M26" s="11"/>
      <c r="N26" s="11"/>
      <c r="O26" s="11"/>
      <c r="P26" s="11"/>
      <c r="Q26" s="45">
        <f t="shared" si="1"/>
        <v>-96</v>
      </c>
    </row>
    <row r="27" spans="2:17" hidden="1" x14ac:dyDescent="0.2">
      <c r="B27" s="11">
        <v>1004055</v>
      </c>
      <c r="C27" s="15" t="s">
        <v>109</v>
      </c>
      <c r="D27" s="74">
        <f>'เย็น '!D27+'เช้า '!D27+บ่าย!D27</f>
        <v>0</v>
      </c>
      <c r="E27" s="74">
        <f>'เย็น '!E27+'เช้า '!E27+บ่าย!E27</f>
        <v>0</v>
      </c>
      <c r="F27" s="74">
        <f>'เย็น '!F27+'เช้า '!F27+บ่าย!F27</f>
        <v>0</v>
      </c>
      <c r="G27" s="74">
        <f>'เย็น '!G27+'เช้า '!G27+บ่าย!G27</f>
        <v>0</v>
      </c>
      <c r="H27" s="74">
        <f>'เย็น '!H27+'เช้า '!H27+บ่าย!H27</f>
        <v>0</v>
      </c>
      <c r="I27" s="74">
        <f>'เย็น '!I27+'เช้า '!I27+บ่าย!I27</f>
        <v>0</v>
      </c>
      <c r="J27" s="74">
        <f>'เย็น '!J27+'เช้า '!J27+บ่าย!J27</f>
        <v>0</v>
      </c>
      <c r="K27" s="74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74">
        <f>'เย็น '!D28+'เช้า '!D28+บ่าย!D28</f>
        <v>0</v>
      </c>
      <c r="E28" s="74">
        <f>'เย็น '!E28+'เช้า '!E28+บ่าย!E28</f>
        <v>0</v>
      </c>
      <c r="F28" s="74">
        <f>'เย็น '!F28+'เช้า '!F28+บ่าย!F28</f>
        <v>0</v>
      </c>
      <c r="G28" s="74">
        <f>'เย็น '!G28+'เช้า '!G28+บ่าย!G28</f>
        <v>0</v>
      </c>
      <c r="H28" s="74">
        <f>'เย็น '!H28+'เช้า '!H28+บ่าย!H28</f>
        <v>0</v>
      </c>
      <c r="I28" s="74">
        <f>'เย็น '!I28+'เช้า '!I28+บ่าย!I28</f>
        <v>0</v>
      </c>
      <c r="J28" s="74">
        <f>'เย็น '!J28+'เช้า '!J28+บ่าย!J28</f>
        <v>0</v>
      </c>
      <c r="K28" s="74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74">
        <f>'เย็น '!D29+'เช้า '!D29+บ่าย!D29</f>
        <v>0</v>
      </c>
      <c r="E29" s="74">
        <f>'เย็น '!E29+'เช้า '!E29+บ่าย!E29</f>
        <v>0</v>
      </c>
      <c r="F29" s="74">
        <f>'เย็น '!F29+'เช้า '!F29+บ่าย!F29</f>
        <v>0</v>
      </c>
      <c r="G29" s="74">
        <f>'เย็น '!G29+'เช้า '!G29+บ่าย!G29</f>
        <v>0</v>
      </c>
      <c r="H29" s="74">
        <f>'เย็น '!H29+'เช้า '!H29+บ่าย!H29</f>
        <v>0</v>
      </c>
      <c r="I29" s="74">
        <f>'เย็น '!I29+'เช้า '!I29+บ่าย!I29</f>
        <v>0</v>
      </c>
      <c r="J29" s="74">
        <f>'เย็น '!J29+'เช้า '!J29+บ่าย!J29</f>
        <v>0</v>
      </c>
      <c r="K29" s="74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74">
        <f>'เย็น '!D30+'เช้า '!D30+บ่าย!D30</f>
        <v>0</v>
      </c>
      <c r="E30" s="74">
        <f>'เย็น '!E30+'เช้า '!E30+บ่าย!E30</f>
        <v>0</v>
      </c>
      <c r="F30" s="74">
        <f>'เย็น '!F30+'เช้า '!F30+บ่าย!F30</f>
        <v>0</v>
      </c>
      <c r="G30" s="74">
        <f>'เย็น '!G30+'เช้า '!G30+บ่าย!G30</f>
        <v>0</v>
      </c>
      <c r="H30" s="74">
        <f>'เย็น '!H30+'เช้า '!H30+บ่าย!H30</f>
        <v>0</v>
      </c>
      <c r="I30" s="74">
        <f>'เย็น '!I30+'เช้า '!I30+บ่าย!I30</f>
        <v>0</v>
      </c>
      <c r="J30" s="74">
        <f>'เย็น '!J30+'เช้า '!J30+บ่าย!J30</f>
        <v>0</v>
      </c>
      <c r="K30" s="74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74">
        <f>'เย็น '!D31+'เช้า '!D31+บ่าย!D31</f>
        <v>0</v>
      </c>
      <c r="E31" s="74">
        <f>'เย็น '!E31+'เช้า '!E31+บ่าย!E31</f>
        <v>0</v>
      </c>
      <c r="F31" s="74">
        <f>'เย็น '!F31+'เช้า '!F31+บ่าย!F31</f>
        <v>0</v>
      </c>
      <c r="G31" s="74">
        <f>'เย็น '!G31+'เช้า '!G31+บ่าย!G31</f>
        <v>0</v>
      </c>
      <c r="H31" s="74">
        <f>'เย็น '!H31+'เช้า '!H31+บ่าย!H31</f>
        <v>0</v>
      </c>
      <c r="I31" s="74">
        <f>'เย็น '!I31+'เช้า '!I31+บ่าย!I31</f>
        <v>0</v>
      </c>
      <c r="J31" s="74">
        <f>'เย็น '!J31+'เช้า '!J31+บ่าย!J31</f>
        <v>0</v>
      </c>
      <c r="K31" s="74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74">
        <f>'เย็น '!D32+'เช้า '!D32+บ่าย!D32</f>
        <v>0</v>
      </c>
      <c r="E32" s="74">
        <f>'เย็น '!E32+'เช้า '!E32+บ่าย!E32</f>
        <v>0</v>
      </c>
      <c r="F32" s="74">
        <f>'เย็น '!F32+'เช้า '!F32+บ่าย!F32</f>
        <v>0</v>
      </c>
      <c r="G32" s="74">
        <f>'เย็น '!G32+'เช้า '!G32+บ่าย!G32</f>
        <v>0</v>
      </c>
      <c r="H32" s="74">
        <f>'เย็น '!H32+'เช้า '!H32+บ่าย!H32</f>
        <v>0</v>
      </c>
      <c r="I32" s="74">
        <f>'เย็น '!I32+'เช้า '!I32+บ่าย!I32</f>
        <v>0</v>
      </c>
      <c r="J32" s="74">
        <f>'เย็น '!J32+'เช้า '!J32+บ่าย!J32</f>
        <v>0</v>
      </c>
      <c r="K32" s="74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74">
        <f>'เย็น '!D33+'เช้า '!D33+บ่าย!D33</f>
        <v>0</v>
      </c>
      <c r="E33" s="74">
        <f>'เย็น '!E33+'เช้า '!E33+บ่าย!E33</f>
        <v>0</v>
      </c>
      <c r="F33" s="74">
        <f>'เย็น '!F33+'เช้า '!F33+บ่าย!F33</f>
        <v>0</v>
      </c>
      <c r="G33" s="74">
        <f>'เย็น '!G33+'เช้า '!G33+บ่าย!G33</f>
        <v>0</v>
      </c>
      <c r="H33" s="74">
        <f>'เย็น '!H33+'เช้า '!H33+บ่าย!H33</f>
        <v>0</v>
      </c>
      <c r="I33" s="74">
        <f>'เย็น '!I33+'เช้า '!I33+บ่าย!I33</f>
        <v>0</v>
      </c>
      <c r="J33" s="74">
        <f>'เย็น '!J33+'เช้า '!J33+บ่าย!J33</f>
        <v>0</v>
      </c>
      <c r="K33" s="74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74">
        <f>'เย็น '!D34+'เช้า '!D34+บ่าย!D34</f>
        <v>0</v>
      </c>
      <c r="E34" s="74">
        <f>'เย็น '!E34+'เช้า '!E34+บ่าย!E34</f>
        <v>0</v>
      </c>
      <c r="F34" s="74">
        <f>'เย็น '!F34+'เช้า '!F34+บ่าย!F34</f>
        <v>0</v>
      </c>
      <c r="G34" s="74">
        <f>'เย็น '!G34+'เช้า '!G34+บ่าย!G34</f>
        <v>0</v>
      </c>
      <c r="H34" s="74">
        <f>'เย็น '!H34+'เช้า '!H34+บ่าย!H34</f>
        <v>0</v>
      </c>
      <c r="I34" s="74">
        <f>'เย็น '!I34+'เช้า '!I34+บ่าย!I34</f>
        <v>0</v>
      </c>
      <c r="J34" s="74">
        <f>'เย็น '!J34+'เช้า '!J34+บ่าย!J34</f>
        <v>0</v>
      </c>
      <c r="K34" s="74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74">
        <f>'เย็น '!D35+'เช้า '!D35+บ่าย!D35</f>
        <v>0</v>
      </c>
      <c r="E35" s="74">
        <f>'เย็น '!E35+'เช้า '!E35+บ่าย!E35</f>
        <v>0</v>
      </c>
      <c r="F35" s="74">
        <f>'เย็น '!F35+'เช้า '!F35+บ่าย!F35</f>
        <v>0</v>
      </c>
      <c r="G35" s="74">
        <f>'เย็น '!G35+'เช้า '!G35+บ่าย!G35</f>
        <v>0</v>
      </c>
      <c r="H35" s="74">
        <f>'เย็น '!H35+'เช้า '!H35+บ่าย!H35</f>
        <v>0</v>
      </c>
      <c r="I35" s="74">
        <f>'เย็น '!I35+'เช้า '!I35+บ่าย!I35</f>
        <v>0</v>
      </c>
      <c r="J35" s="74">
        <f>'เย็น '!J35+'เช้า '!J35+บ่าย!J35</f>
        <v>0</v>
      </c>
      <c r="K35" s="74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74">
        <f>'เย็น '!D36+'เช้า '!D36+บ่าย!D36</f>
        <v>0</v>
      </c>
      <c r="E36" s="74">
        <f>'เย็น '!E36+'เช้า '!E36+บ่าย!E36</f>
        <v>0</v>
      </c>
      <c r="F36" s="74">
        <f>'เย็น '!F36+'เช้า '!F36+บ่าย!F36</f>
        <v>0</v>
      </c>
      <c r="G36" s="74">
        <f>'เย็น '!G36+'เช้า '!G36+บ่าย!G36</f>
        <v>0</v>
      </c>
      <c r="H36" s="74">
        <f>'เย็น '!H36+'เช้า '!H36+บ่าย!H36</f>
        <v>0</v>
      </c>
      <c r="I36" s="74">
        <f>'เย็น '!I36+'เช้า '!I36+บ่าย!I36</f>
        <v>0</v>
      </c>
      <c r="J36" s="74">
        <f>'เย็น '!J36+'เช้า '!J36+บ่าย!J36</f>
        <v>0</v>
      </c>
      <c r="K36" s="74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74">
        <f>'เย็น '!D37+'เช้า '!D37+บ่าย!D37</f>
        <v>0</v>
      </c>
      <c r="E37" s="74">
        <f>'เย็น '!E37+'เช้า '!E37+บ่าย!E37</f>
        <v>0</v>
      </c>
      <c r="F37" s="74">
        <f>'เย็น '!F37+'เช้า '!F37+บ่าย!F37</f>
        <v>0</v>
      </c>
      <c r="G37" s="74">
        <f>'เย็น '!G37+'เช้า '!G37+บ่าย!G37</f>
        <v>0</v>
      </c>
      <c r="H37" s="74">
        <f>'เย็น '!H37+'เช้า '!H37+บ่าย!H37</f>
        <v>0</v>
      </c>
      <c r="I37" s="74">
        <f>'เย็น '!I37+'เช้า '!I37+บ่าย!I37</f>
        <v>0</v>
      </c>
      <c r="J37" s="74">
        <f>'เย็น '!J37+'เช้า '!J37+บ่าย!J37</f>
        <v>0</v>
      </c>
      <c r="K37" s="74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74">
        <f>'เย็น '!D38+'เช้า '!D38+บ่าย!D38</f>
        <v>0</v>
      </c>
      <c r="E38" s="74">
        <f>'เย็น '!E38+'เช้า '!E38+บ่าย!E38</f>
        <v>0</v>
      </c>
      <c r="F38" s="74">
        <f>'เย็น '!F38+'เช้า '!F38+บ่าย!F38</f>
        <v>0</v>
      </c>
      <c r="G38" s="74">
        <f>'เย็น '!G38+'เช้า '!G38+บ่าย!G38</f>
        <v>0</v>
      </c>
      <c r="H38" s="74">
        <f>'เย็น '!H38+'เช้า '!H38+บ่าย!H38</f>
        <v>0</v>
      </c>
      <c r="I38" s="74">
        <f>'เย็น '!I38+'เช้า '!I38+บ่าย!I38</f>
        <v>0</v>
      </c>
      <c r="J38" s="74">
        <f>'เย็น '!J38+'เช้า '!J38+บ่าย!J38</f>
        <v>0</v>
      </c>
      <c r="K38" s="74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74">
        <f>'เย็น '!D39+'เช้า '!D39+บ่าย!D39</f>
        <v>0</v>
      </c>
      <c r="E39" s="74">
        <f>'เย็น '!E39+'เช้า '!E39+บ่าย!E39</f>
        <v>0</v>
      </c>
      <c r="F39" s="74">
        <f>'เย็น '!F39+'เช้า '!F39+บ่าย!F39</f>
        <v>0</v>
      </c>
      <c r="G39" s="74">
        <f>'เย็น '!G39+'เช้า '!G39+บ่าย!G39</f>
        <v>0</v>
      </c>
      <c r="H39" s="74">
        <f>'เย็น '!H39+'เช้า '!H39+บ่าย!H39</f>
        <v>0</v>
      </c>
      <c r="I39" s="74">
        <f>'เย็น '!I39+'เช้า '!I39+บ่าย!I39</f>
        <v>0</v>
      </c>
      <c r="J39" s="74">
        <f>'เย็น '!J39+'เช้า '!J39+บ่าย!J39</f>
        <v>0</v>
      </c>
      <c r="K39" s="74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74">
        <f>'เย็น '!D40+'เช้า '!D40+บ่าย!D40</f>
        <v>0</v>
      </c>
      <c r="E40" s="74">
        <f>'เย็น '!E40+'เช้า '!E40+บ่าย!E40</f>
        <v>0</v>
      </c>
      <c r="F40" s="74">
        <f>'เย็น '!F40+'เช้า '!F40+บ่าย!F40</f>
        <v>0</v>
      </c>
      <c r="G40" s="74">
        <f>'เย็น '!G40+'เช้า '!G40+บ่าย!G40</f>
        <v>0</v>
      </c>
      <c r="H40" s="74">
        <f>'เย็น '!H40+'เช้า '!H40+บ่าย!H40</f>
        <v>0</v>
      </c>
      <c r="I40" s="74">
        <f>'เย็น '!I40+'เช้า '!I40+บ่าย!I40</f>
        <v>0</v>
      </c>
      <c r="J40" s="74">
        <f>'เย็น '!J40+'เช้า '!J40+บ่าย!J40</f>
        <v>0</v>
      </c>
      <c r="K40" s="74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74">
        <f>'เย็น '!D41+'เช้า '!D41+บ่าย!D41</f>
        <v>0</v>
      </c>
      <c r="E41" s="74">
        <f>'เย็น '!E41+'เช้า '!E41+บ่าย!E41</f>
        <v>0</v>
      </c>
      <c r="F41" s="74">
        <f>'เย็น '!F41+'เช้า '!F41+บ่าย!F41</f>
        <v>0</v>
      </c>
      <c r="G41" s="74">
        <f>'เย็น '!G41+'เช้า '!G41+บ่าย!G41</f>
        <v>0</v>
      </c>
      <c r="H41" s="74">
        <f>'เย็น '!H41+'เช้า '!H41+บ่าย!H41</f>
        <v>0</v>
      </c>
      <c r="I41" s="74">
        <f>'เย็น '!I41+'เช้า '!I41+บ่าย!I41</f>
        <v>0</v>
      </c>
      <c r="J41" s="74">
        <f>'เย็น '!J41+'เช้า '!J41+บ่าย!J41</f>
        <v>0</v>
      </c>
      <c r="K41" s="74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74">
        <f>'เย็น '!D42+'เช้า '!D42+บ่าย!D42</f>
        <v>0</v>
      </c>
      <c r="E42" s="74">
        <f>'เย็น '!E42+'เช้า '!E42+บ่าย!E42</f>
        <v>0</v>
      </c>
      <c r="F42" s="74">
        <f>'เย็น '!F42+'เช้า '!F42+บ่าย!F42</f>
        <v>0</v>
      </c>
      <c r="G42" s="74">
        <f>'เย็น '!G42+'เช้า '!G42+บ่าย!G42</f>
        <v>0</v>
      </c>
      <c r="H42" s="74">
        <f>'เย็น '!H42+'เช้า '!H42+บ่าย!H42</f>
        <v>0</v>
      </c>
      <c r="I42" s="74">
        <f>'เย็น '!I42+'เช้า '!I42+บ่าย!I42</f>
        <v>0</v>
      </c>
      <c r="J42" s="74">
        <f>'เย็น '!J42+'เช้า '!J42+บ่าย!J42</f>
        <v>0</v>
      </c>
      <c r="K42" s="74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74">
        <f>'เย็น '!D43+'เช้า '!D43+บ่าย!D43</f>
        <v>0</v>
      </c>
      <c r="E43" s="74">
        <f>'เย็น '!E43+'เช้า '!E43+บ่าย!E43</f>
        <v>0</v>
      </c>
      <c r="F43" s="74">
        <f>'เย็น '!F43+'เช้า '!F43+บ่าย!F43</f>
        <v>0</v>
      </c>
      <c r="G43" s="74">
        <f>'เย็น '!G43+'เช้า '!G43+บ่าย!G43</f>
        <v>0</v>
      </c>
      <c r="H43" s="74">
        <f>'เย็น '!H43+'เช้า '!H43+บ่าย!H43</f>
        <v>0</v>
      </c>
      <c r="I43" s="74">
        <f>'เย็น '!I43+'เช้า '!I43+บ่าย!I43</f>
        <v>0</v>
      </c>
      <c r="J43" s="74">
        <f>'เย็น '!J43+'เช้า '!J43+บ่าย!J43</f>
        <v>0</v>
      </c>
      <c r="K43" s="74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74">
        <f>'เย็น '!D44+'เช้า '!D44+บ่าย!D44</f>
        <v>0</v>
      </c>
      <c r="E44" s="74">
        <f>'เย็น '!E44+'เช้า '!E44+บ่าย!E44</f>
        <v>0</v>
      </c>
      <c r="F44" s="74">
        <f>'เย็น '!F44+'เช้า '!F44+บ่าย!F44</f>
        <v>0</v>
      </c>
      <c r="G44" s="74">
        <f>'เย็น '!G44+'เช้า '!G44+บ่าย!G44</f>
        <v>0</v>
      </c>
      <c r="H44" s="74">
        <f>'เย็น '!H44+'เช้า '!H44+บ่าย!H44</f>
        <v>0</v>
      </c>
      <c r="I44" s="74">
        <f>'เย็น '!I44+'เช้า '!I44+บ่าย!I44</f>
        <v>0</v>
      </c>
      <c r="J44" s="74">
        <f>'เย็น '!J44+'เช้า '!J44+บ่าย!J44</f>
        <v>0</v>
      </c>
      <c r="K44" s="74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74">
        <f>'เย็น '!D45+'เช้า '!D45+บ่าย!D45</f>
        <v>0</v>
      </c>
      <c r="E45" s="74">
        <f>'เย็น '!E45+'เช้า '!E45+บ่าย!E45</f>
        <v>0</v>
      </c>
      <c r="F45" s="74">
        <f>'เย็น '!F45+'เช้า '!F45+บ่าย!F45</f>
        <v>0</v>
      </c>
      <c r="G45" s="74">
        <f>'เย็น '!G45+'เช้า '!G45+บ่าย!G45</f>
        <v>0</v>
      </c>
      <c r="H45" s="74">
        <f>'เย็น '!H45+'เช้า '!H45+บ่าย!H45</f>
        <v>0</v>
      </c>
      <c r="I45" s="74">
        <f>'เย็น '!I45+'เช้า '!I45+บ่าย!I45</f>
        <v>0</v>
      </c>
      <c r="J45" s="74">
        <f>'เย็น '!J45+'เช้า '!J45+บ่าย!J45</f>
        <v>0</v>
      </c>
      <c r="K45" s="74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74">
        <f>'เย็น '!D46+'เช้า '!D46+บ่าย!D46</f>
        <v>0</v>
      </c>
      <c r="E46" s="74">
        <f>'เย็น '!E46+'เช้า '!E46+บ่าย!E46</f>
        <v>0</v>
      </c>
      <c r="F46" s="74">
        <f>'เย็น '!F46+'เช้า '!F46+บ่าย!F46</f>
        <v>0</v>
      </c>
      <c r="G46" s="74">
        <f>'เย็น '!G46+'เช้า '!G46+บ่าย!G46</f>
        <v>0</v>
      </c>
      <c r="H46" s="74">
        <f>'เย็น '!H46+'เช้า '!H46+บ่าย!H46</f>
        <v>0</v>
      </c>
      <c r="I46" s="74">
        <f>'เย็น '!I46+'เช้า '!I46+บ่าย!I46</f>
        <v>0</v>
      </c>
      <c r="J46" s="74">
        <f>'เย็น '!J46+'เช้า '!J46+บ่าย!J46</f>
        <v>0</v>
      </c>
      <c r="K46" s="74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74">
        <f>'เย็น '!D47+'เช้า '!D47+บ่าย!D47</f>
        <v>0</v>
      </c>
      <c r="E47" s="74">
        <f>'เย็น '!E47+'เช้า '!E47+บ่าย!E47</f>
        <v>0</v>
      </c>
      <c r="F47" s="74">
        <f>'เย็น '!F47+'เช้า '!F47+บ่าย!F47</f>
        <v>0</v>
      </c>
      <c r="G47" s="74">
        <f>'เย็น '!G47+'เช้า '!G47+บ่าย!G47</f>
        <v>0</v>
      </c>
      <c r="H47" s="74">
        <f>'เย็น '!H47+'เช้า '!H47+บ่าย!H47</f>
        <v>0</v>
      </c>
      <c r="I47" s="74">
        <f>'เย็น '!I47+'เช้า '!I47+บ่าย!I47</f>
        <v>0</v>
      </c>
      <c r="J47" s="74">
        <f>'เย็น '!J47+'เช้า '!J47+บ่าย!J47</f>
        <v>0</v>
      </c>
      <c r="K47" s="74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74">
        <f>'เย็น '!D48+'เช้า '!D48+บ่าย!D48</f>
        <v>0</v>
      </c>
      <c r="E48" s="74">
        <f>'เย็น '!E48+'เช้า '!E48+บ่าย!E48</f>
        <v>0</v>
      </c>
      <c r="F48" s="74">
        <f>'เย็น '!F48+'เช้า '!F48+บ่าย!F48</f>
        <v>0</v>
      </c>
      <c r="G48" s="74">
        <f>'เย็น '!G48+'เช้า '!G48+บ่าย!G48</f>
        <v>0</v>
      </c>
      <c r="H48" s="74">
        <f>'เย็น '!H48+'เช้า '!H48+บ่าย!H48</f>
        <v>0</v>
      </c>
      <c r="I48" s="74">
        <f>'เย็น '!I48+'เช้า '!I48+บ่าย!I48</f>
        <v>0</v>
      </c>
      <c r="J48" s="74">
        <f>'เย็น '!J48+'เช้า '!J48+บ่าย!J48</f>
        <v>0</v>
      </c>
      <c r="K48" s="74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74">
        <f>'เย็น '!D49+'เช้า '!D49+บ่าย!D49</f>
        <v>0</v>
      </c>
      <c r="E49" s="74">
        <f>'เย็น '!E49+'เช้า '!E49+บ่าย!E49</f>
        <v>0</v>
      </c>
      <c r="F49" s="74">
        <f>'เย็น '!F49+'เช้า '!F49+บ่าย!F49</f>
        <v>0</v>
      </c>
      <c r="G49" s="74">
        <f>'เย็น '!G49+'เช้า '!G49+บ่าย!G49</f>
        <v>0</v>
      </c>
      <c r="H49" s="74">
        <f>'เย็น '!H49+'เช้า '!H49+บ่าย!H49</f>
        <v>0</v>
      </c>
      <c r="I49" s="74">
        <f>'เย็น '!I49+'เช้า '!I49+บ่าย!I49</f>
        <v>0</v>
      </c>
      <c r="J49" s="74">
        <f>'เย็น '!J49+'เช้า '!J49+บ่าย!J49</f>
        <v>0</v>
      </c>
      <c r="K49" s="74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74">
        <f>'เย็น '!D50+'เช้า '!D50+บ่าย!D50</f>
        <v>0</v>
      </c>
      <c r="E50" s="74">
        <f>'เย็น '!E50+'เช้า '!E50+บ่าย!E50</f>
        <v>0</v>
      </c>
      <c r="F50" s="74">
        <f>'เย็น '!F50+'เช้า '!F50+บ่าย!F50</f>
        <v>0</v>
      </c>
      <c r="G50" s="74">
        <f>'เย็น '!G50+'เช้า '!G50+บ่าย!G50</f>
        <v>0</v>
      </c>
      <c r="H50" s="74">
        <f>'เย็น '!H50+'เช้า '!H50+บ่าย!H50</f>
        <v>0</v>
      </c>
      <c r="I50" s="74">
        <f>'เย็น '!I50+'เช้า '!I50+บ่าย!I50</f>
        <v>0</v>
      </c>
      <c r="J50" s="74">
        <f>'เย็น '!J50+'เช้า '!J50+บ่าย!J50</f>
        <v>0</v>
      </c>
      <c r="K50" s="74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74">
        <f>'เย็น '!D51+'เช้า '!D51+บ่าย!D51</f>
        <v>0</v>
      </c>
      <c r="E51" s="74">
        <f>'เย็น '!E51+'เช้า '!E51+บ่าย!E51</f>
        <v>0</v>
      </c>
      <c r="F51" s="74">
        <f>'เย็น '!F51+'เช้า '!F51+บ่าย!F51</f>
        <v>0</v>
      </c>
      <c r="G51" s="74">
        <f>'เย็น '!G51+'เช้า '!G51+บ่าย!G51</f>
        <v>0</v>
      </c>
      <c r="H51" s="74">
        <f>'เย็น '!H51+'เช้า '!H51+บ่าย!H51</f>
        <v>0</v>
      </c>
      <c r="I51" s="74">
        <f>'เย็น '!I51+'เช้า '!I51+บ่าย!I51</f>
        <v>0</v>
      </c>
      <c r="J51" s="74">
        <f>'เย็น '!J51+'เช้า '!J51+บ่าย!J51</f>
        <v>0</v>
      </c>
      <c r="K51" s="74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74">
        <f>'เย็น '!D52+'เช้า '!D52+บ่าย!D52</f>
        <v>0</v>
      </c>
      <c r="E52" s="74">
        <f>'เย็น '!E52+'เช้า '!E52+บ่าย!E52</f>
        <v>0</v>
      </c>
      <c r="F52" s="74">
        <f>'เย็น '!F52+'เช้า '!F52+บ่าย!F52</f>
        <v>0</v>
      </c>
      <c r="G52" s="74">
        <f>'เย็น '!G52+'เช้า '!G52+บ่าย!G52</f>
        <v>0</v>
      </c>
      <c r="H52" s="74">
        <f>'เย็น '!H52+'เช้า '!H52+บ่าย!H52</f>
        <v>0</v>
      </c>
      <c r="I52" s="74">
        <f>'เย็น '!I52+'เช้า '!I52+บ่าย!I52</f>
        <v>0</v>
      </c>
      <c r="J52" s="74">
        <f>'เย็น '!J52+'เช้า '!J52+บ่าย!J52</f>
        <v>0</v>
      </c>
      <c r="K52" s="74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74">
        <f>'เย็น '!D53+'เช้า '!D53+บ่าย!D53</f>
        <v>0</v>
      </c>
      <c r="E53" s="74">
        <f>'เย็น '!E53+'เช้า '!E53+บ่าย!E53</f>
        <v>0</v>
      </c>
      <c r="F53" s="74">
        <f>'เย็น '!F53+'เช้า '!F53+บ่าย!F53</f>
        <v>0</v>
      </c>
      <c r="G53" s="74">
        <f>'เย็น '!G53+'เช้า '!G53+บ่าย!G53</f>
        <v>0</v>
      </c>
      <c r="H53" s="74">
        <f>'เย็น '!H53+'เช้า '!H53+บ่าย!H53</f>
        <v>0</v>
      </c>
      <c r="I53" s="74">
        <f>'เย็น '!I53+'เช้า '!I53+บ่าย!I53</f>
        <v>0</v>
      </c>
      <c r="J53" s="74">
        <f>'เย็น '!J53+'เช้า '!J53+บ่าย!J53</f>
        <v>0</v>
      </c>
      <c r="K53" s="74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74">
        <f>'เย็น '!D54+'เช้า '!D54+บ่าย!D54</f>
        <v>0</v>
      </c>
      <c r="E54" s="74">
        <f>'เย็น '!E54+'เช้า '!E54+บ่าย!E54</f>
        <v>0</v>
      </c>
      <c r="F54" s="74">
        <f>'เย็น '!F54+'เช้า '!F54+บ่าย!F54</f>
        <v>0</v>
      </c>
      <c r="G54" s="74">
        <f>'เย็น '!G54+'เช้า '!G54+บ่าย!G54</f>
        <v>0</v>
      </c>
      <c r="H54" s="74">
        <f>'เย็น '!H54+'เช้า '!H54+บ่าย!H54</f>
        <v>0</v>
      </c>
      <c r="I54" s="74">
        <f>'เย็น '!I54+'เช้า '!I54+บ่าย!I54</f>
        <v>0</v>
      </c>
      <c r="J54" s="74">
        <f>'เย็น '!J54+'เช้า '!J54+บ่าย!J54</f>
        <v>0</v>
      </c>
      <c r="K54" s="74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74">
        <f>'เย็น '!D55+'เช้า '!D55+บ่าย!D55</f>
        <v>0</v>
      </c>
      <c r="E55" s="74">
        <f>'เย็น '!E55+'เช้า '!E55+บ่าย!E55</f>
        <v>0</v>
      </c>
      <c r="F55" s="74">
        <f>'เย็น '!F55+'เช้า '!F55+บ่าย!F55</f>
        <v>0</v>
      </c>
      <c r="G55" s="74">
        <f>'เย็น '!G55+'เช้า '!G55+บ่าย!G55</f>
        <v>0</v>
      </c>
      <c r="H55" s="74">
        <f>'เย็น '!H55+'เช้า '!H55+บ่าย!H55</f>
        <v>0</v>
      </c>
      <c r="I55" s="74">
        <f>'เย็น '!I55+'เช้า '!I55+บ่าย!I55</f>
        <v>0</v>
      </c>
      <c r="J55" s="74">
        <f>'เย็น '!J55+'เช้า '!J55+บ่าย!J55</f>
        <v>0</v>
      </c>
      <c r="K55" s="74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74">
        <f>'เย็น '!D56+'เช้า '!D56+บ่าย!D56</f>
        <v>0</v>
      </c>
      <c r="E56" s="74">
        <f>'เย็น '!E56+'เช้า '!E56+บ่าย!E56</f>
        <v>0</v>
      </c>
      <c r="F56" s="74">
        <f>'เย็น '!F56+'เช้า '!F56+บ่าย!F56</f>
        <v>0</v>
      </c>
      <c r="G56" s="74">
        <f>'เย็น '!G56+'เช้า '!G56+บ่าย!G56</f>
        <v>0</v>
      </c>
      <c r="H56" s="74">
        <f>'เย็น '!H56+'เช้า '!H56+บ่าย!H56</f>
        <v>0</v>
      </c>
      <c r="I56" s="74">
        <f>'เย็น '!I56+'เช้า '!I56+บ่าย!I56</f>
        <v>0</v>
      </c>
      <c r="J56" s="74">
        <f>'เย็น '!J56+'เช้า '!J56+บ่าย!J56</f>
        <v>0</v>
      </c>
      <c r="K56" s="74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74">
        <f>'เย็น '!D57+'เช้า '!D57+บ่าย!D57</f>
        <v>0</v>
      </c>
      <c r="E57" s="74">
        <f>'เย็น '!E57+'เช้า '!E57+บ่าย!E57</f>
        <v>0</v>
      </c>
      <c r="F57" s="74">
        <f>'เย็น '!F57+'เช้า '!F57+บ่าย!F57</f>
        <v>0</v>
      </c>
      <c r="G57" s="74">
        <f>'เย็น '!G57+'เช้า '!G57+บ่าย!G57</f>
        <v>0</v>
      </c>
      <c r="H57" s="74">
        <f>'เย็น '!H57+'เช้า '!H57+บ่าย!H57</f>
        <v>0</v>
      </c>
      <c r="I57" s="74">
        <f>'เย็น '!I57+'เช้า '!I57+บ่าย!I57</f>
        <v>0</v>
      </c>
      <c r="J57" s="74">
        <f>'เย็น '!J57+'เช้า '!J57+บ่าย!J57</f>
        <v>0</v>
      </c>
      <c r="K57" s="74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74">
        <f>'เย็น '!D58+'เช้า '!D58+บ่าย!D58</f>
        <v>0</v>
      </c>
      <c r="E58" s="74">
        <f>'เย็น '!E58+'เช้า '!E58+บ่าย!E58</f>
        <v>0</v>
      </c>
      <c r="F58" s="74">
        <f>'เย็น '!F58+'เช้า '!F58+บ่าย!F58</f>
        <v>0</v>
      </c>
      <c r="G58" s="74">
        <f>'เย็น '!G58+'เช้า '!G58+บ่าย!G58</f>
        <v>0</v>
      </c>
      <c r="H58" s="74">
        <f>'เย็น '!H58+'เช้า '!H58+บ่าย!H58</f>
        <v>0</v>
      </c>
      <c r="I58" s="74">
        <f>'เย็น '!I58+'เช้า '!I58+บ่าย!I58</f>
        <v>0</v>
      </c>
      <c r="J58" s="74">
        <f>'เย็น '!J58+'เช้า '!J58+บ่าย!J58</f>
        <v>0</v>
      </c>
      <c r="K58" s="74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74">
        <f>'เย็น '!D59+'เช้า '!D59+บ่าย!D59</f>
        <v>0</v>
      </c>
      <c r="E59" s="74">
        <f>'เย็น '!E59+'เช้า '!E59+บ่าย!E59</f>
        <v>0</v>
      </c>
      <c r="F59" s="74">
        <f>'เย็น '!F59+'เช้า '!F59+บ่าย!F59</f>
        <v>0</v>
      </c>
      <c r="G59" s="74">
        <f>'เย็น '!G59+'เช้า '!G59+บ่าย!G59</f>
        <v>0</v>
      </c>
      <c r="H59" s="74">
        <f>'เย็น '!H59+'เช้า '!H59+บ่าย!H59</f>
        <v>0</v>
      </c>
      <c r="I59" s="74">
        <f>'เย็น '!I59+'เช้า '!I59+บ่าย!I59</f>
        <v>0</v>
      </c>
      <c r="J59" s="74">
        <f>'เย็น '!J59+'เช้า '!J59+บ่าย!J59</f>
        <v>0</v>
      </c>
      <c r="K59" s="74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49">
        <f>'เย็น '!D60+'เช้า '!D60+บ่าย!D60</f>
        <v>0</v>
      </c>
      <c r="E60" s="49">
        <f>'เย็น '!E60+'เช้า '!E60+บ่าย!E60</f>
        <v>0</v>
      </c>
      <c r="F60" s="49">
        <f>'เย็น '!F60+'เช้า '!F60+บ่าย!F60</f>
        <v>0</v>
      </c>
      <c r="G60" s="49">
        <f>'เย็น '!G60+'เช้า '!G60+บ่าย!G60</f>
        <v>0</v>
      </c>
      <c r="H60" s="49">
        <f>'เย็น '!H60+'เช้า '!H60+บ่าย!H60</f>
        <v>0</v>
      </c>
      <c r="I60" s="49">
        <f>'เย็น '!I60+'เช้า '!I60+บ่าย!I60</f>
        <v>0</v>
      </c>
      <c r="J60" s="49">
        <f>'เย็น '!J60+'เช้า '!J60+บ่าย!J60</f>
        <v>0</v>
      </c>
      <c r="K60" s="49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 x14ac:dyDescent="0.2">
      <c r="B69" s="11">
        <v>1111009</v>
      </c>
      <c r="C69" s="20" t="s">
        <v>56</v>
      </c>
      <c r="D69" s="74">
        <f>'เย็น '!D69+'เช้า '!D69+บ่าย!D69</f>
        <v>1</v>
      </c>
      <c r="E69" s="74">
        <f>'เย็น '!E69+'เช้า '!E69+บ่าย!E69</f>
        <v>3</v>
      </c>
      <c r="F69" s="74">
        <f>'เย็น '!F69+'เช้า '!F69+บ่าย!F69</f>
        <v>7</v>
      </c>
      <c r="G69" s="74">
        <f>'เย็น '!G69+'เช้า '!G69+บ่าย!G69</f>
        <v>6</v>
      </c>
      <c r="H69" s="74">
        <f>'เย็น '!H69+'เช้า '!H69+บ่าย!H69</f>
        <v>0</v>
      </c>
      <c r="I69" s="74">
        <f>'เย็น '!I69+'เช้า '!I69+บ่าย!I69</f>
        <v>0</v>
      </c>
      <c r="J69" s="74">
        <f>'เย็น '!J69+'เช้า '!J69+บ่าย!J69</f>
        <v>0</v>
      </c>
      <c r="K69" s="74">
        <f>'เย็น '!K69+'เช้า '!K69+บ่าย!K69</f>
        <v>340</v>
      </c>
      <c r="L69" s="37">
        <f t="shared" ref="L69:L76" si="4">SUM(D69:K69)</f>
        <v>357</v>
      </c>
      <c r="M69" s="11"/>
      <c r="N69" s="11"/>
      <c r="O69" s="11"/>
      <c r="P69" s="11"/>
      <c r="Q69" s="45">
        <f t="shared" ref="Q69:Q76" si="5">(M69+N69+O69+P69)-L69</f>
        <v>-357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4</v>
      </c>
      <c r="E87" s="31">
        <f>'เย็น '!E87+'เช้า '!E87+บ่าย!E87</f>
        <v>0</v>
      </c>
      <c r="F87" s="74">
        <f>'เย็น '!F87+'เช้า '!F87+บ่าย!F87</f>
        <v>0</v>
      </c>
      <c r="G87" s="74">
        <f>'เย็น '!G87+'เช้า '!G87+บ่าย!G87</f>
        <v>27</v>
      </c>
      <c r="H87" s="74">
        <f>'เย็น '!H87+'เช้า '!H87+บ่าย!H87</f>
        <v>0</v>
      </c>
      <c r="I87" s="74">
        <f>'เย็น '!I87+'เช้า '!I87+บ่าย!I87</f>
        <v>0</v>
      </c>
      <c r="J87" s="74">
        <f>'เย็น '!J87+'เช้า '!J87+บ่าย!J87</f>
        <v>0</v>
      </c>
      <c r="K87" s="74">
        <f>'เย็น '!K87+'เช้า '!K87+บ่าย!K87</f>
        <v>0</v>
      </c>
      <c r="L87" s="37">
        <f t="shared" si="7"/>
        <v>31</v>
      </c>
      <c r="M87" s="11"/>
      <c r="N87" s="11"/>
      <c r="O87" s="11"/>
      <c r="P87" s="11"/>
      <c r="Q87" s="45">
        <f t="shared" si="8"/>
        <v>-31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 x14ac:dyDescent="0.2">
      <c r="B90" s="11">
        <v>1112009</v>
      </c>
      <c r="C90" s="20" t="s">
        <v>75</v>
      </c>
      <c r="D90" s="74">
        <f>'เย็น '!D90+'เช้า '!D90+บ่าย!D90</f>
        <v>8</v>
      </c>
      <c r="E90" s="74">
        <f>'เย็น '!E90+'เช้า '!E90+บ่าย!E90</f>
        <v>1</v>
      </c>
      <c r="F90" s="74">
        <f>'เย็น '!F90+'เช้า '!F90+บ่าย!F90</f>
        <v>3</v>
      </c>
      <c r="G90" s="74">
        <f>'เย็น '!G90+'เช้า '!G90+บ่าย!G90</f>
        <v>7</v>
      </c>
      <c r="H90" s="74">
        <f>'เย็น '!H90+'เช้า '!H90+บ่าย!H90</f>
        <v>0</v>
      </c>
      <c r="I90" s="74">
        <f>'เย็น '!I90+'เช้า '!I90+บ่าย!I90</f>
        <v>0</v>
      </c>
      <c r="J90" s="74">
        <f>'เย็น '!J90+'เช้า '!J90+บ่าย!J90</f>
        <v>0</v>
      </c>
      <c r="K90" s="74">
        <f>'เย็น '!K90+'เช้า '!K90+บ่าย!K90</f>
        <v>10</v>
      </c>
      <c r="L90" s="37">
        <f t="shared" ref="L90:L99" si="9">SUM(D90:K90)</f>
        <v>29</v>
      </c>
      <c r="M90" s="11"/>
      <c r="N90" s="11"/>
      <c r="O90" s="11"/>
      <c r="P90" s="11"/>
      <c r="Q90" s="45">
        <f t="shared" ref="Q90:Q99" si="10">(M90+N90+O90+P90)-L90</f>
        <v>-29</v>
      </c>
    </row>
    <row r="91" spans="2:17" x14ac:dyDescent="0.2">
      <c r="B91" s="11">
        <v>1112011</v>
      </c>
      <c r="C91" s="20" t="s">
        <v>76</v>
      </c>
      <c r="D91" s="74">
        <f>'เย็น '!D91+'เช้า '!D91+บ่าย!D91</f>
        <v>6</v>
      </c>
      <c r="E91" s="74">
        <f>'เย็น '!E91+'เช้า '!E91+บ่าย!E91</f>
        <v>1</v>
      </c>
      <c r="F91" s="74">
        <f>'เย็น '!F91+'เช้า '!F91+บ่าย!F91</f>
        <v>7</v>
      </c>
      <c r="G91" s="74">
        <f>'เย็น '!G91+'เช้า '!G91+บ่าย!G91</f>
        <v>8</v>
      </c>
      <c r="H91" s="74">
        <f>'เย็น '!H91+'เช้า '!H91+บ่าย!H91</f>
        <v>0</v>
      </c>
      <c r="I91" s="74">
        <f>'เย็น '!I91+'เช้า '!I91+บ่าย!I91</f>
        <v>0</v>
      </c>
      <c r="J91" s="74">
        <f>'เย็น '!J91+'เช้า '!J91+บ่าย!J91</f>
        <v>0</v>
      </c>
      <c r="K91" s="74">
        <f>'เย็น '!K91+'เช้า '!K91+บ่าย!K91</f>
        <v>0</v>
      </c>
      <c r="L91" s="37">
        <f t="shared" si="9"/>
        <v>22</v>
      </c>
      <c r="M91" s="11"/>
      <c r="N91" s="11"/>
      <c r="O91" s="11"/>
      <c r="P91" s="11"/>
      <c r="Q91" s="45">
        <f t="shared" si="10"/>
        <v>-22</v>
      </c>
    </row>
    <row r="92" spans="2:17" x14ac:dyDescent="0.2">
      <c r="B92" s="11">
        <v>1112003</v>
      </c>
      <c r="C92" s="20" t="s">
        <v>77</v>
      </c>
      <c r="D92" s="74">
        <f>'เย็น '!D92+'เช้า '!D92+บ่าย!D92</f>
        <v>3</v>
      </c>
      <c r="E92" s="74">
        <f>'เย็น '!E92+'เช้า '!E92+บ่าย!E92</f>
        <v>1</v>
      </c>
      <c r="F92" s="74">
        <f>'เย็น '!F92+'เช้า '!F92+บ่าย!F92</f>
        <v>3</v>
      </c>
      <c r="G92" s="74">
        <f>'เย็น '!G92+'เช้า '!G92+บ่าย!G92</f>
        <v>7</v>
      </c>
      <c r="H92" s="74">
        <f>'เย็น '!H92+'เช้า '!H92+บ่าย!H92</f>
        <v>0</v>
      </c>
      <c r="I92" s="74">
        <f>'เย็น '!I92+'เช้า '!I92+บ่าย!I92</f>
        <v>0</v>
      </c>
      <c r="J92" s="74">
        <f>'เย็น '!J92+'เช้า '!J92+บ่าย!J92</f>
        <v>0</v>
      </c>
      <c r="K92" s="74">
        <f>'เย็น '!K92+'เช้า '!K92+บ่าย!K92</f>
        <v>0</v>
      </c>
      <c r="L92" s="37">
        <f t="shared" si="9"/>
        <v>14</v>
      </c>
      <c r="M92" s="11"/>
      <c r="N92" s="11"/>
      <c r="O92" s="11"/>
      <c r="P92" s="11"/>
      <c r="Q92" s="45">
        <f t="shared" si="10"/>
        <v>-14</v>
      </c>
    </row>
    <row r="93" spans="2:17" x14ac:dyDescent="0.2">
      <c r="B93" s="11">
        <v>1112005</v>
      </c>
      <c r="C93" s="20" t="s">
        <v>78</v>
      </c>
      <c r="D93" s="74">
        <f>'เย็น '!D93+'เช้า '!D93+บ่าย!D93</f>
        <v>5</v>
      </c>
      <c r="E93" s="74">
        <f>'เย็น '!E93+'เช้า '!E93+บ่าย!E93</f>
        <v>1</v>
      </c>
      <c r="F93" s="74">
        <f>'เย็น '!F93+'เช้า '!F93+บ่าย!F93</f>
        <v>3</v>
      </c>
      <c r="G93" s="74">
        <f>'เย็น '!G93+'เช้า '!G93+บ่าย!G93</f>
        <v>7</v>
      </c>
      <c r="H93" s="74">
        <f>'เย็น '!H93+'เช้า '!H93+บ่าย!H93</f>
        <v>0</v>
      </c>
      <c r="I93" s="74">
        <f>'เย็น '!I93+'เช้า '!I93+บ่าย!I93</f>
        <v>0</v>
      </c>
      <c r="J93" s="74">
        <f>'เย็น '!J93+'เช้า '!J93+บ่าย!J93</f>
        <v>0</v>
      </c>
      <c r="K93" s="74">
        <f>'เย็น '!K93+'เช้า '!K93+บ่าย!K93</f>
        <v>9</v>
      </c>
      <c r="L93" s="37">
        <f t="shared" si="9"/>
        <v>25</v>
      </c>
      <c r="M93" s="11"/>
      <c r="N93" s="11"/>
      <c r="O93" s="11"/>
      <c r="P93" s="11"/>
      <c r="Q93" s="45">
        <f t="shared" si="10"/>
        <v>-25</v>
      </c>
    </row>
    <row r="94" spans="2:17" x14ac:dyDescent="0.2">
      <c r="B94" s="11">
        <v>1112007</v>
      </c>
      <c r="C94" s="20" t="s">
        <v>79</v>
      </c>
      <c r="D94" s="74">
        <f>'เย็น '!D94+'เช้า '!D94+บ่าย!D94</f>
        <v>0</v>
      </c>
      <c r="E94" s="74">
        <f>'เย็น '!E94+'เช้า '!E94+บ่าย!E94</f>
        <v>0</v>
      </c>
      <c r="F94" s="74">
        <f>'เย็น '!F94+'เช้า '!F94+บ่าย!F94</f>
        <v>0</v>
      </c>
      <c r="G94" s="74">
        <f>'เย็น '!G94+'เช้า '!G94+บ่าย!G94</f>
        <v>0</v>
      </c>
      <c r="H94" s="74">
        <f>'เย็น '!H94+'เช้า '!H94+บ่าย!H94</f>
        <v>0</v>
      </c>
      <c r="I94" s="74">
        <f>'เย็น '!I94+'เช้า '!I94+บ่าย!I94</f>
        <v>0</v>
      </c>
      <c r="J94" s="74">
        <f>'เย็น '!J94+'เช้า '!J94+บ่าย!J94</f>
        <v>0</v>
      </c>
      <c r="K94" s="74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74">
        <f>'เย็น '!D95+'เช้า '!D95+บ่าย!D95</f>
        <v>0</v>
      </c>
      <c r="E95" s="74">
        <f>'เย็น '!E95+'เช้า '!E95+บ่าย!E95</f>
        <v>0</v>
      </c>
      <c r="F95" s="74">
        <f>'เย็น '!F95+'เช้า '!F95+บ่าย!F95</f>
        <v>0</v>
      </c>
      <c r="G95" s="74">
        <f>'เย็น '!G95+'เช้า '!G95+บ่าย!G95</f>
        <v>0</v>
      </c>
      <c r="H95" s="74">
        <f>'เย็น '!H95+'เช้า '!H95+บ่าย!H95</f>
        <v>0</v>
      </c>
      <c r="I95" s="74">
        <f>'เย็น '!I95+'เช้า '!I95+บ่าย!I95</f>
        <v>0</v>
      </c>
      <c r="J95" s="74">
        <f>'เย็น '!J95+'เช้า '!J95+บ่าย!J95</f>
        <v>0</v>
      </c>
      <c r="K95" s="74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74">
        <f>'เย็น '!D96+'เช้า '!D96+บ่าย!D96</f>
        <v>0</v>
      </c>
      <c r="E96" s="74">
        <f>'เย็น '!E96+'เช้า '!E96+บ่าย!E96</f>
        <v>0</v>
      </c>
      <c r="F96" s="74">
        <f>'เย็น '!F96+'เช้า '!F96+บ่าย!F96</f>
        <v>0</v>
      </c>
      <c r="G96" s="74">
        <f>'เย็น '!G96+'เช้า '!G96+บ่าย!G96</f>
        <v>0</v>
      </c>
      <c r="H96" s="74">
        <f>'เย็น '!H96+'เช้า '!H96+บ่าย!H96</f>
        <v>0</v>
      </c>
      <c r="I96" s="74">
        <f>'เย็น '!I96+'เช้า '!I96+บ่าย!I96</f>
        <v>0</v>
      </c>
      <c r="J96" s="74">
        <f>'เย็น '!J96+'เช้า '!J96+บ่าย!J96</f>
        <v>0</v>
      </c>
      <c r="K96" s="74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 x14ac:dyDescent="0.2">
      <c r="B97" s="11">
        <v>1112015</v>
      </c>
      <c r="C97" s="20" t="s">
        <v>82</v>
      </c>
      <c r="D97" s="74">
        <f>'เย็น '!D97+'เช้า '!D97+บ่าย!D97</f>
        <v>1</v>
      </c>
      <c r="E97" s="74">
        <f>'เย็น '!E97+'เช้า '!E97+บ่าย!E97</f>
        <v>1</v>
      </c>
      <c r="F97" s="74">
        <f>'เย็น '!F97+'เช้า '!F97+บ่าย!F97</f>
        <v>3</v>
      </c>
      <c r="G97" s="74">
        <f>'เย็น '!G97+'เช้า '!G97+บ่าย!G97</f>
        <v>7</v>
      </c>
      <c r="H97" s="74">
        <f>'เย็น '!H97+'เช้า '!H97+บ่าย!H97</f>
        <v>0</v>
      </c>
      <c r="I97" s="74">
        <f>'เย็น '!I97+'เช้า '!I97+บ่าย!I97</f>
        <v>0</v>
      </c>
      <c r="J97" s="74">
        <f>'เย็น '!J97+'เช้า '!J97+บ่าย!J97</f>
        <v>0</v>
      </c>
      <c r="K97" s="74">
        <f>'เย็น '!K97+'เช้า '!K97+บ่าย!K97</f>
        <v>0</v>
      </c>
      <c r="L97" s="37">
        <f t="shared" si="9"/>
        <v>12</v>
      </c>
      <c r="M97" s="11"/>
      <c r="N97" s="11"/>
      <c r="O97" s="11"/>
      <c r="P97" s="11"/>
      <c r="Q97" s="45">
        <f t="shared" si="10"/>
        <v>-12</v>
      </c>
    </row>
    <row r="98" spans="2:20" x14ac:dyDescent="0.25">
      <c r="B98" s="11">
        <v>1112013</v>
      </c>
      <c r="C98" s="20" t="s">
        <v>83</v>
      </c>
      <c r="D98" s="74">
        <f>'เย็น '!D98+'เช้า '!D98+บ่าย!D98</f>
        <v>3</v>
      </c>
      <c r="E98" s="74">
        <f>'เย็น '!E98+'เช้า '!E98+บ่าย!E98</f>
        <v>1</v>
      </c>
      <c r="F98" s="74">
        <f>'เย็น '!F98+'เช้า '!F98+บ่าย!F98</f>
        <v>3</v>
      </c>
      <c r="G98" s="74">
        <f>'เย็น '!G98+'เช้า '!G98+บ่าย!G98</f>
        <v>9</v>
      </c>
      <c r="H98" s="74">
        <f>'เย็น '!H98+'เช้า '!H98+บ่าย!H98</f>
        <v>0</v>
      </c>
      <c r="I98" s="74">
        <f>'เย็น '!I98+'เช้า '!I98+บ่าย!I98</f>
        <v>0</v>
      </c>
      <c r="J98" s="74">
        <f>'เย็น '!J98+'เช้า '!J98+บ่าย!J98</f>
        <v>0</v>
      </c>
      <c r="K98" s="74">
        <f>'เย็น '!K98+'เช้า '!K98+บ่าย!K98</f>
        <v>0</v>
      </c>
      <c r="L98" s="37">
        <f t="shared" si="9"/>
        <v>16</v>
      </c>
      <c r="M98" s="11"/>
      <c r="N98" s="11"/>
      <c r="O98" s="11"/>
      <c r="P98" s="11"/>
      <c r="Q98" s="45">
        <f t="shared" si="10"/>
        <v>-16</v>
      </c>
      <c r="S98" s="57"/>
      <c r="T98" s="57"/>
    </row>
    <row r="99" spans="2:20" x14ac:dyDescent="0.2">
      <c r="B99" s="11">
        <v>1124043</v>
      </c>
      <c r="C99" s="20" t="s">
        <v>84</v>
      </c>
      <c r="D99" s="74">
        <f>บ่าย!D99+'เช้า '!D99+'เย็น '!D99</f>
        <v>0</v>
      </c>
      <c r="E99" s="74">
        <f>บ่าย!E99+'เช้า '!E99+'เย็น '!E99</f>
        <v>0</v>
      </c>
      <c r="F99" s="74">
        <f>บ่าย!F99+'เช้า '!F99+'เย็น '!F99</f>
        <v>0</v>
      </c>
      <c r="G99" s="74">
        <f>บ่าย!G99+'เช้า '!G99+'เย็น '!G99</f>
        <v>0</v>
      </c>
      <c r="H99" s="74">
        <f>บ่าย!H99+'เช้า '!H99+'เย็น '!H99</f>
        <v>0</v>
      </c>
      <c r="I99" s="74">
        <f>บ่าย!I99+'เช้า '!I99+'เย็น '!I99</f>
        <v>0</v>
      </c>
      <c r="J99" s="74">
        <f>บ่าย!J99+'เช้า '!J99+'เย็น '!J99</f>
        <v>0</v>
      </c>
      <c r="K99" s="75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118</v>
      </c>
      <c r="M100" s="11"/>
      <c r="N100" s="11"/>
      <c r="O100" s="11"/>
      <c r="P100" s="11"/>
      <c r="Q100" s="45">
        <f>SUM(Q90:Q99)</f>
        <v>-118</v>
      </c>
    </row>
    <row r="101" spans="2:20" ht="19.5" hidden="1" x14ac:dyDescent="0.2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20" hidden="1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20" hidden="1" x14ac:dyDescent="0.2">
      <c r="B103" s="11">
        <v>1112010</v>
      </c>
      <c r="C103" s="20" t="s">
        <v>76</v>
      </c>
      <c r="D103" s="74">
        <f>บ่าย!D103+'เช้า '!D103+'เย็น '!D103</f>
        <v>0</v>
      </c>
      <c r="E103" s="74">
        <f>บ่าย!E103+'เช้า '!E103+'เย็น '!E103</f>
        <v>0</v>
      </c>
      <c r="F103" s="74">
        <f>บ่าย!F103+'เช้า '!F103+'เย็น '!F103</f>
        <v>0</v>
      </c>
      <c r="G103" s="74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20" hidden="1" x14ac:dyDescent="0.2">
      <c r="B104" s="11">
        <v>1112002</v>
      </c>
      <c r="C104" s="20" t="s">
        <v>77</v>
      </c>
      <c r="D104" s="74">
        <f>บ่าย!D104+'เช้า '!D104+'เย็น '!D104</f>
        <v>0</v>
      </c>
      <c r="E104" s="74">
        <f>บ่าย!E104+'เช้า '!E104+'เย็น '!E104</f>
        <v>0</v>
      </c>
      <c r="F104" s="74">
        <f>บ่าย!F104+'เช้า '!F104+'เย็น '!F104</f>
        <v>0</v>
      </c>
      <c r="G104" s="74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20" hidden="1" x14ac:dyDescent="0.2">
      <c r="B105" s="11">
        <v>1112004</v>
      </c>
      <c r="C105" s="20" t="s">
        <v>78</v>
      </c>
      <c r="D105" s="74">
        <f>บ่าย!D105+'เช้า '!D105+'เย็น '!D105</f>
        <v>0</v>
      </c>
      <c r="E105" s="74">
        <f>บ่าย!E105+'เช้า '!E105+'เย็น '!E105</f>
        <v>0</v>
      </c>
      <c r="F105" s="74">
        <f>บ่าย!F105+'เช้า '!F105+'เย็น '!F105</f>
        <v>0</v>
      </c>
      <c r="G105" s="74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20" hidden="1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 hidden="1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 hidden="1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20" hidden="1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20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  <c r="S110" s="48"/>
      <c r="T110" s="47"/>
    </row>
    <row r="111" spans="2:20" hidden="1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0</v>
      </c>
    </row>
    <row r="113" spans="2:17" ht="19.5" x14ac:dyDescent="0.2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 x14ac:dyDescent="0.2">
      <c r="B114" s="11">
        <v>1113170</v>
      </c>
      <c r="C114" s="22" t="s">
        <v>87</v>
      </c>
      <c r="D114" s="74">
        <f>'เย็น '!D114+'เช้า '!D114+บ่าย!D114</f>
        <v>0</v>
      </c>
      <c r="E114" s="74">
        <f>'เย็น '!E114+'เช้า '!E114+บ่าย!E114</f>
        <v>0</v>
      </c>
      <c r="F114" s="74">
        <f>'เย็น '!F114+'เช้า '!F114+บ่าย!F114</f>
        <v>0</v>
      </c>
      <c r="G114" s="74">
        <f>'เย็น '!G114+'เช้า '!G114+บ่าย!G114</f>
        <v>0</v>
      </c>
      <c r="H114" s="74">
        <f>'เย็น '!H114+'เช้า '!H114+บ่าย!H114</f>
        <v>0</v>
      </c>
      <c r="I114" s="74">
        <f>'เย็น '!I114+'เช้า '!I114+บ่าย!I114</f>
        <v>0</v>
      </c>
      <c r="J114" s="74">
        <f>'เย็น '!J114+'เช้า '!J114+บ่าย!J114</f>
        <v>0</v>
      </c>
      <c r="K114" s="74">
        <f>'เย็น '!K114+'เช้า '!K114+บ่าย!K114</f>
        <v>0</v>
      </c>
      <c r="L114" s="37">
        <f t="shared" ref="L114:L140" si="14">SUM(D114:K114)</f>
        <v>0</v>
      </c>
      <c r="M114" s="11"/>
      <c r="N114" s="11"/>
      <c r="O114" s="11"/>
      <c r="P114" s="11"/>
      <c r="Q114" s="45">
        <f t="shared" ref="Q114:Q140" si="15">(M114+N114+O114+P114)-L114</f>
        <v>0</v>
      </c>
    </row>
    <row r="115" spans="2:17" x14ac:dyDescent="0.2">
      <c r="B115" s="11">
        <v>1113171</v>
      </c>
      <c r="C115" s="22" t="s">
        <v>88</v>
      </c>
      <c r="D115" s="74">
        <f>'เย็น '!D115+'เช้า '!D115+บ่าย!D115</f>
        <v>0</v>
      </c>
      <c r="E115" s="74">
        <f>'เย็น '!E115+'เช้า '!E115+บ่าย!E115</f>
        <v>0</v>
      </c>
      <c r="F115" s="74">
        <f>'เย็น '!F115+'เช้า '!F115+บ่าย!F115</f>
        <v>0</v>
      </c>
      <c r="G115" s="74">
        <f>'เย็น '!G115+'เช้า '!G115+บ่าย!G115</f>
        <v>0</v>
      </c>
      <c r="H115" s="74">
        <f>'เย็น '!H115+'เช้า '!H115+บ่าย!H115</f>
        <v>0</v>
      </c>
      <c r="I115" s="74">
        <f>'เย็น '!I115+'เช้า '!I115+บ่าย!I115</f>
        <v>0</v>
      </c>
      <c r="J115" s="74">
        <f>'เย็น '!J115+'เช้า '!J115+บ่าย!J115</f>
        <v>0</v>
      </c>
      <c r="K115" s="74">
        <f>'เย็น '!K115+'เช้า '!K115+บ่าย!K115</f>
        <v>0</v>
      </c>
      <c r="L115" s="37">
        <f t="shared" si="14"/>
        <v>0</v>
      </c>
      <c r="M115" s="11"/>
      <c r="N115" s="11"/>
      <c r="O115" s="11"/>
      <c r="P115" s="11"/>
      <c r="Q115" s="45">
        <f t="shared" si="15"/>
        <v>0</v>
      </c>
    </row>
    <row r="116" spans="2:17" x14ac:dyDescent="0.2">
      <c r="B116" s="11">
        <v>1113172</v>
      </c>
      <c r="C116" s="22" t="s">
        <v>89</v>
      </c>
      <c r="D116" s="74">
        <f>'เย็น '!D116+'เช้า '!D116+บ่าย!D116</f>
        <v>0</v>
      </c>
      <c r="E116" s="74">
        <f>'เย็น '!E116+'เช้า '!E116+บ่าย!E116</f>
        <v>0</v>
      </c>
      <c r="F116" s="74">
        <f>'เย็น '!F116+'เช้า '!F116+บ่าย!F116</f>
        <v>0</v>
      </c>
      <c r="G116" s="74">
        <f>'เย็น '!G116+'เช้า '!G116+บ่าย!G116</f>
        <v>0</v>
      </c>
      <c r="H116" s="74">
        <f>'เย็น '!H116+'เช้า '!H116+บ่าย!H116</f>
        <v>0</v>
      </c>
      <c r="I116" s="74">
        <f>'เย็น '!I116+'เช้า '!I116+บ่าย!I116</f>
        <v>0</v>
      </c>
      <c r="J116" s="74">
        <f>'เย็น '!J116+'เช้า '!J116+บ่าย!J116</f>
        <v>0</v>
      </c>
      <c r="K116" s="74">
        <f>'เย็น '!K116+'เช้า '!K116+บ่าย!K116</f>
        <v>0</v>
      </c>
      <c r="L116" s="37">
        <f t="shared" si="14"/>
        <v>0</v>
      </c>
      <c r="M116" s="11"/>
      <c r="N116" s="11"/>
      <c r="O116" s="11"/>
      <c r="P116" s="11"/>
      <c r="Q116" s="45">
        <f t="shared" si="15"/>
        <v>0</v>
      </c>
    </row>
    <row r="117" spans="2:17" x14ac:dyDescent="0.2">
      <c r="B117" s="11">
        <v>1113173</v>
      </c>
      <c r="C117" s="22" t="s">
        <v>90</v>
      </c>
      <c r="D117" s="74">
        <f>'เย็น '!D117+'เช้า '!D117+บ่าย!D117</f>
        <v>0</v>
      </c>
      <c r="E117" s="74">
        <f>'เย็น '!E117+'เช้า '!E117+บ่าย!E117</f>
        <v>0</v>
      </c>
      <c r="F117" s="74">
        <f>'เย็น '!F117+'เช้า '!F117+บ่าย!F117</f>
        <v>0</v>
      </c>
      <c r="G117" s="74">
        <f>'เย็น '!G117+'เช้า '!G117+บ่าย!G117</f>
        <v>0</v>
      </c>
      <c r="H117" s="74">
        <f>'เย็น '!H117+'เช้า '!H117+บ่าย!H117</f>
        <v>0</v>
      </c>
      <c r="I117" s="74">
        <f>'เย็น '!I117+'เช้า '!I117+บ่าย!I117</f>
        <v>0</v>
      </c>
      <c r="J117" s="74">
        <f>'เย็น '!J117+'เช้า '!J117+บ่าย!J117</f>
        <v>0</v>
      </c>
      <c r="K117" s="74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74">
        <f>'เย็น '!D118+'เช้า '!D118+บ่าย!D118</f>
        <v>0</v>
      </c>
      <c r="E118" s="74">
        <f>'เย็น '!E118+'เช้า '!E118+บ่าย!E118</f>
        <v>0</v>
      </c>
      <c r="F118" s="74">
        <f>'เย็น '!F118+'เช้า '!F118+บ่าย!F118</f>
        <v>0</v>
      </c>
      <c r="G118" s="74">
        <f>'เย็น '!G118+'เช้า '!G118+บ่าย!G118</f>
        <v>0</v>
      </c>
      <c r="H118" s="74">
        <f>'เย็น '!H118+'เช้า '!H118+บ่าย!H118</f>
        <v>0</v>
      </c>
      <c r="I118" s="74">
        <f>'เย็น '!I118+'เช้า '!I118+บ่าย!I118</f>
        <v>0</v>
      </c>
      <c r="J118" s="74">
        <f>'เย็น '!J118+'เช้า '!J118+บ่าย!J118</f>
        <v>0</v>
      </c>
      <c r="K118" s="74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74">
        <f>'เย็น '!D119+'เช้า '!D119+บ่าย!D119</f>
        <v>0</v>
      </c>
      <c r="E119" s="74">
        <f>'เย็น '!E119+'เช้า '!E119+บ่าย!E119</f>
        <v>0</v>
      </c>
      <c r="F119" s="74">
        <f>'เย็น '!F119+'เช้า '!F119+บ่าย!F119</f>
        <v>0</v>
      </c>
      <c r="G119" s="74">
        <f>'เย็น '!G119+'เช้า '!G119+บ่าย!G119</f>
        <v>0</v>
      </c>
      <c r="H119" s="74">
        <f>'เย็น '!H119+'เช้า '!H119+บ่าย!H119</f>
        <v>0</v>
      </c>
      <c r="I119" s="74">
        <f>'เย็น '!I119+'เช้า '!I119+บ่าย!I119</f>
        <v>0</v>
      </c>
      <c r="J119" s="74">
        <f>'เย็น '!J119+'เช้า '!J119+บ่าย!J119</f>
        <v>0</v>
      </c>
      <c r="K119" s="74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74">
        <f>'เย็น '!D120+'เช้า '!D120+บ่าย!D120</f>
        <v>0</v>
      </c>
      <c r="E120" s="74">
        <f>'เย็น '!E120+'เช้า '!E120+บ่าย!E120</f>
        <v>0</v>
      </c>
      <c r="F120" s="74">
        <f>'เย็น '!F120+'เช้า '!F120+บ่าย!F120</f>
        <v>0</v>
      </c>
      <c r="G120" s="74">
        <f>'เย็น '!G120+'เช้า '!G120+บ่าย!G120</f>
        <v>20</v>
      </c>
      <c r="H120" s="74">
        <f>'เย็น '!H120+'เช้า '!H120+บ่าย!H120</f>
        <v>0</v>
      </c>
      <c r="I120" s="74">
        <f>'เย็น '!I120+'เช้า '!I120+บ่าย!I120</f>
        <v>0</v>
      </c>
      <c r="J120" s="74">
        <f>'เย็น '!J120+'เช้า '!J120+บ่าย!J120</f>
        <v>0</v>
      </c>
      <c r="K120" s="74">
        <f>'เย็น '!K120+'เช้า '!K120+บ่าย!K120</f>
        <v>0</v>
      </c>
      <c r="L120" s="37">
        <f t="shared" si="14"/>
        <v>20</v>
      </c>
      <c r="M120" s="11"/>
      <c r="N120" s="11"/>
      <c r="O120" s="11"/>
      <c r="P120" s="11"/>
      <c r="Q120" s="45">
        <f t="shared" si="15"/>
        <v>-20</v>
      </c>
    </row>
    <row r="121" spans="2:17" x14ac:dyDescent="0.2">
      <c r="B121" s="11">
        <v>1200001</v>
      </c>
      <c r="C121" s="22" t="s">
        <v>93</v>
      </c>
      <c r="D121" s="74">
        <f>'เย็น '!D121+'เช้า '!D121+บ่าย!D121</f>
        <v>0</v>
      </c>
      <c r="E121" s="74">
        <f>'เย็น '!E121+'เช้า '!E121+บ่าย!E121</f>
        <v>0</v>
      </c>
      <c r="F121" s="74">
        <f>'เย็น '!F121+'เช้า '!F121+บ่าย!F121</f>
        <v>0</v>
      </c>
      <c r="G121" s="74">
        <f>'เย็น '!G121+'เช้า '!G121+บ่าย!G121</f>
        <v>0</v>
      </c>
      <c r="H121" s="74">
        <f>'เย็น '!H121+'เช้า '!H121+บ่าย!H121</f>
        <v>0</v>
      </c>
      <c r="I121" s="74">
        <f>'เย็น '!I121+'เช้า '!I121+บ่าย!I121</f>
        <v>0</v>
      </c>
      <c r="J121" s="74">
        <f>'เย็น '!J121+'เช้า '!J121+บ่าย!J121</f>
        <v>0</v>
      </c>
      <c r="K121" s="74">
        <f>'เย็น '!K121+'เช้า '!K121+บ่าย!K121</f>
        <v>0</v>
      </c>
      <c r="L121" s="37">
        <f t="shared" si="14"/>
        <v>0</v>
      </c>
      <c r="M121" s="11"/>
      <c r="N121" s="11"/>
      <c r="O121" s="11"/>
      <c r="P121" s="11"/>
      <c r="Q121" s="45">
        <f t="shared" si="15"/>
        <v>0</v>
      </c>
    </row>
    <row r="122" spans="2:17" x14ac:dyDescent="0.2">
      <c r="B122" s="11">
        <v>1005761</v>
      </c>
      <c r="C122" s="22" t="s">
        <v>94</v>
      </c>
      <c r="D122" s="74">
        <f>'เย็น '!D122+'เช้า '!D122+บ่าย!D122</f>
        <v>0</v>
      </c>
      <c r="E122" s="74">
        <f>'เย็น '!E122+'เช้า '!E122+บ่าย!E122</f>
        <v>0</v>
      </c>
      <c r="F122" s="74">
        <f>'เย็น '!F122+'เช้า '!F122+บ่าย!F122</f>
        <v>0</v>
      </c>
      <c r="G122" s="74">
        <f>'เย็น '!G122+'เช้า '!G122+บ่าย!G122</f>
        <v>0</v>
      </c>
      <c r="H122" s="74">
        <f>'เย็น '!H122+'เช้า '!H122+บ่าย!H122</f>
        <v>0</v>
      </c>
      <c r="I122" s="74">
        <f>'เย็น '!I122+'เช้า '!I122+บ่าย!I122</f>
        <v>0</v>
      </c>
      <c r="J122" s="74">
        <f>'เย็น '!J122+'เช้า '!J122+บ่าย!J122</f>
        <v>0</v>
      </c>
      <c r="K122" s="74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74">
        <f>'เย็น '!D123+'เช้า '!D123+บ่าย!D123</f>
        <v>0</v>
      </c>
      <c r="E123" s="74">
        <f>'เย็น '!E123+'เช้า '!E123+บ่าย!E123</f>
        <v>21</v>
      </c>
      <c r="F123" s="74">
        <f>'เย็น '!F123+'เช้า '!F123+บ่าย!F123</f>
        <v>6</v>
      </c>
      <c r="G123" s="74">
        <f>'เย็น '!G123+'เช้า '!G123+บ่าย!G123</f>
        <v>57</v>
      </c>
      <c r="H123" s="74">
        <f>'เย็น '!H123+'เช้า '!H123+บ่าย!H123</f>
        <v>0</v>
      </c>
      <c r="I123" s="74">
        <f>'เย็น '!I123+'เช้า '!I123+บ่าย!I123</f>
        <v>0</v>
      </c>
      <c r="J123" s="74">
        <f>'เย็น '!J123+'เช้า '!J123+บ่าย!J123</f>
        <v>0</v>
      </c>
      <c r="K123" s="74">
        <f>'เย็น '!K123+'เช้า '!K123+บ่าย!K123</f>
        <v>0</v>
      </c>
      <c r="L123" s="37">
        <f t="shared" si="14"/>
        <v>84</v>
      </c>
      <c r="M123" s="11"/>
      <c r="N123" s="11"/>
      <c r="O123" s="11"/>
      <c r="P123" s="11"/>
      <c r="Q123" s="45">
        <f t="shared" si="15"/>
        <v>-84</v>
      </c>
    </row>
    <row r="124" spans="2:17" x14ac:dyDescent="0.2">
      <c r="B124" s="11">
        <v>1114502</v>
      </c>
      <c r="C124" s="22" t="s">
        <v>96</v>
      </c>
      <c r="D124" s="74">
        <f>'เย็น '!D124+'เช้า '!D124+บ่าย!D124</f>
        <v>0</v>
      </c>
      <c r="E124" s="74">
        <f>'เย็น '!E124+'เช้า '!E124+บ่าย!E124</f>
        <v>0</v>
      </c>
      <c r="F124" s="74">
        <f>'เย็น '!F124+'เช้า '!F124+บ่าย!F124</f>
        <v>0</v>
      </c>
      <c r="G124" s="74">
        <f>'เย็น '!G124+'เช้า '!G124+บ่าย!G124</f>
        <v>45</v>
      </c>
      <c r="H124" s="74">
        <f>'เย็น '!H124+'เช้า '!H124+บ่าย!H124</f>
        <v>0</v>
      </c>
      <c r="I124" s="74">
        <f>'เย็น '!I124+'เช้า '!I124+บ่าย!I124</f>
        <v>0</v>
      </c>
      <c r="J124" s="74">
        <f>'เย็น '!J124+'เช้า '!J124+บ่าย!J124</f>
        <v>0</v>
      </c>
      <c r="K124" s="74">
        <f>'เย็น '!K124+'เช้า '!K124+บ่าย!K124</f>
        <v>0</v>
      </c>
      <c r="L124" s="37">
        <f t="shared" si="14"/>
        <v>45</v>
      </c>
      <c r="M124" s="11"/>
      <c r="N124" s="11"/>
      <c r="O124" s="11"/>
      <c r="P124" s="11"/>
      <c r="Q124" s="45">
        <f t="shared" si="15"/>
        <v>-45</v>
      </c>
    </row>
    <row r="125" spans="2:17" x14ac:dyDescent="0.2">
      <c r="B125" s="11">
        <v>1114503</v>
      </c>
      <c r="C125" s="22" t="s">
        <v>97</v>
      </c>
      <c r="D125" s="74">
        <f>'เย็น '!D125+'เช้า '!D125+บ่าย!D125</f>
        <v>0</v>
      </c>
      <c r="E125" s="74">
        <f>'เย็น '!E125+'เช้า '!E125+บ่าย!E125</f>
        <v>0</v>
      </c>
      <c r="F125" s="74">
        <f>'เย็น '!F125+'เช้า '!F125+บ่าย!F125</f>
        <v>0</v>
      </c>
      <c r="G125" s="74">
        <f>'เย็น '!G125+'เช้า '!G125+บ่าย!G125</f>
        <v>42</v>
      </c>
      <c r="H125" s="74">
        <f>'เย็น '!H125+'เช้า '!H125+บ่าย!H125</f>
        <v>0</v>
      </c>
      <c r="I125" s="74">
        <f>'เย็น '!I125+'เช้า '!I125+บ่าย!I125</f>
        <v>0</v>
      </c>
      <c r="J125" s="74">
        <f>'เย็น '!J125+'เช้า '!J125+บ่าย!J125</f>
        <v>0</v>
      </c>
      <c r="K125" s="74">
        <f>'เย็น '!K125+'เช้า '!K125+บ่าย!K125</f>
        <v>0</v>
      </c>
      <c r="L125" s="37">
        <f t="shared" si="14"/>
        <v>42</v>
      </c>
      <c r="M125" s="11"/>
      <c r="N125" s="11"/>
      <c r="O125" s="11"/>
      <c r="P125" s="11"/>
      <c r="Q125" s="45">
        <f t="shared" si="15"/>
        <v>-42</v>
      </c>
    </row>
    <row r="126" spans="2:17" x14ac:dyDescent="0.2">
      <c r="B126" s="11">
        <v>1124021</v>
      </c>
      <c r="C126" s="22" t="s">
        <v>98</v>
      </c>
      <c r="D126" s="74">
        <f>'เย็น '!D126+'เช้า '!D126+บ่าย!D126</f>
        <v>0</v>
      </c>
      <c r="E126" s="74">
        <f>'เย็น '!E126+'เช้า '!E126+บ่าย!E126</f>
        <v>5</v>
      </c>
      <c r="F126" s="74">
        <f>'เย็น '!F126+'เช้า '!F126+บ่าย!F126</f>
        <v>2</v>
      </c>
      <c r="G126" s="74">
        <f>'เย็น '!G126+'เช้า '!G126+บ่าย!G126</f>
        <v>4</v>
      </c>
      <c r="H126" s="74">
        <f>'เย็น '!H126+'เช้า '!H126+บ่าย!H126</f>
        <v>0</v>
      </c>
      <c r="I126" s="74">
        <f>'เย็น '!I126+'เช้า '!I126+บ่าย!I126</f>
        <v>0</v>
      </c>
      <c r="J126" s="74">
        <f>'เย็น '!J126+'เช้า '!J126+บ่าย!J126</f>
        <v>0</v>
      </c>
      <c r="K126" s="74">
        <f>'เย็น '!K126+'เช้า '!K126+บ่าย!K126</f>
        <v>0</v>
      </c>
      <c r="L126" s="37">
        <f t="shared" si="14"/>
        <v>11</v>
      </c>
      <c r="M126" s="11"/>
      <c r="N126" s="11"/>
      <c r="O126" s="11"/>
      <c r="P126" s="11"/>
      <c r="Q126" s="45">
        <f t="shared" si="15"/>
        <v>-11</v>
      </c>
    </row>
    <row r="127" spans="2:17" x14ac:dyDescent="0.2">
      <c r="B127" s="11">
        <v>1113084</v>
      </c>
      <c r="C127" s="22" t="s">
        <v>99</v>
      </c>
      <c r="D127" s="74">
        <f>'เย็น '!D127+'เช้า '!D127+บ่าย!D127</f>
        <v>0</v>
      </c>
      <c r="E127" s="74">
        <f>'เย็น '!E127+'เช้า '!E127+บ่าย!E127</f>
        <v>0</v>
      </c>
      <c r="F127" s="74">
        <f>'เย็น '!F127+'เช้า '!F127+บ่าย!F127</f>
        <v>0</v>
      </c>
      <c r="G127" s="74">
        <f>'เย็น '!G127+'เช้า '!G127+บ่าย!G127</f>
        <v>0</v>
      </c>
      <c r="H127" s="74">
        <f>'เย็น '!H127+'เช้า '!H127+บ่าย!H127</f>
        <v>0</v>
      </c>
      <c r="I127" s="74">
        <f>'เย็น '!I127+'เช้า '!I127+บ่าย!I127</f>
        <v>0</v>
      </c>
      <c r="J127" s="74">
        <f>'เย็น '!J127+'เช้า '!J127+บ่าย!J127</f>
        <v>0</v>
      </c>
      <c r="K127" s="74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74">
        <f>'เย็น '!D128+'เช้า '!D128+บ่าย!D128</f>
        <v>0</v>
      </c>
      <c r="E128" s="74">
        <f>'เย็น '!E128+'เช้า '!E128+บ่าย!E128</f>
        <v>0</v>
      </c>
      <c r="F128" s="74">
        <f>'เย็น '!F128+'เช้า '!F128+บ่าย!F128</f>
        <v>0</v>
      </c>
      <c r="G128" s="74">
        <f>'เย็น '!G128+'เช้า '!G128+บ่าย!G128</f>
        <v>0</v>
      </c>
      <c r="H128" s="74">
        <f>'เย็น '!H128+'เช้า '!H128+บ่าย!H128</f>
        <v>0</v>
      </c>
      <c r="I128" s="74">
        <f>'เย็น '!I128+'เช้า '!I128+บ่าย!I128</f>
        <v>0</v>
      </c>
      <c r="J128" s="74">
        <f>'เย็น '!J128+'เช้า '!J128+บ่าย!J128</f>
        <v>0</v>
      </c>
      <c r="K128" s="74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74">
        <f>'เย็น '!D129+'เช้า '!D129+บ่าย!D129</f>
        <v>0</v>
      </c>
      <c r="E129" s="74">
        <f>'เย็น '!E129+'เช้า '!E129+บ่าย!E129</f>
        <v>0</v>
      </c>
      <c r="F129" s="74">
        <f>'เย็น '!F129+'เช้า '!F129+บ่าย!F129</f>
        <v>0</v>
      </c>
      <c r="G129" s="74">
        <f>'เย็น '!G129+'เช้า '!G129+บ่าย!G129</f>
        <v>0</v>
      </c>
      <c r="H129" s="74">
        <f>'เย็น '!H129+'เช้า '!H129+บ่าย!H129</f>
        <v>0</v>
      </c>
      <c r="I129" s="74">
        <f>'เย็น '!I129+'เช้า '!I129+บ่าย!I129</f>
        <v>0</v>
      </c>
      <c r="J129" s="74">
        <f>'เย็น '!J129+'เช้า '!J129+บ่าย!J129</f>
        <v>0</v>
      </c>
      <c r="K129" s="74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74">
        <f>'เย็น '!D130+'เช้า '!D130+บ่าย!D130</f>
        <v>0</v>
      </c>
      <c r="E130" s="74">
        <f>'เย็น '!E130+'เช้า '!E130+บ่าย!E130</f>
        <v>0</v>
      </c>
      <c r="F130" s="74">
        <f>'เย็น '!F130+'เช้า '!F130+บ่าย!F130</f>
        <v>0</v>
      </c>
      <c r="G130" s="74">
        <f>'เย็น '!G130+'เช้า '!G130+บ่าย!G130</f>
        <v>0</v>
      </c>
      <c r="H130" s="74">
        <f>'เย็น '!H130+'เช้า '!H130+บ่าย!H130</f>
        <v>0</v>
      </c>
      <c r="I130" s="74">
        <f>'เย็น '!I130+'เช้า '!I130+บ่าย!I130</f>
        <v>0</v>
      </c>
      <c r="J130" s="74">
        <f>'เย็น '!J130+'เช้า '!J130+บ่าย!J130</f>
        <v>0</v>
      </c>
      <c r="K130" s="74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74">
        <f>'เย็น '!D131+'เช้า '!D131+บ่าย!D131</f>
        <v>0</v>
      </c>
      <c r="E131" s="74">
        <f>'เย็น '!E131+'เช้า '!E131+บ่าย!E131</f>
        <v>0</v>
      </c>
      <c r="F131" s="74">
        <f>'เย็น '!F131+'เช้า '!F131+บ่าย!F131</f>
        <v>0</v>
      </c>
      <c r="G131" s="74">
        <f>'เย็น '!G131+'เช้า '!G131+บ่าย!G131</f>
        <v>0</v>
      </c>
      <c r="H131" s="74">
        <f>'เย็น '!H131+'เช้า '!H131+บ่าย!H131</f>
        <v>0</v>
      </c>
      <c r="I131" s="74">
        <f>'เย็น '!I131+'เช้า '!I131+บ่าย!I131</f>
        <v>0</v>
      </c>
      <c r="J131" s="74">
        <f>'เย็น '!J131+'เช้า '!J131+บ่าย!J131</f>
        <v>0</v>
      </c>
      <c r="K131" s="74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74">
        <f>'เย็น '!D132+'เช้า '!D132+บ่าย!D132</f>
        <v>0</v>
      </c>
      <c r="E132" s="74">
        <f>'เย็น '!E132+'เช้า '!E132+บ่าย!E132</f>
        <v>0</v>
      </c>
      <c r="F132" s="74">
        <f>'เย็น '!F132+'เช้า '!F132+บ่าย!F132</f>
        <v>0</v>
      </c>
      <c r="G132" s="74">
        <f>'เย็น '!G132+'เช้า '!G132+บ่าย!G132</f>
        <v>0</v>
      </c>
      <c r="H132" s="74">
        <f>'เย็น '!H132+'เช้า '!H132+บ่าย!H132</f>
        <v>0</v>
      </c>
      <c r="I132" s="74">
        <f>'เย็น '!I132+'เช้า '!I132+บ่าย!I132</f>
        <v>0</v>
      </c>
      <c r="J132" s="74">
        <f>'เย็น '!J132+'เช้า '!J132+บ่าย!J132</f>
        <v>0</v>
      </c>
      <c r="K132" s="74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49">
        <f>'เย็น '!D133+'เช้า '!D133+บ่าย!D133</f>
        <v>0</v>
      </c>
      <c r="E133" s="49">
        <f>'เย็น '!E133+'เช้า '!E133+บ่าย!E133</f>
        <v>0</v>
      </c>
      <c r="F133" s="49">
        <f>'เย็น '!F133+'เช้า '!F133+บ่าย!F133</f>
        <v>0</v>
      </c>
      <c r="G133" s="49">
        <f>'เย็น '!G133+'เช้า '!G133+บ่าย!G133</f>
        <v>0</v>
      </c>
      <c r="H133" s="49">
        <f>'เย็น '!H133+'เช้า '!H133+บ่าย!H133</f>
        <v>0</v>
      </c>
      <c r="I133" s="49">
        <f>'เย็น '!I133+'เช้า '!I133+บ่าย!I133</f>
        <v>0</v>
      </c>
      <c r="J133" s="49">
        <f>'เย็น '!J133+'เช้า '!J133+บ่าย!J133</f>
        <v>0</v>
      </c>
      <c r="K133" s="49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49">
        <f>'เย็น '!D134+'เช้า '!D134+บ่าย!D134</f>
        <v>0</v>
      </c>
      <c r="E134" s="49">
        <f>'เย็น '!E134+'เช้า '!E134+บ่าย!E134</f>
        <v>0</v>
      </c>
      <c r="F134" s="49">
        <f>'เย็น '!F134+'เช้า '!F134+บ่าย!F134</f>
        <v>0</v>
      </c>
      <c r="G134" s="49">
        <f>'เย็น '!G134+'เช้า '!G134+บ่าย!G134</f>
        <v>0</v>
      </c>
      <c r="H134" s="49">
        <f>'เย็น '!H134+'เช้า '!H134+บ่าย!H134</f>
        <v>0</v>
      </c>
      <c r="I134" s="49">
        <f>'เย็น '!I134+'เช้า '!I134+บ่าย!I134</f>
        <v>0</v>
      </c>
      <c r="J134" s="49">
        <f>'เย็น '!J134+'เช้า '!J134+บ่าย!J134</f>
        <v>0</v>
      </c>
      <c r="K134" s="49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49">
        <f>'เย็น '!D135+'เช้า '!D135+บ่าย!D135</f>
        <v>0</v>
      </c>
      <c r="E135" s="49">
        <f>'เย็น '!E135+'เช้า '!E135+บ่าย!E135</f>
        <v>0</v>
      </c>
      <c r="F135" s="49">
        <f>'เย็น '!F135+'เช้า '!F135+บ่าย!F135</f>
        <v>0</v>
      </c>
      <c r="G135" s="49">
        <f>'เย็น '!G135+'เช้า '!G135+บ่าย!G135</f>
        <v>0</v>
      </c>
      <c r="H135" s="49">
        <f>'เย็น '!H135+'เช้า '!H135+บ่าย!H135</f>
        <v>0</v>
      </c>
      <c r="I135" s="49">
        <f>'เย็น '!I135+'เช้า '!I135+บ่าย!I135</f>
        <v>0</v>
      </c>
      <c r="J135" s="49">
        <f>'เย็น '!J135+'เช้า '!J135+บ่าย!J135</f>
        <v>0</v>
      </c>
      <c r="K135" s="49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 x14ac:dyDescent="0.2">
      <c r="B136" s="23"/>
      <c r="C136" s="22" t="s">
        <v>125</v>
      </c>
      <c r="D136" s="49">
        <f>'เย็น '!D136+'เช้า '!D136+บ่าย!D136</f>
        <v>0</v>
      </c>
      <c r="E136" s="49">
        <f>'เย็น '!E136+'เช้า '!E136+บ่าย!E136</f>
        <v>2</v>
      </c>
      <c r="F136" s="49">
        <f>'เย็น '!F136+'เช้า '!F136+บ่าย!F136</f>
        <v>0</v>
      </c>
      <c r="G136" s="49">
        <f>'เย็น '!G136+'เช้า '!G136+บ่าย!G136</f>
        <v>0</v>
      </c>
      <c r="H136" s="49">
        <f>'เย็น '!H136+'เช้า '!H136+บ่าย!H136</f>
        <v>0</v>
      </c>
      <c r="I136" s="49">
        <f>'เย็น '!I136+'เช้า '!I136+บ่าย!I136</f>
        <v>0</v>
      </c>
      <c r="J136" s="49">
        <f>'เย็น '!J136+'เช้า '!J136+บ่าย!J136</f>
        <v>0</v>
      </c>
      <c r="K136" s="49">
        <f>'เย็น '!K136+'เช้า '!K136+บ่าย!K136</f>
        <v>0</v>
      </c>
      <c r="L136" s="37">
        <f t="shared" si="14"/>
        <v>2</v>
      </c>
      <c r="M136" s="11"/>
      <c r="N136" s="11"/>
      <c r="O136" s="11"/>
      <c r="P136" s="11"/>
      <c r="Q136" s="45">
        <f t="shared" si="15"/>
        <v>-2</v>
      </c>
    </row>
    <row r="137" spans="2:17" x14ac:dyDescent="0.2">
      <c r="B137" s="23">
        <v>20052721</v>
      </c>
      <c r="C137" s="22" t="s">
        <v>143</v>
      </c>
      <c r="D137" s="49">
        <f>'เย็น '!D137+'เช้า '!D137+บ่าย!D137</f>
        <v>0</v>
      </c>
      <c r="E137" s="49">
        <f>'เย็น '!E137+'เช้า '!E137+บ่าย!E137</f>
        <v>0</v>
      </c>
      <c r="F137" s="49">
        <f>'เย็น '!F137+'เช้า '!F137+บ่าย!F137</f>
        <v>0</v>
      </c>
      <c r="G137" s="49">
        <f>'เย็น '!G137+'เช้า '!G137+บ่าย!G137</f>
        <v>0</v>
      </c>
      <c r="H137" s="49">
        <f>'เย็น '!H137+'เช้า '!H137+บ่าย!H137</f>
        <v>0</v>
      </c>
      <c r="I137" s="49">
        <f>'เย็น '!I137+'เช้า '!I137+บ่าย!I137</f>
        <v>0</v>
      </c>
      <c r="J137" s="49">
        <f>'เย็น '!J137+'เช้า '!J137+บ่าย!J137</f>
        <v>0</v>
      </c>
      <c r="K137" s="49">
        <f>'เย็น '!K137+'เช้า '!K137+บ่าย!K137</f>
        <v>10</v>
      </c>
      <c r="L137" s="37">
        <f t="shared" si="14"/>
        <v>10</v>
      </c>
      <c r="M137" s="11"/>
      <c r="N137" s="11"/>
      <c r="O137" s="11"/>
      <c r="P137" s="11"/>
      <c r="Q137" s="45">
        <f t="shared" si="15"/>
        <v>-10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41</v>
      </c>
      <c r="E141" s="37">
        <f t="shared" ref="E141:K141" si="16">SUM(E114:E140,E90:E99,E79:E87,E69:E76,E7:E66,E102:E111)</f>
        <v>59</v>
      </c>
      <c r="F141" s="37">
        <f t="shared" si="16"/>
        <v>53</v>
      </c>
      <c r="G141" s="37">
        <f t="shared" si="16"/>
        <v>344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369</v>
      </c>
      <c r="L141" s="37">
        <f>SUM(L114:L140,L90:L99,L79:L87,L69:L76,L7:L66,L102:L111)</f>
        <v>866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-866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2"/>
      <c r="F144" s="62"/>
      <c r="G144" s="27"/>
      <c r="L144" s="41"/>
    </row>
    <row r="145" spans="2:12" x14ac:dyDescent="0.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 x14ac:dyDescent="0.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2025-03-21T00:34:34Z</cp:lastPrinted>
  <dcterms:created xsi:type="dcterms:W3CDTF">2024-04-30T05:21:27Z</dcterms:created>
  <dcterms:modified xsi:type="dcterms:W3CDTF">2025-03-21T00:34:39Z</dcterms:modified>
</cp:coreProperties>
</file>