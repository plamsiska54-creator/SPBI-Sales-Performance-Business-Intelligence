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074E858F-18A5-40AA-88D9-E8C0038DAA70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6" i="5" l="1"/>
  <c r="Q137" i="5"/>
  <c r="Q138" i="5"/>
  <c r="Q139" i="5"/>
  <c r="F42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G135" i="5"/>
  <c r="H135" i="5"/>
  <c r="I135" i="5"/>
  <c r="J135" i="5"/>
  <c r="K135" i="5"/>
  <c r="D136" i="5"/>
  <c r="E136" i="5"/>
  <c r="G136" i="5"/>
  <c r="L136" i="5" s="1"/>
  <c r="H136" i="5"/>
  <c r="I136" i="5"/>
  <c r="J136" i="5"/>
  <c r="K136" i="5"/>
  <c r="D137" i="5"/>
  <c r="E137" i="5"/>
  <c r="F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100" i="3" s="1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H115" i="5"/>
  <c r="I115" i="5"/>
  <c r="J115" i="5"/>
  <c r="K115" i="5"/>
  <c r="D116" i="5"/>
  <c r="E116" i="5"/>
  <c r="F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H91" i="5"/>
  <c r="I91" i="5"/>
  <c r="J91" i="5"/>
  <c r="K91" i="5"/>
  <c r="D92" i="5"/>
  <c r="F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F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H25" i="5"/>
  <c r="I25" i="5"/>
  <c r="J25" i="5"/>
  <c r="K25" i="5"/>
  <c r="D26" i="5"/>
  <c r="E26" i="5"/>
  <c r="F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4" i="5" l="1"/>
  <c r="L132" i="5"/>
  <c r="L133" i="5"/>
  <c r="L131" i="5"/>
  <c r="Q131" i="5" s="1"/>
  <c r="L138" i="5"/>
  <c r="L67" i="3"/>
  <c r="Q135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<sst xmlns="http://schemas.openxmlformats.org/spreadsheetml/2006/main" count="617" uniqueCount="146">
  <si>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</si>
  <si>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</si>
  <si>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</si>
  <si>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</si>
  <si>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</si>
  <si>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</si>
  <si>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</si>
  <si>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</si>
  <si>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</si>
  <si>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</si>
  <si>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</si>
  <si>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</si>
  <si>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</si>
  <si>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</si>
  <si>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</si>
  <si>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</si>
  <si>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</si>
  <si>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</si>
  <si>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</si>
  <si>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</si>
  <si>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</si>
  <si>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</si>
  <si>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</si>
  <si>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</si>
  <si>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</si>
  <si>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</si>
  <si>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</si>
  <si>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</si>
  <si>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</si>
  <si>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</si>
  <si>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</si>
  <si>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</si>
  <si>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</si>
  <si>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</si>
  <si>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</si>
  <si>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</si>
  <si>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</si>
  <si>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</si>
  <si>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</si>
  <si>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</si>
  <si>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</si>
  <si>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</si>
  <si>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</si>
  <si>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</si>
  <si>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</si>
  <si>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</si>
  <si>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</si>
  <si>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</si>
  <si>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</si>
  <si>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</si>
  <si>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</si>
  <si>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</si>
  <si>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</si>
  <si>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</si>
  <si>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</si>
  <si>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</si>
  <si>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</si>
  <si>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</si>
  <si>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</si>
  <si>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</si>
  <si>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</si>
  <si>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</si>
  <si>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</si>
  <si>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</si>
  <si>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</si>
  <si>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</si>
  <si>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</si>
  <si>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</si>
  <si>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</si>
  <si>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</si>
  <si>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</si>
  <si>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</si>
  <si>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</si>
  <si>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</si>
  <si>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</si>
  <si>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</si>
  <si>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</si>
  <si>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</si>
  <si>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</si>
  <si>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</si>
  <si>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</si>
  <si>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</si>
  <si>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</si>
  <si>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</si>
  <si>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</si>
  <si>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</si>
  <si>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</si>
  <si>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</si>
  <si>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</si>
  <si>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</si>
  <si>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</si>
  <si>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</si>
  <si>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</si>
  <si>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</si>
  <si>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</si>
  <si>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</si>
  <si>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</si>
  <si>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</si>
  <si>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</si>
  <si>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</si>
  <si>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</si>
  <si>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</si>
  <si>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</si>
  <si>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</si>
  <si>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</si>
  <si>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</si>
  <si>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</si>
  <si>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</si>
  <si>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</si>
  <si>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</si>
  <si>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</si>
  <si>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</si>
  <si>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</si>
  <si>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</si>
  <si>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</si>
  <si>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</si>
  <si>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</si>
  <si>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</si>
  <si>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</si>
  <si>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</si>
  <si>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</si>
  <si>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</si>
  <si>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</si>
  <si>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</si>
  <si>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</si>
  <si>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</si>
  <si>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</si>
  <si>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</si>
  <si>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</si>
  <si>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</si>
  <si>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</si>
  <si>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</si>
  <si>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</si>
  <si>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</si>
  <si>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</si>
  <si>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</si>
  <si>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</si>
  <si>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</si>
  <si>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</si>
  <si>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</si>
  <si>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</si>
  <si>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</si>
  <si>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</si>
  <si>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</si>
  <si>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15-3-68  รวม</t>
  </si>
  <si>
    <t>ยอดจริง ออนไลน์ วันที่  15-3-68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</si>
</sst>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4" zoomScale="60" zoomScaleNormal="60" workbookViewId="0">
      <selection sqref="A1:L14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33</v>
      </c>
      <c r="F7" s="30">
        <v>53</v>
      </c>
      <c r="G7" s="30">
        <v>14</v>
      </c>
      <c r="H7" s="30"/>
      <c r="I7" s="30"/>
      <c r="J7" s="43"/>
      <c r="K7" s="43"/>
      <c r="L7" s="36">
        <f>SUM(D7:K7)</f>
        <v>100</v>
      </c>
    </row>
    <row r="8" spans="2:12" ht="22.5" hidden="1" customHeight="1">
      <c r="B8" s="11"/>
      <c r="C8" s="15" t="s">
        <v>126</v>
      </c>
      <c r="D8" s="30"/>
      <c r="E8" s="30">
        <v>0</v>
      </c>
      <c r="F8" s="30">
        <v>0</v>
      </c>
      <c r="G8" s="30">
        <v>0</v>
      </c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>
        <v>0</v>
      </c>
      <c r="F9" s="30">
        <v>0</v>
      </c>
      <c r="G9" s="30">
        <v>0</v>
      </c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>
        <v>0</v>
      </c>
      <c r="F10" s="30">
        <v>0</v>
      </c>
      <c r="G10" s="30">
        <v>0</v>
      </c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>
        <v>0</v>
      </c>
      <c r="F11" s="30">
        <v>0</v>
      </c>
      <c r="G11" s="30">
        <v>0</v>
      </c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>
        <v>0</v>
      </c>
      <c r="F12" s="30">
        <v>0</v>
      </c>
      <c r="G12" s="30">
        <v>0</v>
      </c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>
        <v>0</v>
      </c>
      <c r="F13" s="30">
        <v>0</v>
      </c>
      <c r="G13" s="30">
        <v>0</v>
      </c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>
        <v>0</v>
      </c>
      <c r="F14" s="30">
        <v>0</v>
      </c>
      <c r="G14" s="30">
        <v>0</v>
      </c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>
        <v>0</v>
      </c>
      <c r="F15" s="30">
        <v>0</v>
      </c>
      <c r="G15" s="30">
        <v>0</v>
      </c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>
        <v>0</v>
      </c>
      <c r="F16" s="30">
        <v>0</v>
      </c>
      <c r="G16" s="30">
        <v>0</v>
      </c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>
        <v>0</v>
      </c>
      <c r="F17" s="30">
        <v>0</v>
      </c>
      <c r="G17" s="30">
        <v>0</v>
      </c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>
        <v>0</v>
      </c>
      <c r="F18" s="30">
        <v>0</v>
      </c>
      <c r="G18" s="30">
        <v>0</v>
      </c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>
        <v>0</v>
      </c>
      <c r="F19" s="30">
        <v>0</v>
      </c>
      <c r="G19" s="30">
        <v>0</v>
      </c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>
        <v>0</v>
      </c>
      <c r="F20" s="30">
        <v>0</v>
      </c>
      <c r="G20" s="30">
        <v>0</v>
      </c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>
        <v>0</v>
      </c>
      <c r="F21" s="30">
        <v>0</v>
      </c>
      <c r="G21" s="30">
        <v>0</v>
      </c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>
        <v>0</v>
      </c>
      <c r="F22" s="30">
        <v>0</v>
      </c>
      <c r="G22" s="30">
        <v>0</v>
      </c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>
        <v>0</v>
      </c>
      <c r="F23" s="30">
        <v>0</v>
      </c>
      <c r="G23" s="30">
        <v>0</v>
      </c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>
        <v>0</v>
      </c>
      <c r="F24" s="30">
        <v>0</v>
      </c>
      <c r="G24" s="30">
        <v>0</v>
      </c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4</v>
      </c>
      <c r="F25" s="30">
        <v>6</v>
      </c>
      <c r="G25" s="30">
        <v>4</v>
      </c>
      <c r="H25" s="30"/>
      <c r="I25" s="30"/>
      <c r="J25" s="43"/>
      <c r="K25" s="43"/>
      <c r="L25" s="36">
        <f t="shared" si="0"/>
        <v>14</v>
      </c>
    </row>
    <row r="26" spans="2:12">
      <c r="B26" s="11">
        <v>1004055</v>
      </c>
      <c r="C26" s="15" t="s">
        <v>108</v>
      </c>
      <c r="D26" s="30"/>
      <c r="E26" s="30">
        <v>0</v>
      </c>
      <c r="F26" s="30">
        <v>0</v>
      </c>
      <c r="G26" s="30">
        <v>75</v>
      </c>
      <c r="H26" s="30"/>
      <c r="I26" s="30"/>
      <c r="J26" s="43"/>
      <c r="K26" s="43"/>
      <c r="L26" s="36">
        <f t="shared" si="0"/>
        <v>75</v>
      </c>
    </row>
    <row r="27" spans="2:12" ht="22.5" hidden="1" customHeight="1">
      <c r="B27" s="11">
        <v>1004055</v>
      </c>
      <c r="C27" s="15" t="s">
        <v>109</v>
      </c>
      <c r="D27" s="30"/>
      <c r="E27" s="30">
        <v>0</v>
      </c>
      <c r="F27" s="30">
        <v>0</v>
      </c>
      <c r="G27" s="30">
        <v>0</v>
      </c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>
        <v>0</v>
      </c>
      <c r="F28" s="30">
        <v>0</v>
      </c>
      <c r="G28" s="30">
        <v>0</v>
      </c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>
        <v>0</v>
      </c>
      <c r="F29" s="30">
        <v>0</v>
      </c>
      <c r="G29" s="30">
        <v>0</v>
      </c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>
        <v>0</v>
      </c>
      <c r="F30" s="30">
        <v>0</v>
      </c>
      <c r="G30" s="30">
        <v>0</v>
      </c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>
        <v>0</v>
      </c>
      <c r="F31" s="30">
        <v>0</v>
      </c>
      <c r="G31" s="30">
        <v>0</v>
      </c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>
        <v>0</v>
      </c>
      <c r="F32" s="30">
        <v>0</v>
      </c>
      <c r="G32" s="30">
        <v>0</v>
      </c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>
        <v>0</v>
      </c>
      <c r="F33" s="30">
        <v>0</v>
      </c>
      <c r="G33" s="30">
        <v>0</v>
      </c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>
        <v>0</v>
      </c>
      <c r="F34" s="30">
        <v>0</v>
      </c>
      <c r="G34" s="30">
        <v>0</v>
      </c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>
        <v>0</v>
      </c>
      <c r="F35" s="30">
        <v>0</v>
      </c>
      <c r="G35" s="30">
        <v>0</v>
      </c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>
        <v>0</v>
      </c>
      <c r="F36" s="30">
        <v>0</v>
      </c>
      <c r="G36" s="30">
        <v>0</v>
      </c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>
        <v>0</v>
      </c>
      <c r="F37" s="30">
        <v>0</v>
      </c>
      <c r="G37" s="30">
        <v>0</v>
      </c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>
        <v>0</v>
      </c>
      <c r="F38" s="30">
        <v>0</v>
      </c>
      <c r="G38" s="30">
        <v>0</v>
      </c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>
        <v>0</v>
      </c>
      <c r="F39" s="30">
        <v>0</v>
      </c>
      <c r="G39" s="30">
        <v>0</v>
      </c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0</v>
      </c>
      <c r="F40" s="30">
        <v>0</v>
      </c>
      <c r="G40" s="30">
        <v>0</v>
      </c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>
        <v>0</v>
      </c>
      <c r="F41" s="30"/>
      <c r="G41" s="30">
        <v>0</v>
      </c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189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3</v>
      </c>
      <c r="F69" s="30"/>
      <c r="G69" s="30">
        <v>6</v>
      </c>
      <c r="H69" s="30"/>
      <c r="I69" s="30"/>
      <c r="J69" s="43"/>
      <c r="K69" s="43"/>
      <c r="L69" s="36">
        <f t="shared" ref="L69:L76" si="1">SUM(D69:K69)</f>
        <v>9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9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>
        <v>12</v>
      </c>
      <c r="H90" s="30"/>
      <c r="I90" s="30"/>
      <c r="J90" s="43"/>
      <c r="K90" s="43"/>
      <c r="L90" s="36">
        <f t="shared" ref="L90:L99" si="3">SUM(D90:K90)</f>
        <v>12</v>
      </c>
    </row>
    <row r="91" spans="2:12">
      <c r="B91" s="11">
        <v>1112011</v>
      </c>
      <c r="C91" s="19" t="s">
        <v>76</v>
      </c>
      <c r="D91" s="30"/>
      <c r="E91" s="30"/>
      <c r="F91" s="30">
        <v>14</v>
      </c>
      <c r="G91" s="30">
        <v>10</v>
      </c>
      <c r="H91" s="30"/>
      <c r="I91" s="30"/>
      <c r="J91" s="43"/>
      <c r="K91" s="43"/>
      <c r="L91" s="36">
        <f t="shared" si="3"/>
        <v>24</v>
      </c>
    </row>
    <row r="92" spans="2:12">
      <c r="B92" s="11">
        <v>1112003</v>
      </c>
      <c r="C92" s="19" t="s">
        <v>77</v>
      </c>
      <c r="D92" s="30"/>
      <c r="E92" s="30">
        <v>1</v>
      </c>
      <c r="F92" s="30"/>
      <c r="G92" s="30">
        <v>13</v>
      </c>
      <c r="H92" s="30"/>
      <c r="I92" s="30"/>
      <c r="J92" s="43"/>
      <c r="K92" s="43"/>
      <c r="L92" s="36">
        <f t="shared" si="3"/>
        <v>14</v>
      </c>
    </row>
    <row r="93" spans="2:12">
      <c r="B93" s="11">
        <v>1112005</v>
      </c>
      <c r="C93" s="19" t="s">
        <v>78</v>
      </c>
      <c r="D93" s="30"/>
      <c r="E93" s="30"/>
      <c r="F93" s="30"/>
      <c r="G93" s="30">
        <v>0</v>
      </c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50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>
        <v>30</v>
      </c>
      <c r="H103" s="30"/>
      <c r="I103" s="30"/>
      <c r="J103" s="43"/>
      <c r="K103" s="43"/>
      <c r="L103" s="36">
        <f t="shared" si="4"/>
        <v>30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30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>
        <v>0</v>
      </c>
      <c r="G114" s="30">
        <v>0</v>
      </c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>
        <v>0</v>
      </c>
      <c r="G115" s="30">
        <v>4</v>
      </c>
      <c r="H115" s="30"/>
      <c r="I115" s="30"/>
      <c r="J115" s="43"/>
      <c r="K115" s="43"/>
      <c r="L115" s="36">
        <f t="shared" si="5"/>
        <v>4</v>
      </c>
    </row>
    <row r="116" spans="2:12">
      <c r="B116" s="11">
        <v>1113172</v>
      </c>
      <c r="C116" s="21" t="s">
        <v>89</v>
      </c>
      <c r="D116" s="30"/>
      <c r="E116" s="30"/>
      <c r="F116" s="30">
        <v>0</v>
      </c>
      <c r="G116" s="30">
        <v>5</v>
      </c>
      <c r="H116" s="30"/>
      <c r="I116" s="30"/>
      <c r="J116" s="43"/>
      <c r="K116" s="43"/>
      <c r="L116" s="36">
        <f t="shared" si="5"/>
        <v>5</v>
      </c>
    </row>
    <row r="117" spans="2:12">
      <c r="B117" s="11">
        <v>1113173</v>
      </c>
      <c r="C117" s="21" t="s">
        <v>90</v>
      </c>
      <c r="D117" s="30"/>
      <c r="E117" s="30"/>
      <c r="F117" s="30">
        <v>0</v>
      </c>
      <c r="G117" s="30">
        <v>0</v>
      </c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>
        <v>0</v>
      </c>
      <c r="G118" s="30">
        <v>0</v>
      </c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>
        <v>0</v>
      </c>
      <c r="G119" s="30">
        <v>0</v>
      </c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>
        <v>0</v>
      </c>
      <c r="G120" s="30">
        <v>0</v>
      </c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>
        <v>0</v>
      </c>
      <c r="G121" s="30">
        <v>0</v>
      </c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>
        <v>0</v>
      </c>
      <c r="G122" s="30">
        <v>0</v>
      </c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>
        <v>2</v>
      </c>
      <c r="G123" s="30">
        <v>4</v>
      </c>
      <c r="H123" s="30"/>
      <c r="I123" s="30"/>
      <c r="J123" s="43"/>
      <c r="K123" s="43"/>
      <c r="L123" s="36">
        <f t="shared" si="5"/>
        <v>6</v>
      </c>
    </row>
    <row r="124" spans="2:12">
      <c r="B124" s="11">
        <v>1114502</v>
      </c>
      <c r="C124" s="21" t="s">
        <v>96</v>
      </c>
      <c r="D124" s="30"/>
      <c r="E124" s="30"/>
      <c r="F124" s="30">
        <v>0</v>
      </c>
      <c r="G124" s="30">
        <v>0</v>
      </c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>
        <v>0</v>
      </c>
      <c r="G125" s="30">
        <v>2</v>
      </c>
      <c r="H125" s="30"/>
      <c r="I125" s="30"/>
      <c r="J125" s="43"/>
      <c r="K125" s="43"/>
      <c r="L125" s="36">
        <f t="shared" si="5"/>
        <v>2</v>
      </c>
    </row>
    <row r="126" spans="2:12">
      <c r="B126" s="11">
        <v>1124021</v>
      </c>
      <c r="C126" s="21" t="s">
        <v>98</v>
      </c>
      <c r="D126" s="30"/>
      <c r="E126" s="30"/>
      <c r="F126" s="30">
        <v>0</v>
      </c>
      <c r="G126" s="30">
        <v>0</v>
      </c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>
        <v>0</v>
      </c>
      <c r="G127" s="30">
        <v>0</v>
      </c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>
        <v>0</v>
      </c>
      <c r="G128" s="30">
        <v>0</v>
      </c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>
        <v>0</v>
      </c>
      <c r="G129" s="30">
        <v>0</v>
      </c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>
        <v>0</v>
      </c>
      <c r="G130" s="30">
        <v>0</v>
      </c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>
        <v>0</v>
      </c>
      <c r="G131" s="30">
        <v>0</v>
      </c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>
        <v>0</v>
      </c>
      <c r="G132" s="30">
        <v>0</v>
      </c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>
        <v>0</v>
      </c>
      <c r="G133" s="30">
        <v>0</v>
      </c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>
        <v>0</v>
      </c>
      <c r="G134" s="30">
        <v>0</v>
      </c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>
        <v>2</v>
      </c>
      <c r="G135" s="30">
        <v>0</v>
      </c>
      <c r="H135" s="30"/>
      <c r="I135" s="30"/>
      <c r="J135" s="43"/>
      <c r="K135" s="43"/>
      <c r="L135" s="36">
        <f t="shared" si="5"/>
        <v>2</v>
      </c>
    </row>
    <row r="136" spans="2:12">
      <c r="B136" s="22"/>
      <c r="C136" s="21" t="s">
        <v>125</v>
      </c>
      <c r="D136" s="30"/>
      <c r="E136" s="30"/>
      <c r="F136" s="30">
        <v>5</v>
      </c>
      <c r="G136" s="30">
        <v>0</v>
      </c>
      <c r="H136" s="30"/>
      <c r="I136" s="30"/>
      <c r="J136" s="43"/>
      <c r="K136" s="43"/>
      <c r="L136" s="36">
        <f t="shared" si="5"/>
        <v>5</v>
      </c>
    </row>
    <row r="137" spans="2:12">
      <c r="B137" s="22">
        <v>20052721</v>
      </c>
      <c r="C137" s="21" t="s">
        <v>142</v>
      </c>
      <c r="D137" s="30"/>
      <c r="E137" s="30"/>
      <c r="F137" s="30">
        <v>0</v>
      </c>
      <c r="G137" s="30">
        <v>8</v>
      </c>
      <c r="H137" s="30"/>
      <c r="I137" s="30"/>
      <c r="J137" s="43"/>
      <c r="K137" s="43"/>
      <c r="L137" s="36">
        <f t="shared" si="5"/>
        <v>8</v>
      </c>
    </row>
    <row r="138" spans="2:12">
      <c r="B138" s="50">
        <v>1004046</v>
      </c>
      <c r="C138" s="49" t="s">
        <v>143</v>
      </c>
      <c r="D138" s="30"/>
      <c r="E138" s="30"/>
      <c r="F138" s="30">
        <v>0</v>
      </c>
      <c r="G138" s="30">
        <v>0</v>
      </c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>
        <v>0</v>
      </c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AG94" sqref="AG94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1" width="14.42578125" style="16" hidden="1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v>33</v>
      </c>
      <c r="F7" s="30">
        <v>53</v>
      </c>
      <c r="G7" s="30">
        <v>14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100</v>
      </c>
      <c r="M7" s="11"/>
      <c r="N7" s="11">
        <v>226</v>
      </c>
      <c r="O7" s="11"/>
      <c r="P7" s="11"/>
      <c r="Q7" s="44">
        <f>(M7+N7+O7+P7)-L7</f>
        <v>126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v>4</v>
      </c>
      <c r="F25" s="30">
        <v>6</v>
      </c>
      <c r="G25" s="30">
        <v>4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14</v>
      </c>
      <c r="M25" s="11"/>
      <c r="N25" s="11">
        <v>7</v>
      </c>
      <c r="O25" s="11"/>
      <c r="P25" s="11"/>
      <c r="Q25" s="44">
        <f t="shared" si="1"/>
        <v>-7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v>75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75</v>
      </c>
      <c r="M26" s="11"/>
      <c r="N26" s="11">
        <v>6</v>
      </c>
      <c r="O26" s="11"/>
      <c r="P26" s="11"/>
      <c r="Q26" s="44">
        <f t="shared" si="1"/>
        <v>-69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>
        <v>1</v>
      </c>
      <c r="O50" s="11"/>
      <c r="P50" s="11"/>
      <c r="Q50" s="44">
        <f t="shared" si="1"/>
        <v>1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>
        <v>1</v>
      </c>
      <c r="O56" s="11"/>
      <c r="P56" s="11"/>
      <c r="Q56" s="44">
        <f t="shared" si="1"/>
        <v>1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>
        <v>1</v>
      </c>
      <c r="O57" s="11"/>
      <c r="P57" s="11"/>
      <c r="Q57" s="44">
        <f t="shared" si="1"/>
        <v>1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>
        <v>1</v>
      </c>
      <c r="O58" s="11"/>
      <c r="P58" s="11"/>
      <c r="Q58" s="44">
        <f t="shared" si="1"/>
        <v>1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>
        <v>1</v>
      </c>
      <c r="O59" s="11"/>
      <c r="P59" s="11"/>
      <c r="Q59" s="44">
        <f t="shared" si="1"/>
        <v>1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v>3</v>
      </c>
      <c r="F69" s="30">
        <f>'เย็น '!F69+'เช้า '!F69+บ่าย!F69</f>
        <v>0</v>
      </c>
      <c r="G69" s="30">
        <v>6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9</v>
      </c>
      <c r="M69" s="11"/>
      <c r="N69" s="11">
        <v>21</v>
      </c>
      <c r="O69" s="11"/>
      <c r="P69" s="11"/>
      <c r="Q69" s="44">
        <f t="shared" ref="Q69:Q76" si="5">(M69+N69+O69+P69)-L69</f>
        <v>12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0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0</v>
      </c>
      <c r="M87" s="11"/>
      <c r="N87" s="11">
        <v>7</v>
      </c>
      <c r="O87" s="11"/>
      <c r="P87" s="11"/>
      <c r="Q87" s="44">
        <f t="shared" si="8"/>
        <v>7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v>12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12</v>
      </c>
      <c r="M90" s="11"/>
      <c r="N90" s="11">
        <v>21</v>
      </c>
      <c r="O90" s="11"/>
      <c r="P90" s="11"/>
      <c r="Q90" s="44">
        <f t="shared" ref="Q90:Q100" si="10">(M90+N90+O90+P90)-L90</f>
        <v>9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v>14</v>
      </c>
      <c r="G91" s="30">
        <v>10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24</v>
      </c>
      <c r="M91" s="11"/>
      <c r="N91" s="11">
        <v>17</v>
      </c>
      <c r="O91" s="11"/>
      <c r="P91" s="11"/>
      <c r="Q91" s="44">
        <f t="shared" si="10"/>
        <v>-7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v>1</v>
      </c>
      <c r="F92" s="30">
        <f>'เย็น '!F92+'เช้า '!F92+บ่าย!F92</f>
        <v>0</v>
      </c>
      <c r="G92" s="30">
        <v>13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14</v>
      </c>
      <c r="M92" s="11"/>
      <c r="N92" s="11">
        <v>48</v>
      </c>
      <c r="O92" s="11"/>
      <c r="P92" s="11"/>
      <c r="Q92" s="44">
        <f t="shared" si="10"/>
        <v>34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0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0</v>
      </c>
      <c r="M93" s="11"/>
      <c r="N93" s="11"/>
      <c r="O93" s="11"/>
      <c r="P93" s="11"/>
      <c r="Q93" s="44">
        <f t="shared" si="10"/>
        <v>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0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0</v>
      </c>
      <c r="M97" s="11"/>
      <c r="N97" s="11"/>
      <c r="O97" s="11"/>
      <c r="P97" s="11"/>
      <c r="Q97" s="44">
        <f t="shared" si="10"/>
        <v>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0</v>
      </c>
      <c r="M98" s="11"/>
      <c r="N98" s="11"/>
      <c r="O98" s="11"/>
      <c r="P98" s="11"/>
      <c r="Q98" s="44">
        <f t="shared" si="10"/>
        <v>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50</v>
      </c>
      <c r="M100" s="11">
        <f>SUM(M90:M99)</f>
        <v>0</v>
      </c>
      <c r="N100" s="11">
        <f>SUM(N90:N99)</f>
        <v>86</v>
      </c>
      <c r="O100" s="11">
        <f>SUM(O90:O99)</f>
        <v>0</v>
      </c>
      <c r="P100" s="11">
        <f>SUM(P90:P99)</f>
        <v>0</v>
      </c>
      <c r="Q100" s="44">
        <f t="shared" si="10"/>
        <v>36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v>30</v>
      </c>
      <c r="H103" s="30"/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30</v>
      </c>
      <c r="M103" s="11"/>
      <c r="N103" s="11">
        <v>24</v>
      </c>
      <c r="O103" s="11"/>
      <c r="P103" s="11"/>
      <c r="Q103" s="44">
        <f t="shared" si="12"/>
        <v>-6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>
        <v>2</v>
      </c>
      <c r="O110" s="11"/>
      <c r="P110" s="11"/>
      <c r="Q110" s="44">
        <f t="shared" si="12"/>
        <v>2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30</v>
      </c>
      <c r="M112" s="11">
        <f>SUM(M102:M111)</f>
        <v>0</v>
      </c>
      <c r="N112" s="11">
        <f>SUM(N102:N111)</f>
        <v>26</v>
      </c>
      <c r="O112" s="11">
        <f>SUM(O102:O111)</f>
        <v>0</v>
      </c>
      <c r="P112" s="11">
        <f>SUM(P102:P111)</f>
        <v>0</v>
      </c>
      <c r="Q112" s="44">
        <f t="shared" si="12"/>
        <v>-4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v>4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4</v>
      </c>
      <c r="M115" s="11"/>
      <c r="N115" s="11">
        <v>31</v>
      </c>
      <c r="O115" s="11"/>
      <c r="P115" s="11"/>
      <c r="Q115" s="44">
        <f t="shared" si="14"/>
        <v>27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v>5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5</v>
      </c>
      <c r="M116" s="11"/>
      <c r="N116" s="11">
        <v>9</v>
      </c>
      <c r="O116" s="11"/>
      <c r="P116" s="11"/>
      <c r="Q116" s="44">
        <f t="shared" si="14"/>
        <v>4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>
        <v>3</v>
      </c>
      <c r="O119" s="11"/>
      <c r="P119" s="11"/>
      <c r="Q119" s="44">
        <f t="shared" si="14"/>
        <v>3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>
        <v>33</v>
      </c>
      <c r="O121" s="11"/>
      <c r="P121" s="11"/>
      <c r="Q121" s="44">
        <f t="shared" si="14"/>
        <v>33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0</v>
      </c>
      <c r="F123" s="30">
        <v>2</v>
      </c>
      <c r="G123" s="30">
        <v>4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6</v>
      </c>
      <c r="M123" s="11"/>
      <c r="N123" s="11">
        <v>4</v>
      </c>
      <c r="O123" s="11"/>
      <c r="P123" s="11"/>
      <c r="Q123" s="44">
        <f t="shared" si="14"/>
        <v>-2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0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0</v>
      </c>
      <c r="M124" s="11"/>
      <c r="N124" s="11"/>
      <c r="O124" s="11"/>
      <c r="P124" s="11"/>
      <c r="Q124" s="44">
        <f t="shared" si="14"/>
        <v>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0</v>
      </c>
      <c r="F125" s="30">
        <f>'เย็น '!F125+'เช้า '!F125+บ่าย!F125</f>
        <v>0</v>
      </c>
      <c r="G125" s="30">
        <v>2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</v>
      </c>
      <c r="M125" s="11"/>
      <c r="N125" s="11">
        <v>2</v>
      </c>
      <c r="O125" s="11"/>
      <c r="P125" s="11"/>
      <c r="Q125" s="44">
        <f t="shared" si="14"/>
        <v>0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0</v>
      </c>
      <c r="M126" s="11"/>
      <c r="N126" s="11">
        <v>2</v>
      </c>
      <c r="O126" s="11"/>
      <c r="P126" s="11"/>
      <c r="Q126" s="44">
        <f t="shared" si="14"/>
        <v>2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v>2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2</v>
      </c>
      <c r="M135" s="11"/>
      <c r="N135" s="11"/>
      <c r="O135" s="11"/>
      <c r="P135" s="11"/>
      <c r="Q135" s="44">
        <f t="shared" si="14"/>
        <v>-2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v>5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5</v>
      </c>
      <c r="M136" s="11"/>
      <c r="N136" s="11"/>
      <c r="O136" s="11"/>
      <c r="P136" s="11"/>
      <c r="Q136" s="44">
        <f t="shared" si="14"/>
        <v>-5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v>8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8</v>
      </c>
      <c r="M137" s="11"/>
      <c r="N137" s="11">
        <v>18</v>
      </c>
      <c r="O137" s="11"/>
      <c r="P137" s="11"/>
      <c r="Q137" s="44">
        <f t="shared" si="14"/>
        <v>10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0</v>
      </c>
      <c r="E141" s="36">
        <f t="shared" ref="E141:K141" si="15">SUM(E114:E140,E90:E99,E79:E87,E69:E76,E7:E66,E102:E111)</f>
        <v>41</v>
      </c>
      <c r="F141" s="36">
        <f t="shared" si="15"/>
        <v>82</v>
      </c>
      <c r="G141" s="36">
        <f t="shared" si="15"/>
        <v>187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310</v>
      </c>
      <c r="M141" s="36">
        <f>SUM(M114:M140,M90:M99,M79:M87,M69:M76,M7:M66,M102:M111)</f>
        <v>0</v>
      </c>
      <c r="N141" s="36">
        <f t="shared" ref="N141" si="16">SUM(N114:N140,N90:N99,N79:N87,N69:N76,N7:N66,N102:N111)</f>
        <v>486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176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2025-03-15T00:23:02Z</cp:lastPrinted>
  <dcterms:created xsi:type="dcterms:W3CDTF">2024-04-30T05:21:27Z</dcterms:created>
  <dcterms:modified xsi:type="dcterms:W3CDTF">2025-03-15T00:36:30Z</dcterms:modified>
</cp:coreProperties>
</file>