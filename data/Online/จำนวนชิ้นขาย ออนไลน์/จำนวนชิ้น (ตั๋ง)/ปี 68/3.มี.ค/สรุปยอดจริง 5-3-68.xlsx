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03482A6-FAA4-4D64-979D-D07EA699176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7" i="5" l="1"/>
  <c r="D135" i="5"/>
  <c r="E135" i="5"/>
  <c r="F135" i="5"/>
  <c r="L135" i="5" s="1"/>
  <c r="G135" i="5"/>
  <c r="H135" i="5"/>
  <c r="I135" i="5"/>
  <c r="J135" i="5"/>
  <c r="K135" i="5"/>
  <c r="D136" i="5"/>
  <c r="L136" i="5" s="1"/>
  <c r="E136" i="5"/>
  <c r="G136" i="5"/>
  <c r="H136" i="5"/>
  <c r="I136" i="5"/>
  <c r="J136" i="5"/>
  <c r="K136" i="5"/>
  <c r="D137" i="5"/>
  <c r="L137" i="5" s="1"/>
  <c r="E137" i="5"/>
  <c r="F137" i="5"/>
  <c r="H137" i="5"/>
  <c r="I137" i="5"/>
  <c r="J137" i="5"/>
  <c r="K137" i="5"/>
  <c r="D138" i="5"/>
  <c r="L138" i="5" s="1"/>
  <c r="E138" i="5"/>
  <c r="F138" i="5"/>
  <c r="G138" i="5"/>
  <c r="H138" i="5"/>
  <c r="I138" i="5"/>
  <c r="J138" i="5"/>
  <c r="K138" i="5"/>
  <c r="D139" i="5"/>
  <c r="L139" i="5" s="1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15" i="5"/>
  <c r="F115" i="5"/>
  <c r="G115" i="5"/>
  <c r="H115" i="5"/>
  <c r="I115" i="5"/>
  <c r="J115" i="5"/>
  <c r="K115" i="5"/>
  <c r="D116" i="5"/>
  <c r="E116" i="5"/>
  <c r="F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K122" i="5"/>
  <c r="D123" i="5"/>
  <c r="H123" i="5"/>
  <c r="I123" i="5"/>
  <c r="J123" i="5"/>
  <c r="K123" i="5"/>
  <c r="D124" i="5"/>
  <c r="E124" i="5"/>
  <c r="F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L131" i="5" s="1"/>
  <c r="E131" i="5"/>
  <c r="F131" i="5"/>
  <c r="G131" i="5"/>
  <c r="H131" i="5"/>
  <c r="I131" i="5"/>
  <c r="J131" i="5"/>
  <c r="K131" i="5"/>
  <c r="D132" i="5"/>
  <c r="E132" i="5"/>
  <c r="L132" i="5" s="1"/>
  <c r="F132" i="5"/>
  <c r="G132" i="5"/>
  <c r="H132" i="5"/>
  <c r="I132" i="5"/>
  <c r="J132" i="5"/>
  <c r="K132" i="5"/>
  <c r="D133" i="5"/>
  <c r="L133" i="5" s="1"/>
  <c r="E133" i="5"/>
  <c r="F133" i="5"/>
  <c r="G133" i="5"/>
  <c r="H133" i="5"/>
  <c r="I133" i="5"/>
  <c r="J133" i="5"/>
  <c r="K133" i="5"/>
  <c r="D134" i="5"/>
  <c r="E134" i="5"/>
  <c r="L134" i="5" s="1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H91" i="5"/>
  <c r="I91" i="5"/>
  <c r="J91" i="5"/>
  <c r="F92" i="5"/>
  <c r="H92" i="5"/>
  <c r="I92" i="5"/>
  <c r="J92" i="5"/>
  <c r="K92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F90" i="5"/>
  <c r="H90" i="5"/>
  <c r="I90" i="5"/>
  <c r="J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69" i="5"/>
  <c r="I69" i="5"/>
  <c r="J69" i="5"/>
  <c r="K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H25" i="5"/>
  <c r="I25" i="5"/>
  <c r="J25" i="5"/>
  <c r="K25" i="5"/>
  <c r="D26" i="5"/>
  <c r="F26" i="5"/>
  <c r="G26" i="5"/>
  <c r="H26" i="5"/>
  <c r="I26" i="5"/>
  <c r="J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Q139" i="5"/>
  <c r="Q135" i="5"/>
  <c r="L112" i="3"/>
  <c r="Q138" i="5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<sst xmlns="http://schemas.openxmlformats.org/spreadsheetml/2006/main" count="617" uniqueCount="146">
  <si>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</si>
  <si>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</si>
  <si>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</si>
  <si>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</si>
  <si>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</si>
  <si>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</si>
  <si>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</si>
  <si>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</si>
  <si>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</si>
  <si>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</si>
  <si>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</si>
  <si>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</si>
  <si>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</si>
  <si>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</si>
  <si>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</si>
  <si>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</si>
  <si>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</si>
  <si>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</si>
  <si>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</si>
  <si>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</si>
  <si>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</si>
  <si>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</si>
  <si>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</si>
  <si>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</si>
  <si>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</si>
  <si>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</si>
  <si>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</si>
  <si>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</si>
  <si>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</si>
  <si>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</si>
  <si>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</si>
  <si>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</si>
  <si>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</si>
  <si>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</si>
  <si>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</si>
  <si>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</si>
  <si>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</si>
  <si>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</si>
  <si>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</si>
  <si>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</si>
  <si>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</si>
  <si>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</si>
  <si>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</si>
  <si>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</si>
  <si>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</si>
  <si>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</si>
  <si>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</si>
  <si>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</si>
  <si>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</si>
  <si>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</si>
  <si>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</si>
  <si>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</si>
  <si>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</si>
  <si>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</si>
  <si>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</si>
  <si>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</si>
  <si>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</si>
  <si>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</si>
  <si>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</si>
  <si>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</si>
  <si>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</si>
  <si>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</si>
  <si>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</si>
  <si>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</si>
  <si>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</si>
  <si>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</si>
  <si>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</si>
  <si>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</si>
  <si>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</si>
  <si>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</si>
  <si>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</si>
  <si>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</si>
  <si>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</si>
  <si>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</si>
  <si>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</si>
  <si>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</si>
  <si>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</si>
  <si>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</si>
  <si>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</si>
  <si>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</si>
  <si>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</si>
  <si>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</si>
  <si>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</si>
  <si>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</si>
  <si>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</si>
  <si>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</si>
  <si>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</si>
  <si>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</si>
  <si>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</si>
  <si>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</si>
  <si>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</si>
  <si>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</si>
  <si>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</si>
  <si>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</si>
  <si>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</si>
  <si>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</si>
  <si>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</si>
  <si>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</si>
  <si>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</si>
  <si>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</si>
  <si>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</si>
  <si>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</si>
  <si>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</si>
  <si>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</si>
  <si>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</si>
  <si>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</si>
  <si>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</si>
  <si>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</si>
  <si>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</si>
  <si>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</si>
  <si>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</si>
  <si>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</si>
  <si>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</si>
  <si>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</si>
  <si>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</si>
  <si>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</si>
  <si>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</si>
  <si>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</si>
  <si>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</si>
  <si>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</si>
  <si>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</si>
  <si>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</si>
  <si>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</si>
  <si>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</si>
  <si>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</si>
  <si>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</si>
  <si>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</si>
  <si>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</si>
  <si>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</si>
  <si>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</si>
  <si>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</si>
  <si>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</si>
  <si>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</si>
  <si>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</si>
  <si>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</si>
  <si>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</si>
  <si>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</si>
  <si>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</si>
  <si>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</si>
  <si>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</si>
  <si>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</si>
  <si>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</si>
  <si>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</si>
  <si>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</si>
  <si>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5/3/68</t>
  </si>
  <si>
    <t>ยอดจริง ออนไลน์ วันที่ 5/3/2568 -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</si>
</sst>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9" zoomScale="60" zoomScaleNormal="60" workbookViewId="0">
      <selection activeCell="L133" sqref="L133:L139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03" zoomScale="60" zoomScaleNormal="60" workbookViewId="0">
      <selection activeCell="E124" sqref="E12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5</v>
      </c>
      <c r="F7" s="31">
        <v>7</v>
      </c>
      <c r="G7" s="31">
        <v>12</v>
      </c>
      <c r="H7" s="31"/>
      <c r="I7" s="31"/>
      <c r="J7" s="44"/>
      <c r="K7" s="44"/>
      <c r="L7" s="37">
        <f>SUM(D7:K7)</f>
        <v>24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>
        <v>1</v>
      </c>
      <c r="G25" s="31">
        <v>4</v>
      </c>
      <c r="H25" s="31"/>
      <c r="I25" s="31"/>
      <c r="J25" s="44"/>
      <c r="K25" s="44"/>
      <c r="L25" s="37">
        <f t="shared" si="0"/>
        <v>5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>
        <v>5</v>
      </c>
      <c r="G69" s="31">
        <v>7</v>
      </c>
      <c r="H69" s="31"/>
      <c r="I69" s="31"/>
      <c r="J69" s="44"/>
      <c r="K69" s="44"/>
      <c r="L69" s="37">
        <f t="shared" ref="L69:L76" si="1">SUM(D69:K69)</f>
        <v>12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3</v>
      </c>
      <c r="F87" s="31"/>
      <c r="G87" s="31"/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>
        <v>4</v>
      </c>
      <c r="G90" s="31">
        <v>1</v>
      </c>
      <c r="H90" s="31"/>
      <c r="I90" s="31"/>
      <c r="J90" s="44"/>
      <c r="K90" s="44"/>
      <c r="L90" s="37">
        <f t="shared" ref="L90:L99" si="3">SUM(D90:K90)</f>
        <v>5</v>
      </c>
    </row>
    <row r="91" spans="2:12" x14ac:dyDescent="0.2">
      <c r="B91" s="11">
        <v>1112011</v>
      </c>
      <c r="C91" s="20" t="s">
        <v>76</v>
      </c>
      <c r="D91" s="31"/>
      <c r="E91" s="31"/>
      <c r="F91" s="31">
        <v>4</v>
      </c>
      <c r="G91" s="31">
        <v>1</v>
      </c>
      <c r="H91" s="31"/>
      <c r="I91" s="31"/>
      <c r="J91" s="44"/>
      <c r="K91" s="44"/>
      <c r="L91" s="37">
        <f t="shared" si="3"/>
        <v>5</v>
      </c>
    </row>
    <row r="92" spans="2:12" x14ac:dyDescent="0.2">
      <c r="B92" s="11">
        <v>1112003</v>
      </c>
      <c r="C92" s="20" t="s">
        <v>77</v>
      </c>
      <c r="D92" s="31"/>
      <c r="E92" s="31"/>
      <c r="F92" s="31">
        <v>1</v>
      </c>
      <c r="G92" s="31">
        <v>1</v>
      </c>
      <c r="H92" s="31"/>
      <c r="I92" s="31"/>
      <c r="J92" s="44"/>
      <c r="K92" s="44"/>
      <c r="L92" s="37">
        <f t="shared" si="3"/>
        <v>2</v>
      </c>
    </row>
    <row r="93" spans="2:12" x14ac:dyDescent="0.2">
      <c r="B93" s="11">
        <v>1112005</v>
      </c>
      <c r="C93" s="20" t="s">
        <v>78</v>
      </c>
      <c r="D93" s="31"/>
      <c r="E93" s="31"/>
      <c r="F93" s="31">
        <v>1</v>
      </c>
      <c r="G93" s="31">
        <v>1</v>
      </c>
      <c r="H93" s="31"/>
      <c r="I93" s="31"/>
      <c r="J93" s="44"/>
      <c r="K93" s="44"/>
      <c r="L93" s="37">
        <f t="shared" si="3"/>
        <v>2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>
        <v>1</v>
      </c>
      <c r="F102" s="31"/>
      <c r="G102" s="31"/>
      <c r="H102" s="31"/>
      <c r="I102" s="31"/>
      <c r="J102" s="44"/>
      <c r="K102" s="44"/>
      <c r="L102" s="37">
        <f t="shared" ref="L102:L111" si="5">SUM(D102:K102)</f>
        <v>1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4</v>
      </c>
      <c r="F123" s="31">
        <v>3</v>
      </c>
      <c r="G123" s="31">
        <v>13</v>
      </c>
      <c r="H123" s="31"/>
      <c r="I123" s="31"/>
      <c r="J123" s="44"/>
      <c r="K123" s="44"/>
      <c r="L123" s="37">
        <f t="shared" si="6"/>
        <v>20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1</v>
      </c>
      <c r="H124" s="31"/>
      <c r="I124" s="31"/>
      <c r="J124" s="44"/>
      <c r="K124" s="44"/>
      <c r="L124" s="37">
        <f t="shared" si="6"/>
        <v>1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>
        <v>1</v>
      </c>
      <c r="H126" s="31"/>
      <c r="I126" s="31"/>
      <c r="J126" s="44"/>
      <c r="K126" s="44"/>
      <c r="L126" s="37">
        <f t="shared" si="6"/>
        <v>1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U54" sqref="U54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v>12</v>
      </c>
      <c r="E7" s="31">
        <v>14</v>
      </c>
      <c r="F7" s="31">
        <v>26</v>
      </c>
      <c r="G7" s="31">
        <v>18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44</v>
      </c>
      <c r="L7" s="37">
        <f>SUM(D7:K7)</f>
        <v>114</v>
      </c>
      <c r="M7" s="11">
        <v>294</v>
      </c>
      <c r="N7" s="11">
        <v>271</v>
      </c>
      <c r="O7" s="11"/>
      <c r="P7" s="11">
        <v>150</v>
      </c>
      <c r="Q7" s="45">
        <f>(M7+N7+O7+P7)-L7</f>
        <v>601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v>1</v>
      </c>
      <c r="E25" s="31">
        <v>5</v>
      </c>
      <c r="F25" s="31">
        <v>3</v>
      </c>
      <c r="G25" s="31"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14</v>
      </c>
      <c r="M25" s="11">
        <v>20</v>
      </c>
      <c r="N25" s="11">
        <v>1</v>
      </c>
      <c r="O25" s="11"/>
      <c r="P25" s="11">
        <v>20</v>
      </c>
      <c r="Q25" s="45">
        <f t="shared" si="1"/>
        <v>27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v>3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v>15</v>
      </c>
      <c r="L26" s="37">
        <f t="shared" si="0"/>
        <v>18</v>
      </c>
      <c r="M26" s="11">
        <v>35</v>
      </c>
      <c r="N26" s="11">
        <v>17</v>
      </c>
      <c r="O26" s="11"/>
      <c r="P26" s="11"/>
      <c r="Q26" s="45">
        <f t="shared" si="1"/>
        <v>34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v>1</v>
      </c>
      <c r="E69" s="31">
        <v>5</v>
      </c>
      <c r="F69" s="31">
        <v>5</v>
      </c>
      <c r="G69" s="31"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13</v>
      </c>
      <c r="M69" s="11">
        <v>20</v>
      </c>
      <c r="N69" s="11">
        <v>6</v>
      </c>
      <c r="O69" s="11"/>
      <c r="P69" s="11">
        <v>20</v>
      </c>
      <c r="Q69" s="45">
        <f t="shared" ref="Q69:Q76" si="5">(M69+N69+O69+P69)-L69</f>
        <v>33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v>7</v>
      </c>
      <c r="F87" s="31">
        <v>3</v>
      </c>
      <c r="G87" s="31">
        <v>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19</v>
      </c>
      <c r="M87" s="11">
        <v>30</v>
      </c>
      <c r="N87" s="11">
        <v>4</v>
      </c>
      <c r="O87" s="11"/>
      <c r="P87" s="11"/>
      <c r="Q87" s="45">
        <f t="shared" si="8"/>
        <v>15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v>62</v>
      </c>
      <c r="E90" s="31">
        <v>2</v>
      </c>
      <c r="F90" s="31">
        <f>'เย็น '!F90+'เช้า '!F90+บ่าย!F90</f>
        <v>4</v>
      </c>
      <c r="G90" s="31">
        <v>18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v>3</v>
      </c>
      <c r="L90" s="37">
        <f t="shared" ref="L90:L99" si="9">SUM(D90:K90)</f>
        <v>89</v>
      </c>
      <c r="M90" s="11">
        <v>63</v>
      </c>
      <c r="N90" s="11">
        <v>2</v>
      </c>
      <c r="O90" s="11">
        <v>30</v>
      </c>
      <c r="P90" s="11">
        <v>40</v>
      </c>
      <c r="Q90" s="45">
        <f t="shared" ref="Q90:Q99" si="10">(M90+N90+O90+P90)-L90</f>
        <v>46</v>
      </c>
    </row>
    <row r="91" spans="2:17" x14ac:dyDescent="0.2">
      <c r="B91" s="11">
        <v>1112011</v>
      </c>
      <c r="C91" s="20" t="s">
        <v>76</v>
      </c>
      <c r="D91" s="31">
        <v>52</v>
      </c>
      <c r="E91" s="31">
        <v>2</v>
      </c>
      <c r="F91" s="31">
        <v>14</v>
      </c>
      <c r="G91" s="31">
        <v>18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v>5</v>
      </c>
      <c r="L91" s="37">
        <f t="shared" si="9"/>
        <v>91</v>
      </c>
      <c r="M91" s="11">
        <v>65</v>
      </c>
      <c r="N91" s="11">
        <v>14</v>
      </c>
      <c r="O91" s="11">
        <v>22</v>
      </c>
      <c r="P91" s="11">
        <v>40</v>
      </c>
      <c r="Q91" s="45">
        <f t="shared" si="10"/>
        <v>50</v>
      </c>
    </row>
    <row r="92" spans="2:17" x14ac:dyDescent="0.2">
      <c r="B92" s="11">
        <v>1112003</v>
      </c>
      <c r="C92" s="20" t="s">
        <v>77</v>
      </c>
      <c r="D92" s="31">
        <v>48</v>
      </c>
      <c r="E92" s="31">
        <v>1</v>
      </c>
      <c r="F92" s="31">
        <f>'เย็น '!F92+'เช้า '!F92+บ่าย!F92</f>
        <v>1</v>
      </c>
      <c r="G92" s="31">
        <v>18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68</v>
      </c>
      <c r="M92" s="11">
        <v>40</v>
      </c>
      <c r="N92" s="11">
        <v>4</v>
      </c>
      <c r="O92" s="11">
        <v>33</v>
      </c>
      <c r="P92" s="11">
        <v>40</v>
      </c>
      <c r="Q92" s="45">
        <f t="shared" si="10"/>
        <v>49</v>
      </c>
    </row>
    <row r="93" spans="2:17" x14ac:dyDescent="0.2">
      <c r="B93" s="11">
        <v>1112005</v>
      </c>
      <c r="C93" s="20" t="s">
        <v>78</v>
      </c>
      <c r="D93" s="31">
        <v>46</v>
      </c>
      <c r="E93" s="31">
        <v>1</v>
      </c>
      <c r="F93" s="31">
        <f>'เย็น '!F93+'เช้า '!F93+บ่าย!F93</f>
        <v>1</v>
      </c>
      <c r="G93" s="31">
        <v>18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66</v>
      </c>
      <c r="M93" s="11">
        <v>40</v>
      </c>
      <c r="N93" s="11">
        <v>16</v>
      </c>
      <c r="O93" s="11">
        <v>19</v>
      </c>
      <c r="P93" s="11">
        <v>40</v>
      </c>
      <c r="Q93" s="45">
        <f t="shared" si="10"/>
        <v>49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v>5</v>
      </c>
      <c r="L98" s="37">
        <f t="shared" si="9"/>
        <v>5</v>
      </c>
      <c r="M98" s="11">
        <v>5</v>
      </c>
      <c r="N98" s="11">
        <v>32</v>
      </c>
      <c r="O98" s="11"/>
      <c r="P98" s="11"/>
      <c r="Q98" s="45">
        <f t="shared" si="10"/>
        <v>32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319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v>4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4</v>
      </c>
      <c r="M102" s="11"/>
      <c r="N102" s="11"/>
      <c r="O102" s="11">
        <v>4</v>
      </c>
      <c r="P102" s="11"/>
      <c r="Q102" s="45">
        <f t="shared" ref="Q102:Q111" si="12">(M102+N102+O102+P102)-L102</f>
        <v>0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>
        <v>3</v>
      </c>
      <c r="O103" s="11"/>
      <c r="P103" s="11"/>
      <c r="Q103" s="45">
        <f t="shared" si="12"/>
        <v>3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>
        <v>20</v>
      </c>
      <c r="N115" s="11"/>
      <c r="O115" s="11"/>
      <c r="P115" s="11"/>
      <c r="Q115" s="45">
        <f t="shared" si="16"/>
        <v>18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>
        <v>20</v>
      </c>
      <c r="N116" s="11"/>
      <c r="O116" s="11"/>
      <c r="P116" s="11"/>
      <c r="Q116" s="45">
        <f t="shared" si="16"/>
        <v>19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48</v>
      </c>
      <c r="O120" s="11"/>
      <c r="P120" s="11"/>
      <c r="Q120" s="45">
        <f t="shared" si="16"/>
        <v>48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v>10</v>
      </c>
      <c r="L121" s="37">
        <f t="shared" si="15"/>
        <v>11</v>
      </c>
      <c r="M121" s="11">
        <v>10</v>
      </c>
      <c r="N121" s="11">
        <v>20</v>
      </c>
      <c r="O121" s="11"/>
      <c r="P121" s="11"/>
      <c r="Q121" s="45">
        <f t="shared" si="16"/>
        <v>19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v>9</v>
      </c>
      <c r="F123" s="31">
        <v>3</v>
      </c>
      <c r="G123" s="31">
        <v>64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76</v>
      </c>
      <c r="M123" s="11">
        <v>150</v>
      </c>
      <c r="N123" s="11">
        <v>134</v>
      </c>
      <c r="O123" s="11"/>
      <c r="P123" s="11"/>
      <c r="Q123" s="45">
        <f t="shared" si="16"/>
        <v>208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v>25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25</v>
      </c>
      <c r="M124" s="11"/>
      <c r="N124" s="11">
        <v>44</v>
      </c>
      <c r="O124" s="11"/>
      <c r="P124" s="11"/>
      <c r="Q124" s="45">
        <f t="shared" si="16"/>
        <v>19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v>15</v>
      </c>
      <c r="F126" s="31">
        <v>26</v>
      </c>
      <c r="G126" s="31">
        <v>9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50</v>
      </c>
      <c r="M126" s="11">
        <v>80</v>
      </c>
      <c r="N126" s="11">
        <v>128</v>
      </c>
      <c r="O126" s="11"/>
      <c r="P126" s="11"/>
      <c r="Q126" s="45">
        <f t="shared" si="16"/>
        <v>158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v>5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5</v>
      </c>
      <c r="M136" s="11"/>
      <c r="N136" s="11"/>
      <c r="O136" s="11"/>
      <c r="P136" s="11"/>
      <c r="Q136" s="45">
        <f t="shared" si="16"/>
        <v>-5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v>32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32</v>
      </c>
      <c r="M137" s="11">
        <v>40</v>
      </c>
      <c r="N137" s="11">
        <v>35</v>
      </c>
      <c r="O137" s="11"/>
      <c r="P137" s="11"/>
      <c r="Q137" s="45">
        <f t="shared" si="16"/>
        <v>43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224</v>
      </c>
      <c r="E141" s="37">
        <f t="shared" ref="E141:K141" si="17">SUM(E114:E140,E90:E99,E79:E87,E69:E76,E7:E66,E102:E111)</f>
        <v>69</v>
      </c>
      <c r="F141" s="37">
        <f t="shared" si="17"/>
        <v>91</v>
      </c>
      <c r="G141" s="37">
        <f t="shared" si="17"/>
        <v>237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82</v>
      </c>
      <c r="L141" s="37">
        <f>SUM(L114:L140,L90:L99,L79:L87,L69:L76,L7:L66,L102:L111)</f>
        <v>703</v>
      </c>
      <c r="M141" s="31">
        <f>SUM(M114:M136,M90:M98,M79:M87,M69:M76,M7:M66)</f>
        <v>892</v>
      </c>
      <c r="N141" s="31">
        <f>SUM(N114:N136,N90:N98,N79:N87,N69:N76,N7:N66)</f>
        <v>744</v>
      </c>
      <c r="O141" s="31"/>
      <c r="P141" s="31"/>
      <c r="Q141" s="45">
        <f t="shared" ref="Q141" si="18">(M141+N141)-L141</f>
        <v>933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2025-03-05T00:16:12Z</cp:lastPrinted>
  <dcterms:created xsi:type="dcterms:W3CDTF">2024-04-30T05:21:27Z</dcterms:created>
  <dcterms:modified xsi:type="dcterms:W3CDTF">2025-03-05T05:05:39Z</dcterms:modified>
</cp:coreProperties>
</file>