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B03C0666-DF11-445E-AFB8-A12FB8AE21EE}" xr6:coauthVersionLast="47" xr6:coauthVersionMax="47" xr10:uidLastSave="{00000000-0000-0000-0000-000000000000}"/>
  <bookViews>
    <workbookView xWindow="975" yWindow="60" windowWidth="21840" windowHeight="146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110" i="5" l="1"/>
  <c r="Q112" i="5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<sst xmlns="http://schemas.openxmlformats.org/spreadsheetml/2006/main" count="615" uniqueCount="146">
  <si>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</si>
  <si>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</si>
  <si>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</si>
  <si>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</si>
  <si>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</si>
  <si>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</si>
  <si>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</si>
  <si>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</si>
  <si>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</si>
  <si>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</si>
  <si>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</si>
  <si>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</si>
  <si>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</si>
  <si>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</si>
  <si>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</si>
  <si>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</si>
  <si>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</si>
  <si>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</si>
  <si>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</si>
  <si>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</si>
  <si>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</si>
  <si>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</si>
  <si>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</si>
  <si>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</si>
  <si>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</si>
  <si>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</si>
  <si>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</si>
  <si>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</si>
  <si>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</si>
  <si>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</si>
  <si>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</si>
  <si>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</si>
  <si>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</si>
  <si>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</si>
  <si>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</si>
  <si>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</si>
  <si>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</si>
  <si>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</si>
  <si>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</si>
  <si>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</si>
  <si>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</si>
  <si>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</si>
  <si>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</si>
  <si>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</si>
  <si>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</si>
  <si>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</si>
  <si>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</si>
  <si>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</si>
  <si>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</si>
  <si>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</si>
  <si>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</si>
  <si>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</si>
  <si>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</si>
  <si>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</si>
  <si>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</si>
  <si>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</si>
  <si>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</si>
  <si>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</si>
  <si>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</si>
  <si>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</si>
  <si>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</si>
  <si>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</si>
  <si>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</si>
  <si>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</si>
  <si>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</si>
  <si>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</si>
  <si>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</si>
  <si>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</si>
  <si>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</si>
  <si>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</si>
  <si>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</si>
  <si>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</si>
  <si>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</si>
  <si>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</si>
  <si>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</si>
  <si>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</si>
  <si>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</si>
  <si>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</si>
  <si>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</si>
  <si>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</si>
  <si>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</si>
  <si>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</si>
  <si>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</si>
  <si>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</si>
  <si>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</si>
  <si>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</si>
  <si>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</si>
  <si>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</si>
  <si>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</si>
  <si>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</si>
  <si>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</si>
  <si>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</si>
  <si>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</si>
  <si>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</si>
  <si>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</si>
  <si>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</si>
  <si>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</si>
  <si>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</si>
  <si>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</si>
  <si>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</si>
  <si>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</si>
  <si>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</si>
  <si>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</si>
  <si>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</si>
  <si>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</si>
  <si>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</si>
  <si>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</si>
  <si>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</si>
  <si>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</si>
  <si>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</si>
  <si>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</si>
  <si>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</si>
  <si>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</si>
  <si>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</si>
  <si>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</si>
  <si>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</si>
  <si>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</si>
  <si>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</si>
  <si>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</si>
  <si>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</si>
  <si>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</si>
  <si>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</si>
  <si>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</si>
  <si>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</si>
  <si>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</si>
  <si>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</si>
  <si>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</si>
  <si>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</si>
  <si>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</si>
  <si>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</si>
  <si>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</si>
  <si>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</si>
  <si>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</si>
  <si>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</si>
  <si>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</si>
  <si>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</si>
  <si>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</si>
  <si>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</si>
  <si>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</si>
  <si>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</si>
  <si>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</si>
  <si>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</si>
  <si>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</si>
  <si>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</si>
  <si>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7/3/2568 รวม</t>
  </si>
  <si>
    <t>ยอดจริง ออนไลน์ วันที่  7/3/2568-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</si>
</sst>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0" zoomScale="60" zoomScaleNormal="60" workbookViewId="0">
      <selection activeCell="M92" sqref="M9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6</v>
      </c>
      <c r="E7" s="31">
        <v>4</v>
      </c>
      <c r="F7" s="31">
        <v>2</v>
      </c>
      <c r="G7" s="31">
        <v>54</v>
      </c>
      <c r="H7" s="31"/>
      <c r="I7" s="31"/>
      <c r="J7" s="44"/>
      <c r="K7" s="44">
        <v>4</v>
      </c>
      <c r="L7" s="37">
        <f>SUM(D7:K7)</f>
        <v>70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4</v>
      </c>
      <c r="E25" s="31">
        <v>6</v>
      </c>
      <c r="F25" s="31"/>
      <c r="G25" s="31">
        <v>6</v>
      </c>
      <c r="H25" s="31"/>
      <c r="I25" s="31"/>
      <c r="J25" s="44"/>
      <c r="K25" s="44"/>
      <c r="L25" s="37">
        <f t="shared" si="0"/>
        <v>16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4</v>
      </c>
      <c r="E69" s="31">
        <v>5</v>
      </c>
      <c r="F69" s="31"/>
      <c r="G69" s="31">
        <v>4</v>
      </c>
      <c r="H69" s="31"/>
      <c r="I69" s="31"/>
      <c r="J69" s="44"/>
      <c r="K69" s="44"/>
      <c r="L69" s="37">
        <f t="shared" ref="L69:L76" si="1">SUM(D69:K69)</f>
        <v>13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6</v>
      </c>
      <c r="H87" s="31"/>
      <c r="I87" s="31"/>
      <c r="J87" s="44"/>
      <c r="K87" s="44"/>
      <c r="L87" s="37">
        <f t="shared" si="2"/>
        <v>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14</v>
      </c>
      <c r="E90" s="31">
        <v>1</v>
      </c>
      <c r="F90" s="31"/>
      <c r="G90" s="31">
        <v>11</v>
      </c>
      <c r="H90" s="31"/>
      <c r="I90" s="31"/>
      <c r="J90" s="44"/>
      <c r="K90" s="44">
        <v>11</v>
      </c>
      <c r="L90" s="37">
        <f t="shared" ref="L90:L99" si="3">SUM(D90:K90)</f>
        <v>37</v>
      </c>
    </row>
    <row r="91" spans="2:12" x14ac:dyDescent="0.2">
      <c r="B91" s="11">
        <v>1112011</v>
      </c>
      <c r="C91" s="20" t="s">
        <v>76</v>
      </c>
      <c r="D91" s="31">
        <v>13</v>
      </c>
      <c r="E91" s="31">
        <v>1</v>
      </c>
      <c r="F91" s="31"/>
      <c r="G91" s="31">
        <v>10</v>
      </c>
      <c r="H91" s="31"/>
      <c r="I91" s="31"/>
      <c r="J91" s="44"/>
      <c r="K91" s="44"/>
      <c r="L91" s="37">
        <f t="shared" si="3"/>
        <v>24</v>
      </c>
    </row>
    <row r="92" spans="2:12" x14ac:dyDescent="0.2">
      <c r="B92" s="11">
        <v>1112003</v>
      </c>
      <c r="C92" s="20" t="s">
        <v>77</v>
      </c>
      <c r="D92" s="31">
        <v>5</v>
      </c>
      <c r="E92" s="31"/>
      <c r="F92" s="31"/>
      <c r="G92" s="31">
        <v>10</v>
      </c>
      <c r="H92" s="31"/>
      <c r="I92" s="31"/>
      <c r="J92" s="44"/>
      <c r="K92" s="44"/>
      <c r="L92" s="37">
        <f t="shared" si="3"/>
        <v>15</v>
      </c>
    </row>
    <row r="93" spans="2:12" x14ac:dyDescent="0.2">
      <c r="B93" s="11">
        <v>1112005</v>
      </c>
      <c r="C93" s="20" t="s">
        <v>78</v>
      </c>
      <c r="D93" s="31">
        <v>13</v>
      </c>
      <c r="E93" s="31"/>
      <c r="F93" s="31"/>
      <c r="G93" s="31">
        <v>10</v>
      </c>
      <c r="H93" s="31"/>
      <c r="I93" s="31"/>
      <c r="J93" s="44"/>
      <c r="K93" s="44">
        <v>6</v>
      </c>
      <c r="L93" s="37">
        <f t="shared" si="3"/>
        <v>29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>
        <v>2</v>
      </c>
      <c r="E96" s="31"/>
      <c r="F96" s="31"/>
      <c r="G96" s="31"/>
      <c r="H96" s="31"/>
      <c r="I96" s="31"/>
      <c r="J96" s="44"/>
      <c r="K96" s="44"/>
      <c r="L96" s="37">
        <f t="shared" si="3"/>
        <v>2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>
        <v>4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5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5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5</v>
      </c>
      <c r="L121" s="37">
        <f t="shared" si="6"/>
        <v>5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5</v>
      </c>
      <c r="F123" s="31"/>
      <c r="G123" s="31">
        <v>27</v>
      </c>
      <c r="H123" s="31"/>
      <c r="I123" s="31"/>
      <c r="J123" s="44"/>
      <c r="K123" s="44"/>
      <c r="L123" s="37">
        <f t="shared" si="6"/>
        <v>32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/>
      <c r="G124" s="31"/>
      <c r="H124" s="31"/>
      <c r="I124" s="31"/>
      <c r="J124" s="44"/>
      <c r="K124" s="44"/>
      <c r="L124" s="37">
        <f t="shared" si="6"/>
        <v>1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>
        <v>4</v>
      </c>
      <c r="H126" s="31"/>
      <c r="I126" s="31"/>
      <c r="J126" s="44"/>
      <c r="K126" s="44"/>
      <c r="L126" s="37">
        <f t="shared" si="6"/>
        <v>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>
        <v>4</v>
      </c>
      <c r="G136" s="31"/>
      <c r="H136" s="31"/>
      <c r="I136" s="31"/>
      <c r="J136" s="44"/>
      <c r="K136" s="44"/>
      <c r="L136" s="37">
        <f t="shared" si="6"/>
        <v>4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>
        <v>10</v>
      </c>
      <c r="L137" s="37">
        <f t="shared" si="6"/>
        <v>10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2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6</v>
      </c>
      <c r="E7" s="31">
        <f>'เย็น '!E7+'เช้า '!E7+บ่าย!E7</f>
        <v>4</v>
      </c>
      <c r="F7" s="31">
        <f>'เย็น '!F7+'เช้า '!F7+บ่าย!F7</f>
        <v>2</v>
      </c>
      <c r="G7" s="31">
        <f>'เย็น '!G7+'เช้า '!G7+บ่าย!G7</f>
        <v>54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4</v>
      </c>
      <c r="L7" s="37">
        <f>SUM(D7:K7)</f>
        <v>70</v>
      </c>
      <c r="M7" s="11"/>
      <c r="N7" s="11"/>
      <c r="O7" s="11"/>
      <c r="P7" s="11"/>
      <c r="Q7" s="45">
        <f>(M7+N7+O7+P7)-L7</f>
        <v>-70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4</v>
      </c>
      <c r="E25" s="31">
        <f>'เย็น '!E25+'เช้า '!E25+บ่าย!E25</f>
        <v>6</v>
      </c>
      <c r="F25" s="31">
        <f>'เย็น '!F25+'เช้า '!F25+บ่าย!F25</f>
        <v>0</v>
      </c>
      <c r="G25" s="31">
        <f>'เย็น '!G25+'เช้า '!G25+บ่าย!G25</f>
        <v>6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16</v>
      </c>
      <c r="M25" s="11"/>
      <c r="N25" s="11"/>
      <c r="O25" s="11"/>
      <c r="P25" s="11"/>
      <c r="Q25" s="45">
        <f t="shared" si="1"/>
        <v>-16</v>
      </c>
    </row>
    <row r="26" spans="2:17" hidden="1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4</v>
      </c>
      <c r="E69" s="31">
        <f>'เย็น '!E69+'เช้า '!E69+บ่าย!E69</f>
        <v>5</v>
      </c>
      <c r="F69" s="31">
        <f>'เย็น '!F69+'เช้า '!F69+บ่าย!F69</f>
        <v>0</v>
      </c>
      <c r="G69" s="31">
        <f>'เย็น '!G69+'เช้า '!G69+บ่าย!G69</f>
        <v>4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13</v>
      </c>
      <c r="M69" s="11"/>
      <c r="N69" s="11"/>
      <c r="O69" s="11"/>
      <c r="P69" s="11"/>
      <c r="Q69" s="45">
        <f t="shared" ref="Q69:Q76" si="5">(M69+N69+O69+P69)-L69</f>
        <v>-13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6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6</v>
      </c>
      <c r="M87" s="11"/>
      <c r="N87" s="11"/>
      <c r="O87" s="11"/>
      <c r="P87" s="11"/>
      <c r="Q87" s="45">
        <f t="shared" si="8"/>
        <v>-6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14</v>
      </c>
      <c r="E90" s="31">
        <f>'เย็น '!E90+'เช้า '!E90+บ่าย!E90</f>
        <v>1</v>
      </c>
      <c r="F90" s="31">
        <f>'เย็น '!F90+'เช้า '!F90+บ่าย!F90</f>
        <v>0</v>
      </c>
      <c r="G90" s="31">
        <f>'เย็น '!G90+'เช้า '!G90+บ่าย!G90</f>
        <v>11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11</v>
      </c>
      <c r="L90" s="37">
        <f t="shared" ref="L90:L99" si="9">SUM(D90:K90)</f>
        <v>37</v>
      </c>
      <c r="M90" s="11"/>
      <c r="N90" s="11"/>
      <c r="O90" s="11"/>
      <c r="P90" s="11"/>
      <c r="Q90" s="45">
        <f t="shared" ref="Q90:Q99" si="10">(M90+N90+O90+P90)-L90</f>
        <v>-37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13</v>
      </c>
      <c r="E91" s="31">
        <f>'เย็น '!E91+'เช้า '!E91+บ่าย!E91</f>
        <v>1</v>
      </c>
      <c r="F91" s="31">
        <f>'เย็น '!F91+'เช้า '!F91+บ่าย!F91</f>
        <v>0</v>
      </c>
      <c r="G91" s="31">
        <f>'เย็น '!G91+'เช้า '!G91+บ่าย!G91</f>
        <v>10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24</v>
      </c>
      <c r="M91" s="11"/>
      <c r="N91" s="11"/>
      <c r="O91" s="11"/>
      <c r="P91" s="11"/>
      <c r="Q91" s="45">
        <f t="shared" si="10"/>
        <v>-24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10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15</v>
      </c>
      <c r="M92" s="11"/>
      <c r="N92" s="11"/>
      <c r="O92" s="11"/>
      <c r="P92" s="11"/>
      <c r="Q92" s="45">
        <f t="shared" si="10"/>
        <v>-15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6</v>
      </c>
      <c r="L93" s="37">
        <f t="shared" si="9"/>
        <v>29</v>
      </c>
      <c r="M93" s="11"/>
      <c r="N93" s="11"/>
      <c r="O93" s="11"/>
      <c r="P93" s="11"/>
      <c r="Q93" s="45">
        <f t="shared" si="10"/>
        <v>-29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2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2</v>
      </c>
      <c r="M96" s="11"/>
      <c r="N96" s="11"/>
      <c r="O96" s="11"/>
      <c r="P96" s="11"/>
      <c r="Q96" s="45">
        <f t="shared" si="10"/>
        <v>-2</v>
      </c>
    </row>
    <row r="97" spans="2:20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S98" s="57"/>
      <c r="T98" s="57"/>
    </row>
    <row r="99" spans="2:20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107</v>
      </c>
      <c r="M100" s="11"/>
      <c r="N100" s="11"/>
      <c r="O100" s="11"/>
      <c r="P100" s="11"/>
      <c r="Q100" s="45">
        <f>SUM(Q90:Q99)</f>
        <v>-107</v>
      </c>
    </row>
    <row r="101" spans="2:20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4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5</v>
      </c>
      <c r="M102" s="11"/>
      <c r="N102" s="11"/>
      <c r="O102" s="11"/>
      <c r="P102" s="11"/>
      <c r="Q102" s="45">
        <f t="shared" ref="Q102:Q111" si="12">(M102+N102+O102+P102)-L102</f>
        <v>-5</v>
      </c>
    </row>
    <row r="103" spans="2:20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>
        <f>SUM(Q102:Q110)</f>
        <v>-5</v>
      </c>
    </row>
    <row r="111" spans="2:20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-5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0</v>
      </c>
      <c r="M115" s="11"/>
      <c r="N115" s="11"/>
      <c r="O115" s="11"/>
      <c r="P115" s="11"/>
      <c r="Q115" s="45">
        <f t="shared" si="15"/>
        <v>0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1</v>
      </c>
      <c r="M116" s="11"/>
      <c r="N116" s="11"/>
      <c r="O116" s="11"/>
      <c r="P116" s="11"/>
      <c r="Q116" s="45">
        <f t="shared" si="15"/>
        <v>-1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/>
      <c r="O120" s="11"/>
      <c r="P120" s="11"/>
      <c r="Q120" s="45">
        <f t="shared" si="15"/>
        <v>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5</v>
      </c>
      <c r="L121" s="37">
        <f t="shared" si="14"/>
        <v>5</v>
      </c>
      <c r="M121" s="11"/>
      <c r="N121" s="11"/>
      <c r="O121" s="11"/>
      <c r="P121" s="11"/>
      <c r="Q121" s="45">
        <f t="shared" si="15"/>
        <v>-5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5</v>
      </c>
      <c r="F123" s="31">
        <f>'เย็น '!F123+'เช้า '!F123+บ่าย!F123</f>
        <v>0</v>
      </c>
      <c r="G123" s="31">
        <f>'เย็น '!G123+'เช้า '!G123+บ่าย!G123</f>
        <v>27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32</v>
      </c>
      <c r="M123" s="11"/>
      <c r="N123" s="11"/>
      <c r="O123" s="11"/>
      <c r="P123" s="11"/>
      <c r="Q123" s="45">
        <f t="shared" si="15"/>
        <v>-32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1</v>
      </c>
      <c r="M124" s="11"/>
      <c r="N124" s="11"/>
      <c r="O124" s="11"/>
      <c r="P124" s="11"/>
      <c r="Q124" s="45">
        <f t="shared" si="15"/>
        <v>-1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0</v>
      </c>
      <c r="M125" s="11"/>
      <c r="N125" s="11"/>
      <c r="O125" s="11"/>
      <c r="P125" s="11"/>
      <c r="Q125" s="45">
        <f t="shared" si="15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4</v>
      </c>
      <c r="M126" s="11"/>
      <c r="N126" s="11"/>
      <c r="O126" s="11"/>
      <c r="P126" s="11"/>
      <c r="Q126" s="45">
        <f t="shared" si="15"/>
        <v>-4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4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4</v>
      </c>
      <c r="M136" s="11"/>
      <c r="N136" s="11"/>
      <c r="O136" s="11"/>
      <c r="P136" s="11"/>
      <c r="Q136" s="45">
        <f t="shared" si="15"/>
        <v>-4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10</v>
      </c>
      <c r="L137" s="37">
        <f t="shared" si="14"/>
        <v>10</v>
      </c>
      <c r="M137" s="11"/>
      <c r="N137" s="11"/>
      <c r="O137" s="11"/>
      <c r="P137" s="11"/>
      <c r="Q137" s="45">
        <f t="shared" si="15"/>
        <v>-10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61</v>
      </c>
      <c r="E141" s="37">
        <f t="shared" ref="E141:K141" si="16">SUM(E114:E140,E90:E99,E79:E87,E69:E76,E7:E66,E102:E111)</f>
        <v>27</v>
      </c>
      <c r="F141" s="37">
        <f t="shared" si="16"/>
        <v>6</v>
      </c>
      <c r="G141" s="37">
        <f t="shared" si="16"/>
        <v>144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36</v>
      </c>
      <c r="L141" s="37">
        <f>SUM(L114:L140,L90:L99,L79:L87,L69:L76,L7:L66,L102:L111)</f>
        <v>274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-274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2025-03-07T00:36:25Z</cp:lastPrinted>
  <dcterms:created xsi:type="dcterms:W3CDTF">2024-04-30T05:21:27Z</dcterms:created>
  <dcterms:modified xsi:type="dcterms:W3CDTF">2025-03-07T00:36:32Z</dcterms:modified>
</cp:coreProperties>
</file>