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9020666-29D6-4B0E-A2D3-F374CDDB0ADE}" xr6:coauthVersionLast="47" xr6:coauthVersionMax="47" xr10:uidLastSave="{00000000-0000-0000-0000-000000000000}"/>
  <bookViews>
    <workbookView xWindow="-120" yWindow="-120" windowWidth="29040" windowHeight="15720" activeTab="1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5" i="5" l="1"/>
  <c r="Q136" i="5"/>
  <c r="Q138" i="5"/>
  <c r="Q139" i="5"/>
  <c r="Q140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37" i="3" l="1"/>
  <c r="L138" i="3"/>
  <c r="L139" i="3"/>
  <c r="L140" i="3"/>
  <c r="D135" i="5"/>
  <c r="E135" i="5"/>
  <c r="F135" i="5"/>
  <c r="G135" i="5"/>
  <c r="H135" i="5"/>
  <c r="I135" i="5"/>
  <c r="J135" i="5"/>
  <c r="K135" i="5"/>
  <c r="L134" i="3"/>
  <c r="L135" i="3"/>
  <c r="L136" i="3"/>
  <c r="Q77" i="5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1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2" i="5" l="1"/>
  <c r="Q132" i="5" s="1"/>
  <c r="L134" i="5"/>
  <c r="L138" i="5"/>
  <c r="L136" i="5"/>
  <c r="L133" i="5"/>
  <c r="Q133" i="5" s="1"/>
  <c r="L131" i="5"/>
  <c r="Q131" i="5" s="1"/>
  <c r="L135" i="5"/>
  <c r="L139" i="5"/>
  <c r="L137" i="5"/>
  <c r="L112" i="6"/>
  <c r="L112" i="3"/>
  <c r="K141" i="5"/>
  <c r="L140" i="5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<sst xmlns="http://schemas.openxmlformats.org/spreadsheetml/2006/main" count="620" uniqueCount="147">
  <si>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</si>
  <si>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</si>
  <si>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</si>
  <si>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</si>
  <si>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</si>
  <si>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</si>
  <si>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</si>
  <si>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</si>
  <si>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</si>
  <si>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</si>
  <si>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</si>
  <si>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</si>
  <si>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</si>
  <si>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</si>
  <si>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</si>
  <si>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</si>
  <si>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</si>
  <si>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</si>
  <si>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</si>
  <si>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</si>
  <si>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</si>
  <si>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</si>
  <si>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</si>
  <si>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</si>
  <si>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</si>
  <si>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</si>
  <si>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</si>
  <si>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</si>
  <si>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</si>
  <si>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</si>
  <si>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</si>
  <si>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</si>
  <si>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</si>
  <si>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</si>
  <si>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</si>
  <si>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</si>
  <si>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</si>
  <si>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</si>
  <si>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</si>
  <si>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</si>
  <si>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</si>
  <si>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</si>
  <si>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</si>
  <si>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</si>
  <si>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</si>
  <si>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</si>
  <si>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</si>
  <si>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</si>
  <si>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</si>
  <si>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</si>
  <si>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</si>
  <si>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</si>
  <si>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</si>
  <si>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</si>
  <si>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</si>
  <si>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</si>
  <si>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</si>
  <si>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</si>
  <si>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</si>
  <si>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</si>
  <si>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</si>
  <si>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</si>
  <si>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</si>
  <si>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</si>
  <si>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</si>
  <si>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</si>
  <si>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</si>
  <si>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</si>
  <si>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</si>
  <si>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</si>
  <si>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</si>
  <si>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</si>
  <si>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</si>
  <si>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</si>
  <si>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</si>
  <si>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</si>
  <si>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</si>
  <si>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</si>
  <si>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</si>
  <si>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</si>
  <si>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</si>
  <si>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</si>
  <si>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</si>
  <si>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</si>
  <si>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</si>
  <si>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</si>
  <si>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</si>
  <si>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</si>
  <si>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</si>
  <si>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</si>
  <si>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</si>
  <si>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</si>
  <si>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</si>
  <si>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</si>
  <si>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</si>
  <si>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</si>
  <si>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</si>
  <si>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</si>
  <si>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</si>
  <si>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</si>
  <si>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</si>
  <si>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</si>
  <si>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</si>
  <si>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</si>
  <si>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</si>
  <si>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</si>
  <si>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</si>
  <si>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</si>
  <si>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</si>
  <si>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</si>
  <si>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</si>
  <si>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</si>
  <si>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</si>
  <si>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</si>
  <si>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</si>
  <si>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</si>
  <si>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</si>
  <si>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</si>
  <si>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</si>
  <si>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</si>
  <si>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</si>
  <si>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</si>
  <si>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</si>
  <si>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</si>
  <si>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</si>
  <si>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</si>
  <si>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</si>
  <si>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</si>
  <si>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</si>
  <si>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</si>
  <si>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</si>
  <si>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</si>
  <si>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</si>
  <si>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</si>
  <si>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</si>
  <si>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</si>
  <si>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</si>
  <si>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</si>
  <si>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</si>
  <si>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</si>
  <si>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</si>
  <si>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</si>
  <si>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</si>
  <si>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</si>
  <si>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</si>
  <si>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 xml:space="preserve">ปังเนยนิ่มแบบถุง </t>
  </si>
  <si>
    <t>ยอดจริง ออนไลน์ วันที่ 6/3/68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</si>
</sst>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2"/>
  <sheetViews>
    <sheetView topLeftCell="A106" zoomScale="60" zoomScaleNormal="60" workbookViewId="0">
      <selection activeCell="G135" sqref="G135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138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4</v>
      </c>
      <c r="E7" s="31">
        <v>13</v>
      </c>
      <c r="F7" s="31">
        <v>22</v>
      </c>
      <c r="G7" s="31">
        <v>21</v>
      </c>
      <c r="H7" s="31"/>
      <c r="I7" s="31"/>
      <c r="J7" s="44"/>
      <c r="K7" s="44">
        <v>1</v>
      </c>
      <c r="L7" s="37">
        <f>SUM(D7:K7)</f>
        <v>61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3</v>
      </c>
      <c r="E25" s="31">
        <v>9</v>
      </c>
      <c r="F25" s="31">
        <v>6</v>
      </c>
      <c r="G25" s="31">
        <v>7</v>
      </c>
      <c r="H25" s="31"/>
      <c r="I25" s="31"/>
      <c r="J25" s="44"/>
      <c r="K25" s="44"/>
      <c r="L25" s="37">
        <f t="shared" si="0"/>
        <v>25</v>
      </c>
    </row>
    <row r="26" spans="2:12">
      <c r="B26" s="11">
        <v>1004055</v>
      </c>
      <c r="C26" s="15" t="s">
        <v>108</v>
      </c>
      <c r="D26" s="31"/>
      <c r="E26" s="31"/>
      <c r="F26" s="31">
        <v>3</v>
      </c>
      <c r="G26" s="31"/>
      <c r="H26" s="31"/>
      <c r="I26" s="31"/>
      <c r="J26" s="44"/>
      <c r="K26" s="44">
        <v>5</v>
      </c>
      <c r="L26" s="37">
        <f t="shared" si="0"/>
        <v>8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5</v>
      </c>
      <c r="E69" s="31"/>
      <c r="F69" s="31">
        <v>1</v>
      </c>
      <c r="G69" s="31">
        <v>6</v>
      </c>
      <c r="H69" s="31"/>
      <c r="I69" s="31"/>
      <c r="J69" s="44"/>
      <c r="K69" s="44"/>
      <c r="L69" s="37">
        <f t="shared" ref="L69:L76" si="1">SUM(D69:K69)</f>
        <v>12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4</v>
      </c>
      <c r="E87" s="31"/>
      <c r="F87" s="31">
        <v>3</v>
      </c>
      <c r="G87" s="31">
        <v>3</v>
      </c>
      <c r="H87" s="31"/>
      <c r="I87" s="31"/>
      <c r="J87" s="44"/>
      <c r="K87" s="44"/>
      <c r="L87" s="37">
        <f t="shared" si="2"/>
        <v>10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5</v>
      </c>
      <c r="E90" s="31"/>
      <c r="F90" s="31">
        <v>4</v>
      </c>
      <c r="G90" s="31">
        <v>4</v>
      </c>
      <c r="H90" s="31"/>
      <c r="I90" s="31"/>
      <c r="J90" s="44"/>
      <c r="K90" s="44"/>
      <c r="L90" s="37">
        <f t="shared" ref="L90:L99" si="3">SUM(D90:K90)</f>
        <v>13</v>
      </c>
    </row>
    <row r="91" spans="2:12">
      <c r="B91" s="11">
        <v>1112011</v>
      </c>
      <c r="C91" s="20" t="s">
        <v>76</v>
      </c>
      <c r="D91" s="31">
        <v>8</v>
      </c>
      <c r="E91" s="31"/>
      <c r="F91" s="31">
        <v>4</v>
      </c>
      <c r="G91" s="31">
        <v>3</v>
      </c>
      <c r="H91" s="31"/>
      <c r="I91" s="31"/>
      <c r="J91" s="44"/>
      <c r="K91" s="44"/>
      <c r="L91" s="37">
        <f t="shared" si="3"/>
        <v>15</v>
      </c>
    </row>
    <row r="92" spans="2:12">
      <c r="B92" s="11">
        <v>1112003</v>
      </c>
      <c r="C92" s="20" t="s">
        <v>77</v>
      </c>
      <c r="D92" s="31">
        <v>6</v>
      </c>
      <c r="E92" s="31"/>
      <c r="F92" s="31">
        <v>2</v>
      </c>
      <c r="G92" s="31">
        <v>3</v>
      </c>
      <c r="H92" s="31"/>
      <c r="I92" s="31"/>
      <c r="J92" s="44"/>
      <c r="K92" s="44"/>
      <c r="L92" s="37">
        <f t="shared" si="3"/>
        <v>11</v>
      </c>
    </row>
    <row r="93" spans="2:12">
      <c r="B93" s="11">
        <v>1112005</v>
      </c>
      <c r="C93" s="20" t="s">
        <v>78</v>
      </c>
      <c r="D93" s="31">
        <v>5</v>
      </c>
      <c r="E93" s="31"/>
      <c r="F93" s="31">
        <v>2</v>
      </c>
      <c r="G93" s="31">
        <v>3</v>
      </c>
      <c r="H93" s="31"/>
      <c r="I93" s="31"/>
      <c r="J93" s="44"/>
      <c r="K93" s="44"/>
      <c r="L93" s="37">
        <f t="shared" si="3"/>
        <v>10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>
        <v>2</v>
      </c>
      <c r="G97" s="31">
        <v>4</v>
      </c>
      <c r="H97" s="31"/>
      <c r="I97" s="31"/>
      <c r="J97" s="44"/>
      <c r="K97" s="44"/>
      <c r="L97" s="37">
        <f t="shared" si="3"/>
        <v>6</v>
      </c>
    </row>
    <row r="98" spans="2:12">
      <c r="B98" s="11">
        <v>1112013</v>
      </c>
      <c r="C98" s="20" t="s">
        <v>83</v>
      </c>
      <c r="D98" s="31"/>
      <c r="E98" s="31"/>
      <c r="F98" s="31">
        <v>2</v>
      </c>
      <c r="G98" s="31">
        <v>4</v>
      </c>
      <c r="H98" s="31"/>
      <c r="I98" s="31"/>
      <c r="J98" s="44"/>
      <c r="K98" s="44"/>
      <c r="L98" s="37">
        <f t="shared" si="3"/>
        <v>6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>
      <c r="B116" s="11">
        <v>1113172</v>
      </c>
      <c r="C116" s="22" t="s">
        <v>89</v>
      </c>
      <c r="D116" s="31">
        <v>2</v>
      </c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3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3</v>
      </c>
      <c r="F123" s="31">
        <v>26</v>
      </c>
      <c r="G123" s="31">
        <v>18</v>
      </c>
      <c r="H123" s="31"/>
      <c r="I123" s="31"/>
      <c r="J123" s="44"/>
      <c r="K123" s="44"/>
      <c r="L123" s="37">
        <f t="shared" si="6"/>
        <v>47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>
        <v>15</v>
      </c>
      <c r="H124" s="31"/>
      <c r="I124" s="31"/>
      <c r="J124" s="44"/>
      <c r="K124" s="44"/>
      <c r="L124" s="37">
        <f t="shared" si="6"/>
        <v>15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>
        <v>13</v>
      </c>
      <c r="F126" s="31">
        <v>10</v>
      </c>
      <c r="G126" s="31">
        <v>2</v>
      </c>
      <c r="H126" s="31"/>
      <c r="I126" s="31"/>
      <c r="J126" s="44"/>
      <c r="K126" s="44"/>
      <c r="L126" s="37">
        <f t="shared" si="6"/>
        <v>25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145</v>
      </c>
      <c r="D138" s="31"/>
      <c r="E138" s="31"/>
      <c r="F138" s="31"/>
      <c r="G138" s="31"/>
      <c r="H138" s="31"/>
      <c r="I138" s="31"/>
      <c r="J138" s="44"/>
      <c r="K138" s="44">
        <v>5</v>
      </c>
      <c r="L138" s="37">
        <f t="shared" si="6"/>
        <v>5</v>
      </c>
    </row>
    <row r="139" spans="2:12">
      <c r="B139" s="51"/>
      <c r="C139" s="50" t="s">
        <v>139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140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141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54"/>
      <c r="C143" s="55"/>
      <c r="D143" s="32"/>
      <c r="E143" s="32"/>
      <c r="F143" s="32"/>
      <c r="G143" s="27"/>
      <c r="L143" s="56"/>
    </row>
    <row r="144" spans="2:1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14">
    <mergeCell ref="B145:C145"/>
    <mergeCell ref="I145:L145"/>
    <mergeCell ref="B1:L1"/>
    <mergeCell ref="B6:L6"/>
    <mergeCell ref="B68:L68"/>
    <mergeCell ref="B144:C144"/>
    <mergeCell ref="E144:F144"/>
    <mergeCell ref="I144:L144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abSelected="1" zoomScale="60" zoomScaleNormal="60" workbookViewId="0">
      <selection activeCell="I93" sqref="I93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>
        <v>3</v>
      </c>
      <c r="F7" s="31">
        <v>3</v>
      </c>
      <c r="G7" s="31">
        <v>14</v>
      </c>
      <c r="H7" s="31"/>
      <c r="I7" s="31"/>
      <c r="J7" s="44"/>
      <c r="K7" s="44"/>
      <c r="L7" s="37">
        <f>SUM(D7:K7)</f>
        <v>20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>
        <v>1</v>
      </c>
      <c r="H25" s="31"/>
      <c r="I25" s="31"/>
      <c r="J25" s="44"/>
      <c r="K25" s="44"/>
      <c r="L25" s="37">
        <f t="shared" si="0"/>
        <v>1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>
        <v>8</v>
      </c>
      <c r="G69" s="31">
        <v>1</v>
      </c>
      <c r="H69" s="31"/>
      <c r="I69" s="31"/>
      <c r="J69" s="44"/>
      <c r="K69" s="44"/>
      <c r="L69" s="37">
        <f t="shared" ref="L69:L76" si="1">SUM(D69:K69)</f>
        <v>9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>
        <v>6</v>
      </c>
      <c r="H90" s="31"/>
      <c r="I90" s="31"/>
      <c r="J90" s="44"/>
      <c r="K90" s="44"/>
      <c r="L90" s="37">
        <f t="shared" ref="L90:L99" si="3">SUM(D90:K90)</f>
        <v>6</v>
      </c>
    </row>
    <row r="91" spans="2:12">
      <c r="B91" s="11">
        <v>1112011</v>
      </c>
      <c r="C91" s="20" t="s">
        <v>76</v>
      </c>
      <c r="D91" s="31"/>
      <c r="E91" s="31"/>
      <c r="F91" s="31">
        <v>2</v>
      </c>
      <c r="G91" s="31">
        <v>6</v>
      </c>
      <c r="H91" s="31"/>
      <c r="I91" s="31"/>
      <c r="J91" s="44"/>
      <c r="K91" s="44"/>
      <c r="L91" s="37">
        <f t="shared" si="3"/>
        <v>8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5</v>
      </c>
      <c r="H92" s="31"/>
      <c r="I92" s="31"/>
      <c r="J92" s="44"/>
      <c r="K92" s="44"/>
      <c r="L92" s="37">
        <f t="shared" si="3"/>
        <v>5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5</v>
      </c>
      <c r="H93" s="31"/>
      <c r="I93" s="31"/>
      <c r="J93" s="44"/>
      <c r="K93" s="44"/>
      <c r="L93" s="37">
        <f t="shared" si="3"/>
        <v>5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>
        <v>6</v>
      </c>
      <c r="H96" s="31"/>
      <c r="I96" s="31"/>
      <c r="J96" s="44"/>
      <c r="K96" s="44"/>
      <c r="L96" s="37">
        <f t="shared" si="3"/>
        <v>6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5</v>
      </c>
      <c r="H116" s="31"/>
      <c r="I116" s="31"/>
      <c r="J116" s="44"/>
      <c r="K116" s="44"/>
      <c r="L116" s="37">
        <f t="shared" si="6"/>
        <v>5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6</v>
      </c>
      <c r="F123" s="31"/>
      <c r="G123" s="31">
        <v>27</v>
      </c>
      <c r="H123" s="31"/>
      <c r="I123" s="31"/>
      <c r="J123" s="44"/>
      <c r="K123" s="44"/>
      <c r="L123" s="37">
        <f t="shared" si="6"/>
        <v>33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>
        <v>40</v>
      </c>
      <c r="G126" s="31"/>
      <c r="H126" s="31"/>
      <c r="I126" s="31"/>
      <c r="J126" s="44"/>
      <c r="K126" s="44"/>
      <c r="L126" s="37">
        <f t="shared" si="6"/>
        <v>40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145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140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141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6" zoomScale="60" zoomScaleNormal="60" workbookViewId="0">
      <selection activeCell="D114" sqref="D114:K140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145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140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141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opLeftCell="A52" zoomScale="50" zoomScaleNormal="50" workbookViewId="0">
      <selection activeCell="AA52" sqref="AA52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142</v>
      </c>
      <c r="P2" s="67" t="s">
        <v>143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4</v>
      </c>
      <c r="E7" s="31">
        <f>'เย็น '!E7+'เช้า '!E7+บ่าย!E7</f>
        <v>16</v>
      </c>
      <c r="F7" s="31">
        <f>'เย็น '!F7+'เช้า '!F7+บ่าย!F7</f>
        <v>25</v>
      </c>
      <c r="G7" s="31">
        <f>'เย็น '!G7+'เช้า '!G7+บ่าย!G7</f>
        <v>35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</v>
      </c>
      <c r="L7" s="37">
        <f>SUM(D7:K7)</f>
        <v>81</v>
      </c>
      <c r="M7" s="11">
        <v>150</v>
      </c>
      <c r="N7" s="11">
        <v>425</v>
      </c>
      <c r="O7" s="11"/>
      <c r="P7" s="11">
        <v>150</v>
      </c>
      <c r="Q7" s="45">
        <f>(M7+N7+O7+P7)-L7</f>
        <v>644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3</v>
      </c>
      <c r="E25" s="31">
        <f>'เย็น '!E25+'เช้า '!E25+บ่าย!E25</f>
        <v>9</v>
      </c>
      <c r="F25" s="31">
        <f>'เย็น '!F25+'เช้า '!F25+บ่าย!F25</f>
        <v>6</v>
      </c>
      <c r="G25" s="31">
        <f>'เย็น '!G25+'เช้า '!G25+บ่าย!G25</f>
        <v>8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26</v>
      </c>
      <c r="M25" s="11">
        <v>20</v>
      </c>
      <c r="N25" s="11">
        <v>2</v>
      </c>
      <c r="O25" s="11"/>
      <c r="P25" s="11">
        <v>20</v>
      </c>
      <c r="Q25" s="45">
        <f t="shared" si="1"/>
        <v>16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3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5</v>
      </c>
      <c r="L26" s="37">
        <f t="shared" si="0"/>
        <v>8</v>
      </c>
      <c r="M26" s="11"/>
      <c r="N26" s="11">
        <v>33</v>
      </c>
      <c r="O26" s="11"/>
      <c r="P26" s="11"/>
      <c r="Q26" s="45">
        <f t="shared" si="1"/>
        <v>25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5</v>
      </c>
      <c r="E69" s="31">
        <f>'เย็น '!E69+'เช้า '!E69+บ่าย!E69</f>
        <v>0</v>
      </c>
      <c r="F69" s="31">
        <f>'เย็น '!F69+'เช้า '!F69+บ่าย!F69</f>
        <v>9</v>
      </c>
      <c r="G69" s="31">
        <f>'เย็น '!G69+'เช้า '!G69+บ่าย!G69</f>
        <v>7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21</v>
      </c>
      <c r="M69" s="11">
        <v>20</v>
      </c>
      <c r="N69" s="11">
        <v>1</v>
      </c>
      <c r="O69" s="11"/>
      <c r="P69" s="11">
        <v>20</v>
      </c>
      <c r="Q69" s="45">
        <f t="shared" ref="Q69:Q76" si="5">(M69+N69+O69+P69)-L69</f>
        <v>20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4</v>
      </c>
      <c r="E87" s="31">
        <f>'เย็น '!E87+'เช้า '!E87+บ่าย!E87</f>
        <v>0</v>
      </c>
      <c r="F87" s="31">
        <f>'เย็น '!F87+'เช้า '!F87+บ่าย!F87</f>
        <v>3</v>
      </c>
      <c r="G87" s="31">
        <f>'เย็น '!G87+'เช้า '!G87+บ่าย!G87</f>
        <v>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10</v>
      </c>
      <c r="M87" s="11"/>
      <c r="N87" s="11">
        <v>12</v>
      </c>
      <c r="O87" s="11"/>
      <c r="P87" s="11"/>
      <c r="Q87" s="45">
        <f t="shared" si="8"/>
        <v>2</v>
      </c>
    </row>
    <row r="88" spans="2:17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f>'เย็น '!D90+'เช้า '!D90+บ่าย!D90</f>
        <v>5</v>
      </c>
      <c r="E90" s="31">
        <f>'เย็น '!E90+'เช้า '!E90+บ่าย!E90</f>
        <v>0</v>
      </c>
      <c r="F90" s="31">
        <f>'เย็น '!F90+'เช้า '!F90+บ่าย!F90</f>
        <v>4</v>
      </c>
      <c r="G90" s="31">
        <f>'เย็น '!G90+'เช้า '!G90+บ่าย!G90</f>
        <v>10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19</v>
      </c>
      <c r="M90" s="11">
        <v>40</v>
      </c>
      <c r="N90" s="11">
        <v>10</v>
      </c>
      <c r="O90" s="11"/>
      <c r="P90" s="11">
        <v>50</v>
      </c>
      <c r="Q90" s="45">
        <f t="shared" ref="Q90:Q99" si="10">(M90+N90+O90+P90)-L90</f>
        <v>81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8</v>
      </c>
      <c r="E91" s="31">
        <f>'เย็น '!E91+'เช้า '!E91+บ่าย!E91</f>
        <v>0</v>
      </c>
      <c r="F91" s="31">
        <f>'เย็น '!F91+'เช้า '!F91+บ่าย!F91</f>
        <v>6</v>
      </c>
      <c r="G91" s="31">
        <f>'เย็น '!G91+'เช้า '!G91+บ่าย!G91</f>
        <v>9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23</v>
      </c>
      <c r="M91" s="11">
        <v>40</v>
      </c>
      <c r="N91" s="11">
        <v>1</v>
      </c>
      <c r="O91" s="11"/>
      <c r="P91" s="11">
        <v>50</v>
      </c>
      <c r="Q91" s="45">
        <f t="shared" si="10"/>
        <v>68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6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16</v>
      </c>
      <c r="M92" s="11">
        <v>40</v>
      </c>
      <c r="N92" s="11">
        <v>17</v>
      </c>
      <c r="O92" s="11"/>
      <c r="P92" s="11">
        <v>50</v>
      </c>
      <c r="Q92" s="45">
        <f t="shared" si="10"/>
        <v>91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5</v>
      </c>
      <c r="E93" s="31">
        <f>'เย็น '!E93+'เช้า '!E93+บ่าย!E93</f>
        <v>0</v>
      </c>
      <c r="F93" s="31">
        <f>'เย็น '!F93+'เช้า '!F93+บ่าย!F93</f>
        <v>2</v>
      </c>
      <c r="G93" s="31">
        <f>'เย็น '!G93+'เช้า '!G93+บ่าย!G93</f>
        <v>8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15</v>
      </c>
      <c r="M93" s="11">
        <v>40</v>
      </c>
      <c r="N93" s="11">
        <v>26</v>
      </c>
      <c r="O93" s="11"/>
      <c r="P93" s="11">
        <v>50</v>
      </c>
      <c r="Q93" s="45">
        <f t="shared" si="10"/>
        <v>101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6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6</v>
      </c>
      <c r="M96" s="11"/>
      <c r="N96" s="11">
        <v>33</v>
      </c>
      <c r="O96" s="11"/>
      <c r="P96" s="11"/>
      <c r="Q96" s="45">
        <f t="shared" si="10"/>
        <v>27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2</v>
      </c>
      <c r="G97" s="31">
        <f>'เย็น '!G97+'เช้า '!G97+บ่าย!G97</f>
        <v>4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6</v>
      </c>
      <c r="M97" s="11"/>
      <c r="N97" s="11">
        <v>9</v>
      </c>
      <c r="O97" s="11"/>
      <c r="P97" s="11"/>
      <c r="Q97" s="45">
        <f t="shared" si="10"/>
        <v>3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2</v>
      </c>
      <c r="G98" s="31">
        <f>'เย็น '!G98+'เช้า '!G98+บ่าย!G98</f>
        <v>4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6</v>
      </c>
      <c r="M98" s="11"/>
      <c r="N98" s="11">
        <v>11</v>
      </c>
      <c r="O98" s="11"/>
      <c r="P98" s="11"/>
      <c r="Q98" s="45">
        <f t="shared" si="10"/>
        <v>5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91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>
        <v>6</v>
      </c>
      <c r="O102" s="11"/>
      <c r="P102" s="11"/>
      <c r="Q102" s="45">
        <f t="shared" ref="Q102:Q111" si="12">(M102+N102+O102+P102)-L102</f>
        <v>6</v>
      </c>
    </row>
    <row r="103" spans="2:17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>
        <v>24</v>
      </c>
      <c r="O103" s="11"/>
      <c r="P103" s="11"/>
      <c r="Q103" s="45">
        <f t="shared" si="12"/>
        <v>24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>
        <v>1</v>
      </c>
      <c r="O104" s="11"/>
      <c r="P104" s="11"/>
      <c r="Q104" s="45">
        <f t="shared" si="12"/>
        <v>1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>
        <v>1</v>
      </c>
      <c r="O105" s="11"/>
      <c r="P105" s="11"/>
      <c r="Q105" s="45">
        <f t="shared" si="12"/>
        <v>1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>
        <v>1</v>
      </c>
      <c r="O109" s="11"/>
      <c r="P109" s="11"/>
      <c r="Q109" s="45">
        <f t="shared" si="12"/>
        <v>1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>
        <v>1</v>
      </c>
      <c r="O110" s="11"/>
      <c r="P110" s="11"/>
      <c r="Q110" s="45">
        <f t="shared" si="12"/>
        <v>1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</v>
      </c>
      <c r="M115" s="11"/>
      <c r="N115" s="11"/>
      <c r="O115" s="11"/>
      <c r="P115" s="11"/>
      <c r="Q115" s="45">
        <f t="shared" si="16"/>
        <v>-2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2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6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8</v>
      </c>
      <c r="M116" s="11"/>
      <c r="N116" s="11">
        <v>9</v>
      </c>
      <c r="O116" s="11"/>
      <c r="P116" s="11"/>
      <c r="Q116" s="45">
        <f t="shared" si="16"/>
        <v>1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</v>
      </c>
      <c r="O119" s="11"/>
      <c r="P119" s="11"/>
      <c r="Q119" s="45">
        <f t="shared" si="16"/>
        <v>3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48</v>
      </c>
      <c r="O120" s="11"/>
      <c r="P120" s="11"/>
      <c r="Q120" s="45">
        <f t="shared" si="16"/>
        <v>48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79</v>
      </c>
      <c r="O121" s="11"/>
      <c r="P121" s="11"/>
      <c r="Q121" s="45">
        <f t="shared" si="16"/>
        <v>79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9</v>
      </c>
      <c r="F123" s="31">
        <f>'เย็น '!F123+'เช้า '!F123+บ่าย!F123</f>
        <v>26</v>
      </c>
      <c r="G123" s="31">
        <f>'เย็น '!G123+'เช้า '!G123+บ่าย!G123</f>
        <v>45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80</v>
      </c>
      <c r="M123" s="11"/>
      <c r="N123" s="11">
        <v>127</v>
      </c>
      <c r="O123" s="11"/>
      <c r="P123" s="11">
        <v>50</v>
      </c>
      <c r="Q123" s="45">
        <f t="shared" si="16"/>
        <v>97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15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15</v>
      </c>
      <c r="M124" s="11"/>
      <c r="N124" s="11">
        <v>16</v>
      </c>
      <c r="O124" s="11"/>
      <c r="P124" s="11"/>
      <c r="Q124" s="45">
        <f t="shared" si="16"/>
        <v>1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13</v>
      </c>
      <c r="F126" s="31">
        <f>'เย็น '!F126+'เช้า '!F126+บ่าย!F126</f>
        <v>50</v>
      </c>
      <c r="G126" s="31">
        <f>'เย็น '!G126+'เช้า '!G126+บ่าย!G126</f>
        <v>2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65</v>
      </c>
      <c r="M126" s="11"/>
      <c r="N126" s="11">
        <v>78</v>
      </c>
      <c r="O126" s="11"/>
      <c r="P126" s="11"/>
      <c r="Q126" s="45">
        <f t="shared" si="16"/>
        <v>13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23">
        <v>20052721</v>
      </c>
      <c r="C137" s="22" t="s">
        <v>144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/>
    </row>
    <row r="138" spans="2:17">
      <c r="B138" s="23">
        <v>1004046</v>
      </c>
      <c r="C138" s="22" t="s">
        <v>145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5</v>
      </c>
      <c r="L138" s="37">
        <f t="shared" si="15"/>
        <v>5</v>
      </c>
      <c r="M138" s="11"/>
      <c r="N138" s="11"/>
      <c r="O138" s="11"/>
      <c r="P138" s="11"/>
      <c r="Q138" s="45">
        <f t="shared" si="16"/>
        <v>-5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B141" s="51"/>
      <c r="C141" s="50"/>
      <c r="D141" s="37">
        <f>SUM(D114:D140,D90:D99,D79:D87,D69:D76,D7:D66,D102:D111)</f>
        <v>44</v>
      </c>
      <c r="E141" s="37">
        <f t="shared" ref="E141:K141" si="17">SUM(E114:E140,E90:E99,E79:E87,E69:E76,E7:E66,E102:E111)</f>
        <v>47</v>
      </c>
      <c r="F141" s="37">
        <f t="shared" si="17"/>
        <v>140</v>
      </c>
      <c r="G141" s="37">
        <f t="shared" si="17"/>
        <v>170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11</v>
      </c>
      <c r="L141" s="37">
        <f>SUM(L114:L140,L90:L99,L79:L87,L69:L76,L7:L66,L102:L111)</f>
        <v>412</v>
      </c>
      <c r="M141" s="31">
        <f>SUM(M114:M136,M90:M98,M79:M87,M69:M76,M7:M66)</f>
        <v>350</v>
      </c>
      <c r="N141" s="31">
        <f>SUM(N114:N136,N90:N98,N79:N87,N69:N76,N7:N66)</f>
        <v>940</v>
      </c>
      <c r="O141" s="31"/>
      <c r="P141" s="31"/>
      <c r="Q141" s="45">
        <f t="shared" ref="Q141" si="18">(M141+N141)-L141</f>
        <v>878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2025-03-06T00:21:51Z</cp:lastPrinted>
  <dcterms:created xsi:type="dcterms:W3CDTF">2024-04-30T05:21:27Z</dcterms:created>
  <dcterms:modified xsi:type="dcterms:W3CDTF">2025-03-06T06:11:39Z</dcterms:modified>
</cp:coreProperties>
</file>