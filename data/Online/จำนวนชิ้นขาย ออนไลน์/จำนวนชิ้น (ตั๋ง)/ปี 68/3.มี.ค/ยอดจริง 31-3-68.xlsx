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D7861BA-C6F6-4901-BD95-D793BE63F032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1" i="5" l="1"/>
  <c r="Q142" i="5"/>
  <c r="Q143" i="5"/>
  <c r="Q144" i="5"/>
  <c r="Q145" i="5"/>
  <c r="Q146" i="5"/>
  <c r="E147" i="5"/>
  <c r="F147" i="5"/>
  <c r="G147" i="5"/>
  <c r="H147" i="5"/>
  <c r="I147" i="5"/>
  <c r="J147" i="5"/>
  <c r="K147" i="5"/>
  <c r="D147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L141" i="5" s="1"/>
  <c r="K141" i="5"/>
  <c r="D142" i="5"/>
  <c r="L142" i="5" s="1"/>
  <c r="E142" i="5"/>
  <c r="F142" i="5"/>
  <c r="G142" i="5"/>
  <c r="H142" i="5"/>
  <c r="I142" i="5"/>
  <c r="J142" i="5"/>
  <c r="K142" i="5"/>
  <c r="D143" i="5"/>
  <c r="E143" i="5"/>
  <c r="L143" i="5" s="1"/>
  <c r="F143" i="5"/>
  <c r="G143" i="5"/>
  <c r="H143" i="5"/>
  <c r="J143" i="5"/>
  <c r="K143" i="5"/>
  <c r="D144" i="5"/>
  <c r="L144" i="5" s="1"/>
  <c r="E144" i="5"/>
  <c r="F144" i="5"/>
  <c r="G144" i="5"/>
  <c r="H144" i="5"/>
  <c r="J144" i="5"/>
  <c r="K144" i="5"/>
  <c r="D145" i="5"/>
  <c r="E145" i="5"/>
  <c r="F145" i="5"/>
  <c r="G145" i="5"/>
  <c r="L145" i="5" s="1"/>
  <c r="H145" i="5"/>
  <c r="I145" i="5"/>
  <c r="J145" i="5"/>
  <c r="K145" i="5"/>
  <c r="D146" i="5"/>
  <c r="L146" i="5" s="1"/>
  <c r="E146" i="5"/>
  <c r="F146" i="5"/>
  <c r="G146" i="5"/>
  <c r="H146" i="5"/>
  <c r="I146" i="5"/>
  <c r="J146" i="5"/>
  <c r="K146" i="5"/>
  <c r="L146" i="4"/>
  <c r="L145" i="4"/>
  <c r="L144" i="4"/>
  <c r="L143" i="4"/>
  <c r="L142" i="4"/>
  <c r="L141" i="4"/>
  <c r="L77" i="6" l="1"/>
  <c r="P100" i="5"/>
  <c r="O100" i="5"/>
  <c r="N100" i="5"/>
  <c r="M100" i="5"/>
  <c r="P112" i="5"/>
  <c r="O112" i="5"/>
  <c r="N112" i="5"/>
  <c r="M112" i="5"/>
  <c r="M147" i="5"/>
  <c r="N147" i="5"/>
  <c r="O147" i="5"/>
  <c r="P147" i="5"/>
  <c r="L135" i="5"/>
  <c r="L137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9" i="5" l="1"/>
  <c r="L112" i="4"/>
  <c r="L133" i="5"/>
  <c r="L131" i="5"/>
  <c r="L132" i="5"/>
  <c r="L77" i="4"/>
  <c r="L134" i="5"/>
  <c r="Q134" i="5" s="1"/>
  <c r="L136" i="5"/>
  <c r="Q136" i="5" s="1"/>
  <c r="L138" i="5"/>
  <c r="Q138" i="5" s="1"/>
  <c r="L100" i="4"/>
  <c r="L67" i="4"/>
  <c r="L100" i="3"/>
  <c r="L67" i="3"/>
  <c r="Q139" i="5"/>
  <c r="Q135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Q114" i="5" l="1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00" i="5" l="1"/>
  <c r="Q100" i="5" s="1"/>
  <c r="Q102" i="5"/>
  <c r="L112" i="5"/>
  <c r="Q112" i="5" s="1"/>
  <c r="L147" i="5"/>
  <c r="Q147" i="5"/>
  <c r="L88" i="5"/>
  <c r="Q88" i="5" s="1"/>
  <c r="L67" i="5"/>
  <c r="Q67" i="5" s="1"/>
</calcChain>
</file>

<file path=xl/sharedStrings.xml><?xml version="1.0" encoding="utf-8"?>
<sst xmlns="http://schemas.openxmlformats.org/spreadsheetml/2006/main" count="629" uniqueCount="152">
  <si>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</si>
  <si>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</si>
  <si>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</si>
  <si>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</si>
  <si>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</si>
  <si>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</si>
  <si>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</si>
  <si>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</si>
  <si>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</si>
  <si>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</si>
  <si>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</si>
  <si>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</si>
  <si>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</si>
  <si>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</si>
  <si>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</si>
  <si>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</si>
  <si>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</si>
  <si>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</si>
  <si>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</si>
  <si>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</si>
  <si>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</si>
  <si>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</si>
  <si>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</si>
  <si>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</si>
  <si>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</si>
  <si>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</si>
  <si>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</si>
  <si>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</si>
  <si>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</si>
  <si>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</si>
  <si>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</si>
  <si>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</si>
  <si>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</si>
  <si>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</si>
  <si>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</si>
  <si>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</si>
  <si>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</si>
  <si>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</si>
  <si>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</si>
  <si>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</si>
  <si>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</si>
  <si>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</si>
  <si>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</si>
  <si>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</si>
  <si>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</si>
  <si>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</si>
  <si>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</si>
  <si>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</si>
  <si>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</si>
  <si>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</si>
  <si>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</si>
  <si>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</si>
  <si>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</si>
  <si>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</si>
  <si>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</si>
  <si>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</si>
  <si>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</si>
  <si>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</si>
  <si>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</si>
  <si>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</si>
  <si>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</si>
  <si>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</si>
  <si>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</si>
  <si>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</si>
  <si>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</si>
  <si>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</si>
  <si>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</si>
  <si>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</si>
  <si>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</si>
  <si>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</si>
  <si>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</si>
  <si>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</si>
  <si>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</si>
  <si>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</si>
  <si>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</si>
  <si>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</si>
  <si>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</si>
  <si>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</si>
  <si>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</si>
  <si>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</si>
  <si>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</si>
  <si>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</si>
  <si>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</si>
  <si>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</si>
  <si>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</si>
  <si>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</si>
  <si>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</si>
  <si>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</si>
  <si>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</si>
  <si>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</si>
  <si>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</si>
  <si>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</si>
  <si>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</si>
  <si>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</si>
  <si>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</si>
  <si>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</si>
  <si>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</si>
  <si>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</si>
  <si>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</si>
  <si>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</si>
  <si>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</si>
  <si>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</si>
  <si>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</si>
  <si>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</si>
  <si>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</si>
  <si>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</si>
  <si>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</si>
  <si>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</si>
  <si>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</si>
  <si>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</si>
  <si>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</si>
  <si>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</si>
  <si>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</si>
  <si>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</si>
  <si>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</si>
  <si>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</si>
  <si>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</si>
  <si>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</si>
  <si>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</si>
  <si>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</si>
  <si>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</si>
  <si>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</si>
  <si>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</si>
  <si>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</si>
  <si>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</si>
  <si>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</si>
  <si>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</si>
  <si>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</si>
  <si>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</si>
  <si>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</si>
  <si>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</si>
  <si>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</si>
  <si>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</si>
  <si>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</si>
  <si>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</si>
  <si>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</si>
  <si>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</si>
  <si>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</si>
  <si>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</si>
  <si>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</si>
  <si>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</si>
  <si>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</si>
  <si>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</si>
  <si>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31/3/ 68 รวม</t>
  </si>
  <si>
    <t>ยอดจริง ออนไลน์ วันที่  31/3/68 เช้า</t>
  </si>
  <si>
    <t>ยอดจริง ออนไลน์ วันที่  31-3-68 บ่าย</t>
  </si>
  <si>
    <t>คัพเค้กมะพร้าวไส้ครีม 4 ชิ้น</t>
  </si>
  <si>
    <t>คัพเค้กล้วยหอมไส้ครีม 4 ชิ้น</t>
  </si>
  <si>
    <t>แซนวิช ปูอัด ไร้ขอบ</t>
  </si>
  <si>
    <t>แซนวิช หมูหยองแฮมชีส ไร้ขอบ</t>
  </si>
  <si>
    <t>แซนวิชแฮมชีส ไร้ขอบ</t>
  </si>
  <si>
    <t>ปังสังขยา 4 ลูก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</si>
</sst>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0" zoomScale="60" zoomScaleNormal="60" workbookViewId="0">
      <selection activeCell="V130" sqref="V130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4</v>
      </c>
      <c r="E7" s="30">
        <v>22</v>
      </c>
      <c r="F7" s="30">
        <v>27</v>
      </c>
      <c r="G7" s="30"/>
      <c r="H7" s="30"/>
      <c r="I7" s="30"/>
      <c r="J7" s="43"/>
      <c r="K7" s="43"/>
      <c r="L7" s="36">
        <f>SUM(D7:K7)</f>
        <v>53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3</v>
      </c>
      <c r="E25" s="30">
        <v>9</v>
      </c>
      <c r="F25" s="30"/>
      <c r="G25" s="30"/>
      <c r="H25" s="30"/>
      <c r="I25" s="30"/>
      <c r="J25" s="43"/>
      <c r="K25" s="43"/>
      <c r="L25" s="36">
        <f t="shared" si="0"/>
        <v>12</v>
      </c>
    </row>
    <row r="26" spans="2:12">
      <c r="B26" s="11">
        <v>1004055</v>
      </c>
      <c r="C26" s="15" t="s">
        <v>108</v>
      </c>
      <c r="D26" s="30"/>
      <c r="E26" s="30">
        <v>4</v>
      </c>
      <c r="F26" s="30"/>
      <c r="G26" s="30">
        <v>63</v>
      </c>
      <c r="H26" s="30"/>
      <c r="I26" s="30"/>
      <c r="J26" s="43"/>
      <c r="K26" s="43"/>
      <c r="L26" s="36">
        <f t="shared" si="0"/>
        <v>67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>
        <v>45</v>
      </c>
      <c r="E56" s="30"/>
      <c r="F56" s="30"/>
      <c r="G56" s="30"/>
      <c r="H56" s="30"/>
      <c r="I56" s="30"/>
      <c r="J56" s="43"/>
      <c r="K56" s="43"/>
      <c r="L56" s="36">
        <f t="shared" si="0"/>
        <v>45</v>
      </c>
    </row>
    <row r="57" spans="2:12">
      <c r="B57" s="11">
        <v>1111075</v>
      </c>
      <c r="C57" s="15" t="s">
        <v>45</v>
      </c>
      <c r="D57" s="30">
        <v>45</v>
      </c>
      <c r="E57" s="30"/>
      <c r="F57" s="30"/>
      <c r="G57" s="30"/>
      <c r="H57" s="30"/>
      <c r="I57" s="30"/>
      <c r="J57" s="43"/>
      <c r="K57" s="43"/>
      <c r="L57" s="36">
        <f t="shared" si="0"/>
        <v>45</v>
      </c>
    </row>
    <row r="58" spans="2:12">
      <c r="B58" s="11">
        <v>1111076</v>
      </c>
      <c r="C58" s="15" t="s">
        <v>46</v>
      </c>
      <c r="D58" s="30">
        <v>45</v>
      </c>
      <c r="E58" s="30"/>
      <c r="F58" s="30"/>
      <c r="G58" s="30"/>
      <c r="H58" s="30"/>
      <c r="I58" s="30"/>
      <c r="J58" s="43"/>
      <c r="K58" s="43"/>
      <c r="L58" s="36">
        <f t="shared" si="0"/>
        <v>45</v>
      </c>
    </row>
    <row r="59" spans="2:12">
      <c r="B59" s="11">
        <v>1111077</v>
      </c>
      <c r="C59" s="15" t="s">
        <v>47</v>
      </c>
      <c r="D59" s="30">
        <v>45</v>
      </c>
      <c r="E59" s="30"/>
      <c r="F59" s="30"/>
      <c r="G59" s="30"/>
      <c r="H59" s="30"/>
      <c r="I59" s="30"/>
      <c r="J59" s="43"/>
      <c r="K59" s="43"/>
      <c r="L59" s="36">
        <f t="shared" si="0"/>
        <v>45</v>
      </c>
    </row>
    <row r="60" spans="2:12">
      <c r="B60" s="11">
        <v>1111078</v>
      </c>
      <c r="C60" s="15" t="s">
        <v>48</v>
      </c>
      <c r="D60" s="30">
        <v>44</v>
      </c>
      <c r="E60" s="30"/>
      <c r="F60" s="30"/>
      <c r="G60" s="30"/>
      <c r="H60" s="30"/>
      <c r="I60" s="30"/>
      <c r="J60" s="43"/>
      <c r="K60" s="43"/>
      <c r="L60" s="36">
        <f t="shared" si="0"/>
        <v>44</v>
      </c>
    </row>
    <row r="61" spans="2:12">
      <c r="B61" s="11">
        <v>1111079</v>
      </c>
      <c r="C61" s="15" t="s">
        <v>49</v>
      </c>
      <c r="D61" s="30">
        <v>44</v>
      </c>
      <c r="E61" s="30"/>
      <c r="F61" s="30"/>
      <c r="G61" s="30"/>
      <c r="H61" s="30"/>
      <c r="I61" s="30"/>
      <c r="J61" s="43"/>
      <c r="K61" s="43"/>
      <c r="L61" s="36">
        <f t="shared" si="0"/>
        <v>44</v>
      </c>
    </row>
    <row r="62" spans="2:12">
      <c r="B62" s="11">
        <v>1111080</v>
      </c>
      <c r="C62" s="15" t="s">
        <v>50</v>
      </c>
      <c r="D62" s="30">
        <v>44</v>
      </c>
      <c r="E62" s="30"/>
      <c r="F62" s="30"/>
      <c r="G62" s="30"/>
      <c r="H62" s="30"/>
      <c r="I62" s="30"/>
      <c r="J62" s="43"/>
      <c r="K62" s="43"/>
      <c r="L62" s="36">
        <f t="shared" si="0"/>
        <v>44</v>
      </c>
    </row>
    <row r="63" spans="2:12">
      <c r="B63" s="11">
        <v>1111081</v>
      </c>
      <c r="C63" s="15" t="s">
        <v>51</v>
      </c>
      <c r="D63" s="30">
        <v>44</v>
      </c>
      <c r="E63" s="30"/>
      <c r="F63" s="30"/>
      <c r="G63" s="30"/>
      <c r="H63" s="30"/>
      <c r="I63" s="30"/>
      <c r="J63" s="43"/>
      <c r="K63" s="43"/>
      <c r="L63" s="36">
        <f t="shared" si="0"/>
        <v>44</v>
      </c>
    </row>
    <row r="64" spans="2:12">
      <c r="B64" s="11">
        <v>1111082</v>
      </c>
      <c r="C64" s="15" t="s">
        <v>52</v>
      </c>
      <c r="D64" s="30">
        <v>44</v>
      </c>
      <c r="E64" s="30"/>
      <c r="F64" s="30"/>
      <c r="G64" s="30"/>
      <c r="H64" s="30"/>
      <c r="I64" s="30"/>
      <c r="J64" s="43"/>
      <c r="K64" s="43"/>
      <c r="L64" s="36">
        <f t="shared" si="0"/>
        <v>44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532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3</v>
      </c>
      <c r="E69" s="30">
        <v>4</v>
      </c>
      <c r="F69" s="30">
        <v>2</v>
      </c>
      <c r="G69" s="30">
        <v>2</v>
      </c>
      <c r="H69" s="30"/>
      <c r="I69" s="30"/>
      <c r="J69" s="43"/>
      <c r="K69" s="43"/>
      <c r="L69" s="36">
        <f t="shared" ref="L69:L76" si="1">SUM(D69:K69)</f>
        <v>11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6</v>
      </c>
      <c r="F87" s="30"/>
      <c r="G87" s="30">
        <v>45</v>
      </c>
      <c r="H87" s="30"/>
      <c r="I87" s="30"/>
      <c r="J87" s="43"/>
      <c r="K87" s="43"/>
      <c r="L87" s="36">
        <f t="shared" si="2"/>
        <v>51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51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5</v>
      </c>
      <c r="E90" s="30"/>
      <c r="F90" s="30"/>
      <c r="G90" s="30">
        <v>15</v>
      </c>
      <c r="H90" s="30"/>
      <c r="I90" s="30"/>
      <c r="J90" s="43"/>
      <c r="K90" s="43"/>
      <c r="L90" s="36">
        <f t="shared" ref="L90:L99" si="3">SUM(D90:K90)</f>
        <v>20</v>
      </c>
    </row>
    <row r="91" spans="2:12">
      <c r="B91" s="11">
        <v>1112011</v>
      </c>
      <c r="C91" s="19" t="s">
        <v>76</v>
      </c>
      <c r="D91" s="30">
        <v>2</v>
      </c>
      <c r="E91" s="30">
        <v>1</v>
      </c>
      <c r="F91" s="30">
        <v>8</v>
      </c>
      <c r="G91" s="30">
        <v>15</v>
      </c>
      <c r="H91" s="30"/>
      <c r="I91" s="30"/>
      <c r="J91" s="43"/>
      <c r="K91" s="43"/>
      <c r="L91" s="36">
        <f t="shared" si="3"/>
        <v>26</v>
      </c>
    </row>
    <row r="92" spans="2:12">
      <c r="B92" s="11">
        <v>1112003</v>
      </c>
      <c r="C92" s="19" t="s">
        <v>77</v>
      </c>
      <c r="D92" s="30">
        <v>2</v>
      </c>
      <c r="E92" s="30">
        <v>1</v>
      </c>
      <c r="F92" s="30"/>
      <c r="G92" s="30">
        <v>15</v>
      </c>
      <c r="H92" s="30"/>
      <c r="I92" s="30"/>
      <c r="J92" s="43"/>
      <c r="K92" s="43"/>
      <c r="L92" s="36">
        <f t="shared" si="3"/>
        <v>18</v>
      </c>
    </row>
    <row r="93" spans="2:12">
      <c r="B93" s="11">
        <v>1112005</v>
      </c>
      <c r="C93" s="19" t="s">
        <v>78</v>
      </c>
      <c r="D93" s="30">
        <v>2</v>
      </c>
      <c r="E93" s="30">
        <v>1</v>
      </c>
      <c r="F93" s="30"/>
      <c r="G93" s="30">
        <v>15</v>
      </c>
      <c r="H93" s="30"/>
      <c r="I93" s="30"/>
      <c r="J93" s="43"/>
      <c r="K93" s="43"/>
      <c r="L93" s="36">
        <f t="shared" si="3"/>
        <v>18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>
        <v>1</v>
      </c>
      <c r="F97" s="30"/>
      <c r="G97" s="30">
        <v>15</v>
      </c>
      <c r="H97" s="30"/>
      <c r="I97" s="30"/>
      <c r="J97" s="43"/>
      <c r="K97" s="43"/>
      <c r="L97" s="36">
        <f t="shared" si="3"/>
        <v>18</v>
      </c>
    </row>
    <row r="98" spans="2:12">
      <c r="B98" s="11">
        <v>1112013</v>
      </c>
      <c r="C98" s="19" t="s">
        <v>83</v>
      </c>
      <c r="D98" s="30">
        <v>1</v>
      </c>
      <c r="E98" s="30">
        <v>1</v>
      </c>
      <c r="F98" s="30"/>
      <c r="G98" s="30">
        <v>15</v>
      </c>
      <c r="H98" s="30"/>
      <c r="I98" s="30"/>
      <c r="J98" s="43"/>
      <c r="K98" s="43"/>
      <c r="L98" s="36">
        <f t="shared" si="3"/>
        <v>17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117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43"/>
      <c r="K121" s="43"/>
      <c r="L121" s="36">
        <f t="shared" si="5"/>
        <v>1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15</v>
      </c>
      <c r="F123" s="30">
        <v>4</v>
      </c>
      <c r="G123" s="30">
        <v>141</v>
      </c>
      <c r="H123" s="30"/>
      <c r="I123" s="30"/>
      <c r="J123" s="43"/>
      <c r="K123" s="43"/>
      <c r="L123" s="36">
        <f t="shared" si="5"/>
        <v>160</v>
      </c>
    </row>
    <row r="124" spans="2:12">
      <c r="B124" s="11">
        <v>1114502</v>
      </c>
      <c r="C124" s="21" t="s">
        <v>96</v>
      </c>
      <c r="D124" s="30"/>
      <c r="E124" s="30">
        <v>3</v>
      </c>
      <c r="F124" s="30"/>
      <c r="G124" s="30">
        <v>123</v>
      </c>
      <c r="H124" s="30"/>
      <c r="I124" s="30"/>
      <c r="J124" s="43"/>
      <c r="K124" s="43"/>
      <c r="L124" s="36">
        <f t="shared" si="5"/>
        <v>126</v>
      </c>
    </row>
    <row r="125" spans="2:12">
      <c r="B125" s="11">
        <v>1114503</v>
      </c>
      <c r="C125" s="21" t="s">
        <v>97</v>
      </c>
      <c r="D125" s="30"/>
      <c r="E125" s="30">
        <v>3</v>
      </c>
      <c r="F125" s="30"/>
      <c r="G125" s="30">
        <v>123</v>
      </c>
      <c r="H125" s="30"/>
      <c r="I125" s="30"/>
      <c r="J125" s="43"/>
      <c r="K125" s="43"/>
      <c r="L125" s="36">
        <f t="shared" si="5"/>
        <v>126</v>
      </c>
    </row>
    <row r="126" spans="2:12">
      <c r="B126" s="11">
        <v>1124021</v>
      </c>
      <c r="C126" s="21" t="s">
        <v>98</v>
      </c>
      <c r="D126" s="30"/>
      <c r="E126" s="30">
        <v>13</v>
      </c>
      <c r="F126" s="30"/>
      <c r="G126" s="30">
        <v>1</v>
      </c>
      <c r="H126" s="30"/>
      <c r="I126" s="30"/>
      <c r="J126" s="43"/>
      <c r="K126" s="43"/>
      <c r="L126" s="36">
        <f t="shared" si="5"/>
        <v>14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T167"/>
  <sheetViews>
    <sheetView topLeftCell="A127" zoomScale="60" zoomScaleNormal="60" workbookViewId="0">
      <selection activeCell="L141" sqref="L14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9</v>
      </c>
      <c r="F7" s="30">
        <v>15</v>
      </c>
      <c r="G7" s="30">
        <v>10</v>
      </c>
      <c r="H7" s="30"/>
      <c r="I7" s="30"/>
      <c r="J7" s="43"/>
      <c r="K7" s="43"/>
      <c r="L7" s="36">
        <f>SUM(D7:K7)</f>
        <v>34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56</v>
      </c>
      <c r="F25" s="30">
        <v>2</v>
      </c>
      <c r="G25" s="30"/>
      <c r="H25" s="30"/>
      <c r="I25" s="30"/>
      <c r="J25" s="43"/>
      <c r="K25" s="43"/>
      <c r="L25" s="36">
        <f t="shared" si="0"/>
        <v>58</v>
      </c>
    </row>
    <row r="26" spans="2:12">
      <c r="B26" s="11">
        <v>1004055</v>
      </c>
      <c r="C26" s="15" t="s">
        <v>108</v>
      </c>
      <c r="D26" s="30">
        <v>6</v>
      </c>
      <c r="E26" s="30"/>
      <c r="F26" s="30"/>
      <c r="G26" s="30">
        <v>58</v>
      </c>
      <c r="H26" s="30"/>
      <c r="I26" s="30"/>
      <c r="J26" s="43"/>
      <c r="K26" s="43"/>
      <c r="L26" s="36">
        <f t="shared" si="0"/>
        <v>64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156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1</v>
      </c>
      <c r="F69" s="30">
        <v>5</v>
      </c>
      <c r="G69" s="30">
        <v>1</v>
      </c>
      <c r="H69" s="30"/>
      <c r="I69" s="30"/>
      <c r="J69" s="43"/>
      <c r="K69" s="43"/>
      <c r="L69" s="36">
        <f t="shared" ref="L69:L76" si="1">SUM(D69:K69)</f>
        <v>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7</v>
      </c>
      <c r="E87" s="30"/>
      <c r="F87" s="30"/>
      <c r="G87" s="30">
        <v>30</v>
      </c>
      <c r="H87" s="30"/>
      <c r="I87" s="30"/>
      <c r="J87" s="43"/>
      <c r="K87" s="43"/>
      <c r="L87" s="36">
        <f t="shared" si="2"/>
        <v>37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37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6</v>
      </c>
      <c r="E90" s="30"/>
      <c r="F90" s="30">
        <v>1</v>
      </c>
      <c r="G90" s="30">
        <v>17</v>
      </c>
      <c r="H90" s="30"/>
      <c r="I90" s="30"/>
      <c r="J90" s="43"/>
      <c r="K90" s="43"/>
      <c r="L90" s="36">
        <f t="shared" ref="L90:L99" si="3">SUM(D90:K90)</f>
        <v>24</v>
      </c>
    </row>
    <row r="91" spans="2:12">
      <c r="B91" s="11">
        <v>1112011</v>
      </c>
      <c r="C91" s="19" t="s">
        <v>76</v>
      </c>
      <c r="D91" s="30"/>
      <c r="E91" s="30"/>
      <c r="F91" s="30">
        <v>3</v>
      </c>
      <c r="G91" s="30">
        <v>17</v>
      </c>
      <c r="H91" s="30"/>
      <c r="I91" s="30"/>
      <c r="J91" s="43"/>
      <c r="K91" s="43"/>
      <c r="L91" s="36">
        <f t="shared" si="3"/>
        <v>20</v>
      </c>
    </row>
    <row r="92" spans="2:12">
      <c r="B92" s="11">
        <v>1112003</v>
      </c>
      <c r="C92" s="19" t="s">
        <v>77</v>
      </c>
      <c r="D92" s="30">
        <v>6</v>
      </c>
      <c r="E92" s="30"/>
      <c r="F92" s="30">
        <v>1</v>
      </c>
      <c r="G92" s="30">
        <v>16</v>
      </c>
      <c r="H92" s="30"/>
      <c r="I92" s="30"/>
      <c r="J92" s="43"/>
      <c r="K92" s="43"/>
      <c r="L92" s="36">
        <f t="shared" si="3"/>
        <v>23</v>
      </c>
    </row>
    <row r="93" spans="2:12">
      <c r="B93" s="11">
        <v>1112005</v>
      </c>
      <c r="C93" s="19" t="s">
        <v>78</v>
      </c>
      <c r="D93" s="30">
        <v>1</v>
      </c>
      <c r="E93" s="30"/>
      <c r="F93" s="30"/>
      <c r="G93" s="30">
        <v>16</v>
      </c>
      <c r="H93" s="30"/>
      <c r="I93" s="30"/>
      <c r="J93" s="43"/>
      <c r="K93" s="43"/>
      <c r="L93" s="36">
        <f t="shared" si="3"/>
        <v>17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>
        <v>17</v>
      </c>
      <c r="H97" s="30"/>
      <c r="I97" s="30"/>
      <c r="J97" s="43"/>
      <c r="K97" s="43"/>
      <c r="L97" s="36">
        <f t="shared" si="3"/>
        <v>17</v>
      </c>
    </row>
    <row r="98" spans="2:12">
      <c r="B98" s="11">
        <v>1112013</v>
      </c>
      <c r="C98" s="19" t="s">
        <v>83</v>
      </c>
      <c r="D98" s="30"/>
      <c r="E98" s="30"/>
      <c r="F98" s="30"/>
      <c r="G98" s="30">
        <v>17</v>
      </c>
      <c r="H98" s="30"/>
      <c r="I98" s="30"/>
      <c r="J98" s="43"/>
      <c r="K98" s="43"/>
      <c r="L98" s="36">
        <f t="shared" si="3"/>
        <v>17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118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>
        <v>49</v>
      </c>
      <c r="H123" s="30"/>
      <c r="I123" s="30"/>
      <c r="J123" s="43"/>
      <c r="K123" s="43"/>
      <c r="L123" s="36">
        <f t="shared" si="5"/>
        <v>49</v>
      </c>
    </row>
    <row r="124" spans="2:12">
      <c r="B124" s="11">
        <v>1114502</v>
      </c>
      <c r="C124" s="21" t="s">
        <v>96</v>
      </c>
      <c r="D124" s="30"/>
      <c r="E124" s="30"/>
      <c r="F124" s="30">
        <v>3</v>
      </c>
      <c r="G124" s="30">
        <v>49</v>
      </c>
      <c r="H124" s="30"/>
      <c r="I124" s="30"/>
      <c r="J124" s="43"/>
      <c r="K124" s="43"/>
      <c r="L124" s="36">
        <f t="shared" si="5"/>
        <v>52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>
        <v>49</v>
      </c>
      <c r="H125" s="30"/>
      <c r="I125" s="30"/>
      <c r="J125" s="43"/>
      <c r="K125" s="43"/>
      <c r="L125" s="36">
        <f t="shared" si="5"/>
        <v>49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20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20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20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20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20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20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20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20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20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20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  <c r="T138" s="73"/>
    </row>
    <row r="139" spans="2:20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20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20">
      <c r="B141" s="50">
        <v>1004070</v>
      </c>
      <c r="C141" s="49" t="s">
        <v>146</v>
      </c>
      <c r="D141" s="74">
        <v>6</v>
      </c>
      <c r="E141" s="51"/>
      <c r="F141" s="51"/>
      <c r="G141" s="52"/>
      <c r="H141" s="9"/>
      <c r="I141" s="9"/>
      <c r="J141" s="9"/>
      <c r="K141" s="9"/>
      <c r="L141" s="36">
        <f t="shared" ref="L141:L142" si="6">SUM(D141:K141)</f>
        <v>6</v>
      </c>
    </row>
    <row r="142" spans="2:20">
      <c r="B142" s="50">
        <v>1004071</v>
      </c>
      <c r="C142" s="49" t="s">
        <v>147</v>
      </c>
      <c r="D142" s="74">
        <v>6</v>
      </c>
      <c r="E142" s="51"/>
      <c r="F142" s="51"/>
      <c r="G142" s="52"/>
      <c r="H142" s="9"/>
      <c r="I142" s="9"/>
      <c r="J142" s="9"/>
      <c r="K142" s="9"/>
      <c r="L142" s="36">
        <f t="shared" si="6"/>
        <v>6</v>
      </c>
    </row>
    <row r="143" spans="2:20">
      <c r="B143" s="50">
        <v>1005995</v>
      </c>
      <c r="C143" s="49" t="s">
        <v>148</v>
      </c>
      <c r="D143" s="74">
        <v>6</v>
      </c>
      <c r="E143" s="51"/>
      <c r="F143" s="51"/>
      <c r="G143" s="52"/>
      <c r="H143" s="9"/>
      <c r="I143" s="9"/>
      <c r="J143" s="9"/>
      <c r="K143" s="9"/>
      <c r="L143" s="36">
        <f t="shared" ref="L143:L145" si="7">SUM(D143:K143)</f>
        <v>6</v>
      </c>
    </row>
    <row r="144" spans="2:20">
      <c r="B144" s="50">
        <v>1005996</v>
      </c>
      <c r="C144" s="49" t="s">
        <v>149</v>
      </c>
      <c r="D144" s="74">
        <v>6</v>
      </c>
      <c r="E144" s="51"/>
      <c r="F144" s="51"/>
      <c r="G144" s="52"/>
      <c r="H144" s="9"/>
      <c r="I144" s="9"/>
      <c r="J144" s="9"/>
      <c r="K144" s="9"/>
      <c r="L144" s="36">
        <f t="shared" si="7"/>
        <v>6</v>
      </c>
    </row>
    <row r="145" spans="2:12">
      <c r="B145" s="50">
        <v>1005999</v>
      </c>
      <c r="C145" s="49" t="s">
        <v>150</v>
      </c>
      <c r="D145" s="74">
        <v>6</v>
      </c>
      <c r="E145" s="51"/>
      <c r="F145" s="51"/>
      <c r="G145" s="52"/>
      <c r="H145" s="9"/>
      <c r="I145" s="9"/>
      <c r="J145" s="9"/>
      <c r="K145" s="9"/>
      <c r="L145" s="36">
        <f t="shared" si="7"/>
        <v>6</v>
      </c>
    </row>
    <row r="146" spans="2:12">
      <c r="B146" s="50">
        <v>1124002</v>
      </c>
      <c r="C146" s="49" t="s">
        <v>151</v>
      </c>
      <c r="D146" s="74">
        <v>6</v>
      </c>
      <c r="E146" s="51"/>
      <c r="F146" s="51"/>
      <c r="G146" s="52"/>
      <c r="H146" s="9"/>
      <c r="I146" s="9"/>
      <c r="J146" s="9"/>
      <c r="K146" s="9"/>
      <c r="L146" s="36">
        <f t="shared" ref="L146" si="8">SUM(D146:K146)</f>
        <v>6</v>
      </c>
    </row>
    <row r="147" spans="2:12">
      <c r="B147" s="53"/>
      <c r="C147" s="54"/>
      <c r="D147" s="31"/>
      <c r="E147" s="31"/>
      <c r="F147" s="31"/>
      <c r="G147" s="26"/>
      <c r="L147" s="55"/>
    </row>
    <row r="148" spans="2:12">
      <c r="B148" s="53"/>
      <c r="C148" s="54"/>
      <c r="D148" s="31"/>
      <c r="E148" s="31"/>
      <c r="F148" s="31"/>
      <c r="G148" s="26"/>
      <c r="L148" s="55"/>
    </row>
    <row r="149" spans="2:12">
      <c r="B149" s="61" t="s">
        <v>104</v>
      </c>
      <c r="C149" s="61"/>
      <c r="D149" s="32"/>
      <c r="E149" s="57"/>
      <c r="F149" s="57"/>
      <c r="G149" s="27"/>
      <c r="H149" s="26"/>
      <c r="I149" s="61" t="s">
        <v>104</v>
      </c>
      <c r="J149" s="61"/>
      <c r="K149" s="61"/>
      <c r="L149" s="61"/>
    </row>
    <row r="150" spans="2:12">
      <c r="B150" s="57" t="s">
        <v>105</v>
      </c>
      <c r="C150" s="57"/>
      <c r="D150" s="33"/>
      <c r="E150" s="33"/>
      <c r="F150" s="33"/>
      <c r="G150" s="33"/>
      <c r="H150" s="33"/>
      <c r="I150" s="57" t="s">
        <v>106</v>
      </c>
      <c r="J150" s="57"/>
      <c r="K150" s="57"/>
      <c r="L150" s="57"/>
    </row>
    <row r="151" spans="2:12">
      <c r="B151" s="31"/>
      <c r="C151" s="31"/>
      <c r="D151" s="33"/>
      <c r="E151" s="33"/>
      <c r="F151" s="33"/>
      <c r="G151" s="33"/>
      <c r="H151" s="33"/>
      <c r="I151" s="31"/>
      <c r="J151" s="31"/>
      <c r="K151" s="31"/>
      <c r="L151" s="34"/>
    </row>
    <row r="152" spans="2:12" ht="1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ht="1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4"/>
    </row>
    <row r="154" spans="2:12" ht="1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4"/>
    </row>
    <row r="155" spans="2:12" ht="1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</sheetData>
  <mergeCells count="14">
    <mergeCell ref="B78:L78"/>
    <mergeCell ref="B89:L89"/>
    <mergeCell ref="B101:L101"/>
    <mergeCell ref="B113:L113"/>
    <mergeCell ref="B150:C150"/>
    <mergeCell ref="I150:L150"/>
    <mergeCell ref="B149:C149"/>
    <mergeCell ref="E149:F149"/>
    <mergeCell ref="I149:L149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9"/>
  <sheetViews>
    <sheetView tabSelected="1" topLeftCell="A108" zoomScale="50" zoomScaleNormal="50" workbookViewId="0">
      <selection activeCell="M140" sqref="M140:Q14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139</v>
      </c>
      <c r="P2" s="67" t="s">
        <v>140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31</v>
      </c>
      <c r="F7" s="30">
        <f>'เย็น '!F7+'เช้า '!F7+บ่าย!F7</f>
        <v>42</v>
      </c>
      <c r="G7" s="30">
        <f>'เย็น '!G7+'เช้า '!G7+บ่าย!G7</f>
        <v>10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87</v>
      </c>
      <c r="M7" s="11">
        <v>55</v>
      </c>
      <c r="N7" s="11">
        <v>1</v>
      </c>
      <c r="O7" s="11"/>
      <c r="P7" s="11">
        <v>70</v>
      </c>
      <c r="Q7" s="44">
        <f>(M7+N7+O7+P7)-L7</f>
        <v>39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65</v>
      </c>
      <c r="F25" s="30">
        <f>'เย็น '!F25+'เช้า '!F25+บ่าย!F25</f>
        <v>2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70</v>
      </c>
      <c r="M25" s="11"/>
      <c r="N25" s="11"/>
      <c r="O25" s="11"/>
      <c r="P25" s="11">
        <v>10</v>
      </c>
      <c r="Q25" s="44">
        <f t="shared" si="1"/>
        <v>-60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6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121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131</v>
      </c>
      <c r="M26" s="11">
        <v>40</v>
      </c>
      <c r="N26" s="11">
        <v>37</v>
      </c>
      <c r="O26" s="11"/>
      <c r="P26" s="11">
        <v>60</v>
      </c>
      <c r="Q26" s="44">
        <f t="shared" si="1"/>
        <v>6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/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45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45</v>
      </c>
      <c r="M56" s="11"/>
      <c r="N56" s="11"/>
      <c r="O56" s="11"/>
      <c r="P56" s="11"/>
      <c r="Q56" s="44">
        <f t="shared" si="1"/>
        <v>-45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45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45</v>
      </c>
      <c r="M57" s="11"/>
      <c r="N57" s="11"/>
      <c r="O57" s="11"/>
      <c r="P57" s="11"/>
      <c r="Q57" s="44">
        <f t="shared" si="1"/>
        <v>-45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45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45</v>
      </c>
      <c r="M58" s="11"/>
      <c r="N58" s="11"/>
      <c r="O58" s="11"/>
      <c r="P58" s="11"/>
      <c r="Q58" s="44">
        <f t="shared" si="1"/>
        <v>-45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45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45</v>
      </c>
      <c r="M59" s="11"/>
      <c r="N59" s="11"/>
      <c r="O59" s="11"/>
      <c r="P59" s="11"/>
      <c r="Q59" s="44">
        <f t="shared" si="1"/>
        <v>-45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44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44</v>
      </c>
      <c r="M60" s="11"/>
      <c r="N60" s="11"/>
      <c r="O60" s="11"/>
      <c r="P60" s="11"/>
      <c r="Q60" s="44">
        <f t="shared" si="1"/>
        <v>-44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44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44</v>
      </c>
      <c r="M61" s="11"/>
      <c r="N61" s="11"/>
      <c r="O61" s="11"/>
      <c r="P61" s="11"/>
      <c r="Q61" s="44">
        <f t="shared" si="1"/>
        <v>-44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44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44</v>
      </c>
      <c r="M62" s="11"/>
      <c r="N62" s="11"/>
      <c r="O62" s="11"/>
      <c r="P62" s="11"/>
      <c r="Q62" s="44">
        <f t="shared" si="1"/>
        <v>-44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44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44</v>
      </c>
      <c r="M63" s="11"/>
      <c r="N63" s="11"/>
      <c r="O63" s="11"/>
      <c r="P63" s="11"/>
      <c r="Q63" s="44">
        <f t="shared" si="1"/>
        <v>-44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44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44</v>
      </c>
      <c r="M64" s="11"/>
      <c r="N64" s="11"/>
      <c r="O64" s="11"/>
      <c r="P64" s="11"/>
      <c r="Q64" s="44">
        <f t="shared" si="1"/>
        <v>-44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5</v>
      </c>
      <c r="F69" s="30">
        <f>'เย็น '!F69+'เช้า '!F69+บ่าย!F69</f>
        <v>7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18</v>
      </c>
      <c r="M69" s="11">
        <v>10</v>
      </c>
      <c r="N69" s="11">
        <v>84</v>
      </c>
      <c r="O69" s="11"/>
      <c r="P69" s="11">
        <v>10</v>
      </c>
      <c r="Q69" s="44">
        <f t="shared" ref="Q69:Q76" si="5">(M69+N69+O69+P69)-L69</f>
        <v>86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7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75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88</v>
      </c>
      <c r="M87" s="11">
        <v>60</v>
      </c>
      <c r="N87" s="11">
        <v>36</v>
      </c>
      <c r="O87" s="11"/>
      <c r="P87" s="11">
        <v>60</v>
      </c>
      <c r="Q87" s="44">
        <f t="shared" si="8"/>
        <v>68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11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32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44</v>
      </c>
      <c r="M90" s="11">
        <v>284</v>
      </c>
      <c r="N90" s="11">
        <v>62</v>
      </c>
      <c r="O90" s="11"/>
      <c r="P90" s="11">
        <v>85</v>
      </c>
      <c r="Q90" s="44">
        <f t="shared" ref="Q90:Q100" si="10">(M90+N90+O90+P90)-L90</f>
        <v>387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1</v>
      </c>
      <c r="F91" s="30">
        <f>'เย็น '!F91+'เช้า '!F91+บ่าย!F91</f>
        <v>11</v>
      </c>
      <c r="G91" s="30">
        <f>'เย็น '!G91+'เช้า '!G91+บ่าย!G91</f>
        <v>32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46</v>
      </c>
      <c r="M91" s="11">
        <v>307</v>
      </c>
      <c r="N91" s="11">
        <v>99</v>
      </c>
      <c r="O91" s="11"/>
      <c r="P91" s="11">
        <v>85</v>
      </c>
      <c r="Q91" s="44">
        <f t="shared" si="10"/>
        <v>445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8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31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41</v>
      </c>
      <c r="M92" s="11">
        <v>40</v>
      </c>
      <c r="N92" s="11">
        <v>94</v>
      </c>
      <c r="O92" s="11"/>
      <c r="P92" s="11">
        <v>40</v>
      </c>
      <c r="Q92" s="44">
        <f t="shared" si="10"/>
        <v>133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35</v>
      </c>
      <c r="M93" s="11">
        <v>40</v>
      </c>
      <c r="N93" s="11">
        <v>86</v>
      </c>
      <c r="O93" s="11"/>
      <c r="P93" s="11">
        <v>40</v>
      </c>
      <c r="Q93" s="44">
        <f t="shared" si="10"/>
        <v>131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32</v>
      </c>
      <c r="H97" s="30">
        <f>'เย็น '!H97+'เช้า '!H97+บ่าย!H97</f>
        <v>0</v>
      </c>
      <c r="I97" s="30"/>
      <c r="J97" s="30"/>
      <c r="K97" s="30">
        <f>'เย็น '!K97+'เช้า '!K97+บ่าย!K97</f>
        <v>0</v>
      </c>
      <c r="L97" s="36">
        <f t="shared" si="9"/>
        <v>35</v>
      </c>
      <c r="M97" s="11">
        <v>25</v>
      </c>
      <c r="N97" s="11">
        <v>105</v>
      </c>
      <c r="O97" s="11"/>
      <c r="P97" s="11">
        <v>40</v>
      </c>
      <c r="Q97" s="44">
        <f t="shared" si="10"/>
        <v>135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32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34</v>
      </c>
      <c r="M98" s="11">
        <v>119</v>
      </c>
      <c r="N98" s="11">
        <v>83</v>
      </c>
      <c r="O98" s="11"/>
      <c r="P98" s="11">
        <v>60</v>
      </c>
      <c r="Q98" s="44">
        <f t="shared" si="10"/>
        <v>228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235</v>
      </c>
      <c r="M100" s="11">
        <f>SUM(M90:M99)</f>
        <v>815</v>
      </c>
      <c r="N100" s="11">
        <f>SUM(N90:N99)</f>
        <v>529</v>
      </c>
      <c r="O100" s="11">
        <f>SUM(O90:O99)</f>
        <v>0</v>
      </c>
      <c r="P100" s="11">
        <f>SUM(P90:P99)</f>
        <v>350</v>
      </c>
      <c r="Q100" s="44">
        <f t="shared" si="10"/>
        <v>1459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</v>
      </c>
      <c r="M121" s="11"/>
      <c r="N121" s="11">
        <v>28</v>
      </c>
      <c r="O121" s="11"/>
      <c r="P121" s="11"/>
      <c r="Q121" s="44">
        <f t="shared" si="14"/>
        <v>27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15</v>
      </c>
      <c r="F123" s="30">
        <f>'เย็น '!F123+'เช้า '!F123+บ่าย!F123</f>
        <v>4</v>
      </c>
      <c r="G123" s="30">
        <f>'เย็น '!G123+'เช้า '!G123+บ่าย!G123</f>
        <v>190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209</v>
      </c>
      <c r="M123" s="11">
        <v>340</v>
      </c>
      <c r="N123" s="11">
        <v>189</v>
      </c>
      <c r="O123" s="11"/>
      <c r="P123" s="11">
        <v>200</v>
      </c>
      <c r="Q123" s="44">
        <f t="shared" si="14"/>
        <v>520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3</v>
      </c>
      <c r="F124" s="30">
        <f>'เย็น '!F124+'เช้า '!F124+บ่าย!F124</f>
        <v>3</v>
      </c>
      <c r="G124" s="30">
        <f>'เย็น '!G124+'เช้า '!G124+บ่าย!G124</f>
        <v>172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178</v>
      </c>
      <c r="M124" s="11">
        <v>257</v>
      </c>
      <c r="N124" s="11">
        <v>158</v>
      </c>
      <c r="O124" s="11"/>
      <c r="P124" s="11">
        <v>150</v>
      </c>
      <c r="Q124" s="44">
        <f t="shared" si="14"/>
        <v>387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3</v>
      </c>
      <c r="F125" s="30">
        <f>'เย็น '!F125+'เช้า '!F125+บ่าย!F125</f>
        <v>0</v>
      </c>
      <c r="G125" s="30">
        <f>'เย็น '!G125+'เช้า '!G125+บ่าย!G125</f>
        <v>172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175</v>
      </c>
      <c r="M125" s="11">
        <v>157</v>
      </c>
      <c r="N125" s="11">
        <v>58</v>
      </c>
      <c r="O125" s="11"/>
      <c r="P125" s="11">
        <v>100</v>
      </c>
      <c r="Q125" s="44">
        <f t="shared" si="14"/>
        <v>140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13</v>
      </c>
      <c r="F126" s="30">
        <f>'เย็น '!F126+'เช้า '!F126+บ่าย!F126</f>
        <v>0</v>
      </c>
      <c r="G126" s="30">
        <f>'เย็น '!G126+'เช้า '!G126+บ่าย!G126</f>
        <v>1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14</v>
      </c>
      <c r="M126" s="11">
        <v>30</v>
      </c>
      <c r="N126" s="11">
        <v>30</v>
      </c>
      <c r="O126" s="11"/>
      <c r="P126" s="11">
        <v>30</v>
      </c>
      <c r="Q126" s="44">
        <f t="shared" si="14"/>
        <v>76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>
      <c r="B141" s="50">
        <v>1004070</v>
      </c>
      <c r="C141" s="49" t="s">
        <v>146</v>
      </c>
      <c r="D141" s="30">
        <f>'เย็น '!D141+'เช้า '!D141+บ่าย!D141</f>
        <v>6</v>
      </c>
      <c r="E141" s="30">
        <f>'เย็น '!E141+'เช้า '!E141+บ่าย!E141</f>
        <v>0</v>
      </c>
      <c r="F141" s="30">
        <f>'เย็น '!F141+'เช้า '!F141+บ่าย!F141</f>
        <v>0</v>
      </c>
      <c r="G141" s="30">
        <f>'เย็น '!G141+'เช้า '!G141+บ่าย!G141</f>
        <v>0</v>
      </c>
      <c r="H141" s="30">
        <f>'เย็น '!H141+'เช้า '!H141+บ่าย!H141</f>
        <v>0</v>
      </c>
      <c r="I141" s="30">
        <f>'เย็น '!I141+'เช้า '!I141+บ่าย!I141</f>
        <v>0</v>
      </c>
      <c r="J141" s="30">
        <f>'เย็น '!J141+'เช้า '!J141+บ่าย!J141</f>
        <v>0</v>
      </c>
      <c r="K141" s="30">
        <f>'เย็น '!K141+'เช้า '!K141+บ่าย!K141</f>
        <v>0</v>
      </c>
      <c r="L141" s="36">
        <f t="shared" ref="L141:L146" si="15">SUM(D141:K141)</f>
        <v>6</v>
      </c>
      <c r="M141" s="11"/>
      <c r="N141" s="11"/>
      <c r="O141" s="11"/>
      <c r="P141" s="11"/>
      <c r="Q141" s="44">
        <f t="shared" ref="Q141:Q146" si="16">(M141+N141+O141+P141)-L141</f>
        <v>-6</v>
      </c>
    </row>
    <row r="142" spans="2:17">
      <c r="B142" s="50">
        <v>1004071</v>
      </c>
      <c r="C142" s="49" t="s">
        <v>147</v>
      </c>
      <c r="D142" s="30">
        <f>'เย็น '!D142+'เช้า '!D142+บ่าย!D142</f>
        <v>6</v>
      </c>
      <c r="E142" s="30">
        <f>'เย็น '!E142+'เช้า '!E142+บ่าย!E142</f>
        <v>0</v>
      </c>
      <c r="F142" s="30">
        <f>'เย็น '!F142+'เช้า '!F142+บ่าย!F142</f>
        <v>0</v>
      </c>
      <c r="G142" s="30">
        <f>'เย็น '!G142+'เช้า '!G142+บ่าย!G142</f>
        <v>0</v>
      </c>
      <c r="H142" s="30">
        <f>'เย็น '!H142+'เช้า '!H142+บ่าย!H142</f>
        <v>0</v>
      </c>
      <c r="I142" s="30">
        <f>'เย็น '!I142+'เช้า '!I142+บ่าย!I142</f>
        <v>0</v>
      </c>
      <c r="J142" s="30">
        <f>'เย็น '!J142+'เช้า '!J142+บ่าย!J142</f>
        <v>0</v>
      </c>
      <c r="K142" s="30">
        <f>'เย็น '!K142+'เช้า '!K142+บ่าย!K142</f>
        <v>0</v>
      </c>
      <c r="L142" s="36">
        <f t="shared" si="15"/>
        <v>6</v>
      </c>
      <c r="M142" s="11"/>
      <c r="N142" s="11"/>
      <c r="O142" s="11"/>
      <c r="P142" s="11"/>
      <c r="Q142" s="44">
        <f t="shared" si="16"/>
        <v>-6</v>
      </c>
    </row>
    <row r="143" spans="2:17">
      <c r="B143" s="50">
        <v>1005995</v>
      </c>
      <c r="C143" s="49" t="s">
        <v>148</v>
      </c>
      <c r="D143" s="30">
        <f>'เย็น '!D143+'เช้า '!D143+บ่าย!D143</f>
        <v>6</v>
      </c>
      <c r="E143" s="30">
        <f>'เย็น '!E143+'เช้า '!E143+บ่าย!E143</f>
        <v>0</v>
      </c>
      <c r="F143" s="30">
        <f>'เย็น '!F143+'เช้า '!F143+บ่าย!F143</f>
        <v>0</v>
      </c>
      <c r="G143" s="30">
        <f>'เย็น '!G143+'เช้า '!G143+บ่าย!G143</f>
        <v>0</v>
      </c>
      <c r="H143" s="30">
        <f>'เย็น '!H143+'เช้า '!H143+บ่าย!H143</f>
        <v>0</v>
      </c>
      <c r="I143" s="30"/>
      <c r="J143" s="30">
        <f>'เย็น '!J143+'เช้า '!J143+บ่าย!J143</f>
        <v>0</v>
      </c>
      <c r="K143" s="30">
        <f>'เย็น '!K143+'เช้า '!K143+บ่าย!K143</f>
        <v>0</v>
      </c>
      <c r="L143" s="36">
        <f t="shared" si="15"/>
        <v>6</v>
      </c>
      <c r="M143" s="11"/>
      <c r="N143" s="11"/>
      <c r="O143" s="11"/>
      <c r="P143" s="11"/>
      <c r="Q143" s="44">
        <f t="shared" si="16"/>
        <v>-6</v>
      </c>
    </row>
    <row r="144" spans="2:17">
      <c r="B144" s="50">
        <v>1005996</v>
      </c>
      <c r="C144" s="49" t="s">
        <v>149</v>
      </c>
      <c r="D144" s="30">
        <f>'เย็น '!D144+'เช้า '!D144+บ่าย!D144</f>
        <v>6</v>
      </c>
      <c r="E144" s="30">
        <f>'เย็น '!E144+'เช้า '!E144+บ่าย!E144</f>
        <v>0</v>
      </c>
      <c r="F144" s="30">
        <f>'เย็น '!F144+'เช้า '!F144+บ่าย!F144</f>
        <v>0</v>
      </c>
      <c r="G144" s="30">
        <f>'เย็น '!G144+'เช้า '!G144+บ่าย!G144</f>
        <v>0</v>
      </c>
      <c r="H144" s="30">
        <f>'เย็น '!H144+'เช้า '!H144+บ่าย!H144</f>
        <v>0</v>
      </c>
      <c r="I144" s="30"/>
      <c r="J144" s="30">
        <f>'เย็น '!J144+'เช้า '!J144+บ่าย!J144</f>
        <v>0</v>
      </c>
      <c r="K144" s="30">
        <f>'เย็น '!K144+'เช้า '!K144+บ่าย!K144</f>
        <v>0</v>
      </c>
      <c r="L144" s="36">
        <f t="shared" si="15"/>
        <v>6</v>
      </c>
      <c r="M144" s="11"/>
      <c r="N144" s="11"/>
      <c r="O144" s="11"/>
      <c r="P144" s="11"/>
      <c r="Q144" s="44">
        <f t="shared" si="16"/>
        <v>-6</v>
      </c>
    </row>
    <row r="145" spans="2:17">
      <c r="B145" s="50">
        <v>1005999</v>
      </c>
      <c r="C145" s="49" t="s">
        <v>150</v>
      </c>
      <c r="D145" s="30">
        <f>'เย็น '!D145+'เช้า '!D145+บ่าย!D145</f>
        <v>6</v>
      </c>
      <c r="E145" s="30">
        <f>'เย็น '!E145+'เช้า '!E145+บ่าย!E145</f>
        <v>0</v>
      </c>
      <c r="F145" s="30">
        <f>'เย็น '!F145+'เช้า '!F145+บ่าย!F145</f>
        <v>0</v>
      </c>
      <c r="G145" s="30">
        <f>'เย็น '!G145+'เช้า '!G145+บ่าย!G145</f>
        <v>0</v>
      </c>
      <c r="H145" s="30">
        <f>'เย็น '!H145+'เช้า '!H145+บ่าย!H145</f>
        <v>0</v>
      </c>
      <c r="I145" s="30">
        <f>'เย็น '!I145+'เช้า '!I145+บ่าย!I145</f>
        <v>0</v>
      </c>
      <c r="J145" s="30">
        <f>'เย็น '!J145+'เช้า '!J145+บ่าย!J145</f>
        <v>0</v>
      </c>
      <c r="K145" s="30">
        <f>'เย็น '!K145+'เช้า '!K145+บ่าย!K145</f>
        <v>0</v>
      </c>
      <c r="L145" s="36">
        <f t="shared" si="15"/>
        <v>6</v>
      </c>
      <c r="M145" s="11"/>
      <c r="N145" s="11"/>
      <c r="O145" s="11"/>
      <c r="P145" s="11"/>
      <c r="Q145" s="44">
        <f t="shared" si="16"/>
        <v>-6</v>
      </c>
    </row>
    <row r="146" spans="2:17">
      <c r="B146" s="50">
        <v>1124002</v>
      </c>
      <c r="C146" s="49" t="s">
        <v>151</v>
      </c>
      <c r="D146" s="30">
        <f>'เย็น '!D146+'เช้า '!D146+บ่าย!D146</f>
        <v>6</v>
      </c>
      <c r="E146" s="30">
        <f>'เย็น '!E146+'เช้า '!E146+บ่าย!E146</f>
        <v>0</v>
      </c>
      <c r="F146" s="30">
        <f>'เย็น '!F146+'เช้า '!F146+บ่าย!F146</f>
        <v>0</v>
      </c>
      <c r="G146" s="30">
        <f>'เย็น '!G146+'เช้า '!G146+บ่าย!G146</f>
        <v>0</v>
      </c>
      <c r="H146" s="30">
        <f>'เย็น '!H146+'เช้า '!H146+บ่าย!H146</f>
        <v>0</v>
      </c>
      <c r="I146" s="30">
        <f>'เย็น '!I146+'เช้า '!I146+บ่าย!I146</f>
        <v>0</v>
      </c>
      <c r="J146" s="30">
        <f>'เย็น '!J146+'เช้า '!J146+บ่าย!J146</f>
        <v>0</v>
      </c>
      <c r="K146" s="30">
        <f>'เย็น '!K146+'เช้า '!K146+บ่าย!K146</f>
        <v>0</v>
      </c>
      <c r="L146" s="36">
        <f t="shared" si="15"/>
        <v>6</v>
      </c>
      <c r="M146" s="11"/>
      <c r="N146" s="11"/>
      <c r="O146" s="11"/>
      <c r="P146" s="11"/>
      <c r="Q146" s="44">
        <f t="shared" si="16"/>
        <v>-6</v>
      </c>
    </row>
    <row r="147" spans="2:17" ht="40.5" customHeight="1">
      <c r="C147" s="35"/>
      <c r="D147" s="36">
        <f>SUM(D114:D146,D90:D99,D79:D87,D69:D76,D7:D66,D102:D111)</f>
        <v>486</v>
      </c>
      <c r="E147" s="36">
        <f t="shared" ref="E147:K147" si="17">SUM(E114:E146,E90:E99,E79:E87,E69:E76,E7:E66,E102:E111)</f>
        <v>151</v>
      </c>
      <c r="F147" s="36">
        <f t="shared" si="17"/>
        <v>71</v>
      </c>
      <c r="G147" s="36">
        <f t="shared" si="17"/>
        <v>934</v>
      </c>
      <c r="H147" s="36">
        <f t="shared" si="17"/>
        <v>0</v>
      </c>
      <c r="I147" s="36">
        <f t="shared" si="17"/>
        <v>0</v>
      </c>
      <c r="J147" s="36">
        <f t="shared" si="17"/>
        <v>0</v>
      </c>
      <c r="K147" s="36">
        <f t="shared" si="17"/>
        <v>0</v>
      </c>
      <c r="L147" s="36">
        <f>SUM(L114:L140,L90:L99,L79:L87,L69:L76,L7:L66,L102:L111)</f>
        <v>1606</v>
      </c>
      <c r="M147" s="36">
        <f>SUM(M114:M140,M90:M99,M79:M87,M69:M76,M7:M66,M102:M111)</f>
        <v>1764</v>
      </c>
      <c r="N147" s="36">
        <f t="shared" ref="N147" si="18">SUM(N114:N140,N90:N99,N79:N87,N69:N76,N7:N66,N102:N111)</f>
        <v>1150</v>
      </c>
      <c r="O147" s="36">
        <f t="shared" ref="O147" si="19">SUM(O114:O140,O90:O99,O79:O87,O69:O76,O7:O66,O102:O111)</f>
        <v>0</v>
      </c>
      <c r="P147" s="36">
        <f t="shared" ref="P147" si="20">SUM(P114:P140,P90:P99,P79:P87,P69:P76,P7:P66,P102:P111)</f>
        <v>1040</v>
      </c>
      <c r="Q147" s="36">
        <f t="shared" ref="Q147" si="21">SUM(Q114:Q140,Q90:Q99,Q79:Q87,Q69:Q76,Q7:Q66,Q102:Q111)</f>
        <v>2348</v>
      </c>
    </row>
    <row r="148" spans="2:17">
      <c r="B148" s="37"/>
      <c r="C148" s="35"/>
      <c r="D148" s="38"/>
      <c r="E148" s="38"/>
      <c r="F148" s="38"/>
      <c r="G148" s="38"/>
      <c r="H148" s="38"/>
      <c r="I148" s="38"/>
      <c r="J148" s="38"/>
      <c r="K148" s="38"/>
      <c r="L148" s="39"/>
    </row>
    <row r="149" spans="2:17">
      <c r="B149" s="37"/>
      <c r="C149" s="35"/>
      <c r="D149" s="38"/>
      <c r="E149" s="38"/>
      <c r="F149" s="38"/>
      <c r="G149" s="38"/>
      <c r="H149" s="38"/>
      <c r="I149" s="38"/>
      <c r="J149" s="38"/>
      <c r="K149" s="38"/>
      <c r="L149" s="39"/>
    </row>
    <row r="150" spans="2:17">
      <c r="C150" s="24"/>
      <c r="D150" s="31"/>
      <c r="E150" s="61"/>
      <c r="F150" s="61"/>
      <c r="G150" s="26"/>
      <c r="L150" s="40"/>
    </row>
    <row r="151" spans="2:17">
      <c r="B151" s="61" t="s">
        <v>104</v>
      </c>
      <c r="C151" s="61"/>
      <c r="D151" s="32"/>
      <c r="E151" s="57"/>
      <c r="F151" s="57"/>
      <c r="G151" s="27"/>
      <c r="H151" s="26"/>
      <c r="I151" s="61" t="s">
        <v>104</v>
      </c>
      <c r="J151" s="61"/>
      <c r="K151" s="61"/>
      <c r="L151" s="61"/>
    </row>
    <row r="152" spans="2:17">
      <c r="B152" s="57" t="s">
        <v>105</v>
      </c>
      <c r="C152" s="57"/>
      <c r="D152" s="33"/>
      <c r="E152" s="33"/>
      <c r="F152" s="33"/>
      <c r="G152" s="33"/>
      <c r="H152" s="33"/>
      <c r="I152" s="57" t="s">
        <v>106</v>
      </c>
      <c r="J152" s="57"/>
      <c r="K152" s="57"/>
      <c r="L152" s="57"/>
    </row>
    <row r="153" spans="2:17">
      <c r="B153" s="31"/>
      <c r="C153" s="31"/>
      <c r="D153" s="33"/>
      <c r="E153" s="33"/>
      <c r="F153" s="33"/>
      <c r="G153" s="33"/>
      <c r="H153" s="33"/>
      <c r="I153" s="31"/>
      <c r="J153" s="31"/>
      <c r="K153" s="31"/>
      <c r="L153" s="34"/>
    </row>
    <row r="154" spans="2:17" ht="21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4"/>
    </row>
    <row r="155" spans="2:17" ht="21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4"/>
    </row>
    <row r="156" spans="2:17" ht="21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7" ht="21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7" ht="21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7">
      <c r="D159" s="31"/>
      <c r="E159" s="31"/>
      <c r="F159" s="31"/>
      <c r="G159" s="31"/>
      <c r="H159" s="31"/>
    </row>
    <row r="160" spans="2:17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2:C152"/>
    <mergeCell ref="I152:L152"/>
    <mergeCell ref="B101:Q101"/>
    <mergeCell ref="B113:Q113"/>
    <mergeCell ref="E150:F150"/>
    <mergeCell ref="B151:C151"/>
    <mergeCell ref="E151:F151"/>
    <mergeCell ref="I151:L15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2025-03-31T06:19:43Z</cp:lastPrinted>
  <dcterms:created xsi:type="dcterms:W3CDTF">2024-04-30T05:21:27Z</dcterms:created>
  <dcterms:modified xsi:type="dcterms:W3CDTF">2025-03-31T06:28:37Z</dcterms:modified>
</cp:coreProperties>
</file>