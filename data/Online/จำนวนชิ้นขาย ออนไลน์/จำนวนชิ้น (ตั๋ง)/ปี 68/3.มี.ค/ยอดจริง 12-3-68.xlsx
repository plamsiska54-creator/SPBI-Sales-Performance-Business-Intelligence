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52EF632-3270-4D19-B994-C2CD68EE777B}" xr6:coauthVersionLast="47" xr6:coauthVersionMax="47" xr10:uidLastSave="{00000000-0000-0000-0000-000000000000}"/>
  <bookViews>
    <workbookView xWindow="-120" yWindow="-120" windowWidth="29040" windowHeight="15720" activeTab="1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" i="5" l="1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L102" i="5"/>
  <c r="L103" i="5"/>
  <c r="L104" i="5"/>
  <c r="L105" i="5"/>
  <c r="L106" i="5"/>
  <c r="L107" i="5"/>
  <c r="L108" i="5"/>
  <c r="L109" i="5"/>
  <c r="L110" i="5"/>
  <c r="L111" i="5"/>
  <c r="L112" i="5"/>
  <c r="L119" i="5" l="1"/>
  <c r="L120" i="5"/>
  <c r="Q120" i="5" s="1"/>
  <c r="L121" i="5"/>
  <c r="Q121" i="5" s="1"/>
  <c r="L122" i="5"/>
  <c r="Q122" i="5" s="1"/>
  <c r="L124" i="5"/>
  <c r="Q124" i="5" s="1"/>
  <c r="H120" i="5"/>
  <c r="I120" i="5"/>
  <c r="J120" i="5"/>
  <c r="K120" i="5"/>
  <c r="Q117" i="5"/>
  <c r="Q118" i="5"/>
  <c r="Q119" i="5"/>
  <c r="Q127" i="5"/>
  <c r="Q128" i="5"/>
  <c r="Q129" i="5"/>
  <c r="Q135" i="5"/>
  <c r="Q136" i="5"/>
  <c r="Q138" i="5"/>
  <c r="Q139" i="5"/>
  <c r="Q140" i="5"/>
  <c r="D115" i="5"/>
  <c r="E115" i="5"/>
  <c r="F115" i="5"/>
  <c r="G115" i="5"/>
  <c r="H115" i="5"/>
  <c r="I115" i="5"/>
  <c r="J115" i="5"/>
  <c r="L115" i="5" s="1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L117" i="5" s="1"/>
  <c r="H117" i="5"/>
  <c r="I117" i="5"/>
  <c r="J117" i="5"/>
  <c r="K117" i="5"/>
  <c r="D118" i="5"/>
  <c r="E118" i="5"/>
  <c r="F118" i="5"/>
  <c r="G118" i="5"/>
  <c r="H118" i="5"/>
  <c r="I118" i="5"/>
  <c r="J118" i="5"/>
  <c r="L118" i="5" s="1"/>
  <c r="K118" i="5"/>
  <c r="D119" i="5"/>
  <c r="E119" i="5"/>
  <c r="F119" i="5"/>
  <c r="G119" i="5"/>
  <c r="H119" i="5"/>
  <c r="I119" i="5"/>
  <c r="J119" i="5"/>
  <c r="K119" i="5"/>
  <c r="D120" i="5"/>
  <c r="E120" i="5"/>
  <c r="G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L123" i="5" s="1"/>
  <c r="Q123" i="5" s="1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L125" i="5" s="1"/>
  <c r="Q125" i="5" s="1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L128" i="5" s="1"/>
  <c r="K128" i="5"/>
  <c r="D129" i="5"/>
  <c r="E129" i="5"/>
  <c r="F129" i="5"/>
  <c r="G129" i="5"/>
  <c r="H129" i="5"/>
  <c r="I129" i="5"/>
  <c r="J129" i="5"/>
  <c r="K129" i="5"/>
  <c r="L129" i="5" s="1"/>
  <c r="D130" i="5"/>
  <c r="E130" i="5"/>
  <c r="F130" i="5"/>
  <c r="G130" i="5"/>
  <c r="H130" i="5"/>
  <c r="L130" i="5" s="1"/>
  <c r="I130" i="5"/>
  <c r="J130" i="5"/>
  <c r="K130" i="5"/>
  <c r="D131" i="5"/>
  <c r="E131" i="5"/>
  <c r="F131" i="5"/>
  <c r="G131" i="5"/>
  <c r="L131" i="5" s="1"/>
  <c r="H131" i="5"/>
  <c r="I131" i="5"/>
  <c r="J131" i="5"/>
  <c r="K131" i="5"/>
  <c r="D132" i="5"/>
  <c r="E132" i="5"/>
  <c r="F132" i="5"/>
  <c r="L132" i="5" s="1"/>
  <c r="G132" i="5"/>
  <c r="H132" i="5"/>
  <c r="I132" i="5"/>
  <c r="J132" i="5"/>
  <c r="K132" i="5"/>
  <c r="D133" i="5"/>
  <c r="L133" i="5" s="1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L134" i="5" s="1"/>
  <c r="K134" i="5"/>
  <c r="D135" i="5"/>
  <c r="E135" i="5"/>
  <c r="F135" i="5"/>
  <c r="G135" i="5"/>
  <c r="H135" i="5"/>
  <c r="I135" i="5"/>
  <c r="J135" i="5"/>
  <c r="K135" i="5"/>
  <c r="L135" i="5" s="1"/>
  <c r="D136" i="5"/>
  <c r="E136" i="5"/>
  <c r="F136" i="5"/>
  <c r="G136" i="5"/>
  <c r="L136" i="5" s="1"/>
  <c r="H136" i="5"/>
  <c r="I136" i="5"/>
  <c r="J136" i="5"/>
  <c r="K136" i="5"/>
  <c r="D137" i="5"/>
  <c r="L137" i="5" s="1"/>
  <c r="Q137" i="5" s="1"/>
  <c r="E137" i="5"/>
  <c r="F137" i="5"/>
  <c r="G137" i="5"/>
  <c r="H137" i="5"/>
  <c r="I137" i="5"/>
  <c r="J137" i="5"/>
  <c r="K137" i="5"/>
  <c r="D138" i="5"/>
  <c r="E138" i="5"/>
  <c r="F138" i="5"/>
  <c r="G138" i="5"/>
  <c r="L138" i="5" s="1"/>
  <c r="H138" i="5"/>
  <c r="I138" i="5"/>
  <c r="J138" i="5"/>
  <c r="K138" i="5"/>
  <c r="D139" i="5"/>
  <c r="L139" i="5" s="1"/>
  <c r="E139" i="5"/>
  <c r="F139" i="5"/>
  <c r="G139" i="5"/>
  <c r="H139" i="5"/>
  <c r="I139" i="5"/>
  <c r="J139" i="5"/>
  <c r="K139" i="5"/>
  <c r="D140" i="5"/>
  <c r="E140" i="5"/>
  <c r="F140" i="5"/>
  <c r="L140" i="5" s="1"/>
  <c r="G140" i="5"/>
  <c r="H140" i="5"/>
  <c r="I140" i="5"/>
  <c r="J140" i="5"/>
  <c r="K140" i="5"/>
  <c r="D141" i="5"/>
  <c r="E141" i="5"/>
  <c r="F141" i="5"/>
  <c r="G141" i="5"/>
  <c r="L141" i="5" s="1"/>
  <c r="H141" i="5"/>
  <c r="I141" i="5"/>
  <c r="J141" i="5"/>
  <c r="K141" i="5"/>
  <c r="E114" i="5"/>
  <c r="F114" i="5"/>
  <c r="G114" i="5"/>
  <c r="H114" i="5"/>
  <c r="I114" i="5"/>
  <c r="J114" i="5"/>
  <c r="K114" i="5"/>
  <c r="D114" i="5"/>
  <c r="L114" i="5" s="1"/>
  <c r="L127" i="5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34" i="4"/>
  <c r="L135" i="4"/>
  <c r="L136" i="4"/>
  <c r="L137" i="4"/>
  <c r="L138" i="4"/>
  <c r="L139" i="4"/>
  <c r="L130" i="4"/>
  <c r="L131" i="4"/>
  <c r="L132" i="4"/>
  <c r="L133" i="4"/>
  <c r="L140" i="4"/>
  <c r="Q77" i="5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1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6" i="5" l="1"/>
  <c r="Q116" i="5" s="1"/>
  <c r="L126" i="5"/>
  <c r="Q126" i="5" s="1"/>
  <c r="Q134" i="5"/>
  <c r="Q132" i="5"/>
  <c r="Q133" i="5"/>
  <c r="Q131" i="5"/>
  <c r="L112" i="6"/>
  <c r="L112" i="3"/>
  <c r="Q130" i="5"/>
  <c r="L90" i="5"/>
  <c r="Q90" i="5" s="1"/>
  <c r="L93" i="5"/>
  <c r="Q93" i="5" s="1"/>
  <c r="L95" i="5"/>
  <c r="Q95" i="5" s="1"/>
  <c r="L94" i="5"/>
  <c r="Q94" i="5" s="1"/>
  <c r="L96" i="5"/>
  <c r="Q96" i="5" s="1"/>
  <c r="L87" i="5"/>
  <c r="Q87" i="5" s="1"/>
  <c r="Q115" i="5"/>
  <c r="L92" i="5"/>
  <c r="Q92" i="5" s="1"/>
  <c r="L98" i="5"/>
  <c r="Q98" i="5" s="1"/>
  <c r="L97" i="5"/>
  <c r="Q97" i="5" s="1"/>
  <c r="L91" i="5"/>
  <c r="Q91" i="5" s="1"/>
  <c r="Q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Q102" i="5" l="1"/>
  <c r="L79" i="5"/>
  <c r="Q79" i="5" s="1"/>
  <c r="L70" i="5"/>
  <c r="Q70" i="5" s="1"/>
  <c r="L75" i="5"/>
  <c r="Q75" i="5" s="1"/>
  <c r="L73" i="5"/>
  <c r="Q73" i="5" s="1"/>
  <c r="L27" i="5"/>
  <c r="Q109" i="5"/>
  <c r="L72" i="5"/>
  <c r="Q72" i="5" s="1"/>
  <c r="L11" i="5"/>
  <c r="Q11" i="5" s="1"/>
  <c r="L76" i="5"/>
  <c r="Q76" i="5" s="1"/>
  <c r="L59" i="5"/>
  <c r="Q59" i="5" s="1"/>
  <c r="L43" i="5"/>
  <c r="Q43" i="5" s="1"/>
  <c r="L7" i="5"/>
  <c r="Q111" i="5"/>
  <c r="L54" i="5"/>
  <c r="Q54" i="5" s="1"/>
  <c r="L38" i="5"/>
  <c r="L71" i="5"/>
  <c r="Q71" i="5" s="1"/>
  <c r="L47" i="5"/>
  <c r="Q47" i="5" s="1"/>
  <c r="L15" i="5"/>
  <c r="Q15" i="5" s="1"/>
  <c r="L8" i="5"/>
  <c r="Q8" i="5" s="1"/>
  <c r="L49" i="5"/>
  <c r="Q49" i="5" s="1"/>
  <c r="L33" i="5"/>
  <c r="L17" i="5"/>
  <c r="Q17" i="5" s="1"/>
  <c r="L81" i="5"/>
  <c r="Q81" i="5" s="1"/>
  <c r="L58" i="5"/>
  <c r="Q58" i="5" s="1"/>
  <c r="L42" i="5"/>
  <c r="L26" i="5"/>
  <c r="L10" i="5"/>
  <c r="Q10" i="5" s="1"/>
  <c r="L69" i="5"/>
  <c r="Q69" i="5" s="1"/>
  <c r="Q108" i="5"/>
  <c r="L20" i="5"/>
  <c r="Q20" i="5" s="1"/>
  <c r="L52" i="5"/>
  <c r="Q52" i="5" s="1"/>
  <c r="L61" i="5"/>
  <c r="Q61" i="5" s="1"/>
  <c r="L28" i="5"/>
  <c r="L12" i="5"/>
  <c r="Q12" i="5" s="1"/>
  <c r="Q110" i="5"/>
  <c r="L53" i="5"/>
  <c r="Q53" i="5" s="1"/>
  <c r="L37" i="5"/>
  <c r="L21" i="5"/>
  <c r="Q21" i="5" s="1"/>
  <c r="L85" i="5"/>
  <c r="Q85" i="5" s="1"/>
  <c r="Q103" i="5"/>
  <c r="L84" i="5"/>
  <c r="Q84" i="5" s="1"/>
  <c r="L29" i="5"/>
  <c r="Q105" i="5"/>
  <c r="L31" i="5"/>
  <c r="L56" i="5"/>
  <c r="Q56" i="5" s="1"/>
  <c r="Q106" i="5"/>
  <c r="L51" i="5"/>
  <c r="Q51" i="5" s="1"/>
  <c r="L19" i="5"/>
  <c r="Q19" i="5" s="1"/>
  <c r="L83" i="5"/>
  <c r="Q83" i="5" s="1"/>
  <c r="L46" i="5"/>
  <c r="Q46" i="5" s="1"/>
  <c r="L30" i="5"/>
  <c r="L55" i="5"/>
  <c r="Q55" i="5" s="1"/>
  <c r="L39" i="5"/>
  <c r="L64" i="5"/>
  <c r="Q64" i="5" s="1"/>
  <c r="L48" i="5"/>
  <c r="Q48" i="5" s="1"/>
  <c r="L32" i="5"/>
  <c r="L16" i="5"/>
  <c r="Q16" i="5" s="1"/>
  <c r="L74" i="5"/>
  <c r="Q74" i="5" s="1"/>
  <c r="L80" i="5"/>
  <c r="Q80" i="5" s="1"/>
  <c r="L13" i="5"/>
  <c r="Q13" i="5" s="1"/>
  <c r="L86" i="5"/>
  <c r="Q86" i="5" s="1"/>
  <c r="L40" i="5"/>
  <c r="L24" i="5"/>
  <c r="Q24" i="5" s="1"/>
  <c r="L65" i="5"/>
  <c r="Q65" i="5" s="1"/>
  <c r="L60" i="5"/>
  <c r="Q60" i="5" s="1"/>
  <c r="L14" i="5"/>
  <c r="Q14" i="5" s="1"/>
  <c r="L57" i="5"/>
  <c r="Q57" i="5" s="1"/>
  <c r="L41" i="5"/>
  <c r="L25" i="5"/>
  <c r="Q25" i="5" s="1"/>
  <c r="L9" i="5"/>
  <c r="Q9" i="5" s="1"/>
  <c r="Q107" i="5"/>
  <c r="L36" i="5"/>
  <c r="L45" i="5"/>
  <c r="Q45" i="5" s="1"/>
  <c r="L22" i="5"/>
  <c r="Q22" i="5" s="1"/>
  <c r="Q104" i="5"/>
  <c r="L63" i="5"/>
  <c r="Q63" i="5" s="1"/>
  <c r="L99" i="5"/>
  <c r="Q99" i="5" s="1"/>
  <c r="L35" i="5"/>
  <c r="L44" i="5"/>
  <c r="Q44" i="5" s="1"/>
  <c r="L62" i="5"/>
  <c r="Q62" i="5" s="1"/>
  <c r="L23" i="5"/>
  <c r="Q23" i="5" s="1"/>
  <c r="L66" i="5"/>
  <c r="Q66" i="5" s="1"/>
  <c r="L50" i="5"/>
  <c r="Q50" i="5" s="1"/>
  <c r="L34" i="5"/>
  <c r="L18" i="5"/>
  <c r="Q18" i="5" s="1"/>
  <c r="L82" i="5"/>
  <c r="Q82" i="5" s="1"/>
  <c r="Q7" i="5" l="1"/>
  <c r="L142" i="5"/>
  <c r="Q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<sst xmlns="http://schemas.openxmlformats.org/spreadsheetml/2006/main" count="621" uniqueCount="147">
  <si>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</si>
  <si>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</si>
  <si>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</si>
  <si>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</si>
  <si>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</si>
  <si>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</si>
  <si>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</si>
  <si>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</si>
  <si>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</si>
  <si>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</si>
  <si>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</si>
  <si>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</si>
  <si>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</si>
  <si>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</si>
  <si>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</si>
  <si>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</si>
  <si>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</si>
  <si>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</si>
  <si>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</si>
  <si>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</si>
  <si>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</si>
  <si>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</si>
  <si>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</si>
  <si>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</si>
  <si>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</si>
  <si>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</si>
  <si>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</si>
  <si>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</si>
  <si>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</si>
  <si>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</si>
  <si>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</si>
  <si>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</si>
  <si>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</si>
  <si>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</si>
  <si>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</si>
  <si>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</si>
  <si>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</si>
  <si>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</si>
  <si>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</si>
  <si>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</si>
  <si>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</si>
  <si>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</si>
  <si>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</si>
  <si>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</si>
  <si>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</si>
  <si>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</si>
  <si>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</si>
  <si>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</si>
  <si>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</si>
  <si>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</si>
  <si>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</si>
  <si>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</si>
  <si>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</si>
  <si>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</si>
  <si>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</si>
  <si>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</si>
  <si>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</si>
  <si>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</si>
  <si>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</si>
  <si>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</si>
  <si>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</si>
  <si>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</si>
  <si>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</si>
  <si>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</si>
  <si>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</si>
  <si>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</si>
  <si>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</si>
  <si>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</si>
  <si>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</si>
  <si>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</si>
  <si>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</si>
  <si>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</si>
  <si>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</si>
  <si>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</si>
  <si>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</si>
  <si>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</si>
  <si>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</si>
  <si>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</si>
  <si>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</si>
  <si>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</si>
  <si>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</si>
  <si>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</si>
  <si>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</si>
  <si>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</si>
  <si>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</si>
  <si>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</si>
  <si>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</si>
  <si>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</si>
  <si>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</si>
  <si>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</si>
  <si>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</si>
  <si>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</si>
  <si>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</si>
  <si>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</si>
  <si>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</si>
  <si>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</si>
  <si>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</si>
  <si>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</si>
  <si>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</si>
  <si>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</si>
  <si>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</si>
  <si>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</si>
  <si>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</si>
  <si>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</si>
  <si>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</si>
  <si>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</si>
  <si>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</si>
  <si>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</si>
  <si>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</si>
  <si>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</si>
  <si>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</si>
  <si>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</si>
  <si>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</si>
  <si>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</si>
  <si>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</si>
  <si>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</si>
  <si>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</si>
  <si>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</si>
  <si>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</si>
  <si>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</si>
  <si>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</si>
  <si>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</si>
  <si>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</si>
  <si>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</si>
  <si>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</si>
  <si>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</si>
  <si>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</si>
  <si>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</si>
  <si>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</si>
  <si>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</si>
  <si>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</si>
  <si>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</si>
  <si>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</si>
  <si>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</si>
  <si>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</si>
  <si>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</si>
  <si>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</si>
  <si>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</si>
  <si>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</si>
  <si>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</si>
  <si>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</si>
  <si>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</si>
  <si>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</si>
  <si>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</si>
  <si>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ปังเนยนิ่มแบบถุง</t>
  </si>
  <si>
    <t>ยอดจริง ออนไลน์ วันที่  12/3/68</t>
  </si>
  <si>
    <t>ยอดจริง ออนไลน์ วันที่  12/3/68 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</si>
</sst>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0" zoomScale="60" zoomScaleNormal="60" workbookViewId="0">
      <selection activeCell="S137" sqref="S137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</v>
      </c>
      <c r="E7" s="31">
        <v>16</v>
      </c>
      <c r="F7" s="31">
        <v>42</v>
      </c>
      <c r="G7" s="31">
        <v>13</v>
      </c>
      <c r="H7" s="31"/>
      <c r="I7" s="31"/>
      <c r="J7" s="44"/>
      <c r="K7" s="44">
        <v>14</v>
      </c>
      <c r="L7" s="37">
        <f>SUM(D7:K7)</f>
        <v>86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10</v>
      </c>
      <c r="F25" s="31">
        <v>3</v>
      </c>
      <c r="G25" s="31">
        <v>2</v>
      </c>
      <c r="H25" s="31"/>
      <c r="I25" s="31"/>
      <c r="J25" s="44"/>
      <c r="K25" s="44"/>
      <c r="L25" s="37">
        <f t="shared" si="0"/>
        <v>15</v>
      </c>
    </row>
    <row r="26" spans="2:12">
      <c r="B26" s="11">
        <v>1004055</v>
      </c>
      <c r="C26" s="15" t="s">
        <v>108</v>
      </c>
      <c r="D26" s="31"/>
      <c r="E26" s="31">
        <v>7</v>
      </c>
      <c r="F26" s="31"/>
      <c r="G26" s="31"/>
      <c r="H26" s="31"/>
      <c r="I26" s="31"/>
      <c r="J26" s="44"/>
      <c r="K26" s="44">
        <v>15</v>
      </c>
      <c r="L26" s="37">
        <f t="shared" si="0"/>
        <v>22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>
        <v>4</v>
      </c>
      <c r="L69" s="37">
        <f t="shared" ref="L69:L76" si="1">SUM(D69:K69)</f>
        <v>4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6</v>
      </c>
      <c r="H87" s="31"/>
      <c r="I87" s="31"/>
      <c r="J87" s="44"/>
      <c r="K87" s="44"/>
      <c r="L87" s="37">
        <f t="shared" si="2"/>
        <v>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8</v>
      </c>
      <c r="E90" s="31"/>
      <c r="F90" s="31"/>
      <c r="G90" s="31">
        <v>8</v>
      </c>
      <c r="H90" s="31"/>
      <c r="I90" s="31"/>
      <c r="J90" s="44"/>
      <c r="K90" s="44">
        <v>5</v>
      </c>
      <c r="L90" s="37">
        <f t="shared" ref="L90:L99" si="3">SUM(D90:K90)</f>
        <v>21</v>
      </c>
    </row>
    <row r="91" spans="2:12">
      <c r="B91" s="11">
        <v>1112011</v>
      </c>
      <c r="C91" s="20" t="s">
        <v>76</v>
      </c>
      <c r="D91" s="31">
        <v>7</v>
      </c>
      <c r="E91" s="31"/>
      <c r="F91" s="31">
        <v>6</v>
      </c>
      <c r="G91" s="31">
        <v>8</v>
      </c>
      <c r="H91" s="31"/>
      <c r="I91" s="31"/>
      <c r="J91" s="44"/>
      <c r="K91" s="44">
        <v>5</v>
      </c>
      <c r="L91" s="37">
        <f t="shared" si="3"/>
        <v>26</v>
      </c>
    </row>
    <row r="92" spans="2:12">
      <c r="B92" s="11">
        <v>1112003</v>
      </c>
      <c r="C92" s="20" t="s">
        <v>77</v>
      </c>
      <c r="D92" s="31">
        <v>7</v>
      </c>
      <c r="E92" s="31"/>
      <c r="F92" s="31"/>
      <c r="G92" s="31">
        <v>8</v>
      </c>
      <c r="H92" s="31"/>
      <c r="I92" s="31"/>
      <c r="J92" s="44"/>
      <c r="K92" s="44"/>
      <c r="L92" s="37">
        <f t="shared" si="3"/>
        <v>15</v>
      </c>
    </row>
    <row r="93" spans="2:12">
      <c r="B93" s="11">
        <v>1112005</v>
      </c>
      <c r="C93" s="20" t="s">
        <v>78</v>
      </c>
      <c r="D93" s="31">
        <v>8</v>
      </c>
      <c r="E93" s="31"/>
      <c r="F93" s="31"/>
      <c r="G93" s="31"/>
      <c r="H93" s="31"/>
      <c r="I93" s="31"/>
      <c r="J93" s="44"/>
      <c r="K93" s="44"/>
      <c r="L93" s="37">
        <f t="shared" si="3"/>
        <v>8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11</v>
      </c>
      <c r="H97" s="31"/>
      <c r="I97" s="31"/>
      <c r="J97" s="44"/>
      <c r="K97" s="44"/>
      <c r="L97" s="37">
        <f t="shared" si="3"/>
        <v>11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>
        <v>5</v>
      </c>
      <c r="L98" s="37">
        <f t="shared" si="3"/>
        <v>5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4</v>
      </c>
      <c r="H103" s="31"/>
      <c r="I103" s="31"/>
      <c r="J103" s="44"/>
      <c r="K103" s="44"/>
      <c r="L103" s="37">
        <f t="shared" si="5"/>
        <v>4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3</v>
      </c>
      <c r="H115" s="31"/>
      <c r="I115" s="31"/>
      <c r="J115" s="44"/>
      <c r="K115" s="44"/>
      <c r="L115" s="37">
        <f t="shared" si="6"/>
        <v>3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5</v>
      </c>
      <c r="H116" s="31"/>
      <c r="I116" s="31"/>
      <c r="J116" s="44"/>
      <c r="K116" s="44"/>
      <c r="L116" s="37">
        <f t="shared" si="6"/>
        <v>5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19</v>
      </c>
      <c r="H120" s="31"/>
      <c r="I120" s="31"/>
      <c r="J120" s="44"/>
      <c r="K120" s="44"/>
      <c r="L120" s="37">
        <f t="shared" si="6"/>
        <v>19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>
        <v>1</v>
      </c>
      <c r="H121" s="31"/>
      <c r="I121" s="31"/>
      <c r="J121" s="44"/>
      <c r="K121" s="44"/>
      <c r="L121" s="37">
        <f t="shared" si="6"/>
        <v>1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8</v>
      </c>
      <c r="G123" s="31">
        <v>48</v>
      </c>
      <c r="H123" s="31"/>
      <c r="I123" s="31"/>
      <c r="J123" s="44"/>
      <c r="K123" s="44"/>
      <c r="L123" s="37">
        <f t="shared" si="6"/>
        <v>56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>
        <v>1</v>
      </c>
      <c r="H125" s="31"/>
      <c r="I125" s="31"/>
      <c r="J125" s="44"/>
      <c r="K125" s="44"/>
      <c r="L125" s="37">
        <f t="shared" si="6"/>
        <v>1</v>
      </c>
    </row>
    <row r="126" spans="2:12">
      <c r="B126" s="11">
        <v>1124021</v>
      </c>
      <c r="C126" s="22" t="s">
        <v>98</v>
      </c>
      <c r="D126" s="31"/>
      <c r="E126" s="31">
        <v>10</v>
      </c>
      <c r="F126" s="31">
        <v>1</v>
      </c>
      <c r="G126" s="31">
        <v>8</v>
      </c>
      <c r="H126" s="31"/>
      <c r="I126" s="31"/>
      <c r="J126" s="44"/>
      <c r="K126" s="44"/>
      <c r="L126" s="37">
        <f t="shared" si="6"/>
        <v>19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>
        <v>11</v>
      </c>
      <c r="H137" s="31"/>
      <c r="I137" s="31"/>
      <c r="J137" s="44"/>
      <c r="K137" s="44"/>
      <c r="L137" s="37">
        <f t="shared" si="6"/>
        <v>11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2"/>
  <sheetViews>
    <sheetView tabSelected="1" topLeftCell="A117" zoomScale="60" zoomScaleNormal="60" workbookViewId="0">
      <selection activeCell="S132" sqref="S132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2</v>
      </c>
      <c r="E7" s="31">
        <v>20</v>
      </c>
      <c r="F7" s="31">
        <v>9</v>
      </c>
      <c r="G7" s="31">
        <v>5</v>
      </c>
      <c r="H7" s="31"/>
      <c r="I7" s="31"/>
      <c r="J7" s="44"/>
      <c r="K7" s="44"/>
      <c r="L7" s="37">
        <f>SUM(D7:K7)</f>
        <v>36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2</v>
      </c>
      <c r="E25" s="31">
        <v>4</v>
      </c>
      <c r="F25" s="31">
        <v>3</v>
      </c>
      <c r="G25" s="31">
        <v>3</v>
      </c>
      <c r="H25" s="31"/>
      <c r="I25" s="31"/>
      <c r="J25" s="44"/>
      <c r="K25" s="44"/>
      <c r="L25" s="37">
        <f t="shared" si="0"/>
        <v>12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>
        <v>20</v>
      </c>
      <c r="E66" s="31"/>
      <c r="F66" s="31"/>
      <c r="G66" s="31"/>
      <c r="H66" s="31"/>
      <c r="I66" s="31"/>
      <c r="J66" s="44"/>
      <c r="K66" s="44"/>
      <c r="L66" s="37">
        <f t="shared" si="0"/>
        <v>20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2</v>
      </c>
      <c r="E69" s="31">
        <v>17</v>
      </c>
      <c r="F69" s="31"/>
      <c r="G69" s="31">
        <v>2</v>
      </c>
      <c r="H69" s="31"/>
      <c r="I69" s="31"/>
      <c r="J69" s="44"/>
      <c r="K69" s="44"/>
      <c r="L69" s="37">
        <f t="shared" ref="L69:L76" si="1">SUM(D69:K69)</f>
        <v>21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1</v>
      </c>
      <c r="F87" s="31"/>
      <c r="G87" s="31"/>
      <c r="H87" s="31"/>
      <c r="I87" s="31"/>
      <c r="J87" s="44"/>
      <c r="K87" s="44"/>
      <c r="L87" s="37">
        <f t="shared" si="2"/>
        <v>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14</v>
      </c>
      <c r="E90" s="31"/>
      <c r="F90" s="31"/>
      <c r="G90" s="31">
        <v>1</v>
      </c>
      <c r="H90" s="31"/>
      <c r="I90" s="31"/>
      <c r="J90" s="44"/>
      <c r="K90" s="44"/>
      <c r="L90" s="37">
        <f t="shared" ref="L90:L99" si="3">SUM(D90:K90)</f>
        <v>15</v>
      </c>
    </row>
    <row r="91" spans="2:12">
      <c r="B91" s="11">
        <v>1112011</v>
      </c>
      <c r="C91" s="20" t="s">
        <v>76</v>
      </c>
      <c r="D91" s="31">
        <v>8</v>
      </c>
      <c r="E91" s="31"/>
      <c r="F91" s="31"/>
      <c r="G91" s="31"/>
      <c r="H91" s="31"/>
      <c r="I91" s="31"/>
      <c r="J91" s="44"/>
      <c r="K91" s="44"/>
      <c r="L91" s="37">
        <f t="shared" si="3"/>
        <v>8</v>
      </c>
    </row>
    <row r="92" spans="2:12">
      <c r="B92" s="11">
        <v>1112003</v>
      </c>
      <c r="C92" s="20" t="s">
        <v>77</v>
      </c>
      <c r="D92" s="31">
        <v>6</v>
      </c>
      <c r="E92" s="31"/>
      <c r="F92" s="31"/>
      <c r="G92" s="31">
        <v>1</v>
      </c>
      <c r="H92" s="31"/>
      <c r="I92" s="31"/>
      <c r="J92" s="44"/>
      <c r="K92" s="44"/>
      <c r="L92" s="37">
        <f t="shared" si="3"/>
        <v>7</v>
      </c>
    </row>
    <row r="93" spans="2:12">
      <c r="B93" s="11">
        <v>1112005</v>
      </c>
      <c r="C93" s="20" t="s">
        <v>78</v>
      </c>
      <c r="D93" s="31">
        <v>8</v>
      </c>
      <c r="E93" s="31"/>
      <c r="F93" s="31"/>
      <c r="G93" s="31"/>
      <c r="H93" s="31"/>
      <c r="I93" s="31"/>
      <c r="J93" s="44"/>
      <c r="K93" s="44"/>
      <c r="L93" s="37">
        <f t="shared" si="3"/>
        <v>8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>
        <v>2</v>
      </c>
      <c r="E116" s="31"/>
      <c r="F116" s="31"/>
      <c r="G116" s="31"/>
      <c r="H116" s="31"/>
      <c r="I116" s="31"/>
      <c r="J116" s="44"/>
      <c r="K116" s="44"/>
      <c r="L116" s="37">
        <f t="shared" si="6"/>
        <v>2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>
        <v>30</v>
      </c>
      <c r="H123" s="31"/>
      <c r="I123" s="31"/>
      <c r="J123" s="44"/>
      <c r="K123" s="44"/>
      <c r="L123" s="37">
        <f t="shared" si="6"/>
        <v>30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1</v>
      </c>
      <c r="G126" s="31"/>
      <c r="H126" s="31"/>
      <c r="I126" s="31"/>
      <c r="J126" s="44"/>
      <c r="K126" s="44"/>
      <c r="L126" s="37">
        <f t="shared" si="6"/>
        <v>1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>
        <v>8</v>
      </c>
      <c r="H137" s="31"/>
      <c r="I137" s="31"/>
      <c r="J137" s="44"/>
      <c r="K137" s="44"/>
      <c r="L137" s="37">
        <f t="shared" si="6"/>
        <v>8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54"/>
      <c r="C143" s="55"/>
      <c r="D143" s="32"/>
      <c r="E143" s="32"/>
      <c r="F143" s="32"/>
      <c r="G143" s="27"/>
      <c r="L143" s="56"/>
    </row>
    <row r="144" spans="2:1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5:C145"/>
    <mergeCell ref="I145:L145"/>
    <mergeCell ref="B144:C144"/>
    <mergeCell ref="E144:F144"/>
    <mergeCell ref="I144:L14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0" zoomScale="60" zoomScaleNormal="60" workbookViewId="0">
      <selection activeCell="H132" sqref="H132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53" zoomScale="50" zoomScaleNormal="50" workbookViewId="0">
      <selection activeCell="P137" sqref="P13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3</v>
      </c>
      <c r="E7" s="31">
        <f>'เย็น '!E7+'เช้า '!E7+บ่าย!E7</f>
        <v>36</v>
      </c>
      <c r="F7" s="31">
        <f>'เย็น '!F7+'เช้า '!F7+บ่าย!F7</f>
        <v>51</v>
      </c>
      <c r="G7" s="31">
        <f>'เย็น '!G7+'เช้า '!G7+บ่าย!G7</f>
        <v>18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14</v>
      </c>
      <c r="L7" s="37">
        <f>SUM(D7:K7)</f>
        <v>122</v>
      </c>
      <c r="M7" s="11">
        <v>50</v>
      </c>
      <c r="N7" s="11">
        <v>517</v>
      </c>
      <c r="O7" s="11"/>
      <c r="P7" s="11"/>
      <c r="Q7" s="45">
        <f>(M7+N7+O7+P7)-L7</f>
        <v>445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14</v>
      </c>
      <c r="F25" s="31">
        <f>'เย็น '!F25+'เช้า '!F25+บ่าย!F25</f>
        <v>6</v>
      </c>
      <c r="G25" s="31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27</v>
      </c>
      <c r="M25" s="11">
        <v>17</v>
      </c>
      <c r="N25" s="11"/>
      <c r="O25" s="11"/>
      <c r="P25" s="11">
        <v>10</v>
      </c>
      <c r="Q25" s="45">
        <f t="shared" si="1"/>
        <v>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7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22</v>
      </c>
      <c r="M26" s="11">
        <v>15</v>
      </c>
      <c r="N26" s="11">
        <v>7</v>
      </c>
      <c r="O26" s="11"/>
      <c r="P26" s="11"/>
      <c r="Q26" s="45">
        <f t="shared" si="1"/>
        <v>0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>
        <v>1</v>
      </c>
      <c r="O50" s="11"/>
      <c r="P50" s="11"/>
      <c r="Q50" s="45">
        <f t="shared" si="1"/>
        <v>1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20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20</v>
      </c>
      <c r="M66" s="11"/>
      <c r="N66" s="11"/>
      <c r="O66" s="11"/>
      <c r="P66" s="11"/>
      <c r="Q66" s="45">
        <f t="shared" si="1"/>
        <v>-20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2</v>
      </c>
      <c r="E69" s="31">
        <f>'เย็น '!E69+'เช้า '!E69+บ่าย!E69</f>
        <v>17</v>
      </c>
      <c r="F69" s="31">
        <f>'เย็น '!F69+'เช้า '!F69+บ่าย!F69</f>
        <v>0</v>
      </c>
      <c r="G69" s="31">
        <f>'เย็น '!G69+'เช้า '!G69+บ่าย!G69</f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4</v>
      </c>
      <c r="L69" s="37">
        <f t="shared" ref="L69:L76" si="4">SUM(D69:K69)</f>
        <v>25</v>
      </c>
      <c r="M69" s="11">
        <v>14</v>
      </c>
      <c r="N69" s="11"/>
      <c r="O69" s="11"/>
      <c r="P69" s="11">
        <v>40</v>
      </c>
      <c r="Q69" s="45">
        <f t="shared" ref="Q69:Q76" si="5">(M69+N69+O69+P69)-L69</f>
        <v>29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</v>
      </c>
      <c r="F87" s="31">
        <f>'เย็น '!F87+'เช้า '!F87+บ่าย!F87</f>
        <v>0</v>
      </c>
      <c r="G87" s="31">
        <f>'เย็น '!G87+'เช้า '!G87+บ่าย!G87</f>
        <v>6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7</v>
      </c>
      <c r="M87" s="11">
        <v>20</v>
      </c>
      <c r="N87" s="11">
        <v>18</v>
      </c>
      <c r="O87" s="11"/>
      <c r="P87" s="11"/>
      <c r="Q87" s="45">
        <f t="shared" si="8"/>
        <v>31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22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5</v>
      </c>
      <c r="L90" s="37">
        <f t="shared" ref="L90:L99" si="9">SUM(D90:K90)</f>
        <v>36</v>
      </c>
      <c r="M90" s="11">
        <v>5</v>
      </c>
      <c r="N90" s="11">
        <v>85</v>
      </c>
      <c r="O90" s="11"/>
      <c r="P90" s="11"/>
      <c r="Q90" s="45">
        <f t="shared" ref="Q90:Q99" si="10">(M90+N90+O90+P90)-L90</f>
        <v>54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15</v>
      </c>
      <c r="E91" s="31">
        <f>'เย็น '!E91+'เช้า '!E91+บ่าย!E91</f>
        <v>0</v>
      </c>
      <c r="F91" s="31">
        <f>'เย็น '!F91+'เช้า '!F91+บ่าย!F91</f>
        <v>6</v>
      </c>
      <c r="G91" s="31">
        <f>'เย็น '!G91+'เช้า '!G91+บ่าย!G91</f>
        <v>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5</v>
      </c>
      <c r="L91" s="37">
        <f t="shared" si="9"/>
        <v>34</v>
      </c>
      <c r="M91" s="11">
        <v>5</v>
      </c>
      <c r="N91" s="11">
        <v>108</v>
      </c>
      <c r="O91" s="11"/>
      <c r="P91" s="11"/>
      <c r="Q91" s="45">
        <f t="shared" si="10"/>
        <v>79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13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9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22</v>
      </c>
      <c r="M92" s="11"/>
      <c r="N92" s="11">
        <v>111</v>
      </c>
      <c r="O92" s="11"/>
      <c r="P92" s="11"/>
      <c r="Q92" s="45">
        <f t="shared" si="10"/>
        <v>89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16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16</v>
      </c>
      <c r="M93" s="11"/>
      <c r="N93" s="11">
        <v>12</v>
      </c>
      <c r="O93" s="11"/>
      <c r="P93" s="11"/>
      <c r="Q93" s="45">
        <f t="shared" si="10"/>
        <v>-4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11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11</v>
      </c>
      <c r="M97" s="11"/>
      <c r="N97" s="11">
        <v>20</v>
      </c>
      <c r="O97" s="11"/>
      <c r="P97" s="11"/>
      <c r="Q97" s="45">
        <f t="shared" si="10"/>
        <v>9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5</v>
      </c>
      <c r="L98" s="37">
        <f t="shared" si="9"/>
        <v>5</v>
      </c>
      <c r="M98" s="11">
        <v>5</v>
      </c>
      <c r="N98" s="11"/>
      <c r="O98" s="11"/>
      <c r="P98" s="11"/>
      <c r="Q98" s="45">
        <f t="shared" si="10"/>
        <v>0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124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>SUM(L105)</f>
        <v>0</v>
      </c>
      <c r="M102" s="11"/>
      <c r="N102" s="11"/>
      <c r="O102" s="11"/>
      <c r="P102" s="11"/>
      <c r="Q102" s="45">
        <f t="shared" ref="Q102:Q111" si="11">(M102+N102+O102+P102)-L102</f>
        <v>0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4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ref="L103:L112" si="12">SUM(D103:K103)</f>
        <v>4</v>
      </c>
      <c r="M103" s="11"/>
      <c r="N103" s="11">
        <v>71</v>
      </c>
      <c r="O103" s="11"/>
      <c r="P103" s="11"/>
      <c r="Q103" s="45">
        <f t="shared" si="11"/>
        <v>67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2"/>
        <v>0</v>
      </c>
      <c r="M104" s="11"/>
      <c r="N104" s="11"/>
      <c r="O104" s="11"/>
      <c r="P104" s="11"/>
      <c r="Q104" s="45">
        <f t="shared" si="11"/>
        <v>0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2"/>
        <v>0</v>
      </c>
      <c r="M105" s="11"/>
      <c r="N105" s="11"/>
      <c r="O105" s="11"/>
      <c r="P105" s="11"/>
      <c r="Q105" s="45">
        <f t="shared" si="11"/>
        <v>0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2"/>
        <v>0</v>
      </c>
      <c r="M106" s="11"/>
      <c r="N106" s="11"/>
      <c r="O106" s="11"/>
      <c r="P106" s="11"/>
      <c r="Q106" s="45">
        <f t="shared" si="11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2"/>
        <v>0</v>
      </c>
      <c r="M107" s="11"/>
      <c r="N107" s="11"/>
      <c r="O107" s="11"/>
      <c r="P107" s="11"/>
      <c r="Q107" s="45">
        <f t="shared" si="11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2"/>
        <v>0</v>
      </c>
      <c r="M108" s="11"/>
      <c r="N108" s="11"/>
      <c r="O108" s="11"/>
      <c r="P108" s="11"/>
      <c r="Q108" s="45">
        <f t="shared" si="11"/>
        <v>0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2"/>
        <v>0</v>
      </c>
      <c r="M109" s="11"/>
      <c r="N109" s="11"/>
      <c r="O109" s="11"/>
      <c r="P109" s="11"/>
      <c r="Q109" s="45">
        <f t="shared" si="11"/>
        <v>0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2"/>
        <v>0</v>
      </c>
      <c r="M110" s="11"/>
      <c r="N110" s="11">
        <v>2</v>
      </c>
      <c r="O110" s="11"/>
      <c r="P110" s="11"/>
      <c r="Q110" s="45">
        <f t="shared" si="11"/>
        <v>2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2"/>
        <v>0</v>
      </c>
      <c r="M111" s="11"/>
      <c r="N111" s="11"/>
      <c r="O111" s="11"/>
      <c r="P111" s="11"/>
      <c r="Q111" s="45">
        <f t="shared" si="11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si="12"/>
        <v>0</v>
      </c>
      <c r="M112" s="11"/>
      <c r="N112" s="11"/>
      <c r="O112" s="11"/>
      <c r="P112" s="11"/>
      <c r="Q112" s="45">
        <f t="shared" ref="Q112" si="13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'เช้า '!D114+บ่าย!D114+'เย็น '!D114</f>
        <v>0</v>
      </c>
      <c r="E114" s="31">
        <f>'เช้า '!E114+บ่าย!E114+'เย็น '!E114</f>
        <v>0</v>
      </c>
      <c r="F114" s="31">
        <f>'เช้า '!F114+บ่าย!F114+'เย็น '!F114</f>
        <v>0</v>
      </c>
      <c r="G114" s="31">
        <f>'เช้า '!G114+บ่าย!G114+'เย็น '!G114</f>
        <v>0</v>
      </c>
      <c r="H114" s="31">
        <f>'เช้า '!H114+บ่าย!H114+'เย็น '!H114</f>
        <v>0</v>
      </c>
      <c r="I114" s="31">
        <f>'เช้า '!I114+บ่าย!I114+'เย็น '!I114</f>
        <v>0</v>
      </c>
      <c r="J114" s="31">
        <f>'เช้า '!J114+บ่าย!J114+'เย็น '!J114</f>
        <v>0</v>
      </c>
      <c r="K114" s="31">
        <f>'เช้า '!K114+บ่าย!K114+'เย็น '!K114</f>
        <v>0</v>
      </c>
      <c r="L114" s="37">
        <f t="shared" ref="L114:L141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>
      <c r="B115" s="11">
        <v>1113171</v>
      </c>
      <c r="C115" s="22" t="s">
        <v>88</v>
      </c>
      <c r="D115" s="31">
        <f>'เช้า '!D115+บ่าย!D115+'เย็น '!D115</f>
        <v>0</v>
      </c>
      <c r="E115" s="31">
        <f>'เช้า '!E115+บ่าย!E115+'เย็น '!E115</f>
        <v>0</v>
      </c>
      <c r="F115" s="31">
        <f>'เช้า '!F115+บ่าย!F115+'เย็น '!F115</f>
        <v>0</v>
      </c>
      <c r="G115" s="31">
        <f>'เช้า '!G115+บ่าย!G115+'เย็น '!G115</f>
        <v>3</v>
      </c>
      <c r="H115" s="31">
        <f>'เช้า '!H115+บ่าย!H115+'เย็น '!H115</f>
        <v>0</v>
      </c>
      <c r="I115" s="31">
        <f>'เช้า '!I115+บ่าย!I115+'เย็น '!I115</f>
        <v>0</v>
      </c>
      <c r="J115" s="31">
        <f>'เช้า '!J115+บ่าย!J115+'เย็น '!J115</f>
        <v>0</v>
      </c>
      <c r="K115" s="31">
        <f>'เช้า '!K115+บ่าย!K115+'เย็น '!K115</f>
        <v>0</v>
      </c>
      <c r="L115" s="37">
        <f t="shared" si="14"/>
        <v>3</v>
      </c>
      <c r="M115" s="11"/>
      <c r="N115" s="11">
        <v>37</v>
      </c>
      <c r="O115" s="11"/>
      <c r="P115" s="11"/>
      <c r="Q115" s="45">
        <f t="shared" si="15"/>
        <v>34</v>
      </c>
    </row>
    <row r="116" spans="2:17">
      <c r="B116" s="11">
        <v>1113172</v>
      </c>
      <c r="C116" s="22" t="s">
        <v>89</v>
      </c>
      <c r="D116" s="31">
        <f>'เช้า '!D116+บ่าย!D116+'เย็น '!D116</f>
        <v>2</v>
      </c>
      <c r="E116" s="31">
        <f>'เช้า '!E116+บ่าย!E116+'เย็น '!E116</f>
        <v>0</v>
      </c>
      <c r="F116" s="31">
        <f>'เช้า '!F116+บ่าย!F116+'เย็น '!F116</f>
        <v>0</v>
      </c>
      <c r="G116" s="31">
        <f>'เช้า '!G116+บ่าย!G116+'เย็น '!G116</f>
        <v>5</v>
      </c>
      <c r="H116" s="31">
        <f>'เช้า '!H116+บ่าย!H116+'เย็น '!H116</f>
        <v>0</v>
      </c>
      <c r="I116" s="31">
        <f>'เช้า '!I116+บ่าย!I116+'เย็น '!I116</f>
        <v>0</v>
      </c>
      <c r="J116" s="31">
        <f>'เช้า '!J116+บ่าย!J116+'เย็น '!J116</f>
        <v>0</v>
      </c>
      <c r="K116" s="31">
        <f>'เช้า '!K116+บ่าย!K116+'เย็น '!K116</f>
        <v>0</v>
      </c>
      <c r="L116" s="37">
        <f t="shared" si="14"/>
        <v>7</v>
      </c>
      <c r="M116" s="11"/>
      <c r="N116" s="11">
        <v>28</v>
      </c>
      <c r="O116" s="11"/>
      <c r="P116" s="11"/>
      <c r="Q116" s="45">
        <f t="shared" si="15"/>
        <v>21</v>
      </c>
    </row>
    <row r="117" spans="2:17">
      <c r="B117" s="11">
        <v>1113173</v>
      </c>
      <c r="C117" s="22" t="s">
        <v>90</v>
      </c>
      <c r="D117" s="31">
        <f>'เช้า '!D117+บ่าย!D117+'เย็น '!D117</f>
        <v>0</v>
      </c>
      <c r="E117" s="31">
        <f>'เช้า '!E117+บ่าย!E117+'เย็น '!E117</f>
        <v>0</v>
      </c>
      <c r="F117" s="31">
        <f>'เช้า '!F117+บ่าย!F117+'เย็น '!F117</f>
        <v>0</v>
      </c>
      <c r="G117" s="31">
        <f>'เช้า '!G117+บ่าย!G117+'เย็น '!G117</f>
        <v>0</v>
      </c>
      <c r="H117" s="31">
        <f>'เช้า '!H117+บ่าย!H117+'เย็น '!H117</f>
        <v>0</v>
      </c>
      <c r="I117" s="31">
        <f>'เช้า '!I117+บ่าย!I117+'เย็น '!I117</f>
        <v>0</v>
      </c>
      <c r="J117" s="31">
        <f>'เช้า '!J117+บ่าย!J117+'เย็น '!J117</f>
        <v>0</v>
      </c>
      <c r="K117" s="31">
        <f>'เช้า '!K117+บ่าย!K117+'เย็น '!K117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>
      <c r="B118" s="11">
        <v>1100003</v>
      </c>
      <c r="C118" s="22" t="s">
        <v>121</v>
      </c>
      <c r="D118" s="31">
        <f>'เช้า '!D118+บ่าย!D118+'เย็น '!D118</f>
        <v>0</v>
      </c>
      <c r="E118" s="31">
        <f>'เช้า '!E118+บ่าย!E118+'เย็น '!E118</f>
        <v>0</v>
      </c>
      <c r="F118" s="31">
        <f>'เช้า '!F118+บ่าย!F118+'เย็น '!F118</f>
        <v>0</v>
      </c>
      <c r="G118" s="31">
        <f>'เช้า '!G118+บ่าย!G118+'เย็น '!G118</f>
        <v>0</v>
      </c>
      <c r="H118" s="31">
        <f>'เช้า '!H118+บ่าย!H118+'เย็น '!H118</f>
        <v>0</v>
      </c>
      <c r="I118" s="31">
        <f>'เช้า '!I118+บ่าย!I118+'เย็น '!I118</f>
        <v>0</v>
      </c>
      <c r="J118" s="31">
        <f>'เช้า '!J118+บ่าย!J118+'เย็น '!J118</f>
        <v>0</v>
      </c>
      <c r="K118" s="31">
        <f>'เช้า '!K118+บ่าย!K118+'เย็น '!K118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>
      <c r="B119" s="11">
        <v>1100001</v>
      </c>
      <c r="C119" s="22" t="s">
        <v>122</v>
      </c>
      <c r="D119" s="31">
        <f>'เช้า '!D119+บ่าย!D119+'เย็น '!D119</f>
        <v>0</v>
      </c>
      <c r="E119" s="31">
        <f>'เช้า '!E119+บ่าย!E119+'เย็น '!E119</f>
        <v>0</v>
      </c>
      <c r="F119" s="31">
        <f>'เช้า '!F119+บ่าย!F119+'เย็น '!F119</f>
        <v>0</v>
      </c>
      <c r="G119" s="31">
        <f>'เช้า '!G119+บ่าย!G119+'เย็น '!G119</f>
        <v>0</v>
      </c>
      <c r="H119" s="31">
        <f>'เช้า '!H119+บ่าย!H119+'เย็น '!H119</f>
        <v>0</v>
      </c>
      <c r="I119" s="31">
        <f>'เช้า '!I119+บ่าย!I119+'เย็น '!I119</f>
        <v>0</v>
      </c>
      <c r="J119" s="31">
        <f>'เช้า '!J119+บ่าย!J119+'เย็น '!J119</f>
        <v>0</v>
      </c>
      <c r="K119" s="31">
        <f>'เช้า '!K119+บ่าย!K119+'เย็น '!K119</f>
        <v>0</v>
      </c>
      <c r="L119" s="37">
        <f t="shared" si="14"/>
        <v>0</v>
      </c>
      <c r="M119" s="11"/>
      <c r="N119" s="11">
        <v>3</v>
      </c>
      <c r="O119" s="11"/>
      <c r="P119" s="11"/>
      <c r="Q119" s="45">
        <f t="shared" si="15"/>
        <v>3</v>
      </c>
    </row>
    <row r="120" spans="2:17">
      <c r="B120" s="11">
        <v>1100002</v>
      </c>
      <c r="C120" s="22" t="s">
        <v>123</v>
      </c>
      <c r="D120" s="31">
        <f>'เช้า '!D120+บ่าย!D120+'เย็น '!D120</f>
        <v>0</v>
      </c>
      <c r="E120" s="31">
        <f>'เช้า '!E120+บ่าย!E120+'เย็น '!E120</f>
        <v>0</v>
      </c>
      <c r="F120" s="31"/>
      <c r="G120" s="31">
        <f>'เช้า '!G120+บ่าย!G120+'เย็น '!G120</f>
        <v>19</v>
      </c>
      <c r="H120" s="31">
        <f>'เช้า '!H120+บ่าย!H120+'เย็น '!H120</f>
        <v>0</v>
      </c>
      <c r="I120" s="31">
        <f>'เช้า '!I120+บ่าย!I120+'เย็น '!I120</f>
        <v>0</v>
      </c>
      <c r="J120" s="31">
        <f>'เช้า '!J120+บ่าย!J120+'เย็น '!J120</f>
        <v>0</v>
      </c>
      <c r="K120" s="31">
        <f>'เช้า '!K120+บ่าย!K120+'เย็น '!K120</f>
        <v>0</v>
      </c>
      <c r="L120" s="37">
        <f t="shared" si="14"/>
        <v>19</v>
      </c>
      <c r="M120" s="11"/>
      <c r="N120" s="11">
        <v>45</v>
      </c>
      <c r="O120" s="11"/>
      <c r="P120" s="11"/>
      <c r="Q120" s="45">
        <f t="shared" si="15"/>
        <v>26</v>
      </c>
    </row>
    <row r="121" spans="2:17">
      <c r="B121" s="11">
        <v>1200001</v>
      </c>
      <c r="C121" s="22" t="s">
        <v>93</v>
      </c>
      <c r="D121" s="31">
        <f>'เช้า '!D121+บ่าย!D121+'เย็น '!D121</f>
        <v>0</v>
      </c>
      <c r="E121" s="31">
        <f>'เช้า '!E121+บ่าย!E121+'เย็น '!E121</f>
        <v>0</v>
      </c>
      <c r="F121" s="31">
        <f>'เช้า '!F121+บ่าย!F121+'เย็น '!F121</f>
        <v>0</v>
      </c>
      <c r="G121" s="31">
        <f>'เช้า '!G121+บ่าย!G121+'เย็น '!G121</f>
        <v>1</v>
      </c>
      <c r="H121" s="31">
        <f>'เช้า '!H121+บ่าย!H121+'เย็น '!H121</f>
        <v>0</v>
      </c>
      <c r="I121" s="31">
        <f>'เช้า '!I121+บ่าย!I121+'เย็น '!I121</f>
        <v>0</v>
      </c>
      <c r="J121" s="31">
        <f>'เช้า '!J121+บ่าย!J121+'เย็น '!J121</f>
        <v>0</v>
      </c>
      <c r="K121" s="31">
        <f>'เช้า '!K121+บ่าย!K121+'เย็น '!K121</f>
        <v>0</v>
      </c>
      <c r="L121" s="37">
        <f t="shared" si="14"/>
        <v>1</v>
      </c>
      <c r="M121" s="11"/>
      <c r="N121" s="11">
        <v>85</v>
      </c>
      <c r="O121" s="11"/>
      <c r="P121" s="11"/>
      <c r="Q121" s="45">
        <f t="shared" si="15"/>
        <v>84</v>
      </c>
    </row>
    <row r="122" spans="2:17">
      <c r="B122" s="11">
        <v>1005761</v>
      </c>
      <c r="C122" s="22" t="s">
        <v>94</v>
      </c>
      <c r="D122" s="31">
        <f>'เช้า '!D122+บ่าย!D122+'เย็น '!D122</f>
        <v>0</v>
      </c>
      <c r="E122" s="31">
        <f>'เช้า '!E122+บ่าย!E122+'เย็น '!E122</f>
        <v>0</v>
      </c>
      <c r="F122" s="31">
        <f>'เช้า '!F122+บ่าย!F122+'เย็น '!F122</f>
        <v>0</v>
      </c>
      <c r="G122" s="31">
        <f>'เช้า '!G122+บ่าย!G122+'เย็น '!G122</f>
        <v>0</v>
      </c>
      <c r="H122" s="31">
        <f>'เช้า '!H122+บ่าย!H122+'เย็น '!H122</f>
        <v>0</v>
      </c>
      <c r="I122" s="31">
        <f>'เช้า '!I122+บ่าย!I122+'เย็น '!I122</f>
        <v>0</v>
      </c>
      <c r="J122" s="31">
        <f>'เช้า '!J122+บ่าย!J122+'เย็น '!J122</f>
        <v>0</v>
      </c>
      <c r="K122" s="31">
        <f>'เช้า '!K122+บ่าย!K122+'เย็น '!K122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>
      <c r="B123" s="11">
        <v>1114501</v>
      </c>
      <c r="C123" s="22" t="s">
        <v>95</v>
      </c>
      <c r="D123" s="31">
        <f>'เช้า '!D123+บ่าย!D123+'เย็น '!D123</f>
        <v>0</v>
      </c>
      <c r="E123" s="31">
        <f>'เช้า '!E123+บ่าย!E123+'เย็น '!E123</f>
        <v>0</v>
      </c>
      <c r="F123" s="31">
        <f>'เช้า '!F123+บ่าย!F123+'เย็น '!F123</f>
        <v>8</v>
      </c>
      <c r="G123" s="31">
        <f>'เช้า '!G123+บ่าย!G123+'เย็น '!G123</f>
        <v>78</v>
      </c>
      <c r="H123" s="31">
        <f>'เช้า '!H123+บ่าย!H123+'เย็น '!H123</f>
        <v>0</v>
      </c>
      <c r="I123" s="31">
        <f>'เช้า '!I123+บ่าย!I123+'เย็น '!I123</f>
        <v>0</v>
      </c>
      <c r="J123" s="31">
        <f>'เช้า '!J123+บ่าย!J123+'เย็น '!J123</f>
        <v>0</v>
      </c>
      <c r="K123" s="31">
        <f>'เช้า '!K123+บ่าย!K123+'เย็น '!K123</f>
        <v>0</v>
      </c>
      <c r="L123" s="37">
        <f t="shared" si="14"/>
        <v>86</v>
      </c>
      <c r="M123" s="11"/>
      <c r="N123" s="11">
        <v>198</v>
      </c>
      <c r="O123" s="11"/>
      <c r="P123" s="11"/>
      <c r="Q123" s="45">
        <f t="shared" si="15"/>
        <v>112</v>
      </c>
    </row>
    <row r="124" spans="2:17">
      <c r="B124" s="11">
        <v>1114502</v>
      </c>
      <c r="C124" s="22" t="s">
        <v>96</v>
      </c>
      <c r="D124" s="31">
        <f>'เช้า '!D124+บ่าย!D124+'เย็น '!D124</f>
        <v>0</v>
      </c>
      <c r="E124" s="31">
        <f>'เช้า '!E124+บ่าย!E124+'เย็น '!E124</f>
        <v>0</v>
      </c>
      <c r="F124" s="31">
        <f>'เช้า '!F124+บ่าย!F124+'เย็น '!F124</f>
        <v>0</v>
      </c>
      <c r="G124" s="31">
        <f>'เช้า '!G124+บ่าย!G124+'เย็น '!G124</f>
        <v>0</v>
      </c>
      <c r="H124" s="31">
        <f>'เช้า '!H124+บ่าย!H124+'เย็น '!H124</f>
        <v>0</v>
      </c>
      <c r="I124" s="31">
        <f>'เช้า '!I124+บ่าย!I124+'เย็น '!I124</f>
        <v>0</v>
      </c>
      <c r="J124" s="31">
        <f>'เช้า '!J124+บ่าย!J124+'เย็น '!J124</f>
        <v>0</v>
      </c>
      <c r="K124" s="31">
        <f>'เช้า '!K124+บ่าย!K124+'เย็น '!K124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>
      <c r="B125" s="11">
        <v>1114503</v>
      </c>
      <c r="C125" s="22" t="s">
        <v>97</v>
      </c>
      <c r="D125" s="31">
        <f>'เช้า '!D125+บ่าย!D125+'เย็น '!D125</f>
        <v>0</v>
      </c>
      <c r="E125" s="31">
        <f>'เช้า '!E125+บ่าย!E125+'เย็น '!E125</f>
        <v>0</v>
      </c>
      <c r="F125" s="31">
        <f>'เช้า '!F125+บ่าย!F125+'เย็น '!F125</f>
        <v>0</v>
      </c>
      <c r="G125" s="31">
        <f>'เช้า '!G125+บ่าย!G125+'เย็น '!G125</f>
        <v>1</v>
      </c>
      <c r="H125" s="31">
        <f>'เช้า '!H125+บ่าย!H125+'เย็น '!H125</f>
        <v>0</v>
      </c>
      <c r="I125" s="31">
        <f>'เช้า '!I125+บ่าย!I125+'เย็น '!I125</f>
        <v>0</v>
      </c>
      <c r="J125" s="31">
        <f>'เช้า '!J125+บ่าย!J125+'เย็น '!J125</f>
        <v>0</v>
      </c>
      <c r="K125" s="31">
        <f>'เช้า '!K125+บ่าย!K125+'เย็น '!K125</f>
        <v>0</v>
      </c>
      <c r="L125" s="37">
        <f t="shared" si="14"/>
        <v>1</v>
      </c>
      <c r="M125" s="11"/>
      <c r="N125" s="11">
        <v>11</v>
      </c>
      <c r="O125" s="11"/>
      <c r="P125" s="11"/>
      <c r="Q125" s="45">
        <f t="shared" si="15"/>
        <v>10</v>
      </c>
    </row>
    <row r="126" spans="2:17">
      <c r="B126" s="11">
        <v>1124021</v>
      </c>
      <c r="C126" s="22" t="s">
        <v>98</v>
      </c>
      <c r="D126" s="31">
        <f>'เช้า '!D126+บ่าย!D126+'เย็น '!D126</f>
        <v>0</v>
      </c>
      <c r="E126" s="31">
        <f>'เช้า '!E126+บ่าย!E126+'เย็น '!E126</f>
        <v>10</v>
      </c>
      <c r="F126" s="31">
        <f>'เช้า '!F126+บ่าย!F126+'เย็น '!F126</f>
        <v>2</v>
      </c>
      <c r="G126" s="31">
        <f>'เช้า '!G126+บ่าย!G126+'เย็น '!G126</f>
        <v>8</v>
      </c>
      <c r="H126" s="31">
        <f>'เช้า '!H126+บ่าย!H126+'เย็น '!H126</f>
        <v>0</v>
      </c>
      <c r="I126" s="31">
        <f>'เช้า '!I126+บ่าย!I126+'เย็น '!I126</f>
        <v>0</v>
      </c>
      <c r="J126" s="31">
        <f>'เช้า '!J126+บ่าย!J126+'เย็น '!J126</f>
        <v>0</v>
      </c>
      <c r="K126" s="31">
        <f>'เช้า '!K126+บ่าย!K126+'เย็น '!K126</f>
        <v>0</v>
      </c>
      <c r="L126" s="37">
        <f t="shared" si="14"/>
        <v>20</v>
      </c>
      <c r="M126" s="11">
        <v>30</v>
      </c>
      <c r="N126" s="11">
        <v>7</v>
      </c>
      <c r="O126" s="11"/>
      <c r="P126" s="11"/>
      <c r="Q126" s="45">
        <f t="shared" si="15"/>
        <v>17</v>
      </c>
    </row>
    <row r="127" spans="2:17">
      <c r="B127" s="11">
        <v>1113084</v>
      </c>
      <c r="C127" s="22" t="s">
        <v>99</v>
      </c>
      <c r="D127" s="31">
        <f>'เช้า '!D127+บ่าย!D127+'เย็น '!D127</f>
        <v>0</v>
      </c>
      <c r="E127" s="31">
        <f>'เช้า '!E127+บ่าย!E127+'เย็น '!E127</f>
        <v>0</v>
      </c>
      <c r="F127" s="31">
        <f>'เช้า '!F127+บ่าย!F127+'เย็น '!F127</f>
        <v>0</v>
      </c>
      <c r="G127" s="31">
        <f>'เช้า '!G127+บ่าย!G127+'เย็น '!G127</f>
        <v>0</v>
      </c>
      <c r="H127" s="31">
        <f>'เช้า '!H127+บ่าย!H127+'เย็น '!H127</f>
        <v>0</v>
      </c>
      <c r="I127" s="31">
        <f>'เช้า '!I127+บ่าย!I127+'เย็น '!I127</f>
        <v>0</v>
      </c>
      <c r="J127" s="31">
        <f>'เช้า '!J127+บ่าย!J127+'เย็น '!J127</f>
        <v>0</v>
      </c>
      <c r="K127" s="31">
        <f>'เช้า '!K127+บ่าย!K127+'เย็น '!K127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>
      <c r="B128" s="11">
        <v>900003</v>
      </c>
      <c r="C128" s="22" t="s">
        <v>132</v>
      </c>
      <c r="D128" s="31">
        <f>'เช้า '!D128+บ่าย!D128+'เย็น '!D128</f>
        <v>0</v>
      </c>
      <c r="E128" s="31">
        <f>'เช้า '!E128+บ่าย!E128+'เย็น '!E128</f>
        <v>0</v>
      </c>
      <c r="F128" s="31">
        <f>'เช้า '!F128+บ่าย!F128+'เย็น '!F128</f>
        <v>0</v>
      </c>
      <c r="G128" s="31">
        <f>'เช้า '!G128+บ่าย!G128+'เย็น '!G128</f>
        <v>0</v>
      </c>
      <c r="H128" s="31">
        <f>'เช้า '!H128+บ่าย!H128+'เย็น '!H128</f>
        <v>0</v>
      </c>
      <c r="I128" s="31">
        <f>'เช้า '!I128+บ่าย!I128+'เย็น '!I128</f>
        <v>0</v>
      </c>
      <c r="J128" s="31">
        <f>'เช้า '!J128+บ่าย!J128+'เย็น '!J128</f>
        <v>0</v>
      </c>
      <c r="K128" s="31">
        <f>'เช้า '!K128+บ่าย!K128+'เย็น '!K128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>
      <c r="B129" s="11">
        <v>900004</v>
      </c>
      <c r="C129" s="22" t="s">
        <v>100</v>
      </c>
      <c r="D129" s="31">
        <f>'เช้า '!D129+บ่าย!D129+'เย็น '!D129</f>
        <v>0</v>
      </c>
      <c r="E129" s="31">
        <f>'เช้า '!E129+บ่าย!E129+'เย็น '!E129</f>
        <v>0</v>
      </c>
      <c r="F129" s="31">
        <f>'เช้า '!F129+บ่าย!F129+'เย็น '!F129</f>
        <v>0</v>
      </c>
      <c r="G129" s="31">
        <f>'เช้า '!G129+บ่าย!G129+'เย็น '!G129</f>
        <v>0</v>
      </c>
      <c r="H129" s="31">
        <f>'เช้า '!H129+บ่าย!H129+'เย็น '!H129</f>
        <v>0</v>
      </c>
      <c r="I129" s="31">
        <f>'เช้า '!I129+บ่าย!I129+'เย็น '!I129</f>
        <v>0</v>
      </c>
      <c r="J129" s="31">
        <f>'เช้า '!J129+บ่าย!J129+'เย็น '!J129</f>
        <v>0</v>
      </c>
      <c r="K129" s="31">
        <f>'เช้า '!K129+บ่าย!K129+'เย็น '!K129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>
      <c r="B130" s="11">
        <v>1200002</v>
      </c>
      <c r="C130" s="22" t="s">
        <v>101</v>
      </c>
      <c r="D130" s="31">
        <f>'เช้า '!D130+บ่าย!D130+'เย็น '!D130</f>
        <v>0</v>
      </c>
      <c r="E130" s="31">
        <f>'เช้า '!E130+บ่าย!E130+'เย็น '!E130</f>
        <v>0</v>
      </c>
      <c r="F130" s="31">
        <f>'เช้า '!F130+บ่าย!F130+'เย็น '!F130</f>
        <v>0</v>
      </c>
      <c r="G130" s="31">
        <f>'เช้า '!G130+บ่าย!G130+'เย็น '!G130</f>
        <v>0</v>
      </c>
      <c r="H130" s="31">
        <f>'เช้า '!H130+บ่าย!H130+'เย็น '!H130</f>
        <v>0</v>
      </c>
      <c r="I130" s="31">
        <f>'เช้า '!I130+บ่าย!I130+'เย็น '!I130</f>
        <v>0</v>
      </c>
      <c r="J130" s="31">
        <f>'เช้า '!J130+บ่าย!J130+'เย็น '!J130</f>
        <v>0</v>
      </c>
      <c r="K130" s="31">
        <f>'เช้า '!K130+บ่าย!K130+'เย็น '!K130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>
      <c r="B131" s="11">
        <v>1200003</v>
      </c>
      <c r="C131" s="22" t="s">
        <v>102</v>
      </c>
      <c r="D131" s="31">
        <f>'เช้า '!D131+บ่าย!D131+'เย็น '!D131</f>
        <v>0</v>
      </c>
      <c r="E131" s="31">
        <f>'เช้า '!E131+บ่าย!E131+'เย็น '!E131</f>
        <v>0</v>
      </c>
      <c r="F131" s="31">
        <f>'เช้า '!F131+บ่าย!F131+'เย็น '!F131</f>
        <v>0</v>
      </c>
      <c r="G131" s="31">
        <f>'เช้า '!G131+บ่าย!G131+'เย็น '!G131</f>
        <v>0</v>
      </c>
      <c r="H131" s="31">
        <f>'เช้า '!H131+บ่าย!H131+'เย็น '!H131</f>
        <v>0</v>
      </c>
      <c r="I131" s="31">
        <f>'เช้า '!I131+บ่าย!I131+'เย็น '!I131</f>
        <v>0</v>
      </c>
      <c r="J131" s="31">
        <f>'เช้า '!J131+บ่าย!J131+'เย็น '!J131</f>
        <v>0</v>
      </c>
      <c r="K131" s="31">
        <f>'เช้า '!K131+บ่าย!K131+'เย็น '!K131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>
      <c r="B132" s="11">
        <v>1200004</v>
      </c>
      <c r="C132" s="22" t="s">
        <v>103</v>
      </c>
      <c r="D132" s="31">
        <f>'เช้า '!D132+บ่าย!D132+'เย็น '!D132</f>
        <v>0</v>
      </c>
      <c r="E132" s="31">
        <f>'เช้า '!E132+บ่าย!E132+'เย็น '!E132</f>
        <v>0</v>
      </c>
      <c r="F132" s="31">
        <f>'เช้า '!F132+บ่าย!F132+'เย็น '!F132</f>
        <v>0</v>
      </c>
      <c r="G132" s="31">
        <f>'เช้า '!G132+บ่าย!G132+'เย็น '!G132</f>
        <v>0</v>
      </c>
      <c r="H132" s="31">
        <f>'เช้า '!H132+บ่าย!H132+'เย็น '!H132</f>
        <v>0</v>
      </c>
      <c r="I132" s="31">
        <f>'เช้า '!I132+บ่าย!I132+'เย็น '!I132</f>
        <v>0</v>
      </c>
      <c r="J132" s="31">
        <f>'เช้า '!J132+บ่าย!J132+'เย็น '!J132</f>
        <v>0</v>
      </c>
      <c r="K132" s="31">
        <f>'เช้า '!K132+บ่าย!K132+'เย็น '!K132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>
      <c r="B133" s="11">
        <v>1200093</v>
      </c>
      <c r="C133" s="22" t="s">
        <v>91</v>
      </c>
      <c r="D133" s="31">
        <f>'เช้า '!D133+บ่าย!D133+'เย็น '!D133</f>
        <v>0</v>
      </c>
      <c r="E133" s="31">
        <f>'เช้า '!E133+บ่าย!E133+'เย็น '!E133</f>
        <v>0</v>
      </c>
      <c r="F133" s="31">
        <f>'เช้า '!F133+บ่าย!F133+'เย็น '!F133</f>
        <v>0</v>
      </c>
      <c r="G133" s="31">
        <f>'เช้า '!G133+บ่าย!G133+'เย็น '!G133</f>
        <v>0</v>
      </c>
      <c r="H133" s="31">
        <f>'เช้า '!H133+บ่าย!H133+'เย็น '!H133</f>
        <v>0</v>
      </c>
      <c r="I133" s="31">
        <f>'เช้า '!I133+บ่าย!I133+'เย็น '!I133</f>
        <v>0</v>
      </c>
      <c r="J133" s="31">
        <f>'เช้า '!J133+บ่าย!J133+'เย็น '!J133</f>
        <v>0</v>
      </c>
      <c r="K133" s="31">
        <f>'เช้า '!K133+บ่าย!K133+'เย็น '!K133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>
      <c r="B134" s="11">
        <v>1200092</v>
      </c>
      <c r="C134" s="20" t="s">
        <v>92</v>
      </c>
      <c r="D134" s="31">
        <f>'เช้า '!D134+บ่าย!D134+'เย็น '!D134</f>
        <v>0</v>
      </c>
      <c r="E134" s="31">
        <f>'เช้า '!E134+บ่าย!E134+'เย็น '!E134</f>
        <v>0</v>
      </c>
      <c r="F134" s="31">
        <f>'เช้า '!F134+บ่าย!F134+'เย็น '!F134</f>
        <v>0</v>
      </c>
      <c r="G134" s="31">
        <f>'เช้า '!G134+บ่าย!G134+'เย็น '!G134</f>
        <v>0</v>
      </c>
      <c r="H134" s="31">
        <f>'เช้า '!H134+บ่าย!H134+'เย็น '!H134</f>
        <v>0</v>
      </c>
      <c r="I134" s="31">
        <f>'เช้า '!I134+บ่าย!I134+'เย็น '!I134</f>
        <v>0</v>
      </c>
      <c r="J134" s="31">
        <f>'เช้า '!J134+บ่าย!J134+'เย็น '!J134</f>
        <v>0</v>
      </c>
      <c r="K134" s="31">
        <f>'เช้า '!K134+บ่าย!K134+'เย็น '!K134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>
      <c r="B135" s="23"/>
      <c r="C135" s="22" t="s">
        <v>124</v>
      </c>
      <c r="D135" s="31">
        <f>'เช้า '!D135+บ่าย!D135+'เย็น '!D135</f>
        <v>0</v>
      </c>
      <c r="E135" s="31">
        <f>'เช้า '!E135+บ่าย!E135+'เย็น '!E135</f>
        <v>0</v>
      </c>
      <c r="F135" s="31">
        <f>'เช้า '!F135+บ่าย!F135+'เย็น '!F135</f>
        <v>0</v>
      </c>
      <c r="G135" s="31">
        <f>'เช้า '!G135+บ่าย!G135+'เย็น '!G135</f>
        <v>0</v>
      </c>
      <c r="H135" s="31">
        <f>'เช้า '!H135+บ่าย!H135+'เย็น '!H135</f>
        <v>0</v>
      </c>
      <c r="I135" s="31">
        <f>'เช้า '!I135+บ่าย!I135+'เย็น '!I135</f>
        <v>0</v>
      </c>
      <c r="J135" s="31">
        <f>'เช้า '!J135+บ่าย!J135+'เย็น '!J135</f>
        <v>0</v>
      </c>
      <c r="K135" s="31">
        <f>'เช้า '!K135+บ่าย!K135+'เย็น '!K135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>
      <c r="B136" s="23"/>
      <c r="C136" s="22" t="s">
        <v>125</v>
      </c>
      <c r="D136" s="31">
        <f>'เช้า '!D136+บ่าย!D136+'เย็น '!D136</f>
        <v>0</v>
      </c>
      <c r="E136" s="31">
        <f>'เช้า '!E136+บ่าย!E136+'เย็น '!E136</f>
        <v>0</v>
      </c>
      <c r="F136" s="31">
        <f>'เช้า '!F136+บ่าย!F136+'เย็น '!F136</f>
        <v>0</v>
      </c>
      <c r="G136" s="31">
        <f>'เช้า '!G136+บ่าย!G136+'เย็น '!G136</f>
        <v>0</v>
      </c>
      <c r="H136" s="31">
        <f>'เช้า '!H136+บ่าย!H136+'เย็น '!H136</f>
        <v>0</v>
      </c>
      <c r="I136" s="31">
        <f>'เช้า '!I136+บ่าย!I136+'เย็น '!I136</f>
        <v>0</v>
      </c>
      <c r="J136" s="31">
        <f>'เช้า '!J136+บ่าย!J136+'เย็น '!J136</f>
        <v>0</v>
      </c>
      <c r="K136" s="31">
        <f>'เช้า '!K136+บ่าย!K136+'เย็น '!K136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>
      <c r="B137" s="23">
        <v>20052721</v>
      </c>
      <c r="C137" s="22" t="s">
        <v>143</v>
      </c>
      <c r="D137" s="31">
        <f>'เช้า '!D137+บ่าย!D137+'เย็น '!D137</f>
        <v>0</v>
      </c>
      <c r="E137" s="31">
        <f>'เช้า '!E137+บ่าย!E137+'เย็น '!E137</f>
        <v>0</v>
      </c>
      <c r="F137" s="31">
        <f>'เช้า '!F137+บ่าย!F137+'เย็น '!F137</f>
        <v>0</v>
      </c>
      <c r="G137" s="31">
        <f>'เช้า '!G137+บ่าย!G137+'เย็น '!G137</f>
        <v>19</v>
      </c>
      <c r="H137" s="31">
        <f>'เช้า '!H137+บ่าย!H137+'เย็น '!H137</f>
        <v>0</v>
      </c>
      <c r="I137" s="31">
        <f>'เช้า '!I137+บ่าย!I137+'เย็น '!I137</f>
        <v>0</v>
      </c>
      <c r="J137" s="31">
        <f>'เช้า '!J137+บ่าย!J137+'เย็น '!J137</f>
        <v>0</v>
      </c>
      <c r="K137" s="31">
        <f>'เช้า '!K137+บ่าย!K137+'เย็น '!K137</f>
        <v>0</v>
      </c>
      <c r="L137" s="37">
        <f t="shared" si="14"/>
        <v>19</v>
      </c>
      <c r="M137" s="11"/>
      <c r="N137" s="11">
        <v>33</v>
      </c>
      <c r="O137" s="11"/>
      <c r="P137" s="11">
        <v>40</v>
      </c>
      <c r="Q137" s="45">
        <f t="shared" si="15"/>
        <v>54</v>
      </c>
    </row>
    <row r="138" spans="2:17">
      <c r="B138" s="23">
        <v>1004046</v>
      </c>
      <c r="C138" s="22" t="s">
        <v>144</v>
      </c>
      <c r="D138" s="31">
        <f>'เช้า '!D138+บ่าย!D138+'เย็น '!D138</f>
        <v>0</v>
      </c>
      <c r="E138" s="31">
        <f>'เช้า '!E138+บ่าย!E138+'เย็น '!E138</f>
        <v>0</v>
      </c>
      <c r="F138" s="31">
        <f>'เช้า '!F138+บ่าย!F138+'เย็น '!F138</f>
        <v>0</v>
      </c>
      <c r="G138" s="31">
        <f>'เช้า '!G138+บ่าย!G138+'เย็น '!G138</f>
        <v>0</v>
      </c>
      <c r="H138" s="31">
        <f>'เช้า '!H138+บ่าย!H138+'เย็น '!H138</f>
        <v>0</v>
      </c>
      <c r="I138" s="31">
        <f>'เช้า '!I138+บ่าย!I138+'เย็น '!I138</f>
        <v>0</v>
      </c>
      <c r="J138" s="31">
        <f>'เช้า '!J138+บ่าย!J138+'เย็น '!J138</f>
        <v>0</v>
      </c>
      <c r="K138" s="31">
        <f>'เช้า '!K138+บ่าย!K138+'เย็น '!K138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>
      <c r="B139" s="51"/>
      <c r="C139" s="50" t="s">
        <v>138</v>
      </c>
      <c r="D139" s="31">
        <f>'เช้า '!D139+บ่าย!D139+'เย็น '!D139</f>
        <v>0</v>
      </c>
      <c r="E139" s="31">
        <f>'เช้า '!E139+บ่าย!E139+'เย็น '!E139</f>
        <v>0</v>
      </c>
      <c r="F139" s="31">
        <f>'เช้า '!F139+บ่าย!F139+'เย็น '!F139</f>
        <v>0</v>
      </c>
      <c r="G139" s="31">
        <f>'เช้า '!G139+บ่าย!G139+'เย็น '!G139</f>
        <v>0</v>
      </c>
      <c r="H139" s="31">
        <f>'เช้า '!H139+บ่าย!H139+'เย็น '!H139</f>
        <v>0</v>
      </c>
      <c r="I139" s="31">
        <f>'เช้า '!I139+บ่าย!I139+'เย็น '!I139</f>
        <v>0</v>
      </c>
      <c r="J139" s="31">
        <f>'เช้า '!J139+บ่าย!J139+'เย็น '!J139</f>
        <v>0</v>
      </c>
      <c r="K139" s="31">
        <f>'เช้า '!K139+บ่าย!K139+'เย็น '!K139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>
      <c r="B140" s="51"/>
      <c r="C140" s="50" t="s">
        <v>139</v>
      </c>
      <c r="D140" s="31">
        <f>'เช้า '!D140+บ่าย!D140+'เย็น '!D140</f>
        <v>0</v>
      </c>
      <c r="E140" s="31">
        <f>'เช้า '!E140+บ่าย!E140+'เย็น '!E140</f>
        <v>0</v>
      </c>
      <c r="F140" s="31">
        <f>'เช้า '!F140+บ่าย!F140+'เย็น '!F140</f>
        <v>0</v>
      </c>
      <c r="G140" s="31">
        <f>'เช้า '!G140+บ่าย!G140+'เย็น '!G140</f>
        <v>0</v>
      </c>
      <c r="H140" s="31">
        <f>'เช้า '!H140+บ่าย!H140+'เย็น '!H140</f>
        <v>0</v>
      </c>
      <c r="I140" s="31">
        <f>'เช้า '!I140+บ่าย!I140+'เย็น '!I140</f>
        <v>0</v>
      </c>
      <c r="J140" s="31">
        <f>'เช้า '!J140+บ่าย!J140+'เย็น '!J140</f>
        <v>0</v>
      </c>
      <c r="K140" s="31">
        <f>'เช้า '!K140+บ่าย!K140+'เย็น '!K140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>
      <c r="B141" s="51"/>
      <c r="C141" s="50" t="s">
        <v>140</v>
      </c>
      <c r="D141" s="31">
        <f>'เช้า '!D141+บ่าย!D141+'เย็น '!D141</f>
        <v>0</v>
      </c>
      <c r="E141" s="31">
        <f>'เช้า '!E141+บ่าย!E141+'เย็น '!E141</f>
        <v>0</v>
      </c>
      <c r="F141" s="31">
        <f>'เช้า '!F141+บ่าย!F141+'เย็น '!F141</f>
        <v>0</v>
      </c>
      <c r="G141" s="31">
        <f>'เช้า '!G141+บ่าย!G141+'เย็น '!G141</f>
        <v>0</v>
      </c>
      <c r="H141" s="31">
        <f>'เช้า '!H141+บ่าย!H141+'เย็น '!H141</f>
        <v>0</v>
      </c>
      <c r="I141" s="31">
        <f>'เช้า '!I141+บ่าย!I141+'เย็น '!I141</f>
        <v>0</v>
      </c>
      <c r="J141" s="31">
        <f>'เช้า '!J141+บ่าย!J141+'เย็น '!J141</f>
        <v>0</v>
      </c>
      <c r="K141" s="31">
        <f>'เช้า '!K141+บ่าย!K141+'เย็น '!K141</f>
        <v>0</v>
      </c>
      <c r="L141" s="37">
        <f t="shared" si="14"/>
        <v>0</v>
      </c>
      <c r="M141" s="31">
        <f>SUM(M114:M136,M90:M98,M79:M87,M69:M76,M7:M66)</f>
        <v>161</v>
      </c>
      <c r="N141" s="31">
        <f>SUM(N114:N136,N90:N98,N79:N87,N69:N76,N7:N66)</f>
        <v>1293</v>
      </c>
      <c r="O141" s="31"/>
      <c r="P141" s="31"/>
      <c r="Q141" s="45">
        <f t="shared" ref="Q141" si="16">(M141+N141)-L141</f>
        <v>1454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>
        <f>SUM(,L102:L111,L90:L99,L79:L87,L69:L76,L7:L65)</f>
        <v>331</v>
      </c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2025-03-12T06:10:28Z</cp:lastPrinted>
  <dcterms:created xsi:type="dcterms:W3CDTF">2024-04-30T05:21:27Z</dcterms:created>
  <dcterms:modified xsi:type="dcterms:W3CDTF">2025-03-12T06:10:55Z</dcterms:modified>
</cp:coreProperties>
</file>