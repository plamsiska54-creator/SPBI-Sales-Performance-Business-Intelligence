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6A400912-55CA-443B-A9A0-3DE6665308E4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5" i="5" l="1"/>
  <c r="Q136" i="5"/>
  <c r="Q137" i="5"/>
  <c r="Q142" i="5" s="1"/>
  <c r="Q138" i="5"/>
  <c r="Q139" i="5"/>
  <c r="Q140" i="5"/>
  <c r="G142" i="5"/>
  <c r="L142" i="5"/>
  <c r="M142" i="5"/>
  <c r="N142" i="5"/>
  <c r="E114" i="5" l="1"/>
  <c r="F114" i="5"/>
  <c r="G114" i="5"/>
  <c r="H114" i="5"/>
  <c r="I114" i="5"/>
  <c r="J114" i="5"/>
  <c r="K114" i="5"/>
  <c r="D114" i="5"/>
  <c r="L141" i="5" l="1"/>
  <c r="L140" i="5"/>
  <c r="L139" i="5"/>
  <c r="L138" i="5"/>
  <c r="L137" i="5"/>
  <c r="L136" i="5"/>
  <c r="L135" i="5"/>
  <c r="L134" i="5"/>
  <c r="L133" i="5"/>
  <c r="L132" i="5"/>
  <c r="L131" i="5"/>
  <c r="L130" i="5"/>
  <c r="L129" i="5"/>
  <c r="L128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34" i="4"/>
  <c r="L135" i="4"/>
  <c r="L136" i="4"/>
  <c r="L137" i="4"/>
  <c r="L138" i="4"/>
  <c r="L139" i="4"/>
  <c r="L130" i="4"/>
  <c r="L131" i="4"/>
  <c r="L132" i="4"/>
  <c r="L133" i="4"/>
  <c r="L140" i="4"/>
  <c r="Q77" i="5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1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Q134" i="5" l="1"/>
  <c r="Q132" i="5"/>
  <c r="Q133" i="5"/>
  <c r="Q131" i="5"/>
  <c r="L112" i="6"/>
  <c r="L112" i="3"/>
  <c r="Q130" i="5"/>
  <c r="Q129" i="5"/>
  <c r="L90" i="5"/>
  <c r="Q90" i="5" s="1"/>
  <c r="L93" i="5"/>
  <c r="Q93" i="5" s="1"/>
  <c r="L95" i="5"/>
  <c r="Q95" i="5" s="1"/>
  <c r="Q127" i="5"/>
  <c r="Q118" i="5"/>
  <c r="Q126" i="5"/>
  <c r="Q119" i="5"/>
  <c r="Q124" i="5"/>
  <c r="Q117" i="5"/>
  <c r="L94" i="5"/>
  <c r="Q94" i="5" s="1"/>
  <c r="Q128" i="5"/>
  <c r="L96" i="5"/>
  <c r="Q96" i="5" s="1"/>
  <c r="Q125" i="5"/>
  <c r="Q121" i="5"/>
  <c r="Q120" i="5"/>
  <c r="L87" i="5"/>
  <c r="Q87" i="5" s="1"/>
  <c r="Q115" i="5"/>
  <c r="L92" i="5"/>
  <c r="Q92" i="5" s="1"/>
  <c r="L98" i="5"/>
  <c r="Q98" i="5" s="1"/>
  <c r="L97" i="5"/>
  <c r="Q97" i="5" s="1"/>
  <c r="L91" i="5"/>
  <c r="Q91" i="5" s="1"/>
  <c r="Q123" i="5"/>
  <c r="Q122" i="5"/>
  <c r="Q116" i="5"/>
  <c r="Q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L102" i="5" l="1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12" i="5" l="1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<sst xmlns="http://schemas.openxmlformats.org/spreadsheetml/2006/main" count="621" uniqueCount="147">
  <si>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</si>
  <si>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</si>
  <si>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</si>
  <si>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</si>
  <si>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</si>
  <si>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</si>
  <si>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</si>
  <si>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</si>
  <si>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</si>
  <si>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</si>
  <si>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</si>
  <si>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</si>
  <si>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</si>
  <si>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</si>
  <si>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</si>
  <si>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</si>
  <si>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</si>
  <si>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</si>
  <si>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</si>
  <si>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</si>
  <si>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</si>
  <si>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</si>
  <si>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</si>
  <si>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</si>
  <si>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</si>
  <si>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</si>
  <si>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</si>
  <si>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</si>
  <si>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</si>
  <si>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</si>
  <si>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</si>
  <si>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</si>
  <si>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</si>
  <si>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</si>
  <si>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</si>
  <si>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</si>
  <si>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</si>
  <si>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</si>
  <si>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</si>
  <si>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</si>
  <si>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</si>
  <si>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</si>
  <si>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</si>
  <si>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</si>
  <si>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</si>
  <si>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</si>
  <si>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</si>
  <si>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</si>
  <si>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</si>
  <si>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</si>
  <si>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</si>
  <si>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</si>
  <si>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</si>
  <si>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</si>
  <si>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</si>
  <si>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</si>
  <si>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</si>
  <si>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</si>
  <si>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</si>
  <si>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</si>
  <si>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</si>
  <si>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</si>
  <si>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</si>
  <si>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</si>
  <si>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</si>
  <si>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</si>
  <si>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</si>
  <si>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</si>
  <si>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</si>
  <si>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</si>
  <si>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</si>
  <si>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</si>
  <si>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</si>
  <si>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</si>
  <si>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</si>
  <si>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</si>
  <si>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</si>
  <si>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</si>
  <si>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</si>
  <si>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</si>
  <si>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</si>
  <si>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</si>
  <si>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</si>
  <si>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</si>
  <si>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</si>
  <si>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</si>
  <si>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</si>
  <si>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</si>
  <si>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</si>
  <si>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</si>
  <si>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</si>
  <si>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</si>
  <si>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</si>
  <si>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</si>
  <si>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</si>
  <si>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</si>
  <si>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</si>
  <si>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</si>
  <si>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</si>
  <si>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</si>
  <si>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</si>
  <si>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</si>
  <si>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</si>
  <si>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</si>
  <si>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</si>
  <si>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</si>
  <si>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</si>
  <si>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</si>
  <si>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</si>
  <si>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</si>
  <si>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</si>
  <si>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</si>
  <si>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</si>
  <si>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</si>
  <si>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</si>
  <si>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</si>
  <si>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</si>
  <si>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</si>
  <si>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</si>
  <si>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</si>
  <si>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</si>
  <si>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</si>
  <si>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</si>
  <si>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</si>
  <si>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</si>
  <si>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</si>
  <si>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</si>
  <si>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</si>
  <si>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</si>
  <si>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</si>
  <si>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</si>
  <si>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</si>
  <si>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</si>
  <si>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</si>
  <si>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</si>
  <si>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</si>
  <si>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</si>
  <si>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</si>
  <si>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</si>
  <si>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</si>
  <si>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</si>
  <si>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</si>
  <si>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</si>
  <si>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</si>
  <si>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</si>
  <si>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ปังเนยนิ่มแบบถุง</t>
  </si>
  <si>
    <t>ยอดจริง ออนไลน์ วันที่ 8-3-68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</si>
</sst>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05" zoomScale="60" zoomScaleNormal="60" workbookViewId="0">
      <selection activeCell="D123" sqref="D123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138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14</v>
      </c>
      <c r="E7" s="31">
        <v>23</v>
      </c>
      <c r="F7" s="31">
        <v>5</v>
      </c>
      <c r="G7" s="31">
        <v>33</v>
      </c>
      <c r="H7" s="31"/>
      <c r="I7" s="31"/>
      <c r="J7" s="44"/>
      <c r="K7" s="44"/>
      <c r="L7" s="37">
        <f>SUM(D7:K7)</f>
        <v>75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4</v>
      </c>
      <c r="E25" s="31">
        <v>12</v>
      </c>
      <c r="F25" s="31">
        <v>1</v>
      </c>
      <c r="G25" s="31">
        <v>7</v>
      </c>
      <c r="H25" s="31"/>
      <c r="I25" s="31"/>
      <c r="J25" s="44"/>
      <c r="K25" s="44"/>
      <c r="L25" s="37">
        <f t="shared" si="0"/>
        <v>24</v>
      </c>
    </row>
    <row r="26" spans="2:12">
      <c r="B26" s="11">
        <v>1004055</v>
      </c>
      <c r="C26" s="15" t="s">
        <v>108</v>
      </c>
      <c r="D26" s="31"/>
      <c r="E26" s="31"/>
      <c r="F26" s="31"/>
      <c r="G26" s="31">
        <v>3</v>
      </c>
      <c r="H26" s="31"/>
      <c r="I26" s="31"/>
      <c r="J26" s="44"/>
      <c r="K26" s="44"/>
      <c r="L26" s="37">
        <f t="shared" si="0"/>
        <v>3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4</v>
      </c>
      <c r="E69" s="31">
        <v>1</v>
      </c>
      <c r="F69" s="31">
        <v>1</v>
      </c>
      <c r="G69" s="31">
        <v>1</v>
      </c>
      <c r="H69" s="31"/>
      <c r="I69" s="31"/>
      <c r="J69" s="44"/>
      <c r="K69" s="44"/>
      <c r="L69" s="37">
        <f t="shared" ref="L69:L76" si="1">SUM(D69:K69)</f>
        <v>7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/>
      <c r="H87" s="31"/>
      <c r="I87" s="31"/>
      <c r="J87" s="44"/>
      <c r="K87" s="44"/>
      <c r="L87" s="37">
        <f t="shared" si="2"/>
        <v>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>
        <v>12</v>
      </c>
      <c r="E90" s="31">
        <v>1</v>
      </c>
      <c r="F90" s="31">
        <v>3</v>
      </c>
      <c r="G90" s="31">
        <v>3</v>
      </c>
      <c r="H90" s="31"/>
      <c r="I90" s="31"/>
      <c r="J90" s="44"/>
      <c r="K90" s="44"/>
      <c r="L90" s="37">
        <f t="shared" ref="L90:L99" si="3">SUM(D90:K90)</f>
        <v>19</v>
      </c>
    </row>
    <row r="91" spans="2:12">
      <c r="B91" s="11">
        <v>1112011</v>
      </c>
      <c r="C91" s="20" t="s">
        <v>76</v>
      </c>
      <c r="D91" s="31">
        <v>11</v>
      </c>
      <c r="E91" s="31"/>
      <c r="F91" s="31">
        <v>7</v>
      </c>
      <c r="G91" s="31">
        <v>3</v>
      </c>
      <c r="H91" s="31"/>
      <c r="I91" s="31"/>
      <c r="J91" s="44"/>
      <c r="K91" s="44"/>
      <c r="L91" s="37">
        <f t="shared" si="3"/>
        <v>21</v>
      </c>
    </row>
    <row r="92" spans="2:12">
      <c r="B92" s="11">
        <v>1112003</v>
      </c>
      <c r="C92" s="20" t="s">
        <v>77</v>
      </c>
      <c r="D92" s="31">
        <v>11</v>
      </c>
      <c r="E92" s="31">
        <v>2</v>
      </c>
      <c r="F92" s="31">
        <v>5</v>
      </c>
      <c r="G92" s="31">
        <v>6</v>
      </c>
      <c r="H92" s="31"/>
      <c r="I92" s="31"/>
      <c r="J92" s="44"/>
      <c r="K92" s="44"/>
      <c r="L92" s="37">
        <f t="shared" si="3"/>
        <v>24</v>
      </c>
    </row>
    <row r="93" spans="2:12">
      <c r="B93" s="11">
        <v>1112005</v>
      </c>
      <c r="C93" s="20" t="s">
        <v>78</v>
      </c>
      <c r="D93" s="31">
        <v>15</v>
      </c>
      <c r="E93" s="31">
        <v>1</v>
      </c>
      <c r="F93" s="31"/>
      <c r="G93" s="31">
        <v>2</v>
      </c>
      <c r="H93" s="31"/>
      <c r="I93" s="31"/>
      <c r="J93" s="44"/>
      <c r="K93" s="44"/>
      <c r="L93" s="37">
        <f t="shared" si="3"/>
        <v>18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>
        <v>9</v>
      </c>
      <c r="F102" s="31"/>
      <c r="G102" s="31"/>
      <c r="H102" s="31"/>
      <c r="I102" s="31"/>
      <c r="J102" s="44"/>
      <c r="K102" s="44"/>
      <c r="L102" s="37">
        <f t="shared" ref="L102:L111" si="5">SUM(D102:K102)</f>
        <v>9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1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10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2</v>
      </c>
      <c r="H116" s="31"/>
      <c r="I116" s="31"/>
      <c r="J116" s="44"/>
      <c r="K116" s="44"/>
      <c r="L116" s="37">
        <f t="shared" si="6"/>
        <v>2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5</v>
      </c>
      <c r="F123" s="31">
        <v>6</v>
      </c>
      <c r="G123" s="31">
        <v>49</v>
      </c>
      <c r="H123" s="31"/>
      <c r="I123" s="31"/>
      <c r="J123" s="44"/>
      <c r="K123" s="44"/>
      <c r="L123" s="37">
        <f t="shared" si="6"/>
        <v>60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>
        <v>32</v>
      </c>
      <c r="F126" s="31">
        <v>12</v>
      </c>
      <c r="G126" s="31">
        <v>3</v>
      </c>
      <c r="H126" s="31"/>
      <c r="I126" s="31"/>
      <c r="J126" s="44"/>
      <c r="K126" s="44"/>
      <c r="L126" s="37">
        <f t="shared" si="6"/>
        <v>47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>
        <v>4</v>
      </c>
      <c r="H137" s="31"/>
      <c r="I137" s="31"/>
      <c r="J137" s="44"/>
      <c r="K137" s="44"/>
      <c r="L137" s="37">
        <f t="shared" si="6"/>
        <v>4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2"/>
  <sheetViews>
    <sheetView topLeftCell="A115" zoomScale="60" zoomScaleNormal="60" workbookViewId="0">
      <selection activeCell="D111" sqref="D11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6"/>
        <v>2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>
        <v>2</v>
      </c>
      <c r="H116" s="31"/>
      <c r="I116" s="31"/>
      <c r="J116" s="44"/>
      <c r="K116" s="44"/>
      <c r="L116" s="37">
        <f t="shared" si="6"/>
        <v>2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5</v>
      </c>
      <c r="F123" s="31">
        <v>6</v>
      </c>
      <c r="G123" s="31">
        <v>49</v>
      </c>
      <c r="H123" s="31"/>
      <c r="I123" s="31"/>
      <c r="J123" s="44"/>
      <c r="K123" s="44"/>
      <c r="L123" s="37">
        <f t="shared" si="6"/>
        <v>60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>
        <v>32</v>
      </c>
      <c r="F126" s="31">
        <v>12</v>
      </c>
      <c r="G126" s="31">
        <v>3</v>
      </c>
      <c r="H126" s="31"/>
      <c r="I126" s="31"/>
      <c r="J126" s="44"/>
      <c r="K126" s="44"/>
      <c r="L126" s="37">
        <f t="shared" si="6"/>
        <v>47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>
        <v>4</v>
      </c>
      <c r="H137" s="31"/>
      <c r="I137" s="31"/>
      <c r="J137" s="44"/>
      <c r="K137" s="44"/>
      <c r="L137" s="37">
        <f t="shared" si="6"/>
        <v>4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54"/>
      <c r="C143" s="55"/>
      <c r="D143" s="32"/>
      <c r="E143" s="32"/>
      <c r="F143" s="32"/>
      <c r="G143" s="27"/>
      <c r="L143" s="56"/>
    </row>
    <row r="144" spans="2:12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5:C145"/>
    <mergeCell ref="I145:L145"/>
    <mergeCell ref="B144:C144"/>
    <mergeCell ref="E144:F144"/>
    <mergeCell ref="I144:L144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4" zoomScale="60" zoomScaleNormal="60" workbookViewId="0">
      <selection activeCell="G131" sqref="G13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1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144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6"/>
        <v>0</v>
      </c>
    </row>
    <row r="140" spans="2:12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6"/>
        <v>0</v>
      </c>
    </row>
    <row r="141" spans="2:12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6"/>
        <v>0</v>
      </c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02" zoomScale="50" zoomScaleNormal="50" workbookViewId="0">
      <selection activeCell="M129" sqref="M129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142</v>
      </c>
      <c r="P2" s="67" t="s">
        <v>143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14</v>
      </c>
      <c r="E7" s="31">
        <f>'เย็น '!E7+'เช้า '!E7+บ่าย!E7</f>
        <v>23</v>
      </c>
      <c r="F7" s="31">
        <f>'เย็น '!F7+'เช้า '!F7+บ่าย!F7</f>
        <v>5</v>
      </c>
      <c r="G7" s="31">
        <f>'เย็น '!G7+'เช้า '!G7+บ่าย!G7</f>
        <v>33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v>15</v>
      </c>
      <c r="L7" s="37">
        <f>SUM(D7:K7)</f>
        <v>90</v>
      </c>
      <c r="M7" s="11"/>
      <c r="N7" s="11">
        <v>675</v>
      </c>
      <c r="O7" s="11"/>
      <c r="P7" s="11"/>
      <c r="Q7" s="45">
        <f>(M7+N7+O7+P7)-L7</f>
        <v>585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4</v>
      </c>
      <c r="E25" s="31">
        <f>'เย็น '!E25+'เช้า '!E25+บ่าย!E25</f>
        <v>12</v>
      </c>
      <c r="F25" s="31">
        <f>'เย็น '!F25+'เช้า '!F25+บ่าย!F25</f>
        <v>1</v>
      </c>
      <c r="G25" s="31">
        <f>'เย็น '!G25+'เช้า '!G25+บ่าย!G25</f>
        <v>7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24</v>
      </c>
      <c r="M25" s="11"/>
      <c r="N25" s="11"/>
      <c r="O25" s="11"/>
      <c r="P25" s="11"/>
      <c r="Q25" s="45">
        <f t="shared" si="1"/>
        <v>-24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3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</v>
      </c>
      <c r="M26" s="11"/>
      <c r="N26" s="11">
        <v>17</v>
      </c>
      <c r="O26" s="11"/>
      <c r="P26" s="11"/>
      <c r="Q26" s="45">
        <f t="shared" si="1"/>
        <v>14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4</v>
      </c>
      <c r="E69" s="31">
        <f>'เย็น '!E69+'เช้า '!E69+บ่าย!E69</f>
        <v>1</v>
      </c>
      <c r="F69" s="31">
        <f>'เย็น '!F69+'เช้า '!F69+บ่าย!F69</f>
        <v>1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7</v>
      </c>
      <c r="M69" s="11"/>
      <c r="N69" s="11">
        <v>14</v>
      </c>
      <c r="O69" s="11"/>
      <c r="P69" s="11"/>
      <c r="Q69" s="45">
        <f t="shared" ref="Q69:Q76" si="5">(M69+N69+O69+P69)-L69</f>
        <v>7</v>
      </c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3</v>
      </c>
      <c r="M87" s="11"/>
      <c r="N87" s="11"/>
      <c r="O87" s="11"/>
      <c r="P87" s="11"/>
      <c r="Q87" s="45">
        <f t="shared" si="8"/>
        <v>-3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20" t="s">
        <v>75</v>
      </c>
      <c r="D90" s="31">
        <f>'เย็น '!D90+'เช้า '!D90+บ่าย!D90</f>
        <v>12</v>
      </c>
      <c r="E90" s="31">
        <f>'เย็น '!E90+'เช้า '!E90+บ่าย!E90</f>
        <v>1</v>
      </c>
      <c r="F90" s="31"/>
      <c r="G90" s="31">
        <v>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15</v>
      </c>
      <c r="M90" s="11"/>
      <c r="N90" s="11">
        <v>60</v>
      </c>
      <c r="O90" s="11"/>
      <c r="P90" s="11"/>
      <c r="Q90" s="45">
        <f t="shared" ref="Q90:Q99" si="10">(M90+N90+O90+P90)-L90</f>
        <v>45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11</v>
      </c>
      <c r="E91" s="31">
        <f>'เย็น '!E91+'เช้า '!E91+บ่าย!E91</f>
        <v>0</v>
      </c>
      <c r="F91" s="31">
        <f>'เย็น '!F91+'เช้า '!F91+บ่าย!F91</f>
        <v>7</v>
      </c>
      <c r="G91" s="31">
        <f>'เย็น '!G91+'เช้า '!G91+บ่าย!G91</f>
        <v>3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21</v>
      </c>
      <c r="M91" s="11"/>
      <c r="N91" s="11">
        <v>2</v>
      </c>
      <c r="O91" s="11"/>
      <c r="P91" s="11"/>
      <c r="Q91" s="45">
        <f t="shared" si="10"/>
        <v>-19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11</v>
      </c>
      <c r="E92" s="31">
        <f>'เย็น '!E92+'เช้า '!E92+บ่าย!E92</f>
        <v>2</v>
      </c>
      <c r="F92" s="31">
        <f>'เย็น '!F92+'เช้า '!F92+บ่าย!F92</f>
        <v>5</v>
      </c>
      <c r="G92" s="31">
        <f>'เย็น '!G92+'เช้า '!G92+บ่าย!G92</f>
        <v>6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24</v>
      </c>
      <c r="M92" s="11"/>
      <c r="N92" s="11">
        <v>157</v>
      </c>
      <c r="O92" s="11"/>
      <c r="P92" s="11"/>
      <c r="Q92" s="45">
        <f t="shared" si="10"/>
        <v>133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15</v>
      </c>
      <c r="E93" s="31">
        <f>'เย็น '!E93+'เช้า '!E93+บ่าย!E93</f>
        <v>1</v>
      </c>
      <c r="F93" s="31">
        <v>3</v>
      </c>
      <c r="G93" s="31">
        <v>3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22</v>
      </c>
      <c r="M93" s="11"/>
      <c r="N93" s="11">
        <v>71</v>
      </c>
      <c r="O93" s="11"/>
      <c r="P93" s="11"/>
      <c r="Q93" s="45">
        <f t="shared" si="10"/>
        <v>49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>
        <v>1</v>
      </c>
      <c r="O98" s="11"/>
      <c r="P98" s="11"/>
      <c r="Q98" s="45">
        <f t="shared" si="10"/>
        <v>1</v>
      </c>
    </row>
    <row r="99" spans="2:17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82</v>
      </c>
      <c r="M100" s="11"/>
      <c r="N100" s="11"/>
      <c r="O100" s="11"/>
      <c r="P100" s="11"/>
      <c r="Q100" s="45"/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9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9</v>
      </c>
      <c r="M102" s="11"/>
      <c r="N102" s="11">
        <v>128</v>
      </c>
      <c r="O102" s="11"/>
      <c r="P102" s="11"/>
      <c r="Q102" s="45">
        <f t="shared" ref="Q102:Q111" si="12">(M102+N102+O102+P102)-L102</f>
        <v>119</v>
      </c>
    </row>
    <row r="103" spans="2:17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/>
      <c r="N103" s="11">
        <v>189</v>
      </c>
      <c r="O103" s="11"/>
      <c r="P103" s="11"/>
      <c r="Q103" s="45">
        <f t="shared" si="12"/>
        <v>188</v>
      </c>
    </row>
    <row r="104" spans="2:17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>
        <v>1</v>
      </c>
      <c r="O104" s="11"/>
      <c r="P104" s="11"/>
      <c r="Q104" s="45">
        <f t="shared" si="12"/>
        <v>1</v>
      </c>
    </row>
    <row r="105" spans="2:17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>
        <v>1</v>
      </c>
      <c r="O105" s="11"/>
      <c r="P105" s="11"/>
      <c r="Q105" s="45">
        <f t="shared" si="12"/>
        <v>1</v>
      </c>
    </row>
    <row r="106" spans="2:17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>
        <v>44</v>
      </c>
      <c r="O109" s="11"/>
      <c r="P109" s="11"/>
      <c r="Q109" s="45">
        <f t="shared" si="12"/>
        <v>44</v>
      </c>
    </row>
    <row r="110" spans="2:17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$D$110</f>
        <v>0</v>
      </c>
      <c r="E114" s="31">
        <f t="shared" ref="E114:K129" si="15">$D$110</f>
        <v>0</v>
      </c>
      <c r="F114" s="31">
        <f t="shared" si="15"/>
        <v>0</v>
      </c>
      <c r="G114" s="31">
        <f t="shared" si="15"/>
        <v>0</v>
      </c>
      <c r="H114" s="31">
        <f t="shared" si="15"/>
        <v>0</v>
      </c>
      <c r="I114" s="31">
        <f t="shared" si="15"/>
        <v>0</v>
      </c>
      <c r="J114" s="31">
        <f t="shared" si="15"/>
        <v>0</v>
      </c>
      <c r="K114" s="31">
        <f t="shared" si="15"/>
        <v>0</v>
      </c>
      <c r="L114" s="37">
        <f t="shared" ref="L114:L141" si="16">SUM(D114:K114)</f>
        <v>0</v>
      </c>
      <c r="M114" s="11"/>
      <c r="N114" s="11"/>
      <c r="O114" s="11"/>
      <c r="P114" s="11"/>
      <c r="Q114" s="45">
        <f t="shared" ref="Q114:Q140" si="17">(M114+N114+O114+P114)-L114</f>
        <v>0</v>
      </c>
    </row>
    <row r="115" spans="2:17">
      <c r="B115" s="11">
        <v>1113171</v>
      </c>
      <c r="C115" s="22" t="s">
        <v>88</v>
      </c>
      <c r="D115" s="31"/>
      <c r="E115" s="31"/>
      <c r="F115" s="31"/>
      <c r="G115" s="31">
        <v>2</v>
      </c>
      <c r="H115" s="31"/>
      <c r="I115" s="31"/>
      <c r="J115" s="44"/>
      <c r="K115" s="44"/>
      <c r="L115" s="37">
        <f t="shared" si="16"/>
        <v>2</v>
      </c>
      <c r="M115" s="11"/>
      <c r="N115" s="11">
        <v>27</v>
      </c>
      <c r="O115" s="11"/>
      <c r="P115" s="11"/>
      <c r="Q115" s="45">
        <f t="shared" si="17"/>
        <v>25</v>
      </c>
    </row>
    <row r="116" spans="2:17">
      <c r="B116" s="11">
        <v>1113172</v>
      </c>
      <c r="C116" s="22" t="s">
        <v>89</v>
      </c>
      <c r="D116" s="31"/>
      <c r="E116" s="31"/>
      <c r="F116" s="31"/>
      <c r="G116" s="31">
        <v>2</v>
      </c>
      <c r="H116" s="31"/>
      <c r="I116" s="31"/>
      <c r="J116" s="44"/>
      <c r="K116" s="44"/>
      <c r="L116" s="37">
        <f t="shared" si="16"/>
        <v>2</v>
      </c>
      <c r="M116" s="11"/>
      <c r="N116" s="11">
        <v>10</v>
      </c>
      <c r="O116" s="11"/>
      <c r="P116" s="11"/>
      <c r="Q116" s="45">
        <f t="shared" si="17"/>
        <v>8</v>
      </c>
    </row>
    <row r="117" spans="2:17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16"/>
        <v>0</v>
      </c>
      <c r="M117" s="11"/>
      <c r="N117" s="11"/>
      <c r="O117" s="11"/>
      <c r="P117" s="11"/>
      <c r="Q117" s="45">
        <f t="shared" si="17"/>
        <v>0</v>
      </c>
    </row>
    <row r="118" spans="2:17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16"/>
        <v>0</v>
      </c>
      <c r="M118" s="11"/>
      <c r="N118" s="11">
        <v>1</v>
      </c>
      <c r="O118" s="11"/>
      <c r="P118" s="11"/>
      <c r="Q118" s="45">
        <f t="shared" si="17"/>
        <v>1</v>
      </c>
    </row>
    <row r="119" spans="2:17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16"/>
        <v>0</v>
      </c>
      <c r="M119" s="11"/>
      <c r="N119" s="11">
        <v>3</v>
      </c>
      <c r="O119" s="11"/>
      <c r="P119" s="11"/>
      <c r="Q119" s="45">
        <f t="shared" si="17"/>
        <v>3</v>
      </c>
    </row>
    <row r="120" spans="2:17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16"/>
        <v>0</v>
      </c>
      <c r="M120" s="11"/>
      <c r="N120" s="11">
        <v>47</v>
      </c>
      <c r="O120" s="11"/>
      <c r="P120" s="11"/>
      <c r="Q120" s="45">
        <f t="shared" si="17"/>
        <v>47</v>
      </c>
    </row>
    <row r="121" spans="2:17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16"/>
        <v>0</v>
      </c>
      <c r="M121" s="11"/>
      <c r="N121" s="11">
        <v>79</v>
      </c>
      <c r="O121" s="11"/>
      <c r="P121" s="11"/>
      <c r="Q121" s="45">
        <f t="shared" si="17"/>
        <v>79</v>
      </c>
    </row>
    <row r="122" spans="2:17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16"/>
        <v>0</v>
      </c>
      <c r="M122" s="11"/>
      <c r="N122" s="11"/>
      <c r="O122" s="11"/>
      <c r="P122" s="11"/>
      <c r="Q122" s="45">
        <f t="shared" si="17"/>
        <v>0</v>
      </c>
    </row>
    <row r="123" spans="2:17">
      <c r="B123" s="11">
        <v>1114501</v>
      </c>
      <c r="C123" s="22" t="s">
        <v>95</v>
      </c>
      <c r="D123" s="31"/>
      <c r="E123" s="31">
        <v>5</v>
      </c>
      <c r="F123" s="31">
        <v>6</v>
      </c>
      <c r="G123" s="31">
        <v>49</v>
      </c>
      <c r="H123" s="31"/>
      <c r="I123" s="31"/>
      <c r="J123" s="44"/>
      <c r="K123" s="44"/>
      <c r="L123" s="37">
        <f t="shared" si="16"/>
        <v>60</v>
      </c>
      <c r="M123" s="11"/>
      <c r="N123" s="11">
        <v>2</v>
      </c>
      <c r="O123" s="11"/>
      <c r="P123" s="11"/>
      <c r="Q123" s="45">
        <f t="shared" si="17"/>
        <v>-58</v>
      </c>
    </row>
    <row r="124" spans="2:17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16"/>
        <v>0</v>
      </c>
      <c r="M124" s="11"/>
      <c r="N124" s="11"/>
      <c r="O124" s="11"/>
      <c r="P124" s="11"/>
      <c r="Q124" s="45">
        <f t="shared" si="17"/>
        <v>0</v>
      </c>
    </row>
    <row r="125" spans="2:17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16"/>
        <v>0</v>
      </c>
      <c r="M125" s="11"/>
      <c r="N125" s="11"/>
      <c r="O125" s="11"/>
      <c r="P125" s="11"/>
      <c r="Q125" s="45">
        <f t="shared" si="17"/>
        <v>0</v>
      </c>
    </row>
    <row r="126" spans="2:17">
      <c r="B126" s="11">
        <v>1124021</v>
      </c>
      <c r="C126" s="22" t="s">
        <v>98</v>
      </c>
      <c r="D126" s="31"/>
      <c r="E126" s="31">
        <v>32</v>
      </c>
      <c r="F126" s="31">
        <v>12</v>
      </c>
      <c r="G126" s="31">
        <v>3</v>
      </c>
      <c r="H126" s="31"/>
      <c r="I126" s="31"/>
      <c r="J126" s="44"/>
      <c r="K126" s="44"/>
      <c r="L126" s="37">
        <f t="shared" si="16"/>
        <v>47</v>
      </c>
      <c r="M126" s="11"/>
      <c r="N126" s="11">
        <v>50</v>
      </c>
      <c r="O126" s="11"/>
      <c r="P126" s="11"/>
      <c r="Q126" s="45">
        <f t="shared" si="17"/>
        <v>3</v>
      </c>
    </row>
    <row r="127" spans="2:17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16"/>
        <v>0</v>
      </c>
      <c r="M127" s="11"/>
      <c r="N127" s="11"/>
      <c r="O127" s="11"/>
      <c r="P127" s="11"/>
      <c r="Q127" s="45">
        <f t="shared" si="17"/>
        <v>0</v>
      </c>
    </row>
    <row r="128" spans="2:17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16"/>
        <v>0</v>
      </c>
      <c r="M128" s="11"/>
      <c r="N128" s="11"/>
      <c r="O128" s="11"/>
      <c r="P128" s="11"/>
      <c r="Q128" s="45">
        <f t="shared" si="17"/>
        <v>0</v>
      </c>
    </row>
    <row r="129" spans="2:17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16"/>
        <v>0</v>
      </c>
      <c r="M129" s="11"/>
      <c r="N129" s="11"/>
      <c r="O129" s="11"/>
      <c r="P129" s="11"/>
      <c r="Q129" s="45">
        <f t="shared" si="17"/>
        <v>0</v>
      </c>
    </row>
    <row r="130" spans="2:17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16"/>
        <v>0</v>
      </c>
      <c r="M130" s="11"/>
      <c r="N130" s="11"/>
      <c r="O130" s="11"/>
      <c r="P130" s="11"/>
      <c r="Q130" s="45">
        <f t="shared" si="17"/>
        <v>0</v>
      </c>
    </row>
    <row r="131" spans="2:17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16"/>
        <v>0</v>
      </c>
      <c r="M131" s="11"/>
      <c r="N131" s="11"/>
      <c r="O131" s="11"/>
      <c r="P131" s="11"/>
      <c r="Q131" s="45">
        <f t="shared" si="17"/>
        <v>0</v>
      </c>
    </row>
    <row r="132" spans="2:17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16"/>
        <v>0</v>
      </c>
      <c r="M132" s="11"/>
      <c r="N132" s="11"/>
      <c r="O132" s="11"/>
      <c r="P132" s="11"/>
      <c r="Q132" s="45">
        <f t="shared" si="17"/>
        <v>0</v>
      </c>
    </row>
    <row r="133" spans="2:17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16"/>
        <v>0</v>
      </c>
      <c r="M133" s="11"/>
      <c r="N133" s="11"/>
      <c r="O133" s="11"/>
      <c r="P133" s="11"/>
      <c r="Q133" s="45">
        <f t="shared" si="17"/>
        <v>0</v>
      </c>
    </row>
    <row r="134" spans="2:17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16"/>
        <v>0</v>
      </c>
      <c r="M134" s="11"/>
      <c r="N134" s="11"/>
      <c r="O134" s="11"/>
      <c r="P134" s="11">
        <v>1</v>
      </c>
      <c r="Q134" s="45">
        <f t="shared" si="17"/>
        <v>1</v>
      </c>
    </row>
    <row r="135" spans="2:17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16"/>
        <v>0</v>
      </c>
      <c r="M135" s="11"/>
      <c r="N135" s="11"/>
      <c r="O135" s="11"/>
      <c r="P135" s="11"/>
      <c r="Q135" s="45">
        <f t="shared" si="17"/>
        <v>0</v>
      </c>
    </row>
    <row r="136" spans="2:17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16"/>
        <v>0</v>
      </c>
      <c r="M136" s="11"/>
      <c r="N136" s="11"/>
      <c r="O136" s="11"/>
      <c r="P136" s="11"/>
      <c r="Q136" s="45">
        <f t="shared" si="17"/>
        <v>0</v>
      </c>
    </row>
    <row r="137" spans="2:17">
      <c r="B137" s="23">
        <v>20052721</v>
      </c>
      <c r="C137" s="22" t="s">
        <v>144</v>
      </c>
      <c r="D137" s="31"/>
      <c r="E137" s="31"/>
      <c r="F137" s="31"/>
      <c r="G137" s="31">
        <v>4</v>
      </c>
      <c r="H137" s="31"/>
      <c r="I137" s="31"/>
      <c r="J137" s="44"/>
      <c r="K137" s="44"/>
      <c r="L137" s="37">
        <f t="shared" si="16"/>
        <v>4</v>
      </c>
      <c r="M137" s="11"/>
      <c r="N137" s="11">
        <v>66</v>
      </c>
      <c r="O137" s="11"/>
      <c r="P137" s="11"/>
      <c r="Q137" s="45">
        <f t="shared" si="17"/>
        <v>62</v>
      </c>
    </row>
    <row r="138" spans="2:17">
      <c r="B138" s="23">
        <v>1004046</v>
      </c>
      <c r="C138" s="22" t="s">
        <v>145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16"/>
        <v>0</v>
      </c>
      <c r="M138" s="11"/>
      <c r="N138" s="11"/>
      <c r="O138" s="11"/>
      <c r="P138" s="11"/>
      <c r="Q138" s="45">
        <f t="shared" si="17"/>
        <v>0</v>
      </c>
    </row>
    <row r="139" spans="2:17">
      <c r="B139" s="51"/>
      <c r="C139" s="50" t="s">
        <v>139</v>
      </c>
      <c r="D139" s="31"/>
      <c r="E139" s="31"/>
      <c r="F139" s="31"/>
      <c r="G139" s="31"/>
      <c r="H139" s="31"/>
      <c r="I139" s="31"/>
      <c r="J139" s="44"/>
      <c r="K139" s="44"/>
      <c r="L139" s="37">
        <f t="shared" si="16"/>
        <v>0</v>
      </c>
      <c r="M139" s="11"/>
      <c r="N139" s="11"/>
      <c r="O139" s="11"/>
      <c r="P139" s="11"/>
      <c r="Q139" s="45">
        <f t="shared" si="17"/>
        <v>0</v>
      </c>
    </row>
    <row r="140" spans="2:17">
      <c r="B140" s="51"/>
      <c r="C140" s="50" t="s">
        <v>140</v>
      </c>
      <c r="D140" s="49"/>
      <c r="E140" s="49"/>
      <c r="F140" s="49"/>
      <c r="G140" s="49"/>
      <c r="H140" s="49"/>
      <c r="I140" s="49"/>
      <c r="J140" s="49"/>
      <c r="K140" s="49"/>
      <c r="L140" s="37">
        <f t="shared" si="16"/>
        <v>0</v>
      </c>
      <c r="M140" s="11"/>
      <c r="N140" s="11"/>
      <c r="O140" s="11"/>
      <c r="P140" s="11"/>
      <c r="Q140" s="45">
        <f t="shared" si="17"/>
        <v>0</v>
      </c>
    </row>
    <row r="141" spans="2:17" ht="40.5" customHeight="1">
      <c r="B141" s="51"/>
      <c r="C141" s="50" t="s">
        <v>141</v>
      </c>
      <c r="D141" s="52"/>
      <c r="E141" s="52"/>
      <c r="F141" s="52"/>
      <c r="G141" s="53"/>
      <c r="H141" s="9"/>
      <c r="I141" s="9"/>
      <c r="J141" s="9"/>
      <c r="K141" s="9"/>
      <c r="L141" s="37">
        <f t="shared" si="16"/>
        <v>0</v>
      </c>
      <c r="M141" s="31">
        <f>SUM(M114:M136,M90:M98,M79:M87,M69:M76,M7:M66)</f>
        <v>0</v>
      </c>
      <c r="N141" s="31">
        <f>SUM(N114:N136,N90:N98,N79:N87,N69:N76,N7:N66)</f>
        <v>1216</v>
      </c>
      <c r="O141" s="31"/>
      <c r="P141" s="31"/>
      <c r="Q141" s="45">
        <f t="shared" ref="Q141" si="18">(M141+N141)-L141</f>
        <v>1216</v>
      </c>
    </row>
    <row r="142" spans="2:17">
      <c r="B142" s="38"/>
      <c r="C142" s="36"/>
      <c r="D142" s="39"/>
      <c r="E142" s="39"/>
      <c r="F142" s="39"/>
      <c r="G142" s="39">
        <f>SUM(G137:G140)</f>
        <v>4</v>
      </c>
      <c r="H142" s="39"/>
      <c r="I142" s="39"/>
      <c r="J142" s="39"/>
      <c r="K142" s="39"/>
      <c r="L142" s="40">
        <f>SUM(L137:L140)</f>
        <v>4</v>
      </c>
      <c r="M142" s="24">
        <f>SUM(M137:M140)</f>
        <v>0</v>
      </c>
      <c r="N142" s="24">
        <f>SUM(N137:N140)</f>
        <v>66</v>
      </c>
      <c r="Q142" s="73">
        <f>SUM(Q137:Q140)</f>
        <v>62</v>
      </c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1"/>
      <c r="F144" s="61"/>
      <c r="G144" s="27"/>
      <c r="L144" s="41"/>
    </row>
    <row r="145" spans="2:1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2025-03-08T00:58:40Z</cp:lastPrinted>
  <dcterms:created xsi:type="dcterms:W3CDTF">2024-04-30T05:21:27Z</dcterms:created>
  <dcterms:modified xsi:type="dcterms:W3CDTF">2025-03-08T04:13:19Z</dcterms:modified>
</cp:coreProperties>
</file>