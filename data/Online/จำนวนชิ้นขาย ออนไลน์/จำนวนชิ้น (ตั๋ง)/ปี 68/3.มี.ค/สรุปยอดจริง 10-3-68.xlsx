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14FB0B8E-BC3D-4303-982E-42A1FE3387F4}" xr6:coauthVersionLast="47" xr6:coauthVersionMax="47" xr10:uidLastSave="{00000000-0000-0000-0000-000000000000}"/>
  <bookViews>
    <workbookView xWindow="225" yWindow="135" windowWidth="16815" windowHeight="1405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<sst xmlns="http://schemas.openxmlformats.org/spreadsheetml/2006/main" count="615" uniqueCount="146">
  <si>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</si>
  <si>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</si>
  <si>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</si>
  <si>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</si>
  <si>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</si>
  <si>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</si>
  <si>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</si>
  <si>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</si>
  <si>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</si>
  <si>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</si>
  <si>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</si>
  <si>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</si>
  <si>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</si>
  <si>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</si>
  <si>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</si>
  <si>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</si>
  <si>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</si>
  <si>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</si>
  <si>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</si>
  <si>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</si>
  <si>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</si>
  <si>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</si>
  <si>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</si>
  <si>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</si>
  <si>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</si>
  <si>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</si>
  <si>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</si>
  <si>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</si>
  <si>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</si>
  <si>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</si>
  <si>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</si>
  <si>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</si>
  <si>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</si>
  <si>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</si>
  <si>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</si>
  <si>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</si>
  <si>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</si>
  <si>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</si>
  <si>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</si>
  <si>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</si>
  <si>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</si>
  <si>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</si>
  <si>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</si>
  <si>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</si>
  <si>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</si>
  <si>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</si>
  <si>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</si>
  <si>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</si>
  <si>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</si>
  <si>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</si>
  <si>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</si>
  <si>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</si>
  <si>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</si>
  <si>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</si>
  <si>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</si>
  <si>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</si>
  <si>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</si>
  <si>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</si>
  <si>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</si>
  <si>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</si>
  <si>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</si>
  <si>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</si>
  <si>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</si>
  <si>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</si>
  <si>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</si>
  <si>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</si>
  <si>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</si>
  <si>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</si>
  <si>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</si>
  <si>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</si>
  <si>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</si>
  <si>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</si>
  <si>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</si>
  <si>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</si>
  <si>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</si>
  <si>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</si>
  <si>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</si>
  <si>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</si>
  <si>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</si>
  <si>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</si>
  <si>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</si>
  <si>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</si>
  <si>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</si>
  <si>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</si>
  <si>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</si>
  <si>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</si>
  <si>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</si>
  <si>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</si>
  <si>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</si>
  <si>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</si>
  <si>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</si>
  <si>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</si>
  <si>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</si>
  <si>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</si>
  <si>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</si>
  <si>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</si>
  <si>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</si>
  <si>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</si>
  <si>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</si>
  <si>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</si>
  <si>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</si>
  <si>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</si>
  <si>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</si>
  <si>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</si>
  <si>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</si>
  <si>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</si>
  <si>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</si>
  <si>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</si>
  <si>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</si>
  <si>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</si>
  <si>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</si>
  <si>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</si>
  <si>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</si>
  <si>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</si>
  <si>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</si>
  <si>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</si>
  <si>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</si>
  <si>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</si>
  <si>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</si>
  <si>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</si>
  <si>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</si>
  <si>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</si>
  <si>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</si>
  <si>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</si>
  <si>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</si>
  <si>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</si>
  <si>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</si>
  <si>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</si>
  <si>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</si>
  <si>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</si>
  <si>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</si>
  <si>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</si>
  <si>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</si>
  <si>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</si>
  <si>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</si>
  <si>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</si>
  <si>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</si>
  <si>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</si>
  <si>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</si>
  <si>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</si>
  <si>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</si>
  <si>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</si>
  <si>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</si>
  <si>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</si>
  <si>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10/3/2568- เช้า</t>
  </si>
  <si>
    <t>ยอดจริง ออนไลน์ วันที่ 10/3/2568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</si>
</sst>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87" fontId="3" fillId="5" borderId="2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60" zoomScale="60" zoomScaleNormal="60" workbookViewId="0">
      <selection activeCell="K25" sqref="K25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>
        <v>27</v>
      </c>
      <c r="F7" s="31">
        <v>29</v>
      </c>
      <c r="G7" s="31">
        <v>18</v>
      </c>
      <c r="H7" s="31"/>
      <c r="I7" s="31"/>
      <c r="J7" s="44"/>
      <c r="K7" s="44">
        <v>40</v>
      </c>
      <c r="L7" s="37">
        <f>SUM(D7:K7)</f>
        <v>114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2</v>
      </c>
      <c r="E25" s="31">
        <v>2</v>
      </c>
      <c r="F25" s="31">
        <v>2</v>
      </c>
      <c r="G25" s="31">
        <v>1</v>
      </c>
      <c r="H25" s="31"/>
      <c r="I25" s="31"/>
      <c r="J25" s="44"/>
      <c r="K25" s="44"/>
      <c r="L25" s="37">
        <f t="shared" si="0"/>
        <v>7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4</v>
      </c>
      <c r="F69" s="31">
        <v>3</v>
      </c>
      <c r="G69" s="31">
        <v>5</v>
      </c>
      <c r="H69" s="31"/>
      <c r="I69" s="31"/>
      <c r="J69" s="44"/>
      <c r="K69" s="44"/>
      <c r="L69" s="37">
        <f t="shared" ref="L69:L76" si="1">SUM(D69:K69)</f>
        <v>12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16</v>
      </c>
      <c r="E90" s="31">
        <v>1</v>
      </c>
      <c r="F90" s="31">
        <v>1</v>
      </c>
      <c r="G90" s="31">
        <v>8</v>
      </c>
      <c r="H90" s="31"/>
      <c r="I90" s="31"/>
      <c r="J90" s="44"/>
      <c r="K90" s="44"/>
      <c r="L90" s="37">
        <f t="shared" ref="L90:L99" si="3">SUM(D90:K90)</f>
        <v>26</v>
      </c>
    </row>
    <row r="91" spans="2:12" x14ac:dyDescent="0.2">
      <c r="B91" s="11">
        <v>1112011</v>
      </c>
      <c r="C91" s="20" t="s">
        <v>76</v>
      </c>
      <c r="D91" s="31">
        <v>16</v>
      </c>
      <c r="E91" s="31">
        <v>1</v>
      </c>
      <c r="F91" s="31">
        <v>1</v>
      </c>
      <c r="G91" s="31">
        <v>8</v>
      </c>
      <c r="H91" s="31"/>
      <c r="I91" s="31"/>
      <c r="J91" s="44"/>
      <c r="K91" s="44"/>
      <c r="L91" s="37">
        <f t="shared" si="3"/>
        <v>26</v>
      </c>
    </row>
    <row r="92" spans="2:12" x14ac:dyDescent="0.2">
      <c r="B92" s="11">
        <v>1112003</v>
      </c>
      <c r="C92" s="20" t="s">
        <v>77</v>
      </c>
      <c r="D92" s="31">
        <v>12</v>
      </c>
      <c r="E92" s="31">
        <v>1</v>
      </c>
      <c r="F92" s="31">
        <v>1</v>
      </c>
      <c r="G92" s="31">
        <v>9</v>
      </c>
      <c r="H92" s="31"/>
      <c r="I92" s="31"/>
      <c r="J92" s="44"/>
      <c r="K92" s="44"/>
      <c r="L92" s="37">
        <f t="shared" si="3"/>
        <v>23</v>
      </c>
    </row>
    <row r="93" spans="2:12" x14ac:dyDescent="0.2">
      <c r="B93" s="11">
        <v>1112005</v>
      </c>
      <c r="C93" s="20" t="s">
        <v>78</v>
      </c>
      <c r="D93" s="31">
        <v>17</v>
      </c>
      <c r="E93" s="31"/>
      <c r="F93" s="31"/>
      <c r="G93" s="31">
        <v>9</v>
      </c>
      <c r="H93" s="31"/>
      <c r="I93" s="31"/>
      <c r="J93" s="44"/>
      <c r="K93" s="44"/>
      <c r="L93" s="37">
        <f t="shared" si="3"/>
        <v>26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>
        <v>1</v>
      </c>
      <c r="E98" s="31"/>
      <c r="F98" s="31"/>
      <c r="G98" s="31">
        <v>9</v>
      </c>
      <c r="H98" s="31"/>
      <c r="I98" s="31"/>
      <c r="J98" s="44"/>
      <c r="K98" s="44"/>
      <c r="L98" s="37">
        <f t="shared" si="3"/>
        <v>10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>
        <v>4</v>
      </c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5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17</v>
      </c>
      <c r="H103" s="31"/>
      <c r="I103" s="31"/>
      <c r="J103" s="44"/>
      <c r="K103" s="44"/>
      <c r="L103" s="37">
        <f t="shared" si="5"/>
        <v>17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>
        <v>3</v>
      </c>
      <c r="H110" s="31"/>
      <c r="I110" s="31"/>
      <c r="J110" s="44"/>
      <c r="K110" s="44"/>
      <c r="L110" s="37">
        <f t="shared" si="5"/>
        <v>3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25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>
        <v>1</v>
      </c>
      <c r="G115" s="31">
        <v>1</v>
      </c>
      <c r="H115" s="31"/>
      <c r="I115" s="31"/>
      <c r="J115" s="44"/>
      <c r="K115" s="44"/>
      <c r="L115" s="37">
        <f t="shared" si="6"/>
        <v>2</v>
      </c>
    </row>
    <row r="116" spans="2:12" x14ac:dyDescent="0.2">
      <c r="B116" s="11">
        <v>1113172</v>
      </c>
      <c r="C116" s="22" t="s">
        <v>89</v>
      </c>
      <c r="D116" s="31"/>
      <c r="E116" s="31"/>
      <c r="F116" s="31">
        <v>1</v>
      </c>
      <c r="G116" s="31">
        <v>2</v>
      </c>
      <c r="H116" s="31"/>
      <c r="I116" s="31"/>
      <c r="J116" s="44"/>
      <c r="K116" s="44"/>
      <c r="L116" s="37">
        <f t="shared" si="6"/>
        <v>3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>
        <v>1</v>
      </c>
      <c r="L118" s="37">
        <f t="shared" si="6"/>
        <v>1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1</v>
      </c>
      <c r="H120" s="31"/>
      <c r="I120" s="31"/>
      <c r="J120" s="44"/>
      <c r="K120" s="44"/>
      <c r="L120" s="37">
        <f t="shared" si="6"/>
        <v>1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1</v>
      </c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3</v>
      </c>
      <c r="E123" s="31">
        <v>27</v>
      </c>
      <c r="F123" s="31">
        <v>15</v>
      </c>
      <c r="G123" s="31">
        <v>65</v>
      </c>
      <c r="H123" s="31"/>
      <c r="I123" s="31"/>
      <c r="J123" s="44"/>
      <c r="K123" s="44"/>
      <c r="L123" s="37">
        <f t="shared" si="6"/>
        <v>110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1</v>
      </c>
      <c r="H124" s="31"/>
      <c r="I124" s="31"/>
      <c r="J124" s="44"/>
      <c r="K124" s="44"/>
      <c r="L124" s="37">
        <f t="shared" si="6"/>
        <v>1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/>
      <c r="G125" s="31"/>
      <c r="H125" s="31"/>
      <c r="I125" s="31"/>
      <c r="J125" s="44"/>
      <c r="K125" s="44"/>
      <c r="L125" s="37">
        <f t="shared" si="6"/>
        <v>1</v>
      </c>
    </row>
    <row r="126" spans="2:12" x14ac:dyDescent="0.2">
      <c r="B126" s="11">
        <v>1124021</v>
      </c>
      <c r="C126" s="22" t="s">
        <v>98</v>
      </c>
      <c r="D126" s="31"/>
      <c r="E126" s="31">
        <v>15</v>
      </c>
      <c r="F126" s="31">
        <v>10</v>
      </c>
      <c r="G126" s="31">
        <v>8</v>
      </c>
      <c r="H126" s="31"/>
      <c r="I126" s="31"/>
      <c r="J126" s="44"/>
      <c r="K126" s="44"/>
      <c r="L126" s="37">
        <f t="shared" si="6"/>
        <v>33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>
        <v>20</v>
      </c>
      <c r="H137" s="31"/>
      <c r="I137" s="31"/>
      <c r="J137" s="44"/>
      <c r="K137" s="44"/>
      <c r="L137" s="37">
        <f t="shared" si="6"/>
        <v>20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15" zoomScale="60" zoomScaleNormal="60" workbookViewId="0">
      <selection activeCell="G124" sqref="G124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4</v>
      </c>
      <c r="E7" s="31">
        <v>3</v>
      </c>
      <c r="F7" s="31">
        <v>10</v>
      </c>
      <c r="G7" s="31">
        <v>9</v>
      </c>
      <c r="H7" s="31"/>
      <c r="I7" s="31"/>
      <c r="J7" s="44"/>
      <c r="K7" s="44"/>
      <c r="L7" s="37">
        <f>SUM(D7:K7)</f>
        <v>26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>
        <v>3</v>
      </c>
      <c r="H25" s="31"/>
      <c r="I25" s="31"/>
      <c r="J25" s="44"/>
      <c r="K25" s="44"/>
      <c r="L25" s="37">
        <f t="shared" si="0"/>
        <v>3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3</v>
      </c>
      <c r="H26" s="31"/>
      <c r="I26" s="31"/>
      <c r="J26" s="44"/>
      <c r="K26" s="44"/>
      <c r="L26" s="37">
        <f t="shared" si="0"/>
        <v>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>
        <v>4</v>
      </c>
      <c r="E56" s="31"/>
      <c r="F56" s="31"/>
      <c r="G56" s="31"/>
      <c r="H56" s="31"/>
      <c r="I56" s="31"/>
      <c r="J56" s="44"/>
      <c r="K56" s="44"/>
      <c r="L56" s="37">
        <f t="shared" si="0"/>
        <v>4</v>
      </c>
    </row>
    <row r="57" spans="2:12" x14ac:dyDescent="0.2">
      <c r="B57" s="11">
        <v>1111075</v>
      </c>
      <c r="C57" s="15" t="s">
        <v>45</v>
      </c>
      <c r="D57" s="31">
        <v>4</v>
      </c>
      <c r="E57" s="31"/>
      <c r="F57" s="31"/>
      <c r="G57" s="31"/>
      <c r="H57" s="31"/>
      <c r="I57" s="31"/>
      <c r="J57" s="44"/>
      <c r="K57" s="44"/>
      <c r="L57" s="37">
        <f t="shared" si="0"/>
        <v>4</v>
      </c>
    </row>
    <row r="58" spans="2:12" x14ac:dyDescent="0.2">
      <c r="B58" s="11">
        <v>1111076</v>
      </c>
      <c r="C58" s="15" t="s">
        <v>46</v>
      </c>
      <c r="D58" s="31">
        <v>4</v>
      </c>
      <c r="E58" s="31"/>
      <c r="F58" s="31"/>
      <c r="G58" s="31"/>
      <c r="H58" s="31"/>
      <c r="I58" s="31"/>
      <c r="J58" s="44"/>
      <c r="K58" s="44"/>
      <c r="L58" s="37">
        <f t="shared" si="0"/>
        <v>4</v>
      </c>
    </row>
    <row r="59" spans="2:12" x14ac:dyDescent="0.2">
      <c r="B59" s="11">
        <v>1111077</v>
      </c>
      <c r="C59" s="15" t="s">
        <v>47</v>
      </c>
      <c r="D59" s="31">
        <v>4</v>
      </c>
      <c r="E59" s="31"/>
      <c r="F59" s="31"/>
      <c r="G59" s="31"/>
      <c r="H59" s="31"/>
      <c r="I59" s="31"/>
      <c r="J59" s="44"/>
      <c r="K59" s="44"/>
      <c r="L59" s="37">
        <f t="shared" si="0"/>
        <v>4</v>
      </c>
    </row>
    <row r="60" spans="2:12" x14ac:dyDescent="0.2">
      <c r="B60" s="11">
        <v>1111078</v>
      </c>
      <c r="C60" s="15" t="s">
        <v>48</v>
      </c>
      <c r="D60" s="31">
        <v>4</v>
      </c>
      <c r="E60" s="31"/>
      <c r="F60" s="31"/>
      <c r="G60" s="31"/>
      <c r="H60" s="31"/>
      <c r="I60" s="31"/>
      <c r="J60" s="44"/>
      <c r="K60" s="44"/>
      <c r="L60" s="37">
        <f t="shared" si="0"/>
        <v>4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9</v>
      </c>
      <c r="E69" s="31"/>
      <c r="F69" s="31"/>
      <c r="G69" s="31">
        <v>3</v>
      </c>
      <c r="H69" s="31"/>
      <c r="I69" s="31"/>
      <c r="J69" s="44"/>
      <c r="K69" s="44"/>
      <c r="L69" s="37">
        <f t="shared" ref="L69:L76" si="1">SUM(D69:K69)</f>
        <v>12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17</v>
      </c>
      <c r="E90" s="31"/>
      <c r="F90" s="31">
        <v>2</v>
      </c>
      <c r="G90" s="31">
        <v>3</v>
      </c>
      <c r="H90" s="31"/>
      <c r="I90" s="31"/>
      <c r="J90" s="44"/>
      <c r="K90" s="44"/>
      <c r="L90" s="37">
        <f t="shared" ref="L90:L99" si="3">SUM(D90:K90)</f>
        <v>22</v>
      </c>
    </row>
    <row r="91" spans="2:12" x14ac:dyDescent="0.2">
      <c r="B91" s="11">
        <v>1112011</v>
      </c>
      <c r="C91" s="20" t="s">
        <v>76</v>
      </c>
      <c r="D91" s="31">
        <v>15</v>
      </c>
      <c r="E91" s="31"/>
      <c r="F91" s="31">
        <v>2</v>
      </c>
      <c r="G91" s="31">
        <v>3</v>
      </c>
      <c r="H91" s="31"/>
      <c r="I91" s="31"/>
      <c r="J91" s="44"/>
      <c r="K91" s="44"/>
      <c r="L91" s="37">
        <f t="shared" si="3"/>
        <v>20</v>
      </c>
    </row>
    <row r="92" spans="2:12" x14ac:dyDescent="0.2">
      <c r="B92" s="11">
        <v>1112003</v>
      </c>
      <c r="C92" s="20" t="s">
        <v>77</v>
      </c>
      <c r="D92" s="31">
        <v>11</v>
      </c>
      <c r="E92" s="31"/>
      <c r="F92" s="31">
        <v>2</v>
      </c>
      <c r="G92" s="31">
        <v>4</v>
      </c>
      <c r="H92" s="31"/>
      <c r="I92" s="31"/>
      <c r="J92" s="44"/>
      <c r="K92" s="44"/>
      <c r="L92" s="37">
        <f t="shared" si="3"/>
        <v>17</v>
      </c>
    </row>
    <row r="93" spans="2:12" x14ac:dyDescent="0.2">
      <c r="B93" s="11">
        <v>1112005</v>
      </c>
      <c r="C93" s="20" t="s">
        <v>78</v>
      </c>
      <c r="D93" s="31">
        <v>8</v>
      </c>
      <c r="E93" s="31"/>
      <c r="F93" s="31"/>
      <c r="G93" s="31">
        <v>4</v>
      </c>
      <c r="H93" s="31"/>
      <c r="I93" s="31"/>
      <c r="J93" s="44"/>
      <c r="K93" s="44"/>
      <c r="L93" s="37">
        <f t="shared" si="3"/>
        <v>12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>
        <v>2</v>
      </c>
      <c r="G97" s="31">
        <v>4</v>
      </c>
      <c r="H97" s="31"/>
      <c r="I97" s="31"/>
      <c r="J97" s="44"/>
      <c r="K97" s="44"/>
      <c r="L97" s="37">
        <f t="shared" si="3"/>
        <v>6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>
        <v>50</v>
      </c>
      <c r="E121" s="31"/>
      <c r="F121" s="31"/>
      <c r="G121" s="31"/>
      <c r="H121" s="31"/>
      <c r="I121" s="31"/>
      <c r="J121" s="44"/>
      <c r="K121" s="44"/>
      <c r="L121" s="37">
        <f t="shared" si="6"/>
        <v>50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1</v>
      </c>
      <c r="F123" s="31"/>
      <c r="G123" s="31">
        <v>36</v>
      </c>
      <c r="H123" s="31"/>
      <c r="I123" s="31"/>
      <c r="J123" s="44"/>
      <c r="K123" s="44"/>
      <c r="L123" s="37">
        <f t="shared" si="6"/>
        <v>37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/>
      <c r="G125" s="31"/>
      <c r="H125" s="31"/>
      <c r="I125" s="31"/>
      <c r="J125" s="44"/>
      <c r="K125" s="44"/>
      <c r="L125" s="37">
        <f t="shared" si="6"/>
        <v>1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>
        <v>1</v>
      </c>
      <c r="E134" s="31"/>
      <c r="F134" s="31"/>
      <c r="G134" s="31"/>
      <c r="H134" s="31"/>
      <c r="I134" s="31"/>
      <c r="J134" s="44"/>
      <c r="K134" s="44"/>
      <c r="L134" s="37">
        <f t="shared" si="6"/>
        <v>1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M1" sqref="M1:Q1048576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74">
        <f>'เย็น '!D7+'เช้า '!D7+บ่าย!D7</f>
        <v>4</v>
      </c>
      <c r="E7" s="74">
        <f>'เย็น '!E7+'เช้า '!E7+บ่าย!E7</f>
        <v>30</v>
      </c>
      <c r="F7" s="74">
        <f>'เย็น '!F7+'เช้า '!F7+บ่าย!F7</f>
        <v>39</v>
      </c>
      <c r="G7" s="74">
        <f>'เย็น '!G7+'เช้า '!G7+บ่าย!G7</f>
        <v>27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40</v>
      </c>
      <c r="L7" s="37">
        <f>SUM(D7:K7)</f>
        <v>140</v>
      </c>
      <c r="M7" s="11"/>
      <c r="N7" s="11">
        <v>476</v>
      </c>
      <c r="O7" s="11"/>
      <c r="P7" s="11"/>
      <c r="Q7" s="45">
        <f>(M7+N7+O7+P7)-L7</f>
        <v>336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2</v>
      </c>
      <c r="F25" s="31">
        <f>'เย็น '!F25+'เช้า '!F25+บ่าย!F25</f>
        <v>2</v>
      </c>
      <c r="G25" s="74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10</v>
      </c>
      <c r="M25" s="11"/>
      <c r="N25" s="11">
        <v>14</v>
      </c>
      <c r="O25" s="11"/>
      <c r="P25" s="11"/>
      <c r="Q25" s="45">
        <f t="shared" si="1"/>
        <v>4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74">
        <f>'เย็น '!G26+'เช้า '!G26+บ่าย!G26</f>
        <v>3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</v>
      </c>
      <c r="M26" s="11"/>
      <c r="N26" s="11">
        <v>11</v>
      </c>
      <c r="O26" s="11"/>
      <c r="P26" s="11"/>
      <c r="Q26" s="45">
        <f t="shared" si="1"/>
        <v>8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74">
        <f>'เย็น '!D56+'เช้า '!D56+บ่าย!D56</f>
        <v>4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4</v>
      </c>
      <c r="M56" s="11"/>
      <c r="N56" s="11"/>
      <c r="O56" s="11"/>
      <c r="P56" s="11"/>
      <c r="Q56" s="45">
        <f t="shared" si="1"/>
        <v>-4</v>
      </c>
    </row>
    <row r="57" spans="2:20" x14ac:dyDescent="0.2">
      <c r="B57" s="11">
        <v>1111075</v>
      </c>
      <c r="C57" s="15" t="s">
        <v>45</v>
      </c>
      <c r="D57" s="74">
        <f>'เย็น '!D57+'เช้า '!D57+บ่าย!D57</f>
        <v>4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4</v>
      </c>
      <c r="M57" s="11"/>
      <c r="N57" s="11"/>
      <c r="O57" s="11"/>
      <c r="P57" s="11"/>
      <c r="Q57" s="45">
        <f t="shared" si="1"/>
        <v>-4</v>
      </c>
    </row>
    <row r="58" spans="2:20" x14ac:dyDescent="0.2">
      <c r="B58" s="11">
        <v>1111076</v>
      </c>
      <c r="C58" s="15" t="s">
        <v>46</v>
      </c>
      <c r="D58" s="74">
        <f>'เย็น '!D58+'เช้า '!D58+บ่าย!D58</f>
        <v>4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/>
      <c r="N58" s="11"/>
      <c r="O58" s="11"/>
      <c r="P58" s="11"/>
      <c r="Q58" s="45">
        <f t="shared" si="1"/>
        <v>-4</v>
      </c>
    </row>
    <row r="59" spans="2:20" x14ac:dyDescent="0.2">
      <c r="B59" s="11">
        <v>1111077</v>
      </c>
      <c r="C59" s="15" t="s">
        <v>47</v>
      </c>
      <c r="D59" s="74">
        <f>'เย็น '!D59+'เช้า '!D59+บ่าย!D59</f>
        <v>4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/>
      <c r="N59" s="11"/>
      <c r="O59" s="11"/>
      <c r="P59" s="11"/>
      <c r="Q59" s="45">
        <f t="shared" si="1"/>
        <v>-4</v>
      </c>
    </row>
    <row r="60" spans="2:20" x14ac:dyDescent="0.2">
      <c r="B60" s="11">
        <v>1111078</v>
      </c>
      <c r="C60" s="15" t="s">
        <v>48</v>
      </c>
      <c r="D60" s="74">
        <f>'เย็น '!D60+'เช้า '!D60+บ่าย!D60</f>
        <v>4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/>
      <c r="N60" s="11"/>
      <c r="O60" s="11"/>
      <c r="P60" s="11"/>
      <c r="Q60" s="45">
        <f t="shared" si="1"/>
        <v>-4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74">
        <f>'เย็น '!D69+'เช้า '!D69+บ่าย!D69</f>
        <v>9</v>
      </c>
      <c r="E69" s="31">
        <f>'เย็น '!E69+'เช้า '!E69+บ่าย!E69</f>
        <v>4</v>
      </c>
      <c r="F69" s="31">
        <f>'เย็น '!F69+'เช้า '!F69+บ่าย!F69</f>
        <v>3</v>
      </c>
      <c r="G69" s="74">
        <f>'เย็น '!G69+'เช้า '!G69+บ่าย!G69</f>
        <v>8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24</v>
      </c>
      <c r="M69" s="11">
        <v>20</v>
      </c>
      <c r="N69" s="11">
        <v>4</v>
      </c>
      <c r="O69" s="11"/>
      <c r="P69" s="11"/>
      <c r="Q69" s="45">
        <f t="shared" ref="Q69:Q76" si="5">(M69+N69+O69+P69)-L69</f>
        <v>0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0</v>
      </c>
      <c r="M87" s="11">
        <v>20</v>
      </c>
      <c r="N87" s="11">
        <v>1</v>
      </c>
      <c r="O87" s="11"/>
      <c r="P87" s="11"/>
      <c r="Q87" s="45">
        <f t="shared" si="8"/>
        <v>21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74">
        <f>'เย็น '!D90+'เช้า '!D90+บ่าย!D90</f>
        <v>33</v>
      </c>
      <c r="E90" s="31">
        <f>'เย็น '!E90+'เช้า '!E90+บ่าย!E90</f>
        <v>1</v>
      </c>
      <c r="F90" s="74">
        <f>'เย็น '!F90+'เช้า '!F90+บ่าย!F90</f>
        <v>3</v>
      </c>
      <c r="G90" s="74">
        <f>'เย็น '!G90+'เช้า '!G90+บ่าย!G90</f>
        <v>11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48</v>
      </c>
      <c r="M90" s="11"/>
      <c r="N90" s="11">
        <v>136</v>
      </c>
      <c r="O90" s="11"/>
      <c r="P90" s="11"/>
      <c r="Q90" s="45">
        <f t="shared" ref="Q90:Q99" si="10">(M90+N90+O90+P90)-L90</f>
        <v>88</v>
      </c>
    </row>
    <row r="91" spans="2:17" x14ac:dyDescent="0.2">
      <c r="B91" s="11">
        <v>1112011</v>
      </c>
      <c r="C91" s="20" t="s">
        <v>76</v>
      </c>
      <c r="D91" s="74">
        <f>'เย็น '!D91+'เช้า '!D91+บ่าย!D91</f>
        <v>31</v>
      </c>
      <c r="E91" s="31">
        <f>'เย็น '!E91+'เช้า '!E91+บ่าย!E91</f>
        <v>1</v>
      </c>
      <c r="F91" s="74">
        <f>'เย็น '!F91+'เช้า '!F91+บ่าย!F91</f>
        <v>3</v>
      </c>
      <c r="G91" s="74">
        <f>'เย็น '!G91+'เช้า '!G91+บ่าย!G91</f>
        <v>11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46</v>
      </c>
      <c r="M91" s="11"/>
      <c r="N91" s="11">
        <v>157</v>
      </c>
      <c r="O91" s="11"/>
      <c r="P91" s="11"/>
      <c r="Q91" s="45">
        <f t="shared" si="10"/>
        <v>111</v>
      </c>
    </row>
    <row r="92" spans="2:17" x14ac:dyDescent="0.2">
      <c r="B92" s="11">
        <v>1112003</v>
      </c>
      <c r="C92" s="20" t="s">
        <v>77</v>
      </c>
      <c r="D92" s="74">
        <f>'เย็น '!D92+'เช้า '!D92+บ่าย!D92</f>
        <v>23</v>
      </c>
      <c r="E92" s="31">
        <f>'เย็น '!E92+'เช้า '!E92+บ่าย!E92</f>
        <v>1</v>
      </c>
      <c r="F92" s="74">
        <f>'เย็น '!F92+'เช้า '!F92+บ่าย!F92</f>
        <v>3</v>
      </c>
      <c r="G92" s="74">
        <f>'เย็น '!G92+'เช้า '!G92+บ่าย!G92</f>
        <v>13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40</v>
      </c>
      <c r="M92" s="11"/>
      <c r="N92" s="11">
        <v>146</v>
      </c>
      <c r="O92" s="11"/>
      <c r="P92" s="11"/>
      <c r="Q92" s="45">
        <f t="shared" si="10"/>
        <v>106</v>
      </c>
    </row>
    <row r="93" spans="2:17" x14ac:dyDescent="0.2">
      <c r="B93" s="11">
        <v>1112005</v>
      </c>
      <c r="C93" s="20" t="s">
        <v>78</v>
      </c>
      <c r="D93" s="74">
        <f>'เย็น '!D93+'เช้า '!D93+บ่าย!D93</f>
        <v>25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74">
        <f>'เย็น '!G93+'เช้า '!G93+บ่าย!G93</f>
        <v>13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38</v>
      </c>
      <c r="M93" s="11"/>
      <c r="N93" s="11">
        <v>40</v>
      </c>
      <c r="O93" s="11"/>
      <c r="P93" s="11"/>
      <c r="Q93" s="45">
        <f t="shared" si="10"/>
        <v>2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74">
        <f>'เย็น '!F97+'เช้า '!F97+บ่าย!F97</f>
        <v>2</v>
      </c>
      <c r="G97" s="74">
        <f>'เย็น '!G97+'เช้า '!G97+บ่าย!G97</f>
        <v>4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6</v>
      </c>
      <c r="M97" s="11"/>
      <c r="N97" s="11">
        <v>37</v>
      </c>
      <c r="O97" s="11"/>
      <c r="P97" s="11"/>
      <c r="Q97" s="45">
        <f t="shared" si="10"/>
        <v>31</v>
      </c>
    </row>
    <row r="98" spans="2:20" x14ac:dyDescent="0.25">
      <c r="B98" s="11">
        <v>1112013</v>
      </c>
      <c r="C98" s="20" t="s">
        <v>83</v>
      </c>
      <c r="D98" s="31">
        <f>'เย็น '!D98+'เช้า '!D98+บ่าย!D98</f>
        <v>1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9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10</v>
      </c>
      <c r="M98" s="11"/>
      <c r="N98" s="11"/>
      <c r="O98" s="11"/>
      <c r="P98" s="11"/>
      <c r="Q98" s="45">
        <f t="shared" si="10"/>
        <v>-10</v>
      </c>
      <c r="S98" s="57"/>
      <c r="T98" s="57"/>
    </row>
    <row r="99" spans="2:20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188</v>
      </c>
      <c r="M100" s="11"/>
      <c r="N100" s="11"/>
      <c r="O100" s="11"/>
      <c r="P100" s="11"/>
      <c r="Q100" s="45">
        <f>SUM(Q90:Q99)</f>
        <v>328</v>
      </c>
    </row>
    <row r="101" spans="2:20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4</v>
      </c>
      <c r="F102" s="31">
        <f>บ่าย!F102+'เช้า '!F102+'เย็น '!F102</f>
        <v>0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5</v>
      </c>
      <c r="M102" s="11"/>
      <c r="N102" s="11">
        <v>1</v>
      </c>
      <c r="O102" s="11"/>
      <c r="P102" s="11"/>
      <c r="Q102" s="45">
        <f t="shared" ref="Q102:Q111" si="12">(M102+N102+O102+P102)-L102</f>
        <v>-4</v>
      </c>
    </row>
    <row r="103" spans="2:20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17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17</v>
      </c>
      <c r="M103" s="11"/>
      <c r="N103" s="11">
        <v>77</v>
      </c>
      <c r="O103" s="11"/>
      <c r="P103" s="11"/>
      <c r="Q103" s="45">
        <f t="shared" si="12"/>
        <v>60</v>
      </c>
    </row>
    <row r="104" spans="2:20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3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3</v>
      </c>
      <c r="M110" s="11"/>
      <c r="N110" s="11">
        <v>3</v>
      </c>
      <c r="O110" s="11"/>
      <c r="P110" s="11"/>
      <c r="Q110" s="45">
        <f t="shared" si="12"/>
        <v>0</v>
      </c>
      <c r="S110" s="48"/>
      <c r="T110" s="47"/>
    </row>
    <row r="111" spans="2:20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56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1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2</v>
      </c>
      <c r="M115" s="11"/>
      <c r="N115" s="11">
        <v>22</v>
      </c>
      <c r="O115" s="11"/>
      <c r="P115" s="11"/>
      <c r="Q115" s="45">
        <f t="shared" si="15"/>
        <v>20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1</v>
      </c>
      <c r="G116" s="31">
        <f>'เย็น '!G116+'เช้า '!G116+บ่าย!G116</f>
        <v>2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3</v>
      </c>
      <c r="M116" s="11"/>
      <c r="N116" s="11">
        <v>14</v>
      </c>
      <c r="O116" s="11"/>
      <c r="P116" s="11"/>
      <c r="Q116" s="45">
        <f t="shared" si="15"/>
        <v>11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1</v>
      </c>
      <c r="L118" s="37">
        <f t="shared" si="14"/>
        <v>1</v>
      </c>
      <c r="M118" s="11"/>
      <c r="N118" s="11">
        <v>1</v>
      </c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>
        <v>3</v>
      </c>
      <c r="O119" s="11"/>
      <c r="P119" s="11"/>
      <c r="Q119" s="45">
        <f t="shared" si="15"/>
        <v>3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1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1</v>
      </c>
      <c r="M120" s="11"/>
      <c r="N120" s="11">
        <v>47</v>
      </c>
      <c r="O120" s="11"/>
      <c r="P120" s="11"/>
      <c r="Q120" s="45">
        <f t="shared" si="15"/>
        <v>46</v>
      </c>
    </row>
    <row r="121" spans="2:17" x14ac:dyDescent="0.2">
      <c r="B121" s="11">
        <v>1200001</v>
      </c>
      <c r="C121" s="22" t="s">
        <v>93</v>
      </c>
      <c r="D121" s="74">
        <f>'เย็น '!D121+'เช้า '!D121+บ่าย!D121</f>
        <v>50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1</v>
      </c>
      <c r="L121" s="37">
        <f t="shared" si="14"/>
        <v>51</v>
      </c>
      <c r="M121" s="11"/>
      <c r="N121" s="11">
        <v>79</v>
      </c>
      <c r="O121" s="11"/>
      <c r="P121" s="11"/>
      <c r="Q121" s="45">
        <f t="shared" si="15"/>
        <v>28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3</v>
      </c>
      <c r="E123" s="74">
        <f>'เย็น '!E123+'เช้า '!E123+บ่าย!E123</f>
        <v>28</v>
      </c>
      <c r="F123" s="31">
        <f>'เย็น '!F123+'เช้า '!F123+บ่าย!F123</f>
        <v>15</v>
      </c>
      <c r="G123" s="74">
        <f>'เย็น '!G123+'เช้า '!G123+บ่าย!G123</f>
        <v>101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147</v>
      </c>
      <c r="M123" s="11"/>
      <c r="N123" s="11">
        <v>290</v>
      </c>
      <c r="O123" s="11"/>
      <c r="P123" s="11"/>
      <c r="Q123" s="45">
        <f t="shared" si="15"/>
        <v>143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1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1</v>
      </c>
      <c r="M124" s="11"/>
      <c r="N124" s="11"/>
      <c r="O124" s="11"/>
      <c r="P124" s="11"/>
      <c r="Q124" s="45">
        <f t="shared" si="15"/>
        <v>-1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74">
        <f>'เย็น '!E125+'เช้า '!E125+บ่าย!E125</f>
        <v>2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2</v>
      </c>
      <c r="M125" s="11"/>
      <c r="N125" s="11">
        <v>12</v>
      </c>
      <c r="O125" s="11"/>
      <c r="P125" s="11"/>
      <c r="Q125" s="45">
        <f t="shared" si="15"/>
        <v>10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15</v>
      </c>
      <c r="F126" s="31">
        <f>'เย็น '!F126+'เช้า '!F126+บ่าย!F126</f>
        <v>10</v>
      </c>
      <c r="G126" s="31">
        <f>'เย็น '!G126+'เช้า '!G126+บ่าย!G126</f>
        <v>8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33</v>
      </c>
      <c r="M126" s="11">
        <v>50</v>
      </c>
      <c r="N126" s="11">
        <v>9</v>
      </c>
      <c r="O126" s="11"/>
      <c r="P126" s="11"/>
      <c r="Q126" s="45">
        <f t="shared" si="15"/>
        <v>26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74">
        <f>'เย็น '!D134+'เช้า '!D134+บ่าย!D134</f>
        <v>1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1</v>
      </c>
      <c r="M134" s="11"/>
      <c r="N134" s="11"/>
      <c r="O134" s="11"/>
      <c r="P134" s="11"/>
      <c r="Q134" s="45">
        <f t="shared" si="15"/>
        <v>-1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20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20</v>
      </c>
      <c r="M137" s="11"/>
      <c r="N137" s="11">
        <v>61</v>
      </c>
      <c r="O137" s="11"/>
      <c r="P137" s="11"/>
      <c r="Q137" s="45">
        <f t="shared" si="15"/>
        <v>41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202</v>
      </c>
      <c r="E141" s="37">
        <f t="shared" ref="E141:K141" si="16">SUM(E114:E140,E90:E99,E79:E87,E69:E76,E7:E66,E102:E111)</f>
        <v>88</v>
      </c>
      <c r="F141" s="37">
        <f t="shared" si="16"/>
        <v>82</v>
      </c>
      <c r="G141" s="37">
        <f t="shared" si="16"/>
        <v>258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42</v>
      </c>
      <c r="L141" s="37">
        <f>SUM(L114:L140,L90:L99,L79:L87,L69:L76,L7:L66,L102:L111)</f>
        <v>672</v>
      </c>
      <c r="M141" s="31">
        <f>SUM(M114:M136,M90:M98,M79:M87,M69:M76,M7:M66)</f>
        <v>90</v>
      </c>
      <c r="N141" s="31">
        <f>SUM(N114:N136,N90:N98,N79:N87,N69:N76,N7:N66)</f>
        <v>1499</v>
      </c>
      <c r="O141" s="31"/>
      <c r="P141" s="31"/>
      <c r="Q141" s="45">
        <f t="shared" ref="Q141" si="17">(M141+N141)-L141</f>
        <v>917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2025-03-10T00:45:12Z</cp:lastPrinted>
  <dcterms:created xsi:type="dcterms:W3CDTF">2024-04-30T05:21:27Z</dcterms:created>
  <dcterms:modified xsi:type="dcterms:W3CDTF">2025-03-10T04:58:07Z</dcterms:modified>
</cp:coreProperties>
</file>