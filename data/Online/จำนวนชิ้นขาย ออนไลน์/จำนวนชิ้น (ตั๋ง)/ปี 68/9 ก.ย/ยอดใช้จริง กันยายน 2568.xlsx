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15B37AFD-B3B4-4311-8431-57C989167DE5}" xr6:coauthVersionLast="47" xr6:coauthVersionMax="47" xr10:uidLastSave="{00000000-0000-0000-0000-000000000000}"/>
  <bookViews>
    <workbookView xWindow="-120" yWindow="-120" windowWidth="29040" windowHeight="15720" tabRatio="930" firstSheet="24" activeTab="26" xr2:uid="{55C9AAA3-F459-48EC-A639-AACFFC6390F5}"/>
  </bookViews>
  <sheets>
    <sheet name="บ่าย" sheetId="4" state="hidden" r:id="rId1"/>
    <sheet name="เย็น " sheetId="6" state="hidden" r:id="rId2"/>
    <sheet name="01.09.68" sheetId="5" r:id="rId3"/>
    <sheet name="02.09.68" sheetId="26" r:id="rId4"/>
    <sheet name="03.09.68" sheetId="27" r:id="rId5"/>
    <sheet name="04.09.68" sheetId="28" r:id="rId6"/>
    <sheet name="05.09.68" sheetId="29" r:id="rId7"/>
    <sheet name="06.09.68" sheetId="30" r:id="rId8"/>
    <sheet name="07.09.68" sheetId="31" r:id="rId9"/>
    <sheet name="08.09.68" sheetId="32" r:id="rId10"/>
    <sheet name="09.09.68" sheetId="33" r:id="rId11"/>
    <sheet name="10.09.68" sheetId="34" r:id="rId12"/>
    <sheet name="11.09.68" sheetId="35" r:id="rId13"/>
    <sheet name="12.09.68" sheetId="36" r:id="rId14"/>
    <sheet name="13.09.68" sheetId="37" r:id="rId15"/>
    <sheet name="14.09.68" sheetId="38" r:id="rId16"/>
    <sheet name="15.09.68" sheetId="39" r:id="rId17"/>
    <sheet name="16.09.68" sheetId="40" r:id="rId18"/>
    <sheet name="17.09.68" sheetId="41" r:id="rId19"/>
    <sheet name="18.09.68" sheetId="42" r:id="rId20"/>
    <sheet name="19.09.68" sheetId="43" r:id="rId21"/>
    <sheet name="20.09.68" sheetId="44" r:id="rId22"/>
    <sheet name="21.09.68" sheetId="45" r:id="rId23"/>
    <sheet name="22.09.68" sheetId="46" r:id="rId24"/>
    <sheet name="23.09.68" sheetId="47" r:id="rId25"/>
    <sheet name="24.09.68" sheetId="48" r:id="rId26"/>
    <sheet name="25.09.68" sheetId="49" r:id="rId27"/>
    <sheet name="26.09.68" sheetId="50" r:id="rId28"/>
    <sheet name="27.09.68" sheetId="51" r:id="rId29"/>
    <sheet name="28.09.68" sheetId="52" r:id="rId30"/>
    <sheet name="29.09.68" sheetId="53" r:id="rId31"/>
    <sheet name="30.09.68" sheetId="54" r:id="rId32"/>
    <sheet name="สรุป" sheetId="19" r:id="rId33"/>
  </sheets>
  <definedNames>
    <definedName name="_xlnm._FilterDatabase" localSheetId="2" hidden="1">'01.09.68'!$B$2:$AE$2</definedName>
    <definedName name="_xlnm._FilterDatabase" localSheetId="3" hidden="1">'02.09.68'!$B$2:$AE$2</definedName>
    <definedName name="_xlnm._FilterDatabase" localSheetId="4" hidden="1">'03.09.68'!$B$2:$AE$2</definedName>
    <definedName name="_xlnm._FilterDatabase" localSheetId="5" hidden="1">'04.09.68'!$B$2:$AE$2</definedName>
    <definedName name="_xlnm._FilterDatabase" localSheetId="6" hidden="1">'05.09.68'!$B$2:$AE$2</definedName>
    <definedName name="_xlnm._FilterDatabase" localSheetId="7" hidden="1">'06.09.68'!$B$2:$AE$2</definedName>
    <definedName name="_xlnm._FilterDatabase" localSheetId="8" hidden="1">'07.09.68'!$B$2:$AE$2</definedName>
    <definedName name="_xlnm._FilterDatabase" localSheetId="9" hidden="1">'08.09.68'!$B$2:$AE$2</definedName>
    <definedName name="_xlnm._FilterDatabase" localSheetId="10" hidden="1">'09.09.68'!$B$2:$AE$2</definedName>
    <definedName name="_xlnm._FilterDatabase" localSheetId="11" hidden="1">'10.09.68'!$B$2:$AE$2</definedName>
    <definedName name="_xlnm._FilterDatabase" localSheetId="12" hidden="1">'11.09.68'!$B$2:$AE$2</definedName>
    <definedName name="_xlnm._FilterDatabase" localSheetId="13" hidden="1">'12.09.68'!$B$2:$AE$2</definedName>
    <definedName name="_xlnm._FilterDatabase" localSheetId="14" hidden="1">'13.09.68'!$B$2:$AE$2</definedName>
    <definedName name="_xlnm._FilterDatabase" localSheetId="15" hidden="1">'14.09.68'!$B$2:$AE$2</definedName>
    <definedName name="_xlnm._FilterDatabase" localSheetId="16" hidden="1">'15.09.68'!$B$2:$AE$2</definedName>
    <definedName name="_xlnm._FilterDatabase" localSheetId="17" hidden="1">'16.09.68'!$B$2:$AE$2</definedName>
    <definedName name="_xlnm._FilterDatabase" localSheetId="18" hidden="1">'17.09.68'!$B$2:$AE$2</definedName>
    <definedName name="_xlnm._FilterDatabase" localSheetId="19" hidden="1">'18.09.68'!$B$2:$AE$2</definedName>
    <definedName name="_xlnm._FilterDatabase" localSheetId="20" hidden="1">'19.09.68'!$B$2:$AE$2</definedName>
    <definedName name="_xlnm._FilterDatabase" localSheetId="21" hidden="1">'20.09.68'!$B$2:$AE$2</definedName>
    <definedName name="_xlnm._FilterDatabase" localSheetId="22" hidden="1">'21.09.68'!$B$2:$AE$2</definedName>
    <definedName name="_xlnm._FilterDatabase" localSheetId="23" hidden="1">'22.09.68'!$B$2:$AE$2</definedName>
    <definedName name="_xlnm._FilterDatabase" localSheetId="24" hidden="1">'23.09.68'!$B$2:$AE$2</definedName>
    <definedName name="_xlnm._FilterDatabase" localSheetId="25" hidden="1">'24.09.68'!$B$2:$AE$2</definedName>
    <definedName name="_xlnm._FilterDatabase" localSheetId="26" hidden="1">'25.09.68'!$B$2:$AE$2</definedName>
    <definedName name="_xlnm._FilterDatabase" localSheetId="27" hidden="1">'26.09.68'!$B$2:$AE$2</definedName>
    <definedName name="_xlnm._FilterDatabase" localSheetId="28" hidden="1">'27.09.68'!$B$2:$AE$2</definedName>
    <definedName name="_xlnm._FilterDatabase" localSheetId="29" hidden="1">'28.09.68'!$B$2:$AE$2</definedName>
    <definedName name="_xlnm._FilterDatabase" localSheetId="30" hidden="1">'29.09.68'!$B$2:$AE$2</definedName>
    <definedName name="_xlnm._FilterDatabase" localSheetId="31" hidden="1">'30.09.68'!$B$2:$AE$2</definedName>
    <definedName name="_xlnm._FilterDatabase" localSheetId="32" hidden="1">สรุป!$A$3:$Z$99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22" i="48" l="1"/>
  <c r="AC122" i="48"/>
  <c r="Z122" i="48"/>
  <c r="Z123" i="48"/>
  <c r="AC123" i="48" s="1"/>
  <c r="AE123" i="48" s="1"/>
  <c r="AD154" i="19"/>
  <c r="AB154" i="19"/>
  <c r="AA154" i="19"/>
  <c r="X153" i="19"/>
  <c r="U153" i="19"/>
  <c r="R153" i="19"/>
  <c r="O153" i="19"/>
  <c r="L153" i="19"/>
  <c r="I153" i="19"/>
  <c r="F153" i="19"/>
  <c r="X152" i="19"/>
  <c r="U152" i="19"/>
  <c r="R152" i="19"/>
  <c r="O152" i="19"/>
  <c r="L152" i="19"/>
  <c r="I152" i="19"/>
  <c r="F152" i="19"/>
  <c r="X151" i="19"/>
  <c r="U151" i="19"/>
  <c r="R151" i="19"/>
  <c r="O151" i="19"/>
  <c r="L151" i="19"/>
  <c r="I151" i="19"/>
  <c r="F151" i="19"/>
  <c r="F150" i="19"/>
  <c r="F149" i="19"/>
  <c r="F148" i="19"/>
  <c r="F147" i="19"/>
  <c r="F146" i="19"/>
  <c r="F145" i="19"/>
  <c r="F144" i="19"/>
  <c r="F143" i="19"/>
  <c r="F142" i="19"/>
  <c r="F141" i="19"/>
  <c r="F140" i="19"/>
  <c r="F139" i="19"/>
  <c r="F138" i="19"/>
  <c r="F137" i="19"/>
  <c r="F136" i="19"/>
  <c r="F135" i="19"/>
  <c r="F134" i="19"/>
  <c r="F133" i="19"/>
  <c r="F132" i="19"/>
  <c r="F131" i="19"/>
  <c r="F130" i="19"/>
  <c r="F129" i="19"/>
  <c r="F128" i="19"/>
  <c r="F127" i="19"/>
  <c r="F126" i="19"/>
  <c r="F125" i="19"/>
  <c r="F124" i="19"/>
  <c r="F123" i="19"/>
  <c r="F122" i="19"/>
  <c r="X121" i="19"/>
  <c r="U121" i="19"/>
  <c r="R121" i="19"/>
  <c r="O121" i="19"/>
  <c r="L121" i="19"/>
  <c r="I121" i="19"/>
  <c r="F121" i="19"/>
  <c r="X120" i="19"/>
  <c r="U120" i="19"/>
  <c r="R120" i="19"/>
  <c r="O120" i="19"/>
  <c r="L120" i="19"/>
  <c r="I120" i="19"/>
  <c r="F120" i="19"/>
  <c r="X119" i="19"/>
  <c r="U119" i="19"/>
  <c r="R119" i="19"/>
  <c r="O119" i="19"/>
  <c r="L119" i="19"/>
  <c r="I119" i="19"/>
  <c r="F119" i="19"/>
  <c r="X118" i="19"/>
  <c r="U118" i="19"/>
  <c r="R118" i="19"/>
  <c r="O118" i="19"/>
  <c r="L118" i="19"/>
  <c r="I118" i="19"/>
  <c r="F118" i="19"/>
  <c r="X117" i="19"/>
  <c r="U117" i="19"/>
  <c r="R117" i="19"/>
  <c r="O117" i="19"/>
  <c r="L117" i="19"/>
  <c r="I117" i="19"/>
  <c r="F117" i="19"/>
  <c r="X116" i="19"/>
  <c r="U116" i="19"/>
  <c r="R116" i="19"/>
  <c r="O116" i="19"/>
  <c r="L116" i="19"/>
  <c r="I116" i="19"/>
  <c r="F116" i="19"/>
  <c r="X115" i="19"/>
  <c r="U115" i="19"/>
  <c r="R115" i="19"/>
  <c r="O115" i="19"/>
  <c r="L115" i="19"/>
  <c r="I115" i="19"/>
  <c r="F115" i="19"/>
  <c r="X114" i="19"/>
  <c r="U114" i="19"/>
  <c r="R114" i="19"/>
  <c r="O114" i="19"/>
  <c r="L114" i="19"/>
  <c r="I114" i="19"/>
  <c r="F114" i="19"/>
  <c r="X113" i="19"/>
  <c r="U113" i="19"/>
  <c r="R113" i="19"/>
  <c r="O113" i="19"/>
  <c r="L113" i="19"/>
  <c r="I113" i="19"/>
  <c r="F113" i="19"/>
  <c r="X112" i="19"/>
  <c r="U112" i="19"/>
  <c r="R112" i="19"/>
  <c r="O112" i="19"/>
  <c r="L112" i="19"/>
  <c r="I112" i="19"/>
  <c r="F112" i="19"/>
  <c r="X111" i="19"/>
  <c r="U111" i="19"/>
  <c r="R111" i="19"/>
  <c r="O111" i="19"/>
  <c r="L111" i="19"/>
  <c r="I111" i="19"/>
  <c r="F111" i="19"/>
  <c r="AD154" i="54"/>
  <c r="AB154" i="54"/>
  <c r="AA154" i="54"/>
  <c r="Y154" i="54"/>
  <c r="W154" i="54"/>
  <c r="V154" i="54"/>
  <c r="T154" i="54"/>
  <c r="S154" i="54"/>
  <c r="Q154" i="54"/>
  <c r="P154" i="54"/>
  <c r="N154" i="54"/>
  <c r="M154" i="54"/>
  <c r="K154" i="54"/>
  <c r="J154" i="54"/>
  <c r="H154" i="54"/>
  <c r="G154" i="54"/>
  <c r="E154" i="54"/>
  <c r="D154" i="54"/>
  <c r="X153" i="54"/>
  <c r="U153" i="54"/>
  <c r="R153" i="54"/>
  <c r="O153" i="54"/>
  <c r="L153" i="54"/>
  <c r="I153" i="54"/>
  <c r="F153" i="54"/>
  <c r="X152" i="54"/>
  <c r="U152" i="54"/>
  <c r="R152" i="54"/>
  <c r="O152" i="54"/>
  <c r="L152" i="54"/>
  <c r="I152" i="54"/>
  <c r="F152" i="54"/>
  <c r="X151" i="54"/>
  <c r="U151" i="54"/>
  <c r="R151" i="54"/>
  <c r="O151" i="54"/>
  <c r="L151" i="54"/>
  <c r="I151" i="54"/>
  <c r="F151" i="54"/>
  <c r="F150" i="54"/>
  <c r="F149" i="54"/>
  <c r="F148" i="54"/>
  <c r="F147" i="54"/>
  <c r="F146" i="54"/>
  <c r="F145" i="54"/>
  <c r="F144" i="54"/>
  <c r="F143" i="54"/>
  <c r="F142" i="54"/>
  <c r="F141" i="54"/>
  <c r="F140" i="54"/>
  <c r="F139" i="54"/>
  <c r="F138" i="54"/>
  <c r="F137" i="54"/>
  <c r="F136" i="54"/>
  <c r="F135" i="54"/>
  <c r="F134" i="54"/>
  <c r="F133" i="54"/>
  <c r="F132" i="54"/>
  <c r="F131" i="54"/>
  <c r="F130" i="54"/>
  <c r="F129" i="54"/>
  <c r="F128" i="54"/>
  <c r="F127" i="54"/>
  <c r="F126" i="54"/>
  <c r="F125" i="54"/>
  <c r="F124" i="54"/>
  <c r="F123" i="54"/>
  <c r="F122" i="54"/>
  <c r="X121" i="54"/>
  <c r="U121" i="54"/>
  <c r="R121" i="54"/>
  <c r="O121" i="54"/>
  <c r="L121" i="54"/>
  <c r="I121" i="54"/>
  <c r="F121" i="54"/>
  <c r="X120" i="54"/>
  <c r="U120" i="54"/>
  <c r="R120" i="54"/>
  <c r="O120" i="54"/>
  <c r="L120" i="54"/>
  <c r="I120" i="54"/>
  <c r="F120" i="54"/>
  <c r="X119" i="54"/>
  <c r="U119" i="54"/>
  <c r="R119" i="54"/>
  <c r="O119" i="54"/>
  <c r="L119" i="54"/>
  <c r="I119" i="54"/>
  <c r="F119" i="54"/>
  <c r="X118" i="54"/>
  <c r="U118" i="54"/>
  <c r="R118" i="54"/>
  <c r="O118" i="54"/>
  <c r="L118" i="54"/>
  <c r="I118" i="54"/>
  <c r="F118" i="54"/>
  <c r="X117" i="54"/>
  <c r="U117" i="54"/>
  <c r="R117" i="54"/>
  <c r="O117" i="54"/>
  <c r="L117" i="54"/>
  <c r="I117" i="54"/>
  <c r="F117" i="54"/>
  <c r="X116" i="54"/>
  <c r="U116" i="54"/>
  <c r="R116" i="54"/>
  <c r="O116" i="54"/>
  <c r="L116" i="54"/>
  <c r="I116" i="54"/>
  <c r="F116" i="54"/>
  <c r="X115" i="54"/>
  <c r="U115" i="54"/>
  <c r="R115" i="54"/>
  <c r="O115" i="54"/>
  <c r="L115" i="54"/>
  <c r="I115" i="54"/>
  <c r="F115" i="54"/>
  <c r="X114" i="54"/>
  <c r="U114" i="54"/>
  <c r="R114" i="54"/>
  <c r="O114" i="54"/>
  <c r="L114" i="54"/>
  <c r="I114" i="54"/>
  <c r="F114" i="54"/>
  <c r="X113" i="54"/>
  <c r="U113" i="54"/>
  <c r="R113" i="54"/>
  <c r="O113" i="54"/>
  <c r="L113" i="54"/>
  <c r="I113" i="54"/>
  <c r="F113" i="54"/>
  <c r="X112" i="54"/>
  <c r="U112" i="54"/>
  <c r="R112" i="54"/>
  <c r="O112" i="54"/>
  <c r="L112" i="54"/>
  <c r="I112" i="54"/>
  <c r="F112" i="54"/>
  <c r="X111" i="54"/>
  <c r="U111" i="54"/>
  <c r="R111" i="54"/>
  <c r="O111" i="54"/>
  <c r="L111" i="54"/>
  <c r="I111" i="54"/>
  <c r="F111" i="54"/>
  <c r="AD154" i="53"/>
  <c r="AB154" i="53"/>
  <c r="AA154" i="53"/>
  <c r="Y154" i="53"/>
  <c r="W154" i="53"/>
  <c r="V154" i="53"/>
  <c r="T154" i="53"/>
  <c r="S154" i="53"/>
  <c r="Q154" i="53"/>
  <c r="P154" i="53"/>
  <c r="N154" i="53"/>
  <c r="M154" i="53"/>
  <c r="K154" i="53"/>
  <c r="J154" i="53"/>
  <c r="H154" i="53"/>
  <c r="G154" i="53"/>
  <c r="E154" i="53"/>
  <c r="D154" i="53"/>
  <c r="X153" i="53"/>
  <c r="U153" i="53"/>
  <c r="R153" i="53"/>
  <c r="O153" i="53"/>
  <c r="L153" i="53"/>
  <c r="I153" i="53"/>
  <c r="F153" i="53"/>
  <c r="X152" i="53"/>
  <c r="U152" i="53"/>
  <c r="R152" i="53"/>
  <c r="O152" i="53"/>
  <c r="L152" i="53"/>
  <c r="I152" i="53"/>
  <c r="F152" i="53"/>
  <c r="X151" i="53"/>
  <c r="U151" i="53"/>
  <c r="R151" i="53"/>
  <c r="O151" i="53"/>
  <c r="L151" i="53"/>
  <c r="I151" i="53"/>
  <c r="F151" i="53"/>
  <c r="F150" i="53"/>
  <c r="F149" i="53"/>
  <c r="F148" i="53"/>
  <c r="F147" i="53"/>
  <c r="F146" i="53"/>
  <c r="F145" i="53"/>
  <c r="F144" i="53"/>
  <c r="F143" i="53"/>
  <c r="F142" i="53"/>
  <c r="F141" i="53"/>
  <c r="F140" i="53"/>
  <c r="F139" i="53"/>
  <c r="F138" i="53"/>
  <c r="F137" i="53"/>
  <c r="F136" i="53"/>
  <c r="F135" i="53"/>
  <c r="F134" i="53"/>
  <c r="F133" i="53"/>
  <c r="F132" i="53"/>
  <c r="F131" i="53"/>
  <c r="F130" i="53"/>
  <c r="F129" i="53"/>
  <c r="F128" i="53"/>
  <c r="F127" i="53"/>
  <c r="F126" i="53"/>
  <c r="F125" i="53"/>
  <c r="F124" i="53"/>
  <c r="F123" i="53"/>
  <c r="F122" i="53"/>
  <c r="X121" i="53"/>
  <c r="U121" i="53"/>
  <c r="R121" i="53"/>
  <c r="O121" i="53"/>
  <c r="L121" i="53"/>
  <c r="I121" i="53"/>
  <c r="F121" i="53"/>
  <c r="X120" i="53"/>
  <c r="U120" i="53"/>
  <c r="R120" i="53"/>
  <c r="O120" i="53"/>
  <c r="L120" i="53"/>
  <c r="I120" i="53"/>
  <c r="F120" i="53"/>
  <c r="X119" i="53"/>
  <c r="U119" i="53"/>
  <c r="R119" i="53"/>
  <c r="O119" i="53"/>
  <c r="L119" i="53"/>
  <c r="I119" i="53"/>
  <c r="F119" i="53"/>
  <c r="X118" i="53"/>
  <c r="U118" i="53"/>
  <c r="R118" i="53"/>
  <c r="O118" i="53"/>
  <c r="L118" i="53"/>
  <c r="I118" i="53"/>
  <c r="F118" i="53"/>
  <c r="X117" i="53"/>
  <c r="U117" i="53"/>
  <c r="R117" i="53"/>
  <c r="O117" i="53"/>
  <c r="L117" i="53"/>
  <c r="I117" i="53"/>
  <c r="F117" i="53"/>
  <c r="X116" i="53"/>
  <c r="U116" i="53"/>
  <c r="R116" i="53"/>
  <c r="O116" i="53"/>
  <c r="L116" i="53"/>
  <c r="I116" i="53"/>
  <c r="F116" i="53"/>
  <c r="X115" i="53"/>
  <c r="U115" i="53"/>
  <c r="R115" i="53"/>
  <c r="O115" i="53"/>
  <c r="L115" i="53"/>
  <c r="I115" i="53"/>
  <c r="F115" i="53"/>
  <c r="X114" i="53"/>
  <c r="U114" i="53"/>
  <c r="R114" i="53"/>
  <c r="O114" i="53"/>
  <c r="L114" i="53"/>
  <c r="I114" i="53"/>
  <c r="F114" i="53"/>
  <c r="X113" i="53"/>
  <c r="U113" i="53"/>
  <c r="R113" i="53"/>
  <c r="O113" i="53"/>
  <c r="L113" i="53"/>
  <c r="I113" i="53"/>
  <c r="F113" i="53"/>
  <c r="X112" i="53"/>
  <c r="U112" i="53"/>
  <c r="R112" i="53"/>
  <c r="O112" i="53"/>
  <c r="L112" i="53"/>
  <c r="I112" i="53"/>
  <c r="F112" i="53"/>
  <c r="X111" i="53"/>
  <c r="U111" i="53"/>
  <c r="R111" i="53"/>
  <c r="O111" i="53"/>
  <c r="L111" i="53"/>
  <c r="I111" i="53"/>
  <c r="F111" i="53"/>
  <c r="AD154" i="52"/>
  <c r="AB154" i="52"/>
  <c r="AA154" i="52"/>
  <c r="Y154" i="52"/>
  <c r="W154" i="52"/>
  <c r="V154" i="52"/>
  <c r="T154" i="52"/>
  <c r="S154" i="52"/>
  <c r="Q154" i="52"/>
  <c r="P154" i="52"/>
  <c r="N154" i="52"/>
  <c r="M154" i="52"/>
  <c r="K154" i="52"/>
  <c r="J154" i="52"/>
  <c r="H154" i="52"/>
  <c r="G154" i="52"/>
  <c r="E154" i="52"/>
  <c r="D154" i="52"/>
  <c r="X153" i="52"/>
  <c r="U153" i="52"/>
  <c r="R153" i="52"/>
  <c r="O153" i="52"/>
  <c r="L153" i="52"/>
  <c r="I153" i="52"/>
  <c r="F153" i="52"/>
  <c r="X152" i="52"/>
  <c r="U152" i="52"/>
  <c r="R152" i="52"/>
  <c r="O152" i="52"/>
  <c r="L152" i="52"/>
  <c r="I152" i="52"/>
  <c r="F152" i="52"/>
  <c r="X151" i="52"/>
  <c r="U151" i="52"/>
  <c r="R151" i="52"/>
  <c r="O151" i="52"/>
  <c r="L151" i="52"/>
  <c r="I151" i="52"/>
  <c r="F151" i="52"/>
  <c r="F150" i="52"/>
  <c r="F149" i="52"/>
  <c r="F148" i="52"/>
  <c r="F147" i="52"/>
  <c r="F146" i="52"/>
  <c r="F145" i="52"/>
  <c r="F144" i="52"/>
  <c r="F143" i="52"/>
  <c r="F142" i="52"/>
  <c r="F141" i="52"/>
  <c r="F140" i="52"/>
  <c r="F139" i="52"/>
  <c r="F138" i="52"/>
  <c r="F137" i="52"/>
  <c r="F136" i="52"/>
  <c r="F135" i="52"/>
  <c r="F134" i="52"/>
  <c r="F133" i="52"/>
  <c r="F132" i="52"/>
  <c r="F131" i="52"/>
  <c r="F130" i="52"/>
  <c r="F129" i="52"/>
  <c r="F128" i="52"/>
  <c r="F127" i="52"/>
  <c r="F126" i="52"/>
  <c r="F125" i="52"/>
  <c r="F124" i="52"/>
  <c r="F123" i="52"/>
  <c r="F122" i="52"/>
  <c r="X121" i="52"/>
  <c r="U121" i="52"/>
  <c r="R121" i="52"/>
  <c r="O121" i="52"/>
  <c r="L121" i="52"/>
  <c r="I121" i="52"/>
  <c r="F121" i="52"/>
  <c r="X120" i="52"/>
  <c r="U120" i="52"/>
  <c r="R120" i="52"/>
  <c r="O120" i="52"/>
  <c r="L120" i="52"/>
  <c r="I120" i="52"/>
  <c r="F120" i="52"/>
  <c r="X119" i="52"/>
  <c r="U119" i="52"/>
  <c r="R119" i="52"/>
  <c r="O119" i="52"/>
  <c r="L119" i="52"/>
  <c r="I119" i="52"/>
  <c r="F119" i="52"/>
  <c r="X118" i="52"/>
  <c r="U118" i="52"/>
  <c r="R118" i="52"/>
  <c r="O118" i="52"/>
  <c r="L118" i="52"/>
  <c r="I118" i="52"/>
  <c r="F118" i="52"/>
  <c r="X117" i="52"/>
  <c r="U117" i="52"/>
  <c r="R117" i="52"/>
  <c r="O117" i="52"/>
  <c r="L117" i="52"/>
  <c r="I117" i="52"/>
  <c r="F117" i="52"/>
  <c r="X116" i="52"/>
  <c r="U116" i="52"/>
  <c r="R116" i="52"/>
  <c r="O116" i="52"/>
  <c r="L116" i="52"/>
  <c r="I116" i="52"/>
  <c r="F116" i="52"/>
  <c r="X115" i="52"/>
  <c r="U115" i="52"/>
  <c r="R115" i="52"/>
  <c r="O115" i="52"/>
  <c r="L115" i="52"/>
  <c r="I115" i="52"/>
  <c r="F115" i="52"/>
  <c r="X114" i="52"/>
  <c r="U114" i="52"/>
  <c r="R114" i="52"/>
  <c r="O114" i="52"/>
  <c r="L114" i="52"/>
  <c r="I114" i="52"/>
  <c r="F114" i="52"/>
  <c r="X113" i="52"/>
  <c r="U113" i="52"/>
  <c r="R113" i="52"/>
  <c r="O113" i="52"/>
  <c r="L113" i="52"/>
  <c r="I113" i="52"/>
  <c r="F113" i="52"/>
  <c r="X112" i="52"/>
  <c r="U112" i="52"/>
  <c r="R112" i="52"/>
  <c r="O112" i="52"/>
  <c r="L112" i="52"/>
  <c r="I112" i="52"/>
  <c r="F112" i="52"/>
  <c r="X111" i="52"/>
  <c r="U111" i="52"/>
  <c r="R111" i="52"/>
  <c r="O111" i="52"/>
  <c r="L111" i="52"/>
  <c r="I111" i="52"/>
  <c r="F111" i="52"/>
  <c r="AD154" i="51"/>
  <c r="AB154" i="51"/>
  <c r="AA154" i="51"/>
  <c r="Y154" i="51"/>
  <c r="W154" i="51"/>
  <c r="V154" i="51"/>
  <c r="T154" i="51"/>
  <c r="S154" i="51"/>
  <c r="Q154" i="51"/>
  <c r="P154" i="51"/>
  <c r="N154" i="51"/>
  <c r="M154" i="51"/>
  <c r="K154" i="51"/>
  <c r="J154" i="51"/>
  <c r="H154" i="51"/>
  <c r="G154" i="51"/>
  <c r="E154" i="51"/>
  <c r="D154" i="51"/>
  <c r="X153" i="51"/>
  <c r="U153" i="51"/>
  <c r="R153" i="51"/>
  <c r="O153" i="51"/>
  <c r="L153" i="51"/>
  <c r="I153" i="51"/>
  <c r="F153" i="51"/>
  <c r="X152" i="51"/>
  <c r="U152" i="51"/>
  <c r="R152" i="51"/>
  <c r="O152" i="51"/>
  <c r="L152" i="51"/>
  <c r="I152" i="51"/>
  <c r="F152" i="51"/>
  <c r="X151" i="51"/>
  <c r="U151" i="51"/>
  <c r="R151" i="51"/>
  <c r="O151" i="51"/>
  <c r="L151" i="51"/>
  <c r="I151" i="51"/>
  <c r="F151" i="51"/>
  <c r="F150" i="51"/>
  <c r="F149" i="51"/>
  <c r="F148" i="51"/>
  <c r="F147" i="51"/>
  <c r="F146" i="51"/>
  <c r="F145" i="51"/>
  <c r="F144" i="51"/>
  <c r="F143" i="51"/>
  <c r="F142" i="51"/>
  <c r="F141" i="51"/>
  <c r="F140" i="51"/>
  <c r="F139" i="51"/>
  <c r="F138" i="51"/>
  <c r="F137" i="51"/>
  <c r="F136" i="51"/>
  <c r="F135" i="51"/>
  <c r="F134" i="51"/>
  <c r="F133" i="51"/>
  <c r="F132" i="51"/>
  <c r="F131" i="51"/>
  <c r="F130" i="51"/>
  <c r="F129" i="51"/>
  <c r="F128" i="51"/>
  <c r="F127" i="51"/>
  <c r="F126" i="51"/>
  <c r="F125" i="51"/>
  <c r="F124" i="51"/>
  <c r="F123" i="51"/>
  <c r="F122" i="51"/>
  <c r="X121" i="51"/>
  <c r="U121" i="51"/>
  <c r="R121" i="51"/>
  <c r="O121" i="51"/>
  <c r="L121" i="51"/>
  <c r="I121" i="51"/>
  <c r="F121" i="51"/>
  <c r="X120" i="51"/>
  <c r="U120" i="51"/>
  <c r="R120" i="51"/>
  <c r="O120" i="51"/>
  <c r="L120" i="51"/>
  <c r="I120" i="51"/>
  <c r="F120" i="51"/>
  <c r="X119" i="51"/>
  <c r="U119" i="51"/>
  <c r="R119" i="51"/>
  <c r="O119" i="51"/>
  <c r="L119" i="51"/>
  <c r="I119" i="51"/>
  <c r="F119" i="51"/>
  <c r="X118" i="51"/>
  <c r="U118" i="51"/>
  <c r="R118" i="51"/>
  <c r="O118" i="51"/>
  <c r="L118" i="51"/>
  <c r="I118" i="51"/>
  <c r="F118" i="51"/>
  <c r="X117" i="51"/>
  <c r="U117" i="51"/>
  <c r="R117" i="51"/>
  <c r="O117" i="51"/>
  <c r="L117" i="51"/>
  <c r="I117" i="51"/>
  <c r="F117" i="51"/>
  <c r="X116" i="51"/>
  <c r="U116" i="51"/>
  <c r="R116" i="51"/>
  <c r="O116" i="51"/>
  <c r="L116" i="51"/>
  <c r="I116" i="51"/>
  <c r="F116" i="51"/>
  <c r="X115" i="51"/>
  <c r="U115" i="51"/>
  <c r="R115" i="51"/>
  <c r="O115" i="51"/>
  <c r="L115" i="51"/>
  <c r="I115" i="51"/>
  <c r="F115" i="51"/>
  <c r="X114" i="51"/>
  <c r="U114" i="51"/>
  <c r="R114" i="51"/>
  <c r="O114" i="51"/>
  <c r="L114" i="51"/>
  <c r="I114" i="51"/>
  <c r="F114" i="51"/>
  <c r="X113" i="51"/>
  <c r="U113" i="51"/>
  <c r="R113" i="51"/>
  <c r="O113" i="51"/>
  <c r="L113" i="51"/>
  <c r="I113" i="51"/>
  <c r="F113" i="51"/>
  <c r="X112" i="51"/>
  <c r="U112" i="51"/>
  <c r="R112" i="51"/>
  <c r="O112" i="51"/>
  <c r="L112" i="51"/>
  <c r="I112" i="51"/>
  <c r="F112" i="51"/>
  <c r="X111" i="51"/>
  <c r="U111" i="51"/>
  <c r="R111" i="51"/>
  <c r="O111" i="51"/>
  <c r="L111" i="51"/>
  <c r="I111" i="51"/>
  <c r="F111" i="51"/>
  <c r="AD154" i="50"/>
  <c r="AB154" i="50"/>
  <c r="AA154" i="50"/>
  <c r="Y154" i="50"/>
  <c r="W154" i="50"/>
  <c r="V154" i="50"/>
  <c r="T154" i="50"/>
  <c r="S154" i="50"/>
  <c r="Q154" i="50"/>
  <c r="P154" i="50"/>
  <c r="N154" i="50"/>
  <c r="M154" i="50"/>
  <c r="K154" i="50"/>
  <c r="J154" i="50"/>
  <c r="H154" i="50"/>
  <c r="G154" i="50"/>
  <c r="E154" i="50"/>
  <c r="D154" i="50"/>
  <c r="X153" i="50"/>
  <c r="U153" i="50"/>
  <c r="R153" i="50"/>
  <c r="O153" i="50"/>
  <c r="L153" i="50"/>
  <c r="I153" i="50"/>
  <c r="F153" i="50"/>
  <c r="X152" i="50"/>
  <c r="U152" i="50"/>
  <c r="R152" i="50"/>
  <c r="O152" i="50"/>
  <c r="L152" i="50"/>
  <c r="I152" i="50"/>
  <c r="F152" i="50"/>
  <c r="X151" i="50"/>
  <c r="U151" i="50"/>
  <c r="R151" i="50"/>
  <c r="O151" i="50"/>
  <c r="L151" i="50"/>
  <c r="I151" i="50"/>
  <c r="F151" i="50"/>
  <c r="F150" i="50"/>
  <c r="F149" i="50"/>
  <c r="F148" i="50"/>
  <c r="F147" i="50"/>
  <c r="F146" i="50"/>
  <c r="F145" i="50"/>
  <c r="F144" i="50"/>
  <c r="F143" i="50"/>
  <c r="F142" i="50"/>
  <c r="F141" i="50"/>
  <c r="F140" i="50"/>
  <c r="F139" i="50"/>
  <c r="F138" i="50"/>
  <c r="F137" i="50"/>
  <c r="F136" i="50"/>
  <c r="F135" i="50"/>
  <c r="F134" i="50"/>
  <c r="F133" i="50"/>
  <c r="F132" i="50"/>
  <c r="F131" i="50"/>
  <c r="F130" i="50"/>
  <c r="F129" i="50"/>
  <c r="F128" i="50"/>
  <c r="F127" i="50"/>
  <c r="F126" i="50"/>
  <c r="F125" i="50"/>
  <c r="F124" i="50"/>
  <c r="F123" i="50"/>
  <c r="F122" i="50"/>
  <c r="X121" i="50"/>
  <c r="U121" i="50"/>
  <c r="R121" i="50"/>
  <c r="O121" i="50"/>
  <c r="L121" i="50"/>
  <c r="I121" i="50"/>
  <c r="F121" i="50"/>
  <c r="X120" i="50"/>
  <c r="U120" i="50"/>
  <c r="R120" i="50"/>
  <c r="O120" i="50"/>
  <c r="L120" i="50"/>
  <c r="I120" i="50"/>
  <c r="F120" i="50"/>
  <c r="X119" i="50"/>
  <c r="U119" i="50"/>
  <c r="R119" i="50"/>
  <c r="O119" i="50"/>
  <c r="L119" i="50"/>
  <c r="I119" i="50"/>
  <c r="F119" i="50"/>
  <c r="X118" i="50"/>
  <c r="U118" i="50"/>
  <c r="R118" i="50"/>
  <c r="O118" i="50"/>
  <c r="L118" i="50"/>
  <c r="I118" i="50"/>
  <c r="F118" i="50"/>
  <c r="X117" i="50"/>
  <c r="U117" i="50"/>
  <c r="R117" i="50"/>
  <c r="O117" i="50"/>
  <c r="L117" i="50"/>
  <c r="I117" i="50"/>
  <c r="F117" i="50"/>
  <c r="X116" i="50"/>
  <c r="U116" i="50"/>
  <c r="R116" i="50"/>
  <c r="O116" i="50"/>
  <c r="L116" i="50"/>
  <c r="I116" i="50"/>
  <c r="F116" i="50"/>
  <c r="X115" i="50"/>
  <c r="U115" i="50"/>
  <c r="R115" i="50"/>
  <c r="O115" i="50"/>
  <c r="L115" i="50"/>
  <c r="I115" i="50"/>
  <c r="F115" i="50"/>
  <c r="X114" i="50"/>
  <c r="U114" i="50"/>
  <c r="R114" i="50"/>
  <c r="O114" i="50"/>
  <c r="L114" i="50"/>
  <c r="I114" i="50"/>
  <c r="F114" i="50"/>
  <c r="X113" i="50"/>
  <c r="U113" i="50"/>
  <c r="R113" i="50"/>
  <c r="O113" i="50"/>
  <c r="L113" i="50"/>
  <c r="I113" i="50"/>
  <c r="F113" i="50"/>
  <c r="X112" i="50"/>
  <c r="U112" i="50"/>
  <c r="R112" i="50"/>
  <c r="O112" i="50"/>
  <c r="L112" i="50"/>
  <c r="I112" i="50"/>
  <c r="F112" i="50"/>
  <c r="X111" i="50"/>
  <c r="U111" i="50"/>
  <c r="R111" i="50"/>
  <c r="O111" i="50"/>
  <c r="L111" i="50"/>
  <c r="I111" i="50"/>
  <c r="F111" i="50"/>
  <c r="AD154" i="49"/>
  <c r="AB154" i="49"/>
  <c r="AA154" i="49"/>
  <c r="Y154" i="49"/>
  <c r="W154" i="49"/>
  <c r="V154" i="49"/>
  <c r="T154" i="49"/>
  <c r="S154" i="49"/>
  <c r="Q154" i="49"/>
  <c r="P154" i="49"/>
  <c r="N154" i="49"/>
  <c r="M154" i="49"/>
  <c r="K154" i="49"/>
  <c r="J154" i="49"/>
  <c r="H154" i="49"/>
  <c r="G154" i="49"/>
  <c r="E154" i="49"/>
  <c r="D154" i="49"/>
  <c r="X153" i="49"/>
  <c r="U153" i="49"/>
  <c r="R153" i="49"/>
  <c r="O153" i="49"/>
  <c r="L153" i="49"/>
  <c r="I153" i="49"/>
  <c r="F153" i="49"/>
  <c r="X152" i="49"/>
  <c r="U152" i="49"/>
  <c r="R152" i="49"/>
  <c r="O152" i="49"/>
  <c r="L152" i="49"/>
  <c r="I152" i="49"/>
  <c r="F152" i="49"/>
  <c r="X151" i="49"/>
  <c r="U151" i="49"/>
  <c r="R151" i="49"/>
  <c r="O151" i="49"/>
  <c r="L151" i="49"/>
  <c r="I151" i="49"/>
  <c r="F151" i="49"/>
  <c r="F150" i="49"/>
  <c r="F149" i="49"/>
  <c r="F148" i="49"/>
  <c r="F147" i="49"/>
  <c r="F146" i="49"/>
  <c r="F145" i="49"/>
  <c r="F144" i="49"/>
  <c r="F143" i="49"/>
  <c r="F142" i="49"/>
  <c r="F141" i="49"/>
  <c r="F140" i="49"/>
  <c r="F139" i="49"/>
  <c r="F138" i="49"/>
  <c r="F137" i="49"/>
  <c r="F136" i="49"/>
  <c r="F135" i="49"/>
  <c r="F134" i="49"/>
  <c r="F133" i="49"/>
  <c r="F132" i="49"/>
  <c r="F131" i="49"/>
  <c r="F130" i="49"/>
  <c r="F129" i="49"/>
  <c r="F128" i="49"/>
  <c r="F127" i="49"/>
  <c r="F126" i="49"/>
  <c r="F125" i="49"/>
  <c r="F124" i="49"/>
  <c r="F123" i="49"/>
  <c r="F122" i="49"/>
  <c r="X121" i="49"/>
  <c r="U121" i="49"/>
  <c r="R121" i="49"/>
  <c r="O121" i="49"/>
  <c r="L121" i="49"/>
  <c r="I121" i="49"/>
  <c r="F121" i="49"/>
  <c r="X120" i="49"/>
  <c r="U120" i="49"/>
  <c r="R120" i="49"/>
  <c r="O120" i="49"/>
  <c r="L120" i="49"/>
  <c r="I120" i="49"/>
  <c r="F120" i="49"/>
  <c r="X119" i="49"/>
  <c r="U119" i="49"/>
  <c r="R119" i="49"/>
  <c r="O119" i="49"/>
  <c r="L119" i="49"/>
  <c r="I119" i="49"/>
  <c r="F119" i="49"/>
  <c r="X118" i="49"/>
  <c r="U118" i="49"/>
  <c r="R118" i="49"/>
  <c r="O118" i="49"/>
  <c r="L118" i="49"/>
  <c r="I118" i="49"/>
  <c r="F118" i="49"/>
  <c r="X117" i="49"/>
  <c r="U117" i="49"/>
  <c r="R117" i="49"/>
  <c r="O117" i="49"/>
  <c r="L117" i="49"/>
  <c r="I117" i="49"/>
  <c r="F117" i="49"/>
  <c r="X116" i="49"/>
  <c r="U116" i="49"/>
  <c r="R116" i="49"/>
  <c r="O116" i="49"/>
  <c r="L116" i="49"/>
  <c r="I116" i="49"/>
  <c r="F116" i="49"/>
  <c r="X115" i="49"/>
  <c r="U115" i="49"/>
  <c r="R115" i="49"/>
  <c r="O115" i="49"/>
  <c r="L115" i="49"/>
  <c r="I115" i="49"/>
  <c r="F115" i="49"/>
  <c r="X114" i="49"/>
  <c r="U114" i="49"/>
  <c r="R114" i="49"/>
  <c r="O114" i="49"/>
  <c r="L114" i="49"/>
  <c r="I114" i="49"/>
  <c r="F114" i="49"/>
  <c r="X113" i="49"/>
  <c r="U113" i="49"/>
  <c r="R113" i="49"/>
  <c r="O113" i="49"/>
  <c r="L113" i="49"/>
  <c r="I113" i="49"/>
  <c r="F113" i="49"/>
  <c r="X112" i="49"/>
  <c r="U112" i="49"/>
  <c r="R112" i="49"/>
  <c r="O112" i="49"/>
  <c r="L112" i="49"/>
  <c r="I112" i="49"/>
  <c r="F112" i="49"/>
  <c r="X111" i="49"/>
  <c r="U111" i="49"/>
  <c r="R111" i="49"/>
  <c r="O111" i="49"/>
  <c r="L111" i="49"/>
  <c r="I111" i="49"/>
  <c r="F111" i="49"/>
  <c r="AD154" i="48"/>
  <c r="AB154" i="48"/>
  <c r="AA154" i="48"/>
  <c r="Y154" i="48"/>
  <c r="W154" i="48"/>
  <c r="V154" i="48"/>
  <c r="T154" i="48"/>
  <c r="S154" i="48"/>
  <c r="Q154" i="48"/>
  <c r="P154" i="48"/>
  <c r="N154" i="48"/>
  <c r="M154" i="48"/>
  <c r="K154" i="48"/>
  <c r="J154" i="48"/>
  <c r="H154" i="48"/>
  <c r="G154" i="48"/>
  <c r="E154" i="48"/>
  <c r="D154" i="48"/>
  <c r="X153" i="48"/>
  <c r="U153" i="48"/>
  <c r="R153" i="48"/>
  <c r="O153" i="48"/>
  <c r="L153" i="48"/>
  <c r="I153" i="48"/>
  <c r="F153" i="48"/>
  <c r="X152" i="48"/>
  <c r="U152" i="48"/>
  <c r="R152" i="48"/>
  <c r="O152" i="48"/>
  <c r="L152" i="48"/>
  <c r="I152" i="48"/>
  <c r="F152" i="48"/>
  <c r="X151" i="48"/>
  <c r="U151" i="48"/>
  <c r="R151" i="48"/>
  <c r="O151" i="48"/>
  <c r="L151" i="48"/>
  <c r="I151" i="48"/>
  <c r="F151" i="48"/>
  <c r="F150" i="48"/>
  <c r="F149" i="48"/>
  <c r="F148" i="48"/>
  <c r="F147" i="48"/>
  <c r="F146" i="48"/>
  <c r="F145" i="48"/>
  <c r="F144" i="48"/>
  <c r="F143" i="48"/>
  <c r="F142" i="48"/>
  <c r="F141" i="48"/>
  <c r="F140" i="48"/>
  <c r="F139" i="48"/>
  <c r="F138" i="48"/>
  <c r="F137" i="48"/>
  <c r="F136" i="48"/>
  <c r="F135" i="48"/>
  <c r="F134" i="48"/>
  <c r="F133" i="48"/>
  <c r="F132" i="48"/>
  <c r="F131" i="48"/>
  <c r="F130" i="48"/>
  <c r="F129" i="48"/>
  <c r="F128" i="48"/>
  <c r="F127" i="48"/>
  <c r="F126" i="48"/>
  <c r="F125" i="48"/>
  <c r="Z125" i="48" s="1"/>
  <c r="AC125" i="48" s="1"/>
  <c r="AE125" i="48" s="1"/>
  <c r="F124" i="48"/>
  <c r="Z124" i="48" s="1"/>
  <c r="AC124" i="48" s="1"/>
  <c r="AE124" i="48" s="1"/>
  <c r="F123" i="48"/>
  <c r="F122" i="48"/>
  <c r="X121" i="48"/>
  <c r="U121" i="48"/>
  <c r="R121" i="48"/>
  <c r="O121" i="48"/>
  <c r="L121" i="48"/>
  <c r="I121" i="48"/>
  <c r="F121" i="48"/>
  <c r="X120" i="48"/>
  <c r="U120" i="48"/>
  <c r="R120" i="48"/>
  <c r="O120" i="48"/>
  <c r="L120" i="48"/>
  <c r="I120" i="48"/>
  <c r="F120" i="48"/>
  <c r="X119" i="48"/>
  <c r="U119" i="48"/>
  <c r="R119" i="48"/>
  <c r="O119" i="48"/>
  <c r="L119" i="48"/>
  <c r="I119" i="48"/>
  <c r="F119" i="48"/>
  <c r="X118" i="48"/>
  <c r="U118" i="48"/>
  <c r="R118" i="48"/>
  <c r="O118" i="48"/>
  <c r="L118" i="48"/>
  <c r="I118" i="48"/>
  <c r="F118" i="48"/>
  <c r="X117" i="48"/>
  <c r="U117" i="48"/>
  <c r="R117" i="48"/>
  <c r="O117" i="48"/>
  <c r="L117" i="48"/>
  <c r="I117" i="48"/>
  <c r="F117" i="48"/>
  <c r="X116" i="48"/>
  <c r="U116" i="48"/>
  <c r="R116" i="48"/>
  <c r="O116" i="48"/>
  <c r="L116" i="48"/>
  <c r="I116" i="48"/>
  <c r="F116" i="48"/>
  <c r="X115" i="48"/>
  <c r="U115" i="48"/>
  <c r="R115" i="48"/>
  <c r="O115" i="48"/>
  <c r="L115" i="48"/>
  <c r="I115" i="48"/>
  <c r="F115" i="48"/>
  <c r="X114" i="48"/>
  <c r="U114" i="48"/>
  <c r="R114" i="48"/>
  <c r="O114" i="48"/>
  <c r="L114" i="48"/>
  <c r="I114" i="48"/>
  <c r="F114" i="48"/>
  <c r="X113" i="48"/>
  <c r="U113" i="48"/>
  <c r="R113" i="48"/>
  <c r="O113" i="48"/>
  <c r="L113" i="48"/>
  <c r="I113" i="48"/>
  <c r="F113" i="48"/>
  <c r="X112" i="48"/>
  <c r="U112" i="48"/>
  <c r="R112" i="48"/>
  <c r="O112" i="48"/>
  <c r="L112" i="48"/>
  <c r="I112" i="48"/>
  <c r="F112" i="48"/>
  <c r="X111" i="48"/>
  <c r="U111" i="48"/>
  <c r="R111" i="48"/>
  <c r="O111" i="48"/>
  <c r="L111" i="48"/>
  <c r="I111" i="48"/>
  <c r="F111" i="48"/>
  <c r="AD154" i="47"/>
  <c r="AB154" i="47"/>
  <c r="AA154" i="47"/>
  <c r="Y154" i="47"/>
  <c r="W154" i="47"/>
  <c r="V154" i="47"/>
  <c r="T154" i="47"/>
  <c r="S154" i="47"/>
  <c r="Q154" i="47"/>
  <c r="P154" i="47"/>
  <c r="N154" i="47"/>
  <c r="M154" i="47"/>
  <c r="K154" i="47"/>
  <c r="J154" i="47"/>
  <c r="H154" i="47"/>
  <c r="G154" i="47"/>
  <c r="E154" i="47"/>
  <c r="D154" i="47"/>
  <c r="X153" i="47"/>
  <c r="U153" i="47"/>
  <c r="R153" i="47"/>
  <c r="O153" i="47"/>
  <c r="L153" i="47"/>
  <c r="I153" i="47"/>
  <c r="F153" i="47"/>
  <c r="X152" i="47"/>
  <c r="U152" i="47"/>
  <c r="R152" i="47"/>
  <c r="O152" i="47"/>
  <c r="L152" i="47"/>
  <c r="I152" i="47"/>
  <c r="F152" i="47"/>
  <c r="X151" i="47"/>
  <c r="U151" i="47"/>
  <c r="R151" i="47"/>
  <c r="O151" i="47"/>
  <c r="L151" i="47"/>
  <c r="I151" i="47"/>
  <c r="F151" i="47"/>
  <c r="F150" i="47"/>
  <c r="F149" i="47"/>
  <c r="F148" i="47"/>
  <c r="F147" i="47"/>
  <c r="F146" i="47"/>
  <c r="F145" i="47"/>
  <c r="F144" i="47"/>
  <c r="F143" i="47"/>
  <c r="F142" i="47"/>
  <c r="F141" i="47"/>
  <c r="F140" i="47"/>
  <c r="F139" i="47"/>
  <c r="F138" i="47"/>
  <c r="F137" i="47"/>
  <c r="F136" i="47"/>
  <c r="F135" i="47"/>
  <c r="F134" i="47"/>
  <c r="F133" i="47"/>
  <c r="F132" i="47"/>
  <c r="F131" i="47"/>
  <c r="F130" i="47"/>
  <c r="F129" i="47"/>
  <c r="F128" i="47"/>
  <c r="F127" i="47"/>
  <c r="F126" i="47"/>
  <c r="F125" i="47"/>
  <c r="F124" i="47"/>
  <c r="F123" i="47"/>
  <c r="F122" i="47"/>
  <c r="X121" i="47"/>
  <c r="U121" i="47"/>
  <c r="R121" i="47"/>
  <c r="O121" i="47"/>
  <c r="L121" i="47"/>
  <c r="I121" i="47"/>
  <c r="F121" i="47"/>
  <c r="X120" i="47"/>
  <c r="U120" i="47"/>
  <c r="R120" i="47"/>
  <c r="O120" i="47"/>
  <c r="L120" i="47"/>
  <c r="I120" i="47"/>
  <c r="F120" i="47"/>
  <c r="X119" i="47"/>
  <c r="U119" i="47"/>
  <c r="R119" i="47"/>
  <c r="O119" i="47"/>
  <c r="L119" i="47"/>
  <c r="I119" i="47"/>
  <c r="F119" i="47"/>
  <c r="X118" i="47"/>
  <c r="U118" i="47"/>
  <c r="R118" i="47"/>
  <c r="O118" i="47"/>
  <c r="L118" i="47"/>
  <c r="I118" i="47"/>
  <c r="F118" i="47"/>
  <c r="X117" i="47"/>
  <c r="U117" i="47"/>
  <c r="R117" i="47"/>
  <c r="O117" i="47"/>
  <c r="L117" i="47"/>
  <c r="I117" i="47"/>
  <c r="F117" i="47"/>
  <c r="X116" i="47"/>
  <c r="U116" i="47"/>
  <c r="R116" i="47"/>
  <c r="O116" i="47"/>
  <c r="L116" i="47"/>
  <c r="I116" i="47"/>
  <c r="F116" i="47"/>
  <c r="X115" i="47"/>
  <c r="U115" i="47"/>
  <c r="R115" i="47"/>
  <c r="O115" i="47"/>
  <c r="L115" i="47"/>
  <c r="I115" i="47"/>
  <c r="F115" i="47"/>
  <c r="X114" i="47"/>
  <c r="U114" i="47"/>
  <c r="R114" i="47"/>
  <c r="O114" i="47"/>
  <c r="L114" i="47"/>
  <c r="I114" i="47"/>
  <c r="F114" i="47"/>
  <c r="X113" i="47"/>
  <c r="U113" i="47"/>
  <c r="R113" i="47"/>
  <c r="O113" i="47"/>
  <c r="L113" i="47"/>
  <c r="I113" i="47"/>
  <c r="F113" i="47"/>
  <c r="X112" i="47"/>
  <c r="U112" i="47"/>
  <c r="R112" i="47"/>
  <c r="O112" i="47"/>
  <c r="L112" i="47"/>
  <c r="I112" i="47"/>
  <c r="F112" i="47"/>
  <c r="X111" i="47"/>
  <c r="U111" i="47"/>
  <c r="R111" i="47"/>
  <c r="O111" i="47"/>
  <c r="L111" i="47"/>
  <c r="I111" i="47"/>
  <c r="F111" i="47"/>
  <c r="AD154" i="46"/>
  <c r="AB154" i="46"/>
  <c r="AA154" i="46"/>
  <c r="Y154" i="46"/>
  <c r="W154" i="46"/>
  <c r="V154" i="46"/>
  <c r="T154" i="46"/>
  <c r="S154" i="46"/>
  <c r="Q154" i="46"/>
  <c r="P154" i="46"/>
  <c r="N154" i="46"/>
  <c r="M154" i="46"/>
  <c r="K154" i="46"/>
  <c r="J154" i="46"/>
  <c r="H154" i="46"/>
  <c r="G154" i="46"/>
  <c r="E154" i="46"/>
  <c r="D154" i="46"/>
  <c r="X153" i="46"/>
  <c r="U153" i="46"/>
  <c r="R153" i="46"/>
  <c r="O153" i="46"/>
  <c r="L153" i="46"/>
  <c r="I153" i="46"/>
  <c r="F153" i="46"/>
  <c r="X152" i="46"/>
  <c r="U152" i="46"/>
  <c r="R152" i="46"/>
  <c r="O152" i="46"/>
  <c r="L152" i="46"/>
  <c r="I152" i="46"/>
  <c r="F152" i="46"/>
  <c r="X151" i="46"/>
  <c r="U151" i="46"/>
  <c r="R151" i="46"/>
  <c r="O151" i="46"/>
  <c r="L151" i="46"/>
  <c r="I151" i="46"/>
  <c r="F151" i="46"/>
  <c r="F150" i="46"/>
  <c r="F149" i="46"/>
  <c r="F148" i="46"/>
  <c r="F147" i="46"/>
  <c r="F146" i="46"/>
  <c r="F145" i="46"/>
  <c r="F144" i="46"/>
  <c r="F143" i="46"/>
  <c r="F142" i="46"/>
  <c r="F141" i="46"/>
  <c r="F140" i="46"/>
  <c r="F139" i="46"/>
  <c r="F138" i="46"/>
  <c r="F137" i="46"/>
  <c r="F136" i="46"/>
  <c r="F135" i="46"/>
  <c r="F134" i="46"/>
  <c r="F133" i="46"/>
  <c r="F132" i="46"/>
  <c r="F131" i="46"/>
  <c r="F130" i="46"/>
  <c r="F129" i="46"/>
  <c r="F128" i="46"/>
  <c r="F127" i="46"/>
  <c r="F126" i="46"/>
  <c r="F125" i="46"/>
  <c r="F124" i="46"/>
  <c r="F123" i="46"/>
  <c r="F122" i="46"/>
  <c r="X121" i="46"/>
  <c r="U121" i="46"/>
  <c r="R121" i="46"/>
  <c r="O121" i="46"/>
  <c r="L121" i="46"/>
  <c r="I121" i="46"/>
  <c r="F121" i="46"/>
  <c r="X120" i="46"/>
  <c r="U120" i="46"/>
  <c r="R120" i="46"/>
  <c r="O120" i="46"/>
  <c r="L120" i="46"/>
  <c r="I120" i="46"/>
  <c r="F120" i="46"/>
  <c r="X119" i="46"/>
  <c r="U119" i="46"/>
  <c r="R119" i="46"/>
  <c r="O119" i="46"/>
  <c r="L119" i="46"/>
  <c r="I119" i="46"/>
  <c r="F119" i="46"/>
  <c r="X118" i="46"/>
  <c r="U118" i="46"/>
  <c r="R118" i="46"/>
  <c r="O118" i="46"/>
  <c r="L118" i="46"/>
  <c r="I118" i="46"/>
  <c r="F118" i="46"/>
  <c r="X117" i="46"/>
  <c r="U117" i="46"/>
  <c r="R117" i="46"/>
  <c r="O117" i="46"/>
  <c r="L117" i="46"/>
  <c r="I117" i="46"/>
  <c r="F117" i="46"/>
  <c r="X116" i="46"/>
  <c r="U116" i="46"/>
  <c r="R116" i="46"/>
  <c r="O116" i="46"/>
  <c r="L116" i="46"/>
  <c r="I116" i="46"/>
  <c r="F116" i="46"/>
  <c r="X115" i="46"/>
  <c r="U115" i="46"/>
  <c r="R115" i="46"/>
  <c r="O115" i="46"/>
  <c r="L115" i="46"/>
  <c r="I115" i="46"/>
  <c r="F115" i="46"/>
  <c r="X114" i="46"/>
  <c r="U114" i="46"/>
  <c r="R114" i="46"/>
  <c r="O114" i="46"/>
  <c r="L114" i="46"/>
  <c r="I114" i="46"/>
  <c r="F114" i="46"/>
  <c r="X113" i="46"/>
  <c r="U113" i="46"/>
  <c r="R113" i="46"/>
  <c r="O113" i="46"/>
  <c r="L113" i="46"/>
  <c r="I113" i="46"/>
  <c r="F113" i="46"/>
  <c r="X112" i="46"/>
  <c r="U112" i="46"/>
  <c r="R112" i="46"/>
  <c r="O112" i="46"/>
  <c r="L112" i="46"/>
  <c r="I112" i="46"/>
  <c r="F112" i="46"/>
  <c r="X111" i="46"/>
  <c r="U111" i="46"/>
  <c r="R111" i="46"/>
  <c r="O111" i="46"/>
  <c r="L111" i="46"/>
  <c r="I111" i="46"/>
  <c r="F111" i="46"/>
  <c r="AD154" i="45"/>
  <c r="AB154" i="45"/>
  <c r="AA154" i="45"/>
  <c r="Y154" i="45"/>
  <c r="W154" i="45"/>
  <c r="V154" i="45"/>
  <c r="T154" i="45"/>
  <c r="S154" i="45"/>
  <c r="Q154" i="45"/>
  <c r="P154" i="45"/>
  <c r="N154" i="45"/>
  <c r="M154" i="45"/>
  <c r="K154" i="45"/>
  <c r="J154" i="45"/>
  <c r="H154" i="45"/>
  <c r="G154" i="45"/>
  <c r="E154" i="45"/>
  <c r="D154" i="45"/>
  <c r="X153" i="45"/>
  <c r="U153" i="45"/>
  <c r="R153" i="45"/>
  <c r="O153" i="45"/>
  <c r="L153" i="45"/>
  <c r="I153" i="45"/>
  <c r="F153" i="45"/>
  <c r="X152" i="45"/>
  <c r="U152" i="45"/>
  <c r="R152" i="45"/>
  <c r="O152" i="45"/>
  <c r="L152" i="45"/>
  <c r="I152" i="45"/>
  <c r="F152" i="45"/>
  <c r="X151" i="45"/>
  <c r="U151" i="45"/>
  <c r="R151" i="45"/>
  <c r="O151" i="45"/>
  <c r="L151" i="45"/>
  <c r="I151" i="45"/>
  <c r="F151" i="45"/>
  <c r="F150" i="45"/>
  <c r="F149" i="45"/>
  <c r="F148" i="45"/>
  <c r="F147" i="45"/>
  <c r="F146" i="45"/>
  <c r="F145" i="45"/>
  <c r="F144" i="45"/>
  <c r="F143" i="45"/>
  <c r="F142" i="45"/>
  <c r="F141" i="45"/>
  <c r="F140" i="45"/>
  <c r="F139" i="45"/>
  <c r="F138" i="45"/>
  <c r="F137" i="45"/>
  <c r="F136" i="45"/>
  <c r="F135" i="45"/>
  <c r="F134" i="45"/>
  <c r="F133" i="45"/>
  <c r="F132" i="45"/>
  <c r="F131" i="45"/>
  <c r="F130" i="45"/>
  <c r="F129" i="45"/>
  <c r="F128" i="45"/>
  <c r="F127" i="45"/>
  <c r="F126" i="45"/>
  <c r="F125" i="45"/>
  <c r="F124" i="45"/>
  <c r="F123" i="45"/>
  <c r="F122" i="45"/>
  <c r="X121" i="45"/>
  <c r="U121" i="45"/>
  <c r="R121" i="45"/>
  <c r="O121" i="45"/>
  <c r="L121" i="45"/>
  <c r="I121" i="45"/>
  <c r="F121" i="45"/>
  <c r="X120" i="45"/>
  <c r="U120" i="45"/>
  <c r="R120" i="45"/>
  <c r="O120" i="45"/>
  <c r="L120" i="45"/>
  <c r="I120" i="45"/>
  <c r="F120" i="45"/>
  <c r="X119" i="45"/>
  <c r="U119" i="45"/>
  <c r="R119" i="45"/>
  <c r="O119" i="45"/>
  <c r="L119" i="45"/>
  <c r="I119" i="45"/>
  <c r="F119" i="45"/>
  <c r="X118" i="45"/>
  <c r="U118" i="45"/>
  <c r="R118" i="45"/>
  <c r="O118" i="45"/>
  <c r="L118" i="45"/>
  <c r="I118" i="45"/>
  <c r="F118" i="45"/>
  <c r="X117" i="45"/>
  <c r="U117" i="45"/>
  <c r="R117" i="45"/>
  <c r="O117" i="45"/>
  <c r="L117" i="45"/>
  <c r="I117" i="45"/>
  <c r="F117" i="45"/>
  <c r="X116" i="45"/>
  <c r="U116" i="45"/>
  <c r="R116" i="45"/>
  <c r="O116" i="45"/>
  <c r="L116" i="45"/>
  <c r="I116" i="45"/>
  <c r="F116" i="45"/>
  <c r="X115" i="45"/>
  <c r="U115" i="45"/>
  <c r="R115" i="45"/>
  <c r="O115" i="45"/>
  <c r="L115" i="45"/>
  <c r="I115" i="45"/>
  <c r="F115" i="45"/>
  <c r="X114" i="45"/>
  <c r="U114" i="45"/>
  <c r="R114" i="45"/>
  <c r="O114" i="45"/>
  <c r="L114" i="45"/>
  <c r="I114" i="45"/>
  <c r="F114" i="45"/>
  <c r="X113" i="45"/>
  <c r="U113" i="45"/>
  <c r="R113" i="45"/>
  <c r="O113" i="45"/>
  <c r="L113" i="45"/>
  <c r="I113" i="45"/>
  <c r="F113" i="45"/>
  <c r="X112" i="45"/>
  <c r="U112" i="45"/>
  <c r="R112" i="45"/>
  <c r="O112" i="45"/>
  <c r="L112" i="45"/>
  <c r="I112" i="45"/>
  <c r="F112" i="45"/>
  <c r="X111" i="45"/>
  <c r="U111" i="45"/>
  <c r="R111" i="45"/>
  <c r="O111" i="45"/>
  <c r="L111" i="45"/>
  <c r="I111" i="45"/>
  <c r="F111" i="45"/>
  <c r="AD154" i="44"/>
  <c r="AB154" i="44"/>
  <c r="AA154" i="44"/>
  <c r="Y154" i="44"/>
  <c r="W154" i="44"/>
  <c r="V154" i="44"/>
  <c r="T154" i="44"/>
  <c r="S154" i="44"/>
  <c r="Q154" i="44"/>
  <c r="P154" i="44"/>
  <c r="N154" i="44"/>
  <c r="M154" i="44"/>
  <c r="K154" i="44"/>
  <c r="J154" i="44"/>
  <c r="H154" i="44"/>
  <c r="G154" i="44"/>
  <c r="E154" i="44"/>
  <c r="D154" i="44"/>
  <c r="X153" i="44"/>
  <c r="U153" i="44"/>
  <c r="R153" i="44"/>
  <c r="O153" i="44"/>
  <c r="L153" i="44"/>
  <c r="I153" i="44"/>
  <c r="F153" i="44"/>
  <c r="X152" i="44"/>
  <c r="U152" i="44"/>
  <c r="R152" i="44"/>
  <c r="O152" i="44"/>
  <c r="L152" i="44"/>
  <c r="I152" i="44"/>
  <c r="F152" i="44"/>
  <c r="X151" i="44"/>
  <c r="U151" i="44"/>
  <c r="R151" i="44"/>
  <c r="O151" i="44"/>
  <c r="L151" i="44"/>
  <c r="I151" i="44"/>
  <c r="F151" i="44"/>
  <c r="F150" i="44"/>
  <c r="F149" i="44"/>
  <c r="F148" i="44"/>
  <c r="F147" i="44"/>
  <c r="F146" i="44"/>
  <c r="F145" i="44"/>
  <c r="F144" i="44"/>
  <c r="F143" i="44"/>
  <c r="F142" i="44"/>
  <c r="F141" i="44"/>
  <c r="F140" i="44"/>
  <c r="F139" i="44"/>
  <c r="F138" i="44"/>
  <c r="F137" i="44"/>
  <c r="F136" i="44"/>
  <c r="F135" i="44"/>
  <c r="F134" i="44"/>
  <c r="F133" i="44"/>
  <c r="F132" i="44"/>
  <c r="F131" i="44"/>
  <c r="F130" i="44"/>
  <c r="F129" i="44"/>
  <c r="F128" i="44"/>
  <c r="F127" i="44"/>
  <c r="F126" i="44"/>
  <c r="F125" i="44"/>
  <c r="F124" i="44"/>
  <c r="F123" i="44"/>
  <c r="F122" i="44"/>
  <c r="X121" i="44"/>
  <c r="U121" i="44"/>
  <c r="R121" i="44"/>
  <c r="O121" i="44"/>
  <c r="L121" i="44"/>
  <c r="I121" i="44"/>
  <c r="F121" i="44"/>
  <c r="X120" i="44"/>
  <c r="U120" i="44"/>
  <c r="R120" i="44"/>
  <c r="O120" i="44"/>
  <c r="L120" i="44"/>
  <c r="I120" i="44"/>
  <c r="F120" i="44"/>
  <c r="X119" i="44"/>
  <c r="U119" i="44"/>
  <c r="R119" i="44"/>
  <c r="O119" i="44"/>
  <c r="L119" i="44"/>
  <c r="I119" i="44"/>
  <c r="F119" i="44"/>
  <c r="X118" i="44"/>
  <c r="U118" i="44"/>
  <c r="R118" i="44"/>
  <c r="O118" i="44"/>
  <c r="L118" i="44"/>
  <c r="I118" i="44"/>
  <c r="F118" i="44"/>
  <c r="X117" i="44"/>
  <c r="U117" i="44"/>
  <c r="R117" i="44"/>
  <c r="O117" i="44"/>
  <c r="L117" i="44"/>
  <c r="I117" i="44"/>
  <c r="F117" i="44"/>
  <c r="X116" i="44"/>
  <c r="U116" i="44"/>
  <c r="R116" i="44"/>
  <c r="O116" i="44"/>
  <c r="L116" i="44"/>
  <c r="I116" i="44"/>
  <c r="F116" i="44"/>
  <c r="X115" i="44"/>
  <c r="U115" i="44"/>
  <c r="R115" i="44"/>
  <c r="O115" i="44"/>
  <c r="L115" i="44"/>
  <c r="I115" i="44"/>
  <c r="F115" i="44"/>
  <c r="X114" i="44"/>
  <c r="U114" i="44"/>
  <c r="R114" i="44"/>
  <c r="O114" i="44"/>
  <c r="L114" i="44"/>
  <c r="I114" i="44"/>
  <c r="F114" i="44"/>
  <c r="X113" i="44"/>
  <c r="U113" i="44"/>
  <c r="R113" i="44"/>
  <c r="O113" i="44"/>
  <c r="L113" i="44"/>
  <c r="I113" i="44"/>
  <c r="F113" i="44"/>
  <c r="X112" i="44"/>
  <c r="U112" i="44"/>
  <c r="R112" i="44"/>
  <c r="O112" i="44"/>
  <c r="L112" i="44"/>
  <c r="I112" i="44"/>
  <c r="F112" i="44"/>
  <c r="X111" i="44"/>
  <c r="U111" i="44"/>
  <c r="R111" i="44"/>
  <c r="O111" i="44"/>
  <c r="L111" i="44"/>
  <c r="I111" i="44"/>
  <c r="F111" i="44"/>
  <c r="AD154" i="43"/>
  <c r="AB154" i="43"/>
  <c r="AA154" i="43"/>
  <c r="Y154" i="43"/>
  <c r="W154" i="43"/>
  <c r="V154" i="43"/>
  <c r="T154" i="43"/>
  <c r="S154" i="43"/>
  <c r="Q154" i="43"/>
  <c r="P154" i="43"/>
  <c r="N154" i="43"/>
  <c r="M154" i="43"/>
  <c r="K154" i="43"/>
  <c r="J154" i="43"/>
  <c r="H154" i="43"/>
  <c r="G154" i="43"/>
  <c r="E154" i="43"/>
  <c r="D154" i="43"/>
  <c r="X153" i="43"/>
  <c r="U153" i="43"/>
  <c r="R153" i="43"/>
  <c r="O153" i="43"/>
  <c r="L153" i="43"/>
  <c r="I153" i="43"/>
  <c r="F153" i="43"/>
  <c r="X152" i="43"/>
  <c r="U152" i="43"/>
  <c r="R152" i="43"/>
  <c r="O152" i="43"/>
  <c r="L152" i="43"/>
  <c r="I152" i="43"/>
  <c r="F152" i="43"/>
  <c r="X151" i="43"/>
  <c r="U151" i="43"/>
  <c r="R151" i="43"/>
  <c r="O151" i="43"/>
  <c r="L151" i="43"/>
  <c r="I151" i="43"/>
  <c r="F151" i="43"/>
  <c r="F150" i="43"/>
  <c r="F149" i="43"/>
  <c r="F148" i="43"/>
  <c r="F147" i="43"/>
  <c r="F146" i="43"/>
  <c r="F145" i="43"/>
  <c r="F144" i="43"/>
  <c r="F143" i="43"/>
  <c r="F142" i="43"/>
  <c r="F141" i="43"/>
  <c r="F140" i="43"/>
  <c r="F139" i="43"/>
  <c r="F138" i="43"/>
  <c r="F137" i="43"/>
  <c r="F136" i="43"/>
  <c r="F135" i="43"/>
  <c r="F134" i="43"/>
  <c r="F133" i="43"/>
  <c r="F132" i="43"/>
  <c r="F131" i="43"/>
  <c r="F130" i="43"/>
  <c r="F129" i="43"/>
  <c r="F128" i="43"/>
  <c r="F127" i="43"/>
  <c r="F126" i="43"/>
  <c r="F125" i="43"/>
  <c r="F124" i="43"/>
  <c r="F123" i="43"/>
  <c r="F122" i="43"/>
  <c r="X121" i="43"/>
  <c r="U121" i="43"/>
  <c r="R121" i="43"/>
  <c r="O121" i="43"/>
  <c r="L121" i="43"/>
  <c r="I121" i="43"/>
  <c r="F121" i="43"/>
  <c r="X120" i="43"/>
  <c r="U120" i="43"/>
  <c r="R120" i="43"/>
  <c r="O120" i="43"/>
  <c r="L120" i="43"/>
  <c r="I120" i="43"/>
  <c r="F120" i="43"/>
  <c r="X119" i="43"/>
  <c r="U119" i="43"/>
  <c r="R119" i="43"/>
  <c r="O119" i="43"/>
  <c r="L119" i="43"/>
  <c r="I119" i="43"/>
  <c r="F119" i="43"/>
  <c r="X118" i="43"/>
  <c r="U118" i="43"/>
  <c r="R118" i="43"/>
  <c r="O118" i="43"/>
  <c r="L118" i="43"/>
  <c r="I118" i="43"/>
  <c r="F118" i="43"/>
  <c r="X117" i="43"/>
  <c r="U117" i="43"/>
  <c r="R117" i="43"/>
  <c r="O117" i="43"/>
  <c r="L117" i="43"/>
  <c r="I117" i="43"/>
  <c r="F117" i="43"/>
  <c r="X116" i="43"/>
  <c r="U116" i="43"/>
  <c r="R116" i="43"/>
  <c r="O116" i="43"/>
  <c r="L116" i="43"/>
  <c r="I116" i="43"/>
  <c r="F116" i="43"/>
  <c r="X115" i="43"/>
  <c r="U115" i="43"/>
  <c r="R115" i="43"/>
  <c r="O115" i="43"/>
  <c r="L115" i="43"/>
  <c r="I115" i="43"/>
  <c r="F115" i="43"/>
  <c r="X114" i="43"/>
  <c r="U114" i="43"/>
  <c r="R114" i="43"/>
  <c r="O114" i="43"/>
  <c r="L114" i="43"/>
  <c r="I114" i="43"/>
  <c r="F114" i="43"/>
  <c r="X113" i="43"/>
  <c r="U113" i="43"/>
  <c r="R113" i="43"/>
  <c r="O113" i="43"/>
  <c r="L113" i="43"/>
  <c r="I113" i="43"/>
  <c r="F113" i="43"/>
  <c r="X112" i="43"/>
  <c r="U112" i="43"/>
  <c r="R112" i="43"/>
  <c r="O112" i="43"/>
  <c r="L112" i="43"/>
  <c r="I112" i="43"/>
  <c r="F112" i="43"/>
  <c r="X111" i="43"/>
  <c r="U111" i="43"/>
  <c r="R111" i="43"/>
  <c r="O111" i="43"/>
  <c r="L111" i="43"/>
  <c r="I111" i="43"/>
  <c r="F111" i="43"/>
  <c r="AD154" i="42"/>
  <c r="AB154" i="42"/>
  <c r="AA154" i="42"/>
  <c r="Y154" i="42"/>
  <c r="W154" i="42"/>
  <c r="V154" i="42"/>
  <c r="T154" i="42"/>
  <c r="S154" i="42"/>
  <c r="Q154" i="42"/>
  <c r="P154" i="42"/>
  <c r="N154" i="42"/>
  <c r="M154" i="42"/>
  <c r="K154" i="42"/>
  <c r="J154" i="42"/>
  <c r="H154" i="42"/>
  <c r="G154" i="42"/>
  <c r="E154" i="42"/>
  <c r="D154" i="42"/>
  <c r="X153" i="42"/>
  <c r="U153" i="42"/>
  <c r="R153" i="42"/>
  <c r="O153" i="42"/>
  <c r="L153" i="42"/>
  <c r="I153" i="42"/>
  <c r="F153" i="42"/>
  <c r="X152" i="42"/>
  <c r="U152" i="42"/>
  <c r="R152" i="42"/>
  <c r="O152" i="42"/>
  <c r="L152" i="42"/>
  <c r="I152" i="42"/>
  <c r="F152" i="42"/>
  <c r="X151" i="42"/>
  <c r="U151" i="42"/>
  <c r="R151" i="42"/>
  <c r="O151" i="42"/>
  <c r="L151" i="42"/>
  <c r="I151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X121" i="42"/>
  <c r="U121" i="42"/>
  <c r="R121" i="42"/>
  <c r="O121" i="42"/>
  <c r="L121" i="42"/>
  <c r="I121" i="42"/>
  <c r="F121" i="42"/>
  <c r="X120" i="42"/>
  <c r="U120" i="42"/>
  <c r="R120" i="42"/>
  <c r="O120" i="42"/>
  <c r="L120" i="42"/>
  <c r="I120" i="42"/>
  <c r="F120" i="42"/>
  <c r="X119" i="42"/>
  <c r="U119" i="42"/>
  <c r="R119" i="42"/>
  <c r="O119" i="42"/>
  <c r="L119" i="42"/>
  <c r="I119" i="42"/>
  <c r="F119" i="42"/>
  <c r="X118" i="42"/>
  <c r="U118" i="42"/>
  <c r="R118" i="42"/>
  <c r="O118" i="42"/>
  <c r="L118" i="42"/>
  <c r="I118" i="42"/>
  <c r="F118" i="42"/>
  <c r="X117" i="42"/>
  <c r="U117" i="42"/>
  <c r="R117" i="42"/>
  <c r="O117" i="42"/>
  <c r="L117" i="42"/>
  <c r="I117" i="42"/>
  <c r="F117" i="42"/>
  <c r="X116" i="42"/>
  <c r="U116" i="42"/>
  <c r="R116" i="42"/>
  <c r="O116" i="42"/>
  <c r="L116" i="42"/>
  <c r="I116" i="42"/>
  <c r="F116" i="42"/>
  <c r="X115" i="42"/>
  <c r="U115" i="42"/>
  <c r="R115" i="42"/>
  <c r="O115" i="42"/>
  <c r="L115" i="42"/>
  <c r="I115" i="42"/>
  <c r="F115" i="42"/>
  <c r="X114" i="42"/>
  <c r="U114" i="42"/>
  <c r="R114" i="42"/>
  <c r="O114" i="42"/>
  <c r="L114" i="42"/>
  <c r="I114" i="42"/>
  <c r="F114" i="42"/>
  <c r="X113" i="42"/>
  <c r="U113" i="42"/>
  <c r="R113" i="42"/>
  <c r="O113" i="42"/>
  <c r="L113" i="42"/>
  <c r="I113" i="42"/>
  <c r="F113" i="42"/>
  <c r="X112" i="42"/>
  <c r="U112" i="42"/>
  <c r="R112" i="42"/>
  <c r="O112" i="42"/>
  <c r="L112" i="42"/>
  <c r="I112" i="42"/>
  <c r="F112" i="42"/>
  <c r="X111" i="42"/>
  <c r="U111" i="42"/>
  <c r="R111" i="42"/>
  <c r="O111" i="42"/>
  <c r="L111" i="42"/>
  <c r="I111" i="42"/>
  <c r="F111" i="42"/>
  <c r="AD154" i="41"/>
  <c r="AB154" i="41"/>
  <c r="AA154" i="41"/>
  <c r="Y154" i="41"/>
  <c r="W154" i="41"/>
  <c r="V154" i="41"/>
  <c r="T154" i="41"/>
  <c r="S154" i="41"/>
  <c r="Q154" i="41"/>
  <c r="P154" i="41"/>
  <c r="N154" i="41"/>
  <c r="M154" i="41"/>
  <c r="K154" i="41"/>
  <c r="J154" i="41"/>
  <c r="H154" i="41"/>
  <c r="G154" i="41"/>
  <c r="E154" i="41"/>
  <c r="D154" i="41"/>
  <c r="X153" i="41"/>
  <c r="U153" i="41"/>
  <c r="R153" i="41"/>
  <c r="O153" i="41"/>
  <c r="L153" i="41"/>
  <c r="I153" i="41"/>
  <c r="F153" i="41"/>
  <c r="X152" i="41"/>
  <c r="U152" i="41"/>
  <c r="R152" i="41"/>
  <c r="O152" i="41"/>
  <c r="L152" i="41"/>
  <c r="I152" i="41"/>
  <c r="F152" i="41"/>
  <c r="X151" i="41"/>
  <c r="U151" i="41"/>
  <c r="R151" i="41"/>
  <c r="O151" i="41"/>
  <c r="L151" i="41"/>
  <c r="I151" i="41"/>
  <c r="F151" i="41"/>
  <c r="F150" i="41"/>
  <c r="F149" i="41"/>
  <c r="F148" i="41"/>
  <c r="F147" i="41"/>
  <c r="F146" i="41"/>
  <c r="F145" i="41"/>
  <c r="F144" i="41"/>
  <c r="F143" i="41"/>
  <c r="F142" i="41"/>
  <c r="F141" i="41"/>
  <c r="F140" i="41"/>
  <c r="F139" i="41"/>
  <c r="F138" i="41"/>
  <c r="F137" i="41"/>
  <c r="F136" i="41"/>
  <c r="F135" i="41"/>
  <c r="F134" i="41"/>
  <c r="F133" i="41"/>
  <c r="F132" i="41"/>
  <c r="F131" i="41"/>
  <c r="F130" i="41"/>
  <c r="F129" i="41"/>
  <c r="F128" i="41"/>
  <c r="F127" i="41"/>
  <c r="F126" i="41"/>
  <c r="F125" i="41"/>
  <c r="F124" i="41"/>
  <c r="F123" i="41"/>
  <c r="F122" i="41"/>
  <c r="X121" i="41"/>
  <c r="U121" i="41"/>
  <c r="R121" i="41"/>
  <c r="O121" i="41"/>
  <c r="L121" i="41"/>
  <c r="I121" i="41"/>
  <c r="F121" i="41"/>
  <c r="X120" i="41"/>
  <c r="U120" i="41"/>
  <c r="R120" i="41"/>
  <c r="O120" i="41"/>
  <c r="L120" i="41"/>
  <c r="I120" i="41"/>
  <c r="F120" i="41"/>
  <c r="X119" i="41"/>
  <c r="U119" i="41"/>
  <c r="R119" i="41"/>
  <c r="O119" i="41"/>
  <c r="L119" i="41"/>
  <c r="I119" i="41"/>
  <c r="F119" i="41"/>
  <c r="X118" i="41"/>
  <c r="U118" i="41"/>
  <c r="R118" i="41"/>
  <c r="O118" i="41"/>
  <c r="L118" i="41"/>
  <c r="I118" i="41"/>
  <c r="F118" i="41"/>
  <c r="X117" i="41"/>
  <c r="U117" i="41"/>
  <c r="R117" i="41"/>
  <c r="O117" i="41"/>
  <c r="L117" i="41"/>
  <c r="I117" i="41"/>
  <c r="F117" i="41"/>
  <c r="X116" i="41"/>
  <c r="U116" i="41"/>
  <c r="R116" i="41"/>
  <c r="O116" i="41"/>
  <c r="L116" i="41"/>
  <c r="I116" i="41"/>
  <c r="F116" i="41"/>
  <c r="X115" i="41"/>
  <c r="U115" i="41"/>
  <c r="R115" i="41"/>
  <c r="O115" i="41"/>
  <c r="L115" i="41"/>
  <c r="I115" i="41"/>
  <c r="F115" i="41"/>
  <c r="X114" i="41"/>
  <c r="U114" i="41"/>
  <c r="R114" i="41"/>
  <c r="O114" i="41"/>
  <c r="L114" i="41"/>
  <c r="I114" i="41"/>
  <c r="F114" i="41"/>
  <c r="X113" i="41"/>
  <c r="U113" i="41"/>
  <c r="R113" i="41"/>
  <c r="O113" i="41"/>
  <c r="L113" i="41"/>
  <c r="I113" i="41"/>
  <c r="F113" i="41"/>
  <c r="X112" i="41"/>
  <c r="U112" i="41"/>
  <c r="R112" i="41"/>
  <c r="O112" i="41"/>
  <c r="L112" i="41"/>
  <c r="I112" i="41"/>
  <c r="F112" i="41"/>
  <c r="X111" i="41"/>
  <c r="U111" i="41"/>
  <c r="R111" i="41"/>
  <c r="O111" i="41"/>
  <c r="L111" i="41"/>
  <c r="I111" i="41"/>
  <c r="F111" i="41"/>
  <c r="AD154" i="40"/>
  <c r="AB154" i="40"/>
  <c r="AA154" i="40"/>
  <c r="Y154" i="40"/>
  <c r="W154" i="40"/>
  <c r="V154" i="40"/>
  <c r="T154" i="40"/>
  <c r="S154" i="40"/>
  <c r="Q154" i="40"/>
  <c r="P154" i="40"/>
  <c r="N154" i="40"/>
  <c r="M154" i="40"/>
  <c r="K154" i="40"/>
  <c r="J154" i="40"/>
  <c r="H154" i="40"/>
  <c r="G154" i="40"/>
  <c r="E154" i="40"/>
  <c r="D154" i="40"/>
  <c r="X153" i="40"/>
  <c r="U153" i="40"/>
  <c r="R153" i="40"/>
  <c r="O153" i="40"/>
  <c r="L153" i="40"/>
  <c r="I153" i="40"/>
  <c r="F153" i="40"/>
  <c r="X152" i="40"/>
  <c r="U152" i="40"/>
  <c r="R152" i="40"/>
  <c r="O152" i="40"/>
  <c r="L152" i="40"/>
  <c r="I152" i="40"/>
  <c r="F152" i="40"/>
  <c r="X151" i="40"/>
  <c r="U151" i="40"/>
  <c r="R151" i="40"/>
  <c r="O151" i="40"/>
  <c r="L151" i="40"/>
  <c r="I151" i="40"/>
  <c r="F151" i="40"/>
  <c r="F150" i="40"/>
  <c r="F149" i="40"/>
  <c r="F148" i="40"/>
  <c r="F147" i="40"/>
  <c r="F146" i="40"/>
  <c r="F145" i="40"/>
  <c r="F144" i="40"/>
  <c r="F143" i="40"/>
  <c r="F142" i="40"/>
  <c r="F141" i="40"/>
  <c r="F140" i="40"/>
  <c r="F139" i="40"/>
  <c r="F138" i="40"/>
  <c r="F137" i="40"/>
  <c r="F136" i="40"/>
  <c r="F135" i="40"/>
  <c r="F134" i="40"/>
  <c r="F133" i="40"/>
  <c r="F132" i="40"/>
  <c r="F131" i="40"/>
  <c r="F130" i="40"/>
  <c r="F129" i="40"/>
  <c r="F128" i="40"/>
  <c r="F127" i="40"/>
  <c r="F126" i="40"/>
  <c r="F125" i="40"/>
  <c r="F124" i="40"/>
  <c r="F123" i="40"/>
  <c r="F122" i="40"/>
  <c r="X121" i="40"/>
  <c r="U121" i="40"/>
  <c r="R121" i="40"/>
  <c r="O121" i="40"/>
  <c r="L121" i="40"/>
  <c r="I121" i="40"/>
  <c r="F121" i="40"/>
  <c r="X120" i="40"/>
  <c r="U120" i="40"/>
  <c r="R120" i="40"/>
  <c r="O120" i="40"/>
  <c r="L120" i="40"/>
  <c r="I120" i="40"/>
  <c r="F120" i="40"/>
  <c r="X119" i="40"/>
  <c r="U119" i="40"/>
  <c r="R119" i="40"/>
  <c r="O119" i="40"/>
  <c r="L119" i="40"/>
  <c r="I119" i="40"/>
  <c r="F119" i="40"/>
  <c r="X118" i="40"/>
  <c r="U118" i="40"/>
  <c r="R118" i="40"/>
  <c r="O118" i="40"/>
  <c r="L118" i="40"/>
  <c r="I118" i="40"/>
  <c r="F118" i="40"/>
  <c r="X117" i="40"/>
  <c r="U117" i="40"/>
  <c r="R117" i="40"/>
  <c r="O117" i="40"/>
  <c r="L117" i="40"/>
  <c r="I117" i="40"/>
  <c r="F117" i="40"/>
  <c r="X116" i="40"/>
  <c r="U116" i="40"/>
  <c r="R116" i="40"/>
  <c r="O116" i="40"/>
  <c r="L116" i="40"/>
  <c r="I116" i="40"/>
  <c r="F116" i="40"/>
  <c r="X115" i="40"/>
  <c r="U115" i="40"/>
  <c r="R115" i="40"/>
  <c r="O115" i="40"/>
  <c r="L115" i="40"/>
  <c r="I115" i="40"/>
  <c r="F115" i="40"/>
  <c r="X114" i="40"/>
  <c r="U114" i="40"/>
  <c r="R114" i="40"/>
  <c r="O114" i="40"/>
  <c r="L114" i="40"/>
  <c r="I114" i="40"/>
  <c r="F114" i="40"/>
  <c r="X113" i="40"/>
  <c r="U113" i="40"/>
  <c r="R113" i="40"/>
  <c r="O113" i="40"/>
  <c r="L113" i="40"/>
  <c r="I113" i="40"/>
  <c r="F113" i="40"/>
  <c r="X112" i="40"/>
  <c r="U112" i="40"/>
  <c r="R112" i="40"/>
  <c r="O112" i="40"/>
  <c r="L112" i="40"/>
  <c r="I112" i="40"/>
  <c r="F112" i="40"/>
  <c r="X111" i="40"/>
  <c r="U111" i="40"/>
  <c r="R111" i="40"/>
  <c r="O111" i="40"/>
  <c r="L111" i="40"/>
  <c r="I111" i="40"/>
  <c r="F111" i="40"/>
  <c r="AD154" i="39"/>
  <c r="AB154" i="39"/>
  <c r="AA154" i="39"/>
  <c r="Y154" i="39"/>
  <c r="W154" i="39"/>
  <c r="V154" i="39"/>
  <c r="T154" i="39"/>
  <c r="S154" i="39"/>
  <c r="Q154" i="39"/>
  <c r="P154" i="39"/>
  <c r="N154" i="39"/>
  <c r="M154" i="39"/>
  <c r="K154" i="39"/>
  <c r="J154" i="39"/>
  <c r="H154" i="39"/>
  <c r="G154" i="39"/>
  <c r="E154" i="39"/>
  <c r="D154" i="39"/>
  <c r="X153" i="39"/>
  <c r="U153" i="39"/>
  <c r="R153" i="39"/>
  <c r="O153" i="39"/>
  <c r="L153" i="39"/>
  <c r="I153" i="39"/>
  <c r="F153" i="39"/>
  <c r="X152" i="39"/>
  <c r="U152" i="39"/>
  <c r="R152" i="39"/>
  <c r="O152" i="39"/>
  <c r="L152" i="39"/>
  <c r="I152" i="39"/>
  <c r="F152" i="39"/>
  <c r="X151" i="39"/>
  <c r="U151" i="39"/>
  <c r="R151" i="39"/>
  <c r="O151" i="39"/>
  <c r="L151" i="39"/>
  <c r="I151" i="39"/>
  <c r="F151" i="39"/>
  <c r="F150" i="39"/>
  <c r="F149" i="39"/>
  <c r="F148" i="39"/>
  <c r="F147" i="39"/>
  <c r="F146" i="39"/>
  <c r="F145" i="39"/>
  <c r="F144" i="39"/>
  <c r="F143" i="39"/>
  <c r="F142" i="39"/>
  <c r="F141" i="39"/>
  <c r="F140" i="39"/>
  <c r="F139" i="39"/>
  <c r="F138" i="39"/>
  <c r="F137" i="39"/>
  <c r="F136" i="39"/>
  <c r="F135" i="39"/>
  <c r="F134" i="39"/>
  <c r="F133" i="39"/>
  <c r="F132" i="39"/>
  <c r="F131" i="39"/>
  <c r="F130" i="39"/>
  <c r="F129" i="39"/>
  <c r="F128" i="39"/>
  <c r="F127" i="39"/>
  <c r="F126" i="39"/>
  <c r="F125" i="39"/>
  <c r="F124" i="39"/>
  <c r="F123" i="39"/>
  <c r="F122" i="39"/>
  <c r="X121" i="39"/>
  <c r="U121" i="39"/>
  <c r="R121" i="39"/>
  <c r="O121" i="39"/>
  <c r="L121" i="39"/>
  <c r="I121" i="39"/>
  <c r="F121" i="39"/>
  <c r="X120" i="39"/>
  <c r="U120" i="39"/>
  <c r="R120" i="39"/>
  <c r="O120" i="39"/>
  <c r="L120" i="39"/>
  <c r="I120" i="39"/>
  <c r="F120" i="39"/>
  <c r="X119" i="39"/>
  <c r="U119" i="39"/>
  <c r="R119" i="39"/>
  <c r="O119" i="39"/>
  <c r="L119" i="39"/>
  <c r="I119" i="39"/>
  <c r="F119" i="39"/>
  <c r="X118" i="39"/>
  <c r="U118" i="39"/>
  <c r="R118" i="39"/>
  <c r="O118" i="39"/>
  <c r="L118" i="39"/>
  <c r="I118" i="39"/>
  <c r="F118" i="39"/>
  <c r="X117" i="39"/>
  <c r="U117" i="39"/>
  <c r="R117" i="39"/>
  <c r="O117" i="39"/>
  <c r="L117" i="39"/>
  <c r="I117" i="39"/>
  <c r="F117" i="39"/>
  <c r="X116" i="39"/>
  <c r="U116" i="39"/>
  <c r="R116" i="39"/>
  <c r="O116" i="39"/>
  <c r="L116" i="39"/>
  <c r="I116" i="39"/>
  <c r="F116" i="39"/>
  <c r="X115" i="39"/>
  <c r="U115" i="39"/>
  <c r="R115" i="39"/>
  <c r="O115" i="39"/>
  <c r="L115" i="39"/>
  <c r="I115" i="39"/>
  <c r="F115" i="39"/>
  <c r="X114" i="39"/>
  <c r="U114" i="39"/>
  <c r="R114" i="39"/>
  <c r="O114" i="39"/>
  <c r="L114" i="39"/>
  <c r="I114" i="39"/>
  <c r="F114" i="39"/>
  <c r="X113" i="39"/>
  <c r="U113" i="39"/>
  <c r="R113" i="39"/>
  <c r="O113" i="39"/>
  <c r="L113" i="39"/>
  <c r="I113" i="39"/>
  <c r="F113" i="39"/>
  <c r="X112" i="39"/>
  <c r="U112" i="39"/>
  <c r="R112" i="39"/>
  <c r="O112" i="39"/>
  <c r="L112" i="39"/>
  <c r="I112" i="39"/>
  <c r="F112" i="39"/>
  <c r="X111" i="39"/>
  <c r="U111" i="39"/>
  <c r="R111" i="39"/>
  <c r="O111" i="39"/>
  <c r="L111" i="39"/>
  <c r="I111" i="39"/>
  <c r="F111" i="39"/>
  <c r="AD154" i="38"/>
  <c r="AB154" i="38"/>
  <c r="AA154" i="38"/>
  <c r="Y154" i="38"/>
  <c r="W154" i="38"/>
  <c r="V154" i="38"/>
  <c r="T154" i="38"/>
  <c r="S154" i="38"/>
  <c r="Q154" i="38"/>
  <c r="P154" i="38"/>
  <c r="N154" i="38"/>
  <c r="M154" i="38"/>
  <c r="K154" i="38"/>
  <c r="J154" i="38"/>
  <c r="H154" i="38"/>
  <c r="G154" i="38"/>
  <c r="E154" i="38"/>
  <c r="D154" i="38"/>
  <c r="X153" i="38"/>
  <c r="U153" i="38"/>
  <c r="R153" i="38"/>
  <c r="O153" i="38"/>
  <c r="L153" i="38"/>
  <c r="I153" i="38"/>
  <c r="F153" i="38"/>
  <c r="X152" i="38"/>
  <c r="U152" i="38"/>
  <c r="R152" i="38"/>
  <c r="O152" i="38"/>
  <c r="L152" i="38"/>
  <c r="I152" i="38"/>
  <c r="F152" i="38"/>
  <c r="X151" i="38"/>
  <c r="U151" i="38"/>
  <c r="R151" i="38"/>
  <c r="O151" i="38"/>
  <c r="L151" i="38"/>
  <c r="I151" i="38"/>
  <c r="F151" i="38"/>
  <c r="F150" i="38"/>
  <c r="F149" i="38"/>
  <c r="F148" i="38"/>
  <c r="F147" i="38"/>
  <c r="F146" i="38"/>
  <c r="F145" i="38"/>
  <c r="F144" i="38"/>
  <c r="F143" i="38"/>
  <c r="F142" i="38"/>
  <c r="F141" i="38"/>
  <c r="F140" i="38"/>
  <c r="F139" i="38"/>
  <c r="F138" i="38"/>
  <c r="F137" i="38"/>
  <c r="F136" i="38"/>
  <c r="F135" i="38"/>
  <c r="F134" i="38"/>
  <c r="F133" i="38"/>
  <c r="F132" i="38"/>
  <c r="F131" i="38"/>
  <c r="F130" i="38"/>
  <c r="F129" i="38"/>
  <c r="F128" i="38"/>
  <c r="F127" i="38"/>
  <c r="F126" i="38"/>
  <c r="F125" i="38"/>
  <c r="F124" i="38"/>
  <c r="F123" i="38"/>
  <c r="F122" i="38"/>
  <c r="X121" i="38"/>
  <c r="U121" i="38"/>
  <c r="R121" i="38"/>
  <c r="O121" i="38"/>
  <c r="L121" i="38"/>
  <c r="I121" i="38"/>
  <c r="F121" i="38"/>
  <c r="X120" i="38"/>
  <c r="U120" i="38"/>
  <c r="R120" i="38"/>
  <c r="O120" i="38"/>
  <c r="L120" i="38"/>
  <c r="I120" i="38"/>
  <c r="F120" i="38"/>
  <c r="X119" i="38"/>
  <c r="U119" i="38"/>
  <c r="R119" i="38"/>
  <c r="O119" i="38"/>
  <c r="L119" i="38"/>
  <c r="I119" i="38"/>
  <c r="F119" i="38"/>
  <c r="X118" i="38"/>
  <c r="U118" i="38"/>
  <c r="R118" i="38"/>
  <c r="O118" i="38"/>
  <c r="L118" i="38"/>
  <c r="I118" i="38"/>
  <c r="F118" i="38"/>
  <c r="X117" i="38"/>
  <c r="U117" i="38"/>
  <c r="R117" i="38"/>
  <c r="O117" i="38"/>
  <c r="L117" i="38"/>
  <c r="I117" i="38"/>
  <c r="F117" i="38"/>
  <c r="X116" i="38"/>
  <c r="U116" i="38"/>
  <c r="R116" i="38"/>
  <c r="O116" i="38"/>
  <c r="L116" i="38"/>
  <c r="I116" i="38"/>
  <c r="F116" i="38"/>
  <c r="X115" i="38"/>
  <c r="U115" i="38"/>
  <c r="R115" i="38"/>
  <c r="O115" i="38"/>
  <c r="L115" i="38"/>
  <c r="I115" i="38"/>
  <c r="F115" i="38"/>
  <c r="X114" i="38"/>
  <c r="U114" i="38"/>
  <c r="R114" i="38"/>
  <c r="O114" i="38"/>
  <c r="L114" i="38"/>
  <c r="I114" i="38"/>
  <c r="F114" i="38"/>
  <c r="X113" i="38"/>
  <c r="U113" i="38"/>
  <c r="R113" i="38"/>
  <c r="O113" i="38"/>
  <c r="L113" i="38"/>
  <c r="I113" i="38"/>
  <c r="F113" i="38"/>
  <c r="X112" i="38"/>
  <c r="U112" i="38"/>
  <c r="R112" i="38"/>
  <c r="O112" i="38"/>
  <c r="L112" i="38"/>
  <c r="I112" i="38"/>
  <c r="F112" i="38"/>
  <c r="X111" i="38"/>
  <c r="U111" i="38"/>
  <c r="R111" i="38"/>
  <c r="O111" i="38"/>
  <c r="L111" i="38"/>
  <c r="I111" i="38"/>
  <c r="F111" i="38"/>
  <c r="AD154" i="37"/>
  <c r="AB154" i="37"/>
  <c r="AA154" i="37"/>
  <c r="Y154" i="37"/>
  <c r="W154" i="37"/>
  <c r="V154" i="37"/>
  <c r="T154" i="37"/>
  <c r="S154" i="37"/>
  <c r="Q154" i="37"/>
  <c r="P154" i="37"/>
  <c r="N154" i="37"/>
  <c r="M154" i="37"/>
  <c r="K154" i="37"/>
  <c r="J154" i="37"/>
  <c r="H154" i="37"/>
  <c r="G154" i="37"/>
  <c r="E154" i="37"/>
  <c r="D154" i="37"/>
  <c r="X153" i="37"/>
  <c r="U153" i="37"/>
  <c r="R153" i="37"/>
  <c r="O153" i="37"/>
  <c r="L153" i="37"/>
  <c r="I153" i="37"/>
  <c r="F153" i="37"/>
  <c r="X152" i="37"/>
  <c r="U152" i="37"/>
  <c r="R152" i="37"/>
  <c r="O152" i="37"/>
  <c r="L152" i="37"/>
  <c r="I152" i="37"/>
  <c r="F152" i="37"/>
  <c r="X151" i="37"/>
  <c r="U151" i="37"/>
  <c r="R151" i="37"/>
  <c r="O151" i="37"/>
  <c r="L151" i="37"/>
  <c r="I151" i="37"/>
  <c r="F151" i="37"/>
  <c r="F150" i="37"/>
  <c r="F149" i="37"/>
  <c r="F148" i="37"/>
  <c r="F147" i="37"/>
  <c r="F146" i="37"/>
  <c r="F145" i="37"/>
  <c r="F144" i="37"/>
  <c r="F143" i="37"/>
  <c r="F142" i="37"/>
  <c r="F141" i="37"/>
  <c r="F140" i="37"/>
  <c r="F139" i="37"/>
  <c r="F138" i="37"/>
  <c r="F137" i="37"/>
  <c r="F136" i="37"/>
  <c r="F135" i="37"/>
  <c r="F134" i="37"/>
  <c r="F133" i="37"/>
  <c r="F132" i="37"/>
  <c r="F131" i="37"/>
  <c r="F130" i="37"/>
  <c r="F129" i="37"/>
  <c r="F128" i="37"/>
  <c r="F127" i="37"/>
  <c r="F126" i="37"/>
  <c r="F125" i="37"/>
  <c r="F124" i="37"/>
  <c r="F123" i="37"/>
  <c r="F122" i="37"/>
  <c r="X121" i="37"/>
  <c r="U121" i="37"/>
  <c r="R121" i="37"/>
  <c r="O121" i="37"/>
  <c r="L121" i="37"/>
  <c r="I121" i="37"/>
  <c r="F121" i="37"/>
  <c r="X120" i="37"/>
  <c r="U120" i="37"/>
  <c r="R120" i="37"/>
  <c r="O120" i="37"/>
  <c r="L120" i="37"/>
  <c r="I120" i="37"/>
  <c r="F120" i="37"/>
  <c r="X119" i="37"/>
  <c r="U119" i="37"/>
  <c r="R119" i="37"/>
  <c r="O119" i="37"/>
  <c r="L119" i="37"/>
  <c r="I119" i="37"/>
  <c r="F119" i="37"/>
  <c r="X118" i="37"/>
  <c r="U118" i="37"/>
  <c r="R118" i="37"/>
  <c r="O118" i="37"/>
  <c r="L118" i="37"/>
  <c r="I118" i="37"/>
  <c r="F118" i="37"/>
  <c r="X117" i="37"/>
  <c r="U117" i="37"/>
  <c r="R117" i="37"/>
  <c r="O117" i="37"/>
  <c r="L117" i="37"/>
  <c r="I117" i="37"/>
  <c r="F117" i="37"/>
  <c r="X116" i="37"/>
  <c r="U116" i="37"/>
  <c r="R116" i="37"/>
  <c r="O116" i="37"/>
  <c r="L116" i="37"/>
  <c r="I116" i="37"/>
  <c r="F116" i="37"/>
  <c r="X115" i="37"/>
  <c r="U115" i="37"/>
  <c r="R115" i="37"/>
  <c r="O115" i="37"/>
  <c r="L115" i="37"/>
  <c r="I115" i="37"/>
  <c r="F115" i="37"/>
  <c r="X114" i="37"/>
  <c r="U114" i="37"/>
  <c r="R114" i="37"/>
  <c r="O114" i="37"/>
  <c r="L114" i="37"/>
  <c r="I114" i="37"/>
  <c r="F114" i="37"/>
  <c r="X113" i="37"/>
  <c r="U113" i="37"/>
  <c r="R113" i="37"/>
  <c r="O113" i="37"/>
  <c r="L113" i="37"/>
  <c r="I113" i="37"/>
  <c r="F113" i="37"/>
  <c r="X112" i="37"/>
  <c r="U112" i="37"/>
  <c r="R112" i="37"/>
  <c r="O112" i="37"/>
  <c r="L112" i="37"/>
  <c r="I112" i="37"/>
  <c r="F112" i="37"/>
  <c r="X111" i="37"/>
  <c r="U111" i="37"/>
  <c r="R111" i="37"/>
  <c r="O111" i="37"/>
  <c r="L111" i="37"/>
  <c r="I111" i="37"/>
  <c r="F111" i="37"/>
  <c r="AD154" i="36"/>
  <c r="AB154" i="36"/>
  <c r="AA154" i="36"/>
  <c r="Y154" i="36"/>
  <c r="W154" i="36"/>
  <c r="V154" i="36"/>
  <c r="T154" i="36"/>
  <c r="S154" i="36"/>
  <c r="Q154" i="36"/>
  <c r="P154" i="36"/>
  <c r="N154" i="36"/>
  <c r="M154" i="36"/>
  <c r="K154" i="36"/>
  <c r="J154" i="36"/>
  <c r="H154" i="36"/>
  <c r="G154" i="36"/>
  <c r="E154" i="36"/>
  <c r="D154" i="36"/>
  <c r="X153" i="36"/>
  <c r="U153" i="36"/>
  <c r="R153" i="36"/>
  <c r="O153" i="36"/>
  <c r="L153" i="36"/>
  <c r="I153" i="36"/>
  <c r="F153" i="36"/>
  <c r="X152" i="36"/>
  <c r="U152" i="36"/>
  <c r="R152" i="36"/>
  <c r="O152" i="36"/>
  <c r="L152" i="36"/>
  <c r="I152" i="36"/>
  <c r="F152" i="36"/>
  <c r="X151" i="36"/>
  <c r="U151" i="36"/>
  <c r="R151" i="36"/>
  <c r="O151" i="36"/>
  <c r="L151" i="36"/>
  <c r="I151" i="36"/>
  <c r="F151" i="36"/>
  <c r="F150" i="36"/>
  <c r="F149" i="36"/>
  <c r="F148" i="36"/>
  <c r="F147" i="36"/>
  <c r="F146" i="36"/>
  <c r="F145" i="36"/>
  <c r="F144" i="36"/>
  <c r="F143" i="36"/>
  <c r="F142" i="36"/>
  <c r="F141" i="36"/>
  <c r="F140" i="36"/>
  <c r="F139" i="36"/>
  <c r="F138" i="36"/>
  <c r="F137" i="36"/>
  <c r="F136" i="36"/>
  <c r="F135" i="36"/>
  <c r="F134" i="36"/>
  <c r="F133" i="36"/>
  <c r="F132" i="36"/>
  <c r="F131" i="36"/>
  <c r="F130" i="36"/>
  <c r="F129" i="36"/>
  <c r="F128" i="36"/>
  <c r="F127" i="36"/>
  <c r="F126" i="36"/>
  <c r="F125" i="36"/>
  <c r="F124" i="36"/>
  <c r="F123" i="36"/>
  <c r="F122" i="36"/>
  <c r="X121" i="36"/>
  <c r="U121" i="36"/>
  <c r="R121" i="36"/>
  <c r="O121" i="36"/>
  <c r="L121" i="36"/>
  <c r="I121" i="36"/>
  <c r="F121" i="36"/>
  <c r="X120" i="36"/>
  <c r="U120" i="36"/>
  <c r="R120" i="36"/>
  <c r="O120" i="36"/>
  <c r="L120" i="36"/>
  <c r="I120" i="36"/>
  <c r="F120" i="36"/>
  <c r="X119" i="36"/>
  <c r="U119" i="36"/>
  <c r="R119" i="36"/>
  <c r="O119" i="36"/>
  <c r="L119" i="36"/>
  <c r="I119" i="36"/>
  <c r="F119" i="36"/>
  <c r="X118" i="36"/>
  <c r="U118" i="36"/>
  <c r="R118" i="36"/>
  <c r="O118" i="36"/>
  <c r="L118" i="36"/>
  <c r="I118" i="36"/>
  <c r="F118" i="36"/>
  <c r="X117" i="36"/>
  <c r="U117" i="36"/>
  <c r="R117" i="36"/>
  <c r="O117" i="36"/>
  <c r="L117" i="36"/>
  <c r="I117" i="36"/>
  <c r="F117" i="36"/>
  <c r="X116" i="36"/>
  <c r="U116" i="36"/>
  <c r="R116" i="36"/>
  <c r="O116" i="36"/>
  <c r="L116" i="36"/>
  <c r="I116" i="36"/>
  <c r="F116" i="36"/>
  <c r="X115" i="36"/>
  <c r="U115" i="36"/>
  <c r="R115" i="36"/>
  <c r="O115" i="36"/>
  <c r="L115" i="36"/>
  <c r="I115" i="36"/>
  <c r="F115" i="36"/>
  <c r="X114" i="36"/>
  <c r="U114" i="36"/>
  <c r="R114" i="36"/>
  <c r="O114" i="36"/>
  <c r="L114" i="36"/>
  <c r="I114" i="36"/>
  <c r="F114" i="36"/>
  <c r="X113" i="36"/>
  <c r="U113" i="36"/>
  <c r="R113" i="36"/>
  <c r="O113" i="36"/>
  <c r="L113" i="36"/>
  <c r="I113" i="36"/>
  <c r="F113" i="36"/>
  <c r="X112" i="36"/>
  <c r="U112" i="36"/>
  <c r="R112" i="36"/>
  <c r="O112" i="36"/>
  <c r="L112" i="36"/>
  <c r="I112" i="36"/>
  <c r="F112" i="36"/>
  <c r="X111" i="36"/>
  <c r="U111" i="36"/>
  <c r="R111" i="36"/>
  <c r="O111" i="36"/>
  <c r="L111" i="36"/>
  <c r="I111" i="36"/>
  <c r="F111" i="36"/>
  <c r="AD154" i="35"/>
  <c r="AB154" i="35"/>
  <c r="AA154" i="35"/>
  <c r="Y154" i="35"/>
  <c r="W154" i="35"/>
  <c r="V154" i="35"/>
  <c r="T154" i="35"/>
  <c r="S154" i="35"/>
  <c r="Q154" i="35"/>
  <c r="P154" i="35"/>
  <c r="N154" i="35"/>
  <c r="M154" i="35"/>
  <c r="K154" i="35"/>
  <c r="J154" i="35"/>
  <c r="H154" i="35"/>
  <c r="G154" i="35"/>
  <c r="E154" i="35"/>
  <c r="D154" i="35"/>
  <c r="X153" i="35"/>
  <c r="U153" i="35"/>
  <c r="R153" i="35"/>
  <c r="O153" i="35"/>
  <c r="L153" i="35"/>
  <c r="I153" i="35"/>
  <c r="F153" i="35"/>
  <c r="X152" i="35"/>
  <c r="U152" i="35"/>
  <c r="R152" i="35"/>
  <c r="O152" i="35"/>
  <c r="L152" i="35"/>
  <c r="I152" i="35"/>
  <c r="F152" i="35"/>
  <c r="X151" i="35"/>
  <c r="U151" i="35"/>
  <c r="R151" i="35"/>
  <c r="O151" i="35"/>
  <c r="L151" i="35"/>
  <c r="I151" i="35"/>
  <c r="F151" i="35"/>
  <c r="F150" i="35"/>
  <c r="F149" i="35"/>
  <c r="F148" i="35"/>
  <c r="F147" i="35"/>
  <c r="F146" i="35"/>
  <c r="F145" i="35"/>
  <c r="F144" i="35"/>
  <c r="F143" i="35"/>
  <c r="F142" i="35"/>
  <c r="F141" i="35"/>
  <c r="F140" i="35"/>
  <c r="F139" i="35"/>
  <c r="F138" i="35"/>
  <c r="F137" i="35"/>
  <c r="F136" i="35"/>
  <c r="F135" i="35"/>
  <c r="F134" i="35"/>
  <c r="F133" i="35"/>
  <c r="F132" i="35"/>
  <c r="F131" i="35"/>
  <c r="F130" i="35"/>
  <c r="F129" i="35"/>
  <c r="F128" i="35"/>
  <c r="F127" i="35"/>
  <c r="F126" i="35"/>
  <c r="F125" i="35"/>
  <c r="F124" i="35"/>
  <c r="F123" i="35"/>
  <c r="F122" i="35"/>
  <c r="X121" i="35"/>
  <c r="U121" i="35"/>
  <c r="R121" i="35"/>
  <c r="O121" i="35"/>
  <c r="L121" i="35"/>
  <c r="I121" i="35"/>
  <c r="F121" i="35"/>
  <c r="X120" i="35"/>
  <c r="U120" i="35"/>
  <c r="R120" i="35"/>
  <c r="O120" i="35"/>
  <c r="L120" i="35"/>
  <c r="I120" i="35"/>
  <c r="F120" i="35"/>
  <c r="X119" i="35"/>
  <c r="U119" i="35"/>
  <c r="R119" i="35"/>
  <c r="O119" i="35"/>
  <c r="L119" i="35"/>
  <c r="I119" i="35"/>
  <c r="F119" i="35"/>
  <c r="X118" i="35"/>
  <c r="U118" i="35"/>
  <c r="R118" i="35"/>
  <c r="O118" i="35"/>
  <c r="L118" i="35"/>
  <c r="I118" i="35"/>
  <c r="F118" i="35"/>
  <c r="X117" i="35"/>
  <c r="U117" i="35"/>
  <c r="R117" i="35"/>
  <c r="O117" i="35"/>
  <c r="L117" i="35"/>
  <c r="I117" i="35"/>
  <c r="F117" i="35"/>
  <c r="X116" i="35"/>
  <c r="U116" i="35"/>
  <c r="R116" i="35"/>
  <c r="O116" i="35"/>
  <c r="L116" i="35"/>
  <c r="I116" i="35"/>
  <c r="F116" i="35"/>
  <c r="X115" i="35"/>
  <c r="U115" i="35"/>
  <c r="R115" i="35"/>
  <c r="O115" i="35"/>
  <c r="L115" i="35"/>
  <c r="I115" i="35"/>
  <c r="F115" i="35"/>
  <c r="X114" i="35"/>
  <c r="U114" i="35"/>
  <c r="R114" i="35"/>
  <c r="O114" i="35"/>
  <c r="L114" i="35"/>
  <c r="I114" i="35"/>
  <c r="F114" i="35"/>
  <c r="X113" i="35"/>
  <c r="U113" i="35"/>
  <c r="R113" i="35"/>
  <c r="O113" i="35"/>
  <c r="L113" i="35"/>
  <c r="I113" i="35"/>
  <c r="F113" i="35"/>
  <c r="X112" i="35"/>
  <c r="U112" i="35"/>
  <c r="R112" i="35"/>
  <c r="O112" i="35"/>
  <c r="L112" i="35"/>
  <c r="I112" i="35"/>
  <c r="F112" i="35"/>
  <c r="X111" i="35"/>
  <c r="U111" i="35"/>
  <c r="R111" i="35"/>
  <c r="O111" i="35"/>
  <c r="L111" i="35"/>
  <c r="I111" i="35"/>
  <c r="F111" i="35"/>
  <c r="AD154" i="34"/>
  <c r="AB154" i="34"/>
  <c r="AA154" i="34"/>
  <c r="Y154" i="34"/>
  <c r="W154" i="34"/>
  <c r="V154" i="34"/>
  <c r="T154" i="34"/>
  <c r="S154" i="34"/>
  <c r="Q154" i="34"/>
  <c r="P154" i="34"/>
  <c r="N154" i="34"/>
  <c r="M154" i="34"/>
  <c r="K154" i="34"/>
  <c r="J154" i="34"/>
  <c r="H154" i="34"/>
  <c r="G154" i="34"/>
  <c r="E154" i="34"/>
  <c r="D154" i="34"/>
  <c r="X153" i="34"/>
  <c r="U153" i="34"/>
  <c r="R153" i="34"/>
  <c r="O153" i="34"/>
  <c r="L153" i="34"/>
  <c r="I153" i="34"/>
  <c r="F153" i="34"/>
  <c r="X152" i="34"/>
  <c r="U152" i="34"/>
  <c r="R152" i="34"/>
  <c r="O152" i="34"/>
  <c r="L152" i="34"/>
  <c r="I152" i="34"/>
  <c r="F152" i="34"/>
  <c r="X151" i="34"/>
  <c r="U151" i="34"/>
  <c r="R151" i="34"/>
  <c r="O151" i="34"/>
  <c r="L151" i="34"/>
  <c r="I151" i="34"/>
  <c r="F151" i="34"/>
  <c r="F150" i="34"/>
  <c r="F149" i="34"/>
  <c r="F148" i="34"/>
  <c r="F147" i="34"/>
  <c r="F146" i="34"/>
  <c r="F145" i="34"/>
  <c r="F144" i="34"/>
  <c r="F143" i="34"/>
  <c r="F142" i="34"/>
  <c r="F141" i="34"/>
  <c r="F140" i="34"/>
  <c r="F139" i="34"/>
  <c r="F138" i="34"/>
  <c r="F137" i="34"/>
  <c r="F136" i="34"/>
  <c r="F135" i="34"/>
  <c r="F134" i="34"/>
  <c r="F133" i="34"/>
  <c r="F132" i="34"/>
  <c r="F131" i="34"/>
  <c r="F130" i="34"/>
  <c r="F129" i="34"/>
  <c r="F128" i="34"/>
  <c r="F127" i="34"/>
  <c r="F126" i="34"/>
  <c r="F125" i="34"/>
  <c r="F124" i="34"/>
  <c r="F123" i="34"/>
  <c r="F122" i="34"/>
  <c r="X121" i="34"/>
  <c r="U121" i="34"/>
  <c r="R121" i="34"/>
  <c r="O121" i="34"/>
  <c r="L121" i="34"/>
  <c r="I121" i="34"/>
  <c r="F121" i="34"/>
  <c r="X120" i="34"/>
  <c r="U120" i="34"/>
  <c r="R120" i="34"/>
  <c r="O120" i="34"/>
  <c r="L120" i="34"/>
  <c r="I120" i="34"/>
  <c r="F120" i="34"/>
  <c r="X119" i="34"/>
  <c r="U119" i="34"/>
  <c r="R119" i="34"/>
  <c r="O119" i="34"/>
  <c r="L119" i="34"/>
  <c r="I119" i="34"/>
  <c r="F119" i="34"/>
  <c r="X118" i="34"/>
  <c r="U118" i="34"/>
  <c r="R118" i="34"/>
  <c r="O118" i="34"/>
  <c r="L118" i="34"/>
  <c r="I118" i="34"/>
  <c r="F118" i="34"/>
  <c r="X117" i="34"/>
  <c r="U117" i="34"/>
  <c r="R117" i="34"/>
  <c r="O117" i="34"/>
  <c r="L117" i="34"/>
  <c r="I117" i="34"/>
  <c r="F117" i="34"/>
  <c r="X116" i="34"/>
  <c r="U116" i="34"/>
  <c r="R116" i="34"/>
  <c r="O116" i="34"/>
  <c r="L116" i="34"/>
  <c r="I116" i="34"/>
  <c r="F116" i="34"/>
  <c r="X115" i="34"/>
  <c r="U115" i="34"/>
  <c r="R115" i="34"/>
  <c r="O115" i="34"/>
  <c r="L115" i="34"/>
  <c r="I115" i="34"/>
  <c r="F115" i="34"/>
  <c r="X114" i="34"/>
  <c r="U114" i="34"/>
  <c r="R114" i="34"/>
  <c r="O114" i="34"/>
  <c r="L114" i="34"/>
  <c r="I114" i="34"/>
  <c r="F114" i="34"/>
  <c r="X113" i="34"/>
  <c r="U113" i="34"/>
  <c r="R113" i="34"/>
  <c r="O113" i="34"/>
  <c r="L113" i="34"/>
  <c r="I113" i="34"/>
  <c r="F113" i="34"/>
  <c r="X112" i="34"/>
  <c r="U112" i="34"/>
  <c r="R112" i="34"/>
  <c r="O112" i="34"/>
  <c r="L112" i="34"/>
  <c r="I112" i="34"/>
  <c r="F112" i="34"/>
  <c r="X111" i="34"/>
  <c r="U111" i="34"/>
  <c r="R111" i="34"/>
  <c r="O111" i="34"/>
  <c r="L111" i="34"/>
  <c r="I111" i="34"/>
  <c r="F111" i="34"/>
  <c r="AD154" i="33"/>
  <c r="AB154" i="33"/>
  <c r="AA154" i="33"/>
  <c r="Y154" i="33"/>
  <c r="W154" i="33"/>
  <c r="V154" i="33"/>
  <c r="T154" i="33"/>
  <c r="S154" i="33"/>
  <c r="Q154" i="33"/>
  <c r="P154" i="33"/>
  <c r="N154" i="33"/>
  <c r="M154" i="33"/>
  <c r="K154" i="33"/>
  <c r="J154" i="33"/>
  <c r="H154" i="33"/>
  <c r="G154" i="33"/>
  <c r="E154" i="33"/>
  <c r="D154" i="33"/>
  <c r="X153" i="33"/>
  <c r="U153" i="33"/>
  <c r="R153" i="33"/>
  <c r="O153" i="33"/>
  <c r="L153" i="33"/>
  <c r="I153" i="33"/>
  <c r="F153" i="33"/>
  <c r="X152" i="33"/>
  <c r="U152" i="33"/>
  <c r="R152" i="33"/>
  <c r="O152" i="33"/>
  <c r="L152" i="33"/>
  <c r="I152" i="33"/>
  <c r="F152" i="33"/>
  <c r="X151" i="33"/>
  <c r="U151" i="33"/>
  <c r="R151" i="33"/>
  <c r="O151" i="33"/>
  <c r="L151" i="33"/>
  <c r="I151" i="33"/>
  <c r="F151" i="33"/>
  <c r="F150" i="33"/>
  <c r="F149" i="33"/>
  <c r="F148" i="33"/>
  <c r="F147" i="33"/>
  <c r="F146" i="33"/>
  <c r="F145" i="33"/>
  <c r="F144" i="33"/>
  <c r="F143" i="33"/>
  <c r="F142" i="33"/>
  <c r="F141" i="33"/>
  <c r="F140" i="33"/>
  <c r="F139" i="33"/>
  <c r="F138" i="33"/>
  <c r="F137" i="33"/>
  <c r="F136" i="33"/>
  <c r="F135" i="33"/>
  <c r="F134" i="33"/>
  <c r="F133" i="33"/>
  <c r="F132" i="33"/>
  <c r="F131" i="33"/>
  <c r="F130" i="33"/>
  <c r="F129" i="33"/>
  <c r="F128" i="33"/>
  <c r="F127" i="33"/>
  <c r="F126" i="33"/>
  <c r="F125" i="33"/>
  <c r="F124" i="33"/>
  <c r="F123" i="33"/>
  <c r="F122" i="33"/>
  <c r="X121" i="33"/>
  <c r="U121" i="33"/>
  <c r="R121" i="33"/>
  <c r="O121" i="33"/>
  <c r="L121" i="33"/>
  <c r="I121" i="33"/>
  <c r="F121" i="33"/>
  <c r="X120" i="33"/>
  <c r="U120" i="33"/>
  <c r="R120" i="33"/>
  <c r="O120" i="33"/>
  <c r="L120" i="33"/>
  <c r="I120" i="33"/>
  <c r="F120" i="33"/>
  <c r="X119" i="33"/>
  <c r="U119" i="33"/>
  <c r="R119" i="33"/>
  <c r="O119" i="33"/>
  <c r="L119" i="33"/>
  <c r="I119" i="33"/>
  <c r="F119" i="33"/>
  <c r="X118" i="33"/>
  <c r="U118" i="33"/>
  <c r="R118" i="33"/>
  <c r="O118" i="33"/>
  <c r="L118" i="33"/>
  <c r="I118" i="33"/>
  <c r="F118" i="33"/>
  <c r="X117" i="33"/>
  <c r="U117" i="33"/>
  <c r="R117" i="33"/>
  <c r="O117" i="33"/>
  <c r="L117" i="33"/>
  <c r="I117" i="33"/>
  <c r="F117" i="33"/>
  <c r="X116" i="33"/>
  <c r="U116" i="33"/>
  <c r="R116" i="33"/>
  <c r="O116" i="33"/>
  <c r="L116" i="33"/>
  <c r="I116" i="33"/>
  <c r="F116" i="33"/>
  <c r="X115" i="33"/>
  <c r="U115" i="33"/>
  <c r="R115" i="33"/>
  <c r="O115" i="33"/>
  <c r="L115" i="33"/>
  <c r="I115" i="33"/>
  <c r="F115" i="33"/>
  <c r="X114" i="33"/>
  <c r="U114" i="33"/>
  <c r="R114" i="33"/>
  <c r="O114" i="33"/>
  <c r="L114" i="33"/>
  <c r="I114" i="33"/>
  <c r="F114" i="33"/>
  <c r="X113" i="33"/>
  <c r="U113" i="33"/>
  <c r="R113" i="33"/>
  <c r="O113" i="33"/>
  <c r="L113" i="33"/>
  <c r="I113" i="33"/>
  <c r="F113" i="33"/>
  <c r="X112" i="33"/>
  <c r="U112" i="33"/>
  <c r="R112" i="33"/>
  <c r="O112" i="33"/>
  <c r="L112" i="33"/>
  <c r="I112" i="33"/>
  <c r="F112" i="33"/>
  <c r="X111" i="33"/>
  <c r="U111" i="33"/>
  <c r="R111" i="33"/>
  <c r="O111" i="33"/>
  <c r="L111" i="33"/>
  <c r="I111" i="33"/>
  <c r="F111" i="33"/>
  <c r="AD154" i="32"/>
  <c r="AB154" i="32"/>
  <c r="AA154" i="32"/>
  <c r="Y154" i="32"/>
  <c r="W154" i="32"/>
  <c r="V154" i="32"/>
  <c r="T154" i="32"/>
  <c r="S154" i="32"/>
  <c r="Q154" i="32"/>
  <c r="P154" i="32"/>
  <c r="N154" i="32"/>
  <c r="M154" i="32"/>
  <c r="K154" i="32"/>
  <c r="J154" i="32"/>
  <c r="H154" i="32"/>
  <c r="G154" i="32"/>
  <c r="E154" i="32"/>
  <c r="D154" i="32"/>
  <c r="X153" i="32"/>
  <c r="U153" i="32"/>
  <c r="R153" i="32"/>
  <c r="O153" i="32"/>
  <c r="L153" i="32"/>
  <c r="I153" i="32"/>
  <c r="F153" i="32"/>
  <c r="X152" i="32"/>
  <c r="U152" i="32"/>
  <c r="R152" i="32"/>
  <c r="O152" i="32"/>
  <c r="L152" i="32"/>
  <c r="I152" i="32"/>
  <c r="F152" i="32"/>
  <c r="X151" i="32"/>
  <c r="U151" i="32"/>
  <c r="R151" i="32"/>
  <c r="O151" i="32"/>
  <c r="L151" i="32"/>
  <c r="I151" i="32"/>
  <c r="F151" i="32"/>
  <c r="F150" i="32"/>
  <c r="F149" i="32"/>
  <c r="F148" i="32"/>
  <c r="F147" i="32"/>
  <c r="F146" i="32"/>
  <c r="F145" i="32"/>
  <c r="F144" i="32"/>
  <c r="F143" i="32"/>
  <c r="F142" i="32"/>
  <c r="F141" i="32"/>
  <c r="F140" i="32"/>
  <c r="F139" i="32"/>
  <c r="F138" i="32"/>
  <c r="F137" i="32"/>
  <c r="F136" i="32"/>
  <c r="F135" i="32"/>
  <c r="F134" i="32"/>
  <c r="F133" i="32"/>
  <c r="F132" i="32"/>
  <c r="F131" i="32"/>
  <c r="F130" i="32"/>
  <c r="F129" i="32"/>
  <c r="F128" i="32"/>
  <c r="F127" i="32"/>
  <c r="F126" i="32"/>
  <c r="F125" i="32"/>
  <c r="F124" i="32"/>
  <c r="F123" i="32"/>
  <c r="F122" i="32"/>
  <c r="X121" i="32"/>
  <c r="U121" i="32"/>
  <c r="R121" i="32"/>
  <c r="O121" i="32"/>
  <c r="L121" i="32"/>
  <c r="I121" i="32"/>
  <c r="F121" i="32"/>
  <c r="X120" i="32"/>
  <c r="U120" i="32"/>
  <c r="R120" i="32"/>
  <c r="O120" i="32"/>
  <c r="L120" i="32"/>
  <c r="I120" i="32"/>
  <c r="F120" i="32"/>
  <c r="X119" i="32"/>
  <c r="U119" i="32"/>
  <c r="R119" i="32"/>
  <c r="O119" i="32"/>
  <c r="L119" i="32"/>
  <c r="I119" i="32"/>
  <c r="F119" i="32"/>
  <c r="X118" i="32"/>
  <c r="U118" i="32"/>
  <c r="R118" i="32"/>
  <c r="O118" i="32"/>
  <c r="L118" i="32"/>
  <c r="I118" i="32"/>
  <c r="F118" i="32"/>
  <c r="X117" i="32"/>
  <c r="U117" i="32"/>
  <c r="R117" i="32"/>
  <c r="O117" i="32"/>
  <c r="L117" i="32"/>
  <c r="I117" i="32"/>
  <c r="F117" i="32"/>
  <c r="X116" i="32"/>
  <c r="U116" i="32"/>
  <c r="R116" i="32"/>
  <c r="O116" i="32"/>
  <c r="L116" i="32"/>
  <c r="I116" i="32"/>
  <c r="F116" i="32"/>
  <c r="X115" i="32"/>
  <c r="U115" i="32"/>
  <c r="R115" i="32"/>
  <c r="O115" i="32"/>
  <c r="L115" i="32"/>
  <c r="I115" i="32"/>
  <c r="F115" i="32"/>
  <c r="X114" i="32"/>
  <c r="U114" i="32"/>
  <c r="R114" i="32"/>
  <c r="O114" i="32"/>
  <c r="L114" i="32"/>
  <c r="I114" i="32"/>
  <c r="F114" i="32"/>
  <c r="X113" i="32"/>
  <c r="U113" i="32"/>
  <c r="R113" i="32"/>
  <c r="O113" i="32"/>
  <c r="L113" i="32"/>
  <c r="I113" i="32"/>
  <c r="F113" i="32"/>
  <c r="X112" i="32"/>
  <c r="U112" i="32"/>
  <c r="R112" i="32"/>
  <c r="O112" i="32"/>
  <c r="L112" i="32"/>
  <c r="I112" i="32"/>
  <c r="F112" i="32"/>
  <c r="X111" i="32"/>
  <c r="U111" i="32"/>
  <c r="R111" i="32"/>
  <c r="O111" i="32"/>
  <c r="L111" i="32"/>
  <c r="I111" i="32"/>
  <c r="F111" i="32"/>
  <c r="AD154" i="31"/>
  <c r="AB154" i="31"/>
  <c r="AA154" i="31"/>
  <c r="Y154" i="31"/>
  <c r="W154" i="31"/>
  <c r="V154" i="31"/>
  <c r="T154" i="31"/>
  <c r="S154" i="31"/>
  <c r="Q154" i="31"/>
  <c r="P154" i="31"/>
  <c r="N154" i="31"/>
  <c r="M154" i="31"/>
  <c r="K154" i="31"/>
  <c r="J154" i="31"/>
  <c r="H154" i="31"/>
  <c r="G154" i="31"/>
  <c r="E154" i="31"/>
  <c r="D154" i="31"/>
  <c r="X153" i="31"/>
  <c r="U153" i="31"/>
  <c r="R153" i="31"/>
  <c r="O153" i="31"/>
  <c r="L153" i="31"/>
  <c r="I153" i="31"/>
  <c r="F153" i="31"/>
  <c r="X152" i="31"/>
  <c r="U152" i="31"/>
  <c r="R152" i="31"/>
  <c r="O152" i="31"/>
  <c r="L152" i="31"/>
  <c r="I152" i="31"/>
  <c r="F152" i="31"/>
  <c r="X151" i="31"/>
  <c r="U151" i="31"/>
  <c r="R151" i="31"/>
  <c r="O151" i="31"/>
  <c r="L151" i="31"/>
  <c r="I151" i="31"/>
  <c r="F151" i="31"/>
  <c r="F150" i="31"/>
  <c r="F149" i="31"/>
  <c r="F148" i="31"/>
  <c r="F147" i="31"/>
  <c r="F146" i="31"/>
  <c r="F145" i="31"/>
  <c r="F144" i="31"/>
  <c r="F143" i="31"/>
  <c r="F142" i="31"/>
  <c r="F141" i="31"/>
  <c r="F140" i="31"/>
  <c r="F139" i="31"/>
  <c r="F138" i="31"/>
  <c r="F137" i="31"/>
  <c r="F136" i="31"/>
  <c r="F135" i="31"/>
  <c r="F134" i="31"/>
  <c r="F133" i="31"/>
  <c r="F132" i="31"/>
  <c r="F131" i="31"/>
  <c r="F130" i="31"/>
  <c r="F129" i="31"/>
  <c r="F128" i="31"/>
  <c r="F127" i="31"/>
  <c r="F126" i="31"/>
  <c r="F125" i="31"/>
  <c r="F124" i="31"/>
  <c r="F123" i="31"/>
  <c r="F122" i="31"/>
  <c r="X121" i="31"/>
  <c r="U121" i="31"/>
  <c r="R121" i="31"/>
  <c r="O121" i="31"/>
  <c r="L121" i="31"/>
  <c r="I121" i="31"/>
  <c r="F121" i="31"/>
  <c r="X120" i="31"/>
  <c r="U120" i="31"/>
  <c r="R120" i="31"/>
  <c r="O120" i="31"/>
  <c r="L120" i="31"/>
  <c r="I120" i="31"/>
  <c r="F120" i="31"/>
  <c r="X119" i="31"/>
  <c r="U119" i="31"/>
  <c r="R119" i="31"/>
  <c r="O119" i="31"/>
  <c r="L119" i="31"/>
  <c r="I119" i="31"/>
  <c r="F119" i="31"/>
  <c r="X118" i="31"/>
  <c r="U118" i="31"/>
  <c r="R118" i="31"/>
  <c r="O118" i="31"/>
  <c r="L118" i="31"/>
  <c r="I118" i="31"/>
  <c r="F118" i="31"/>
  <c r="X117" i="31"/>
  <c r="U117" i="31"/>
  <c r="R117" i="31"/>
  <c r="O117" i="31"/>
  <c r="L117" i="31"/>
  <c r="I117" i="31"/>
  <c r="F117" i="31"/>
  <c r="X116" i="31"/>
  <c r="U116" i="31"/>
  <c r="R116" i="31"/>
  <c r="O116" i="31"/>
  <c r="L116" i="31"/>
  <c r="I116" i="31"/>
  <c r="F116" i="31"/>
  <c r="X115" i="31"/>
  <c r="U115" i="31"/>
  <c r="R115" i="31"/>
  <c r="O115" i="31"/>
  <c r="L115" i="31"/>
  <c r="I115" i="31"/>
  <c r="F115" i="31"/>
  <c r="X114" i="31"/>
  <c r="U114" i="31"/>
  <c r="R114" i="31"/>
  <c r="O114" i="31"/>
  <c r="L114" i="31"/>
  <c r="I114" i="31"/>
  <c r="F114" i="31"/>
  <c r="X113" i="31"/>
  <c r="U113" i="31"/>
  <c r="R113" i="31"/>
  <c r="O113" i="31"/>
  <c r="L113" i="31"/>
  <c r="I113" i="31"/>
  <c r="F113" i="31"/>
  <c r="X112" i="31"/>
  <c r="U112" i="31"/>
  <c r="R112" i="31"/>
  <c r="O112" i="31"/>
  <c r="L112" i="31"/>
  <c r="I112" i="31"/>
  <c r="F112" i="31"/>
  <c r="X111" i="31"/>
  <c r="U111" i="31"/>
  <c r="R111" i="31"/>
  <c r="O111" i="31"/>
  <c r="L111" i="31"/>
  <c r="I111" i="31"/>
  <c r="F111" i="31"/>
  <c r="AD154" i="30"/>
  <c r="AB154" i="30"/>
  <c r="AA154" i="30"/>
  <c r="Y154" i="30"/>
  <c r="W154" i="30"/>
  <c r="V154" i="30"/>
  <c r="T154" i="30"/>
  <c r="S154" i="30"/>
  <c r="Q154" i="30"/>
  <c r="P154" i="30"/>
  <c r="N154" i="30"/>
  <c r="M154" i="30"/>
  <c r="K154" i="30"/>
  <c r="J154" i="30"/>
  <c r="H154" i="30"/>
  <c r="G154" i="30"/>
  <c r="E154" i="30"/>
  <c r="D154" i="30"/>
  <c r="X153" i="30"/>
  <c r="U153" i="30"/>
  <c r="R153" i="30"/>
  <c r="O153" i="30"/>
  <c r="L153" i="30"/>
  <c r="I153" i="30"/>
  <c r="F153" i="30"/>
  <c r="X152" i="30"/>
  <c r="U152" i="30"/>
  <c r="R152" i="30"/>
  <c r="O152" i="30"/>
  <c r="L152" i="30"/>
  <c r="I152" i="30"/>
  <c r="F152" i="30"/>
  <c r="X151" i="30"/>
  <c r="U151" i="30"/>
  <c r="R151" i="30"/>
  <c r="O151" i="30"/>
  <c r="L151" i="30"/>
  <c r="I151" i="30"/>
  <c r="F151" i="30"/>
  <c r="F150" i="30"/>
  <c r="F149" i="30"/>
  <c r="F148" i="30"/>
  <c r="F147" i="30"/>
  <c r="F146" i="30"/>
  <c r="F145" i="30"/>
  <c r="F144" i="30"/>
  <c r="F143" i="30"/>
  <c r="F142" i="30"/>
  <c r="F141" i="30"/>
  <c r="F140" i="30"/>
  <c r="F139" i="30"/>
  <c r="F138" i="30"/>
  <c r="F137" i="30"/>
  <c r="F136" i="30"/>
  <c r="F135" i="30"/>
  <c r="F134" i="30"/>
  <c r="F133" i="30"/>
  <c r="F132" i="30"/>
  <c r="F131" i="30"/>
  <c r="F130" i="30"/>
  <c r="F129" i="30"/>
  <c r="F128" i="30"/>
  <c r="F127" i="30"/>
  <c r="F126" i="30"/>
  <c r="F125" i="30"/>
  <c r="F124" i="30"/>
  <c r="F123" i="30"/>
  <c r="F122" i="30"/>
  <c r="X121" i="30"/>
  <c r="U121" i="30"/>
  <c r="R121" i="30"/>
  <c r="O121" i="30"/>
  <c r="L121" i="30"/>
  <c r="I121" i="30"/>
  <c r="F121" i="30"/>
  <c r="X120" i="30"/>
  <c r="U120" i="30"/>
  <c r="R120" i="30"/>
  <c r="O120" i="30"/>
  <c r="L120" i="30"/>
  <c r="I120" i="30"/>
  <c r="F120" i="30"/>
  <c r="X119" i="30"/>
  <c r="U119" i="30"/>
  <c r="R119" i="30"/>
  <c r="O119" i="30"/>
  <c r="L119" i="30"/>
  <c r="I119" i="30"/>
  <c r="F119" i="30"/>
  <c r="X118" i="30"/>
  <c r="U118" i="30"/>
  <c r="R118" i="30"/>
  <c r="O118" i="30"/>
  <c r="L118" i="30"/>
  <c r="I118" i="30"/>
  <c r="F118" i="30"/>
  <c r="X117" i="30"/>
  <c r="U117" i="30"/>
  <c r="R117" i="30"/>
  <c r="O117" i="30"/>
  <c r="L117" i="30"/>
  <c r="I117" i="30"/>
  <c r="F117" i="30"/>
  <c r="X116" i="30"/>
  <c r="U116" i="30"/>
  <c r="R116" i="30"/>
  <c r="O116" i="30"/>
  <c r="L116" i="30"/>
  <c r="I116" i="30"/>
  <c r="F116" i="30"/>
  <c r="X115" i="30"/>
  <c r="U115" i="30"/>
  <c r="R115" i="30"/>
  <c r="O115" i="30"/>
  <c r="L115" i="30"/>
  <c r="I115" i="30"/>
  <c r="F115" i="30"/>
  <c r="X114" i="30"/>
  <c r="U114" i="30"/>
  <c r="R114" i="30"/>
  <c r="O114" i="30"/>
  <c r="L114" i="30"/>
  <c r="I114" i="30"/>
  <c r="F114" i="30"/>
  <c r="X113" i="30"/>
  <c r="U113" i="30"/>
  <c r="R113" i="30"/>
  <c r="O113" i="30"/>
  <c r="L113" i="30"/>
  <c r="I113" i="30"/>
  <c r="F113" i="30"/>
  <c r="X112" i="30"/>
  <c r="U112" i="30"/>
  <c r="R112" i="30"/>
  <c r="O112" i="30"/>
  <c r="L112" i="30"/>
  <c r="I112" i="30"/>
  <c r="F112" i="30"/>
  <c r="X111" i="30"/>
  <c r="U111" i="30"/>
  <c r="R111" i="30"/>
  <c r="O111" i="30"/>
  <c r="L111" i="30"/>
  <c r="I111" i="30"/>
  <c r="F111" i="30"/>
  <c r="AD154" i="28"/>
  <c r="AB154" i="28"/>
  <c r="AA154" i="28"/>
  <c r="Y154" i="28"/>
  <c r="W154" i="28"/>
  <c r="V154" i="28"/>
  <c r="T154" i="28"/>
  <c r="S154" i="28"/>
  <c r="Q154" i="28"/>
  <c r="P154" i="28"/>
  <c r="N154" i="28"/>
  <c r="M154" i="28"/>
  <c r="K154" i="28"/>
  <c r="J154" i="28"/>
  <c r="H154" i="28"/>
  <c r="G154" i="28"/>
  <c r="E154" i="28"/>
  <c r="D154" i="28"/>
  <c r="X153" i="28"/>
  <c r="U153" i="28"/>
  <c r="R153" i="28"/>
  <c r="O153" i="28"/>
  <c r="L153" i="28"/>
  <c r="I153" i="28"/>
  <c r="F153" i="28"/>
  <c r="X152" i="28"/>
  <c r="U152" i="28"/>
  <c r="R152" i="28"/>
  <c r="O152" i="28"/>
  <c r="L152" i="28"/>
  <c r="I152" i="28"/>
  <c r="F152" i="28"/>
  <c r="X151" i="28"/>
  <c r="U151" i="28"/>
  <c r="R151" i="28"/>
  <c r="O151" i="28"/>
  <c r="L151" i="28"/>
  <c r="I151" i="28"/>
  <c r="F151" i="28"/>
  <c r="F150" i="28"/>
  <c r="F149" i="28"/>
  <c r="F148" i="28"/>
  <c r="F147" i="28"/>
  <c r="F146" i="28"/>
  <c r="F145" i="28"/>
  <c r="F144" i="28"/>
  <c r="F143" i="28"/>
  <c r="F142" i="28"/>
  <c r="F141" i="28"/>
  <c r="F140" i="28"/>
  <c r="F139" i="28"/>
  <c r="F138" i="28"/>
  <c r="F137" i="28"/>
  <c r="F136" i="28"/>
  <c r="F135" i="28"/>
  <c r="F134" i="28"/>
  <c r="F133" i="28"/>
  <c r="F132" i="28"/>
  <c r="F131" i="28"/>
  <c r="F130" i="28"/>
  <c r="F129" i="28"/>
  <c r="F128" i="28"/>
  <c r="F127" i="28"/>
  <c r="F126" i="28"/>
  <c r="F125" i="28"/>
  <c r="F124" i="28"/>
  <c r="F123" i="28"/>
  <c r="F122" i="28"/>
  <c r="X121" i="28"/>
  <c r="U121" i="28"/>
  <c r="R121" i="28"/>
  <c r="O121" i="28"/>
  <c r="L121" i="28"/>
  <c r="I121" i="28"/>
  <c r="F121" i="28"/>
  <c r="X120" i="28"/>
  <c r="U120" i="28"/>
  <c r="R120" i="28"/>
  <c r="O120" i="28"/>
  <c r="L120" i="28"/>
  <c r="I120" i="28"/>
  <c r="F120" i="28"/>
  <c r="X119" i="28"/>
  <c r="U119" i="28"/>
  <c r="R119" i="28"/>
  <c r="O119" i="28"/>
  <c r="L119" i="28"/>
  <c r="I119" i="28"/>
  <c r="F119" i="28"/>
  <c r="X118" i="28"/>
  <c r="U118" i="28"/>
  <c r="R118" i="28"/>
  <c r="O118" i="28"/>
  <c r="L118" i="28"/>
  <c r="I118" i="28"/>
  <c r="F118" i="28"/>
  <c r="X117" i="28"/>
  <c r="U117" i="28"/>
  <c r="R117" i="28"/>
  <c r="O117" i="28"/>
  <c r="L117" i="28"/>
  <c r="I117" i="28"/>
  <c r="F117" i="28"/>
  <c r="X116" i="28"/>
  <c r="U116" i="28"/>
  <c r="R116" i="28"/>
  <c r="O116" i="28"/>
  <c r="L116" i="28"/>
  <c r="I116" i="28"/>
  <c r="F116" i="28"/>
  <c r="X115" i="28"/>
  <c r="U115" i="28"/>
  <c r="R115" i="28"/>
  <c r="O115" i="28"/>
  <c r="L115" i="28"/>
  <c r="I115" i="28"/>
  <c r="F115" i="28"/>
  <c r="X114" i="28"/>
  <c r="U114" i="28"/>
  <c r="R114" i="28"/>
  <c r="O114" i="28"/>
  <c r="L114" i="28"/>
  <c r="I114" i="28"/>
  <c r="F114" i="28"/>
  <c r="X113" i="28"/>
  <c r="U113" i="28"/>
  <c r="R113" i="28"/>
  <c r="O113" i="28"/>
  <c r="L113" i="28"/>
  <c r="I113" i="28"/>
  <c r="F113" i="28"/>
  <c r="X112" i="28"/>
  <c r="U112" i="28"/>
  <c r="R112" i="28"/>
  <c r="O112" i="28"/>
  <c r="L112" i="28"/>
  <c r="I112" i="28"/>
  <c r="F112" i="28"/>
  <c r="X111" i="28"/>
  <c r="U111" i="28"/>
  <c r="R111" i="28"/>
  <c r="O111" i="28"/>
  <c r="L111" i="28"/>
  <c r="I111" i="28"/>
  <c r="F111" i="28"/>
  <c r="AD154" i="27"/>
  <c r="AB154" i="27"/>
  <c r="AA154" i="27"/>
  <c r="Y154" i="27"/>
  <c r="W154" i="27"/>
  <c r="V154" i="27"/>
  <c r="T154" i="27"/>
  <c r="S154" i="27"/>
  <c r="Q154" i="27"/>
  <c r="P154" i="27"/>
  <c r="N154" i="27"/>
  <c r="M154" i="27"/>
  <c r="K154" i="27"/>
  <c r="J154" i="27"/>
  <c r="H154" i="27"/>
  <c r="G154" i="27"/>
  <c r="E154" i="27"/>
  <c r="D154" i="27"/>
  <c r="X153" i="27"/>
  <c r="U153" i="27"/>
  <c r="R153" i="27"/>
  <c r="O153" i="27"/>
  <c r="L153" i="27"/>
  <c r="I153" i="27"/>
  <c r="F153" i="27"/>
  <c r="X152" i="27"/>
  <c r="U152" i="27"/>
  <c r="R152" i="27"/>
  <c r="O152" i="27"/>
  <c r="L152" i="27"/>
  <c r="I152" i="27"/>
  <c r="F152" i="27"/>
  <c r="X151" i="27"/>
  <c r="U151" i="27"/>
  <c r="R151" i="27"/>
  <c r="O151" i="27"/>
  <c r="L151" i="27"/>
  <c r="I151" i="27"/>
  <c r="F151" i="27"/>
  <c r="F150" i="27"/>
  <c r="F149" i="27"/>
  <c r="F148" i="27"/>
  <c r="F147" i="27"/>
  <c r="F146" i="27"/>
  <c r="F145" i="27"/>
  <c r="F144" i="27"/>
  <c r="F143" i="27"/>
  <c r="F142" i="27"/>
  <c r="F141" i="27"/>
  <c r="F140" i="27"/>
  <c r="F139" i="27"/>
  <c r="F138" i="27"/>
  <c r="F137" i="27"/>
  <c r="F136" i="27"/>
  <c r="F135" i="27"/>
  <c r="F134" i="27"/>
  <c r="F133" i="27"/>
  <c r="F132" i="27"/>
  <c r="F131" i="27"/>
  <c r="F130" i="27"/>
  <c r="F129" i="27"/>
  <c r="F128" i="27"/>
  <c r="F127" i="27"/>
  <c r="F126" i="27"/>
  <c r="F125" i="27"/>
  <c r="F124" i="27"/>
  <c r="F123" i="27"/>
  <c r="F122" i="27"/>
  <c r="X121" i="27"/>
  <c r="U121" i="27"/>
  <c r="R121" i="27"/>
  <c r="O121" i="27"/>
  <c r="L121" i="27"/>
  <c r="I121" i="27"/>
  <c r="F121" i="27"/>
  <c r="X120" i="27"/>
  <c r="U120" i="27"/>
  <c r="R120" i="27"/>
  <c r="O120" i="27"/>
  <c r="L120" i="27"/>
  <c r="I120" i="27"/>
  <c r="F120" i="27"/>
  <c r="X119" i="27"/>
  <c r="U119" i="27"/>
  <c r="R119" i="27"/>
  <c r="O119" i="27"/>
  <c r="L119" i="27"/>
  <c r="I119" i="27"/>
  <c r="F119" i="27"/>
  <c r="X118" i="27"/>
  <c r="U118" i="27"/>
  <c r="R118" i="27"/>
  <c r="O118" i="27"/>
  <c r="L118" i="27"/>
  <c r="I118" i="27"/>
  <c r="F118" i="27"/>
  <c r="X117" i="27"/>
  <c r="U117" i="27"/>
  <c r="R117" i="27"/>
  <c r="O117" i="27"/>
  <c r="L117" i="27"/>
  <c r="I117" i="27"/>
  <c r="F117" i="27"/>
  <c r="X116" i="27"/>
  <c r="U116" i="27"/>
  <c r="R116" i="27"/>
  <c r="O116" i="27"/>
  <c r="L116" i="27"/>
  <c r="I116" i="27"/>
  <c r="F116" i="27"/>
  <c r="X115" i="27"/>
  <c r="U115" i="27"/>
  <c r="R115" i="27"/>
  <c r="O115" i="27"/>
  <c r="L115" i="27"/>
  <c r="I115" i="27"/>
  <c r="F115" i="27"/>
  <c r="X114" i="27"/>
  <c r="U114" i="27"/>
  <c r="R114" i="27"/>
  <c r="O114" i="27"/>
  <c r="L114" i="27"/>
  <c r="I114" i="27"/>
  <c r="F114" i="27"/>
  <c r="X113" i="27"/>
  <c r="U113" i="27"/>
  <c r="R113" i="27"/>
  <c r="O113" i="27"/>
  <c r="L113" i="27"/>
  <c r="I113" i="27"/>
  <c r="F113" i="27"/>
  <c r="X112" i="27"/>
  <c r="U112" i="27"/>
  <c r="R112" i="27"/>
  <c r="O112" i="27"/>
  <c r="L112" i="27"/>
  <c r="I112" i="27"/>
  <c r="F112" i="27"/>
  <c r="X111" i="27"/>
  <c r="U111" i="27"/>
  <c r="R111" i="27"/>
  <c r="O111" i="27"/>
  <c r="L111" i="27"/>
  <c r="I111" i="27"/>
  <c r="F111" i="27"/>
  <c r="AD154" i="26"/>
  <c r="AB154" i="26"/>
  <c r="AA154" i="26"/>
  <c r="Y154" i="26"/>
  <c r="W154" i="26"/>
  <c r="V154" i="26"/>
  <c r="T154" i="26"/>
  <c r="S154" i="26"/>
  <c r="Q154" i="26"/>
  <c r="P154" i="26"/>
  <c r="N154" i="26"/>
  <c r="M154" i="26"/>
  <c r="K154" i="26"/>
  <c r="J154" i="26"/>
  <c r="H154" i="26"/>
  <c r="G154" i="26"/>
  <c r="E154" i="26"/>
  <c r="D154" i="26"/>
  <c r="X153" i="26"/>
  <c r="U153" i="26"/>
  <c r="R153" i="26"/>
  <c r="O153" i="26"/>
  <c r="L153" i="26"/>
  <c r="I153" i="26"/>
  <c r="F153" i="26"/>
  <c r="X152" i="26"/>
  <c r="U152" i="26"/>
  <c r="R152" i="26"/>
  <c r="O152" i="26"/>
  <c r="L152" i="26"/>
  <c r="I152" i="26"/>
  <c r="F152" i="26"/>
  <c r="X151" i="26"/>
  <c r="U151" i="26"/>
  <c r="R151" i="26"/>
  <c r="O151" i="26"/>
  <c r="L151" i="26"/>
  <c r="I151" i="26"/>
  <c r="F151" i="26"/>
  <c r="F150" i="26"/>
  <c r="F149" i="26"/>
  <c r="F148" i="26"/>
  <c r="F147" i="26"/>
  <c r="F146" i="26"/>
  <c r="F145" i="26"/>
  <c r="F144" i="26"/>
  <c r="F143" i="26"/>
  <c r="F142" i="26"/>
  <c r="F141" i="26"/>
  <c r="F140" i="26"/>
  <c r="F139" i="26"/>
  <c r="F138" i="26"/>
  <c r="F137" i="26"/>
  <c r="F136" i="26"/>
  <c r="F135" i="26"/>
  <c r="F134" i="26"/>
  <c r="F133" i="26"/>
  <c r="F132" i="26"/>
  <c r="F131" i="26"/>
  <c r="F130" i="26"/>
  <c r="F129" i="26"/>
  <c r="F128" i="26"/>
  <c r="F127" i="26"/>
  <c r="F126" i="26"/>
  <c r="F125" i="26"/>
  <c r="F124" i="26"/>
  <c r="F123" i="26"/>
  <c r="F122" i="26"/>
  <c r="X121" i="26"/>
  <c r="U121" i="26"/>
  <c r="R121" i="26"/>
  <c r="O121" i="26"/>
  <c r="L121" i="26"/>
  <c r="I121" i="26"/>
  <c r="F121" i="26"/>
  <c r="X120" i="26"/>
  <c r="U120" i="26"/>
  <c r="R120" i="26"/>
  <c r="O120" i="26"/>
  <c r="L120" i="26"/>
  <c r="I120" i="26"/>
  <c r="F120" i="26"/>
  <c r="X119" i="26"/>
  <c r="U119" i="26"/>
  <c r="R119" i="26"/>
  <c r="O119" i="26"/>
  <c r="L119" i="26"/>
  <c r="I119" i="26"/>
  <c r="F119" i="26"/>
  <c r="X118" i="26"/>
  <c r="U118" i="26"/>
  <c r="R118" i="26"/>
  <c r="O118" i="26"/>
  <c r="L118" i="26"/>
  <c r="I118" i="26"/>
  <c r="F118" i="26"/>
  <c r="X117" i="26"/>
  <c r="U117" i="26"/>
  <c r="R117" i="26"/>
  <c r="O117" i="26"/>
  <c r="L117" i="26"/>
  <c r="I117" i="26"/>
  <c r="F117" i="26"/>
  <c r="X116" i="26"/>
  <c r="U116" i="26"/>
  <c r="R116" i="26"/>
  <c r="O116" i="26"/>
  <c r="L116" i="26"/>
  <c r="I116" i="26"/>
  <c r="F116" i="26"/>
  <c r="X115" i="26"/>
  <c r="U115" i="26"/>
  <c r="R115" i="26"/>
  <c r="O115" i="26"/>
  <c r="L115" i="26"/>
  <c r="I115" i="26"/>
  <c r="F115" i="26"/>
  <c r="X114" i="26"/>
  <c r="U114" i="26"/>
  <c r="R114" i="26"/>
  <c r="O114" i="26"/>
  <c r="L114" i="26"/>
  <c r="I114" i="26"/>
  <c r="F114" i="26"/>
  <c r="X113" i="26"/>
  <c r="U113" i="26"/>
  <c r="R113" i="26"/>
  <c r="O113" i="26"/>
  <c r="L113" i="26"/>
  <c r="I113" i="26"/>
  <c r="F113" i="26"/>
  <c r="X112" i="26"/>
  <c r="U112" i="26"/>
  <c r="R112" i="26"/>
  <c r="O112" i="26"/>
  <c r="L112" i="26"/>
  <c r="I112" i="26"/>
  <c r="F112" i="26"/>
  <c r="X111" i="26"/>
  <c r="U111" i="26"/>
  <c r="R111" i="26"/>
  <c r="O111" i="26"/>
  <c r="L111" i="26"/>
  <c r="I111" i="26"/>
  <c r="F111" i="26"/>
  <c r="F99" i="5"/>
  <c r="I99" i="5"/>
  <c r="L99" i="5"/>
  <c r="O99" i="5"/>
  <c r="R99" i="5"/>
  <c r="U99" i="5"/>
  <c r="X99" i="5"/>
  <c r="F100" i="5"/>
  <c r="I100" i="5"/>
  <c r="L100" i="5"/>
  <c r="O100" i="5"/>
  <c r="R100" i="5"/>
  <c r="U100" i="5"/>
  <c r="X100" i="5"/>
  <c r="F101" i="5"/>
  <c r="I101" i="5"/>
  <c r="L101" i="5"/>
  <c r="O101" i="5"/>
  <c r="R101" i="5"/>
  <c r="U101" i="5"/>
  <c r="X101" i="5"/>
  <c r="F102" i="5"/>
  <c r="I102" i="5"/>
  <c r="L102" i="5"/>
  <c r="O102" i="5"/>
  <c r="R102" i="5"/>
  <c r="U102" i="5"/>
  <c r="X102" i="5"/>
  <c r="F103" i="5"/>
  <c r="I103" i="5"/>
  <c r="L103" i="5"/>
  <c r="O103" i="5"/>
  <c r="R103" i="5"/>
  <c r="U103" i="5"/>
  <c r="X103" i="5"/>
  <c r="F104" i="5"/>
  <c r="I104" i="5"/>
  <c r="L104" i="5"/>
  <c r="O104" i="5"/>
  <c r="R104" i="5"/>
  <c r="U104" i="5"/>
  <c r="X104" i="5"/>
  <c r="F105" i="5"/>
  <c r="I105" i="5"/>
  <c r="L105" i="5"/>
  <c r="O105" i="5"/>
  <c r="R105" i="5"/>
  <c r="U105" i="5"/>
  <c r="X105" i="5"/>
  <c r="F106" i="5"/>
  <c r="I106" i="5"/>
  <c r="L106" i="5"/>
  <c r="O106" i="5"/>
  <c r="R106" i="5"/>
  <c r="U106" i="5"/>
  <c r="X106" i="5"/>
  <c r="F107" i="5"/>
  <c r="I107" i="5"/>
  <c r="L107" i="5"/>
  <c r="O107" i="5"/>
  <c r="R107" i="5"/>
  <c r="U107" i="5"/>
  <c r="X107" i="5"/>
  <c r="F108" i="5"/>
  <c r="I108" i="5"/>
  <c r="L108" i="5"/>
  <c r="O108" i="5"/>
  <c r="R108" i="5"/>
  <c r="U108" i="5"/>
  <c r="X108" i="5"/>
  <c r="F109" i="5"/>
  <c r="I109" i="5"/>
  <c r="L109" i="5"/>
  <c r="O109" i="5"/>
  <c r="R109" i="5"/>
  <c r="U109" i="5"/>
  <c r="X109" i="5"/>
  <c r="F110" i="5"/>
  <c r="I110" i="5"/>
  <c r="L110" i="5"/>
  <c r="O110" i="5"/>
  <c r="R110" i="5"/>
  <c r="U110" i="5"/>
  <c r="X110" i="5"/>
  <c r="F111" i="5"/>
  <c r="I111" i="5"/>
  <c r="L111" i="5"/>
  <c r="O111" i="5"/>
  <c r="R111" i="5"/>
  <c r="U111" i="5"/>
  <c r="X111" i="5"/>
  <c r="F112" i="5"/>
  <c r="I112" i="5"/>
  <c r="L112" i="5"/>
  <c r="O112" i="5"/>
  <c r="R112" i="5"/>
  <c r="U112" i="5"/>
  <c r="X112" i="5"/>
  <c r="F113" i="5"/>
  <c r="I113" i="5"/>
  <c r="L113" i="5"/>
  <c r="O113" i="5"/>
  <c r="R113" i="5"/>
  <c r="U113" i="5"/>
  <c r="X113" i="5"/>
  <c r="F114" i="5"/>
  <c r="I114" i="5"/>
  <c r="L114" i="5"/>
  <c r="O114" i="5"/>
  <c r="R114" i="5"/>
  <c r="U114" i="5"/>
  <c r="X114" i="5"/>
  <c r="F115" i="5"/>
  <c r="I115" i="5"/>
  <c r="L115" i="5"/>
  <c r="O115" i="5"/>
  <c r="R115" i="5"/>
  <c r="U115" i="5"/>
  <c r="X115" i="5"/>
  <c r="F116" i="5"/>
  <c r="I116" i="5"/>
  <c r="L116" i="5"/>
  <c r="O116" i="5"/>
  <c r="R116" i="5"/>
  <c r="U116" i="5"/>
  <c r="X116" i="5"/>
  <c r="F117" i="5"/>
  <c r="I117" i="5"/>
  <c r="L117" i="5"/>
  <c r="O117" i="5"/>
  <c r="R117" i="5"/>
  <c r="U117" i="5"/>
  <c r="X117" i="5"/>
  <c r="F118" i="5"/>
  <c r="I118" i="5"/>
  <c r="L118" i="5"/>
  <c r="O118" i="5"/>
  <c r="R118" i="5"/>
  <c r="U118" i="5"/>
  <c r="X118" i="5"/>
  <c r="F119" i="5"/>
  <c r="I119" i="5"/>
  <c r="L119" i="5"/>
  <c r="O119" i="5"/>
  <c r="R119" i="5"/>
  <c r="U119" i="5"/>
  <c r="X119" i="5"/>
  <c r="F120" i="5"/>
  <c r="I120" i="5"/>
  <c r="L120" i="5"/>
  <c r="O120" i="5"/>
  <c r="R120" i="5"/>
  <c r="U120" i="5"/>
  <c r="X120" i="5"/>
  <c r="F121" i="5"/>
  <c r="I121" i="5"/>
  <c r="L121" i="5"/>
  <c r="O121" i="5"/>
  <c r="R121" i="5"/>
  <c r="U121" i="5"/>
  <c r="X121" i="5"/>
  <c r="F122" i="5"/>
  <c r="I122" i="5"/>
  <c r="L122" i="5"/>
  <c r="O122" i="5"/>
  <c r="R122" i="5"/>
  <c r="U122" i="5"/>
  <c r="X122" i="5"/>
  <c r="F123" i="5"/>
  <c r="I123" i="5"/>
  <c r="L123" i="5"/>
  <c r="O123" i="5"/>
  <c r="R123" i="5"/>
  <c r="U123" i="5"/>
  <c r="X123" i="5"/>
  <c r="F124" i="5"/>
  <c r="I124" i="5"/>
  <c r="L124" i="5"/>
  <c r="O124" i="5"/>
  <c r="R124" i="5"/>
  <c r="U124" i="5"/>
  <c r="X124" i="5"/>
  <c r="D125" i="5"/>
  <c r="E125" i="5"/>
  <c r="G125" i="5"/>
  <c r="H125" i="5"/>
  <c r="J125" i="5"/>
  <c r="K125" i="5"/>
  <c r="M125" i="5"/>
  <c r="N125" i="5"/>
  <c r="P125" i="5"/>
  <c r="Q125" i="5"/>
  <c r="S125" i="5"/>
  <c r="T125" i="5"/>
  <c r="V125" i="5"/>
  <c r="W125" i="5"/>
  <c r="Y125" i="5"/>
  <c r="AA125" i="5"/>
  <c r="AB125" i="5"/>
  <c r="AD125" i="5"/>
  <c r="G154" i="29"/>
  <c r="H154" i="29"/>
  <c r="J154" i="29"/>
  <c r="K154" i="29"/>
  <c r="M154" i="29"/>
  <c r="N154" i="29"/>
  <c r="P154" i="29"/>
  <c r="Q154" i="29"/>
  <c r="S154" i="29"/>
  <c r="T154" i="29"/>
  <c r="V154" i="29"/>
  <c r="W154" i="29"/>
  <c r="Y154" i="29"/>
  <c r="AA154" i="29"/>
  <c r="AB154" i="29"/>
  <c r="AD154" i="29"/>
  <c r="D154" i="29"/>
  <c r="E154" i="29"/>
  <c r="F121" i="29"/>
  <c r="F122" i="29"/>
  <c r="F123" i="29"/>
  <c r="F124" i="29"/>
  <c r="F125" i="29"/>
  <c r="F126" i="29"/>
  <c r="F127" i="29"/>
  <c r="F128" i="29"/>
  <c r="F129" i="29"/>
  <c r="F130" i="29"/>
  <c r="F131" i="29"/>
  <c r="F132" i="29"/>
  <c r="F133" i="29"/>
  <c r="F134" i="29"/>
  <c r="F135" i="29"/>
  <c r="F136" i="29"/>
  <c r="F137" i="29"/>
  <c r="F138" i="29"/>
  <c r="F139" i="29"/>
  <c r="F140" i="29"/>
  <c r="F141" i="29"/>
  <c r="F142" i="29"/>
  <c r="F143" i="29"/>
  <c r="F144" i="29"/>
  <c r="F145" i="29"/>
  <c r="F146" i="29"/>
  <c r="F147" i="29"/>
  <c r="F148" i="29"/>
  <c r="F149" i="29"/>
  <c r="F150" i="29"/>
  <c r="F151" i="29"/>
  <c r="F152" i="29"/>
  <c r="F153" i="29"/>
  <c r="X110" i="19"/>
  <c r="U110" i="19"/>
  <c r="R110" i="19"/>
  <c r="O110" i="19"/>
  <c r="L110" i="19"/>
  <c r="I110" i="19"/>
  <c r="F110" i="19"/>
  <c r="X109" i="19"/>
  <c r="U109" i="19"/>
  <c r="R109" i="19"/>
  <c r="O109" i="19"/>
  <c r="L109" i="19"/>
  <c r="I109" i="19"/>
  <c r="F109" i="19"/>
  <c r="X108" i="19"/>
  <c r="U108" i="19"/>
  <c r="R108" i="19"/>
  <c r="O108" i="19"/>
  <c r="L108" i="19"/>
  <c r="I108" i="19"/>
  <c r="F108" i="19"/>
  <c r="X107" i="19"/>
  <c r="U107" i="19"/>
  <c r="R107" i="19"/>
  <c r="O107" i="19"/>
  <c r="L107" i="19"/>
  <c r="I107" i="19"/>
  <c r="F107" i="19"/>
  <c r="X106" i="19"/>
  <c r="U106" i="19"/>
  <c r="R106" i="19"/>
  <c r="O106" i="19"/>
  <c r="L106" i="19"/>
  <c r="I106" i="19"/>
  <c r="F106" i="19"/>
  <c r="X105" i="19"/>
  <c r="U105" i="19"/>
  <c r="R105" i="19"/>
  <c r="O105" i="19"/>
  <c r="L105" i="19"/>
  <c r="I105" i="19"/>
  <c r="F105" i="19"/>
  <c r="X104" i="19"/>
  <c r="U104" i="19"/>
  <c r="R104" i="19"/>
  <c r="O104" i="19"/>
  <c r="L104" i="19"/>
  <c r="I104" i="19"/>
  <c r="F104" i="19"/>
  <c r="X103" i="19"/>
  <c r="U103" i="19"/>
  <c r="R103" i="19"/>
  <c r="O103" i="19"/>
  <c r="L103" i="19"/>
  <c r="I103" i="19"/>
  <c r="F103" i="19"/>
  <c r="X102" i="19"/>
  <c r="U102" i="19"/>
  <c r="R102" i="19"/>
  <c r="O102" i="19"/>
  <c r="L102" i="19"/>
  <c r="I102" i="19"/>
  <c r="F102" i="19"/>
  <c r="X101" i="19"/>
  <c r="U101" i="19"/>
  <c r="R101" i="19"/>
  <c r="O101" i="19"/>
  <c r="L101" i="19"/>
  <c r="I101" i="19"/>
  <c r="F101" i="19"/>
  <c r="X100" i="19"/>
  <c r="U100" i="19"/>
  <c r="R100" i="19"/>
  <c r="O100" i="19"/>
  <c r="L100" i="19"/>
  <c r="I100" i="19"/>
  <c r="F100" i="19"/>
  <c r="X99" i="19"/>
  <c r="U99" i="19"/>
  <c r="R99" i="19"/>
  <c r="O99" i="19"/>
  <c r="L99" i="19"/>
  <c r="I99" i="19"/>
  <c r="F99" i="19"/>
  <c r="X110" i="54"/>
  <c r="U110" i="54"/>
  <c r="R110" i="54"/>
  <c r="O110" i="54"/>
  <c r="L110" i="54"/>
  <c r="I110" i="54"/>
  <c r="F110" i="54"/>
  <c r="X109" i="54"/>
  <c r="U109" i="54"/>
  <c r="R109" i="54"/>
  <c r="O109" i="54"/>
  <c r="L109" i="54"/>
  <c r="I109" i="54"/>
  <c r="F109" i="54"/>
  <c r="X108" i="54"/>
  <c r="U108" i="54"/>
  <c r="R108" i="54"/>
  <c r="O108" i="54"/>
  <c r="L108" i="54"/>
  <c r="I108" i="54"/>
  <c r="F108" i="54"/>
  <c r="X107" i="54"/>
  <c r="U107" i="54"/>
  <c r="R107" i="54"/>
  <c r="O107" i="54"/>
  <c r="L107" i="54"/>
  <c r="I107" i="54"/>
  <c r="F107" i="54"/>
  <c r="X106" i="54"/>
  <c r="U106" i="54"/>
  <c r="R106" i="54"/>
  <c r="O106" i="54"/>
  <c r="L106" i="54"/>
  <c r="I106" i="54"/>
  <c r="F106" i="54"/>
  <c r="X105" i="54"/>
  <c r="U105" i="54"/>
  <c r="R105" i="54"/>
  <c r="O105" i="54"/>
  <c r="L105" i="54"/>
  <c r="I105" i="54"/>
  <c r="F105" i="54"/>
  <c r="X104" i="54"/>
  <c r="U104" i="54"/>
  <c r="R104" i="54"/>
  <c r="O104" i="54"/>
  <c r="L104" i="54"/>
  <c r="I104" i="54"/>
  <c r="F104" i="54"/>
  <c r="X103" i="54"/>
  <c r="U103" i="54"/>
  <c r="R103" i="54"/>
  <c r="O103" i="54"/>
  <c r="L103" i="54"/>
  <c r="I103" i="54"/>
  <c r="F103" i="54"/>
  <c r="X102" i="54"/>
  <c r="U102" i="54"/>
  <c r="R102" i="54"/>
  <c r="O102" i="54"/>
  <c r="L102" i="54"/>
  <c r="I102" i="54"/>
  <c r="F102" i="54"/>
  <c r="X101" i="54"/>
  <c r="U101" i="54"/>
  <c r="R101" i="54"/>
  <c r="O101" i="54"/>
  <c r="L101" i="54"/>
  <c r="I101" i="54"/>
  <c r="F101" i="54"/>
  <c r="X100" i="54"/>
  <c r="U100" i="54"/>
  <c r="R100" i="54"/>
  <c r="O100" i="54"/>
  <c r="L100" i="54"/>
  <c r="I100" i="54"/>
  <c r="F100" i="54"/>
  <c r="X99" i="54"/>
  <c r="U99" i="54"/>
  <c r="R99" i="54"/>
  <c r="O99" i="54"/>
  <c r="L99" i="54"/>
  <c r="I99" i="54"/>
  <c r="F99" i="54"/>
  <c r="X110" i="53"/>
  <c r="U110" i="53"/>
  <c r="R110" i="53"/>
  <c r="O110" i="53"/>
  <c r="L110" i="53"/>
  <c r="I110" i="53"/>
  <c r="F110" i="53"/>
  <c r="X109" i="53"/>
  <c r="U109" i="53"/>
  <c r="R109" i="53"/>
  <c r="O109" i="53"/>
  <c r="L109" i="53"/>
  <c r="I109" i="53"/>
  <c r="F109" i="53"/>
  <c r="X108" i="53"/>
  <c r="U108" i="53"/>
  <c r="R108" i="53"/>
  <c r="O108" i="53"/>
  <c r="L108" i="53"/>
  <c r="I108" i="53"/>
  <c r="F108" i="53"/>
  <c r="X107" i="53"/>
  <c r="U107" i="53"/>
  <c r="R107" i="53"/>
  <c r="O107" i="53"/>
  <c r="L107" i="53"/>
  <c r="I107" i="53"/>
  <c r="F107" i="53"/>
  <c r="X106" i="53"/>
  <c r="U106" i="53"/>
  <c r="R106" i="53"/>
  <c r="O106" i="53"/>
  <c r="L106" i="53"/>
  <c r="I106" i="53"/>
  <c r="F106" i="53"/>
  <c r="X105" i="53"/>
  <c r="U105" i="53"/>
  <c r="R105" i="53"/>
  <c r="O105" i="53"/>
  <c r="L105" i="53"/>
  <c r="I105" i="53"/>
  <c r="F105" i="53"/>
  <c r="X104" i="53"/>
  <c r="U104" i="53"/>
  <c r="R104" i="53"/>
  <c r="O104" i="53"/>
  <c r="L104" i="53"/>
  <c r="I104" i="53"/>
  <c r="F104" i="53"/>
  <c r="X103" i="53"/>
  <c r="U103" i="53"/>
  <c r="R103" i="53"/>
  <c r="O103" i="53"/>
  <c r="L103" i="53"/>
  <c r="I103" i="53"/>
  <c r="F103" i="53"/>
  <c r="X102" i="53"/>
  <c r="U102" i="53"/>
  <c r="R102" i="53"/>
  <c r="O102" i="53"/>
  <c r="L102" i="53"/>
  <c r="I102" i="53"/>
  <c r="F102" i="53"/>
  <c r="X101" i="53"/>
  <c r="U101" i="53"/>
  <c r="R101" i="53"/>
  <c r="O101" i="53"/>
  <c r="L101" i="53"/>
  <c r="I101" i="53"/>
  <c r="F101" i="53"/>
  <c r="X100" i="53"/>
  <c r="U100" i="53"/>
  <c r="R100" i="53"/>
  <c r="O100" i="53"/>
  <c r="L100" i="53"/>
  <c r="I100" i="53"/>
  <c r="F100" i="53"/>
  <c r="X99" i="53"/>
  <c r="U99" i="53"/>
  <c r="R99" i="53"/>
  <c r="O99" i="53"/>
  <c r="L99" i="53"/>
  <c r="I99" i="53"/>
  <c r="F99" i="53"/>
  <c r="X110" i="52"/>
  <c r="U110" i="52"/>
  <c r="R110" i="52"/>
  <c r="O110" i="52"/>
  <c r="L110" i="52"/>
  <c r="I110" i="52"/>
  <c r="F110" i="52"/>
  <c r="X109" i="52"/>
  <c r="U109" i="52"/>
  <c r="R109" i="52"/>
  <c r="O109" i="52"/>
  <c r="L109" i="52"/>
  <c r="I109" i="52"/>
  <c r="F109" i="52"/>
  <c r="X108" i="52"/>
  <c r="U108" i="52"/>
  <c r="R108" i="52"/>
  <c r="O108" i="52"/>
  <c r="L108" i="52"/>
  <c r="I108" i="52"/>
  <c r="F108" i="52"/>
  <c r="X107" i="52"/>
  <c r="U107" i="52"/>
  <c r="R107" i="52"/>
  <c r="O107" i="52"/>
  <c r="L107" i="52"/>
  <c r="I107" i="52"/>
  <c r="F107" i="52"/>
  <c r="X106" i="52"/>
  <c r="U106" i="52"/>
  <c r="R106" i="52"/>
  <c r="O106" i="52"/>
  <c r="L106" i="52"/>
  <c r="I106" i="52"/>
  <c r="F106" i="52"/>
  <c r="X105" i="52"/>
  <c r="U105" i="52"/>
  <c r="R105" i="52"/>
  <c r="O105" i="52"/>
  <c r="L105" i="52"/>
  <c r="I105" i="52"/>
  <c r="F105" i="52"/>
  <c r="X104" i="52"/>
  <c r="U104" i="52"/>
  <c r="R104" i="52"/>
  <c r="O104" i="52"/>
  <c r="L104" i="52"/>
  <c r="I104" i="52"/>
  <c r="F104" i="52"/>
  <c r="X103" i="52"/>
  <c r="U103" i="52"/>
  <c r="R103" i="52"/>
  <c r="O103" i="52"/>
  <c r="L103" i="52"/>
  <c r="I103" i="52"/>
  <c r="F103" i="52"/>
  <c r="X102" i="52"/>
  <c r="U102" i="52"/>
  <c r="R102" i="52"/>
  <c r="O102" i="52"/>
  <c r="L102" i="52"/>
  <c r="I102" i="52"/>
  <c r="F102" i="52"/>
  <c r="X101" i="52"/>
  <c r="U101" i="52"/>
  <c r="R101" i="52"/>
  <c r="O101" i="52"/>
  <c r="L101" i="52"/>
  <c r="I101" i="52"/>
  <c r="F101" i="52"/>
  <c r="X100" i="52"/>
  <c r="U100" i="52"/>
  <c r="R100" i="52"/>
  <c r="O100" i="52"/>
  <c r="L100" i="52"/>
  <c r="I100" i="52"/>
  <c r="F100" i="52"/>
  <c r="X99" i="52"/>
  <c r="U99" i="52"/>
  <c r="R99" i="52"/>
  <c r="O99" i="52"/>
  <c r="L99" i="52"/>
  <c r="I99" i="52"/>
  <c r="F99" i="52"/>
  <c r="X110" i="51"/>
  <c r="U110" i="51"/>
  <c r="R110" i="51"/>
  <c r="O110" i="51"/>
  <c r="L110" i="51"/>
  <c r="I110" i="51"/>
  <c r="F110" i="51"/>
  <c r="X109" i="51"/>
  <c r="U109" i="51"/>
  <c r="R109" i="51"/>
  <c r="O109" i="51"/>
  <c r="L109" i="51"/>
  <c r="I109" i="51"/>
  <c r="F109" i="51"/>
  <c r="X108" i="51"/>
  <c r="U108" i="51"/>
  <c r="R108" i="51"/>
  <c r="O108" i="51"/>
  <c r="L108" i="51"/>
  <c r="I108" i="51"/>
  <c r="F108" i="51"/>
  <c r="X107" i="51"/>
  <c r="U107" i="51"/>
  <c r="R107" i="51"/>
  <c r="O107" i="51"/>
  <c r="L107" i="51"/>
  <c r="I107" i="51"/>
  <c r="F107" i="51"/>
  <c r="X106" i="51"/>
  <c r="U106" i="51"/>
  <c r="R106" i="51"/>
  <c r="O106" i="51"/>
  <c r="L106" i="51"/>
  <c r="I106" i="51"/>
  <c r="F106" i="51"/>
  <c r="X105" i="51"/>
  <c r="U105" i="51"/>
  <c r="R105" i="51"/>
  <c r="O105" i="51"/>
  <c r="L105" i="51"/>
  <c r="I105" i="51"/>
  <c r="F105" i="51"/>
  <c r="X104" i="51"/>
  <c r="U104" i="51"/>
  <c r="R104" i="51"/>
  <c r="O104" i="51"/>
  <c r="L104" i="51"/>
  <c r="I104" i="51"/>
  <c r="F104" i="51"/>
  <c r="X103" i="51"/>
  <c r="U103" i="51"/>
  <c r="R103" i="51"/>
  <c r="O103" i="51"/>
  <c r="L103" i="51"/>
  <c r="I103" i="51"/>
  <c r="F103" i="51"/>
  <c r="X102" i="51"/>
  <c r="U102" i="51"/>
  <c r="R102" i="51"/>
  <c r="O102" i="51"/>
  <c r="L102" i="51"/>
  <c r="I102" i="51"/>
  <c r="F102" i="51"/>
  <c r="X101" i="51"/>
  <c r="U101" i="51"/>
  <c r="R101" i="51"/>
  <c r="O101" i="51"/>
  <c r="L101" i="51"/>
  <c r="I101" i="51"/>
  <c r="F101" i="51"/>
  <c r="X100" i="51"/>
  <c r="U100" i="51"/>
  <c r="R100" i="51"/>
  <c r="O100" i="51"/>
  <c r="L100" i="51"/>
  <c r="I100" i="51"/>
  <c r="F100" i="51"/>
  <c r="X99" i="51"/>
  <c r="U99" i="51"/>
  <c r="R99" i="51"/>
  <c r="O99" i="51"/>
  <c r="L99" i="51"/>
  <c r="I99" i="51"/>
  <c r="F99" i="51"/>
  <c r="X110" i="50"/>
  <c r="U110" i="50"/>
  <c r="R110" i="50"/>
  <c r="O110" i="50"/>
  <c r="L110" i="50"/>
  <c r="I110" i="50"/>
  <c r="F110" i="50"/>
  <c r="X109" i="50"/>
  <c r="U109" i="50"/>
  <c r="R109" i="50"/>
  <c r="O109" i="50"/>
  <c r="L109" i="50"/>
  <c r="I109" i="50"/>
  <c r="F109" i="50"/>
  <c r="X108" i="50"/>
  <c r="U108" i="50"/>
  <c r="R108" i="50"/>
  <c r="O108" i="50"/>
  <c r="L108" i="50"/>
  <c r="I108" i="50"/>
  <c r="F108" i="50"/>
  <c r="X107" i="50"/>
  <c r="U107" i="50"/>
  <c r="R107" i="50"/>
  <c r="O107" i="50"/>
  <c r="L107" i="50"/>
  <c r="I107" i="50"/>
  <c r="F107" i="50"/>
  <c r="X106" i="50"/>
  <c r="U106" i="50"/>
  <c r="R106" i="50"/>
  <c r="O106" i="50"/>
  <c r="L106" i="50"/>
  <c r="I106" i="50"/>
  <c r="F106" i="50"/>
  <c r="X105" i="50"/>
  <c r="U105" i="50"/>
  <c r="R105" i="50"/>
  <c r="O105" i="50"/>
  <c r="L105" i="50"/>
  <c r="I105" i="50"/>
  <c r="F105" i="50"/>
  <c r="X104" i="50"/>
  <c r="U104" i="50"/>
  <c r="R104" i="50"/>
  <c r="O104" i="50"/>
  <c r="L104" i="50"/>
  <c r="I104" i="50"/>
  <c r="F104" i="50"/>
  <c r="X103" i="50"/>
  <c r="U103" i="50"/>
  <c r="R103" i="50"/>
  <c r="O103" i="50"/>
  <c r="L103" i="50"/>
  <c r="I103" i="50"/>
  <c r="F103" i="50"/>
  <c r="X102" i="50"/>
  <c r="U102" i="50"/>
  <c r="R102" i="50"/>
  <c r="O102" i="50"/>
  <c r="L102" i="50"/>
  <c r="I102" i="50"/>
  <c r="F102" i="50"/>
  <c r="X101" i="50"/>
  <c r="U101" i="50"/>
  <c r="R101" i="50"/>
  <c r="O101" i="50"/>
  <c r="L101" i="50"/>
  <c r="I101" i="50"/>
  <c r="F101" i="50"/>
  <c r="X100" i="50"/>
  <c r="U100" i="50"/>
  <c r="R100" i="50"/>
  <c r="O100" i="50"/>
  <c r="L100" i="50"/>
  <c r="I100" i="50"/>
  <c r="F100" i="50"/>
  <c r="X99" i="50"/>
  <c r="U99" i="50"/>
  <c r="R99" i="50"/>
  <c r="O99" i="50"/>
  <c r="L99" i="50"/>
  <c r="I99" i="50"/>
  <c r="F99" i="50"/>
  <c r="X110" i="49"/>
  <c r="U110" i="49"/>
  <c r="R110" i="49"/>
  <c r="O110" i="49"/>
  <c r="L110" i="49"/>
  <c r="I110" i="49"/>
  <c r="F110" i="49"/>
  <c r="X109" i="49"/>
  <c r="U109" i="49"/>
  <c r="R109" i="49"/>
  <c r="O109" i="49"/>
  <c r="L109" i="49"/>
  <c r="I109" i="49"/>
  <c r="F109" i="49"/>
  <c r="X108" i="49"/>
  <c r="U108" i="49"/>
  <c r="R108" i="49"/>
  <c r="O108" i="49"/>
  <c r="L108" i="49"/>
  <c r="I108" i="49"/>
  <c r="F108" i="49"/>
  <c r="X107" i="49"/>
  <c r="U107" i="49"/>
  <c r="R107" i="49"/>
  <c r="O107" i="49"/>
  <c r="L107" i="49"/>
  <c r="I107" i="49"/>
  <c r="F107" i="49"/>
  <c r="X106" i="49"/>
  <c r="U106" i="49"/>
  <c r="R106" i="49"/>
  <c r="O106" i="49"/>
  <c r="L106" i="49"/>
  <c r="I106" i="49"/>
  <c r="F106" i="49"/>
  <c r="X105" i="49"/>
  <c r="U105" i="49"/>
  <c r="R105" i="49"/>
  <c r="O105" i="49"/>
  <c r="L105" i="49"/>
  <c r="I105" i="49"/>
  <c r="F105" i="49"/>
  <c r="X104" i="49"/>
  <c r="U104" i="49"/>
  <c r="R104" i="49"/>
  <c r="O104" i="49"/>
  <c r="L104" i="49"/>
  <c r="I104" i="49"/>
  <c r="F104" i="49"/>
  <c r="X103" i="49"/>
  <c r="U103" i="49"/>
  <c r="R103" i="49"/>
  <c r="O103" i="49"/>
  <c r="L103" i="49"/>
  <c r="I103" i="49"/>
  <c r="F103" i="49"/>
  <c r="X102" i="49"/>
  <c r="U102" i="49"/>
  <c r="R102" i="49"/>
  <c r="O102" i="49"/>
  <c r="L102" i="49"/>
  <c r="I102" i="49"/>
  <c r="F102" i="49"/>
  <c r="X101" i="49"/>
  <c r="U101" i="49"/>
  <c r="R101" i="49"/>
  <c r="O101" i="49"/>
  <c r="L101" i="49"/>
  <c r="I101" i="49"/>
  <c r="F101" i="49"/>
  <c r="X100" i="49"/>
  <c r="U100" i="49"/>
  <c r="R100" i="49"/>
  <c r="O100" i="49"/>
  <c r="L100" i="49"/>
  <c r="I100" i="49"/>
  <c r="F100" i="49"/>
  <c r="X99" i="49"/>
  <c r="U99" i="49"/>
  <c r="R99" i="49"/>
  <c r="O99" i="49"/>
  <c r="L99" i="49"/>
  <c r="I99" i="49"/>
  <c r="F99" i="49"/>
  <c r="X110" i="48"/>
  <c r="U110" i="48"/>
  <c r="R110" i="48"/>
  <c r="O110" i="48"/>
  <c r="L110" i="48"/>
  <c r="I110" i="48"/>
  <c r="F110" i="48"/>
  <c r="X109" i="48"/>
  <c r="U109" i="48"/>
  <c r="R109" i="48"/>
  <c r="O109" i="48"/>
  <c r="L109" i="48"/>
  <c r="I109" i="48"/>
  <c r="F109" i="48"/>
  <c r="X108" i="48"/>
  <c r="U108" i="48"/>
  <c r="R108" i="48"/>
  <c r="O108" i="48"/>
  <c r="L108" i="48"/>
  <c r="I108" i="48"/>
  <c r="F108" i="48"/>
  <c r="X107" i="48"/>
  <c r="U107" i="48"/>
  <c r="R107" i="48"/>
  <c r="O107" i="48"/>
  <c r="L107" i="48"/>
  <c r="I107" i="48"/>
  <c r="F107" i="48"/>
  <c r="X106" i="48"/>
  <c r="U106" i="48"/>
  <c r="R106" i="48"/>
  <c r="O106" i="48"/>
  <c r="L106" i="48"/>
  <c r="I106" i="48"/>
  <c r="F106" i="48"/>
  <c r="X105" i="48"/>
  <c r="U105" i="48"/>
  <c r="R105" i="48"/>
  <c r="O105" i="48"/>
  <c r="L105" i="48"/>
  <c r="I105" i="48"/>
  <c r="F105" i="48"/>
  <c r="X104" i="48"/>
  <c r="U104" i="48"/>
  <c r="R104" i="48"/>
  <c r="O104" i="48"/>
  <c r="L104" i="48"/>
  <c r="I104" i="48"/>
  <c r="F104" i="48"/>
  <c r="X103" i="48"/>
  <c r="U103" i="48"/>
  <c r="R103" i="48"/>
  <c r="O103" i="48"/>
  <c r="L103" i="48"/>
  <c r="I103" i="48"/>
  <c r="F103" i="48"/>
  <c r="X102" i="48"/>
  <c r="U102" i="48"/>
  <c r="R102" i="48"/>
  <c r="O102" i="48"/>
  <c r="L102" i="48"/>
  <c r="I102" i="48"/>
  <c r="F102" i="48"/>
  <c r="X101" i="48"/>
  <c r="U101" i="48"/>
  <c r="R101" i="48"/>
  <c r="O101" i="48"/>
  <c r="L101" i="48"/>
  <c r="I101" i="48"/>
  <c r="F101" i="48"/>
  <c r="X100" i="48"/>
  <c r="U100" i="48"/>
  <c r="R100" i="48"/>
  <c r="O100" i="48"/>
  <c r="L100" i="48"/>
  <c r="I100" i="48"/>
  <c r="F100" i="48"/>
  <c r="X99" i="48"/>
  <c r="U99" i="48"/>
  <c r="R99" i="48"/>
  <c r="O99" i="48"/>
  <c r="L99" i="48"/>
  <c r="I99" i="48"/>
  <c r="F99" i="48"/>
  <c r="X110" i="47"/>
  <c r="U110" i="47"/>
  <c r="R110" i="47"/>
  <c r="O110" i="47"/>
  <c r="L110" i="47"/>
  <c r="I110" i="47"/>
  <c r="F110" i="47"/>
  <c r="X109" i="47"/>
  <c r="U109" i="47"/>
  <c r="R109" i="47"/>
  <c r="O109" i="47"/>
  <c r="L109" i="47"/>
  <c r="I109" i="47"/>
  <c r="F109" i="47"/>
  <c r="X108" i="47"/>
  <c r="U108" i="47"/>
  <c r="R108" i="47"/>
  <c r="O108" i="47"/>
  <c r="L108" i="47"/>
  <c r="I108" i="47"/>
  <c r="F108" i="47"/>
  <c r="X107" i="47"/>
  <c r="U107" i="47"/>
  <c r="R107" i="47"/>
  <c r="O107" i="47"/>
  <c r="L107" i="47"/>
  <c r="I107" i="47"/>
  <c r="F107" i="47"/>
  <c r="X106" i="47"/>
  <c r="U106" i="47"/>
  <c r="R106" i="47"/>
  <c r="O106" i="47"/>
  <c r="L106" i="47"/>
  <c r="I106" i="47"/>
  <c r="F106" i="47"/>
  <c r="X105" i="47"/>
  <c r="U105" i="47"/>
  <c r="R105" i="47"/>
  <c r="O105" i="47"/>
  <c r="L105" i="47"/>
  <c r="I105" i="47"/>
  <c r="F105" i="47"/>
  <c r="X104" i="47"/>
  <c r="U104" i="47"/>
  <c r="R104" i="47"/>
  <c r="O104" i="47"/>
  <c r="L104" i="47"/>
  <c r="I104" i="47"/>
  <c r="F104" i="47"/>
  <c r="X103" i="47"/>
  <c r="U103" i="47"/>
  <c r="R103" i="47"/>
  <c r="O103" i="47"/>
  <c r="L103" i="47"/>
  <c r="I103" i="47"/>
  <c r="F103" i="47"/>
  <c r="X102" i="47"/>
  <c r="U102" i="47"/>
  <c r="R102" i="47"/>
  <c r="O102" i="47"/>
  <c r="L102" i="47"/>
  <c r="I102" i="47"/>
  <c r="F102" i="47"/>
  <c r="X101" i="47"/>
  <c r="U101" i="47"/>
  <c r="R101" i="47"/>
  <c r="O101" i="47"/>
  <c r="L101" i="47"/>
  <c r="I101" i="47"/>
  <c r="F101" i="47"/>
  <c r="X100" i="47"/>
  <c r="U100" i="47"/>
  <c r="R100" i="47"/>
  <c r="O100" i="47"/>
  <c r="L100" i="47"/>
  <c r="I100" i="47"/>
  <c r="F100" i="47"/>
  <c r="X99" i="47"/>
  <c r="U99" i="47"/>
  <c r="R99" i="47"/>
  <c r="O99" i="47"/>
  <c r="L99" i="47"/>
  <c r="I99" i="47"/>
  <c r="F99" i="47"/>
  <c r="X110" i="46"/>
  <c r="U110" i="46"/>
  <c r="R110" i="46"/>
  <c r="O110" i="46"/>
  <c r="L110" i="46"/>
  <c r="I110" i="46"/>
  <c r="F110" i="46"/>
  <c r="X109" i="46"/>
  <c r="U109" i="46"/>
  <c r="R109" i="46"/>
  <c r="O109" i="46"/>
  <c r="L109" i="46"/>
  <c r="I109" i="46"/>
  <c r="F109" i="46"/>
  <c r="X108" i="46"/>
  <c r="U108" i="46"/>
  <c r="R108" i="46"/>
  <c r="O108" i="46"/>
  <c r="L108" i="46"/>
  <c r="I108" i="46"/>
  <c r="F108" i="46"/>
  <c r="X107" i="46"/>
  <c r="U107" i="46"/>
  <c r="R107" i="46"/>
  <c r="O107" i="46"/>
  <c r="L107" i="46"/>
  <c r="I107" i="46"/>
  <c r="F107" i="46"/>
  <c r="X106" i="46"/>
  <c r="U106" i="46"/>
  <c r="R106" i="46"/>
  <c r="O106" i="46"/>
  <c r="L106" i="46"/>
  <c r="I106" i="46"/>
  <c r="F106" i="46"/>
  <c r="X105" i="46"/>
  <c r="U105" i="46"/>
  <c r="R105" i="46"/>
  <c r="O105" i="46"/>
  <c r="L105" i="46"/>
  <c r="I105" i="46"/>
  <c r="F105" i="46"/>
  <c r="X104" i="46"/>
  <c r="U104" i="46"/>
  <c r="R104" i="46"/>
  <c r="O104" i="46"/>
  <c r="L104" i="46"/>
  <c r="I104" i="46"/>
  <c r="F104" i="46"/>
  <c r="X103" i="46"/>
  <c r="U103" i="46"/>
  <c r="R103" i="46"/>
  <c r="O103" i="46"/>
  <c r="L103" i="46"/>
  <c r="I103" i="46"/>
  <c r="F103" i="46"/>
  <c r="X102" i="46"/>
  <c r="U102" i="46"/>
  <c r="R102" i="46"/>
  <c r="O102" i="46"/>
  <c r="L102" i="46"/>
  <c r="I102" i="46"/>
  <c r="F102" i="46"/>
  <c r="X101" i="46"/>
  <c r="U101" i="46"/>
  <c r="R101" i="46"/>
  <c r="O101" i="46"/>
  <c r="L101" i="46"/>
  <c r="I101" i="46"/>
  <c r="F101" i="46"/>
  <c r="X100" i="46"/>
  <c r="U100" i="46"/>
  <c r="R100" i="46"/>
  <c r="O100" i="46"/>
  <c r="L100" i="46"/>
  <c r="I100" i="46"/>
  <c r="F100" i="46"/>
  <c r="X99" i="46"/>
  <c r="U99" i="46"/>
  <c r="R99" i="46"/>
  <c r="O99" i="46"/>
  <c r="L99" i="46"/>
  <c r="I99" i="46"/>
  <c r="F99" i="46"/>
  <c r="X110" i="45"/>
  <c r="U110" i="45"/>
  <c r="R110" i="45"/>
  <c r="O110" i="45"/>
  <c r="L110" i="45"/>
  <c r="I110" i="45"/>
  <c r="F110" i="45"/>
  <c r="X109" i="45"/>
  <c r="U109" i="45"/>
  <c r="R109" i="45"/>
  <c r="O109" i="45"/>
  <c r="L109" i="45"/>
  <c r="I109" i="45"/>
  <c r="F109" i="45"/>
  <c r="X108" i="45"/>
  <c r="U108" i="45"/>
  <c r="R108" i="45"/>
  <c r="O108" i="45"/>
  <c r="L108" i="45"/>
  <c r="I108" i="45"/>
  <c r="F108" i="45"/>
  <c r="X107" i="45"/>
  <c r="U107" i="45"/>
  <c r="R107" i="45"/>
  <c r="O107" i="45"/>
  <c r="L107" i="45"/>
  <c r="I107" i="45"/>
  <c r="F107" i="45"/>
  <c r="X106" i="45"/>
  <c r="U106" i="45"/>
  <c r="R106" i="45"/>
  <c r="O106" i="45"/>
  <c r="L106" i="45"/>
  <c r="I106" i="45"/>
  <c r="F106" i="45"/>
  <c r="X105" i="45"/>
  <c r="U105" i="45"/>
  <c r="R105" i="45"/>
  <c r="O105" i="45"/>
  <c r="L105" i="45"/>
  <c r="I105" i="45"/>
  <c r="F105" i="45"/>
  <c r="X104" i="45"/>
  <c r="U104" i="45"/>
  <c r="R104" i="45"/>
  <c r="O104" i="45"/>
  <c r="L104" i="45"/>
  <c r="I104" i="45"/>
  <c r="F104" i="45"/>
  <c r="X103" i="45"/>
  <c r="U103" i="45"/>
  <c r="R103" i="45"/>
  <c r="O103" i="45"/>
  <c r="L103" i="45"/>
  <c r="I103" i="45"/>
  <c r="F103" i="45"/>
  <c r="X102" i="45"/>
  <c r="U102" i="45"/>
  <c r="R102" i="45"/>
  <c r="O102" i="45"/>
  <c r="L102" i="45"/>
  <c r="I102" i="45"/>
  <c r="F102" i="45"/>
  <c r="X101" i="45"/>
  <c r="U101" i="45"/>
  <c r="R101" i="45"/>
  <c r="O101" i="45"/>
  <c r="L101" i="45"/>
  <c r="I101" i="45"/>
  <c r="F101" i="45"/>
  <c r="X100" i="45"/>
  <c r="U100" i="45"/>
  <c r="R100" i="45"/>
  <c r="O100" i="45"/>
  <c r="L100" i="45"/>
  <c r="I100" i="45"/>
  <c r="F100" i="45"/>
  <c r="X99" i="45"/>
  <c r="U99" i="45"/>
  <c r="R99" i="45"/>
  <c r="O99" i="45"/>
  <c r="L99" i="45"/>
  <c r="I99" i="45"/>
  <c r="F99" i="45"/>
  <c r="X110" i="44"/>
  <c r="U110" i="44"/>
  <c r="R110" i="44"/>
  <c r="O110" i="44"/>
  <c r="L110" i="44"/>
  <c r="I110" i="44"/>
  <c r="F110" i="44"/>
  <c r="X109" i="44"/>
  <c r="U109" i="44"/>
  <c r="R109" i="44"/>
  <c r="O109" i="44"/>
  <c r="L109" i="44"/>
  <c r="I109" i="44"/>
  <c r="F109" i="44"/>
  <c r="X108" i="44"/>
  <c r="U108" i="44"/>
  <c r="R108" i="44"/>
  <c r="O108" i="44"/>
  <c r="L108" i="44"/>
  <c r="I108" i="44"/>
  <c r="F108" i="44"/>
  <c r="X107" i="44"/>
  <c r="U107" i="44"/>
  <c r="R107" i="44"/>
  <c r="O107" i="44"/>
  <c r="L107" i="44"/>
  <c r="I107" i="44"/>
  <c r="F107" i="44"/>
  <c r="X106" i="44"/>
  <c r="U106" i="44"/>
  <c r="R106" i="44"/>
  <c r="O106" i="44"/>
  <c r="L106" i="44"/>
  <c r="I106" i="44"/>
  <c r="F106" i="44"/>
  <c r="X105" i="44"/>
  <c r="U105" i="44"/>
  <c r="R105" i="44"/>
  <c r="O105" i="44"/>
  <c r="L105" i="44"/>
  <c r="I105" i="44"/>
  <c r="F105" i="44"/>
  <c r="X104" i="44"/>
  <c r="U104" i="44"/>
  <c r="R104" i="44"/>
  <c r="O104" i="44"/>
  <c r="L104" i="44"/>
  <c r="I104" i="44"/>
  <c r="F104" i="44"/>
  <c r="X103" i="44"/>
  <c r="U103" i="44"/>
  <c r="R103" i="44"/>
  <c r="O103" i="44"/>
  <c r="L103" i="44"/>
  <c r="I103" i="44"/>
  <c r="F103" i="44"/>
  <c r="X102" i="44"/>
  <c r="U102" i="44"/>
  <c r="R102" i="44"/>
  <c r="O102" i="44"/>
  <c r="L102" i="44"/>
  <c r="I102" i="44"/>
  <c r="F102" i="44"/>
  <c r="X101" i="44"/>
  <c r="U101" i="44"/>
  <c r="R101" i="44"/>
  <c r="O101" i="44"/>
  <c r="L101" i="44"/>
  <c r="I101" i="44"/>
  <c r="F101" i="44"/>
  <c r="X100" i="44"/>
  <c r="U100" i="44"/>
  <c r="R100" i="44"/>
  <c r="O100" i="44"/>
  <c r="L100" i="44"/>
  <c r="I100" i="44"/>
  <c r="F100" i="44"/>
  <c r="X99" i="44"/>
  <c r="U99" i="44"/>
  <c r="R99" i="44"/>
  <c r="O99" i="44"/>
  <c r="L99" i="44"/>
  <c r="I99" i="44"/>
  <c r="F99" i="44"/>
  <c r="X110" i="43"/>
  <c r="U110" i="43"/>
  <c r="R110" i="43"/>
  <c r="O110" i="43"/>
  <c r="L110" i="43"/>
  <c r="I110" i="43"/>
  <c r="F110" i="43"/>
  <c r="X109" i="43"/>
  <c r="U109" i="43"/>
  <c r="R109" i="43"/>
  <c r="O109" i="43"/>
  <c r="L109" i="43"/>
  <c r="I109" i="43"/>
  <c r="F109" i="43"/>
  <c r="X108" i="43"/>
  <c r="U108" i="43"/>
  <c r="R108" i="43"/>
  <c r="O108" i="43"/>
  <c r="L108" i="43"/>
  <c r="I108" i="43"/>
  <c r="F108" i="43"/>
  <c r="X107" i="43"/>
  <c r="U107" i="43"/>
  <c r="R107" i="43"/>
  <c r="O107" i="43"/>
  <c r="L107" i="43"/>
  <c r="I107" i="43"/>
  <c r="F107" i="43"/>
  <c r="X106" i="43"/>
  <c r="U106" i="43"/>
  <c r="R106" i="43"/>
  <c r="O106" i="43"/>
  <c r="L106" i="43"/>
  <c r="I106" i="43"/>
  <c r="F106" i="43"/>
  <c r="X105" i="43"/>
  <c r="U105" i="43"/>
  <c r="R105" i="43"/>
  <c r="O105" i="43"/>
  <c r="L105" i="43"/>
  <c r="I105" i="43"/>
  <c r="F105" i="43"/>
  <c r="X104" i="43"/>
  <c r="U104" i="43"/>
  <c r="R104" i="43"/>
  <c r="O104" i="43"/>
  <c r="L104" i="43"/>
  <c r="I104" i="43"/>
  <c r="F104" i="43"/>
  <c r="X103" i="43"/>
  <c r="U103" i="43"/>
  <c r="R103" i="43"/>
  <c r="O103" i="43"/>
  <c r="L103" i="43"/>
  <c r="I103" i="43"/>
  <c r="F103" i="43"/>
  <c r="X102" i="43"/>
  <c r="U102" i="43"/>
  <c r="R102" i="43"/>
  <c r="O102" i="43"/>
  <c r="L102" i="43"/>
  <c r="I102" i="43"/>
  <c r="F102" i="43"/>
  <c r="X101" i="43"/>
  <c r="U101" i="43"/>
  <c r="R101" i="43"/>
  <c r="O101" i="43"/>
  <c r="L101" i="43"/>
  <c r="I101" i="43"/>
  <c r="F101" i="43"/>
  <c r="X100" i="43"/>
  <c r="U100" i="43"/>
  <c r="R100" i="43"/>
  <c r="O100" i="43"/>
  <c r="L100" i="43"/>
  <c r="I100" i="43"/>
  <c r="F100" i="43"/>
  <c r="X99" i="43"/>
  <c r="U99" i="43"/>
  <c r="R99" i="43"/>
  <c r="O99" i="43"/>
  <c r="L99" i="43"/>
  <c r="I99" i="43"/>
  <c r="F99" i="43"/>
  <c r="X110" i="42"/>
  <c r="U110" i="42"/>
  <c r="R110" i="42"/>
  <c r="O110" i="42"/>
  <c r="L110" i="42"/>
  <c r="I110" i="42"/>
  <c r="F110" i="42"/>
  <c r="X109" i="42"/>
  <c r="U109" i="42"/>
  <c r="R109" i="42"/>
  <c r="O109" i="42"/>
  <c r="L109" i="42"/>
  <c r="I109" i="42"/>
  <c r="F109" i="42"/>
  <c r="X108" i="42"/>
  <c r="U108" i="42"/>
  <c r="R108" i="42"/>
  <c r="O108" i="42"/>
  <c r="L108" i="42"/>
  <c r="I108" i="42"/>
  <c r="F108" i="42"/>
  <c r="X107" i="42"/>
  <c r="U107" i="42"/>
  <c r="R107" i="42"/>
  <c r="O107" i="42"/>
  <c r="L107" i="42"/>
  <c r="I107" i="42"/>
  <c r="F107" i="42"/>
  <c r="X106" i="42"/>
  <c r="U106" i="42"/>
  <c r="R106" i="42"/>
  <c r="O106" i="42"/>
  <c r="L106" i="42"/>
  <c r="I106" i="42"/>
  <c r="F106" i="42"/>
  <c r="X105" i="42"/>
  <c r="U105" i="42"/>
  <c r="R105" i="42"/>
  <c r="O105" i="42"/>
  <c r="L105" i="42"/>
  <c r="I105" i="42"/>
  <c r="F105" i="42"/>
  <c r="X104" i="42"/>
  <c r="U104" i="42"/>
  <c r="R104" i="42"/>
  <c r="O104" i="42"/>
  <c r="L104" i="42"/>
  <c r="I104" i="42"/>
  <c r="F104" i="42"/>
  <c r="X103" i="42"/>
  <c r="U103" i="42"/>
  <c r="R103" i="42"/>
  <c r="O103" i="42"/>
  <c r="L103" i="42"/>
  <c r="I103" i="42"/>
  <c r="F103" i="42"/>
  <c r="X102" i="42"/>
  <c r="U102" i="42"/>
  <c r="R102" i="42"/>
  <c r="O102" i="42"/>
  <c r="L102" i="42"/>
  <c r="I102" i="42"/>
  <c r="F102" i="42"/>
  <c r="X101" i="42"/>
  <c r="U101" i="42"/>
  <c r="R101" i="42"/>
  <c r="O101" i="42"/>
  <c r="L101" i="42"/>
  <c r="I101" i="42"/>
  <c r="F101" i="42"/>
  <c r="X100" i="42"/>
  <c r="U100" i="42"/>
  <c r="R100" i="42"/>
  <c r="O100" i="42"/>
  <c r="L100" i="42"/>
  <c r="I100" i="42"/>
  <c r="F100" i="42"/>
  <c r="X99" i="42"/>
  <c r="U99" i="42"/>
  <c r="R99" i="42"/>
  <c r="O99" i="42"/>
  <c r="L99" i="42"/>
  <c r="I99" i="42"/>
  <c r="F99" i="42"/>
  <c r="X110" i="41"/>
  <c r="U110" i="41"/>
  <c r="R110" i="41"/>
  <c r="O110" i="41"/>
  <c r="L110" i="41"/>
  <c r="I110" i="41"/>
  <c r="F110" i="41"/>
  <c r="X109" i="41"/>
  <c r="U109" i="41"/>
  <c r="R109" i="41"/>
  <c r="O109" i="41"/>
  <c r="L109" i="41"/>
  <c r="I109" i="41"/>
  <c r="F109" i="41"/>
  <c r="X108" i="41"/>
  <c r="U108" i="41"/>
  <c r="R108" i="41"/>
  <c r="O108" i="41"/>
  <c r="L108" i="41"/>
  <c r="I108" i="41"/>
  <c r="F108" i="41"/>
  <c r="X107" i="41"/>
  <c r="U107" i="41"/>
  <c r="R107" i="41"/>
  <c r="O107" i="41"/>
  <c r="L107" i="41"/>
  <c r="I107" i="41"/>
  <c r="F107" i="41"/>
  <c r="X106" i="41"/>
  <c r="U106" i="41"/>
  <c r="R106" i="41"/>
  <c r="O106" i="41"/>
  <c r="L106" i="41"/>
  <c r="I106" i="41"/>
  <c r="F106" i="41"/>
  <c r="X105" i="41"/>
  <c r="U105" i="41"/>
  <c r="R105" i="41"/>
  <c r="O105" i="41"/>
  <c r="L105" i="41"/>
  <c r="I105" i="41"/>
  <c r="F105" i="41"/>
  <c r="X104" i="41"/>
  <c r="U104" i="41"/>
  <c r="R104" i="41"/>
  <c r="O104" i="41"/>
  <c r="L104" i="41"/>
  <c r="I104" i="41"/>
  <c r="F104" i="41"/>
  <c r="X103" i="41"/>
  <c r="U103" i="41"/>
  <c r="R103" i="41"/>
  <c r="O103" i="41"/>
  <c r="L103" i="41"/>
  <c r="I103" i="41"/>
  <c r="F103" i="41"/>
  <c r="X102" i="41"/>
  <c r="U102" i="41"/>
  <c r="R102" i="41"/>
  <c r="O102" i="41"/>
  <c r="L102" i="41"/>
  <c r="I102" i="41"/>
  <c r="F102" i="41"/>
  <c r="X101" i="41"/>
  <c r="U101" i="41"/>
  <c r="R101" i="41"/>
  <c r="O101" i="41"/>
  <c r="L101" i="41"/>
  <c r="I101" i="41"/>
  <c r="F101" i="41"/>
  <c r="X100" i="41"/>
  <c r="U100" i="41"/>
  <c r="R100" i="41"/>
  <c r="O100" i="41"/>
  <c r="L100" i="41"/>
  <c r="I100" i="41"/>
  <c r="F100" i="41"/>
  <c r="X99" i="41"/>
  <c r="U99" i="41"/>
  <c r="R99" i="41"/>
  <c r="O99" i="41"/>
  <c r="L99" i="41"/>
  <c r="I99" i="41"/>
  <c r="F99" i="41"/>
  <c r="X110" i="40"/>
  <c r="U110" i="40"/>
  <c r="R110" i="40"/>
  <c r="O110" i="40"/>
  <c r="L110" i="40"/>
  <c r="I110" i="40"/>
  <c r="F110" i="40"/>
  <c r="X109" i="40"/>
  <c r="U109" i="40"/>
  <c r="R109" i="40"/>
  <c r="O109" i="40"/>
  <c r="L109" i="40"/>
  <c r="I109" i="40"/>
  <c r="F109" i="40"/>
  <c r="X108" i="40"/>
  <c r="U108" i="40"/>
  <c r="R108" i="40"/>
  <c r="O108" i="40"/>
  <c r="L108" i="40"/>
  <c r="I108" i="40"/>
  <c r="F108" i="40"/>
  <c r="X107" i="40"/>
  <c r="U107" i="40"/>
  <c r="R107" i="40"/>
  <c r="O107" i="40"/>
  <c r="L107" i="40"/>
  <c r="I107" i="40"/>
  <c r="F107" i="40"/>
  <c r="X106" i="40"/>
  <c r="U106" i="40"/>
  <c r="R106" i="40"/>
  <c r="O106" i="40"/>
  <c r="L106" i="40"/>
  <c r="I106" i="40"/>
  <c r="F106" i="40"/>
  <c r="X105" i="40"/>
  <c r="U105" i="40"/>
  <c r="R105" i="40"/>
  <c r="O105" i="40"/>
  <c r="L105" i="40"/>
  <c r="I105" i="40"/>
  <c r="F105" i="40"/>
  <c r="X104" i="40"/>
  <c r="U104" i="40"/>
  <c r="R104" i="40"/>
  <c r="O104" i="40"/>
  <c r="L104" i="40"/>
  <c r="I104" i="40"/>
  <c r="F104" i="40"/>
  <c r="X103" i="40"/>
  <c r="U103" i="40"/>
  <c r="R103" i="40"/>
  <c r="O103" i="40"/>
  <c r="L103" i="40"/>
  <c r="I103" i="40"/>
  <c r="F103" i="40"/>
  <c r="X102" i="40"/>
  <c r="U102" i="40"/>
  <c r="R102" i="40"/>
  <c r="O102" i="40"/>
  <c r="L102" i="40"/>
  <c r="I102" i="40"/>
  <c r="F102" i="40"/>
  <c r="X101" i="40"/>
  <c r="U101" i="40"/>
  <c r="R101" i="40"/>
  <c r="O101" i="40"/>
  <c r="L101" i="40"/>
  <c r="I101" i="40"/>
  <c r="F101" i="40"/>
  <c r="X100" i="40"/>
  <c r="U100" i="40"/>
  <c r="R100" i="40"/>
  <c r="O100" i="40"/>
  <c r="L100" i="40"/>
  <c r="I100" i="40"/>
  <c r="F100" i="40"/>
  <c r="X99" i="40"/>
  <c r="U99" i="40"/>
  <c r="R99" i="40"/>
  <c r="O99" i="40"/>
  <c r="L99" i="40"/>
  <c r="I99" i="40"/>
  <c r="F99" i="40"/>
  <c r="X110" i="39"/>
  <c r="U110" i="39"/>
  <c r="R110" i="39"/>
  <c r="O110" i="39"/>
  <c r="L110" i="39"/>
  <c r="I110" i="39"/>
  <c r="F110" i="39"/>
  <c r="X109" i="39"/>
  <c r="U109" i="39"/>
  <c r="R109" i="39"/>
  <c r="O109" i="39"/>
  <c r="L109" i="39"/>
  <c r="I109" i="39"/>
  <c r="F109" i="39"/>
  <c r="X108" i="39"/>
  <c r="U108" i="39"/>
  <c r="R108" i="39"/>
  <c r="O108" i="39"/>
  <c r="L108" i="39"/>
  <c r="I108" i="39"/>
  <c r="F108" i="39"/>
  <c r="X107" i="39"/>
  <c r="U107" i="39"/>
  <c r="R107" i="39"/>
  <c r="O107" i="39"/>
  <c r="L107" i="39"/>
  <c r="I107" i="39"/>
  <c r="F107" i="39"/>
  <c r="X106" i="39"/>
  <c r="U106" i="39"/>
  <c r="R106" i="39"/>
  <c r="O106" i="39"/>
  <c r="L106" i="39"/>
  <c r="I106" i="39"/>
  <c r="F106" i="39"/>
  <c r="X105" i="39"/>
  <c r="U105" i="39"/>
  <c r="R105" i="39"/>
  <c r="O105" i="39"/>
  <c r="L105" i="39"/>
  <c r="I105" i="39"/>
  <c r="F105" i="39"/>
  <c r="X104" i="39"/>
  <c r="U104" i="39"/>
  <c r="R104" i="39"/>
  <c r="O104" i="39"/>
  <c r="L104" i="39"/>
  <c r="I104" i="39"/>
  <c r="F104" i="39"/>
  <c r="X103" i="39"/>
  <c r="U103" i="39"/>
  <c r="R103" i="39"/>
  <c r="O103" i="39"/>
  <c r="L103" i="39"/>
  <c r="I103" i="39"/>
  <c r="F103" i="39"/>
  <c r="X102" i="39"/>
  <c r="U102" i="39"/>
  <c r="R102" i="39"/>
  <c r="O102" i="39"/>
  <c r="L102" i="39"/>
  <c r="I102" i="39"/>
  <c r="F102" i="39"/>
  <c r="X101" i="39"/>
  <c r="U101" i="39"/>
  <c r="R101" i="39"/>
  <c r="O101" i="39"/>
  <c r="L101" i="39"/>
  <c r="I101" i="39"/>
  <c r="F101" i="39"/>
  <c r="X100" i="39"/>
  <c r="U100" i="39"/>
  <c r="R100" i="39"/>
  <c r="O100" i="39"/>
  <c r="L100" i="39"/>
  <c r="I100" i="39"/>
  <c r="F100" i="39"/>
  <c r="X99" i="39"/>
  <c r="U99" i="39"/>
  <c r="R99" i="39"/>
  <c r="O99" i="39"/>
  <c r="L99" i="39"/>
  <c r="I99" i="39"/>
  <c r="F99" i="39"/>
  <c r="X110" i="38"/>
  <c r="U110" i="38"/>
  <c r="R110" i="38"/>
  <c r="O110" i="38"/>
  <c r="L110" i="38"/>
  <c r="I110" i="38"/>
  <c r="F110" i="38"/>
  <c r="X109" i="38"/>
  <c r="U109" i="38"/>
  <c r="R109" i="38"/>
  <c r="O109" i="38"/>
  <c r="L109" i="38"/>
  <c r="I109" i="38"/>
  <c r="F109" i="38"/>
  <c r="X108" i="38"/>
  <c r="U108" i="38"/>
  <c r="R108" i="38"/>
  <c r="O108" i="38"/>
  <c r="L108" i="38"/>
  <c r="I108" i="38"/>
  <c r="F108" i="38"/>
  <c r="X107" i="38"/>
  <c r="U107" i="38"/>
  <c r="R107" i="38"/>
  <c r="O107" i="38"/>
  <c r="L107" i="38"/>
  <c r="I107" i="38"/>
  <c r="F107" i="38"/>
  <c r="X106" i="38"/>
  <c r="U106" i="38"/>
  <c r="R106" i="38"/>
  <c r="O106" i="38"/>
  <c r="L106" i="38"/>
  <c r="I106" i="38"/>
  <c r="F106" i="38"/>
  <c r="X105" i="38"/>
  <c r="U105" i="38"/>
  <c r="R105" i="38"/>
  <c r="O105" i="38"/>
  <c r="L105" i="38"/>
  <c r="I105" i="38"/>
  <c r="F105" i="38"/>
  <c r="X104" i="38"/>
  <c r="U104" i="38"/>
  <c r="R104" i="38"/>
  <c r="O104" i="38"/>
  <c r="L104" i="38"/>
  <c r="I104" i="38"/>
  <c r="F104" i="38"/>
  <c r="X103" i="38"/>
  <c r="U103" i="38"/>
  <c r="R103" i="38"/>
  <c r="O103" i="38"/>
  <c r="L103" i="38"/>
  <c r="I103" i="38"/>
  <c r="F103" i="38"/>
  <c r="X102" i="38"/>
  <c r="U102" i="38"/>
  <c r="R102" i="38"/>
  <c r="O102" i="38"/>
  <c r="L102" i="38"/>
  <c r="I102" i="38"/>
  <c r="F102" i="38"/>
  <c r="X101" i="38"/>
  <c r="U101" i="38"/>
  <c r="R101" i="38"/>
  <c r="O101" i="38"/>
  <c r="L101" i="38"/>
  <c r="I101" i="38"/>
  <c r="F101" i="38"/>
  <c r="X100" i="38"/>
  <c r="U100" i="38"/>
  <c r="R100" i="38"/>
  <c r="O100" i="38"/>
  <c r="L100" i="38"/>
  <c r="I100" i="38"/>
  <c r="F100" i="38"/>
  <c r="X99" i="38"/>
  <c r="U99" i="38"/>
  <c r="R99" i="38"/>
  <c r="O99" i="38"/>
  <c r="L99" i="38"/>
  <c r="I99" i="38"/>
  <c r="F99" i="38"/>
  <c r="X110" i="37"/>
  <c r="U110" i="37"/>
  <c r="R110" i="37"/>
  <c r="O110" i="37"/>
  <c r="L110" i="37"/>
  <c r="I110" i="37"/>
  <c r="F110" i="37"/>
  <c r="X109" i="37"/>
  <c r="U109" i="37"/>
  <c r="R109" i="37"/>
  <c r="O109" i="37"/>
  <c r="L109" i="37"/>
  <c r="I109" i="37"/>
  <c r="F109" i="37"/>
  <c r="X108" i="37"/>
  <c r="U108" i="37"/>
  <c r="R108" i="37"/>
  <c r="O108" i="37"/>
  <c r="L108" i="37"/>
  <c r="I108" i="37"/>
  <c r="F108" i="37"/>
  <c r="X107" i="37"/>
  <c r="U107" i="37"/>
  <c r="R107" i="37"/>
  <c r="O107" i="37"/>
  <c r="L107" i="37"/>
  <c r="I107" i="37"/>
  <c r="F107" i="37"/>
  <c r="X106" i="37"/>
  <c r="U106" i="37"/>
  <c r="R106" i="37"/>
  <c r="O106" i="37"/>
  <c r="L106" i="37"/>
  <c r="I106" i="37"/>
  <c r="F106" i="37"/>
  <c r="X105" i="37"/>
  <c r="U105" i="37"/>
  <c r="R105" i="37"/>
  <c r="O105" i="37"/>
  <c r="L105" i="37"/>
  <c r="I105" i="37"/>
  <c r="F105" i="37"/>
  <c r="X104" i="37"/>
  <c r="U104" i="37"/>
  <c r="R104" i="37"/>
  <c r="O104" i="37"/>
  <c r="L104" i="37"/>
  <c r="I104" i="37"/>
  <c r="F104" i="37"/>
  <c r="X103" i="37"/>
  <c r="U103" i="37"/>
  <c r="R103" i="37"/>
  <c r="O103" i="37"/>
  <c r="L103" i="37"/>
  <c r="I103" i="37"/>
  <c r="F103" i="37"/>
  <c r="X102" i="37"/>
  <c r="U102" i="37"/>
  <c r="R102" i="37"/>
  <c r="O102" i="37"/>
  <c r="L102" i="37"/>
  <c r="I102" i="37"/>
  <c r="F102" i="37"/>
  <c r="X101" i="37"/>
  <c r="U101" i="37"/>
  <c r="R101" i="37"/>
  <c r="O101" i="37"/>
  <c r="L101" i="37"/>
  <c r="I101" i="37"/>
  <c r="F101" i="37"/>
  <c r="X100" i="37"/>
  <c r="U100" i="37"/>
  <c r="R100" i="37"/>
  <c r="O100" i="37"/>
  <c r="L100" i="37"/>
  <c r="I100" i="37"/>
  <c r="F100" i="37"/>
  <c r="X99" i="37"/>
  <c r="U99" i="37"/>
  <c r="R99" i="37"/>
  <c r="O99" i="37"/>
  <c r="L99" i="37"/>
  <c r="I99" i="37"/>
  <c r="F99" i="37"/>
  <c r="X110" i="36"/>
  <c r="U110" i="36"/>
  <c r="R110" i="36"/>
  <c r="O110" i="36"/>
  <c r="L110" i="36"/>
  <c r="I110" i="36"/>
  <c r="F110" i="36"/>
  <c r="X109" i="36"/>
  <c r="U109" i="36"/>
  <c r="R109" i="36"/>
  <c r="O109" i="36"/>
  <c r="L109" i="36"/>
  <c r="I109" i="36"/>
  <c r="F109" i="36"/>
  <c r="X108" i="36"/>
  <c r="U108" i="36"/>
  <c r="R108" i="36"/>
  <c r="O108" i="36"/>
  <c r="L108" i="36"/>
  <c r="I108" i="36"/>
  <c r="F108" i="36"/>
  <c r="X107" i="36"/>
  <c r="U107" i="36"/>
  <c r="R107" i="36"/>
  <c r="O107" i="36"/>
  <c r="L107" i="36"/>
  <c r="I107" i="36"/>
  <c r="F107" i="36"/>
  <c r="X106" i="36"/>
  <c r="U106" i="36"/>
  <c r="R106" i="36"/>
  <c r="O106" i="36"/>
  <c r="L106" i="36"/>
  <c r="I106" i="36"/>
  <c r="F106" i="36"/>
  <c r="X105" i="36"/>
  <c r="U105" i="36"/>
  <c r="R105" i="36"/>
  <c r="O105" i="36"/>
  <c r="L105" i="36"/>
  <c r="I105" i="36"/>
  <c r="F105" i="36"/>
  <c r="X104" i="36"/>
  <c r="U104" i="36"/>
  <c r="R104" i="36"/>
  <c r="O104" i="36"/>
  <c r="L104" i="36"/>
  <c r="I104" i="36"/>
  <c r="F104" i="36"/>
  <c r="X103" i="36"/>
  <c r="U103" i="36"/>
  <c r="R103" i="36"/>
  <c r="O103" i="36"/>
  <c r="L103" i="36"/>
  <c r="I103" i="36"/>
  <c r="F103" i="36"/>
  <c r="X102" i="36"/>
  <c r="U102" i="36"/>
  <c r="R102" i="36"/>
  <c r="O102" i="36"/>
  <c r="L102" i="36"/>
  <c r="I102" i="36"/>
  <c r="F102" i="36"/>
  <c r="X101" i="36"/>
  <c r="U101" i="36"/>
  <c r="R101" i="36"/>
  <c r="O101" i="36"/>
  <c r="L101" i="36"/>
  <c r="I101" i="36"/>
  <c r="F101" i="36"/>
  <c r="X100" i="36"/>
  <c r="U100" i="36"/>
  <c r="R100" i="36"/>
  <c r="O100" i="36"/>
  <c r="L100" i="36"/>
  <c r="I100" i="36"/>
  <c r="F100" i="36"/>
  <c r="X99" i="36"/>
  <c r="U99" i="36"/>
  <c r="R99" i="36"/>
  <c r="O99" i="36"/>
  <c r="L99" i="36"/>
  <c r="I99" i="36"/>
  <c r="F99" i="36"/>
  <c r="X110" i="35"/>
  <c r="U110" i="35"/>
  <c r="R110" i="35"/>
  <c r="O110" i="35"/>
  <c r="L110" i="35"/>
  <c r="I110" i="35"/>
  <c r="F110" i="35"/>
  <c r="X109" i="35"/>
  <c r="U109" i="35"/>
  <c r="R109" i="35"/>
  <c r="O109" i="35"/>
  <c r="L109" i="35"/>
  <c r="I109" i="35"/>
  <c r="F109" i="35"/>
  <c r="X108" i="35"/>
  <c r="U108" i="35"/>
  <c r="R108" i="35"/>
  <c r="O108" i="35"/>
  <c r="L108" i="35"/>
  <c r="I108" i="35"/>
  <c r="F108" i="35"/>
  <c r="X107" i="35"/>
  <c r="U107" i="35"/>
  <c r="R107" i="35"/>
  <c r="O107" i="35"/>
  <c r="L107" i="35"/>
  <c r="I107" i="35"/>
  <c r="F107" i="35"/>
  <c r="X106" i="35"/>
  <c r="U106" i="35"/>
  <c r="R106" i="35"/>
  <c r="O106" i="35"/>
  <c r="L106" i="35"/>
  <c r="I106" i="35"/>
  <c r="F106" i="35"/>
  <c r="X105" i="35"/>
  <c r="U105" i="35"/>
  <c r="R105" i="35"/>
  <c r="O105" i="35"/>
  <c r="L105" i="35"/>
  <c r="I105" i="35"/>
  <c r="F105" i="35"/>
  <c r="X104" i="35"/>
  <c r="U104" i="35"/>
  <c r="R104" i="35"/>
  <c r="O104" i="35"/>
  <c r="L104" i="35"/>
  <c r="I104" i="35"/>
  <c r="F104" i="35"/>
  <c r="X103" i="35"/>
  <c r="U103" i="35"/>
  <c r="R103" i="35"/>
  <c r="O103" i="35"/>
  <c r="L103" i="35"/>
  <c r="I103" i="35"/>
  <c r="F103" i="35"/>
  <c r="X102" i="35"/>
  <c r="U102" i="35"/>
  <c r="R102" i="35"/>
  <c r="O102" i="35"/>
  <c r="L102" i="35"/>
  <c r="I102" i="35"/>
  <c r="F102" i="35"/>
  <c r="X101" i="35"/>
  <c r="U101" i="35"/>
  <c r="R101" i="35"/>
  <c r="O101" i="35"/>
  <c r="L101" i="35"/>
  <c r="I101" i="35"/>
  <c r="F101" i="35"/>
  <c r="X100" i="35"/>
  <c r="U100" i="35"/>
  <c r="R100" i="35"/>
  <c r="O100" i="35"/>
  <c r="L100" i="35"/>
  <c r="I100" i="35"/>
  <c r="F100" i="35"/>
  <c r="X99" i="35"/>
  <c r="U99" i="35"/>
  <c r="R99" i="35"/>
  <c r="O99" i="35"/>
  <c r="L99" i="35"/>
  <c r="I99" i="35"/>
  <c r="F99" i="35"/>
  <c r="X110" i="34"/>
  <c r="U110" i="34"/>
  <c r="R110" i="34"/>
  <c r="O110" i="34"/>
  <c r="L110" i="34"/>
  <c r="I110" i="34"/>
  <c r="F110" i="34"/>
  <c r="X109" i="34"/>
  <c r="U109" i="34"/>
  <c r="R109" i="34"/>
  <c r="O109" i="34"/>
  <c r="L109" i="34"/>
  <c r="I109" i="34"/>
  <c r="F109" i="34"/>
  <c r="X108" i="34"/>
  <c r="U108" i="34"/>
  <c r="R108" i="34"/>
  <c r="O108" i="34"/>
  <c r="L108" i="34"/>
  <c r="I108" i="34"/>
  <c r="F108" i="34"/>
  <c r="X107" i="34"/>
  <c r="U107" i="34"/>
  <c r="R107" i="34"/>
  <c r="O107" i="34"/>
  <c r="L107" i="34"/>
  <c r="I107" i="34"/>
  <c r="F107" i="34"/>
  <c r="X106" i="34"/>
  <c r="U106" i="34"/>
  <c r="R106" i="34"/>
  <c r="O106" i="34"/>
  <c r="L106" i="34"/>
  <c r="I106" i="34"/>
  <c r="F106" i="34"/>
  <c r="X105" i="34"/>
  <c r="U105" i="34"/>
  <c r="R105" i="34"/>
  <c r="O105" i="34"/>
  <c r="L105" i="34"/>
  <c r="I105" i="34"/>
  <c r="F105" i="34"/>
  <c r="X104" i="34"/>
  <c r="U104" i="34"/>
  <c r="R104" i="34"/>
  <c r="O104" i="34"/>
  <c r="L104" i="34"/>
  <c r="I104" i="34"/>
  <c r="F104" i="34"/>
  <c r="X103" i="34"/>
  <c r="U103" i="34"/>
  <c r="R103" i="34"/>
  <c r="O103" i="34"/>
  <c r="L103" i="34"/>
  <c r="I103" i="34"/>
  <c r="F103" i="34"/>
  <c r="X102" i="34"/>
  <c r="U102" i="34"/>
  <c r="R102" i="34"/>
  <c r="O102" i="34"/>
  <c r="L102" i="34"/>
  <c r="I102" i="34"/>
  <c r="F102" i="34"/>
  <c r="X101" i="34"/>
  <c r="U101" i="34"/>
  <c r="R101" i="34"/>
  <c r="O101" i="34"/>
  <c r="L101" i="34"/>
  <c r="I101" i="34"/>
  <c r="F101" i="34"/>
  <c r="X100" i="34"/>
  <c r="U100" i="34"/>
  <c r="R100" i="34"/>
  <c r="O100" i="34"/>
  <c r="L100" i="34"/>
  <c r="I100" i="34"/>
  <c r="F100" i="34"/>
  <c r="X99" i="34"/>
  <c r="U99" i="34"/>
  <c r="R99" i="34"/>
  <c r="O99" i="34"/>
  <c r="L99" i="34"/>
  <c r="I99" i="34"/>
  <c r="F99" i="34"/>
  <c r="X110" i="33"/>
  <c r="U110" i="33"/>
  <c r="R110" i="33"/>
  <c r="O110" i="33"/>
  <c r="L110" i="33"/>
  <c r="I110" i="33"/>
  <c r="F110" i="33"/>
  <c r="X109" i="33"/>
  <c r="U109" i="33"/>
  <c r="R109" i="33"/>
  <c r="O109" i="33"/>
  <c r="L109" i="33"/>
  <c r="I109" i="33"/>
  <c r="F109" i="33"/>
  <c r="X108" i="33"/>
  <c r="U108" i="33"/>
  <c r="R108" i="33"/>
  <c r="O108" i="33"/>
  <c r="L108" i="33"/>
  <c r="I108" i="33"/>
  <c r="F108" i="33"/>
  <c r="X107" i="33"/>
  <c r="U107" i="33"/>
  <c r="R107" i="33"/>
  <c r="O107" i="33"/>
  <c r="L107" i="33"/>
  <c r="I107" i="33"/>
  <c r="F107" i="33"/>
  <c r="X106" i="33"/>
  <c r="U106" i="33"/>
  <c r="R106" i="33"/>
  <c r="O106" i="33"/>
  <c r="L106" i="33"/>
  <c r="I106" i="33"/>
  <c r="F106" i="33"/>
  <c r="X105" i="33"/>
  <c r="U105" i="33"/>
  <c r="R105" i="33"/>
  <c r="O105" i="33"/>
  <c r="L105" i="33"/>
  <c r="I105" i="33"/>
  <c r="F105" i="33"/>
  <c r="X104" i="33"/>
  <c r="U104" i="33"/>
  <c r="R104" i="33"/>
  <c r="O104" i="33"/>
  <c r="L104" i="33"/>
  <c r="I104" i="33"/>
  <c r="F104" i="33"/>
  <c r="X103" i="33"/>
  <c r="U103" i="33"/>
  <c r="R103" i="33"/>
  <c r="O103" i="33"/>
  <c r="L103" i="33"/>
  <c r="I103" i="33"/>
  <c r="F103" i="33"/>
  <c r="X102" i="33"/>
  <c r="U102" i="33"/>
  <c r="R102" i="33"/>
  <c r="O102" i="33"/>
  <c r="L102" i="33"/>
  <c r="I102" i="33"/>
  <c r="F102" i="33"/>
  <c r="X101" i="33"/>
  <c r="U101" i="33"/>
  <c r="R101" i="33"/>
  <c r="O101" i="33"/>
  <c r="L101" i="33"/>
  <c r="I101" i="33"/>
  <c r="F101" i="33"/>
  <c r="X100" i="33"/>
  <c r="U100" i="33"/>
  <c r="R100" i="33"/>
  <c r="O100" i="33"/>
  <c r="L100" i="33"/>
  <c r="I100" i="33"/>
  <c r="F100" i="33"/>
  <c r="X99" i="33"/>
  <c r="U99" i="33"/>
  <c r="R99" i="33"/>
  <c r="O99" i="33"/>
  <c r="L99" i="33"/>
  <c r="I99" i="33"/>
  <c r="F99" i="33"/>
  <c r="X110" i="32"/>
  <c r="U110" i="32"/>
  <c r="R110" i="32"/>
  <c r="O110" i="32"/>
  <c r="L110" i="32"/>
  <c r="I110" i="32"/>
  <c r="F110" i="32"/>
  <c r="X109" i="32"/>
  <c r="U109" i="32"/>
  <c r="R109" i="32"/>
  <c r="O109" i="32"/>
  <c r="L109" i="32"/>
  <c r="I109" i="32"/>
  <c r="F109" i="32"/>
  <c r="X108" i="32"/>
  <c r="U108" i="32"/>
  <c r="R108" i="32"/>
  <c r="O108" i="32"/>
  <c r="L108" i="32"/>
  <c r="I108" i="32"/>
  <c r="F108" i="32"/>
  <c r="X107" i="32"/>
  <c r="U107" i="32"/>
  <c r="R107" i="32"/>
  <c r="O107" i="32"/>
  <c r="L107" i="32"/>
  <c r="I107" i="32"/>
  <c r="F107" i="32"/>
  <c r="X106" i="32"/>
  <c r="U106" i="32"/>
  <c r="R106" i="32"/>
  <c r="O106" i="32"/>
  <c r="L106" i="32"/>
  <c r="I106" i="32"/>
  <c r="F106" i="32"/>
  <c r="X105" i="32"/>
  <c r="U105" i="32"/>
  <c r="R105" i="32"/>
  <c r="O105" i="32"/>
  <c r="L105" i="32"/>
  <c r="I105" i="32"/>
  <c r="F105" i="32"/>
  <c r="X104" i="32"/>
  <c r="U104" i="32"/>
  <c r="R104" i="32"/>
  <c r="O104" i="32"/>
  <c r="L104" i="32"/>
  <c r="I104" i="32"/>
  <c r="F104" i="32"/>
  <c r="X103" i="32"/>
  <c r="U103" i="32"/>
  <c r="R103" i="32"/>
  <c r="O103" i="32"/>
  <c r="L103" i="32"/>
  <c r="I103" i="32"/>
  <c r="F103" i="32"/>
  <c r="X102" i="32"/>
  <c r="U102" i="32"/>
  <c r="R102" i="32"/>
  <c r="O102" i="32"/>
  <c r="L102" i="32"/>
  <c r="I102" i="32"/>
  <c r="F102" i="32"/>
  <c r="X101" i="32"/>
  <c r="U101" i="32"/>
  <c r="R101" i="32"/>
  <c r="O101" i="32"/>
  <c r="L101" i="32"/>
  <c r="I101" i="32"/>
  <c r="F101" i="32"/>
  <c r="X100" i="32"/>
  <c r="U100" i="32"/>
  <c r="R100" i="32"/>
  <c r="O100" i="32"/>
  <c r="L100" i="32"/>
  <c r="I100" i="32"/>
  <c r="F100" i="32"/>
  <c r="X99" i="32"/>
  <c r="U99" i="32"/>
  <c r="R99" i="32"/>
  <c r="O99" i="32"/>
  <c r="L99" i="32"/>
  <c r="I99" i="32"/>
  <c r="F99" i="32"/>
  <c r="X110" i="31"/>
  <c r="U110" i="31"/>
  <c r="R110" i="31"/>
  <c r="O110" i="31"/>
  <c r="L110" i="31"/>
  <c r="I110" i="31"/>
  <c r="F110" i="31"/>
  <c r="X109" i="31"/>
  <c r="U109" i="31"/>
  <c r="R109" i="31"/>
  <c r="O109" i="31"/>
  <c r="L109" i="31"/>
  <c r="I109" i="31"/>
  <c r="F109" i="31"/>
  <c r="X108" i="31"/>
  <c r="U108" i="31"/>
  <c r="R108" i="31"/>
  <c r="O108" i="31"/>
  <c r="L108" i="31"/>
  <c r="I108" i="31"/>
  <c r="F108" i="31"/>
  <c r="X107" i="31"/>
  <c r="U107" i="31"/>
  <c r="R107" i="31"/>
  <c r="O107" i="31"/>
  <c r="L107" i="31"/>
  <c r="I107" i="31"/>
  <c r="F107" i="31"/>
  <c r="X106" i="31"/>
  <c r="U106" i="31"/>
  <c r="R106" i="31"/>
  <c r="O106" i="31"/>
  <c r="L106" i="31"/>
  <c r="I106" i="31"/>
  <c r="F106" i="31"/>
  <c r="X105" i="31"/>
  <c r="U105" i="31"/>
  <c r="R105" i="31"/>
  <c r="O105" i="31"/>
  <c r="L105" i="31"/>
  <c r="I105" i="31"/>
  <c r="F105" i="31"/>
  <c r="X104" i="31"/>
  <c r="U104" i="31"/>
  <c r="R104" i="31"/>
  <c r="O104" i="31"/>
  <c r="L104" i="31"/>
  <c r="I104" i="31"/>
  <c r="F104" i="31"/>
  <c r="X103" i="31"/>
  <c r="U103" i="31"/>
  <c r="R103" i="31"/>
  <c r="O103" i="31"/>
  <c r="L103" i="31"/>
  <c r="I103" i="31"/>
  <c r="F103" i="31"/>
  <c r="X102" i="31"/>
  <c r="U102" i="31"/>
  <c r="R102" i="31"/>
  <c r="O102" i="31"/>
  <c r="L102" i="31"/>
  <c r="I102" i="31"/>
  <c r="F102" i="31"/>
  <c r="X101" i="31"/>
  <c r="U101" i="31"/>
  <c r="R101" i="31"/>
  <c r="O101" i="31"/>
  <c r="L101" i="31"/>
  <c r="I101" i="31"/>
  <c r="F101" i="31"/>
  <c r="X100" i="31"/>
  <c r="U100" i="31"/>
  <c r="R100" i="31"/>
  <c r="O100" i="31"/>
  <c r="L100" i="31"/>
  <c r="I100" i="31"/>
  <c r="F100" i="31"/>
  <c r="X99" i="31"/>
  <c r="U99" i="31"/>
  <c r="R99" i="31"/>
  <c r="O99" i="31"/>
  <c r="L99" i="31"/>
  <c r="I99" i="31"/>
  <c r="F99" i="31"/>
  <c r="X110" i="30"/>
  <c r="U110" i="30"/>
  <c r="R110" i="30"/>
  <c r="O110" i="30"/>
  <c r="L110" i="30"/>
  <c r="I110" i="30"/>
  <c r="F110" i="30"/>
  <c r="X109" i="30"/>
  <c r="U109" i="30"/>
  <c r="R109" i="30"/>
  <c r="O109" i="30"/>
  <c r="L109" i="30"/>
  <c r="I109" i="30"/>
  <c r="F109" i="30"/>
  <c r="X108" i="30"/>
  <c r="U108" i="30"/>
  <c r="R108" i="30"/>
  <c r="O108" i="30"/>
  <c r="L108" i="30"/>
  <c r="I108" i="30"/>
  <c r="F108" i="30"/>
  <c r="X107" i="30"/>
  <c r="U107" i="30"/>
  <c r="R107" i="30"/>
  <c r="O107" i="30"/>
  <c r="L107" i="30"/>
  <c r="I107" i="30"/>
  <c r="F107" i="30"/>
  <c r="X106" i="30"/>
  <c r="U106" i="30"/>
  <c r="R106" i="30"/>
  <c r="O106" i="30"/>
  <c r="L106" i="30"/>
  <c r="I106" i="30"/>
  <c r="F106" i="30"/>
  <c r="X105" i="30"/>
  <c r="U105" i="30"/>
  <c r="R105" i="30"/>
  <c r="O105" i="30"/>
  <c r="L105" i="30"/>
  <c r="I105" i="30"/>
  <c r="F105" i="30"/>
  <c r="X104" i="30"/>
  <c r="U104" i="30"/>
  <c r="R104" i="30"/>
  <c r="O104" i="30"/>
  <c r="L104" i="30"/>
  <c r="I104" i="30"/>
  <c r="F104" i="30"/>
  <c r="X103" i="30"/>
  <c r="U103" i="30"/>
  <c r="R103" i="30"/>
  <c r="O103" i="30"/>
  <c r="L103" i="30"/>
  <c r="I103" i="30"/>
  <c r="F103" i="30"/>
  <c r="X102" i="30"/>
  <c r="U102" i="30"/>
  <c r="R102" i="30"/>
  <c r="O102" i="30"/>
  <c r="L102" i="30"/>
  <c r="I102" i="30"/>
  <c r="F102" i="30"/>
  <c r="X101" i="30"/>
  <c r="U101" i="30"/>
  <c r="R101" i="30"/>
  <c r="O101" i="30"/>
  <c r="L101" i="30"/>
  <c r="I101" i="30"/>
  <c r="F101" i="30"/>
  <c r="X100" i="30"/>
  <c r="U100" i="30"/>
  <c r="R100" i="30"/>
  <c r="O100" i="30"/>
  <c r="L100" i="30"/>
  <c r="I100" i="30"/>
  <c r="F100" i="30"/>
  <c r="X99" i="30"/>
  <c r="U99" i="30"/>
  <c r="R99" i="30"/>
  <c r="O99" i="30"/>
  <c r="L99" i="30"/>
  <c r="I99" i="30"/>
  <c r="F99" i="30"/>
  <c r="X153" i="29"/>
  <c r="U153" i="29"/>
  <c r="R153" i="29"/>
  <c r="O153" i="29"/>
  <c r="L153" i="29"/>
  <c r="I153" i="29"/>
  <c r="X152" i="29"/>
  <c r="U152" i="29"/>
  <c r="R152" i="29"/>
  <c r="O152" i="29"/>
  <c r="L152" i="29"/>
  <c r="I152" i="29"/>
  <c r="X151" i="29"/>
  <c r="U151" i="29"/>
  <c r="R151" i="29"/>
  <c r="O151" i="29"/>
  <c r="L151" i="29"/>
  <c r="I151" i="29"/>
  <c r="X121" i="29"/>
  <c r="U121" i="29"/>
  <c r="R121" i="29"/>
  <c r="O121" i="29"/>
  <c r="L121" i="29"/>
  <c r="I121" i="29"/>
  <c r="X120" i="29"/>
  <c r="U120" i="29"/>
  <c r="R120" i="29"/>
  <c r="O120" i="29"/>
  <c r="L120" i="29"/>
  <c r="I120" i="29"/>
  <c r="F120" i="29"/>
  <c r="X119" i="29"/>
  <c r="U119" i="29"/>
  <c r="R119" i="29"/>
  <c r="O119" i="29"/>
  <c r="L119" i="29"/>
  <c r="I119" i="29"/>
  <c r="F119" i="29"/>
  <c r="X118" i="29"/>
  <c r="U118" i="29"/>
  <c r="R118" i="29"/>
  <c r="O118" i="29"/>
  <c r="L118" i="29"/>
  <c r="I118" i="29"/>
  <c r="F118" i="29"/>
  <c r="X117" i="29"/>
  <c r="U117" i="29"/>
  <c r="R117" i="29"/>
  <c r="O117" i="29"/>
  <c r="L117" i="29"/>
  <c r="I117" i="29"/>
  <c r="F117" i="29"/>
  <c r="X116" i="29"/>
  <c r="U116" i="29"/>
  <c r="R116" i="29"/>
  <c r="O116" i="29"/>
  <c r="L116" i="29"/>
  <c r="I116" i="29"/>
  <c r="F116" i="29"/>
  <c r="X115" i="29"/>
  <c r="U115" i="29"/>
  <c r="R115" i="29"/>
  <c r="O115" i="29"/>
  <c r="L115" i="29"/>
  <c r="I115" i="29"/>
  <c r="F115" i="29"/>
  <c r="X114" i="29"/>
  <c r="U114" i="29"/>
  <c r="R114" i="29"/>
  <c r="O114" i="29"/>
  <c r="L114" i="29"/>
  <c r="I114" i="29"/>
  <c r="F114" i="29"/>
  <c r="X113" i="29"/>
  <c r="U113" i="29"/>
  <c r="R113" i="29"/>
  <c r="O113" i="29"/>
  <c r="L113" i="29"/>
  <c r="I113" i="29"/>
  <c r="F113" i="29"/>
  <c r="X112" i="29"/>
  <c r="U112" i="29"/>
  <c r="R112" i="29"/>
  <c r="O112" i="29"/>
  <c r="L112" i="29"/>
  <c r="I112" i="29"/>
  <c r="F112" i="29"/>
  <c r="X111" i="29"/>
  <c r="U111" i="29"/>
  <c r="R111" i="29"/>
  <c r="O111" i="29"/>
  <c r="L111" i="29"/>
  <c r="I111" i="29"/>
  <c r="F111" i="29"/>
  <c r="X110" i="29"/>
  <c r="U110" i="29"/>
  <c r="R110" i="29"/>
  <c r="O110" i="29"/>
  <c r="L110" i="29"/>
  <c r="I110" i="29"/>
  <c r="F110" i="29"/>
  <c r="X109" i="29"/>
  <c r="U109" i="29"/>
  <c r="R109" i="29"/>
  <c r="O109" i="29"/>
  <c r="L109" i="29"/>
  <c r="I109" i="29"/>
  <c r="F109" i="29"/>
  <c r="X108" i="29"/>
  <c r="U108" i="29"/>
  <c r="R108" i="29"/>
  <c r="O108" i="29"/>
  <c r="L108" i="29"/>
  <c r="I108" i="29"/>
  <c r="F108" i="29"/>
  <c r="X107" i="29"/>
  <c r="U107" i="29"/>
  <c r="R107" i="29"/>
  <c r="O107" i="29"/>
  <c r="L107" i="29"/>
  <c r="I107" i="29"/>
  <c r="F107" i="29"/>
  <c r="X106" i="29"/>
  <c r="U106" i="29"/>
  <c r="R106" i="29"/>
  <c r="O106" i="29"/>
  <c r="L106" i="29"/>
  <c r="I106" i="29"/>
  <c r="F106" i="29"/>
  <c r="X105" i="29"/>
  <c r="U105" i="29"/>
  <c r="R105" i="29"/>
  <c r="O105" i="29"/>
  <c r="L105" i="29"/>
  <c r="I105" i="29"/>
  <c r="F105" i="29"/>
  <c r="X104" i="29"/>
  <c r="U104" i="29"/>
  <c r="R104" i="29"/>
  <c r="O104" i="29"/>
  <c r="L104" i="29"/>
  <c r="I104" i="29"/>
  <c r="F104" i="29"/>
  <c r="X103" i="29"/>
  <c r="U103" i="29"/>
  <c r="R103" i="29"/>
  <c r="O103" i="29"/>
  <c r="L103" i="29"/>
  <c r="I103" i="29"/>
  <c r="F103" i="29"/>
  <c r="X102" i="29"/>
  <c r="U102" i="29"/>
  <c r="R102" i="29"/>
  <c r="O102" i="29"/>
  <c r="L102" i="29"/>
  <c r="I102" i="29"/>
  <c r="F102" i="29"/>
  <c r="X101" i="29"/>
  <c r="U101" i="29"/>
  <c r="R101" i="29"/>
  <c r="O101" i="29"/>
  <c r="L101" i="29"/>
  <c r="I101" i="29"/>
  <c r="F101" i="29"/>
  <c r="X100" i="29"/>
  <c r="U100" i="29"/>
  <c r="R100" i="29"/>
  <c r="O100" i="29"/>
  <c r="L100" i="29"/>
  <c r="I100" i="29"/>
  <c r="F100" i="29"/>
  <c r="X99" i="29"/>
  <c r="U99" i="29"/>
  <c r="R99" i="29"/>
  <c r="O99" i="29"/>
  <c r="L99" i="29"/>
  <c r="I99" i="29"/>
  <c r="F99" i="29"/>
  <c r="X110" i="28"/>
  <c r="U110" i="28"/>
  <c r="R110" i="28"/>
  <c r="O110" i="28"/>
  <c r="L110" i="28"/>
  <c r="I110" i="28"/>
  <c r="F110" i="28"/>
  <c r="X109" i="28"/>
  <c r="U109" i="28"/>
  <c r="R109" i="28"/>
  <c r="O109" i="28"/>
  <c r="L109" i="28"/>
  <c r="I109" i="28"/>
  <c r="F109" i="28"/>
  <c r="X108" i="28"/>
  <c r="U108" i="28"/>
  <c r="R108" i="28"/>
  <c r="O108" i="28"/>
  <c r="L108" i="28"/>
  <c r="I108" i="28"/>
  <c r="F108" i="28"/>
  <c r="X107" i="28"/>
  <c r="U107" i="28"/>
  <c r="R107" i="28"/>
  <c r="O107" i="28"/>
  <c r="L107" i="28"/>
  <c r="I107" i="28"/>
  <c r="F107" i="28"/>
  <c r="X106" i="28"/>
  <c r="U106" i="28"/>
  <c r="R106" i="28"/>
  <c r="O106" i="28"/>
  <c r="L106" i="28"/>
  <c r="I106" i="28"/>
  <c r="F106" i="28"/>
  <c r="X105" i="28"/>
  <c r="U105" i="28"/>
  <c r="R105" i="28"/>
  <c r="O105" i="28"/>
  <c r="L105" i="28"/>
  <c r="I105" i="28"/>
  <c r="F105" i="28"/>
  <c r="X104" i="28"/>
  <c r="U104" i="28"/>
  <c r="R104" i="28"/>
  <c r="O104" i="28"/>
  <c r="L104" i="28"/>
  <c r="I104" i="28"/>
  <c r="F104" i="28"/>
  <c r="X103" i="28"/>
  <c r="U103" i="28"/>
  <c r="R103" i="28"/>
  <c r="O103" i="28"/>
  <c r="L103" i="28"/>
  <c r="I103" i="28"/>
  <c r="F103" i="28"/>
  <c r="X102" i="28"/>
  <c r="U102" i="28"/>
  <c r="R102" i="28"/>
  <c r="O102" i="28"/>
  <c r="L102" i="28"/>
  <c r="I102" i="28"/>
  <c r="F102" i="28"/>
  <c r="X101" i="28"/>
  <c r="U101" i="28"/>
  <c r="R101" i="28"/>
  <c r="O101" i="28"/>
  <c r="L101" i="28"/>
  <c r="I101" i="28"/>
  <c r="F101" i="28"/>
  <c r="X100" i="28"/>
  <c r="U100" i="28"/>
  <c r="R100" i="28"/>
  <c r="O100" i="28"/>
  <c r="L100" i="28"/>
  <c r="I100" i="28"/>
  <c r="F100" i="28"/>
  <c r="X99" i="28"/>
  <c r="U99" i="28"/>
  <c r="R99" i="28"/>
  <c r="O99" i="28"/>
  <c r="L99" i="28"/>
  <c r="I99" i="28"/>
  <c r="F99" i="28"/>
  <c r="X110" i="27"/>
  <c r="U110" i="27"/>
  <c r="R110" i="27"/>
  <c r="O110" i="27"/>
  <c r="L110" i="27"/>
  <c r="I110" i="27"/>
  <c r="F110" i="27"/>
  <c r="X109" i="27"/>
  <c r="U109" i="27"/>
  <c r="R109" i="27"/>
  <c r="O109" i="27"/>
  <c r="L109" i="27"/>
  <c r="I109" i="27"/>
  <c r="F109" i="27"/>
  <c r="X108" i="27"/>
  <c r="U108" i="27"/>
  <c r="R108" i="27"/>
  <c r="O108" i="27"/>
  <c r="L108" i="27"/>
  <c r="I108" i="27"/>
  <c r="F108" i="27"/>
  <c r="X107" i="27"/>
  <c r="U107" i="27"/>
  <c r="R107" i="27"/>
  <c r="O107" i="27"/>
  <c r="L107" i="27"/>
  <c r="I107" i="27"/>
  <c r="F107" i="27"/>
  <c r="X106" i="27"/>
  <c r="U106" i="27"/>
  <c r="R106" i="27"/>
  <c r="O106" i="27"/>
  <c r="L106" i="27"/>
  <c r="I106" i="27"/>
  <c r="F106" i="27"/>
  <c r="X105" i="27"/>
  <c r="U105" i="27"/>
  <c r="R105" i="27"/>
  <c r="O105" i="27"/>
  <c r="L105" i="27"/>
  <c r="I105" i="27"/>
  <c r="F105" i="27"/>
  <c r="X104" i="27"/>
  <c r="U104" i="27"/>
  <c r="R104" i="27"/>
  <c r="O104" i="27"/>
  <c r="L104" i="27"/>
  <c r="I104" i="27"/>
  <c r="F104" i="27"/>
  <c r="X103" i="27"/>
  <c r="U103" i="27"/>
  <c r="R103" i="27"/>
  <c r="O103" i="27"/>
  <c r="L103" i="27"/>
  <c r="I103" i="27"/>
  <c r="F103" i="27"/>
  <c r="X102" i="27"/>
  <c r="U102" i="27"/>
  <c r="R102" i="27"/>
  <c r="O102" i="27"/>
  <c r="L102" i="27"/>
  <c r="I102" i="27"/>
  <c r="F102" i="27"/>
  <c r="X101" i="27"/>
  <c r="U101" i="27"/>
  <c r="R101" i="27"/>
  <c r="O101" i="27"/>
  <c r="L101" i="27"/>
  <c r="I101" i="27"/>
  <c r="F101" i="27"/>
  <c r="X100" i="27"/>
  <c r="U100" i="27"/>
  <c r="R100" i="27"/>
  <c r="O100" i="27"/>
  <c r="L100" i="27"/>
  <c r="I100" i="27"/>
  <c r="F100" i="27"/>
  <c r="X99" i="27"/>
  <c r="U99" i="27"/>
  <c r="R99" i="27"/>
  <c r="O99" i="27"/>
  <c r="L99" i="27"/>
  <c r="I99" i="27"/>
  <c r="F99" i="27"/>
  <c r="X110" i="26"/>
  <c r="U110" i="26"/>
  <c r="R110" i="26"/>
  <c r="O110" i="26"/>
  <c r="L110" i="26"/>
  <c r="I110" i="26"/>
  <c r="F110" i="26"/>
  <c r="X109" i="26"/>
  <c r="U109" i="26"/>
  <c r="R109" i="26"/>
  <c r="O109" i="26"/>
  <c r="L109" i="26"/>
  <c r="I109" i="26"/>
  <c r="F109" i="26"/>
  <c r="X108" i="26"/>
  <c r="U108" i="26"/>
  <c r="R108" i="26"/>
  <c r="O108" i="26"/>
  <c r="L108" i="26"/>
  <c r="I108" i="26"/>
  <c r="F108" i="26"/>
  <c r="X107" i="26"/>
  <c r="U107" i="26"/>
  <c r="R107" i="26"/>
  <c r="O107" i="26"/>
  <c r="L107" i="26"/>
  <c r="I107" i="26"/>
  <c r="F107" i="26"/>
  <c r="X106" i="26"/>
  <c r="U106" i="26"/>
  <c r="R106" i="26"/>
  <c r="O106" i="26"/>
  <c r="L106" i="26"/>
  <c r="I106" i="26"/>
  <c r="F106" i="26"/>
  <c r="X105" i="26"/>
  <c r="U105" i="26"/>
  <c r="R105" i="26"/>
  <c r="O105" i="26"/>
  <c r="L105" i="26"/>
  <c r="I105" i="26"/>
  <c r="F105" i="26"/>
  <c r="X104" i="26"/>
  <c r="U104" i="26"/>
  <c r="R104" i="26"/>
  <c r="O104" i="26"/>
  <c r="L104" i="26"/>
  <c r="I104" i="26"/>
  <c r="F104" i="26"/>
  <c r="X103" i="26"/>
  <c r="U103" i="26"/>
  <c r="R103" i="26"/>
  <c r="O103" i="26"/>
  <c r="L103" i="26"/>
  <c r="I103" i="26"/>
  <c r="F103" i="26"/>
  <c r="X102" i="26"/>
  <c r="U102" i="26"/>
  <c r="R102" i="26"/>
  <c r="O102" i="26"/>
  <c r="L102" i="26"/>
  <c r="I102" i="26"/>
  <c r="F102" i="26"/>
  <c r="X101" i="26"/>
  <c r="U101" i="26"/>
  <c r="R101" i="26"/>
  <c r="O101" i="26"/>
  <c r="L101" i="26"/>
  <c r="I101" i="26"/>
  <c r="F101" i="26"/>
  <c r="X100" i="26"/>
  <c r="U100" i="26"/>
  <c r="R100" i="26"/>
  <c r="O100" i="26"/>
  <c r="L100" i="26"/>
  <c r="I100" i="26"/>
  <c r="F100" i="26"/>
  <c r="X99" i="26"/>
  <c r="U99" i="26"/>
  <c r="R99" i="26"/>
  <c r="O99" i="26"/>
  <c r="L99" i="26"/>
  <c r="I99" i="26"/>
  <c r="F99" i="26"/>
  <c r="Z120" i="47" l="1"/>
  <c r="AC120" i="47" s="1"/>
  <c r="AE120" i="47" s="1"/>
  <c r="Z114" i="49"/>
  <c r="AC114" i="49" s="1"/>
  <c r="AE114" i="49" s="1"/>
  <c r="Z119" i="49"/>
  <c r="AC119" i="49" s="1"/>
  <c r="AE119" i="49" s="1"/>
  <c r="Z153" i="49"/>
  <c r="AC153" i="49" s="1"/>
  <c r="AE153" i="49" s="1"/>
  <c r="Z116" i="51"/>
  <c r="AC116" i="51" s="1"/>
  <c r="AE116" i="51" s="1"/>
  <c r="Z115" i="5"/>
  <c r="AC115" i="5" s="1"/>
  <c r="AE115" i="5" s="1"/>
  <c r="Z118" i="37"/>
  <c r="AC118" i="37" s="1"/>
  <c r="AE118" i="37" s="1"/>
  <c r="Z116" i="35"/>
  <c r="AC116" i="35" s="1"/>
  <c r="AE116" i="35" s="1"/>
  <c r="Z117" i="47"/>
  <c r="AC117" i="47" s="1"/>
  <c r="AE117" i="47" s="1"/>
  <c r="Z109" i="5"/>
  <c r="AC109" i="5" s="1"/>
  <c r="AE109" i="5" s="1"/>
  <c r="Z114" i="33"/>
  <c r="AC114" i="33" s="1"/>
  <c r="AE114" i="33" s="1"/>
  <c r="Z120" i="33"/>
  <c r="AC120" i="33" s="1"/>
  <c r="AE120" i="33" s="1"/>
  <c r="Z117" i="5"/>
  <c r="AC117" i="5" s="1"/>
  <c r="AE117" i="5" s="1"/>
  <c r="Z99" i="5"/>
  <c r="AC99" i="5" s="1"/>
  <c r="Z117" i="31"/>
  <c r="AC117" i="31" s="1"/>
  <c r="AE117" i="31" s="1"/>
  <c r="Z112" i="32"/>
  <c r="AC112" i="32" s="1"/>
  <c r="AE112" i="32" s="1"/>
  <c r="Z113" i="28"/>
  <c r="AC113" i="28" s="1"/>
  <c r="AE113" i="28" s="1"/>
  <c r="Z114" i="53"/>
  <c r="AC114" i="53" s="1"/>
  <c r="AE114" i="53" s="1"/>
  <c r="Z101" i="5"/>
  <c r="AC101" i="5" s="1"/>
  <c r="AE101" i="5" s="1"/>
  <c r="Z115" i="47"/>
  <c r="AC115" i="47" s="1"/>
  <c r="AE115" i="47" s="1"/>
  <c r="Z117" i="49"/>
  <c r="AC117" i="49" s="1"/>
  <c r="AE117" i="49" s="1"/>
  <c r="Z153" i="51"/>
  <c r="AC153" i="51" s="1"/>
  <c r="AE153" i="51" s="1"/>
  <c r="Z121" i="52"/>
  <c r="AC121" i="52" s="1"/>
  <c r="AE121" i="52" s="1"/>
  <c r="Z101" i="52"/>
  <c r="AC101" i="52" s="1"/>
  <c r="AE101" i="52" s="1"/>
  <c r="Z119" i="5"/>
  <c r="AC119" i="5" s="1"/>
  <c r="AE119" i="5" s="1"/>
  <c r="Z103" i="5"/>
  <c r="AC103" i="5" s="1"/>
  <c r="AE103" i="5" s="1"/>
  <c r="Z116" i="39"/>
  <c r="AC116" i="39" s="1"/>
  <c r="AE116" i="39" s="1"/>
  <c r="Z121" i="39"/>
  <c r="AC121" i="39" s="1"/>
  <c r="AE121" i="39" s="1"/>
  <c r="Z118" i="41"/>
  <c r="AC118" i="41" s="1"/>
  <c r="AE118" i="41" s="1"/>
  <c r="Z120" i="43"/>
  <c r="AC120" i="43" s="1"/>
  <c r="AE120" i="43" s="1"/>
  <c r="Z111" i="44"/>
  <c r="AC111" i="44" s="1"/>
  <c r="AE111" i="44" s="1"/>
  <c r="Z152" i="44"/>
  <c r="AC152" i="44" s="1"/>
  <c r="AE152" i="44" s="1"/>
  <c r="Z113" i="46"/>
  <c r="AC113" i="46" s="1"/>
  <c r="AE113" i="46" s="1"/>
  <c r="Z120" i="46"/>
  <c r="AC120" i="46" s="1"/>
  <c r="AE120" i="46" s="1"/>
  <c r="Z101" i="48"/>
  <c r="AC101" i="48" s="1"/>
  <c r="AE101" i="48" s="1"/>
  <c r="Z105" i="5"/>
  <c r="AC105" i="5" s="1"/>
  <c r="AE105" i="5" s="1"/>
  <c r="Z115" i="33"/>
  <c r="AC115" i="33" s="1"/>
  <c r="AE115" i="33" s="1"/>
  <c r="Z115" i="34"/>
  <c r="AC115" i="34" s="1"/>
  <c r="AE115" i="34" s="1"/>
  <c r="Z117" i="35"/>
  <c r="AC117" i="35" s="1"/>
  <c r="AE117" i="35" s="1"/>
  <c r="Z112" i="36"/>
  <c r="AC112" i="36" s="1"/>
  <c r="AE112" i="36" s="1"/>
  <c r="Z153" i="36"/>
  <c r="AC153" i="36" s="1"/>
  <c r="AE153" i="36" s="1"/>
  <c r="Z121" i="5"/>
  <c r="AC121" i="5" s="1"/>
  <c r="AE121" i="5" s="1"/>
  <c r="Z113" i="32"/>
  <c r="AC113" i="32" s="1"/>
  <c r="AE113" i="32" s="1"/>
  <c r="Z121" i="41"/>
  <c r="AC121" i="41" s="1"/>
  <c r="AE121" i="41" s="1"/>
  <c r="Z111" i="46"/>
  <c r="AC111" i="46" s="1"/>
  <c r="AE111" i="46" s="1"/>
  <c r="Z118" i="46"/>
  <c r="AC118" i="46" s="1"/>
  <c r="AE118" i="46" s="1"/>
  <c r="Z118" i="27"/>
  <c r="AC118" i="27" s="1"/>
  <c r="AE118" i="27" s="1"/>
  <c r="Z114" i="19"/>
  <c r="AC114" i="19" s="1"/>
  <c r="AE114" i="19" s="1"/>
  <c r="Z123" i="5"/>
  <c r="AC123" i="5" s="1"/>
  <c r="AE123" i="5" s="1"/>
  <c r="Z102" i="39"/>
  <c r="AC102" i="39" s="1"/>
  <c r="AE102" i="39" s="1"/>
  <c r="Z107" i="5"/>
  <c r="AC107" i="5" s="1"/>
  <c r="AE107" i="5" s="1"/>
  <c r="Z112" i="40"/>
  <c r="AC112" i="40" s="1"/>
  <c r="AE112" i="40" s="1"/>
  <c r="Z153" i="40"/>
  <c r="AC153" i="40" s="1"/>
  <c r="AE153" i="40" s="1"/>
  <c r="Z115" i="54"/>
  <c r="AC115" i="54" s="1"/>
  <c r="AE115" i="54" s="1"/>
  <c r="Z120" i="5"/>
  <c r="AC120" i="5" s="1"/>
  <c r="AE120" i="5" s="1"/>
  <c r="Z112" i="26"/>
  <c r="AC112" i="26" s="1"/>
  <c r="AE112" i="26" s="1"/>
  <c r="Z114" i="28"/>
  <c r="AC114" i="28" s="1"/>
  <c r="AE114" i="28" s="1"/>
  <c r="Z120" i="37"/>
  <c r="AC120" i="37" s="1"/>
  <c r="AE120" i="37" s="1"/>
  <c r="Z116" i="47"/>
  <c r="AC116" i="47" s="1"/>
  <c r="AE116" i="47" s="1"/>
  <c r="Z118" i="48"/>
  <c r="AC118" i="48" s="1"/>
  <c r="AE118" i="48" s="1"/>
  <c r="Z120" i="50"/>
  <c r="AC120" i="50" s="1"/>
  <c r="AE120" i="50" s="1"/>
  <c r="Z111" i="51"/>
  <c r="AC111" i="51" s="1"/>
  <c r="AE111" i="51" s="1"/>
  <c r="Z152" i="51"/>
  <c r="AC152" i="51" s="1"/>
  <c r="AE152" i="51" s="1"/>
  <c r="Z111" i="5"/>
  <c r="AC111" i="5" s="1"/>
  <c r="AE111" i="5" s="1"/>
  <c r="Z153" i="46"/>
  <c r="AC153" i="46" s="1"/>
  <c r="AE153" i="46" s="1"/>
  <c r="Z114" i="47"/>
  <c r="AC114" i="47" s="1"/>
  <c r="AE114" i="47" s="1"/>
  <c r="Z119" i="46"/>
  <c r="AC119" i="46" s="1"/>
  <c r="AE119" i="46" s="1"/>
  <c r="Z110" i="31"/>
  <c r="AC110" i="31" s="1"/>
  <c r="AE110" i="31" s="1"/>
  <c r="Z109" i="32"/>
  <c r="AC109" i="32" s="1"/>
  <c r="AE109" i="32" s="1"/>
  <c r="Z110" i="35"/>
  <c r="AC110" i="35" s="1"/>
  <c r="AE110" i="35" s="1"/>
  <c r="Z106" i="38"/>
  <c r="AC106" i="38" s="1"/>
  <c r="AE106" i="38" s="1"/>
  <c r="Z110" i="43"/>
  <c r="AC110" i="43" s="1"/>
  <c r="AE110" i="43" s="1"/>
  <c r="Z113" i="5"/>
  <c r="AC113" i="5" s="1"/>
  <c r="AE113" i="5" s="1"/>
  <c r="Z114" i="32"/>
  <c r="AC114" i="32" s="1"/>
  <c r="AE114" i="32" s="1"/>
  <c r="Z120" i="38"/>
  <c r="AC120" i="38" s="1"/>
  <c r="AE120" i="38" s="1"/>
  <c r="Z115" i="43"/>
  <c r="AC115" i="43" s="1"/>
  <c r="AE115" i="43" s="1"/>
  <c r="Z117" i="45"/>
  <c r="AC117" i="45" s="1"/>
  <c r="AE117" i="45" s="1"/>
  <c r="Z112" i="46"/>
  <c r="AC112" i="46" s="1"/>
  <c r="AE112" i="46" s="1"/>
  <c r="Z120" i="54"/>
  <c r="AC120" i="54" s="1"/>
  <c r="AE120" i="54" s="1"/>
  <c r="Z111" i="19"/>
  <c r="AC111" i="19" s="1"/>
  <c r="AE111" i="19" s="1"/>
  <c r="Z152" i="19"/>
  <c r="AC152" i="19" s="1"/>
  <c r="AE152" i="19" s="1"/>
  <c r="Z115" i="30"/>
  <c r="AC115" i="30" s="1"/>
  <c r="AE115" i="30" s="1"/>
  <c r="Z106" i="30"/>
  <c r="AC106" i="30" s="1"/>
  <c r="AE106" i="30" s="1"/>
  <c r="Z116" i="30"/>
  <c r="AC116" i="30" s="1"/>
  <c r="AE116" i="30" s="1"/>
  <c r="Z152" i="30"/>
  <c r="AC152" i="30" s="1"/>
  <c r="AE152" i="30" s="1"/>
  <c r="Z112" i="30"/>
  <c r="AC112" i="30" s="1"/>
  <c r="AE112" i="30" s="1"/>
  <c r="Z103" i="32"/>
  <c r="AC103" i="32" s="1"/>
  <c r="AE103" i="32" s="1"/>
  <c r="Z108" i="36"/>
  <c r="AC108" i="36" s="1"/>
  <c r="AE108" i="36" s="1"/>
  <c r="Z108" i="40"/>
  <c r="AC108" i="40" s="1"/>
  <c r="AE108" i="40" s="1"/>
  <c r="Z100" i="5"/>
  <c r="AC100" i="5" s="1"/>
  <c r="AE100" i="5" s="1"/>
  <c r="Z116" i="26"/>
  <c r="AC116" i="26" s="1"/>
  <c r="AE116" i="26" s="1"/>
  <c r="Z118" i="28"/>
  <c r="AC118" i="28" s="1"/>
  <c r="AE118" i="28" s="1"/>
  <c r="Z120" i="30"/>
  <c r="AC120" i="30" s="1"/>
  <c r="AE120" i="30" s="1"/>
  <c r="Z111" i="31"/>
  <c r="AC111" i="31" s="1"/>
  <c r="AE111" i="31" s="1"/>
  <c r="Z152" i="31"/>
  <c r="AC152" i="31" s="1"/>
  <c r="AE152" i="31" s="1"/>
  <c r="Z117" i="36"/>
  <c r="AC117" i="36" s="1"/>
  <c r="AE117" i="36" s="1"/>
  <c r="Z112" i="37"/>
  <c r="AC112" i="37" s="1"/>
  <c r="AE112" i="37" s="1"/>
  <c r="Z117" i="37"/>
  <c r="AC117" i="37" s="1"/>
  <c r="AE117" i="37" s="1"/>
  <c r="Z114" i="38"/>
  <c r="AC114" i="38" s="1"/>
  <c r="AE114" i="38" s="1"/>
  <c r="Z119" i="38"/>
  <c r="AC119" i="38" s="1"/>
  <c r="AE119" i="38" s="1"/>
  <c r="Z153" i="38"/>
  <c r="AC153" i="38" s="1"/>
  <c r="AE153" i="38" s="1"/>
  <c r="Z116" i="40"/>
  <c r="AC116" i="40" s="1"/>
  <c r="AE116" i="40" s="1"/>
  <c r="Z121" i="40"/>
  <c r="AC121" i="40" s="1"/>
  <c r="AE121" i="40" s="1"/>
  <c r="Z118" i="42"/>
  <c r="AC118" i="42" s="1"/>
  <c r="AE118" i="42" s="1"/>
  <c r="Z120" i="44"/>
  <c r="AC120" i="44" s="1"/>
  <c r="AE120" i="44" s="1"/>
  <c r="Z111" i="45"/>
  <c r="AC111" i="45" s="1"/>
  <c r="AE111" i="45" s="1"/>
  <c r="Z152" i="45"/>
  <c r="AC152" i="45" s="1"/>
  <c r="AE152" i="45" s="1"/>
  <c r="Z112" i="48"/>
  <c r="AC112" i="48" s="1"/>
  <c r="AE112" i="48" s="1"/>
  <c r="Z117" i="48"/>
  <c r="AC117" i="48" s="1"/>
  <c r="AE117" i="48" s="1"/>
  <c r="Z114" i="50"/>
  <c r="AC114" i="50" s="1"/>
  <c r="AE114" i="50" s="1"/>
  <c r="Z119" i="50"/>
  <c r="AC119" i="50" s="1"/>
  <c r="AE119" i="50" s="1"/>
  <c r="Z153" i="50"/>
  <c r="AC153" i="50" s="1"/>
  <c r="AE153" i="50" s="1"/>
  <c r="Z121" i="51"/>
  <c r="AC121" i="51" s="1"/>
  <c r="AE121" i="51" s="1"/>
  <c r="Z116" i="52"/>
  <c r="AC116" i="52" s="1"/>
  <c r="AE116" i="52" s="1"/>
  <c r="Z118" i="53"/>
  <c r="AC118" i="53" s="1"/>
  <c r="AE118" i="53" s="1"/>
  <c r="Z120" i="19"/>
  <c r="AC120" i="19" s="1"/>
  <c r="AE120" i="19" s="1"/>
  <c r="Z103" i="45"/>
  <c r="AC103" i="45" s="1"/>
  <c r="AE103" i="45" s="1"/>
  <c r="Z99" i="48"/>
  <c r="AC99" i="48" s="1"/>
  <c r="Z121" i="26"/>
  <c r="AC121" i="26" s="1"/>
  <c r="AE121" i="26" s="1"/>
  <c r="Z111" i="32"/>
  <c r="AC111" i="32" s="1"/>
  <c r="AE111" i="32" s="1"/>
  <c r="Z113" i="33"/>
  <c r="AC113" i="33" s="1"/>
  <c r="AE113" i="33" s="1"/>
  <c r="Z113" i="34"/>
  <c r="AC113" i="34" s="1"/>
  <c r="AE113" i="34" s="1"/>
  <c r="Z115" i="35"/>
  <c r="AC115" i="35" s="1"/>
  <c r="AE115" i="35" s="1"/>
  <c r="Z115" i="36"/>
  <c r="AC115" i="36" s="1"/>
  <c r="AE115" i="36" s="1"/>
  <c r="Z151" i="36"/>
  <c r="AC151" i="36" s="1"/>
  <c r="Z153" i="37"/>
  <c r="AC153" i="37" s="1"/>
  <c r="AE153" i="37" s="1"/>
  <c r="Z114" i="39"/>
  <c r="AC114" i="39" s="1"/>
  <c r="AE114" i="39" s="1"/>
  <c r="Z119" i="39"/>
  <c r="AC119" i="39" s="1"/>
  <c r="AE119" i="39" s="1"/>
  <c r="Z116" i="41"/>
  <c r="AC116" i="41" s="1"/>
  <c r="AE116" i="41" s="1"/>
  <c r="Z118" i="43"/>
  <c r="AC118" i="43" s="1"/>
  <c r="AE118" i="43" s="1"/>
  <c r="Z120" i="45"/>
  <c r="AC120" i="45" s="1"/>
  <c r="AE120" i="45" s="1"/>
  <c r="Z112" i="49"/>
  <c r="AC112" i="49" s="1"/>
  <c r="AE112" i="49" s="1"/>
  <c r="Z114" i="51"/>
  <c r="AC114" i="51" s="1"/>
  <c r="AE114" i="51" s="1"/>
  <c r="Z118" i="54"/>
  <c r="AC118" i="54" s="1"/>
  <c r="AE118" i="54" s="1"/>
  <c r="Z103" i="49"/>
  <c r="AC103" i="49" s="1"/>
  <c r="AE103" i="49" s="1"/>
  <c r="Z103" i="53"/>
  <c r="AC103" i="53" s="1"/>
  <c r="AE103" i="53" s="1"/>
  <c r="Z116" i="27"/>
  <c r="AC116" i="27" s="1"/>
  <c r="AE116" i="27" s="1"/>
  <c r="Z121" i="27"/>
  <c r="AC121" i="27" s="1"/>
  <c r="AE121" i="27" s="1"/>
  <c r="Z120" i="31"/>
  <c r="AC120" i="31" s="1"/>
  <c r="AE120" i="31" s="1"/>
  <c r="Z110" i="33"/>
  <c r="AC110" i="33" s="1"/>
  <c r="AE110" i="33" s="1"/>
  <c r="Z106" i="36"/>
  <c r="AC106" i="36" s="1"/>
  <c r="AE106" i="36" s="1"/>
  <c r="Z106" i="40"/>
  <c r="AC106" i="40" s="1"/>
  <c r="AE106" i="40" s="1"/>
  <c r="Z104" i="5"/>
  <c r="AC104" i="5" s="1"/>
  <c r="AE104" i="5" s="1"/>
  <c r="Z114" i="26"/>
  <c r="AC114" i="26" s="1"/>
  <c r="AE114" i="26" s="1"/>
  <c r="Z153" i="26"/>
  <c r="AC153" i="26" s="1"/>
  <c r="AE153" i="26" s="1"/>
  <c r="Z116" i="28"/>
  <c r="AC116" i="28" s="1"/>
  <c r="AE116" i="28" s="1"/>
  <c r="Z121" i="28"/>
  <c r="AC121" i="28" s="1"/>
  <c r="AE121" i="28" s="1"/>
  <c r="Z118" i="30"/>
  <c r="AC118" i="30" s="1"/>
  <c r="AE118" i="30" s="1"/>
  <c r="Z152" i="32"/>
  <c r="AC152" i="32" s="1"/>
  <c r="AE152" i="32" s="1"/>
  <c r="Z115" i="37"/>
  <c r="AC115" i="37" s="1"/>
  <c r="AE115" i="37" s="1"/>
  <c r="Z112" i="38"/>
  <c r="AC112" i="38" s="1"/>
  <c r="AE112" i="38" s="1"/>
  <c r="Z117" i="38"/>
  <c r="AC117" i="38" s="1"/>
  <c r="AE117" i="38" s="1"/>
  <c r="Z153" i="39"/>
  <c r="AC153" i="39" s="1"/>
  <c r="AE153" i="39" s="1"/>
  <c r="Z114" i="40"/>
  <c r="AC114" i="40" s="1"/>
  <c r="AE114" i="40" s="1"/>
  <c r="Z119" i="40"/>
  <c r="AC119" i="40" s="1"/>
  <c r="AE119" i="40" s="1"/>
  <c r="Z116" i="42"/>
  <c r="AC116" i="42" s="1"/>
  <c r="AE116" i="42" s="1"/>
  <c r="Z118" i="44"/>
  <c r="AC118" i="44" s="1"/>
  <c r="AE118" i="44" s="1"/>
  <c r="Z113" i="47"/>
  <c r="AC113" i="47" s="1"/>
  <c r="AE113" i="47" s="1"/>
  <c r="Z115" i="48"/>
  <c r="AC115" i="48" s="1"/>
  <c r="AE115" i="48" s="1"/>
  <c r="Z112" i="50"/>
  <c r="AC112" i="50" s="1"/>
  <c r="AE112" i="50" s="1"/>
  <c r="Z117" i="50"/>
  <c r="AC117" i="50" s="1"/>
  <c r="AE117" i="50" s="1"/>
  <c r="Z119" i="51"/>
  <c r="AC119" i="51" s="1"/>
  <c r="AE119" i="51" s="1"/>
  <c r="Z114" i="52"/>
  <c r="AC114" i="52" s="1"/>
  <c r="AE114" i="52" s="1"/>
  <c r="Z153" i="52"/>
  <c r="AC153" i="52" s="1"/>
  <c r="AE153" i="52" s="1"/>
  <c r="Z116" i="53"/>
  <c r="AC116" i="53" s="1"/>
  <c r="AE116" i="53" s="1"/>
  <c r="Z121" i="53"/>
  <c r="AC121" i="53" s="1"/>
  <c r="AE121" i="53" s="1"/>
  <c r="Z118" i="19"/>
  <c r="AC118" i="19" s="1"/>
  <c r="AE118" i="19" s="1"/>
  <c r="Z99" i="52"/>
  <c r="AC99" i="52" s="1"/>
  <c r="Z102" i="5"/>
  <c r="AC102" i="5" s="1"/>
  <c r="AE102" i="5" s="1"/>
  <c r="Z109" i="47"/>
  <c r="AC109" i="47" s="1"/>
  <c r="AE109" i="47" s="1"/>
  <c r="Z109" i="51"/>
  <c r="AC109" i="51" s="1"/>
  <c r="AE109" i="51" s="1"/>
  <c r="Z109" i="19"/>
  <c r="AC109" i="19" s="1"/>
  <c r="AE109" i="19" s="1"/>
  <c r="Z106" i="5"/>
  <c r="AC106" i="5" s="1"/>
  <c r="AE106" i="5" s="1"/>
  <c r="Z119" i="26"/>
  <c r="AC119" i="26" s="1"/>
  <c r="AE119" i="26" s="1"/>
  <c r="Z114" i="27"/>
  <c r="AC114" i="27" s="1"/>
  <c r="AE114" i="27" s="1"/>
  <c r="Z119" i="27"/>
  <c r="AC119" i="27" s="1"/>
  <c r="AE119" i="27" s="1"/>
  <c r="Z153" i="27"/>
  <c r="AC153" i="27" s="1"/>
  <c r="AE153" i="27" s="1"/>
  <c r="Z118" i="31"/>
  <c r="AC118" i="31" s="1"/>
  <c r="AE118" i="31" s="1"/>
  <c r="Z120" i="32"/>
  <c r="AC120" i="32" s="1"/>
  <c r="AE120" i="32" s="1"/>
  <c r="Z111" i="33"/>
  <c r="AC111" i="33" s="1"/>
  <c r="AE111" i="33" s="1"/>
  <c r="Z152" i="33"/>
  <c r="AC152" i="33" s="1"/>
  <c r="AE152" i="33" s="1"/>
  <c r="Z111" i="34"/>
  <c r="AC111" i="34" s="1"/>
  <c r="AE111" i="34" s="1"/>
  <c r="Z113" i="35"/>
  <c r="AC113" i="35" s="1"/>
  <c r="AE113" i="35" s="1"/>
  <c r="Z113" i="36"/>
  <c r="AC113" i="36" s="1"/>
  <c r="AE113" i="36" s="1"/>
  <c r="Z151" i="37"/>
  <c r="AC151" i="37" s="1"/>
  <c r="Z112" i="39"/>
  <c r="AC112" i="39" s="1"/>
  <c r="AE112" i="39" s="1"/>
  <c r="Z117" i="39"/>
  <c r="AC117" i="39" s="1"/>
  <c r="AE117" i="39" s="1"/>
  <c r="Z114" i="41"/>
  <c r="AC114" i="41" s="1"/>
  <c r="AE114" i="41" s="1"/>
  <c r="Z119" i="41"/>
  <c r="AC119" i="41" s="1"/>
  <c r="AE119" i="41" s="1"/>
  <c r="Z153" i="41"/>
  <c r="AC153" i="41" s="1"/>
  <c r="AE153" i="41" s="1"/>
  <c r="Z121" i="42"/>
  <c r="AC121" i="42" s="1"/>
  <c r="AE121" i="42" s="1"/>
  <c r="Z116" i="43"/>
  <c r="AC116" i="43" s="1"/>
  <c r="AE116" i="43" s="1"/>
  <c r="Z118" i="45"/>
  <c r="AC118" i="45" s="1"/>
  <c r="AE118" i="45" s="1"/>
  <c r="Z152" i="46"/>
  <c r="AC152" i="46" s="1"/>
  <c r="AE152" i="46" s="1"/>
  <c r="Z115" i="49"/>
  <c r="AC115" i="49" s="1"/>
  <c r="AE115" i="49" s="1"/>
  <c r="Z112" i="51"/>
  <c r="AC112" i="51" s="1"/>
  <c r="AE112" i="51" s="1"/>
  <c r="Z119" i="52"/>
  <c r="AC119" i="52" s="1"/>
  <c r="AE119" i="52" s="1"/>
  <c r="Z116" i="54"/>
  <c r="AC116" i="54" s="1"/>
  <c r="AE116" i="54" s="1"/>
  <c r="Z114" i="42"/>
  <c r="AC114" i="42" s="1"/>
  <c r="AE114" i="42" s="1"/>
  <c r="Z153" i="42"/>
  <c r="AC153" i="42" s="1"/>
  <c r="AE153" i="42" s="1"/>
  <c r="Z121" i="43"/>
  <c r="AC121" i="43" s="1"/>
  <c r="AE121" i="43" s="1"/>
  <c r="Z116" i="44"/>
  <c r="AC116" i="44" s="1"/>
  <c r="AE116" i="44" s="1"/>
  <c r="Z111" i="47"/>
  <c r="AC111" i="47" s="1"/>
  <c r="AE111" i="47" s="1"/>
  <c r="Z113" i="48"/>
  <c r="AC113" i="48" s="1"/>
  <c r="AE113" i="48" s="1"/>
  <c r="Z115" i="50"/>
  <c r="AC115" i="50" s="1"/>
  <c r="AE115" i="50" s="1"/>
  <c r="Z117" i="51"/>
  <c r="AC117" i="51" s="1"/>
  <c r="AE117" i="51" s="1"/>
  <c r="Z112" i="52"/>
  <c r="AC112" i="52" s="1"/>
  <c r="AE112" i="52" s="1"/>
  <c r="Z119" i="53"/>
  <c r="AC119" i="53" s="1"/>
  <c r="AE119" i="53" s="1"/>
  <c r="Z153" i="53"/>
  <c r="AC153" i="53" s="1"/>
  <c r="AE153" i="53" s="1"/>
  <c r="Z121" i="54"/>
  <c r="AC121" i="54" s="1"/>
  <c r="AE121" i="54" s="1"/>
  <c r="Z116" i="19"/>
  <c r="AC116" i="19" s="1"/>
  <c r="AE116" i="19" s="1"/>
  <c r="Z100" i="31"/>
  <c r="AC100" i="31" s="1"/>
  <c r="AE100" i="31" s="1"/>
  <c r="Z100" i="35"/>
  <c r="AC100" i="35" s="1"/>
  <c r="AE100" i="35" s="1"/>
  <c r="Z108" i="5"/>
  <c r="AC108" i="5" s="1"/>
  <c r="AE108" i="5" s="1"/>
  <c r="Z119" i="28"/>
  <c r="AC119" i="28" s="1"/>
  <c r="AE119" i="28" s="1"/>
  <c r="Z113" i="37"/>
  <c r="AC113" i="37" s="1"/>
  <c r="AE113" i="37" s="1"/>
  <c r="Z117" i="40"/>
  <c r="AC117" i="40" s="1"/>
  <c r="AE117" i="40" s="1"/>
  <c r="Z107" i="47"/>
  <c r="AC107" i="47" s="1"/>
  <c r="AE107" i="47" s="1"/>
  <c r="Z107" i="51"/>
  <c r="AC107" i="51" s="1"/>
  <c r="AE107" i="51" s="1"/>
  <c r="Z107" i="19"/>
  <c r="AC107" i="19" s="1"/>
  <c r="AE107" i="19" s="1"/>
  <c r="Z110" i="5"/>
  <c r="AC110" i="5" s="1"/>
  <c r="AE110" i="5" s="1"/>
  <c r="Z117" i="26"/>
  <c r="AC117" i="26" s="1"/>
  <c r="AE117" i="26" s="1"/>
  <c r="Z112" i="27"/>
  <c r="AC112" i="27" s="1"/>
  <c r="AE112" i="27" s="1"/>
  <c r="Z117" i="27"/>
  <c r="AC117" i="27" s="1"/>
  <c r="AE117" i="27" s="1"/>
  <c r="Z116" i="31"/>
  <c r="AC116" i="31" s="1"/>
  <c r="AE116" i="31" s="1"/>
  <c r="Z118" i="32"/>
  <c r="AC118" i="32" s="1"/>
  <c r="AE118" i="32" s="1"/>
  <c r="Z120" i="34"/>
  <c r="AC120" i="34" s="1"/>
  <c r="AE120" i="34" s="1"/>
  <c r="Z111" i="35"/>
  <c r="AC111" i="35" s="1"/>
  <c r="AE111" i="35" s="1"/>
  <c r="Z152" i="35"/>
  <c r="AC152" i="35" s="1"/>
  <c r="AE152" i="35" s="1"/>
  <c r="Z111" i="36"/>
  <c r="AC111" i="36" s="1"/>
  <c r="AE111" i="36" s="1"/>
  <c r="Z115" i="39"/>
  <c r="AC115" i="39" s="1"/>
  <c r="AE115" i="39" s="1"/>
  <c r="Z112" i="41"/>
  <c r="AC112" i="41" s="1"/>
  <c r="AE112" i="41" s="1"/>
  <c r="Z117" i="41"/>
  <c r="AC117" i="41" s="1"/>
  <c r="AE117" i="41" s="1"/>
  <c r="Z119" i="42"/>
  <c r="AC119" i="42" s="1"/>
  <c r="AE119" i="42" s="1"/>
  <c r="Z114" i="43"/>
  <c r="AC114" i="43" s="1"/>
  <c r="AE114" i="43" s="1"/>
  <c r="Z121" i="44"/>
  <c r="AC121" i="44" s="1"/>
  <c r="AE121" i="44" s="1"/>
  <c r="Z116" i="45"/>
  <c r="AC116" i="45" s="1"/>
  <c r="AE116" i="45" s="1"/>
  <c r="Z113" i="49"/>
  <c r="AC113" i="49" s="1"/>
  <c r="AE113" i="49" s="1"/>
  <c r="Z117" i="52"/>
  <c r="AC117" i="52" s="1"/>
  <c r="AE117" i="52" s="1"/>
  <c r="Z112" i="53"/>
  <c r="AC112" i="53" s="1"/>
  <c r="AE112" i="53" s="1"/>
  <c r="Z114" i="54"/>
  <c r="AC114" i="54" s="1"/>
  <c r="AE114" i="54" s="1"/>
  <c r="Z153" i="54"/>
  <c r="AC153" i="54" s="1"/>
  <c r="AE153" i="54" s="1"/>
  <c r="Z121" i="19"/>
  <c r="AC121" i="19" s="1"/>
  <c r="AE121" i="19" s="1"/>
  <c r="Z121" i="30"/>
  <c r="AC121" i="30" s="1"/>
  <c r="AE121" i="30" s="1"/>
  <c r="Z100" i="27"/>
  <c r="AC100" i="27" s="1"/>
  <c r="AE100" i="27" s="1"/>
  <c r="Z102" i="36"/>
  <c r="AC102" i="36" s="1"/>
  <c r="AE102" i="36" s="1"/>
  <c r="Z102" i="40"/>
  <c r="AC102" i="40" s="1"/>
  <c r="AE102" i="40" s="1"/>
  <c r="Z112" i="5"/>
  <c r="AC112" i="5" s="1"/>
  <c r="AE112" i="5" s="1"/>
  <c r="Z112" i="28"/>
  <c r="AC112" i="28" s="1"/>
  <c r="AE112" i="28" s="1"/>
  <c r="Z117" i="28"/>
  <c r="AC117" i="28" s="1"/>
  <c r="AE117" i="28" s="1"/>
  <c r="Z153" i="28"/>
  <c r="AC153" i="28" s="1"/>
  <c r="AE153" i="28" s="1"/>
  <c r="Z114" i="30"/>
  <c r="AC114" i="30" s="1"/>
  <c r="AE114" i="30" s="1"/>
  <c r="Z119" i="30"/>
  <c r="AC119" i="30" s="1"/>
  <c r="AE119" i="30" s="1"/>
  <c r="Z153" i="30"/>
  <c r="AC153" i="30" s="1"/>
  <c r="AE153" i="30" s="1"/>
  <c r="Z121" i="31"/>
  <c r="AC121" i="31" s="1"/>
  <c r="AE121" i="31" s="1"/>
  <c r="Z118" i="33"/>
  <c r="AC118" i="33" s="1"/>
  <c r="AE118" i="33" s="1"/>
  <c r="Z120" i="35"/>
  <c r="AC120" i="35" s="1"/>
  <c r="AE120" i="35" s="1"/>
  <c r="Z152" i="36"/>
  <c r="AC152" i="36" s="1"/>
  <c r="AE152" i="36" s="1"/>
  <c r="Z111" i="37"/>
  <c r="AC111" i="37" s="1"/>
  <c r="AE111" i="37" s="1"/>
  <c r="Z113" i="38"/>
  <c r="AC113" i="38" s="1"/>
  <c r="AE113" i="38" s="1"/>
  <c r="Z115" i="40"/>
  <c r="AC115" i="40" s="1"/>
  <c r="AE115" i="40" s="1"/>
  <c r="Z151" i="40"/>
  <c r="AC151" i="40" s="1"/>
  <c r="Z112" i="42"/>
  <c r="AC112" i="42" s="1"/>
  <c r="AE112" i="42" s="1"/>
  <c r="Z151" i="42"/>
  <c r="AC151" i="42" s="1"/>
  <c r="Z119" i="43"/>
  <c r="AC119" i="43" s="1"/>
  <c r="AE119" i="43" s="1"/>
  <c r="Z114" i="44"/>
  <c r="AC114" i="44" s="1"/>
  <c r="AE114" i="44" s="1"/>
  <c r="Z121" i="45"/>
  <c r="AC121" i="45" s="1"/>
  <c r="AE121" i="45" s="1"/>
  <c r="Z116" i="46"/>
  <c r="AC116" i="46" s="1"/>
  <c r="AE116" i="46" s="1"/>
  <c r="Z152" i="47"/>
  <c r="AC152" i="47" s="1"/>
  <c r="AE152" i="47" s="1"/>
  <c r="Z111" i="48"/>
  <c r="AC111" i="48" s="1"/>
  <c r="AE111" i="48" s="1"/>
  <c r="Z113" i="50"/>
  <c r="AC113" i="50" s="1"/>
  <c r="AE113" i="50" s="1"/>
  <c r="Z115" i="51"/>
  <c r="AC115" i="51" s="1"/>
  <c r="AE115" i="51" s="1"/>
  <c r="Z117" i="53"/>
  <c r="AC117" i="53" s="1"/>
  <c r="AE117" i="53" s="1"/>
  <c r="Z119" i="54"/>
  <c r="AC119" i="54" s="1"/>
  <c r="AE119" i="54" s="1"/>
  <c r="Z153" i="19"/>
  <c r="AC153" i="19" s="1"/>
  <c r="AE153" i="19" s="1"/>
  <c r="Z152" i="34"/>
  <c r="AC152" i="34" s="1"/>
  <c r="AE152" i="34" s="1"/>
  <c r="Z115" i="38"/>
  <c r="AC115" i="38" s="1"/>
  <c r="AE115" i="38" s="1"/>
  <c r="Z101" i="46"/>
  <c r="AC101" i="46" s="1"/>
  <c r="AE101" i="46" s="1"/>
  <c r="Z101" i="50"/>
  <c r="AC101" i="50" s="1"/>
  <c r="AE101" i="50" s="1"/>
  <c r="Z110" i="50"/>
  <c r="AC110" i="50" s="1"/>
  <c r="AE110" i="50" s="1"/>
  <c r="Z101" i="54"/>
  <c r="AC101" i="54" s="1"/>
  <c r="AE101" i="54" s="1"/>
  <c r="Z110" i="54"/>
  <c r="AC110" i="54" s="1"/>
  <c r="AE110" i="54" s="1"/>
  <c r="Z114" i="5"/>
  <c r="AC114" i="5" s="1"/>
  <c r="AE114" i="5" s="1"/>
  <c r="Z115" i="26"/>
  <c r="AC115" i="26" s="1"/>
  <c r="AE115" i="26" s="1"/>
  <c r="Z115" i="27"/>
  <c r="AC115" i="27" s="1"/>
  <c r="AE115" i="27" s="1"/>
  <c r="Z114" i="31"/>
  <c r="AC114" i="31" s="1"/>
  <c r="AE114" i="31" s="1"/>
  <c r="Z153" i="31"/>
  <c r="AC153" i="31" s="1"/>
  <c r="AE153" i="31" s="1"/>
  <c r="Z116" i="32"/>
  <c r="AC116" i="32" s="1"/>
  <c r="AE116" i="32" s="1"/>
  <c r="Z118" i="34"/>
  <c r="AC118" i="34" s="1"/>
  <c r="AE118" i="34" s="1"/>
  <c r="Z120" i="36"/>
  <c r="AC120" i="36" s="1"/>
  <c r="AE120" i="36" s="1"/>
  <c r="Z113" i="39"/>
  <c r="AC113" i="39" s="1"/>
  <c r="AE113" i="39" s="1"/>
  <c r="Z115" i="41"/>
  <c r="AC115" i="41" s="1"/>
  <c r="AE115" i="41" s="1"/>
  <c r="Z117" i="42"/>
  <c r="AC117" i="42" s="1"/>
  <c r="AE117" i="42" s="1"/>
  <c r="Z112" i="43"/>
  <c r="AC112" i="43" s="1"/>
  <c r="AE112" i="43" s="1"/>
  <c r="Z153" i="43"/>
  <c r="AC153" i="43" s="1"/>
  <c r="AE153" i="43" s="1"/>
  <c r="Z119" i="44"/>
  <c r="AC119" i="44" s="1"/>
  <c r="AE119" i="44" s="1"/>
  <c r="Z114" i="45"/>
  <c r="AC114" i="45" s="1"/>
  <c r="AE114" i="45" s="1"/>
  <c r="Z153" i="45"/>
  <c r="AC153" i="45" s="1"/>
  <c r="AE153" i="45" s="1"/>
  <c r="Z152" i="48"/>
  <c r="AC152" i="48" s="1"/>
  <c r="AE152" i="48" s="1"/>
  <c r="Z111" i="49"/>
  <c r="AC111" i="49" s="1"/>
  <c r="AE111" i="49" s="1"/>
  <c r="Z115" i="52"/>
  <c r="AC115" i="52" s="1"/>
  <c r="AE115" i="52" s="1"/>
  <c r="Z112" i="54"/>
  <c r="AC112" i="54" s="1"/>
  <c r="AE112" i="54" s="1"/>
  <c r="Z119" i="19"/>
  <c r="AC119" i="19" s="1"/>
  <c r="AE119" i="19" s="1"/>
  <c r="Z116" i="5"/>
  <c r="AC116" i="5" s="1"/>
  <c r="AE116" i="5" s="1"/>
  <c r="Z115" i="28"/>
  <c r="AC115" i="28" s="1"/>
  <c r="AE115" i="28" s="1"/>
  <c r="Z117" i="30"/>
  <c r="AC117" i="30" s="1"/>
  <c r="AE117" i="30" s="1"/>
  <c r="Z119" i="31"/>
  <c r="AC119" i="31" s="1"/>
  <c r="AE119" i="31" s="1"/>
  <c r="Z121" i="32"/>
  <c r="AC121" i="32" s="1"/>
  <c r="AE121" i="32" s="1"/>
  <c r="Z116" i="33"/>
  <c r="AC116" i="33" s="1"/>
  <c r="AE116" i="33" s="1"/>
  <c r="Z118" i="35"/>
  <c r="AC118" i="35" s="1"/>
  <c r="AE118" i="35" s="1"/>
  <c r="Z152" i="37"/>
  <c r="AC152" i="37" s="1"/>
  <c r="AE152" i="37" s="1"/>
  <c r="Z111" i="38"/>
  <c r="AC111" i="38" s="1"/>
  <c r="AE111" i="38" s="1"/>
  <c r="Z113" i="40"/>
  <c r="AC113" i="40" s="1"/>
  <c r="AE113" i="40" s="1"/>
  <c r="Z117" i="43"/>
  <c r="AC117" i="43" s="1"/>
  <c r="AE117" i="43" s="1"/>
  <c r="Z112" i="44"/>
  <c r="AC112" i="44" s="1"/>
  <c r="AE112" i="44" s="1"/>
  <c r="Z153" i="44"/>
  <c r="AC153" i="44" s="1"/>
  <c r="AE153" i="44" s="1"/>
  <c r="Z119" i="45"/>
  <c r="AC119" i="45" s="1"/>
  <c r="AE119" i="45" s="1"/>
  <c r="Z114" i="46"/>
  <c r="AC114" i="46" s="1"/>
  <c r="AE114" i="46" s="1"/>
  <c r="Z118" i="47"/>
  <c r="AC118" i="47" s="1"/>
  <c r="AE118" i="47" s="1"/>
  <c r="Z120" i="48"/>
  <c r="AC120" i="48" s="1"/>
  <c r="AE120" i="48" s="1"/>
  <c r="Z152" i="49"/>
  <c r="AC152" i="49" s="1"/>
  <c r="AE152" i="49" s="1"/>
  <c r="Z111" i="50"/>
  <c r="AC111" i="50" s="1"/>
  <c r="AE111" i="50" s="1"/>
  <c r="Z113" i="51"/>
  <c r="AC113" i="51" s="1"/>
  <c r="AE113" i="51" s="1"/>
  <c r="Z115" i="53"/>
  <c r="AC115" i="53" s="1"/>
  <c r="AE115" i="53" s="1"/>
  <c r="Z117" i="54"/>
  <c r="AC117" i="54" s="1"/>
  <c r="AE117" i="54" s="1"/>
  <c r="Z112" i="19"/>
  <c r="AC112" i="19" s="1"/>
  <c r="AE112" i="19" s="1"/>
  <c r="Z106" i="28"/>
  <c r="AC106" i="28" s="1"/>
  <c r="AE106" i="28" s="1"/>
  <c r="Z100" i="43"/>
  <c r="AC100" i="43" s="1"/>
  <c r="AE100" i="43" s="1"/>
  <c r="Z108" i="30"/>
  <c r="AC108" i="30" s="1"/>
  <c r="AE108" i="30" s="1"/>
  <c r="Z108" i="38"/>
  <c r="AC108" i="38" s="1"/>
  <c r="AE108" i="38" s="1"/>
  <c r="Z99" i="46"/>
  <c r="AC99" i="46" s="1"/>
  <c r="Z103" i="47"/>
  <c r="AC103" i="47" s="1"/>
  <c r="AE103" i="47" s="1"/>
  <c r="Z99" i="50"/>
  <c r="AC99" i="50" s="1"/>
  <c r="Z108" i="50"/>
  <c r="AC108" i="50" s="1"/>
  <c r="AE108" i="50" s="1"/>
  <c r="Z103" i="51"/>
  <c r="AC103" i="51" s="1"/>
  <c r="AE103" i="51" s="1"/>
  <c r="Z99" i="54"/>
  <c r="AC99" i="54" s="1"/>
  <c r="Z108" i="54"/>
  <c r="AC108" i="54" s="1"/>
  <c r="AE108" i="54" s="1"/>
  <c r="Z103" i="19"/>
  <c r="AC103" i="19" s="1"/>
  <c r="AE103" i="19" s="1"/>
  <c r="Z118" i="5"/>
  <c r="AC118" i="5" s="1"/>
  <c r="AE118" i="5" s="1"/>
  <c r="Z113" i="26"/>
  <c r="AC113" i="26" s="1"/>
  <c r="AE113" i="26" s="1"/>
  <c r="Z113" i="27"/>
  <c r="AC113" i="27" s="1"/>
  <c r="AE113" i="27" s="1"/>
  <c r="Z112" i="31"/>
  <c r="AC112" i="31" s="1"/>
  <c r="AE112" i="31" s="1"/>
  <c r="Z153" i="32"/>
  <c r="AC153" i="32" s="1"/>
  <c r="AE153" i="32" s="1"/>
  <c r="Z121" i="33"/>
  <c r="AC121" i="33" s="1"/>
  <c r="AE121" i="33" s="1"/>
  <c r="Z116" i="34"/>
  <c r="AC116" i="34" s="1"/>
  <c r="AE116" i="34" s="1"/>
  <c r="Z121" i="34"/>
  <c r="AC121" i="34" s="1"/>
  <c r="AE121" i="34" s="1"/>
  <c r="Z118" i="36"/>
  <c r="AC118" i="36" s="1"/>
  <c r="AE118" i="36" s="1"/>
  <c r="Z152" i="38"/>
  <c r="AC152" i="38" s="1"/>
  <c r="AE152" i="38" s="1"/>
  <c r="Z111" i="39"/>
  <c r="AC111" i="39" s="1"/>
  <c r="AE111" i="39" s="1"/>
  <c r="Z113" i="41"/>
  <c r="AC113" i="41" s="1"/>
  <c r="AE113" i="41" s="1"/>
  <c r="Z115" i="42"/>
  <c r="AC115" i="42" s="1"/>
  <c r="AE115" i="42" s="1"/>
  <c r="Z151" i="43"/>
  <c r="AC151" i="43" s="1"/>
  <c r="Z117" i="44"/>
  <c r="AC117" i="44" s="1"/>
  <c r="AE117" i="44" s="1"/>
  <c r="Z112" i="45"/>
  <c r="AC112" i="45" s="1"/>
  <c r="AE112" i="45" s="1"/>
  <c r="Z121" i="46"/>
  <c r="AC121" i="46" s="1"/>
  <c r="AE121" i="46" s="1"/>
  <c r="Z120" i="49"/>
  <c r="AC120" i="49" s="1"/>
  <c r="AE120" i="49" s="1"/>
  <c r="Z152" i="50"/>
  <c r="AC152" i="50" s="1"/>
  <c r="AE152" i="50" s="1"/>
  <c r="Z113" i="52"/>
  <c r="AC113" i="52" s="1"/>
  <c r="AE113" i="52" s="1"/>
  <c r="Z113" i="53"/>
  <c r="AC113" i="53" s="1"/>
  <c r="AE113" i="53" s="1"/>
  <c r="Z117" i="19"/>
  <c r="AC117" i="19" s="1"/>
  <c r="AE117" i="19" s="1"/>
  <c r="Z152" i="39"/>
  <c r="AC152" i="39" s="1"/>
  <c r="AE152" i="39" s="1"/>
  <c r="Z109" i="45"/>
  <c r="AC109" i="45" s="1"/>
  <c r="AE109" i="45" s="1"/>
  <c r="Z109" i="49"/>
  <c r="AC109" i="49" s="1"/>
  <c r="AE109" i="49" s="1"/>
  <c r="Z109" i="53"/>
  <c r="AC109" i="53" s="1"/>
  <c r="AE109" i="53" s="1"/>
  <c r="Z122" i="5"/>
  <c r="AC122" i="5" s="1"/>
  <c r="AE122" i="5" s="1"/>
  <c r="Z111" i="26"/>
  <c r="AC111" i="26" s="1"/>
  <c r="AE111" i="26" s="1"/>
  <c r="Z152" i="26"/>
  <c r="AC152" i="26" s="1"/>
  <c r="AE152" i="26" s="1"/>
  <c r="Z111" i="27"/>
  <c r="AC111" i="27" s="1"/>
  <c r="AE111" i="27" s="1"/>
  <c r="Z119" i="33"/>
  <c r="AC119" i="33" s="1"/>
  <c r="AE119" i="33" s="1"/>
  <c r="Z114" i="34"/>
  <c r="AC114" i="34" s="1"/>
  <c r="AE114" i="34" s="1"/>
  <c r="Z119" i="34"/>
  <c r="AC119" i="34" s="1"/>
  <c r="AE119" i="34" s="1"/>
  <c r="Z153" i="34"/>
  <c r="AC153" i="34" s="1"/>
  <c r="AE153" i="34" s="1"/>
  <c r="Z121" i="35"/>
  <c r="AC121" i="35" s="1"/>
  <c r="AE121" i="35" s="1"/>
  <c r="Z116" i="36"/>
  <c r="AC116" i="36" s="1"/>
  <c r="AE116" i="36" s="1"/>
  <c r="Z120" i="39"/>
  <c r="AC120" i="39" s="1"/>
  <c r="AE120" i="39" s="1"/>
  <c r="Z152" i="40"/>
  <c r="AC152" i="40" s="1"/>
  <c r="AE152" i="40" s="1"/>
  <c r="Z111" i="41"/>
  <c r="AC111" i="41" s="1"/>
  <c r="AE111" i="41" s="1"/>
  <c r="Z113" i="42"/>
  <c r="AC113" i="42" s="1"/>
  <c r="AE113" i="42" s="1"/>
  <c r="Z115" i="44"/>
  <c r="AC115" i="44" s="1"/>
  <c r="AE115" i="44" s="1"/>
  <c r="Z117" i="46"/>
  <c r="AC117" i="46" s="1"/>
  <c r="AE117" i="46" s="1"/>
  <c r="Z118" i="49"/>
  <c r="AC118" i="49" s="1"/>
  <c r="AE118" i="49" s="1"/>
  <c r="Z120" i="51"/>
  <c r="AC120" i="51" s="1"/>
  <c r="AE120" i="51" s="1"/>
  <c r="Z111" i="52"/>
  <c r="AC111" i="52" s="1"/>
  <c r="AE111" i="52" s="1"/>
  <c r="Z152" i="52"/>
  <c r="AC152" i="52" s="1"/>
  <c r="AE152" i="52" s="1"/>
  <c r="Z111" i="53"/>
  <c r="AC111" i="53" s="1"/>
  <c r="AE111" i="53" s="1"/>
  <c r="Z115" i="19"/>
  <c r="AC115" i="19" s="1"/>
  <c r="AE115" i="19" s="1"/>
  <c r="Z153" i="33"/>
  <c r="AC153" i="33" s="1"/>
  <c r="AE153" i="33" s="1"/>
  <c r="Z111" i="40"/>
  <c r="AC111" i="40" s="1"/>
  <c r="AE111" i="40" s="1"/>
  <c r="Z100" i="33"/>
  <c r="AC100" i="33" s="1"/>
  <c r="AE100" i="33" s="1"/>
  <c r="Z100" i="41"/>
  <c r="AC100" i="41" s="1"/>
  <c r="AE100" i="41" s="1"/>
  <c r="Z124" i="5"/>
  <c r="AC124" i="5" s="1"/>
  <c r="AE124" i="5" s="1"/>
  <c r="Z120" i="26"/>
  <c r="AC120" i="26" s="1"/>
  <c r="AE120" i="26" s="1"/>
  <c r="Z152" i="27"/>
  <c r="AC152" i="27" s="1"/>
  <c r="AE152" i="27" s="1"/>
  <c r="Z111" i="28"/>
  <c r="AC111" i="28" s="1"/>
  <c r="AE111" i="28" s="1"/>
  <c r="Z113" i="30"/>
  <c r="AC113" i="30" s="1"/>
  <c r="AE113" i="30" s="1"/>
  <c r="Z115" i="31"/>
  <c r="AC115" i="31" s="1"/>
  <c r="AE115" i="31" s="1"/>
  <c r="Z117" i="32"/>
  <c r="AC117" i="32" s="1"/>
  <c r="AE117" i="32" s="1"/>
  <c r="Z112" i="33"/>
  <c r="AC112" i="33" s="1"/>
  <c r="AE112" i="33" s="1"/>
  <c r="Z114" i="35"/>
  <c r="AC114" i="35" s="1"/>
  <c r="AE114" i="35" s="1"/>
  <c r="Z153" i="35"/>
  <c r="AC153" i="35" s="1"/>
  <c r="AE153" i="35" s="1"/>
  <c r="Z121" i="36"/>
  <c r="AC121" i="36" s="1"/>
  <c r="AE121" i="36" s="1"/>
  <c r="Z116" i="37"/>
  <c r="AC116" i="37" s="1"/>
  <c r="AE116" i="37" s="1"/>
  <c r="Z118" i="38"/>
  <c r="AC118" i="38" s="1"/>
  <c r="AE118" i="38" s="1"/>
  <c r="Z120" i="40"/>
  <c r="AC120" i="40" s="1"/>
  <c r="AE120" i="40" s="1"/>
  <c r="Z152" i="41"/>
  <c r="AC152" i="41" s="1"/>
  <c r="AE152" i="41" s="1"/>
  <c r="Z113" i="43"/>
  <c r="AC113" i="43" s="1"/>
  <c r="AE113" i="43" s="1"/>
  <c r="Z115" i="45"/>
  <c r="AC115" i="45" s="1"/>
  <c r="AE115" i="45" s="1"/>
  <c r="Z121" i="47"/>
  <c r="AC121" i="47" s="1"/>
  <c r="AE121" i="47" s="1"/>
  <c r="Z116" i="48"/>
  <c r="AC116" i="48" s="1"/>
  <c r="AE116" i="48" s="1"/>
  <c r="Z121" i="48"/>
  <c r="AC121" i="48" s="1"/>
  <c r="AE121" i="48" s="1"/>
  <c r="Z118" i="50"/>
  <c r="AC118" i="50" s="1"/>
  <c r="AE118" i="50" s="1"/>
  <c r="Z120" i="52"/>
  <c r="AC120" i="52" s="1"/>
  <c r="AE120" i="52" s="1"/>
  <c r="Z113" i="54"/>
  <c r="AC113" i="54" s="1"/>
  <c r="AE113" i="54" s="1"/>
  <c r="Z107" i="45"/>
  <c r="AC107" i="45" s="1"/>
  <c r="AE107" i="45" s="1"/>
  <c r="Z107" i="49"/>
  <c r="AC107" i="49" s="1"/>
  <c r="AE107" i="49" s="1"/>
  <c r="Z104" i="50"/>
  <c r="AC104" i="50" s="1"/>
  <c r="AE104" i="50" s="1"/>
  <c r="Z107" i="53"/>
  <c r="AC107" i="53" s="1"/>
  <c r="AE107" i="53" s="1"/>
  <c r="Z104" i="54"/>
  <c r="AC104" i="54" s="1"/>
  <c r="AE104" i="54" s="1"/>
  <c r="Z120" i="27"/>
  <c r="AC120" i="27" s="1"/>
  <c r="AE120" i="27" s="1"/>
  <c r="Z152" i="28"/>
  <c r="AC152" i="28" s="1"/>
  <c r="AE152" i="28" s="1"/>
  <c r="Z111" i="30"/>
  <c r="AC111" i="30" s="1"/>
  <c r="AE111" i="30" s="1"/>
  <c r="Z117" i="33"/>
  <c r="AC117" i="33" s="1"/>
  <c r="AE117" i="33" s="1"/>
  <c r="Z112" i="34"/>
  <c r="AC112" i="34" s="1"/>
  <c r="AE112" i="34" s="1"/>
  <c r="Z117" i="34"/>
  <c r="AC117" i="34" s="1"/>
  <c r="AE117" i="34" s="1"/>
  <c r="Z119" i="35"/>
  <c r="AC119" i="35" s="1"/>
  <c r="AE119" i="35" s="1"/>
  <c r="Z114" i="36"/>
  <c r="AC114" i="36" s="1"/>
  <c r="AE114" i="36" s="1"/>
  <c r="Z121" i="37"/>
  <c r="AC121" i="37" s="1"/>
  <c r="AE121" i="37" s="1"/>
  <c r="Z118" i="39"/>
  <c r="AC118" i="39" s="1"/>
  <c r="AE118" i="39" s="1"/>
  <c r="Z120" i="41"/>
  <c r="AC120" i="41" s="1"/>
  <c r="AE120" i="41" s="1"/>
  <c r="Z111" i="42"/>
  <c r="AC111" i="42" s="1"/>
  <c r="AE111" i="42" s="1"/>
  <c r="Z152" i="42"/>
  <c r="AC152" i="42" s="1"/>
  <c r="AE152" i="42" s="1"/>
  <c r="Z113" i="44"/>
  <c r="AC113" i="44" s="1"/>
  <c r="AE113" i="44" s="1"/>
  <c r="Z115" i="46"/>
  <c r="AC115" i="46" s="1"/>
  <c r="AE115" i="46" s="1"/>
  <c r="Z112" i="47"/>
  <c r="AC112" i="47" s="1"/>
  <c r="AE112" i="47" s="1"/>
  <c r="Z119" i="47"/>
  <c r="AC119" i="47" s="1"/>
  <c r="AE119" i="47" s="1"/>
  <c r="Z153" i="47"/>
  <c r="AC153" i="47" s="1"/>
  <c r="AE153" i="47" s="1"/>
  <c r="Z116" i="49"/>
  <c r="AC116" i="49" s="1"/>
  <c r="AE116" i="49" s="1"/>
  <c r="Z121" i="49"/>
  <c r="AC121" i="49" s="1"/>
  <c r="AE121" i="49" s="1"/>
  <c r="Z118" i="51"/>
  <c r="AC118" i="51" s="1"/>
  <c r="AE118" i="51" s="1"/>
  <c r="Z152" i="53"/>
  <c r="AC152" i="53" s="1"/>
  <c r="AE152" i="53" s="1"/>
  <c r="Z113" i="19"/>
  <c r="AC113" i="19" s="1"/>
  <c r="AE113" i="19" s="1"/>
  <c r="Z119" i="32"/>
  <c r="AC119" i="32" s="1"/>
  <c r="AE119" i="32" s="1"/>
  <c r="Z102" i="30"/>
  <c r="AC102" i="30" s="1"/>
  <c r="AE102" i="30" s="1"/>
  <c r="Z102" i="38"/>
  <c r="AC102" i="38" s="1"/>
  <c r="AE102" i="38" s="1"/>
  <c r="Z118" i="26"/>
  <c r="AC118" i="26" s="1"/>
  <c r="AE118" i="26" s="1"/>
  <c r="Z120" i="28"/>
  <c r="AC120" i="28" s="1"/>
  <c r="AE120" i="28" s="1"/>
  <c r="Z113" i="31"/>
  <c r="AC113" i="31" s="1"/>
  <c r="AE113" i="31" s="1"/>
  <c r="Z115" i="32"/>
  <c r="AC115" i="32" s="1"/>
  <c r="AE115" i="32" s="1"/>
  <c r="Z112" i="35"/>
  <c r="AC112" i="35" s="1"/>
  <c r="AE112" i="35" s="1"/>
  <c r="Z119" i="36"/>
  <c r="AC119" i="36" s="1"/>
  <c r="AE119" i="36" s="1"/>
  <c r="Z114" i="37"/>
  <c r="AC114" i="37" s="1"/>
  <c r="AE114" i="37" s="1"/>
  <c r="Z119" i="37"/>
  <c r="AC119" i="37" s="1"/>
  <c r="AE119" i="37" s="1"/>
  <c r="Z116" i="38"/>
  <c r="AC116" i="38" s="1"/>
  <c r="AE116" i="38" s="1"/>
  <c r="Z121" i="38"/>
  <c r="AC121" i="38" s="1"/>
  <c r="AE121" i="38" s="1"/>
  <c r="Z118" i="40"/>
  <c r="AC118" i="40" s="1"/>
  <c r="AE118" i="40" s="1"/>
  <c r="Z120" i="42"/>
  <c r="AC120" i="42" s="1"/>
  <c r="AE120" i="42" s="1"/>
  <c r="Z111" i="43"/>
  <c r="AC111" i="43" s="1"/>
  <c r="AE111" i="43" s="1"/>
  <c r="Z152" i="43"/>
  <c r="AC152" i="43" s="1"/>
  <c r="AE152" i="43" s="1"/>
  <c r="Z113" i="45"/>
  <c r="AC113" i="45" s="1"/>
  <c r="AE113" i="45" s="1"/>
  <c r="Z114" i="48"/>
  <c r="AC114" i="48" s="1"/>
  <c r="AE114" i="48" s="1"/>
  <c r="Z119" i="48"/>
  <c r="AC119" i="48" s="1"/>
  <c r="AE119" i="48" s="1"/>
  <c r="Z153" i="48"/>
  <c r="AC153" i="48" s="1"/>
  <c r="AE153" i="48" s="1"/>
  <c r="Z116" i="50"/>
  <c r="AC116" i="50" s="1"/>
  <c r="AE116" i="50" s="1"/>
  <c r="Z121" i="50"/>
  <c r="AC121" i="50" s="1"/>
  <c r="AE121" i="50" s="1"/>
  <c r="Z118" i="52"/>
  <c r="AC118" i="52" s="1"/>
  <c r="AE118" i="52" s="1"/>
  <c r="Z120" i="53"/>
  <c r="AC120" i="53" s="1"/>
  <c r="AE120" i="53" s="1"/>
  <c r="Z111" i="54"/>
  <c r="AC111" i="54" s="1"/>
  <c r="AE111" i="54" s="1"/>
  <c r="Z152" i="54"/>
  <c r="AC152" i="54" s="1"/>
  <c r="AE152" i="54" s="1"/>
  <c r="Z151" i="19"/>
  <c r="Z151" i="54"/>
  <c r="Z151" i="53"/>
  <c r="Z151" i="52"/>
  <c r="Z151" i="51"/>
  <c r="Z151" i="50"/>
  <c r="Z151" i="49"/>
  <c r="Z151" i="48"/>
  <c r="Z151" i="47"/>
  <c r="Z151" i="46"/>
  <c r="Z151" i="45"/>
  <c r="Z151" i="44"/>
  <c r="Z151" i="41"/>
  <c r="Z151" i="39"/>
  <c r="Z151" i="38"/>
  <c r="Z151" i="35"/>
  <c r="Z151" i="34"/>
  <c r="Z151" i="33"/>
  <c r="Z151" i="32"/>
  <c r="Z151" i="31"/>
  <c r="Z151" i="30"/>
  <c r="Z151" i="28"/>
  <c r="Z151" i="27"/>
  <c r="Z151" i="26"/>
  <c r="AE99" i="5"/>
  <c r="Z112" i="29"/>
  <c r="AC112" i="29" s="1"/>
  <c r="AE112" i="29" s="1"/>
  <c r="Z102" i="29"/>
  <c r="AC102" i="29" s="1"/>
  <c r="AE102" i="29" s="1"/>
  <c r="Z118" i="29"/>
  <c r="AC118" i="29" s="1"/>
  <c r="AE118" i="29" s="1"/>
  <c r="Z108" i="28"/>
  <c r="AC108" i="28" s="1"/>
  <c r="AE108" i="28" s="1"/>
  <c r="Z110" i="28"/>
  <c r="AC110" i="28" s="1"/>
  <c r="AE110" i="28" s="1"/>
  <c r="Z102" i="27"/>
  <c r="AC102" i="27" s="1"/>
  <c r="AE102" i="27" s="1"/>
  <c r="Z101" i="32"/>
  <c r="AC101" i="32" s="1"/>
  <c r="AE101" i="32" s="1"/>
  <c r="Z106" i="26"/>
  <c r="AC106" i="26" s="1"/>
  <c r="AE106" i="26" s="1"/>
  <c r="Z105" i="27"/>
  <c r="AC105" i="27" s="1"/>
  <c r="AE105" i="27" s="1"/>
  <c r="Z105" i="29"/>
  <c r="AC105" i="29" s="1"/>
  <c r="AE105" i="29" s="1"/>
  <c r="Z121" i="29"/>
  <c r="AC121" i="29" s="1"/>
  <c r="AE121" i="29" s="1"/>
  <c r="Z105" i="31"/>
  <c r="AC105" i="31" s="1"/>
  <c r="AE105" i="31" s="1"/>
  <c r="Z106" i="32"/>
  <c r="AC106" i="32" s="1"/>
  <c r="AE106" i="32" s="1"/>
  <c r="Z105" i="33"/>
  <c r="AC105" i="33" s="1"/>
  <c r="AE105" i="33" s="1"/>
  <c r="Z106" i="34"/>
  <c r="AC106" i="34" s="1"/>
  <c r="AE106" i="34" s="1"/>
  <c r="Z105" i="35"/>
  <c r="AC105" i="35" s="1"/>
  <c r="AE105" i="35" s="1"/>
  <c r="Z105" i="37"/>
  <c r="AC105" i="37" s="1"/>
  <c r="AE105" i="37" s="1"/>
  <c r="Z105" i="39"/>
  <c r="AC105" i="39" s="1"/>
  <c r="AE105" i="39" s="1"/>
  <c r="Z105" i="41"/>
  <c r="AC105" i="41" s="1"/>
  <c r="AE105" i="41" s="1"/>
  <c r="Z106" i="42"/>
  <c r="AC106" i="42" s="1"/>
  <c r="AE106" i="42" s="1"/>
  <c r="Z105" i="43"/>
  <c r="AC105" i="43" s="1"/>
  <c r="AE105" i="43" s="1"/>
  <c r="Z108" i="44"/>
  <c r="AC108" i="44" s="1"/>
  <c r="AE108" i="44" s="1"/>
  <c r="Z106" i="46"/>
  <c r="AC106" i="46" s="1"/>
  <c r="AE106" i="46" s="1"/>
  <c r="Z106" i="48"/>
  <c r="AC106" i="48" s="1"/>
  <c r="AE106" i="48" s="1"/>
  <c r="Z106" i="52"/>
  <c r="AC106" i="52" s="1"/>
  <c r="AE106" i="52" s="1"/>
  <c r="Z104" i="28"/>
  <c r="AC104" i="28" s="1"/>
  <c r="AE104" i="28" s="1"/>
  <c r="Z114" i="29"/>
  <c r="AC114" i="29" s="1"/>
  <c r="AE114" i="29" s="1"/>
  <c r="Z104" i="30"/>
  <c r="AC104" i="30" s="1"/>
  <c r="AE104" i="30" s="1"/>
  <c r="Z104" i="36"/>
  <c r="AC104" i="36" s="1"/>
  <c r="AE104" i="36" s="1"/>
  <c r="Z104" i="38"/>
  <c r="AC104" i="38" s="1"/>
  <c r="AE104" i="38" s="1"/>
  <c r="Z104" i="40"/>
  <c r="AC104" i="40" s="1"/>
  <c r="AE104" i="40" s="1"/>
  <c r="Z105" i="45"/>
  <c r="AC105" i="45" s="1"/>
  <c r="AE105" i="45" s="1"/>
  <c r="Z105" i="47"/>
  <c r="AC105" i="47" s="1"/>
  <c r="AE105" i="47" s="1"/>
  <c r="Z105" i="49"/>
  <c r="AC105" i="49" s="1"/>
  <c r="AE105" i="49" s="1"/>
  <c r="Z106" i="50"/>
  <c r="AC106" i="50" s="1"/>
  <c r="AE106" i="50" s="1"/>
  <c r="Z105" i="51"/>
  <c r="AC105" i="51" s="1"/>
  <c r="AE105" i="51" s="1"/>
  <c r="Z105" i="53"/>
  <c r="AC105" i="53" s="1"/>
  <c r="AE105" i="53" s="1"/>
  <c r="Z106" i="54"/>
  <c r="AC106" i="54" s="1"/>
  <c r="AE106" i="54" s="1"/>
  <c r="Z105" i="19"/>
  <c r="AC105" i="19" s="1"/>
  <c r="AE105" i="19" s="1"/>
  <c r="Z100" i="39"/>
  <c r="AC100" i="39" s="1"/>
  <c r="AE100" i="39" s="1"/>
  <c r="Z104" i="26"/>
  <c r="AC104" i="26" s="1"/>
  <c r="AE104" i="26" s="1"/>
  <c r="Z103" i="27"/>
  <c r="AC103" i="27" s="1"/>
  <c r="AE103" i="27" s="1"/>
  <c r="Z103" i="29"/>
  <c r="AC103" i="29" s="1"/>
  <c r="AE103" i="29" s="1"/>
  <c r="Z119" i="29"/>
  <c r="AC119" i="29" s="1"/>
  <c r="AE119" i="29" s="1"/>
  <c r="Z103" i="31"/>
  <c r="AC103" i="31" s="1"/>
  <c r="AE103" i="31" s="1"/>
  <c r="Z104" i="32"/>
  <c r="AC104" i="32" s="1"/>
  <c r="AE104" i="32" s="1"/>
  <c r="Z103" i="33"/>
  <c r="AC103" i="33" s="1"/>
  <c r="AE103" i="33" s="1"/>
  <c r="Z104" i="34"/>
  <c r="AC104" i="34" s="1"/>
  <c r="AE104" i="34" s="1"/>
  <c r="Z103" i="35"/>
  <c r="AC103" i="35" s="1"/>
  <c r="AE103" i="35" s="1"/>
  <c r="Z103" i="37"/>
  <c r="AC103" i="37" s="1"/>
  <c r="AE103" i="37" s="1"/>
  <c r="Z103" i="39"/>
  <c r="AC103" i="39" s="1"/>
  <c r="AE103" i="39" s="1"/>
  <c r="Z103" i="41"/>
  <c r="AC103" i="41" s="1"/>
  <c r="AE103" i="41" s="1"/>
  <c r="Z104" i="42"/>
  <c r="AC104" i="42" s="1"/>
  <c r="AE104" i="42" s="1"/>
  <c r="Z103" i="43"/>
  <c r="AC103" i="43" s="1"/>
  <c r="AE103" i="43" s="1"/>
  <c r="Z106" i="44"/>
  <c r="AC106" i="44" s="1"/>
  <c r="AE106" i="44" s="1"/>
  <c r="Z104" i="46"/>
  <c r="AC104" i="46" s="1"/>
  <c r="AE104" i="46" s="1"/>
  <c r="Z104" i="48"/>
  <c r="AC104" i="48" s="1"/>
  <c r="AE104" i="48" s="1"/>
  <c r="Z104" i="52"/>
  <c r="AC104" i="52" s="1"/>
  <c r="AE104" i="52" s="1"/>
  <c r="Z102" i="26"/>
  <c r="AC102" i="26" s="1"/>
  <c r="AE102" i="26" s="1"/>
  <c r="Z109" i="26"/>
  <c r="AC109" i="26" s="1"/>
  <c r="AE109" i="26" s="1"/>
  <c r="Z109" i="28"/>
  <c r="AC109" i="28" s="1"/>
  <c r="AE109" i="28" s="1"/>
  <c r="Z101" i="29"/>
  <c r="AC101" i="29" s="1"/>
  <c r="AE101" i="29" s="1"/>
  <c r="Z117" i="29"/>
  <c r="AC117" i="29" s="1"/>
  <c r="AE117" i="29" s="1"/>
  <c r="Z109" i="30"/>
  <c r="AC109" i="30" s="1"/>
  <c r="AE109" i="30" s="1"/>
  <c r="Z101" i="31"/>
  <c r="AC101" i="31" s="1"/>
  <c r="AE101" i="31" s="1"/>
  <c r="Z102" i="32"/>
  <c r="AC102" i="32" s="1"/>
  <c r="AE102" i="32" s="1"/>
  <c r="Z101" i="33"/>
  <c r="AC101" i="33" s="1"/>
  <c r="AE101" i="33" s="1"/>
  <c r="Z102" i="34"/>
  <c r="AC102" i="34" s="1"/>
  <c r="AE102" i="34" s="1"/>
  <c r="Z109" i="34"/>
  <c r="AC109" i="34" s="1"/>
  <c r="AE109" i="34" s="1"/>
  <c r="Z101" i="35"/>
  <c r="AC101" i="35" s="1"/>
  <c r="AE101" i="35" s="1"/>
  <c r="Z109" i="36"/>
  <c r="AC109" i="36" s="1"/>
  <c r="AE109" i="36" s="1"/>
  <c r="Z101" i="37"/>
  <c r="AC101" i="37" s="1"/>
  <c r="AE101" i="37" s="1"/>
  <c r="Z110" i="37"/>
  <c r="AC110" i="37" s="1"/>
  <c r="AE110" i="37" s="1"/>
  <c r="Z109" i="38"/>
  <c r="AC109" i="38" s="1"/>
  <c r="AE109" i="38" s="1"/>
  <c r="Z101" i="39"/>
  <c r="AC101" i="39" s="1"/>
  <c r="AE101" i="39" s="1"/>
  <c r="Z109" i="40"/>
  <c r="AC109" i="40" s="1"/>
  <c r="AE109" i="40" s="1"/>
  <c r="Z101" i="41"/>
  <c r="AC101" i="41" s="1"/>
  <c r="AE101" i="41" s="1"/>
  <c r="Z102" i="42"/>
  <c r="AC102" i="42" s="1"/>
  <c r="AE102" i="42" s="1"/>
  <c r="Z109" i="42"/>
  <c r="AC109" i="42" s="1"/>
  <c r="AE109" i="42" s="1"/>
  <c r="Z101" i="43"/>
  <c r="AC101" i="43" s="1"/>
  <c r="AE101" i="43" s="1"/>
  <c r="Z104" i="44"/>
  <c r="AC104" i="44" s="1"/>
  <c r="AE104" i="44" s="1"/>
  <c r="Z110" i="45"/>
  <c r="AC110" i="45" s="1"/>
  <c r="AE110" i="45" s="1"/>
  <c r="Z102" i="46"/>
  <c r="AC102" i="46" s="1"/>
  <c r="AE102" i="46" s="1"/>
  <c r="Z110" i="47"/>
  <c r="AC110" i="47" s="1"/>
  <c r="AE110" i="47" s="1"/>
  <c r="Z102" i="48"/>
  <c r="AC102" i="48" s="1"/>
  <c r="AE102" i="48" s="1"/>
  <c r="Z110" i="49"/>
  <c r="AC110" i="49" s="1"/>
  <c r="AE110" i="49" s="1"/>
  <c r="Z110" i="51"/>
  <c r="AC110" i="51" s="1"/>
  <c r="AE110" i="51" s="1"/>
  <c r="Z102" i="52"/>
  <c r="AC102" i="52" s="1"/>
  <c r="AE102" i="52" s="1"/>
  <c r="Z110" i="53"/>
  <c r="AC110" i="53" s="1"/>
  <c r="AE110" i="53" s="1"/>
  <c r="Z100" i="28"/>
  <c r="AC100" i="28" s="1"/>
  <c r="AE100" i="28" s="1"/>
  <c r="Z110" i="29"/>
  <c r="AC110" i="29" s="1"/>
  <c r="AE110" i="29" s="1"/>
  <c r="Z100" i="30"/>
  <c r="AC100" i="30" s="1"/>
  <c r="AE100" i="30" s="1"/>
  <c r="Z108" i="31"/>
  <c r="AC108" i="31" s="1"/>
  <c r="AE108" i="31" s="1"/>
  <c r="Z108" i="33"/>
  <c r="AC108" i="33" s="1"/>
  <c r="AE108" i="33" s="1"/>
  <c r="Z108" i="35"/>
  <c r="AC108" i="35" s="1"/>
  <c r="AE108" i="35" s="1"/>
  <c r="Z100" i="36"/>
  <c r="AC100" i="36" s="1"/>
  <c r="AE100" i="36" s="1"/>
  <c r="Z100" i="38"/>
  <c r="AC100" i="38" s="1"/>
  <c r="AE100" i="38" s="1"/>
  <c r="Z110" i="39"/>
  <c r="AC110" i="39" s="1"/>
  <c r="AE110" i="39" s="1"/>
  <c r="Z100" i="40"/>
  <c r="AC100" i="40" s="1"/>
  <c r="AE100" i="40" s="1"/>
  <c r="Z110" i="41"/>
  <c r="AC110" i="41" s="1"/>
  <c r="AE110" i="41" s="1"/>
  <c r="Z108" i="43"/>
  <c r="AC108" i="43" s="1"/>
  <c r="AE108" i="43" s="1"/>
  <c r="Z102" i="44"/>
  <c r="AC102" i="44" s="1"/>
  <c r="AE102" i="44" s="1"/>
  <c r="Z109" i="44"/>
  <c r="AC109" i="44" s="1"/>
  <c r="AE109" i="44" s="1"/>
  <c r="Z101" i="45"/>
  <c r="AC101" i="45" s="1"/>
  <c r="AE101" i="45" s="1"/>
  <c r="Z109" i="46"/>
  <c r="AC109" i="46" s="1"/>
  <c r="AE109" i="46" s="1"/>
  <c r="Z101" i="47"/>
  <c r="AC101" i="47" s="1"/>
  <c r="AE101" i="47" s="1"/>
  <c r="Z109" i="48"/>
  <c r="AC109" i="48" s="1"/>
  <c r="AE109" i="48" s="1"/>
  <c r="Z101" i="49"/>
  <c r="AC101" i="49" s="1"/>
  <c r="AE101" i="49" s="1"/>
  <c r="Z102" i="50"/>
  <c r="AC102" i="50" s="1"/>
  <c r="AE102" i="50" s="1"/>
  <c r="Z109" i="50"/>
  <c r="AC109" i="50" s="1"/>
  <c r="AE109" i="50" s="1"/>
  <c r="Z101" i="51"/>
  <c r="AC101" i="51" s="1"/>
  <c r="AE101" i="51" s="1"/>
  <c r="Z109" i="52"/>
  <c r="AC109" i="52" s="1"/>
  <c r="AE109" i="52" s="1"/>
  <c r="Z101" i="53"/>
  <c r="AC101" i="53" s="1"/>
  <c r="AE101" i="53" s="1"/>
  <c r="Z102" i="54"/>
  <c r="AC102" i="54" s="1"/>
  <c r="AE102" i="54" s="1"/>
  <c r="Z109" i="54"/>
  <c r="AC109" i="54" s="1"/>
  <c r="AE109" i="54" s="1"/>
  <c r="Z101" i="19"/>
  <c r="AC101" i="19" s="1"/>
  <c r="AE101" i="19" s="1"/>
  <c r="Z110" i="27"/>
  <c r="AC110" i="27" s="1"/>
  <c r="AE110" i="27" s="1"/>
  <c r="Z102" i="28"/>
  <c r="AC102" i="28" s="1"/>
  <c r="AE102" i="28" s="1"/>
  <c r="Z101" i="27"/>
  <c r="AC101" i="27" s="1"/>
  <c r="AE101" i="27" s="1"/>
  <c r="Z108" i="27"/>
  <c r="AC108" i="27" s="1"/>
  <c r="AE108" i="27" s="1"/>
  <c r="Z100" i="26"/>
  <c r="AC100" i="26" s="1"/>
  <c r="AE100" i="26" s="1"/>
  <c r="Z107" i="26"/>
  <c r="AC107" i="26" s="1"/>
  <c r="AE107" i="26" s="1"/>
  <c r="Z99" i="27"/>
  <c r="AC99" i="27" s="1"/>
  <c r="Z107" i="28"/>
  <c r="AC107" i="28" s="1"/>
  <c r="AE107" i="28" s="1"/>
  <c r="Z99" i="29"/>
  <c r="AC99" i="29" s="1"/>
  <c r="Z115" i="29"/>
  <c r="AC115" i="29" s="1"/>
  <c r="AE115" i="29" s="1"/>
  <c r="Z107" i="30"/>
  <c r="AC107" i="30" s="1"/>
  <c r="AE107" i="30" s="1"/>
  <c r="Z99" i="31"/>
  <c r="AC99" i="31" s="1"/>
  <c r="Z100" i="32"/>
  <c r="AC100" i="32" s="1"/>
  <c r="AE100" i="32" s="1"/>
  <c r="Z99" i="33"/>
  <c r="AC99" i="33" s="1"/>
  <c r="Z100" i="34"/>
  <c r="AC100" i="34" s="1"/>
  <c r="AE100" i="34" s="1"/>
  <c r="Z107" i="34"/>
  <c r="AC107" i="34" s="1"/>
  <c r="AE107" i="34" s="1"/>
  <c r="Z99" i="35"/>
  <c r="AC99" i="35" s="1"/>
  <c r="Z107" i="36"/>
  <c r="AC107" i="36" s="1"/>
  <c r="AE107" i="36" s="1"/>
  <c r="Z99" i="37"/>
  <c r="AC99" i="37" s="1"/>
  <c r="Z108" i="37"/>
  <c r="AC108" i="37" s="1"/>
  <c r="AE108" i="37" s="1"/>
  <c r="Z107" i="38"/>
  <c r="AC107" i="38" s="1"/>
  <c r="AE107" i="38" s="1"/>
  <c r="Z99" i="39"/>
  <c r="AC99" i="39" s="1"/>
  <c r="Z107" i="40"/>
  <c r="AC107" i="40" s="1"/>
  <c r="AE107" i="40" s="1"/>
  <c r="Z99" i="41"/>
  <c r="AC99" i="41" s="1"/>
  <c r="Z100" i="42"/>
  <c r="AC100" i="42" s="1"/>
  <c r="AE100" i="42" s="1"/>
  <c r="Z107" i="42"/>
  <c r="AC107" i="42" s="1"/>
  <c r="AE107" i="42" s="1"/>
  <c r="Z99" i="43"/>
  <c r="AC99" i="43" s="1"/>
  <c r="Z108" i="45"/>
  <c r="AC108" i="45" s="1"/>
  <c r="AE108" i="45" s="1"/>
  <c r="Z100" i="46"/>
  <c r="AC100" i="46" s="1"/>
  <c r="AE100" i="46" s="1"/>
  <c r="Z108" i="47"/>
  <c r="AC108" i="47" s="1"/>
  <c r="AE108" i="47" s="1"/>
  <c r="Z100" i="48"/>
  <c r="AC100" i="48" s="1"/>
  <c r="AE100" i="48" s="1"/>
  <c r="Z108" i="49"/>
  <c r="AC108" i="49" s="1"/>
  <c r="AE108" i="49" s="1"/>
  <c r="Z108" i="51"/>
  <c r="AC108" i="51" s="1"/>
  <c r="AE108" i="51" s="1"/>
  <c r="Z100" i="52"/>
  <c r="AC100" i="52" s="1"/>
  <c r="AE100" i="52" s="1"/>
  <c r="Z108" i="53"/>
  <c r="AC108" i="53" s="1"/>
  <c r="AE108" i="53" s="1"/>
  <c r="Z110" i="19"/>
  <c r="AC110" i="19" s="1"/>
  <c r="AE110" i="19" s="1"/>
  <c r="Z108" i="29"/>
  <c r="AC108" i="29" s="1"/>
  <c r="AE108" i="29" s="1"/>
  <c r="Z153" i="29"/>
  <c r="AC153" i="29" s="1"/>
  <c r="AE153" i="29" s="1"/>
  <c r="Z106" i="31"/>
  <c r="AC106" i="31" s="1"/>
  <c r="AE106" i="31" s="1"/>
  <c r="Z106" i="33"/>
  <c r="AC106" i="33" s="1"/>
  <c r="AE106" i="33" s="1"/>
  <c r="Z106" i="35"/>
  <c r="AC106" i="35" s="1"/>
  <c r="AE106" i="35" s="1"/>
  <c r="Z108" i="39"/>
  <c r="AC108" i="39" s="1"/>
  <c r="AE108" i="39" s="1"/>
  <c r="Z108" i="41"/>
  <c r="AC108" i="41" s="1"/>
  <c r="AE108" i="41" s="1"/>
  <c r="Z106" i="43"/>
  <c r="AC106" i="43" s="1"/>
  <c r="AE106" i="43" s="1"/>
  <c r="Z107" i="44"/>
  <c r="AC107" i="44" s="1"/>
  <c r="AE107" i="44" s="1"/>
  <c r="Z99" i="45"/>
  <c r="AC99" i="45" s="1"/>
  <c r="Z107" i="46"/>
  <c r="AC107" i="46" s="1"/>
  <c r="AE107" i="46" s="1"/>
  <c r="Z99" i="47"/>
  <c r="AC99" i="47" s="1"/>
  <c r="Z107" i="48"/>
  <c r="AC107" i="48" s="1"/>
  <c r="AE107" i="48" s="1"/>
  <c r="Z99" i="49"/>
  <c r="AC99" i="49" s="1"/>
  <c r="Z100" i="50"/>
  <c r="AC100" i="50" s="1"/>
  <c r="AE100" i="50" s="1"/>
  <c r="Z107" i="50"/>
  <c r="AC107" i="50" s="1"/>
  <c r="AE107" i="50" s="1"/>
  <c r="Z99" i="51"/>
  <c r="AC99" i="51" s="1"/>
  <c r="Z107" i="52"/>
  <c r="AC107" i="52" s="1"/>
  <c r="AE107" i="52" s="1"/>
  <c r="Z99" i="53"/>
  <c r="AC99" i="53" s="1"/>
  <c r="Z100" i="54"/>
  <c r="AC100" i="54" s="1"/>
  <c r="AE100" i="54" s="1"/>
  <c r="Z107" i="54"/>
  <c r="AC107" i="54" s="1"/>
  <c r="AE107" i="54" s="1"/>
  <c r="Z99" i="19"/>
  <c r="AC99" i="19" s="1"/>
  <c r="Z105" i="28"/>
  <c r="AC105" i="28" s="1"/>
  <c r="AE105" i="28" s="1"/>
  <c r="Z113" i="29"/>
  <c r="AC113" i="29" s="1"/>
  <c r="AE113" i="29" s="1"/>
  <c r="Z105" i="30"/>
  <c r="AC105" i="30" s="1"/>
  <c r="AE105" i="30" s="1"/>
  <c r="Z105" i="34"/>
  <c r="AC105" i="34" s="1"/>
  <c r="AE105" i="34" s="1"/>
  <c r="Z105" i="36"/>
  <c r="AC105" i="36" s="1"/>
  <c r="AE105" i="36" s="1"/>
  <c r="Z106" i="37"/>
  <c r="AC106" i="37" s="1"/>
  <c r="AE106" i="37" s="1"/>
  <c r="Z105" i="38"/>
  <c r="AC105" i="38" s="1"/>
  <c r="AE105" i="38" s="1"/>
  <c r="Z105" i="40"/>
  <c r="AC105" i="40" s="1"/>
  <c r="AE105" i="40" s="1"/>
  <c r="Z106" i="41"/>
  <c r="AC106" i="41" s="1"/>
  <c r="AE106" i="41" s="1"/>
  <c r="Z105" i="42"/>
  <c r="AC105" i="42" s="1"/>
  <c r="AE105" i="42" s="1"/>
  <c r="Z106" i="45"/>
  <c r="AC106" i="45" s="1"/>
  <c r="AE106" i="45" s="1"/>
  <c r="Z106" i="47"/>
  <c r="AC106" i="47" s="1"/>
  <c r="AE106" i="47" s="1"/>
  <c r="Z106" i="49"/>
  <c r="AC106" i="49" s="1"/>
  <c r="AE106" i="49" s="1"/>
  <c r="Z106" i="51"/>
  <c r="AC106" i="51" s="1"/>
  <c r="AE106" i="51" s="1"/>
  <c r="Z106" i="53"/>
  <c r="AC106" i="53" s="1"/>
  <c r="AE106" i="53" s="1"/>
  <c r="Z108" i="19"/>
  <c r="AC108" i="19" s="1"/>
  <c r="AE108" i="19" s="1"/>
  <c r="Z106" i="27"/>
  <c r="AC106" i="27" s="1"/>
  <c r="AE106" i="27" s="1"/>
  <c r="Z105" i="26"/>
  <c r="AC105" i="26" s="1"/>
  <c r="AE105" i="26" s="1"/>
  <c r="Z104" i="27"/>
  <c r="AC104" i="27" s="1"/>
  <c r="AE104" i="27" s="1"/>
  <c r="Z106" i="29"/>
  <c r="AC106" i="29" s="1"/>
  <c r="AE106" i="29" s="1"/>
  <c r="Z151" i="29"/>
  <c r="AC151" i="29" s="1"/>
  <c r="AE151" i="29" s="1"/>
  <c r="Z104" i="31"/>
  <c r="AC104" i="31" s="1"/>
  <c r="AE104" i="31" s="1"/>
  <c r="Z107" i="32"/>
  <c r="AC107" i="32" s="1"/>
  <c r="AE107" i="32" s="1"/>
  <c r="Z104" i="33"/>
  <c r="AC104" i="33" s="1"/>
  <c r="AE104" i="33" s="1"/>
  <c r="Z104" i="35"/>
  <c r="AC104" i="35" s="1"/>
  <c r="AE104" i="35" s="1"/>
  <c r="Z106" i="39"/>
  <c r="AC106" i="39" s="1"/>
  <c r="AE106" i="39" s="1"/>
  <c r="Z104" i="41"/>
  <c r="AC104" i="41" s="1"/>
  <c r="AE104" i="41" s="1"/>
  <c r="Z104" i="43"/>
  <c r="AC104" i="43" s="1"/>
  <c r="AE104" i="43" s="1"/>
  <c r="Z105" i="44"/>
  <c r="AC105" i="44" s="1"/>
  <c r="AE105" i="44" s="1"/>
  <c r="Z105" i="46"/>
  <c r="AC105" i="46" s="1"/>
  <c r="AE105" i="46" s="1"/>
  <c r="Z105" i="48"/>
  <c r="AC105" i="48" s="1"/>
  <c r="AE105" i="48" s="1"/>
  <c r="Z105" i="50"/>
  <c r="AC105" i="50" s="1"/>
  <c r="AE105" i="50" s="1"/>
  <c r="Z105" i="52"/>
  <c r="AC105" i="52" s="1"/>
  <c r="AE105" i="52" s="1"/>
  <c r="Z105" i="54"/>
  <c r="AC105" i="54" s="1"/>
  <c r="AE105" i="54" s="1"/>
  <c r="Z116" i="29"/>
  <c r="AC116" i="29" s="1"/>
  <c r="AE116" i="29" s="1"/>
  <c r="Z103" i="26"/>
  <c r="AC103" i="26" s="1"/>
  <c r="AE103" i="26" s="1"/>
  <c r="Z103" i="28"/>
  <c r="AC103" i="28" s="1"/>
  <c r="AE103" i="28" s="1"/>
  <c r="Z111" i="29"/>
  <c r="AC111" i="29" s="1"/>
  <c r="AE111" i="29" s="1"/>
  <c r="Z103" i="30"/>
  <c r="AC103" i="30" s="1"/>
  <c r="AE103" i="30" s="1"/>
  <c r="Z103" i="34"/>
  <c r="AC103" i="34" s="1"/>
  <c r="AE103" i="34" s="1"/>
  <c r="Z103" i="36"/>
  <c r="AC103" i="36" s="1"/>
  <c r="AE103" i="36" s="1"/>
  <c r="Z104" i="37"/>
  <c r="AC104" i="37" s="1"/>
  <c r="AE104" i="37" s="1"/>
  <c r="Z103" i="38"/>
  <c r="AC103" i="38" s="1"/>
  <c r="AE103" i="38" s="1"/>
  <c r="Z103" i="40"/>
  <c r="AC103" i="40" s="1"/>
  <c r="AE103" i="40" s="1"/>
  <c r="Z103" i="42"/>
  <c r="AC103" i="42" s="1"/>
  <c r="AE103" i="42" s="1"/>
  <c r="Z103" i="44"/>
  <c r="AC103" i="44" s="1"/>
  <c r="AE103" i="44" s="1"/>
  <c r="Z104" i="45"/>
  <c r="AC104" i="45" s="1"/>
  <c r="AE104" i="45" s="1"/>
  <c r="Z104" i="47"/>
  <c r="AC104" i="47" s="1"/>
  <c r="AE104" i="47" s="1"/>
  <c r="Z104" i="49"/>
  <c r="AC104" i="49" s="1"/>
  <c r="AE104" i="49" s="1"/>
  <c r="Z104" i="51"/>
  <c r="AC104" i="51" s="1"/>
  <c r="AE104" i="51" s="1"/>
  <c r="Z104" i="53"/>
  <c r="AC104" i="53" s="1"/>
  <c r="AE104" i="53" s="1"/>
  <c r="Z106" i="19"/>
  <c r="AC106" i="19" s="1"/>
  <c r="AE106" i="19" s="1"/>
  <c r="Z104" i="29"/>
  <c r="AC104" i="29" s="1"/>
  <c r="AE104" i="29" s="1"/>
  <c r="Z105" i="32"/>
  <c r="AC105" i="32" s="1"/>
  <c r="AE105" i="32" s="1"/>
  <c r="Z110" i="40"/>
  <c r="AC110" i="40" s="1"/>
  <c r="AE110" i="40" s="1"/>
  <c r="Z102" i="41"/>
  <c r="AC102" i="41" s="1"/>
  <c r="AE102" i="41" s="1"/>
  <c r="Z102" i="43"/>
  <c r="AC102" i="43" s="1"/>
  <c r="AE102" i="43" s="1"/>
  <c r="Z103" i="46"/>
  <c r="AC103" i="46" s="1"/>
  <c r="AE103" i="46" s="1"/>
  <c r="Z103" i="52"/>
  <c r="AC103" i="52" s="1"/>
  <c r="AE103" i="52" s="1"/>
  <c r="Z103" i="54"/>
  <c r="AC103" i="54" s="1"/>
  <c r="AE103" i="54" s="1"/>
  <c r="Z120" i="29"/>
  <c r="AC120" i="29" s="1"/>
  <c r="AE120" i="29" s="1"/>
  <c r="Z110" i="30"/>
  <c r="AC110" i="30" s="1"/>
  <c r="AE110" i="30" s="1"/>
  <c r="Z102" i="31"/>
  <c r="AC102" i="31" s="1"/>
  <c r="AE102" i="31" s="1"/>
  <c r="Z102" i="33"/>
  <c r="AC102" i="33" s="1"/>
  <c r="AE102" i="33" s="1"/>
  <c r="Z102" i="35"/>
  <c r="AC102" i="35" s="1"/>
  <c r="AE102" i="35" s="1"/>
  <c r="Z110" i="38"/>
  <c r="AC110" i="38" s="1"/>
  <c r="AE110" i="38" s="1"/>
  <c r="Z104" i="39"/>
  <c r="AC104" i="39" s="1"/>
  <c r="AE104" i="39" s="1"/>
  <c r="Z103" i="48"/>
  <c r="AC103" i="48" s="1"/>
  <c r="AE103" i="48" s="1"/>
  <c r="Z103" i="50"/>
  <c r="AC103" i="50" s="1"/>
  <c r="AE103" i="50" s="1"/>
  <c r="Z101" i="26"/>
  <c r="AC101" i="26" s="1"/>
  <c r="AE101" i="26" s="1"/>
  <c r="Z110" i="26"/>
  <c r="AC110" i="26" s="1"/>
  <c r="AE110" i="26" s="1"/>
  <c r="Z109" i="27"/>
  <c r="AC109" i="27" s="1"/>
  <c r="AE109" i="27" s="1"/>
  <c r="Z101" i="28"/>
  <c r="AC101" i="28" s="1"/>
  <c r="AE101" i="28" s="1"/>
  <c r="Z109" i="29"/>
  <c r="AC109" i="29" s="1"/>
  <c r="AE109" i="29" s="1"/>
  <c r="Z101" i="30"/>
  <c r="AC101" i="30" s="1"/>
  <c r="AE101" i="30" s="1"/>
  <c r="Z109" i="31"/>
  <c r="AC109" i="31" s="1"/>
  <c r="AE109" i="31" s="1"/>
  <c r="Z110" i="32"/>
  <c r="AC110" i="32" s="1"/>
  <c r="AE110" i="32" s="1"/>
  <c r="Z109" i="33"/>
  <c r="AC109" i="33" s="1"/>
  <c r="AE109" i="33" s="1"/>
  <c r="Z101" i="34"/>
  <c r="AC101" i="34" s="1"/>
  <c r="AE101" i="34" s="1"/>
  <c r="Z110" i="34"/>
  <c r="AC110" i="34" s="1"/>
  <c r="AE110" i="34" s="1"/>
  <c r="Z109" i="35"/>
  <c r="AC109" i="35" s="1"/>
  <c r="AE109" i="35" s="1"/>
  <c r="Z101" i="36"/>
  <c r="AC101" i="36" s="1"/>
  <c r="AE101" i="36" s="1"/>
  <c r="Z110" i="36"/>
  <c r="AC110" i="36" s="1"/>
  <c r="AE110" i="36" s="1"/>
  <c r="Z102" i="37"/>
  <c r="AC102" i="37" s="1"/>
  <c r="AE102" i="37" s="1"/>
  <c r="Z109" i="37"/>
  <c r="AC109" i="37" s="1"/>
  <c r="AE109" i="37" s="1"/>
  <c r="Z101" i="38"/>
  <c r="AC101" i="38" s="1"/>
  <c r="AE101" i="38" s="1"/>
  <c r="Z109" i="39"/>
  <c r="AC109" i="39" s="1"/>
  <c r="AE109" i="39" s="1"/>
  <c r="Z101" i="40"/>
  <c r="AC101" i="40" s="1"/>
  <c r="AE101" i="40" s="1"/>
  <c r="Z109" i="41"/>
  <c r="AC109" i="41" s="1"/>
  <c r="AE109" i="41" s="1"/>
  <c r="Z101" i="42"/>
  <c r="AC101" i="42" s="1"/>
  <c r="AE101" i="42" s="1"/>
  <c r="Z110" i="42"/>
  <c r="AC110" i="42" s="1"/>
  <c r="AE110" i="42" s="1"/>
  <c r="Z109" i="43"/>
  <c r="AC109" i="43" s="1"/>
  <c r="AE109" i="43" s="1"/>
  <c r="Z101" i="44"/>
  <c r="AC101" i="44" s="1"/>
  <c r="AE101" i="44" s="1"/>
  <c r="Z102" i="45"/>
  <c r="AC102" i="45" s="1"/>
  <c r="AE102" i="45" s="1"/>
  <c r="Z110" i="46"/>
  <c r="AC110" i="46" s="1"/>
  <c r="AE110" i="46" s="1"/>
  <c r="Z102" i="47"/>
  <c r="AC102" i="47" s="1"/>
  <c r="AE102" i="47" s="1"/>
  <c r="Z110" i="48"/>
  <c r="AC110" i="48" s="1"/>
  <c r="AE110" i="48" s="1"/>
  <c r="Z102" i="49"/>
  <c r="AC102" i="49" s="1"/>
  <c r="AE102" i="49" s="1"/>
  <c r="Z102" i="51"/>
  <c r="AC102" i="51" s="1"/>
  <c r="AE102" i="51" s="1"/>
  <c r="Z110" i="52"/>
  <c r="AC110" i="52" s="1"/>
  <c r="AE110" i="52" s="1"/>
  <c r="Z102" i="53"/>
  <c r="AC102" i="53" s="1"/>
  <c r="AE102" i="53" s="1"/>
  <c r="Z104" i="19"/>
  <c r="AC104" i="19" s="1"/>
  <c r="AE104" i="19" s="1"/>
  <c r="Z99" i="26"/>
  <c r="AC99" i="26" s="1"/>
  <c r="Z108" i="26"/>
  <c r="AC108" i="26" s="1"/>
  <c r="AE108" i="26" s="1"/>
  <c r="Z107" i="27"/>
  <c r="AC107" i="27" s="1"/>
  <c r="AE107" i="27" s="1"/>
  <c r="Z99" i="28"/>
  <c r="AC99" i="28" s="1"/>
  <c r="Z107" i="29"/>
  <c r="AC107" i="29" s="1"/>
  <c r="AE107" i="29" s="1"/>
  <c r="Z152" i="29"/>
  <c r="AC152" i="29" s="1"/>
  <c r="AE152" i="29" s="1"/>
  <c r="Z99" i="30"/>
  <c r="AC99" i="30" s="1"/>
  <c r="Z107" i="31"/>
  <c r="AC107" i="31" s="1"/>
  <c r="AE107" i="31" s="1"/>
  <c r="Z108" i="32"/>
  <c r="AC108" i="32" s="1"/>
  <c r="AE108" i="32" s="1"/>
  <c r="Z107" i="33"/>
  <c r="AC107" i="33" s="1"/>
  <c r="AE107" i="33" s="1"/>
  <c r="Z99" i="34"/>
  <c r="AC99" i="34" s="1"/>
  <c r="Z108" i="34"/>
  <c r="AC108" i="34" s="1"/>
  <c r="AE108" i="34" s="1"/>
  <c r="Z107" i="35"/>
  <c r="AC107" i="35" s="1"/>
  <c r="AE107" i="35" s="1"/>
  <c r="Z99" i="36"/>
  <c r="AC99" i="36" s="1"/>
  <c r="Z100" i="37"/>
  <c r="AC100" i="37" s="1"/>
  <c r="AE100" i="37" s="1"/>
  <c r="Z107" i="37"/>
  <c r="AC107" i="37" s="1"/>
  <c r="AE107" i="37" s="1"/>
  <c r="Z99" i="38"/>
  <c r="AC99" i="38" s="1"/>
  <c r="Z107" i="39"/>
  <c r="AC107" i="39" s="1"/>
  <c r="AE107" i="39" s="1"/>
  <c r="Z99" i="40"/>
  <c r="AC99" i="40" s="1"/>
  <c r="Z107" i="41"/>
  <c r="AC107" i="41" s="1"/>
  <c r="AE107" i="41" s="1"/>
  <c r="Z99" i="42"/>
  <c r="AC99" i="42" s="1"/>
  <c r="Z108" i="42"/>
  <c r="AC108" i="42" s="1"/>
  <c r="AE108" i="42" s="1"/>
  <c r="Z107" i="43"/>
  <c r="AC107" i="43" s="1"/>
  <c r="AE107" i="43" s="1"/>
  <c r="Z110" i="44"/>
  <c r="AC110" i="44" s="1"/>
  <c r="AE110" i="44" s="1"/>
  <c r="Z100" i="45"/>
  <c r="AC100" i="45" s="1"/>
  <c r="AE100" i="45" s="1"/>
  <c r="Z108" i="46"/>
  <c r="AC108" i="46" s="1"/>
  <c r="AE108" i="46" s="1"/>
  <c r="Z100" i="47"/>
  <c r="AC100" i="47" s="1"/>
  <c r="AE100" i="47" s="1"/>
  <c r="Z108" i="48"/>
  <c r="AC108" i="48" s="1"/>
  <c r="AE108" i="48" s="1"/>
  <c r="Z100" i="49"/>
  <c r="AC100" i="49" s="1"/>
  <c r="AE100" i="49" s="1"/>
  <c r="Z100" i="51"/>
  <c r="AC100" i="51" s="1"/>
  <c r="AE100" i="51" s="1"/>
  <c r="Z108" i="52"/>
  <c r="AC108" i="52" s="1"/>
  <c r="AE108" i="52" s="1"/>
  <c r="Z100" i="53"/>
  <c r="AC100" i="53" s="1"/>
  <c r="AE100" i="53" s="1"/>
  <c r="Z102" i="19"/>
  <c r="AC102" i="19" s="1"/>
  <c r="AE102" i="19" s="1"/>
  <c r="Z100" i="19"/>
  <c r="AC100" i="19" s="1"/>
  <c r="AE100" i="19" s="1"/>
  <c r="Z99" i="44"/>
  <c r="Z100" i="44"/>
  <c r="AC100" i="44" s="1"/>
  <c r="AE100" i="44" s="1"/>
  <c r="Z99" i="32"/>
  <c r="Z100" i="29"/>
  <c r="AC100" i="29" s="1"/>
  <c r="AE100" i="29" s="1"/>
  <c r="AC151" i="19" l="1"/>
  <c r="AC151" i="54"/>
  <c r="AC151" i="53"/>
  <c r="AC151" i="52"/>
  <c r="AC151" i="51"/>
  <c r="AC151" i="50"/>
  <c r="AC151" i="49"/>
  <c r="AC151" i="48"/>
  <c r="AC151" i="47"/>
  <c r="AC151" i="46"/>
  <c r="AC151" i="45"/>
  <c r="AC151" i="44"/>
  <c r="AE151" i="43"/>
  <c r="AE151" i="42"/>
  <c r="AC151" i="41"/>
  <c r="AE151" i="40"/>
  <c r="AC151" i="39"/>
  <c r="AC151" i="38"/>
  <c r="AE151" i="37"/>
  <c r="AE151" i="36"/>
  <c r="AC151" i="35"/>
  <c r="AC151" i="34"/>
  <c r="AC151" i="33"/>
  <c r="AC151" i="32"/>
  <c r="AC151" i="31"/>
  <c r="AC151" i="30"/>
  <c r="AC151" i="28"/>
  <c r="AC151" i="27"/>
  <c r="AC151" i="26"/>
  <c r="AE99" i="19"/>
  <c r="AE99" i="54"/>
  <c r="AE99" i="53"/>
  <c r="AE99" i="52"/>
  <c r="AE99" i="51"/>
  <c r="AE99" i="50"/>
  <c r="AE99" i="49"/>
  <c r="AE99" i="48"/>
  <c r="AE99" i="47"/>
  <c r="AE99" i="46"/>
  <c r="AE99" i="45"/>
  <c r="AC99" i="44"/>
  <c r="AE99" i="43"/>
  <c r="AE99" i="42"/>
  <c r="AE99" i="41"/>
  <c r="AE99" i="40"/>
  <c r="AE99" i="39"/>
  <c r="AE99" i="38"/>
  <c r="AE99" i="37"/>
  <c r="AE99" i="36"/>
  <c r="AE99" i="35"/>
  <c r="AE99" i="34"/>
  <c r="AE99" i="33"/>
  <c r="AC99" i="32"/>
  <c r="AE99" i="31"/>
  <c r="AE99" i="30"/>
  <c r="AE99" i="29"/>
  <c r="AE99" i="28"/>
  <c r="AE99" i="27"/>
  <c r="AE99" i="26"/>
  <c r="G4" i="19"/>
  <c r="H4" i="19"/>
  <c r="J4" i="19"/>
  <c r="K4" i="19"/>
  <c r="M4" i="19"/>
  <c r="N4" i="19"/>
  <c r="P4" i="19"/>
  <c r="Q4" i="19"/>
  <c r="S4" i="19"/>
  <c r="T4" i="19"/>
  <c r="V4" i="19"/>
  <c r="W4" i="19"/>
  <c r="Y4" i="19"/>
  <c r="G5" i="19"/>
  <c r="H5" i="19"/>
  <c r="J5" i="19"/>
  <c r="K5" i="19"/>
  <c r="M5" i="19"/>
  <c r="N5" i="19"/>
  <c r="P5" i="19"/>
  <c r="Q5" i="19"/>
  <c r="S5" i="19"/>
  <c r="T5" i="19"/>
  <c r="V5" i="19"/>
  <c r="W5" i="19"/>
  <c r="Y5" i="19"/>
  <c r="G6" i="19"/>
  <c r="H6" i="19"/>
  <c r="J6" i="19"/>
  <c r="K6" i="19"/>
  <c r="M6" i="19"/>
  <c r="N6" i="19"/>
  <c r="P6" i="19"/>
  <c r="Q6" i="19"/>
  <c r="S6" i="19"/>
  <c r="T6" i="19"/>
  <c r="V6" i="19"/>
  <c r="W6" i="19"/>
  <c r="Y6" i="19"/>
  <c r="G7" i="19"/>
  <c r="H7" i="19"/>
  <c r="J7" i="19"/>
  <c r="K7" i="19"/>
  <c r="M7" i="19"/>
  <c r="N7" i="19"/>
  <c r="P7" i="19"/>
  <c r="Q7" i="19"/>
  <c r="S7" i="19"/>
  <c r="T7" i="19"/>
  <c r="V7" i="19"/>
  <c r="W7" i="19"/>
  <c r="Y7" i="19"/>
  <c r="G8" i="19"/>
  <c r="H8" i="19"/>
  <c r="J8" i="19"/>
  <c r="K8" i="19"/>
  <c r="M8" i="19"/>
  <c r="N8" i="19"/>
  <c r="P8" i="19"/>
  <c r="Q8" i="19"/>
  <c r="S8" i="19"/>
  <c r="T8" i="19"/>
  <c r="V8" i="19"/>
  <c r="W8" i="19"/>
  <c r="Y8" i="19"/>
  <c r="G9" i="19"/>
  <c r="H9" i="19"/>
  <c r="J9" i="19"/>
  <c r="K9" i="19"/>
  <c r="M9" i="19"/>
  <c r="N9" i="19"/>
  <c r="P9" i="19"/>
  <c r="Q9" i="19"/>
  <c r="S9" i="19"/>
  <c r="T9" i="19"/>
  <c r="V9" i="19"/>
  <c r="W9" i="19"/>
  <c r="Y9" i="19"/>
  <c r="G10" i="19"/>
  <c r="H10" i="19"/>
  <c r="J10" i="19"/>
  <c r="K10" i="19"/>
  <c r="M10" i="19"/>
  <c r="N10" i="19"/>
  <c r="P10" i="19"/>
  <c r="Q10" i="19"/>
  <c r="S10" i="19"/>
  <c r="T10" i="19"/>
  <c r="V10" i="19"/>
  <c r="W10" i="19"/>
  <c r="Y10" i="19"/>
  <c r="G11" i="19"/>
  <c r="H11" i="19"/>
  <c r="J11" i="19"/>
  <c r="K11" i="19"/>
  <c r="M11" i="19"/>
  <c r="N11" i="19"/>
  <c r="P11" i="19"/>
  <c r="Q11" i="19"/>
  <c r="S11" i="19"/>
  <c r="T11" i="19"/>
  <c r="V11" i="19"/>
  <c r="W11" i="19"/>
  <c r="Y11" i="19"/>
  <c r="G12" i="19"/>
  <c r="H12" i="19"/>
  <c r="J12" i="19"/>
  <c r="K12" i="19"/>
  <c r="M12" i="19"/>
  <c r="N12" i="19"/>
  <c r="P12" i="19"/>
  <c r="Q12" i="19"/>
  <c r="S12" i="19"/>
  <c r="T12" i="19"/>
  <c r="V12" i="19"/>
  <c r="W12" i="19"/>
  <c r="Y12" i="19"/>
  <c r="G13" i="19"/>
  <c r="H13" i="19"/>
  <c r="J13" i="19"/>
  <c r="K13" i="19"/>
  <c r="M13" i="19"/>
  <c r="N13" i="19"/>
  <c r="P13" i="19"/>
  <c r="Q13" i="19"/>
  <c r="S13" i="19"/>
  <c r="T13" i="19"/>
  <c r="V13" i="19"/>
  <c r="W13" i="19"/>
  <c r="Y13" i="19"/>
  <c r="G14" i="19"/>
  <c r="H14" i="19"/>
  <c r="J14" i="19"/>
  <c r="K14" i="19"/>
  <c r="M14" i="19"/>
  <c r="N14" i="19"/>
  <c r="P14" i="19"/>
  <c r="Q14" i="19"/>
  <c r="S14" i="19"/>
  <c r="T14" i="19"/>
  <c r="V14" i="19"/>
  <c r="W14" i="19"/>
  <c r="Y14" i="19"/>
  <c r="G15" i="19"/>
  <c r="H15" i="19"/>
  <c r="J15" i="19"/>
  <c r="K15" i="19"/>
  <c r="M15" i="19"/>
  <c r="N15" i="19"/>
  <c r="P15" i="19"/>
  <c r="Q15" i="19"/>
  <c r="S15" i="19"/>
  <c r="T15" i="19"/>
  <c r="V15" i="19"/>
  <c r="W15" i="19"/>
  <c r="Y15" i="19"/>
  <c r="G16" i="19"/>
  <c r="H16" i="19"/>
  <c r="J16" i="19"/>
  <c r="K16" i="19"/>
  <c r="M16" i="19"/>
  <c r="N16" i="19"/>
  <c r="P16" i="19"/>
  <c r="Q16" i="19"/>
  <c r="S16" i="19"/>
  <c r="T16" i="19"/>
  <c r="V16" i="19"/>
  <c r="W16" i="19"/>
  <c r="Y16" i="19"/>
  <c r="G17" i="19"/>
  <c r="H17" i="19"/>
  <c r="J17" i="19"/>
  <c r="K17" i="19"/>
  <c r="M17" i="19"/>
  <c r="N17" i="19"/>
  <c r="P17" i="19"/>
  <c r="Q17" i="19"/>
  <c r="S17" i="19"/>
  <c r="T17" i="19"/>
  <c r="V17" i="19"/>
  <c r="W17" i="19"/>
  <c r="Y17" i="19"/>
  <c r="G18" i="19"/>
  <c r="H18" i="19"/>
  <c r="J18" i="19"/>
  <c r="K18" i="19"/>
  <c r="M18" i="19"/>
  <c r="N18" i="19"/>
  <c r="P18" i="19"/>
  <c r="Q18" i="19"/>
  <c r="S18" i="19"/>
  <c r="T18" i="19"/>
  <c r="V18" i="19"/>
  <c r="W18" i="19"/>
  <c r="Y18" i="19"/>
  <c r="G19" i="19"/>
  <c r="H19" i="19"/>
  <c r="J19" i="19"/>
  <c r="K19" i="19"/>
  <c r="M19" i="19"/>
  <c r="N19" i="19"/>
  <c r="P19" i="19"/>
  <c r="Q19" i="19"/>
  <c r="S19" i="19"/>
  <c r="T19" i="19"/>
  <c r="V19" i="19"/>
  <c r="W19" i="19"/>
  <c r="Y19" i="19"/>
  <c r="G20" i="19"/>
  <c r="H20" i="19"/>
  <c r="J20" i="19"/>
  <c r="K20" i="19"/>
  <c r="M20" i="19"/>
  <c r="N20" i="19"/>
  <c r="P20" i="19"/>
  <c r="Q20" i="19"/>
  <c r="S20" i="19"/>
  <c r="T20" i="19"/>
  <c r="V20" i="19"/>
  <c r="W20" i="19"/>
  <c r="Y20" i="19"/>
  <c r="G21" i="19"/>
  <c r="H21" i="19"/>
  <c r="J21" i="19"/>
  <c r="K21" i="19"/>
  <c r="M21" i="19"/>
  <c r="N21" i="19"/>
  <c r="P21" i="19"/>
  <c r="Q21" i="19"/>
  <c r="S21" i="19"/>
  <c r="T21" i="19"/>
  <c r="V21" i="19"/>
  <c r="W21" i="19"/>
  <c r="Y21" i="19"/>
  <c r="G22" i="19"/>
  <c r="H22" i="19"/>
  <c r="J22" i="19"/>
  <c r="K22" i="19"/>
  <c r="M22" i="19"/>
  <c r="N22" i="19"/>
  <c r="P22" i="19"/>
  <c r="Q22" i="19"/>
  <c r="S22" i="19"/>
  <c r="T22" i="19"/>
  <c r="V22" i="19"/>
  <c r="W22" i="19"/>
  <c r="Y22" i="19"/>
  <c r="G23" i="19"/>
  <c r="H23" i="19"/>
  <c r="J23" i="19"/>
  <c r="K23" i="19"/>
  <c r="M23" i="19"/>
  <c r="N23" i="19"/>
  <c r="P23" i="19"/>
  <c r="Q23" i="19"/>
  <c r="S23" i="19"/>
  <c r="T23" i="19"/>
  <c r="V23" i="19"/>
  <c r="W23" i="19"/>
  <c r="Y23" i="19"/>
  <c r="G24" i="19"/>
  <c r="H24" i="19"/>
  <c r="J24" i="19"/>
  <c r="K24" i="19"/>
  <c r="M24" i="19"/>
  <c r="N24" i="19"/>
  <c r="P24" i="19"/>
  <c r="Q24" i="19"/>
  <c r="S24" i="19"/>
  <c r="T24" i="19"/>
  <c r="V24" i="19"/>
  <c r="W24" i="19"/>
  <c r="Y24" i="19"/>
  <c r="G25" i="19"/>
  <c r="H25" i="19"/>
  <c r="J25" i="19"/>
  <c r="K25" i="19"/>
  <c r="M25" i="19"/>
  <c r="N25" i="19"/>
  <c r="P25" i="19"/>
  <c r="Q25" i="19"/>
  <c r="S25" i="19"/>
  <c r="T25" i="19"/>
  <c r="V25" i="19"/>
  <c r="W25" i="19"/>
  <c r="Y25" i="19"/>
  <c r="G26" i="19"/>
  <c r="H26" i="19"/>
  <c r="J26" i="19"/>
  <c r="K26" i="19"/>
  <c r="M26" i="19"/>
  <c r="N26" i="19"/>
  <c r="P26" i="19"/>
  <c r="Q26" i="19"/>
  <c r="S26" i="19"/>
  <c r="T26" i="19"/>
  <c r="V26" i="19"/>
  <c r="W26" i="19"/>
  <c r="Y26" i="19"/>
  <c r="G27" i="19"/>
  <c r="H27" i="19"/>
  <c r="J27" i="19"/>
  <c r="K27" i="19"/>
  <c r="M27" i="19"/>
  <c r="N27" i="19"/>
  <c r="P27" i="19"/>
  <c r="Q27" i="19"/>
  <c r="S27" i="19"/>
  <c r="T27" i="19"/>
  <c r="V27" i="19"/>
  <c r="W27" i="19"/>
  <c r="Y27" i="19"/>
  <c r="G28" i="19"/>
  <c r="H28" i="19"/>
  <c r="J28" i="19"/>
  <c r="K28" i="19"/>
  <c r="M28" i="19"/>
  <c r="N28" i="19"/>
  <c r="P28" i="19"/>
  <c r="Q28" i="19"/>
  <c r="S28" i="19"/>
  <c r="T28" i="19"/>
  <c r="V28" i="19"/>
  <c r="W28" i="19"/>
  <c r="Y28" i="19"/>
  <c r="G29" i="19"/>
  <c r="H29" i="19"/>
  <c r="J29" i="19"/>
  <c r="K29" i="19"/>
  <c r="M29" i="19"/>
  <c r="N29" i="19"/>
  <c r="P29" i="19"/>
  <c r="Q29" i="19"/>
  <c r="S29" i="19"/>
  <c r="T29" i="19"/>
  <c r="V29" i="19"/>
  <c r="W29" i="19"/>
  <c r="Y29" i="19"/>
  <c r="G30" i="19"/>
  <c r="H30" i="19"/>
  <c r="J30" i="19"/>
  <c r="K30" i="19"/>
  <c r="M30" i="19"/>
  <c r="N30" i="19"/>
  <c r="P30" i="19"/>
  <c r="Q30" i="19"/>
  <c r="S30" i="19"/>
  <c r="T30" i="19"/>
  <c r="V30" i="19"/>
  <c r="W30" i="19"/>
  <c r="Y30" i="19"/>
  <c r="G31" i="19"/>
  <c r="H31" i="19"/>
  <c r="J31" i="19"/>
  <c r="K31" i="19"/>
  <c r="M31" i="19"/>
  <c r="N31" i="19"/>
  <c r="P31" i="19"/>
  <c r="Q31" i="19"/>
  <c r="S31" i="19"/>
  <c r="T31" i="19"/>
  <c r="V31" i="19"/>
  <c r="W31" i="19"/>
  <c r="Y31" i="19"/>
  <c r="G32" i="19"/>
  <c r="H32" i="19"/>
  <c r="J32" i="19"/>
  <c r="K32" i="19"/>
  <c r="M32" i="19"/>
  <c r="N32" i="19"/>
  <c r="P32" i="19"/>
  <c r="Q32" i="19"/>
  <c r="S32" i="19"/>
  <c r="T32" i="19"/>
  <c r="V32" i="19"/>
  <c r="W32" i="19"/>
  <c r="Y32" i="19"/>
  <c r="G33" i="19"/>
  <c r="H33" i="19"/>
  <c r="J33" i="19"/>
  <c r="K33" i="19"/>
  <c r="M33" i="19"/>
  <c r="N33" i="19"/>
  <c r="P33" i="19"/>
  <c r="Q33" i="19"/>
  <c r="S33" i="19"/>
  <c r="T33" i="19"/>
  <c r="V33" i="19"/>
  <c r="W33" i="19"/>
  <c r="Y33" i="19"/>
  <c r="G34" i="19"/>
  <c r="H34" i="19"/>
  <c r="J34" i="19"/>
  <c r="K34" i="19"/>
  <c r="M34" i="19"/>
  <c r="N34" i="19"/>
  <c r="P34" i="19"/>
  <c r="Q34" i="19"/>
  <c r="S34" i="19"/>
  <c r="T34" i="19"/>
  <c r="V34" i="19"/>
  <c r="W34" i="19"/>
  <c r="Y34" i="19"/>
  <c r="G35" i="19"/>
  <c r="H35" i="19"/>
  <c r="J35" i="19"/>
  <c r="K35" i="19"/>
  <c r="M35" i="19"/>
  <c r="N35" i="19"/>
  <c r="P35" i="19"/>
  <c r="Q35" i="19"/>
  <c r="S35" i="19"/>
  <c r="T35" i="19"/>
  <c r="V35" i="19"/>
  <c r="W35" i="19"/>
  <c r="Y35" i="19"/>
  <c r="G36" i="19"/>
  <c r="H36" i="19"/>
  <c r="J36" i="19"/>
  <c r="K36" i="19"/>
  <c r="M36" i="19"/>
  <c r="N36" i="19"/>
  <c r="P36" i="19"/>
  <c r="Q36" i="19"/>
  <c r="S36" i="19"/>
  <c r="T36" i="19"/>
  <c r="V36" i="19"/>
  <c r="W36" i="19"/>
  <c r="Y36" i="19"/>
  <c r="G37" i="19"/>
  <c r="H37" i="19"/>
  <c r="J37" i="19"/>
  <c r="K37" i="19"/>
  <c r="M37" i="19"/>
  <c r="N37" i="19"/>
  <c r="P37" i="19"/>
  <c r="Q37" i="19"/>
  <c r="S37" i="19"/>
  <c r="T37" i="19"/>
  <c r="V37" i="19"/>
  <c r="W37" i="19"/>
  <c r="Y37" i="19"/>
  <c r="G38" i="19"/>
  <c r="H38" i="19"/>
  <c r="J38" i="19"/>
  <c r="K38" i="19"/>
  <c r="M38" i="19"/>
  <c r="N38" i="19"/>
  <c r="P38" i="19"/>
  <c r="Q38" i="19"/>
  <c r="S38" i="19"/>
  <c r="T38" i="19"/>
  <c r="V38" i="19"/>
  <c r="W38" i="19"/>
  <c r="Y38" i="19"/>
  <c r="G39" i="19"/>
  <c r="H39" i="19"/>
  <c r="J39" i="19"/>
  <c r="K39" i="19"/>
  <c r="M39" i="19"/>
  <c r="N39" i="19"/>
  <c r="P39" i="19"/>
  <c r="Q39" i="19"/>
  <c r="S39" i="19"/>
  <c r="T39" i="19"/>
  <c r="V39" i="19"/>
  <c r="W39" i="19"/>
  <c r="Y39" i="19"/>
  <c r="G40" i="19"/>
  <c r="H40" i="19"/>
  <c r="J40" i="19"/>
  <c r="K40" i="19"/>
  <c r="M40" i="19"/>
  <c r="N40" i="19"/>
  <c r="P40" i="19"/>
  <c r="Q40" i="19"/>
  <c r="S40" i="19"/>
  <c r="T40" i="19"/>
  <c r="V40" i="19"/>
  <c r="W40" i="19"/>
  <c r="Y40" i="19"/>
  <c r="G41" i="19"/>
  <c r="H41" i="19"/>
  <c r="J41" i="19"/>
  <c r="K41" i="19"/>
  <c r="M41" i="19"/>
  <c r="N41" i="19"/>
  <c r="P41" i="19"/>
  <c r="Q41" i="19"/>
  <c r="S41" i="19"/>
  <c r="T41" i="19"/>
  <c r="V41" i="19"/>
  <c r="W41" i="19"/>
  <c r="Y41" i="19"/>
  <c r="G42" i="19"/>
  <c r="H42" i="19"/>
  <c r="J42" i="19"/>
  <c r="K42" i="19"/>
  <c r="M42" i="19"/>
  <c r="N42" i="19"/>
  <c r="P42" i="19"/>
  <c r="Q42" i="19"/>
  <c r="S42" i="19"/>
  <c r="T42" i="19"/>
  <c r="V42" i="19"/>
  <c r="W42" i="19"/>
  <c r="Y42" i="19"/>
  <c r="G43" i="19"/>
  <c r="H43" i="19"/>
  <c r="J43" i="19"/>
  <c r="K43" i="19"/>
  <c r="M43" i="19"/>
  <c r="N43" i="19"/>
  <c r="P43" i="19"/>
  <c r="Q43" i="19"/>
  <c r="S43" i="19"/>
  <c r="T43" i="19"/>
  <c r="V43" i="19"/>
  <c r="W43" i="19"/>
  <c r="Y43" i="19"/>
  <c r="G44" i="19"/>
  <c r="H44" i="19"/>
  <c r="J44" i="19"/>
  <c r="K44" i="19"/>
  <c r="M44" i="19"/>
  <c r="N44" i="19"/>
  <c r="P44" i="19"/>
  <c r="Q44" i="19"/>
  <c r="S44" i="19"/>
  <c r="T44" i="19"/>
  <c r="V44" i="19"/>
  <c r="W44" i="19"/>
  <c r="Y44" i="19"/>
  <c r="G45" i="19"/>
  <c r="H45" i="19"/>
  <c r="J45" i="19"/>
  <c r="K45" i="19"/>
  <c r="M45" i="19"/>
  <c r="N45" i="19"/>
  <c r="P45" i="19"/>
  <c r="Q45" i="19"/>
  <c r="S45" i="19"/>
  <c r="T45" i="19"/>
  <c r="V45" i="19"/>
  <c r="W45" i="19"/>
  <c r="Y45" i="19"/>
  <c r="G46" i="19"/>
  <c r="H46" i="19"/>
  <c r="J46" i="19"/>
  <c r="K46" i="19"/>
  <c r="M46" i="19"/>
  <c r="N46" i="19"/>
  <c r="P46" i="19"/>
  <c r="Q46" i="19"/>
  <c r="S46" i="19"/>
  <c r="T46" i="19"/>
  <c r="V46" i="19"/>
  <c r="W46" i="19"/>
  <c r="Y46" i="19"/>
  <c r="G47" i="19"/>
  <c r="H47" i="19"/>
  <c r="J47" i="19"/>
  <c r="K47" i="19"/>
  <c r="M47" i="19"/>
  <c r="N47" i="19"/>
  <c r="P47" i="19"/>
  <c r="Q47" i="19"/>
  <c r="S47" i="19"/>
  <c r="T47" i="19"/>
  <c r="V47" i="19"/>
  <c r="W47" i="19"/>
  <c r="Y47" i="19"/>
  <c r="G48" i="19"/>
  <c r="H48" i="19"/>
  <c r="J48" i="19"/>
  <c r="K48" i="19"/>
  <c r="M48" i="19"/>
  <c r="N48" i="19"/>
  <c r="P48" i="19"/>
  <c r="Q48" i="19"/>
  <c r="S48" i="19"/>
  <c r="T48" i="19"/>
  <c r="V48" i="19"/>
  <c r="W48" i="19"/>
  <c r="Y48" i="19"/>
  <c r="G49" i="19"/>
  <c r="H49" i="19"/>
  <c r="J49" i="19"/>
  <c r="K49" i="19"/>
  <c r="M49" i="19"/>
  <c r="N49" i="19"/>
  <c r="P49" i="19"/>
  <c r="Q49" i="19"/>
  <c r="S49" i="19"/>
  <c r="T49" i="19"/>
  <c r="V49" i="19"/>
  <c r="W49" i="19"/>
  <c r="Y49" i="19"/>
  <c r="G50" i="19"/>
  <c r="H50" i="19"/>
  <c r="J50" i="19"/>
  <c r="K50" i="19"/>
  <c r="M50" i="19"/>
  <c r="N50" i="19"/>
  <c r="P50" i="19"/>
  <c r="Q50" i="19"/>
  <c r="S50" i="19"/>
  <c r="T50" i="19"/>
  <c r="V50" i="19"/>
  <c r="W50" i="19"/>
  <c r="Y50" i="19"/>
  <c r="G51" i="19"/>
  <c r="H51" i="19"/>
  <c r="J51" i="19"/>
  <c r="K51" i="19"/>
  <c r="M51" i="19"/>
  <c r="N51" i="19"/>
  <c r="P51" i="19"/>
  <c r="Q51" i="19"/>
  <c r="S51" i="19"/>
  <c r="T51" i="19"/>
  <c r="V51" i="19"/>
  <c r="W51" i="19"/>
  <c r="Y51" i="19"/>
  <c r="G52" i="19"/>
  <c r="H52" i="19"/>
  <c r="J52" i="19"/>
  <c r="K52" i="19"/>
  <c r="M52" i="19"/>
  <c r="N52" i="19"/>
  <c r="P52" i="19"/>
  <c r="Q52" i="19"/>
  <c r="S52" i="19"/>
  <c r="T52" i="19"/>
  <c r="V52" i="19"/>
  <c r="W52" i="19"/>
  <c r="Y52" i="19"/>
  <c r="G53" i="19"/>
  <c r="H53" i="19"/>
  <c r="J53" i="19"/>
  <c r="K53" i="19"/>
  <c r="M53" i="19"/>
  <c r="N53" i="19"/>
  <c r="P53" i="19"/>
  <c r="Q53" i="19"/>
  <c r="S53" i="19"/>
  <c r="T53" i="19"/>
  <c r="V53" i="19"/>
  <c r="W53" i="19"/>
  <c r="Y53" i="19"/>
  <c r="G54" i="19"/>
  <c r="H54" i="19"/>
  <c r="J54" i="19"/>
  <c r="K54" i="19"/>
  <c r="M54" i="19"/>
  <c r="N54" i="19"/>
  <c r="P54" i="19"/>
  <c r="Q54" i="19"/>
  <c r="S54" i="19"/>
  <c r="T54" i="19"/>
  <c r="V54" i="19"/>
  <c r="W54" i="19"/>
  <c r="Y54" i="19"/>
  <c r="G55" i="19"/>
  <c r="H55" i="19"/>
  <c r="J55" i="19"/>
  <c r="K55" i="19"/>
  <c r="M55" i="19"/>
  <c r="N55" i="19"/>
  <c r="P55" i="19"/>
  <c r="Q55" i="19"/>
  <c r="S55" i="19"/>
  <c r="T55" i="19"/>
  <c r="V55" i="19"/>
  <c r="W55" i="19"/>
  <c r="Y55" i="19"/>
  <c r="G56" i="19"/>
  <c r="H56" i="19"/>
  <c r="J56" i="19"/>
  <c r="K56" i="19"/>
  <c r="M56" i="19"/>
  <c r="N56" i="19"/>
  <c r="P56" i="19"/>
  <c r="Q56" i="19"/>
  <c r="S56" i="19"/>
  <c r="T56" i="19"/>
  <c r="V56" i="19"/>
  <c r="W56" i="19"/>
  <c r="Y56" i="19"/>
  <c r="G57" i="19"/>
  <c r="H57" i="19"/>
  <c r="J57" i="19"/>
  <c r="K57" i="19"/>
  <c r="M57" i="19"/>
  <c r="N57" i="19"/>
  <c r="P57" i="19"/>
  <c r="Q57" i="19"/>
  <c r="S57" i="19"/>
  <c r="T57" i="19"/>
  <c r="V57" i="19"/>
  <c r="W57" i="19"/>
  <c r="Y57" i="19"/>
  <c r="G58" i="19"/>
  <c r="H58" i="19"/>
  <c r="J58" i="19"/>
  <c r="K58" i="19"/>
  <c r="M58" i="19"/>
  <c r="N58" i="19"/>
  <c r="P58" i="19"/>
  <c r="Q58" i="19"/>
  <c r="S58" i="19"/>
  <c r="T58" i="19"/>
  <c r="V58" i="19"/>
  <c r="W58" i="19"/>
  <c r="Y58" i="19"/>
  <c r="G59" i="19"/>
  <c r="H59" i="19"/>
  <c r="J59" i="19"/>
  <c r="K59" i="19"/>
  <c r="M59" i="19"/>
  <c r="N59" i="19"/>
  <c r="P59" i="19"/>
  <c r="Q59" i="19"/>
  <c r="S59" i="19"/>
  <c r="T59" i="19"/>
  <c r="V59" i="19"/>
  <c r="W59" i="19"/>
  <c r="Y59" i="19"/>
  <c r="G60" i="19"/>
  <c r="H60" i="19"/>
  <c r="J60" i="19"/>
  <c r="K60" i="19"/>
  <c r="M60" i="19"/>
  <c r="N60" i="19"/>
  <c r="P60" i="19"/>
  <c r="Q60" i="19"/>
  <c r="S60" i="19"/>
  <c r="T60" i="19"/>
  <c r="V60" i="19"/>
  <c r="W60" i="19"/>
  <c r="Y60" i="19"/>
  <c r="G61" i="19"/>
  <c r="H61" i="19"/>
  <c r="J61" i="19"/>
  <c r="K61" i="19"/>
  <c r="M61" i="19"/>
  <c r="N61" i="19"/>
  <c r="P61" i="19"/>
  <c r="Q61" i="19"/>
  <c r="S61" i="19"/>
  <c r="T61" i="19"/>
  <c r="V61" i="19"/>
  <c r="W61" i="19"/>
  <c r="Y61" i="19"/>
  <c r="G62" i="19"/>
  <c r="H62" i="19"/>
  <c r="J62" i="19"/>
  <c r="K62" i="19"/>
  <c r="M62" i="19"/>
  <c r="N62" i="19"/>
  <c r="P62" i="19"/>
  <c r="Q62" i="19"/>
  <c r="S62" i="19"/>
  <c r="T62" i="19"/>
  <c r="V62" i="19"/>
  <c r="W62" i="19"/>
  <c r="Y62" i="19"/>
  <c r="G63" i="19"/>
  <c r="H63" i="19"/>
  <c r="J63" i="19"/>
  <c r="K63" i="19"/>
  <c r="M63" i="19"/>
  <c r="N63" i="19"/>
  <c r="P63" i="19"/>
  <c r="Q63" i="19"/>
  <c r="S63" i="19"/>
  <c r="T63" i="19"/>
  <c r="V63" i="19"/>
  <c r="W63" i="19"/>
  <c r="Y63" i="19"/>
  <c r="G64" i="19"/>
  <c r="H64" i="19"/>
  <c r="J64" i="19"/>
  <c r="K64" i="19"/>
  <c r="M64" i="19"/>
  <c r="N64" i="19"/>
  <c r="P64" i="19"/>
  <c r="Q64" i="19"/>
  <c r="S64" i="19"/>
  <c r="T64" i="19"/>
  <c r="V64" i="19"/>
  <c r="W64" i="19"/>
  <c r="Y64" i="19"/>
  <c r="G65" i="19"/>
  <c r="H65" i="19"/>
  <c r="J65" i="19"/>
  <c r="K65" i="19"/>
  <c r="M65" i="19"/>
  <c r="N65" i="19"/>
  <c r="P65" i="19"/>
  <c r="Q65" i="19"/>
  <c r="S65" i="19"/>
  <c r="T65" i="19"/>
  <c r="V65" i="19"/>
  <c r="W65" i="19"/>
  <c r="Y65" i="19"/>
  <c r="G66" i="19"/>
  <c r="H66" i="19"/>
  <c r="J66" i="19"/>
  <c r="K66" i="19"/>
  <c r="M66" i="19"/>
  <c r="N66" i="19"/>
  <c r="P66" i="19"/>
  <c r="Q66" i="19"/>
  <c r="S66" i="19"/>
  <c r="T66" i="19"/>
  <c r="V66" i="19"/>
  <c r="W66" i="19"/>
  <c r="Y66" i="19"/>
  <c r="G67" i="19"/>
  <c r="H67" i="19"/>
  <c r="J67" i="19"/>
  <c r="K67" i="19"/>
  <c r="M67" i="19"/>
  <c r="N67" i="19"/>
  <c r="P67" i="19"/>
  <c r="Q67" i="19"/>
  <c r="S67" i="19"/>
  <c r="T67" i="19"/>
  <c r="V67" i="19"/>
  <c r="W67" i="19"/>
  <c r="Y67" i="19"/>
  <c r="G68" i="19"/>
  <c r="H68" i="19"/>
  <c r="J68" i="19"/>
  <c r="K68" i="19"/>
  <c r="M68" i="19"/>
  <c r="N68" i="19"/>
  <c r="P68" i="19"/>
  <c r="Q68" i="19"/>
  <c r="S68" i="19"/>
  <c r="T68" i="19"/>
  <c r="V68" i="19"/>
  <c r="W68" i="19"/>
  <c r="Y68" i="19"/>
  <c r="G69" i="19"/>
  <c r="H69" i="19"/>
  <c r="J69" i="19"/>
  <c r="K69" i="19"/>
  <c r="M69" i="19"/>
  <c r="N69" i="19"/>
  <c r="P69" i="19"/>
  <c r="Q69" i="19"/>
  <c r="S69" i="19"/>
  <c r="T69" i="19"/>
  <c r="V69" i="19"/>
  <c r="W69" i="19"/>
  <c r="Y69" i="19"/>
  <c r="G70" i="19"/>
  <c r="H70" i="19"/>
  <c r="J70" i="19"/>
  <c r="K70" i="19"/>
  <c r="M70" i="19"/>
  <c r="N70" i="19"/>
  <c r="P70" i="19"/>
  <c r="Q70" i="19"/>
  <c r="S70" i="19"/>
  <c r="T70" i="19"/>
  <c r="V70" i="19"/>
  <c r="W70" i="19"/>
  <c r="Y70" i="19"/>
  <c r="G71" i="19"/>
  <c r="H71" i="19"/>
  <c r="J71" i="19"/>
  <c r="K71" i="19"/>
  <c r="M71" i="19"/>
  <c r="N71" i="19"/>
  <c r="P71" i="19"/>
  <c r="Q71" i="19"/>
  <c r="S71" i="19"/>
  <c r="T71" i="19"/>
  <c r="V71" i="19"/>
  <c r="W71" i="19"/>
  <c r="Y71" i="19"/>
  <c r="G72" i="19"/>
  <c r="H72" i="19"/>
  <c r="J72" i="19"/>
  <c r="K72" i="19"/>
  <c r="M72" i="19"/>
  <c r="N72" i="19"/>
  <c r="P72" i="19"/>
  <c r="Q72" i="19"/>
  <c r="S72" i="19"/>
  <c r="T72" i="19"/>
  <c r="V72" i="19"/>
  <c r="W72" i="19"/>
  <c r="Y72" i="19"/>
  <c r="G73" i="19"/>
  <c r="H73" i="19"/>
  <c r="J73" i="19"/>
  <c r="K73" i="19"/>
  <c r="M73" i="19"/>
  <c r="N73" i="19"/>
  <c r="P73" i="19"/>
  <c r="Q73" i="19"/>
  <c r="S73" i="19"/>
  <c r="T73" i="19"/>
  <c r="V73" i="19"/>
  <c r="W73" i="19"/>
  <c r="Y73" i="19"/>
  <c r="G74" i="19"/>
  <c r="H74" i="19"/>
  <c r="J74" i="19"/>
  <c r="K74" i="19"/>
  <c r="M74" i="19"/>
  <c r="N74" i="19"/>
  <c r="P74" i="19"/>
  <c r="Q74" i="19"/>
  <c r="S74" i="19"/>
  <c r="T74" i="19"/>
  <c r="V74" i="19"/>
  <c r="W74" i="19"/>
  <c r="Y74" i="19"/>
  <c r="G75" i="19"/>
  <c r="H75" i="19"/>
  <c r="J75" i="19"/>
  <c r="K75" i="19"/>
  <c r="M75" i="19"/>
  <c r="N75" i="19"/>
  <c r="P75" i="19"/>
  <c r="Q75" i="19"/>
  <c r="S75" i="19"/>
  <c r="T75" i="19"/>
  <c r="V75" i="19"/>
  <c r="W75" i="19"/>
  <c r="Y75" i="19"/>
  <c r="G76" i="19"/>
  <c r="H76" i="19"/>
  <c r="J76" i="19"/>
  <c r="K76" i="19"/>
  <c r="M76" i="19"/>
  <c r="N76" i="19"/>
  <c r="P76" i="19"/>
  <c r="Q76" i="19"/>
  <c r="S76" i="19"/>
  <c r="T76" i="19"/>
  <c r="V76" i="19"/>
  <c r="W76" i="19"/>
  <c r="Y76" i="19"/>
  <c r="G77" i="19"/>
  <c r="H77" i="19"/>
  <c r="J77" i="19"/>
  <c r="K77" i="19"/>
  <c r="M77" i="19"/>
  <c r="N77" i="19"/>
  <c r="P77" i="19"/>
  <c r="Q77" i="19"/>
  <c r="S77" i="19"/>
  <c r="T77" i="19"/>
  <c r="V77" i="19"/>
  <c r="W77" i="19"/>
  <c r="Y77" i="19"/>
  <c r="G78" i="19"/>
  <c r="H78" i="19"/>
  <c r="J78" i="19"/>
  <c r="K78" i="19"/>
  <c r="M78" i="19"/>
  <c r="N78" i="19"/>
  <c r="P78" i="19"/>
  <c r="Q78" i="19"/>
  <c r="S78" i="19"/>
  <c r="T78" i="19"/>
  <c r="V78" i="19"/>
  <c r="W78" i="19"/>
  <c r="Y78" i="19"/>
  <c r="G79" i="19"/>
  <c r="H79" i="19"/>
  <c r="J79" i="19"/>
  <c r="K79" i="19"/>
  <c r="M79" i="19"/>
  <c r="N79" i="19"/>
  <c r="P79" i="19"/>
  <c r="Q79" i="19"/>
  <c r="S79" i="19"/>
  <c r="T79" i="19"/>
  <c r="V79" i="19"/>
  <c r="W79" i="19"/>
  <c r="Y79" i="19"/>
  <c r="G80" i="19"/>
  <c r="H80" i="19"/>
  <c r="J80" i="19"/>
  <c r="K80" i="19"/>
  <c r="M80" i="19"/>
  <c r="N80" i="19"/>
  <c r="P80" i="19"/>
  <c r="Q80" i="19"/>
  <c r="S80" i="19"/>
  <c r="T80" i="19"/>
  <c r="V80" i="19"/>
  <c r="W80" i="19"/>
  <c r="Y80" i="19"/>
  <c r="G81" i="19"/>
  <c r="H81" i="19"/>
  <c r="J81" i="19"/>
  <c r="K81" i="19"/>
  <c r="M81" i="19"/>
  <c r="N81" i="19"/>
  <c r="P81" i="19"/>
  <c r="Q81" i="19"/>
  <c r="S81" i="19"/>
  <c r="T81" i="19"/>
  <c r="V81" i="19"/>
  <c r="W81" i="19"/>
  <c r="Y81" i="19"/>
  <c r="G82" i="19"/>
  <c r="H82" i="19"/>
  <c r="J82" i="19"/>
  <c r="K82" i="19"/>
  <c r="M82" i="19"/>
  <c r="N82" i="19"/>
  <c r="P82" i="19"/>
  <c r="Q82" i="19"/>
  <c r="S82" i="19"/>
  <c r="T82" i="19"/>
  <c r="V82" i="19"/>
  <c r="W82" i="19"/>
  <c r="Y82" i="19"/>
  <c r="G83" i="19"/>
  <c r="H83" i="19"/>
  <c r="J83" i="19"/>
  <c r="K83" i="19"/>
  <c r="M83" i="19"/>
  <c r="N83" i="19"/>
  <c r="P83" i="19"/>
  <c r="Q83" i="19"/>
  <c r="S83" i="19"/>
  <c r="T83" i="19"/>
  <c r="V83" i="19"/>
  <c r="W83" i="19"/>
  <c r="Y83" i="19"/>
  <c r="G84" i="19"/>
  <c r="H84" i="19"/>
  <c r="J84" i="19"/>
  <c r="K84" i="19"/>
  <c r="M84" i="19"/>
  <c r="N84" i="19"/>
  <c r="P84" i="19"/>
  <c r="Q84" i="19"/>
  <c r="S84" i="19"/>
  <c r="T84" i="19"/>
  <c r="V84" i="19"/>
  <c r="W84" i="19"/>
  <c r="Y84" i="19"/>
  <c r="G85" i="19"/>
  <c r="H85" i="19"/>
  <c r="J85" i="19"/>
  <c r="K85" i="19"/>
  <c r="M85" i="19"/>
  <c r="N85" i="19"/>
  <c r="P85" i="19"/>
  <c r="Q85" i="19"/>
  <c r="S85" i="19"/>
  <c r="T85" i="19"/>
  <c r="V85" i="19"/>
  <c r="W85" i="19"/>
  <c r="Y85" i="19"/>
  <c r="G86" i="19"/>
  <c r="H86" i="19"/>
  <c r="J86" i="19"/>
  <c r="K86" i="19"/>
  <c r="M86" i="19"/>
  <c r="N86" i="19"/>
  <c r="P86" i="19"/>
  <c r="Q86" i="19"/>
  <c r="S86" i="19"/>
  <c r="T86" i="19"/>
  <c r="V86" i="19"/>
  <c r="W86" i="19"/>
  <c r="Y86" i="19"/>
  <c r="G87" i="19"/>
  <c r="H87" i="19"/>
  <c r="J87" i="19"/>
  <c r="K87" i="19"/>
  <c r="M87" i="19"/>
  <c r="N87" i="19"/>
  <c r="P87" i="19"/>
  <c r="Q87" i="19"/>
  <c r="S87" i="19"/>
  <c r="T87" i="19"/>
  <c r="V87" i="19"/>
  <c r="W87" i="19"/>
  <c r="Y87" i="19"/>
  <c r="G88" i="19"/>
  <c r="H88" i="19"/>
  <c r="J88" i="19"/>
  <c r="K88" i="19"/>
  <c r="M88" i="19"/>
  <c r="N88" i="19"/>
  <c r="P88" i="19"/>
  <c r="Q88" i="19"/>
  <c r="S88" i="19"/>
  <c r="T88" i="19"/>
  <c r="V88" i="19"/>
  <c r="W88" i="19"/>
  <c r="Y88" i="19"/>
  <c r="G89" i="19"/>
  <c r="H89" i="19"/>
  <c r="J89" i="19"/>
  <c r="K89" i="19"/>
  <c r="M89" i="19"/>
  <c r="N89" i="19"/>
  <c r="P89" i="19"/>
  <c r="Q89" i="19"/>
  <c r="S89" i="19"/>
  <c r="T89" i="19"/>
  <c r="V89" i="19"/>
  <c r="W89" i="19"/>
  <c r="Y89" i="19"/>
  <c r="G90" i="19"/>
  <c r="H90" i="19"/>
  <c r="J90" i="19"/>
  <c r="K90" i="19"/>
  <c r="M90" i="19"/>
  <c r="N90" i="19"/>
  <c r="P90" i="19"/>
  <c r="Q90" i="19"/>
  <c r="S90" i="19"/>
  <c r="T90" i="19"/>
  <c r="V90" i="19"/>
  <c r="W90" i="19"/>
  <c r="Y90" i="19"/>
  <c r="G91" i="19"/>
  <c r="H91" i="19"/>
  <c r="J91" i="19"/>
  <c r="K91" i="19"/>
  <c r="M91" i="19"/>
  <c r="N91" i="19"/>
  <c r="P91" i="19"/>
  <c r="Q91" i="19"/>
  <c r="S91" i="19"/>
  <c r="T91" i="19"/>
  <c r="V91" i="19"/>
  <c r="W91" i="19"/>
  <c r="Y91" i="19"/>
  <c r="G92" i="19"/>
  <c r="H92" i="19"/>
  <c r="J92" i="19"/>
  <c r="K92" i="19"/>
  <c r="M92" i="19"/>
  <c r="N92" i="19"/>
  <c r="P92" i="19"/>
  <c r="Q92" i="19"/>
  <c r="S92" i="19"/>
  <c r="T92" i="19"/>
  <c r="V92" i="19"/>
  <c r="W92" i="19"/>
  <c r="Y92" i="19"/>
  <c r="G93" i="19"/>
  <c r="H93" i="19"/>
  <c r="J93" i="19"/>
  <c r="K93" i="19"/>
  <c r="M93" i="19"/>
  <c r="N93" i="19"/>
  <c r="P93" i="19"/>
  <c r="Q93" i="19"/>
  <c r="S93" i="19"/>
  <c r="T93" i="19"/>
  <c r="V93" i="19"/>
  <c r="W93" i="19"/>
  <c r="Y93" i="19"/>
  <c r="G94" i="19"/>
  <c r="H94" i="19"/>
  <c r="J94" i="19"/>
  <c r="K94" i="19"/>
  <c r="M94" i="19"/>
  <c r="N94" i="19"/>
  <c r="P94" i="19"/>
  <c r="Q94" i="19"/>
  <c r="S94" i="19"/>
  <c r="T94" i="19"/>
  <c r="V94" i="19"/>
  <c r="W94" i="19"/>
  <c r="Y94" i="19"/>
  <c r="G95" i="19"/>
  <c r="H95" i="19"/>
  <c r="J95" i="19"/>
  <c r="K95" i="19"/>
  <c r="M95" i="19"/>
  <c r="N95" i="19"/>
  <c r="P95" i="19"/>
  <c r="Q95" i="19"/>
  <c r="S95" i="19"/>
  <c r="T95" i="19"/>
  <c r="V95" i="19"/>
  <c r="W95" i="19"/>
  <c r="Y95" i="19"/>
  <c r="G96" i="19"/>
  <c r="H96" i="19"/>
  <c r="J96" i="19"/>
  <c r="K96" i="19"/>
  <c r="M96" i="19"/>
  <c r="N96" i="19"/>
  <c r="P96" i="19"/>
  <c r="Q96" i="19"/>
  <c r="S96" i="19"/>
  <c r="T96" i="19"/>
  <c r="V96" i="19"/>
  <c r="W96" i="19"/>
  <c r="Y96" i="19"/>
  <c r="G97" i="19"/>
  <c r="H97" i="19"/>
  <c r="J97" i="19"/>
  <c r="K97" i="19"/>
  <c r="M97" i="19"/>
  <c r="N97" i="19"/>
  <c r="P97" i="19"/>
  <c r="Q97" i="19"/>
  <c r="S97" i="19"/>
  <c r="T97" i="19"/>
  <c r="V97" i="19"/>
  <c r="W97" i="19"/>
  <c r="Y97" i="19"/>
  <c r="G98" i="19"/>
  <c r="H98" i="19"/>
  <c r="J98" i="19"/>
  <c r="K98" i="19"/>
  <c r="M98" i="19"/>
  <c r="N98" i="19"/>
  <c r="P98" i="19"/>
  <c r="Q98" i="19"/>
  <c r="S98" i="19"/>
  <c r="T98" i="19"/>
  <c r="V98" i="19"/>
  <c r="W98" i="19"/>
  <c r="Y98" i="19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6" i="19"/>
  <c r="E97" i="19"/>
  <c r="E98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4" i="19"/>
  <c r="X98" i="54"/>
  <c r="U98" i="54"/>
  <c r="R98" i="54"/>
  <c r="O98" i="54"/>
  <c r="L98" i="54"/>
  <c r="I98" i="54"/>
  <c r="F98" i="54"/>
  <c r="X97" i="54"/>
  <c r="U97" i="54"/>
  <c r="R97" i="54"/>
  <c r="O97" i="54"/>
  <c r="L97" i="54"/>
  <c r="I97" i="54"/>
  <c r="F97" i="54"/>
  <c r="X96" i="54"/>
  <c r="U96" i="54"/>
  <c r="R96" i="54"/>
  <c r="O96" i="54"/>
  <c r="L96" i="54"/>
  <c r="I96" i="54"/>
  <c r="F96" i="54"/>
  <c r="X95" i="54"/>
  <c r="U95" i="54"/>
  <c r="R95" i="54"/>
  <c r="O95" i="54"/>
  <c r="L95" i="54"/>
  <c r="I95" i="54"/>
  <c r="F95" i="54"/>
  <c r="X94" i="54"/>
  <c r="U94" i="54"/>
  <c r="R94" i="54"/>
  <c r="O94" i="54"/>
  <c r="L94" i="54"/>
  <c r="I94" i="54"/>
  <c r="F94" i="54"/>
  <c r="X93" i="54"/>
  <c r="U93" i="54"/>
  <c r="R93" i="54"/>
  <c r="O93" i="54"/>
  <c r="L93" i="54"/>
  <c r="I93" i="54"/>
  <c r="F93" i="54"/>
  <c r="X92" i="54"/>
  <c r="U92" i="54"/>
  <c r="R92" i="54"/>
  <c r="O92" i="54"/>
  <c r="L92" i="54"/>
  <c r="I92" i="54"/>
  <c r="F92" i="54"/>
  <c r="X91" i="54"/>
  <c r="U91" i="54"/>
  <c r="R91" i="54"/>
  <c r="O91" i="54"/>
  <c r="L91" i="54"/>
  <c r="I91" i="54"/>
  <c r="F91" i="54"/>
  <c r="X90" i="54"/>
  <c r="U90" i="54"/>
  <c r="R90" i="54"/>
  <c r="O90" i="54"/>
  <c r="L90" i="54"/>
  <c r="I90" i="54"/>
  <c r="F90" i="54"/>
  <c r="X89" i="54"/>
  <c r="U89" i="54"/>
  <c r="R89" i="54"/>
  <c r="O89" i="54"/>
  <c r="L89" i="54"/>
  <c r="I89" i="54"/>
  <c r="F89" i="54"/>
  <c r="X88" i="54"/>
  <c r="U88" i="54"/>
  <c r="R88" i="54"/>
  <c r="O88" i="54"/>
  <c r="L88" i="54"/>
  <c r="I88" i="54"/>
  <c r="F88" i="54"/>
  <c r="X87" i="54"/>
  <c r="U87" i="54"/>
  <c r="R87" i="54"/>
  <c r="O87" i="54"/>
  <c r="L87" i="54"/>
  <c r="I87" i="54"/>
  <c r="F87" i="54"/>
  <c r="X86" i="54"/>
  <c r="U86" i="54"/>
  <c r="R86" i="54"/>
  <c r="O86" i="54"/>
  <c r="L86" i="54"/>
  <c r="I86" i="54"/>
  <c r="F86" i="54"/>
  <c r="X85" i="54"/>
  <c r="U85" i="54"/>
  <c r="R85" i="54"/>
  <c r="O85" i="54"/>
  <c r="L85" i="54"/>
  <c r="I85" i="54"/>
  <c r="F85" i="54"/>
  <c r="X84" i="54"/>
  <c r="U84" i="54"/>
  <c r="R84" i="54"/>
  <c r="O84" i="54"/>
  <c r="L84" i="54"/>
  <c r="I84" i="54"/>
  <c r="F84" i="54"/>
  <c r="X83" i="54"/>
  <c r="U83" i="54"/>
  <c r="R83" i="54"/>
  <c r="O83" i="54"/>
  <c r="L83" i="54"/>
  <c r="I83" i="54"/>
  <c r="F83" i="54"/>
  <c r="X82" i="54"/>
  <c r="U82" i="54"/>
  <c r="R82" i="54"/>
  <c r="O82" i="54"/>
  <c r="L82" i="54"/>
  <c r="I82" i="54"/>
  <c r="F82" i="54"/>
  <c r="X81" i="54"/>
  <c r="U81" i="54"/>
  <c r="R81" i="54"/>
  <c r="O81" i="54"/>
  <c r="L81" i="54"/>
  <c r="I81" i="54"/>
  <c r="F81" i="54"/>
  <c r="X80" i="54"/>
  <c r="U80" i="54"/>
  <c r="R80" i="54"/>
  <c r="O80" i="54"/>
  <c r="L80" i="54"/>
  <c r="I80" i="54"/>
  <c r="F80" i="54"/>
  <c r="X79" i="54"/>
  <c r="U79" i="54"/>
  <c r="R79" i="54"/>
  <c r="O79" i="54"/>
  <c r="L79" i="54"/>
  <c r="I79" i="54"/>
  <c r="F79" i="54"/>
  <c r="X78" i="54"/>
  <c r="U78" i="54"/>
  <c r="R78" i="54"/>
  <c r="O78" i="54"/>
  <c r="L78" i="54"/>
  <c r="I78" i="54"/>
  <c r="F78" i="54"/>
  <c r="X77" i="54"/>
  <c r="U77" i="54"/>
  <c r="R77" i="54"/>
  <c r="O77" i="54"/>
  <c r="L77" i="54"/>
  <c r="I77" i="54"/>
  <c r="F77" i="54"/>
  <c r="X76" i="54"/>
  <c r="U76" i="54"/>
  <c r="R76" i="54"/>
  <c r="O76" i="54"/>
  <c r="L76" i="54"/>
  <c r="I76" i="54"/>
  <c r="F76" i="54"/>
  <c r="X75" i="54"/>
  <c r="U75" i="54"/>
  <c r="R75" i="54"/>
  <c r="O75" i="54"/>
  <c r="L75" i="54"/>
  <c r="I75" i="54"/>
  <c r="F75" i="54"/>
  <c r="X74" i="54"/>
  <c r="U74" i="54"/>
  <c r="R74" i="54"/>
  <c r="O74" i="54"/>
  <c r="L74" i="54"/>
  <c r="I74" i="54"/>
  <c r="F74" i="54"/>
  <c r="X73" i="54"/>
  <c r="U73" i="54"/>
  <c r="R73" i="54"/>
  <c r="O73" i="54"/>
  <c r="L73" i="54"/>
  <c r="I73" i="54"/>
  <c r="F73" i="54"/>
  <c r="X72" i="54"/>
  <c r="U72" i="54"/>
  <c r="R72" i="54"/>
  <c r="O72" i="54"/>
  <c r="L72" i="54"/>
  <c r="I72" i="54"/>
  <c r="F72" i="54"/>
  <c r="X71" i="54"/>
  <c r="U71" i="54"/>
  <c r="R71" i="54"/>
  <c r="O71" i="54"/>
  <c r="L71" i="54"/>
  <c r="I71" i="54"/>
  <c r="F71" i="54"/>
  <c r="X70" i="54"/>
  <c r="U70" i="54"/>
  <c r="R70" i="54"/>
  <c r="O70" i="54"/>
  <c r="L70" i="54"/>
  <c r="I70" i="54"/>
  <c r="F70" i="54"/>
  <c r="X69" i="54"/>
  <c r="U69" i="54"/>
  <c r="R69" i="54"/>
  <c r="O69" i="54"/>
  <c r="L69" i="54"/>
  <c r="I69" i="54"/>
  <c r="F69" i="54"/>
  <c r="X68" i="54"/>
  <c r="U68" i="54"/>
  <c r="R68" i="54"/>
  <c r="O68" i="54"/>
  <c r="L68" i="54"/>
  <c r="I68" i="54"/>
  <c r="F68" i="54"/>
  <c r="X67" i="54"/>
  <c r="U67" i="54"/>
  <c r="R67" i="54"/>
  <c r="O67" i="54"/>
  <c r="L67" i="54"/>
  <c r="I67" i="54"/>
  <c r="F67" i="54"/>
  <c r="X66" i="54"/>
  <c r="U66" i="54"/>
  <c r="R66" i="54"/>
  <c r="O66" i="54"/>
  <c r="L66" i="54"/>
  <c r="I66" i="54"/>
  <c r="F66" i="54"/>
  <c r="X65" i="54"/>
  <c r="U65" i="54"/>
  <c r="R65" i="54"/>
  <c r="O65" i="54"/>
  <c r="L65" i="54"/>
  <c r="I65" i="54"/>
  <c r="F65" i="54"/>
  <c r="X64" i="54"/>
  <c r="U64" i="54"/>
  <c r="R64" i="54"/>
  <c r="O64" i="54"/>
  <c r="L64" i="54"/>
  <c r="I64" i="54"/>
  <c r="F64" i="54"/>
  <c r="X63" i="54"/>
  <c r="U63" i="54"/>
  <c r="R63" i="54"/>
  <c r="O63" i="54"/>
  <c r="L63" i="54"/>
  <c r="I63" i="54"/>
  <c r="F63" i="54"/>
  <c r="X62" i="54"/>
  <c r="U62" i="54"/>
  <c r="R62" i="54"/>
  <c r="O62" i="54"/>
  <c r="L62" i="54"/>
  <c r="I62" i="54"/>
  <c r="F62" i="54"/>
  <c r="X61" i="54"/>
  <c r="U61" i="54"/>
  <c r="R61" i="54"/>
  <c r="O61" i="54"/>
  <c r="L61" i="54"/>
  <c r="I61" i="54"/>
  <c r="F61" i="54"/>
  <c r="X60" i="54"/>
  <c r="U60" i="54"/>
  <c r="R60" i="54"/>
  <c r="O60" i="54"/>
  <c r="L60" i="54"/>
  <c r="I60" i="54"/>
  <c r="F60" i="54"/>
  <c r="X59" i="54"/>
  <c r="U59" i="54"/>
  <c r="R59" i="54"/>
  <c r="O59" i="54"/>
  <c r="L59" i="54"/>
  <c r="I59" i="54"/>
  <c r="F59" i="54"/>
  <c r="X58" i="54"/>
  <c r="U58" i="54"/>
  <c r="R58" i="54"/>
  <c r="O58" i="54"/>
  <c r="L58" i="54"/>
  <c r="I58" i="54"/>
  <c r="F58" i="54"/>
  <c r="X57" i="54"/>
  <c r="U57" i="54"/>
  <c r="R57" i="54"/>
  <c r="O57" i="54"/>
  <c r="L57" i="54"/>
  <c r="I57" i="54"/>
  <c r="F57" i="54"/>
  <c r="X56" i="54"/>
  <c r="U56" i="54"/>
  <c r="R56" i="54"/>
  <c r="O56" i="54"/>
  <c r="L56" i="54"/>
  <c r="I56" i="54"/>
  <c r="F56" i="54"/>
  <c r="X55" i="54"/>
  <c r="U55" i="54"/>
  <c r="R55" i="54"/>
  <c r="O55" i="54"/>
  <c r="L55" i="54"/>
  <c r="I55" i="54"/>
  <c r="F55" i="54"/>
  <c r="X54" i="54"/>
  <c r="U54" i="54"/>
  <c r="R54" i="54"/>
  <c r="O54" i="54"/>
  <c r="L54" i="54"/>
  <c r="I54" i="54"/>
  <c r="F54" i="54"/>
  <c r="X53" i="54"/>
  <c r="U53" i="54"/>
  <c r="R53" i="54"/>
  <c r="O53" i="54"/>
  <c r="L53" i="54"/>
  <c r="I53" i="54"/>
  <c r="F53" i="54"/>
  <c r="X52" i="54"/>
  <c r="U52" i="54"/>
  <c r="R52" i="54"/>
  <c r="O52" i="54"/>
  <c r="L52" i="54"/>
  <c r="I52" i="54"/>
  <c r="F52" i="54"/>
  <c r="X51" i="54"/>
  <c r="U51" i="54"/>
  <c r="R51" i="54"/>
  <c r="O51" i="54"/>
  <c r="L51" i="54"/>
  <c r="I51" i="54"/>
  <c r="F51" i="54"/>
  <c r="X50" i="54"/>
  <c r="U50" i="54"/>
  <c r="R50" i="54"/>
  <c r="O50" i="54"/>
  <c r="L50" i="54"/>
  <c r="I50" i="54"/>
  <c r="F50" i="54"/>
  <c r="X49" i="54"/>
  <c r="U49" i="54"/>
  <c r="R49" i="54"/>
  <c r="O49" i="54"/>
  <c r="L49" i="54"/>
  <c r="I49" i="54"/>
  <c r="F49" i="54"/>
  <c r="X48" i="54"/>
  <c r="U48" i="54"/>
  <c r="R48" i="54"/>
  <c r="O48" i="54"/>
  <c r="L48" i="54"/>
  <c r="I48" i="54"/>
  <c r="F48" i="54"/>
  <c r="X47" i="54"/>
  <c r="U47" i="54"/>
  <c r="R47" i="54"/>
  <c r="O47" i="54"/>
  <c r="L47" i="54"/>
  <c r="I47" i="54"/>
  <c r="F47" i="54"/>
  <c r="X46" i="54"/>
  <c r="U46" i="54"/>
  <c r="R46" i="54"/>
  <c r="O46" i="54"/>
  <c r="L46" i="54"/>
  <c r="I46" i="54"/>
  <c r="F46" i="54"/>
  <c r="X45" i="54"/>
  <c r="U45" i="54"/>
  <c r="R45" i="54"/>
  <c r="O45" i="54"/>
  <c r="L45" i="54"/>
  <c r="I45" i="54"/>
  <c r="F45" i="54"/>
  <c r="X44" i="54"/>
  <c r="U44" i="54"/>
  <c r="R44" i="54"/>
  <c r="O44" i="54"/>
  <c r="L44" i="54"/>
  <c r="I44" i="54"/>
  <c r="F44" i="54"/>
  <c r="X43" i="54"/>
  <c r="U43" i="54"/>
  <c r="R43" i="54"/>
  <c r="O43" i="54"/>
  <c r="L43" i="54"/>
  <c r="I43" i="54"/>
  <c r="F43" i="54"/>
  <c r="X42" i="54"/>
  <c r="U42" i="54"/>
  <c r="R42" i="54"/>
  <c r="O42" i="54"/>
  <c r="L42" i="54"/>
  <c r="I42" i="54"/>
  <c r="F42" i="54"/>
  <c r="X41" i="54"/>
  <c r="U41" i="54"/>
  <c r="R41" i="54"/>
  <c r="O41" i="54"/>
  <c r="L41" i="54"/>
  <c r="I41" i="54"/>
  <c r="F41" i="54"/>
  <c r="X40" i="54"/>
  <c r="U40" i="54"/>
  <c r="R40" i="54"/>
  <c r="O40" i="54"/>
  <c r="L40" i="54"/>
  <c r="I40" i="54"/>
  <c r="F40" i="54"/>
  <c r="X39" i="54"/>
  <c r="U39" i="54"/>
  <c r="R39" i="54"/>
  <c r="O39" i="54"/>
  <c r="L39" i="54"/>
  <c r="I39" i="54"/>
  <c r="F39" i="54"/>
  <c r="X38" i="54"/>
  <c r="U38" i="54"/>
  <c r="R38" i="54"/>
  <c r="O38" i="54"/>
  <c r="L38" i="54"/>
  <c r="I38" i="54"/>
  <c r="F38" i="54"/>
  <c r="X37" i="54"/>
  <c r="U37" i="54"/>
  <c r="R37" i="54"/>
  <c r="O37" i="54"/>
  <c r="L37" i="54"/>
  <c r="I37" i="54"/>
  <c r="F37" i="54"/>
  <c r="X36" i="54"/>
  <c r="U36" i="54"/>
  <c r="R36" i="54"/>
  <c r="O36" i="54"/>
  <c r="L36" i="54"/>
  <c r="I36" i="54"/>
  <c r="F36" i="54"/>
  <c r="X35" i="54"/>
  <c r="U35" i="54"/>
  <c r="R35" i="54"/>
  <c r="O35" i="54"/>
  <c r="L35" i="54"/>
  <c r="I35" i="54"/>
  <c r="F35" i="54"/>
  <c r="X34" i="54"/>
  <c r="U34" i="54"/>
  <c r="R34" i="54"/>
  <c r="O34" i="54"/>
  <c r="L34" i="54"/>
  <c r="I34" i="54"/>
  <c r="F34" i="54"/>
  <c r="X33" i="54"/>
  <c r="U33" i="54"/>
  <c r="R33" i="54"/>
  <c r="O33" i="54"/>
  <c r="L33" i="54"/>
  <c r="I33" i="54"/>
  <c r="F33" i="54"/>
  <c r="X32" i="54"/>
  <c r="U32" i="54"/>
  <c r="R32" i="54"/>
  <c r="O32" i="54"/>
  <c r="L32" i="54"/>
  <c r="I32" i="54"/>
  <c r="F32" i="54"/>
  <c r="X31" i="54"/>
  <c r="U31" i="54"/>
  <c r="R31" i="54"/>
  <c r="O31" i="54"/>
  <c r="L31" i="54"/>
  <c r="I31" i="54"/>
  <c r="F31" i="54"/>
  <c r="X30" i="54"/>
  <c r="U30" i="54"/>
  <c r="R30" i="54"/>
  <c r="O30" i="54"/>
  <c r="L30" i="54"/>
  <c r="I30" i="54"/>
  <c r="F30" i="54"/>
  <c r="X29" i="54"/>
  <c r="U29" i="54"/>
  <c r="R29" i="54"/>
  <c r="O29" i="54"/>
  <c r="L29" i="54"/>
  <c r="I29" i="54"/>
  <c r="F29" i="54"/>
  <c r="X28" i="54"/>
  <c r="U28" i="54"/>
  <c r="R28" i="54"/>
  <c r="O28" i="54"/>
  <c r="L28" i="54"/>
  <c r="I28" i="54"/>
  <c r="F28" i="54"/>
  <c r="X27" i="54"/>
  <c r="U27" i="54"/>
  <c r="R27" i="54"/>
  <c r="O27" i="54"/>
  <c r="L27" i="54"/>
  <c r="I27" i="54"/>
  <c r="F27" i="54"/>
  <c r="X26" i="54"/>
  <c r="U26" i="54"/>
  <c r="R26" i="54"/>
  <c r="O26" i="54"/>
  <c r="L26" i="54"/>
  <c r="I26" i="54"/>
  <c r="F26" i="54"/>
  <c r="X25" i="54"/>
  <c r="U25" i="54"/>
  <c r="R25" i="54"/>
  <c r="O25" i="54"/>
  <c r="L25" i="54"/>
  <c r="I25" i="54"/>
  <c r="F25" i="54"/>
  <c r="X24" i="54"/>
  <c r="U24" i="54"/>
  <c r="R24" i="54"/>
  <c r="O24" i="54"/>
  <c r="L24" i="54"/>
  <c r="I24" i="54"/>
  <c r="F24" i="54"/>
  <c r="X23" i="54"/>
  <c r="U23" i="54"/>
  <c r="R23" i="54"/>
  <c r="O23" i="54"/>
  <c r="L23" i="54"/>
  <c r="I23" i="54"/>
  <c r="F23" i="54"/>
  <c r="X22" i="54"/>
  <c r="U22" i="54"/>
  <c r="R22" i="54"/>
  <c r="O22" i="54"/>
  <c r="L22" i="54"/>
  <c r="I22" i="54"/>
  <c r="F22" i="54"/>
  <c r="X21" i="54"/>
  <c r="U21" i="54"/>
  <c r="R21" i="54"/>
  <c r="O21" i="54"/>
  <c r="L21" i="54"/>
  <c r="I21" i="54"/>
  <c r="F21" i="54"/>
  <c r="X20" i="54"/>
  <c r="U20" i="54"/>
  <c r="R20" i="54"/>
  <c r="O20" i="54"/>
  <c r="L20" i="54"/>
  <c r="I20" i="54"/>
  <c r="F20" i="54"/>
  <c r="X19" i="54"/>
  <c r="U19" i="54"/>
  <c r="R19" i="54"/>
  <c r="O19" i="54"/>
  <c r="L19" i="54"/>
  <c r="I19" i="54"/>
  <c r="F19" i="54"/>
  <c r="X18" i="54"/>
  <c r="U18" i="54"/>
  <c r="R18" i="54"/>
  <c r="O18" i="54"/>
  <c r="L18" i="54"/>
  <c r="I18" i="54"/>
  <c r="F18" i="54"/>
  <c r="X17" i="54"/>
  <c r="U17" i="54"/>
  <c r="R17" i="54"/>
  <c r="O17" i="54"/>
  <c r="L17" i="54"/>
  <c r="I17" i="54"/>
  <c r="F17" i="54"/>
  <c r="X16" i="54"/>
  <c r="U16" i="54"/>
  <c r="R16" i="54"/>
  <c r="O16" i="54"/>
  <c r="L16" i="54"/>
  <c r="I16" i="54"/>
  <c r="F16" i="54"/>
  <c r="X15" i="54"/>
  <c r="U15" i="54"/>
  <c r="R15" i="54"/>
  <c r="O15" i="54"/>
  <c r="L15" i="54"/>
  <c r="I15" i="54"/>
  <c r="F15" i="54"/>
  <c r="X14" i="54"/>
  <c r="U14" i="54"/>
  <c r="R14" i="54"/>
  <c r="O14" i="54"/>
  <c r="L14" i="54"/>
  <c r="I14" i="54"/>
  <c r="F14" i="54"/>
  <c r="X13" i="54"/>
  <c r="U13" i="54"/>
  <c r="R13" i="54"/>
  <c r="O13" i="54"/>
  <c r="L13" i="54"/>
  <c r="I13" i="54"/>
  <c r="F13" i="54"/>
  <c r="X12" i="54"/>
  <c r="U12" i="54"/>
  <c r="R12" i="54"/>
  <c r="O12" i="54"/>
  <c r="L12" i="54"/>
  <c r="I12" i="54"/>
  <c r="F12" i="54"/>
  <c r="X11" i="54"/>
  <c r="U11" i="54"/>
  <c r="R11" i="54"/>
  <c r="O11" i="54"/>
  <c r="L11" i="54"/>
  <c r="I11" i="54"/>
  <c r="F11" i="54"/>
  <c r="X10" i="54"/>
  <c r="U10" i="54"/>
  <c r="R10" i="54"/>
  <c r="O10" i="54"/>
  <c r="L10" i="54"/>
  <c r="I10" i="54"/>
  <c r="F10" i="54"/>
  <c r="X9" i="54"/>
  <c r="U9" i="54"/>
  <c r="R9" i="54"/>
  <c r="O9" i="54"/>
  <c r="L9" i="54"/>
  <c r="I9" i="54"/>
  <c r="F9" i="54"/>
  <c r="X8" i="54"/>
  <c r="U8" i="54"/>
  <c r="R8" i="54"/>
  <c r="O8" i="54"/>
  <c r="L8" i="54"/>
  <c r="I8" i="54"/>
  <c r="F8" i="54"/>
  <c r="X7" i="54"/>
  <c r="U7" i="54"/>
  <c r="R7" i="54"/>
  <c r="O7" i="54"/>
  <c r="L7" i="54"/>
  <c r="I7" i="54"/>
  <c r="F7" i="54"/>
  <c r="X6" i="54"/>
  <c r="U6" i="54"/>
  <c r="R6" i="54"/>
  <c r="O6" i="54"/>
  <c r="L6" i="54"/>
  <c r="I6" i="54"/>
  <c r="F6" i="54"/>
  <c r="X5" i="54"/>
  <c r="U5" i="54"/>
  <c r="R5" i="54"/>
  <c r="O5" i="54"/>
  <c r="L5" i="54"/>
  <c r="I5" i="54"/>
  <c r="F5" i="54"/>
  <c r="X4" i="54"/>
  <c r="U4" i="54"/>
  <c r="R4" i="54"/>
  <c r="O4" i="54"/>
  <c r="L4" i="54"/>
  <c r="I4" i="54"/>
  <c r="F4" i="54"/>
  <c r="X98" i="53"/>
  <c r="U98" i="53"/>
  <c r="R98" i="53"/>
  <c r="O98" i="53"/>
  <c r="L98" i="53"/>
  <c r="I98" i="53"/>
  <c r="F98" i="53"/>
  <c r="X97" i="53"/>
  <c r="U97" i="53"/>
  <c r="R97" i="53"/>
  <c r="O97" i="53"/>
  <c r="L97" i="53"/>
  <c r="I97" i="53"/>
  <c r="F97" i="53"/>
  <c r="X96" i="53"/>
  <c r="U96" i="53"/>
  <c r="R96" i="53"/>
  <c r="O96" i="53"/>
  <c r="L96" i="53"/>
  <c r="I96" i="53"/>
  <c r="F96" i="53"/>
  <c r="X95" i="53"/>
  <c r="U95" i="53"/>
  <c r="R95" i="53"/>
  <c r="O95" i="53"/>
  <c r="L95" i="53"/>
  <c r="I95" i="53"/>
  <c r="F95" i="53"/>
  <c r="X94" i="53"/>
  <c r="U94" i="53"/>
  <c r="R94" i="53"/>
  <c r="O94" i="53"/>
  <c r="L94" i="53"/>
  <c r="I94" i="53"/>
  <c r="F94" i="53"/>
  <c r="X93" i="53"/>
  <c r="U93" i="53"/>
  <c r="R93" i="53"/>
  <c r="O93" i="53"/>
  <c r="L93" i="53"/>
  <c r="I93" i="53"/>
  <c r="F93" i="53"/>
  <c r="X92" i="53"/>
  <c r="U92" i="53"/>
  <c r="R92" i="53"/>
  <c r="O92" i="53"/>
  <c r="L92" i="53"/>
  <c r="I92" i="53"/>
  <c r="F92" i="53"/>
  <c r="X91" i="53"/>
  <c r="U91" i="53"/>
  <c r="R91" i="53"/>
  <c r="O91" i="53"/>
  <c r="L91" i="53"/>
  <c r="I91" i="53"/>
  <c r="F91" i="53"/>
  <c r="X90" i="53"/>
  <c r="U90" i="53"/>
  <c r="R90" i="53"/>
  <c r="O90" i="53"/>
  <c r="L90" i="53"/>
  <c r="I90" i="53"/>
  <c r="F90" i="53"/>
  <c r="X89" i="53"/>
  <c r="U89" i="53"/>
  <c r="R89" i="53"/>
  <c r="O89" i="53"/>
  <c r="L89" i="53"/>
  <c r="I89" i="53"/>
  <c r="F89" i="53"/>
  <c r="X88" i="53"/>
  <c r="U88" i="53"/>
  <c r="R88" i="53"/>
  <c r="O88" i="53"/>
  <c r="L88" i="53"/>
  <c r="I88" i="53"/>
  <c r="F88" i="53"/>
  <c r="X87" i="53"/>
  <c r="U87" i="53"/>
  <c r="R87" i="53"/>
  <c r="O87" i="53"/>
  <c r="L87" i="53"/>
  <c r="I87" i="53"/>
  <c r="F87" i="53"/>
  <c r="X86" i="53"/>
  <c r="U86" i="53"/>
  <c r="R86" i="53"/>
  <c r="O86" i="53"/>
  <c r="L86" i="53"/>
  <c r="I86" i="53"/>
  <c r="F86" i="53"/>
  <c r="X85" i="53"/>
  <c r="U85" i="53"/>
  <c r="R85" i="53"/>
  <c r="O85" i="53"/>
  <c r="L85" i="53"/>
  <c r="I85" i="53"/>
  <c r="F85" i="53"/>
  <c r="X84" i="53"/>
  <c r="U84" i="53"/>
  <c r="R84" i="53"/>
  <c r="O84" i="53"/>
  <c r="L84" i="53"/>
  <c r="I84" i="53"/>
  <c r="F84" i="53"/>
  <c r="X83" i="53"/>
  <c r="U83" i="53"/>
  <c r="R83" i="53"/>
  <c r="O83" i="53"/>
  <c r="L83" i="53"/>
  <c r="I83" i="53"/>
  <c r="F83" i="53"/>
  <c r="X82" i="53"/>
  <c r="U82" i="53"/>
  <c r="R82" i="53"/>
  <c r="O82" i="53"/>
  <c r="L82" i="53"/>
  <c r="I82" i="53"/>
  <c r="F82" i="53"/>
  <c r="X81" i="53"/>
  <c r="U81" i="53"/>
  <c r="R81" i="53"/>
  <c r="O81" i="53"/>
  <c r="L81" i="53"/>
  <c r="I81" i="53"/>
  <c r="F81" i="53"/>
  <c r="X80" i="53"/>
  <c r="U80" i="53"/>
  <c r="R80" i="53"/>
  <c r="O80" i="53"/>
  <c r="L80" i="53"/>
  <c r="I80" i="53"/>
  <c r="F80" i="53"/>
  <c r="X79" i="53"/>
  <c r="U79" i="53"/>
  <c r="R79" i="53"/>
  <c r="O79" i="53"/>
  <c r="L79" i="53"/>
  <c r="I79" i="53"/>
  <c r="F79" i="53"/>
  <c r="X78" i="53"/>
  <c r="U78" i="53"/>
  <c r="R78" i="53"/>
  <c r="O78" i="53"/>
  <c r="L78" i="53"/>
  <c r="I78" i="53"/>
  <c r="F78" i="53"/>
  <c r="X77" i="53"/>
  <c r="U77" i="53"/>
  <c r="R77" i="53"/>
  <c r="O77" i="53"/>
  <c r="L77" i="53"/>
  <c r="I77" i="53"/>
  <c r="F77" i="53"/>
  <c r="X76" i="53"/>
  <c r="U76" i="53"/>
  <c r="R76" i="53"/>
  <c r="O76" i="53"/>
  <c r="L76" i="53"/>
  <c r="I76" i="53"/>
  <c r="F76" i="53"/>
  <c r="X75" i="53"/>
  <c r="U75" i="53"/>
  <c r="R75" i="53"/>
  <c r="O75" i="53"/>
  <c r="L75" i="53"/>
  <c r="I75" i="53"/>
  <c r="F75" i="53"/>
  <c r="X74" i="53"/>
  <c r="U74" i="53"/>
  <c r="R74" i="53"/>
  <c r="O74" i="53"/>
  <c r="L74" i="53"/>
  <c r="I74" i="53"/>
  <c r="F74" i="53"/>
  <c r="X73" i="53"/>
  <c r="U73" i="53"/>
  <c r="R73" i="53"/>
  <c r="O73" i="53"/>
  <c r="L73" i="53"/>
  <c r="I73" i="53"/>
  <c r="F73" i="53"/>
  <c r="X72" i="53"/>
  <c r="U72" i="53"/>
  <c r="R72" i="53"/>
  <c r="O72" i="53"/>
  <c r="L72" i="53"/>
  <c r="I72" i="53"/>
  <c r="F72" i="53"/>
  <c r="X71" i="53"/>
  <c r="U71" i="53"/>
  <c r="R71" i="53"/>
  <c r="O71" i="53"/>
  <c r="L71" i="53"/>
  <c r="I71" i="53"/>
  <c r="F71" i="53"/>
  <c r="X70" i="53"/>
  <c r="U70" i="53"/>
  <c r="R70" i="53"/>
  <c r="O70" i="53"/>
  <c r="L70" i="53"/>
  <c r="I70" i="53"/>
  <c r="F70" i="53"/>
  <c r="X69" i="53"/>
  <c r="U69" i="53"/>
  <c r="R69" i="53"/>
  <c r="O69" i="53"/>
  <c r="L69" i="53"/>
  <c r="I69" i="53"/>
  <c r="F69" i="53"/>
  <c r="X68" i="53"/>
  <c r="U68" i="53"/>
  <c r="R68" i="53"/>
  <c r="O68" i="53"/>
  <c r="L68" i="53"/>
  <c r="I68" i="53"/>
  <c r="F68" i="53"/>
  <c r="X67" i="53"/>
  <c r="U67" i="53"/>
  <c r="R67" i="53"/>
  <c r="O67" i="53"/>
  <c r="L67" i="53"/>
  <c r="I67" i="53"/>
  <c r="F67" i="53"/>
  <c r="X66" i="53"/>
  <c r="U66" i="53"/>
  <c r="R66" i="53"/>
  <c r="O66" i="53"/>
  <c r="L66" i="53"/>
  <c r="I66" i="53"/>
  <c r="F66" i="53"/>
  <c r="X65" i="53"/>
  <c r="U65" i="53"/>
  <c r="R65" i="53"/>
  <c r="O65" i="53"/>
  <c r="L65" i="53"/>
  <c r="I65" i="53"/>
  <c r="F65" i="53"/>
  <c r="X64" i="53"/>
  <c r="U64" i="53"/>
  <c r="R64" i="53"/>
  <c r="O64" i="53"/>
  <c r="L64" i="53"/>
  <c r="I64" i="53"/>
  <c r="F64" i="53"/>
  <c r="X63" i="53"/>
  <c r="U63" i="53"/>
  <c r="R63" i="53"/>
  <c r="O63" i="53"/>
  <c r="L63" i="53"/>
  <c r="I63" i="53"/>
  <c r="F63" i="53"/>
  <c r="X62" i="53"/>
  <c r="U62" i="53"/>
  <c r="R62" i="53"/>
  <c r="O62" i="53"/>
  <c r="L62" i="53"/>
  <c r="I62" i="53"/>
  <c r="F62" i="53"/>
  <c r="X61" i="53"/>
  <c r="U61" i="53"/>
  <c r="R61" i="53"/>
  <c r="O61" i="53"/>
  <c r="L61" i="53"/>
  <c r="I61" i="53"/>
  <c r="F61" i="53"/>
  <c r="X60" i="53"/>
  <c r="U60" i="53"/>
  <c r="R60" i="53"/>
  <c r="O60" i="53"/>
  <c r="L60" i="53"/>
  <c r="I60" i="53"/>
  <c r="F60" i="53"/>
  <c r="X59" i="53"/>
  <c r="U59" i="53"/>
  <c r="R59" i="53"/>
  <c r="O59" i="53"/>
  <c r="L59" i="53"/>
  <c r="I59" i="53"/>
  <c r="F59" i="53"/>
  <c r="X58" i="53"/>
  <c r="U58" i="53"/>
  <c r="R58" i="53"/>
  <c r="O58" i="53"/>
  <c r="L58" i="53"/>
  <c r="I58" i="53"/>
  <c r="F58" i="53"/>
  <c r="X57" i="53"/>
  <c r="U57" i="53"/>
  <c r="R57" i="53"/>
  <c r="O57" i="53"/>
  <c r="L57" i="53"/>
  <c r="I57" i="53"/>
  <c r="F57" i="53"/>
  <c r="X56" i="53"/>
  <c r="U56" i="53"/>
  <c r="R56" i="53"/>
  <c r="O56" i="53"/>
  <c r="L56" i="53"/>
  <c r="I56" i="53"/>
  <c r="F56" i="53"/>
  <c r="X55" i="53"/>
  <c r="U55" i="53"/>
  <c r="R55" i="53"/>
  <c r="O55" i="53"/>
  <c r="L55" i="53"/>
  <c r="I55" i="53"/>
  <c r="F55" i="53"/>
  <c r="X54" i="53"/>
  <c r="U54" i="53"/>
  <c r="R54" i="53"/>
  <c r="O54" i="53"/>
  <c r="L54" i="53"/>
  <c r="I54" i="53"/>
  <c r="F54" i="53"/>
  <c r="X53" i="53"/>
  <c r="U53" i="53"/>
  <c r="R53" i="53"/>
  <c r="O53" i="53"/>
  <c r="L53" i="53"/>
  <c r="I53" i="53"/>
  <c r="F53" i="53"/>
  <c r="X52" i="53"/>
  <c r="U52" i="53"/>
  <c r="R52" i="53"/>
  <c r="O52" i="53"/>
  <c r="L52" i="53"/>
  <c r="I52" i="53"/>
  <c r="F52" i="53"/>
  <c r="X51" i="53"/>
  <c r="U51" i="53"/>
  <c r="R51" i="53"/>
  <c r="O51" i="53"/>
  <c r="L51" i="53"/>
  <c r="I51" i="53"/>
  <c r="F51" i="53"/>
  <c r="X50" i="53"/>
  <c r="U50" i="53"/>
  <c r="R50" i="53"/>
  <c r="O50" i="53"/>
  <c r="L50" i="53"/>
  <c r="I50" i="53"/>
  <c r="F50" i="53"/>
  <c r="X49" i="53"/>
  <c r="U49" i="53"/>
  <c r="R49" i="53"/>
  <c r="O49" i="53"/>
  <c r="L49" i="53"/>
  <c r="I49" i="53"/>
  <c r="F49" i="53"/>
  <c r="X48" i="53"/>
  <c r="U48" i="53"/>
  <c r="R48" i="53"/>
  <c r="O48" i="53"/>
  <c r="L48" i="53"/>
  <c r="I48" i="53"/>
  <c r="F48" i="53"/>
  <c r="X47" i="53"/>
  <c r="U47" i="53"/>
  <c r="R47" i="53"/>
  <c r="O47" i="53"/>
  <c r="L47" i="53"/>
  <c r="I47" i="53"/>
  <c r="F47" i="53"/>
  <c r="X46" i="53"/>
  <c r="U46" i="53"/>
  <c r="R46" i="53"/>
  <c r="O46" i="53"/>
  <c r="L46" i="53"/>
  <c r="I46" i="53"/>
  <c r="F46" i="53"/>
  <c r="X45" i="53"/>
  <c r="U45" i="53"/>
  <c r="R45" i="53"/>
  <c r="O45" i="53"/>
  <c r="L45" i="53"/>
  <c r="I45" i="53"/>
  <c r="F45" i="53"/>
  <c r="X44" i="53"/>
  <c r="U44" i="53"/>
  <c r="R44" i="53"/>
  <c r="O44" i="53"/>
  <c r="L44" i="53"/>
  <c r="I44" i="53"/>
  <c r="F44" i="53"/>
  <c r="X43" i="53"/>
  <c r="U43" i="53"/>
  <c r="R43" i="53"/>
  <c r="O43" i="53"/>
  <c r="L43" i="53"/>
  <c r="I43" i="53"/>
  <c r="F43" i="53"/>
  <c r="X42" i="53"/>
  <c r="U42" i="53"/>
  <c r="R42" i="53"/>
  <c r="O42" i="53"/>
  <c r="L42" i="53"/>
  <c r="I42" i="53"/>
  <c r="F42" i="53"/>
  <c r="X41" i="53"/>
  <c r="U41" i="53"/>
  <c r="R41" i="53"/>
  <c r="O41" i="53"/>
  <c r="L41" i="53"/>
  <c r="I41" i="53"/>
  <c r="F41" i="53"/>
  <c r="X40" i="53"/>
  <c r="U40" i="53"/>
  <c r="R40" i="53"/>
  <c r="O40" i="53"/>
  <c r="L40" i="53"/>
  <c r="I40" i="53"/>
  <c r="F40" i="53"/>
  <c r="X39" i="53"/>
  <c r="U39" i="53"/>
  <c r="R39" i="53"/>
  <c r="O39" i="53"/>
  <c r="L39" i="53"/>
  <c r="I39" i="53"/>
  <c r="F39" i="53"/>
  <c r="X38" i="53"/>
  <c r="U38" i="53"/>
  <c r="R38" i="53"/>
  <c r="O38" i="53"/>
  <c r="L38" i="53"/>
  <c r="I38" i="53"/>
  <c r="F38" i="53"/>
  <c r="X37" i="53"/>
  <c r="U37" i="53"/>
  <c r="R37" i="53"/>
  <c r="O37" i="53"/>
  <c r="L37" i="53"/>
  <c r="I37" i="53"/>
  <c r="F37" i="53"/>
  <c r="X36" i="53"/>
  <c r="U36" i="53"/>
  <c r="R36" i="53"/>
  <c r="O36" i="53"/>
  <c r="L36" i="53"/>
  <c r="I36" i="53"/>
  <c r="F36" i="53"/>
  <c r="X35" i="53"/>
  <c r="U35" i="53"/>
  <c r="R35" i="53"/>
  <c r="O35" i="53"/>
  <c r="L35" i="53"/>
  <c r="I35" i="53"/>
  <c r="F35" i="53"/>
  <c r="X34" i="53"/>
  <c r="U34" i="53"/>
  <c r="R34" i="53"/>
  <c r="O34" i="53"/>
  <c r="L34" i="53"/>
  <c r="I34" i="53"/>
  <c r="F34" i="53"/>
  <c r="X33" i="53"/>
  <c r="U33" i="53"/>
  <c r="R33" i="53"/>
  <c r="O33" i="53"/>
  <c r="L33" i="53"/>
  <c r="I33" i="53"/>
  <c r="F33" i="53"/>
  <c r="X32" i="53"/>
  <c r="U32" i="53"/>
  <c r="R32" i="53"/>
  <c r="O32" i="53"/>
  <c r="L32" i="53"/>
  <c r="I32" i="53"/>
  <c r="F32" i="53"/>
  <c r="X31" i="53"/>
  <c r="U31" i="53"/>
  <c r="R31" i="53"/>
  <c r="O31" i="53"/>
  <c r="L31" i="53"/>
  <c r="I31" i="53"/>
  <c r="F31" i="53"/>
  <c r="X30" i="53"/>
  <c r="U30" i="53"/>
  <c r="R30" i="53"/>
  <c r="O30" i="53"/>
  <c r="L30" i="53"/>
  <c r="I30" i="53"/>
  <c r="F30" i="53"/>
  <c r="X29" i="53"/>
  <c r="U29" i="53"/>
  <c r="R29" i="53"/>
  <c r="O29" i="53"/>
  <c r="L29" i="53"/>
  <c r="I29" i="53"/>
  <c r="F29" i="53"/>
  <c r="X28" i="53"/>
  <c r="U28" i="53"/>
  <c r="R28" i="53"/>
  <c r="O28" i="53"/>
  <c r="L28" i="53"/>
  <c r="I28" i="53"/>
  <c r="F28" i="53"/>
  <c r="X27" i="53"/>
  <c r="U27" i="53"/>
  <c r="R27" i="53"/>
  <c r="O27" i="53"/>
  <c r="L27" i="53"/>
  <c r="I27" i="53"/>
  <c r="F27" i="53"/>
  <c r="X26" i="53"/>
  <c r="U26" i="53"/>
  <c r="R26" i="53"/>
  <c r="O26" i="53"/>
  <c r="L26" i="53"/>
  <c r="I26" i="53"/>
  <c r="F26" i="53"/>
  <c r="X25" i="53"/>
  <c r="U25" i="53"/>
  <c r="R25" i="53"/>
  <c r="O25" i="53"/>
  <c r="L25" i="53"/>
  <c r="I25" i="53"/>
  <c r="F25" i="53"/>
  <c r="X24" i="53"/>
  <c r="U24" i="53"/>
  <c r="R24" i="53"/>
  <c r="O24" i="53"/>
  <c r="L24" i="53"/>
  <c r="I24" i="53"/>
  <c r="F24" i="53"/>
  <c r="X23" i="53"/>
  <c r="U23" i="53"/>
  <c r="R23" i="53"/>
  <c r="O23" i="53"/>
  <c r="L23" i="53"/>
  <c r="I23" i="53"/>
  <c r="F23" i="53"/>
  <c r="X22" i="53"/>
  <c r="U22" i="53"/>
  <c r="R22" i="53"/>
  <c r="O22" i="53"/>
  <c r="L22" i="53"/>
  <c r="I22" i="53"/>
  <c r="F22" i="53"/>
  <c r="X21" i="53"/>
  <c r="U21" i="53"/>
  <c r="R21" i="53"/>
  <c r="O21" i="53"/>
  <c r="L21" i="53"/>
  <c r="I21" i="53"/>
  <c r="F21" i="53"/>
  <c r="X20" i="53"/>
  <c r="U20" i="53"/>
  <c r="R20" i="53"/>
  <c r="O20" i="53"/>
  <c r="L20" i="53"/>
  <c r="I20" i="53"/>
  <c r="F20" i="53"/>
  <c r="X19" i="53"/>
  <c r="U19" i="53"/>
  <c r="R19" i="53"/>
  <c r="O19" i="53"/>
  <c r="L19" i="53"/>
  <c r="I19" i="53"/>
  <c r="F19" i="53"/>
  <c r="X18" i="53"/>
  <c r="U18" i="53"/>
  <c r="R18" i="53"/>
  <c r="O18" i="53"/>
  <c r="L18" i="53"/>
  <c r="I18" i="53"/>
  <c r="F18" i="53"/>
  <c r="X17" i="53"/>
  <c r="U17" i="53"/>
  <c r="R17" i="53"/>
  <c r="O17" i="53"/>
  <c r="L17" i="53"/>
  <c r="I17" i="53"/>
  <c r="F17" i="53"/>
  <c r="X16" i="53"/>
  <c r="U16" i="53"/>
  <c r="R16" i="53"/>
  <c r="O16" i="53"/>
  <c r="L16" i="53"/>
  <c r="I16" i="53"/>
  <c r="F16" i="53"/>
  <c r="X15" i="53"/>
  <c r="U15" i="53"/>
  <c r="R15" i="53"/>
  <c r="O15" i="53"/>
  <c r="L15" i="53"/>
  <c r="I15" i="53"/>
  <c r="F15" i="53"/>
  <c r="X14" i="53"/>
  <c r="U14" i="53"/>
  <c r="R14" i="53"/>
  <c r="O14" i="53"/>
  <c r="L14" i="53"/>
  <c r="I14" i="53"/>
  <c r="F14" i="53"/>
  <c r="X13" i="53"/>
  <c r="U13" i="53"/>
  <c r="R13" i="53"/>
  <c r="O13" i="53"/>
  <c r="L13" i="53"/>
  <c r="I13" i="53"/>
  <c r="F13" i="53"/>
  <c r="X12" i="53"/>
  <c r="U12" i="53"/>
  <c r="R12" i="53"/>
  <c r="O12" i="53"/>
  <c r="L12" i="53"/>
  <c r="I12" i="53"/>
  <c r="F12" i="53"/>
  <c r="X11" i="53"/>
  <c r="U11" i="53"/>
  <c r="R11" i="53"/>
  <c r="O11" i="53"/>
  <c r="L11" i="53"/>
  <c r="I11" i="53"/>
  <c r="F11" i="53"/>
  <c r="X10" i="53"/>
  <c r="U10" i="53"/>
  <c r="R10" i="53"/>
  <c r="O10" i="53"/>
  <c r="L10" i="53"/>
  <c r="I10" i="53"/>
  <c r="F10" i="53"/>
  <c r="X9" i="53"/>
  <c r="U9" i="53"/>
  <c r="R9" i="53"/>
  <c r="O9" i="53"/>
  <c r="L9" i="53"/>
  <c r="I9" i="53"/>
  <c r="F9" i="53"/>
  <c r="X8" i="53"/>
  <c r="U8" i="53"/>
  <c r="R8" i="53"/>
  <c r="O8" i="53"/>
  <c r="L8" i="53"/>
  <c r="I8" i="53"/>
  <c r="F8" i="53"/>
  <c r="X7" i="53"/>
  <c r="U7" i="53"/>
  <c r="R7" i="53"/>
  <c r="O7" i="53"/>
  <c r="L7" i="53"/>
  <c r="I7" i="53"/>
  <c r="F7" i="53"/>
  <c r="X6" i="53"/>
  <c r="U6" i="53"/>
  <c r="R6" i="53"/>
  <c r="O6" i="53"/>
  <c r="L6" i="53"/>
  <c r="I6" i="53"/>
  <c r="F6" i="53"/>
  <c r="X5" i="53"/>
  <c r="U5" i="53"/>
  <c r="R5" i="53"/>
  <c r="O5" i="53"/>
  <c r="L5" i="53"/>
  <c r="I5" i="53"/>
  <c r="F5" i="53"/>
  <c r="X4" i="53"/>
  <c r="U4" i="53"/>
  <c r="R4" i="53"/>
  <c r="O4" i="53"/>
  <c r="L4" i="53"/>
  <c r="I4" i="53"/>
  <c r="F4" i="53"/>
  <c r="X98" i="52"/>
  <c r="U98" i="52"/>
  <c r="R98" i="52"/>
  <c r="O98" i="52"/>
  <c r="L98" i="52"/>
  <c r="I98" i="52"/>
  <c r="F98" i="52"/>
  <c r="X97" i="52"/>
  <c r="U97" i="52"/>
  <c r="R97" i="52"/>
  <c r="O97" i="52"/>
  <c r="L97" i="52"/>
  <c r="I97" i="52"/>
  <c r="F97" i="52"/>
  <c r="X96" i="52"/>
  <c r="U96" i="52"/>
  <c r="R96" i="52"/>
  <c r="O96" i="52"/>
  <c r="L96" i="52"/>
  <c r="I96" i="52"/>
  <c r="F96" i="52"/>
  <c r="X95" i="52"/>
  <c r="U95" i="52"/>
  <c r="R95" i="52"/>
  <c r="O95" i="52"/>
  <c r="L95" i="52"/>
  <c r="I95" i="52"/>
  <c r="F95" i="52"/>
  <c r="X94" i="52"/>
  <c r="U94" i="52"/>
  <c r="R94" i="52"/>
  <c r="O94" i="52"/>
  <c r="L94" i="52"/>
  <c r="I94" i="52"/>
  <c r="F94" i="52"/>
  <c r="X93" i="52"/>
  <c r="U93" i="52"/>
  <c r="R93" i="52"/>
  <c r="O93" i="52"/>
  <c r="L93" i="52"/>
  <c r="I93" i="52"/>
  <c r="F93" i="52"/>
  <c r="X92" i="52"/>
  <c r="U92" i="52"/>
  <c r="R92" i="52"/>
  <c r="O92" i="52"/>
  <c r="L92" i="52"/>
  <c r="I92" i="52"/>
  <c r="F92" i="52"/>
  <c r="X91" i="52"/>
  <c r="U91" i="52"/>
  <c r="R91" i="52"/>
  <c r="O91" i="52"/>
  <c r="L91" i="52"/>
  <c r="I91" i="52"/>
  <c r="F91" i="52"/>
  <c r="X90" i="52"/>
  <c r="U90" i="52"/>
  <c r="R90" i="52"/>
  <c r="O90" i="52"/>
  <c r="L90" i="52"/>
  <c r="I90" i="52"/>
  <c r="F90" i="52"/>
  <c r="X89" i="52"/>
  <c r="U89" i="52"/>
  <c r="R89" i="52"/>
  <c r="O89" i="52"/>
  <c r="L89" i="52"/>
  <c r="I89" i="52"/>
  <c r="F89" i="52"/>
  <c r="X88" i="52"/>
  <c r="U88" i="52"/>
  <c r="R88" i="52"/>
  <c r="O88" i="52"/>
  <c r="L88" i="52"/>
  <c r="I88" i="52"/>
  <c r="F88" i="52"/>
  <c r="X87" i="52"/>
  <c r="U87" i="52"/>
  <c r="R87" i="52"/>
  <c r="O87" i="52"/>
  <c r="L87" i="52"/>
  <c r="I87" i="52"/>
  <c r="F87" i="52"/>
  <c r="X86" i="52"/>
  <c r="U86" i="52"/>
  <c r="R86" i="52"/>
  <c r="O86" i="52"/>
  <c r="L86" i="52"/>
  <c r="I86" i="52"/>
  <c r="F86" i="52"/>
  <c r="X85" i="52"/>
  <c r="U85" i="52"/>
  <c r="R85" i="52"/>
  <c r="O85" i="52"/>
  <c r="L85" i="52"/>
  <c r="I85" i="52"/>
  <c r="F85" i="52"/>
  <c r="X84" i="52"/>
  <c r="U84" i="52"/>
  <c r="R84" i="52"/>
  <c r="O84" i="52"/>
  <c r="L84" i="52"/>
  <c r="I84" i="52"/>
  <c r="F84" i="52"/>
  <c r="X83" i="52"/>
  <c r="U83" i="52"/>
  <c r="R83" i="52"/>
  <c r="O83" i="52"/>
  <c r="L83" i="52"/>
  <c r="I83" i="52"/>
  <c r="F83" i="52"/>
  <c r="X82" i="52"/>
  <c r="U82" i="52"/>
  <c r="R82" i="52"/>
  <c r="O82" i="52"/>
  <c r="L82" i="52"/>
  <c r="I82" i="52"/>
  <c r="F82" i="52"/>
  <c r="X81" i="52"/>
  <c r="U81" i="52"/>
  <c r="R81" i="52"/>
  <c r="O81" i="52"/>
  <c r="L81" i="52"/>
  <c r="I81" i="52"/>
  <c r="F81" i="52"/>
  <c r="X80" i="52"/>
  <c r="U80" i="52"/>
  <c r="R80" i="52"/>
  <c r="O80" i="52"/>
  <c r="L80" i="52"/>
  <c r="I80" i="52"/>
  <c r="F80" i="52"/>
  <c r="X79" i="52"/>
  <c r="U79" i="52"/>
  <c r="R79" i="52"/>
  <c r="O79" i="52"/>
  <c r="L79" i="52"/>
  <c r="I79" i="52"/>
  <c r="F79" i="52"/>
  <c r="X78" i="52"/>
  <c r="U78" i="52"/>
  <c r="R78" i="52"/>
  <c r="O78" i="52"/>
  <c r="L78" i="52"/>
  <c r="I78" i="52"/>
  <c r="F78" i="52"/>
  <c r="X77" i="52"/>
  <c r="U77" i="52"/>
  <c r="R77" i="52"/>
  <c r="O77" i="52"/>
  <c r="L77" i="52"/>
  <c r="I77" i="52"/>
  <c r="F77" i="52"/>
  <c r="X76" i="52"/>
  <c r="U76" i="52"/>
  <c r="R76" i="52"/>
  <c r="O76" i="52"/>
  <c r="L76" i="52"/>
  <c r="I76" i="52"/>
  <c r="F76" i="52"/>
  <c r="X75" i="52"/>
  <c r="U75" i="52"/>
  <c r="R75" i="52"/>
  <c r="O75" i="52"/>
  <c r="L75" i="52"/>
  <c r="I75" i="52"/>
  <c r="F75" i="52"/>
  <c r="X74" i="52"/>
  <c r="U74" i="52"/>
  <c r="R74" i="52"/>
  <c r="O74" i="52"/>
  <c r="L74" i="52"/>
  <c r="I74" i="52"/>
  <c r="F74" i="52"/>
  <c r="X73" i="52"/>
  <c r="U73" i="52"/>
  <c r="R73" i="52"/>
  <c r="O73" i="52"/>
  <c r="L73" i="52"/>
  <c r="I73" i="52"/>
  <c r="F73" i="52"/>
  <c r="X72" i="52"/>
  <c r="U72" i="52"/>
  <c r="R72" i="52"/>
  <c r="O72" i="52"/>
  <c r="L72" i="52"/>
  <c r="I72" i="52"/>
  <c r="F72" i="52"/>
  <c r="X71" i="52"/>
  <c r="U71" i="52"/>
  <c r="R71" i="52"/>
  <c r="O71" i="52"/>
  <c r="L71" i="52"/>
  <c r="I71" i="52"/>
  <c r="F71" i="52"/>
  <c r="X70" i="52"/>
  <c r="U70" i="52"/>
  <c r="R70" i="52"/>
  <c r="O70" i="52"/>
  <c r="L70" i="52"/>
  <c r="I70" i="52"/>
  <c r="F70" i="52"/>
  <c r="X69" i="52"/>
  <c r="U69" i="52"/>
  <c r="R69" i="52"/>
  <c r="O69" i="52"/>
  <c r="L69" i="52"/>
  <c r="I69" i="52"/>
  <c r="F69" i="52"/>
  <c r="X68" i="52"/>
  <c r="U68" i="52"/>
  <c r="R68" i="52"/>
  <c r="O68" i="52"/>
  <c r="L68" i="52"/>
  <c r="I68" i="52"/>
  <c r="F68" i="52"/>
  <c r="X67" i="52"/>
  <c r="U67" i="52"/>
  <c r="R67" i="52"/>
  <c r="O67" i="52"/>
  <c r="L67" i="52"/>
  <c r="I67" i="52"/>
  <c r="F67" i="52"/>
  <c r="X66" i="52"/>
  <c r="U66" i="52"/>
  <c r="R66" i="52"/>
  <c r="O66" i="52"/>
  <c r="L66" i="52"/>
  <c r="I66" i="52"/>
  <c r="F66" i="52"/>
  <c r="X65" i="52"/>
  <c r="U65" i="52"/>
  <c r="R65" i="52"/>
  <c r="O65" i="52"/>
  <c r="L65" i="52"/>
  <c r="I65" i="52"/>
  <c r="F65" i="52"/>
  <c r="X64" i="52"/>
  <c r="U64" i="52"/>
  <c r="R64" i="52"/>
  <c r="O64" i="52"/>
  <c r="L64" i="52"/>
  <c r="I64" i="52"/>
  <c r="F64" i="52"/>
  <c r="X63" i="52"/>
  <c r="U63" i="52"/>
  <c r="R63" i="52"/>
  <c r="O63" i="52"/>
  <c r="L63" i="52"/>
  <c r="I63" i="52"/>
  <c r="F63" i="52"/>
  <c r="X62" i="52"/>
  <c r="U62" i="52"/>
  <c r="R62" i="52"/>
  <c r="O62" i="52"/>
  <c r="L62" i="52"/>
  <c r="I62" i="52"/>
  <c r="F62" i="52"/>
  <c r="X61" i="52"/>
  <c r="U61" i="52"/>
  <c r="R61" i="52"/>
  <c r="O61" i="52"/>
  <c r="L61" i="52"/>
  <c r="I61" i="52"/>
  <c r="F61" i="52"/>
  <c r="X60" i="52"/>
  <c r="U60" i="52"/>
  <c r="R60" i="52"/>
  <c r="O60" i="52"/>
  <c r="L60" i="52"/>
  <c r="I60" i="52"/>
  <c r="F60" i="52"/>
  <c r="X59" i="52"/>
  <c r="U59" i="52"/>
  <c r="R59" i="52"/>
  <c r="O59" i="52"/>
  <c r="L59" i="52"/>
  <c r="I59" i="52"/>
  <c r="F59" i="52"/>
  <c r="X58" i="52"/>
  <c r="U58" i="52"/>
  <c r="R58" i="52"/>
  <c r="O58" i="52"/>
  <c r="L58" i="52"/>
  <c r="I58" i="52"/>
  <c r="F58" i="52"/>
  <c r="X57" i="52"/>
  <c r="U57" i="52"/>
  <c r="R57" i="52"/>
  <c r="O57" i="52"/>
  <c r="L57" i="52"/>
  <c r="I57" i="52"/>
  <c r="F57" i="52"/>
  <c r="X56" i="52"/>
  <c r="U56" i="52"/>
  <c r="R56" i="52"/>
  <c r="O56" i="52"/>
  <c r="L56" i="52"/>
  <c r="I56" i="52"/>
  <c r="F56" i="52"/>
  <c r="X55" i="52"/>
  <c r="U55" i="52"/>
  <c r="R55" i="52"/>
  <c r="O55" i="52"/>
  <c r="L55" i="52"/>
  <c r="I55" i="52"/>
  <c r="F55" i="52"/>
  <c r="X54" i="52"/>
  <c r="U54" i="52"/>
  <c r="R54" i="52"/>
  <c r="O54" i="52"/>
  <c r="L54" i="52"/>
  <c r="I54" i="52"/>
  <c r="F54" i="52"/>
  <c r="X53" i="52"/>
  <c r="U53" i="52"/>
  <c r="R53" i="52"/>
  <c r="O53" i="52"/>
  <c r="L53" i="52"/>
  <c r="I53" i="52"/>
  <c r="F53" i="52"/>
  <c r="X52" i="52"/>
  <c r="U52" i="52"/>
  <c r="R52" i="52"/>
  <c r="O52" i="52"/>
  <c r="L52" i="52"/>
  <c r="I52" i="52"/>
  <c r="F52" i="52"/>
  <c r="X51" i="52"/>
  <c r="U51" i="52"/>
  <c r="R51" i="52"/>
  <c r="O51" i="52"/>
  <c r="L51" i="52"/>
  <c r="I51" i="52"/>
  <c r="F51" i="52"/>
  <c r="X50" i="52"/>
  <c r="U50" i="52"/>
  <c r="R50" i="52"/>
  <c r="O50" i="52"/>
  <c r="L50" i="52"/>
  <c r="I50" i="52"/>
  <c r="F50" i="52"/>
  <c r="X49" i="52"/>
  <c r="U49" i="52"/>
  <c r="R49" i="52"/>
  <c r="O49" i="52"/>
  <c r="L49" i="52"/>
  <c r="I49" i="52"/>
  <c r="F49" i="52"/>
  <c r="X48" i="52"/>
  <c r="U48" i="52"/>
  <c r="R48" i="52"/>
  <c r="O48" i="52"/>
  <c r="L48" i="52"/>
  <c r="I48" i="52"/>
  <c r="F48" i="52"/>
  <c r="X47" i="52"/>
  <c r="U47" i="52"/>
  <c r="R47" i="52"/>
  <c r="O47" i="52"/>
  <c r="L47" i="52"/>
  <c r="I47" i="52"/>
  <c r="F47" i="52"/>
  <c r="X46" i="52"/>
  <c r="U46" i="52"/>
  <c r="R46" i="52"/>
  <c r="O46" i="52"/>
  <c r="L46" i="52"/>
  <c r="I46" i="52"/>
  <c r="F46" i="52"/>
  <c r="X45" i="52"/>
  <c r="U45" i="52"/>
  <c r="R45" i="52"/>
  <c r="O45" i="52"/>
  <c r="L45" i="52"/>
  <c r="I45" i="52"/>
  <c r="F45" i="52"/>
  <c r="X44" i="52"/>
  <c r="U44" i="52"/>
  <c r="R44" i="52"/>
  <c r="O44" i="52"/>
  <c r="L44" i="52"/>
  <c r="I44" i="52"/>
  <c r="F44" i="52"/>
  <c r="X43" i="52"/>
  <c r="U43" i="52"/>
  <c r="R43" i="52"/>
  <c r="O43" i="52"/>
  <c r="L43" i="52"/>
  <c r="I43" i="52"/>
  <c r="F43" i="52"/>
  <c r="X42" i="52"/>
  <c r="U42" i="52"/>
  <c r="R42" i="52"/>
  <c r="O42" i="52"/>
  <c r="L42" i="52"/>
  <c r="I42" i="52"/>
  <c r="F42" i="52"/>
  <c r="X41" i="52"/>
  <c r="U41" i="52"/>
  <c r="R41" i="52"/>
  <c r="O41" i="52"/>
  <c r="L41" i="52"/>
  <c r="I41" i="52"/>
  <c r="F41" i="52"/>
  <c r="X40" i="52"/>
  <c r="U40" i="52"/>
  <c r="R40" i="52"/>
  <c r="O40" i="52"/>
  <c r="L40" i="52"/>
  <c r="I40" i="52"/>
  <c r="F40" i="52"/>
  <c r="X39" i="52"/>
  <c r="U39" i="52"/>
  <c r="R39" i="52"/>
  <c r="O39" i="52"/>
  <c r="L39" i="52"/>
  <c r="I39" i="52"/>
  <c r="F39" i="52"/>
  <c r="X38" i="52"/>
  <c r="U38" i="52"/>
  <c r="R38" i="52"/>
  <c r="O38" i="52"/>
  <c r="L38" i="52"/>
  <c r="I38" i="52"/>
  <c r="F38" i="52"/>
  <c r="X37" i="52"/>
  <c r="U37" i="52"/>
  <c r="R37" i="52"/>
  <c r="O37" i="52"/>
  <c r="L37" i="52"/>
  <c r="I37" i="52"/>
  <c r="F37" i="52"/>
  <c r="X36" i="52"/>
  <c r="U36" i="52"/>
  <c r="R36" i="52"/>
  <c r="O36" i="52"/>
  <c r="L36" i="52"/>
  <c r="I36" i="52"/>
  <c r="F36" i="52"/>
  <c r="X35" i="52"/>
  <c r="U35" i="52"/>
  <c r="R35" i="52"/>
  <c r="O35" i="52"/>
  <c r="L35" i="52"/>
  <c r="I35" i="52"/>
  <c r="F35" i="52"/>
  <c r="X34" i="52"/>
  <c r="U34" i="52"/>
  <c r="R34" i="52"/>
  <c r="O34" i="52"/>
  <c r="L34" i="52"/>
  <c r="I34" i="52"/>
  <c r="F34" i="52"/>
  <c r="X33" i="52"/>
  <c r="U33" i="52"/>
  <c r="R33" i="52"/>
  <c r="O33" i="52"/>
  <c r="L33" i="52"/>
  <c r="I33" i="52"/>
  <c r="F33" i="52"/>
  <c r="X32" i="52"/>
  <c r="U32" i="52"/>
  <c r="R32" i="52"/>
  <c r="O32" i="52"/>
  <c r="L32" i="52"/>
  <c r="I32" i="52"/>
  <c r="F32" i="52"/>
  <c r="X31" i="52"/>
  <c r="U31" i="52"/>
  <c r="R31" i="52"/>
  <c r="O31" i="52"/>
  <c r="L31" i="52"/>
  <c r="I31" i="52"/>
  <c r="F31" i="52"/>
  <c r="X30" i="52"/>
  <c r="U30" i="52"/>
  <c r="R30" i="52"/>
  <c r="O30" i="52"/>
  <c r="L30" i="52"/>
  <c r="I30" i="52"/>
  <c r="F30" i="52"/>
  <c r="X29" i="52"/>
  <c r="U29" i="52"/>
  <c r="R29" i="52"/>
  <c r="O29" i="52"/>
  <c r="L29" i="52"/>
  <c r="I29" i="52"/>
  <c r="F29" i="52"/>
  <c r="X28" i="52"/>
  <c r="U28" i="52"/>
  <c r="R28" i="52"/>
  <c r="O28" i="52"/>
  <c r="L28" i="52"/>
  <c r="I28" i="52"/>
  <c r="F28" i="52"/>
  <c r="X27" i="52"/>
  <c r="U27" i="52"/>
  <c r="R27" i="52"/>
  <c r="O27" i="52"/>
  <c r="L27" i="52"/>
  <c r="I27" i="52"/>
  <c r="F27" i="52"/>
  <c r="X26" i="52"/>
  <c r="U26" i="52"/>
  <c r="R26" i="52"/>
  <c r="O26" i="52"/>
  <c r="L26" i="52"/>
  <c r="I26" i="52"/>
  <c r="F26" i="52"/>
  <c r="X25" i="52"/>
  <c r="U25" i="52"/>
  <c r="R25" i="52"/>
  <c r="O25" i="52"/>
  <c r="L25" i="52"/>
  <c r="I25" i="52"/>
  <c r="F25" i="52"/>
  <c r="X24" i="52"/>
  <c r="U24" i="52"/>
  <c r="R24" i="52"/>
  <c r="O24" i="52"/>
  <c r="L24" i="52"/>
  <c r="I24" i="52"/>
  <c r="F24" i="52"/>
  <c r="X23" i="52"/>
  <c r="U23" i="52"/>
  <c r="R23" i="52"/>
  <c r="O23" i="52"/>
  <c r="L23" i="52"/>
  <c r="I23" i="52"/>
  <c r="F23" i="52"/>
  <c r="X22" i="52"/>
  <c r="U22" i="52"/>
  <c r="R22" i="52"/>
  <c r="O22" i="52"/>
  <c r="L22" i="52"/>
  <c r="I22" i="52"/>
  <c r="F22" i="52"/>
  <c r="X21" i="52"/>
  <c r="U21" i="52"/>
  <c r="R21" i="52"/>
  <c r="O21" i="52"/>
  <c r="L21" i="52"/>
  <c r="I21" i="52"/>
  <c r="F21" i="52"/>
  <c r="X20" i="52"/>
  <c r="U20" i="52"/>
  <c r="R20" i="52"/>
  <c r="O20" i="52"/>
  <c r="L20" i="52"/>
  <c r="I20" i="52"/>
  <c r="F20" i="52"/>
  <c r="X19" i="52"/>
  <c r="U19" i="52"/>
  <c r="R19" i="52"/>
  <c r="O19" i="52"/>
  <c r="L19" i="52"/>
  <c r="I19" i="52"/>
  <c r="F19" i="52"/>
  <c r="X18" i="52"/>
  <c r="U18" i="52"/>
  <c r="R18" i="52"/>
  <c r="O18" i="52"/>
  <c r="L18" i="52"/>
  <c r="I18" i="52"/>
  <c r="F18" i="52"/>
  <c r="X17" i="52"/>
  <c r="U17" i="52"/>
  <c r="R17" i="52"/>
  <c r="O17" i="52"/>
  <c r="L17" i="52"/>
  <c r="I17" i="52"/>
  <c r="F17" i="52"/>
  <c r="X16" i="52"/>
  <c r="U16" i="52"/>
  <c r="R16" i="52"/>
  <c r="O16" i="52"/>
  <c r="L16" i="52"/>
  <c r="I16" i="52"/>
  <c r="F16" i="52"/>
  <c r="X15" i="52"/>
  <c r="U15" i="52"/>
  <c r="R15" i="52"/>
  <c r="O15" i="52"/>
  <c r="L15" i="52"/>
  <c r="I15" i="52"/>
  <c r="F15" i="52"/>
  <c r="X14" i="52"/>
  <c r="U14" i="52"/>
  <c r="R14" i="52"/>
  <c r="O14" i="52"/>
  <c r="L14" i="52"/>
  <c r="I14" i="52"/>
  <c r="F14" i="52"/>
  <c r="X13" i="52"/>
  <c r="U13" i="52"/>
  <c r="R13" i="52"/>
  <c r="O13" i="52"/>
  <c r="L13" i="52"/>
  <c r="I13" i="52"/>
  <c r="F13" i="52"/>
  <c r="X12" i="52"/>
  <c r="U12" i="52"/>
  <c r="R12" i="52"/>
  <c r="O12" i="52"/>
  <c r="L12" i="52"/>
  <c r="I12" i="52"/>
  <c r="F12" i="52"/>
  <c r="X11" i="52"/>
  <c r="U11" i="52"/>
  <c r="R11" i="52"/>
  <c r="O11" i="52"/>
  <c r="L11" i="52"/>
  <c r="I11" i="52"/>
  <c r="F11" i="52"/>
  <c r="X10" i="52"/>
  <c r="U10" i="52"/>
  <c r="R10" i="52"/>
  <c r="O10" i="52"/>
  <c r="L10" i="52"/>
  <c r="I10" i="52"/>
  <c r="F10" i="52"/>
  <c r="X9" i="52"/>
  <c r="U9" i="52"/>
  <c r="R9" i="52"/>
  <c r="O9" i="52"/>
  <c r="L9" i="52"/>
  <c r="I9" i="52"/>
  <c r="F9" i="52"/>
  <c r="X8" i="52"/>
  <c r="U8" i="52"/>
  <c r="R8" i="52"/>
  <c r="O8" i="52"/>
  <c r="L8" i="52"/>
  <c r="I8" i="52"/>
  <c r="F8" i="52"/>
  <c r="X7" i="52"/>
  <c r="U7" i="52"/>
  <c r="R7" i="52"/>
  <c r="O7" i="52"/>
  <c r="L7" i="52"/>
  <c r="I7" i="52"/>
  <c r="F7" i="52"/>
  <c r="X6" i="52"/>
  <c r="U6" i="52"/>
  <c r="R6" i="52"/>
  <c r="O6" i="52"/>
  <c r="L6" i="52"/>
  <c r="I6" i="52"/>
  <c r="F6" i="52"/>
  <c r="X5" i="52"/>
  <c r="U5" i="52"/>
  <c r="R5" i="52"/>
  <c r="O5" i="52"/>
  <c r="L5" i="52"/>
  <c r="I5" i="52"/>
  <c r="F5" i="52"/>
  <c r="X4" i="52"/>
  <c r="U4" i="52"/>
  <c r="R4" i="52"/>
  <c r="O4" i="52"/>
  <c r="L4" i="52"/>
  <c r="I4" i="52"/>
  <c r="F4" i="52"/>
  <c r="X98" i="51"/>
  <c r="U98" i="51"/>
  <c r="R98" i="51"/>
  <c r="O98" i="51"/>
  <c r="L98" i="51"/>
  <c r="I98" i="51"/>
  <c r="F98" i="51"/>
  <c r="X97" i="51"/>
  <c r="U97" i="51"/>
  <c r="R97" i="51"/>
  <c r="O97" i="51"/>
  <c r="L97" i="51"/>
  <c r="I97" i="51"/>
  <c r="F97" i="51"/>
  <c r="X96" i="51"/>
  <c r="U96" i="51"/>
  <c r="R96" i="51"/>
  <c r="O96" i="51"/>
  <c r="L96" i="51"/>
  <c r="I96" i="51"/>
  <c r="F96" i="51"/>
  <c r="X95" i="51"/>
  <c r="U95" i="51"/>
  <c r="R95" i="51"/>
  <c r="O95" i="51"/>
  <c r="L95" i="51"/>
  <c r="I95" i="51"/>
  <c r="F95" i="51"/>
  <c r="X94" i="51"/>
  <c r="U94" i="51"/>
  <c r="R94" i="51"/>
  <c r="O94" i="51"/>
  <c r="L94" i="51"/>
  <c r="I94" i="51"/>
  <c r="F94" i="51"/>
  <c r="X93" i="51"/>
  <c r="U93" i="51"/>
  <c r="R93" i="51"/>
  <c r="O93" i="51"/>
  <c r="L93" i="51"/>
  <c r="I93" i="51"/>
  <c r="F93" i="51"/>
  <c r="X92" i="51"/>
  <c r="U92" i="51"/>
  <c r="R92" i="51"/>
  <c r="O92" i="51"/>
  <c r="L92" i="51"/>
  <c r="I92" i="51"/>
  <c r="F92" i="51"/>
  <c r="X91" i="51"/>
  <c r="U91" i="51"/>
  <c r="R91" i="51"/>
  <c r="O91" i="51"/>
  <c r="L91" i="51"/>
  <c r="I91" i="51"/>
  <c r="F91" i="51"/>
  <c r="X90" i="51"/>
  <c r="U90" i="51"/>
  <c r="R90" i="51"/>
  <c r="O90" i="51"/>
  <c r="L90" i="51"/>
  <c r="I90" i="51"/>
  <c r="F90" i="51"/>
  <c r="X89" i="51"/>
  <c r="U89" i="51"/>
  <c r="R89" i="51"/>
  <c r="O89" i="51"/>
  <c r="L89" i="51"/>
  <c r="I89" i="51"/>
  <c r="F89" i="51"/>
  <c r="X88" i="51"/>
  <c r="U88" i="51"/>
  <c r="R88" i="51"/>
  <c r="O88" i="51"/>
  <c r="L88" i="51"/>
  <c r="I88" i="51"/>
  <c r="F88" i="51"/>
  <c r="X87" i="51"/>
  <c r="U87" i="51"/>
  <c r="R87" i="51"/>
  <c r="O87" i="51"/>
  <c r="L87" i="51"/>
  <c r="I87" i="51"/>
  <c r="F87" i="51"/>
  <c r="X86" i="51"/>
  <c r="U86" i="51"/>
  <c r="R86" i="51"/>
  <c r="O86" i="51"/>
  <c r="L86" i="51"/>
  <c r="I86" i="51"/>
  <c r="F86" i="51"/>
  <c r="X85" i="51"/>
  <c r="U85" i="51"/>
  <c r="R85" i="51"/>
  <c r="O85" i="51"/>
  <c r="L85" i="51"/>
  <c r="I85" i="51"/>
  <c r="F85" i="51"/>
  <c r="X84" i="51"/>
  <c r="U84" i="51"/>
  <c r="R84" i="51"/>
  <c r="O84" i="51"/>
  <c r="L84" i="51"/>
  <c r="I84" i="51"/>
  <c r="F84" i="51"/>
  <c r="X83" i="51"/>
  <c r="U83" i="51"/>
  <c r="R83" i="51"/>
  <c r="O83" i="51"/>
  <c r="L83" i="51"/>
  <c r="I83" i="51"/>
  <c r="F83" i="51"/>
  <c r="X82" i="51"/>
  <c r="U82" i="51"/>
  <c r="R82" i="51"/>
  <c r="O82" i="51"/>
  <c r="L82" i="51"/>
  <c r="I82" i="51"/>
  <c r="F82" i="51"/>
  <c r="X81" i="51"/>
  <c r="U81" i="51"/>
  <c r="R81" i="51"/>
  <c r="O81" i="51"/>
  <c r="L81" i="51"/>
  <c r="I81" i="51"/>
  <c r="F81" i="51"/>
  <c r="X80" i="51"/>
  <c r="U80" i="51"/>
  <c r="R80" i="51"/>
  <c r="O80" i="51"/>
  <c r="L80" i="51"/>
  <c r="I80" i="51"/>
  <c r="F80" i="51"/>
  <c r="X79" i="51"/>
  <c r="U79" i="51"/>
  <c r="R79" i="51"/>
  <c r="O79" i="51"/>
  <c r="L79" i="51"/>
  <c r="I79" i="51"/>
  <c r="F79" i="51"/>
  <c r="X78" i="51"/>
  <c r="U78" i="51"/>
  <c r="R78" i="51"/>
  <c r="O78" i="51"/>
  <c r="L78" i="51"/>
  <c r="I78" i="51"/>
  <c r="F78" i="51"/>
  <c r="X77" i="51"/>
  <c r="U77" i="51"/>
  <c r="R77" i="51"/>
  <c r="O77" i="51"/>
  <c r="L77" i="51"/>
  <c r="I77" i="51"/>
  <c r="F77" i="51"/>
  <c r="X76" i="51"/>
  <c r="U76" i="51"/>
  <c r="R76" i="51"/>
  <c r="O76" i="51"/>
  <c r="L76" i="51"/>
  <c r="I76" i="51"/>
  <c r="F76" i="51"/>
  <c r="X75" i="51"/>
  <c r="U75" i="51"/>
  <c r="R75" i="51"/>
  <c r="O75" i="51"/>
  <c r="L75" i="51"/>
  <c r="I75" i="51"/>
  <c r="F75" i="51"/>
  <c r="X74" i="51"/>
  <c r="U74" i="51"/>
  <c r="R74" i="51"/>
  <c r="O74" i="51"/>
  <c r="L74" i="51"/>
  <c r="I74" i="51"/>
  <c r="F74" i="51"/>
  <c r="X73" i="51"/>
  <c r="U73" i="51"/>
  <c r="R73" i="51"/>
  <c r="O73" i="51"/>
  <c r="L73" i="51"/>
  <c r="I73" i="51"/>
  <c r="F73" i="51"/>
  <c r="X72" i="51"/>
  <c r="U72" i="51"/>
  <c r="R72" i="51"/>
  <c r="O72" i="51"/>
  <c r="L72" i="51"/>
  <c r="I72" i="51"/>
  <c r="F72" i="51"/>
  <c r="X71" i="51"/>
  <c r="U71" i="51"/>
  <c r="R71" i="51"/>
  <c r="O71" i="51"/>
  <c r="L71" i="51"/>
  <c r="I71" i="51"/>
  <c r="F71" i="51"/>
  <c r="X70" i="51"/>
  <c r="U70" i="51"/>
  <c r="R70" i="51"/>
  <c r="O70" i="51"/>
  <c r="L70" i="51"/>
  <c r="I70" i="51"/>
  <c r="F70" i="51"/>
  <c r="X69" i="51"/>
  <c r="U69" i="51"/>
  <c r="R69" i="51"/>
  <c r="O69" i="51"/>
  <c r="L69" i="51"/>
  <c r="I69" i="51"/>
  <c r="F69" i="51"/>
  <c r="X68" i="51"/>
  <c r="U68" i="51"/>
  <c r="R68" i="51"/>
  <c r="O68" i="51"/>
  <c r="L68" i="51"/>
  <c r="I68" i="51"/>
  <c r="F68" i="51"/>
  <c r="X67" i="51"/>
  <c r="U67" i="51"/>
  <c r="R67" i="51"/>
  <c r="O67" i="51"/>
  <c r="L67" i="51"/>
  <c r="I67" i="51"/>
  <c r="F67" i="51"/>
  <c r="X66" i="51"/>
  <c r="U66" i="51"/>
  <c r="R66" i="51"/>
  <c r="O66" i="51"/>
  <c r="L66" i="51"/>
  <c r="I66" i="51"/>
  <c r="F66" i="51"/>
  <c r="X65" i="51"/>
  <c r="U65" i="51"/>
  <c r="R65" i="51"/>
  <c r="O65" i="51"/>
  <c r="L65" i="51"/>
  <c r="I65" i="51"/>
  <c r="F65" i="51"/>
  <c r="X64" i="51"/>
  <c r="U64" i="51"/>
  <c r="R64" i="51"/>
  <c r="O64" i="51"/>
  <c r="L64" i="51"/>
  <c r="I64" i="51"/>
  <c r="F64" i="51"/>
  <c r="X63" i="51"/>
  <c r="U63" i="51"/>
  <c r="R63" i="51"/>
  <c r="O63" i="51"/>
  <c r="L63" i="51"/>
  <c r="I63" i="51"/>
  <c r="F63" i="51"/>
  <c r="X62" i="51"/>
  <c r="U62" i="51"/>
  <c r="R62" i="51"/>
  <c r="O62" i="51"/>
  <c r="L62" i="51"/>
  <c r="I62" i="51"/>
  <c r="F62" i="51"/>
  <c r="X61" i="51"/>
  <c r="U61" i="51"/>
  <c r="R61" i="51"/>
  <c r="O61" i="51"/>
  <c r="L61" i="51"/>
  <c r="I61" i="51"/>
  <c r="F61" i="51"/>
  <c r="X60" i="51"/>
  <c r="U60" i="51"/>
  <c r="R60" i="51"/>
  <c r="O60" i="51"/>
  <c r="L60" i="51"/>
  <c r="I60" i="51"/>
  <c r="F60" i="51"/>
  <c r="X59" i="51"/>
  <c r="U59" i="51"/>
  <c r="R59" i="51"/>
  <c r="O59" i="51"/>
  <c r="L59" i="51"/>
  <c r="I59" i="51"/>
  <c r="F59" i="51"/>
  <c r="X58" i="51"/>
  <c r="U58" i="51"/>
  <c r="R58" i="51"/>
  <c r="O58" i="51"/>
  <c r="L58" i="51"/>
  <c r="I58" i="51"/>
  <c r="F58" i="51"/>
  <c r="X57" i="51"/>
  <c r="U57" i="51"/>
  <c r="R57" i="51"/>
  <c r="O57" i="51"/>
  <c r="L57" i="51"/>
  <c r="I57" i="51"/>
  <c r="F57" i="51"/>
  <c r="X56" i="51"/>
  <c r="U56" i="51"/>
  <c r="R56" i="51"/>
  <c r="O56" i="51"/>
  <c r="L56" i="51"/>
  <c r="I56" i="51"/>
  <c r="F56" i="51"/>
  <c r="X55" i="51"/>
  <c r="U55" i="51"/>
  <c r="R55" i="51"/>
  <c r="O55" i="51"/>
  <c r="L55" i="51"/>
  <c r="I55" i="51"/>
  <c r="F55" i="51"/>
  <c r="X54" i="51"/>
  <c r="U54" i="51"/>
  <c r="R54" i="51"/>
  <c r="O54" i="51"/>
  <c r="L54" i="51"/>
  <c r="I54" i="51"/>
  <c r="F54" i="51"/>
  <c r="X53" i="51"/>
  <c r="U53" i="51"/>
  <c r="R53" i="51"/>
  <c r="O53" i="51"/>
  <c r="L53" i="51"/>
  <c r="I53" i="51"/>
  <c r="F53" i="51"/>
  <c r="X52" i="51"/>
  <c r="U52" i="51"/>
  <c r="R52" i="51"/>
  <c r="O52" i="51"/>
  <c r="L52" i="51"/>
  <c r="I52" i="51"/>
  <c r="F52" i="51"/>
  <c r="X51" i="51"/>
  <c r="U51" i="51"/>
  <c r="R51" i="51"/>
  <c r="O51" i="51"/>
  <c r="L51" i="51"/>
  <c r="I51" i="51"/>
  <c r="F51" i="51"/>
  <c r="X50" i="51"/>
  <c r="U50" i="51"/>
  <c r="R50" i="51"/>
  <c r="O50" i="51"/>
  <c r="L50" i="51"/>
  <c r="I50" i="51"/>
  <c r="F50" i="51"/>
  <c r="X49" i="51"/>
  <c r="U49" i="51"/>
  <c r="R49" i="51"/>
  <c r="O49" i="51"/>
  <c r="L49" i="51"/>
  <c r="I49" i="51"/>
  <c r="F49" i="51"/>
  <c r="X48" i="51"/>
  <c r="U48" i="51"/>
  <c r="R48" i="51"/>
  <c r="O48" i="51"/>
  <c r="L48" i="51"/>
  <c r="I48" i="51"/>
  <c r="F48" i="51"/>
  <c r="X47" i="51"/>
  <c r="U47" i="51"/>
  <c r="R47" i="51"/>
  <c r="O47" i="51"/>
  <c r="L47" i="51"/>
  <c r="I47" i="51"/>
  <c r="F47" i="51"/>
  <c r="X46" i="51"/>
  <c r="U46" i="51"/>
  <c r="R46" i="51"/>
  <c r="O46" i="51"/>
  <c r="L46" i="51"/>
  <c r="I46" i="51"/>
  <c r="F46" i="51"/>
  <c r="X45" i="51"/>
  <c r="U45" i="51"/>
  <c r="R45" i="51"/>
  <c r="O45" i="51"/>
  <c r="L45" i="51"/>
  <c r="I45" i="51"/>
  <c r="F45" i="51"/>
  <c r="X44" i="51"/>
  <c r="U44" i="51"/>
  <c r="R44" i="51"/>
  <c r="O44" i="51"/>
  <c r="L44" i="51"/>
  <c r="I44" i="51"/>
  <c r="F44" i="51"/>
  <c r="X43" i="51"/>
  <c r="U43" i="51"/>
  <c r="R43" i="51"/>
  <c r="O43" i="51"/>
  <c r="L43" i="51"/>
  <c r="I43" i="51"/>
  <c r="F43" i="51"/>
  <c r="X42" i="51"/>
  <c r="U42" i="51"/>
  <c r="R42" i="51"/>
  <c r="O42" i="51"/>
  <c r="L42" i="51"/>
  <c r="I42" i="51"/>
  <c r="F42" i="51"/>
  <c r="X41" i="51"/>
  <c r="U41" i="51"/>
  <c r="R41" i="51"/>
  <c r="O41" i="51"/>
  <c r="L41" i="51"/>
  <c r="I41" i="51"/>
  <c r="F41" i="51"/>
  <c r="X40" i="51"/>
  <c r="U40" i="51"/>
  <c r="R40" i="51"/>
  <c r="O40" i="51"/>
  <c r="L40" i="51"/>
  <c r="I40" i="51"/>
  <c r="F40" i="51"/>
  <c r="X39" i="51"/>
  <c r="U39" i="51"/>
  <c r="R39" i="51"/>
  <c r="O39" i="51"/>
  <c r="L39" i="51"/>
  <c r="I39" i="51"/>
  <c r="F39" i="51"/>
  <c r="X38" i="51"/>
  <c r="U38" i="51"/>
  <c r="R38" i="51"/>
  <c r="O38" i="51"/>
  <c r="L38" i="51"/>
  <c r="I38" i="51"/>
  <c r="F38" i="51"/>
  <c r="X37" i="51"/>
  <c r="U37" i="51"/>
  <c r="R37" i="51"/>
  <c r="O37" i="51"/>
  <c r="L37" i="51"/>
  <c r="I37" i="51"/>
  <c r="F37" i="51"/>
  <c r="X36" i="51"/>
  <c r="U36" i="51"/>
  <c r="R36" i="51"/>
  <c r="O36" i="51"/>
  <c r="L36" i="51"/>
  <c r="I36" i="51"/>
  <c r="F36" i="51"/>
  <c r="X35" i="51"/>
  <c r="U35" i="51"/>
  <c r="R35" i="51"/>
  <c r="O35" i="51"/>
  <c r="L35" i="51"/>
  <c r="I35" i="51"/>
  <c r="F35" i="51"/>
  <c r="X34" i="51"/>
  <c r="U34" i="51"/>
  <c r="R34" i="51"/>
  <c r="O34" i="51"/>
  <c r="L34" i="51"/>
  <c r="I34" i="51"/>
  <c r="F34" i="51"/>
  <c r="X33" i="51"/>
  <c r="U33" i="51"/>
  <c r="R33" i="51"/>
  <c r="O33" i="51"/>
  <c r="L33" i="51"/>
  <c r="I33" i="51"/>
  <c r="F33" i="51"/>
  <c r="X32" i="51"/>
  <c r="U32" i="51"/>
  <c r="R32" i="51"/>
  <c r="O32" i="51"/>
  <c r="L32" i="51"/>
  <c r="I32" i="51"/>
  <c r="F32" i="51"/>
  <c r="X31" i="51"/>
  <c r="U31" i="51"/>
  <c r="R31" i="51"/>
  <c r="O31" i="51"/>
  <c r="L31" i="51"/>
  <c r="I31" i="51"/>
  <c r="F31" i="51"/>
  <c r="X30" i="51"/>
  <c r="U30" i="51"/>
  <c r="R30" i="51"/>
  <c r="O30" i="51"/>
  <c r="L30" i="51"/>
  <c r="I30" i="51"/>
  <c r="F30" i="51"/>
  <c r="X29" i="51"/>
  <c r="U29" i="51"/>
  <c r="R29" i="51"/>
  <c r="O29" i="51"/>
  <c r="L29" i="51"/>
  <c r="I29" i="51"/>
  <c r="F29" i="51"/>
  <c r="X28" i="51"/>
  <c r="U28" i="51"/>
  <c r="R28" i="51"/>
  <c r="O28" i="51"/>
  <c r="L28" i="51"/>
  <c r="I28" i="51"/>
  <c r="F28" i="51"/>
  <c r="X27" i="51"/>
  <c r="U27" i="51"/>
  <c r="R27" i="51"/>
  <c r="O27" i="51"/>
  <c r="L27" i="51"/>
  <c r="I27" i="51"/>
  <c r="F27" i="51"/>
  <c r="X26" i="51"/>
  <c r="U26" i="51"/>
  <c r="R26" i="51"/>
  <c r="O26" i="51"/>
  <c r="L26" i="51"/>
  <c r="I26" i="51"/>
  <c r="F26" i="51"/>
  <c r="X25" i="51"/>
  <c r="U25" i="51"/>
  <c r="R25" i="51"/>
  <c r="O25" i="51"/>
  <c r="L25" i="51"/>
  <c r="I25" i="51"/>
  <c r="F25" i="51"/>
  <c r="X24" i="51"/>
  <c r="U24" i="51"/>
  <c r="R24" i="51"/>
  <c r="O24" i="51"/>
  <c r="L24" i="51"/>
  <c r="I24" i="51"/>
  <c r="F24" i="51"/>
  <c r="X23" i="51"/>
  <c r="U23" i="51"/>
  <c r="R23" i="51"/>
  <c r="O23" i="51"/>
  <c r="L23" i="51"/>
  <c r="I23" i="51"/>
  <c r="F23" i="51"/>
  <c r="X22" i="51"/>
  <c r="U22" i="51"/>
  <c r="R22" i="51"/>
  <c r="O22" i="51"/>
  <c r="L22" i="51"/>
  <c r="I22" i="51"/>
  <c r="F22" i="51"/>
  <c r="X21" i="51"/>
  <c r="U21" i="51"/>
  <c r="R21" i="51"/>
  <c r="O21" i="51"/>
  <c r="L21" i="51"/>
  <c r="I21" i="51"/>
  <c r="F21" i="51"/>
  <c r="X20" i="51"/>
  <c r="U20" i="51"/>
  <c r="R20" i="51"/>
  <c r="O20" i="51"/>
  <c r="L20" i="51"/>
  <c r="I20" i="51"/>
  <c r="F20" i="51"/>
  <c r="X19" i="51"/>
  <c r="U19" i="51"/>
  <c r="R19" i="51"/>
  <c r="O19" i="51"/>
  <c r="L19" i="51"/>
  <c r="I19" i="51"/>
  <c r="F19" i="51"/>
  <c r="X18" i="51"/>
  <c r="U18" i="51"/>
  <c r="R18" i="51"/>
  <c r="O18" i="51"/>
  <c r="L18" i="51"/>
  <c r="I18" i="51"/>
  <c r="F18" i="51"/>
  <c r="X17" i="51"/>
  <c r="U17" i="51"/>
  <c r="R17" i="51"/>
  <c r="O17" i="51"/>
  <c r="L17" i="51"/>
  <c r="I17" i="51"/>
  <c r="F17" i="51"/>
  <c r="X16" i="51"/>
  <c r="U16" i="51"/>
  <c r="R16" i="51"/>
  <c r="O16" i="51"/>
  <c r="L16" i="51"/>
  <c r="I16" i="51"/>
  <c r="F16" i="51"/>
  <c r="X15" i="51"/>
  <c r="U15" i="51"/>
  <c r="R15" i="51"/>
  <c r="O15" i="51"/>
  <c r="L15" i="51"/>
  <c r="I15" i="51"/>
  <c r="F15" i="51"/>
  <c r="X14" i="51"/>
  <c r="U14" i="51"/>
  <c r="R14" i="51"/>
  <c r="O14" i="51"/>
  <c r="L14" i="51"/>
  <c r="I14" i="51"/>
  <c r="F14" i="51"/>
  <c r="X13" i="51"/>
  <c r="U13" i="51"/>
  <c r="R13" i="51"/>
  <c r="O13" i="51"/>
  <c r="L13" i="51"/>
  <c r="I13" i="51"/>
  <c r="F13" i="51"/>
  <c r="X12" i="51"/>
  <c r="U12" i="51"/>
  <c r="R12" i="51"/>
  <c r="O12" i="51"/>
  <c r="L12" i="51"/>
  <c r="I12" i="51"/>
  <c r="F12" i="51"/>
  <c r="X11" i="51"/>
  <c r="U11" i="51"/>
  <c r="R11" i="51"/>
  <c r="O11" i="51"/>
  <c r="L11" i="51"/>
  <c r="I11" i="51"/>
  <c r="F11" i="51"/>
  <c r="X10" i="51"/>
  <c r="U10" i="51"/>
  <c r="R10" i="51"/>
  <c r="O10" i="51"/>
  <c r="L10" i="51"/>
  <c r="I10" i="51"/>
  <c r="F10" i="51"/>
  <c r="X9" i="51"/>
  <c r="U9" i="51"/>
  <c r="R9" i="51"/>
  <c r="O9" i="51"/>
  <c r="L9" i="51"/>
  <c r="I9" i="51"/>
  <c r="F9" i="51"/>
  <c r="X8" i="51"/>
  <c r="U8" i="51"/>
  <c r="R8" i="51"/>
  <c r="O8" i="51"/>
  <c r="L8" i="51"/>
  <c r="I8" i="51"/>
  <c r="F8" i="51"/>
  <c r="X7" i="51"/>
  <c r="U7" i="51"/>
  <c r="R7" i="51"/>
  <c r="O7" i="51"/>
  <c r="L7" i="51"/>
  <c r="I7" i="51"/>
  <c r="F7" i="51"/>
  <c r="X6" i="51"/>
  <c r="U6" i="51"/>
  <c r="R6" i="51"/>
  <c r="O6" i="51"/>
  <c r="L6" i="51"/>
  <c r="I6" i="51"/>
  <c r="F6" i="51"/>
  <c r="X5" i="51"/>
  <c r="U5" i="51"/>
  <c r="R5" i="51"/>
  <c r="O5" i="51"/>
  <c r="L5" i="51"/>
  <c r="I5" i="51"/>
  <c r="F5" i="51"/>
  <c r="X4" i="51"/>
  <c r="U4" i="51"/>
  <c r="R4" i="51"/>
  <c r="O4" i="51"/>
  <c r="L4" i="51"/>
  <c r="I4" i="51"/>
  <c r="F4" i="51"/>
  <c r="X98" i="50"/>
  <c r="U98" i="50"/>
  <c r="R98" i="50"/>
  <c r="O98" i="50"/>
  <c r="L98" i="50"/>
  <c r="I98" i="50"/>
  <c r="F98" i="50"/>
  <c r="X97" i="50"/>
  <c r="U97" i="50"/>
  <c r="R97" i="50"/>
  <c r="O97" i="50"/>
  <c r="L97" i="50"/>
  <c r="I97" i="50"/>
  <c r="F97" i="50"/>
  <c r="X96" i="50"/>
  <c r="U96" i="50"/>
  <c r="R96" i="50"/>
  <c r="O96" i="50"/>
  <c r="L96" i="50"/>
  <c r="I96" i="50"/>
  <c r="F96" i="50"/>
  <c r="X95" i="50"/>
  <c r="U95" i="50"/>
  <c r="R95" i="50"/>
  <c r="O95" i="50"/>
  <c r="L95" i="50"/>
  <c r="I95" i="50"/>
  <c r="F95" i="50"/>
  <c r="X94" i="50"/>
  <c r="U94" i="50"/>
  <c r="R94" i="50"/>
  <c r="O94" i="50"/>
  <c r="L94" i="50"/>
  <c r="I94" i="50"/>
  <c r="F94" i="50"/>
  <c r="X93" i="50"/>
  <c r="U93" i="50"/>
  <c r="R93" i="50"/>
  <c r="O93" i="50"/>
  <c r="L93" i="50"/>
  <c r="I93" i="50"/>
  <c r="F93" i="50"/>
  <c r="X92" i="50"/>
  <c r="U92" i="50"/>
  <c r="R92" i="50"/>
  <c r="O92" i="50"/>
  <c r="L92" i="50"/>
  <c r="I92" i="50"/>
  <c r="F92" i="50"/>
  <c r="X91" i="50"/>
  <c r="U91" i="50"/>
  <c r="R91" i="50"/>
  <c r="O91" i="50"/>
  <c r="L91" i="50"/>
  <c r="I91" i="50"/>
  <c r="F91" i="50"/>
  <c r="X90" i="50"/>
  <c r="U90" i="50"/>
  <c r="R90" i="50"/>
  <c r="O90" i="50"/>
  <c r="L90" i="50"/>
  <c r="I90" i="50"/>
  <c r="F90" i="50"/>
  <c r="X89" i="50"/>
  <c r="U89" i="50"/>
  <c r="R89" i="50"/>
  <c r="O89" i="50"/>
  <c r="L89" i="50"/>
  <c r="I89" i="50"/>
  <c r="F89" i="50"/>
  <c r="X88" i="50"/>
  <c r="U88" i="50"/>
  <c r="R88" i="50"/>
  <c r="O88" i="50"/>
  <c r="L88" i="50"/>
  <c r="I88" i="50"/>
  <c r="F88" i="50"/>
  <c r="X87" i="50"/>
  <c r="U87" i="50"/>
  <c r="R87" i="50"/>
  <c r="O87" i="50"/>
  <c r="L87" i="50"/>
  <c r="I87" i="50"/>
  <c r="F87" i="50"/>
  <c r="X86" i="50"/>
  <c r="U86" i="50"/>
  <c r="R86" i="50"/>
  <c r="O86" i="50"/>
  <c r="L86" i="50"/>
  <c r="I86" i="50"/>
  <c r="F86" i="50"/>
  <c r="X85" i="50"/>
  <c r="U85" i="50"/>
  <c r="R85" i="50"/>
  <c r="O85" i="50"/>
  <c r="L85" i="50"/>
  <c r="I85" i="50"/>
  <c r="F85" i="50"/>
  <c r="X84" i="50"/>
  <c r="U84" i="50"/>
  <c r="R84" i="50"/>
  <c r="O84" i="50"/>
  <c r="L84" i="50"/>
  <c r="I84" i="50"/>
  <c r="F84" i="50"/>
  <c r="X83" i="50"/>
  <c r="U83" i="50"/>
  <c r="R83" i="50"/>
  <c r="O83" i="50"/>
  <c r="L83" i="50"/>
  <c r="I83" i="50"/>
  <c r="F83" i="50"/>
  <c r="X82" i="50"/>
  <c r="U82" i="50"/>
  <c r="R82" i="50"/>
  <c r="O82" i="50"/>
  <c r="L82" i="50"/>
  <c r="I82" i="50"/>
  <c r="F82" i="50"/>
  <c r="X81" i="50"/>
  <c r="U81" i="50"/>
  <c r="R81" i="50"/>
  <c r="O81" i="50"/>
  <c r="L81" i="50"/>
  <c r="I81" i="50"/>
  <c r="F81" i="50"/>
  <c r="X80" i="50"/>
  <c r="U80" i="50"/>
  <c r="R80" i="50"/>
  <c r="O80" i="50"/>
  <c r="L80" i="50"/>
  <c r="I80" i="50"/>
  <c r="F80" i="50"/>
  <c r="X79" i="50"/>
  <c r="U79" i="50"/>
  <c r="R79" i="50"/>
  <c r="O79" i="50"/>
  <c r="L79" i="50"/>
  <c r="I79" i="50"/>
  <c r="F79" i="50"/>
  <c r="X78" i="50"/>
  <c r="U78" i="50"/>
  <c r="R78" i="50"/>
  <c r="O78" i="50"/>
  <c r="L78" i="50"/>
  <c r="I78" i="50"/>
  <c r="F78" i="50"/>
  <c r="X77" i="50"/>
  <c r="U77" i="50"/>
  <c r="R77" i="50"/>
  <c r="O77" i="50"/>
  <c r="L77" i="50"/>
  <c r="I77" i="50"/>
  <c r="F77" i="50"/>
  <c r="X76" i="50"/>
  <c r="U76" i="50"/>
  <c r="R76" i="50"/>
  <c r="O76" i="50"/>
  <c r="L76" i="50"/>
  <c r="I76" i="50"/>
  <c r="F76" i="50"/>
  <c r="X75" i="50"/>
  <c r="U75" i="50"/>
  <c r="R75" i="50"/>
  <c r="O75" i="50"/>
  <c r="L75" i="50"/>
  <c r="I75" i="50"/>
  <c r="F75" i="50"/>
  <c r="X74" i="50"/>
  <c r="U74" i="50"/>
  <c r="R74" i="50"/>
  <c r="O74" i="50"/>
  <c r="L74" i="50"/>
  <c r="I74" i="50"/>
  <c r="F74" i="50"/>
  <c r="X73" i="50"/>
  <c r="U73" i="50"/>
  <c r="R73" i="50"/>
  <c r="O73" i="50"/>
  <c r="L73" i="50"/>
  <c r="I73" i="50"/>
  <c r="F73" i="50"/>
  <c r="X72" i="50"/>
  <c r="U72" i="50"/>
  <c r="R72" i="50"/>
  <c r="O72" i="50"/>
  <c r="L72" i="50"/>
  <c r="I72" i="50"/>
  <c r="F72" i="50"/>
  <c r="X71" i="50"/>
  <c r="U71" i="50"/>
  <c r="R71" i="50"/>
  <c r="O71" i="50"/>
  <c r="L71" i="50"/>
  <c r="I71" i="50"/>
  <c r="F71" i="50"/>
  <c r="X70" i="50"/>
  <c r="U70" i="50"/>
  <c r="R70" i="50"/>
  <c r="O70" i="50"/>
  <c r="L70" i="50"/>
  <c r="I70" i="50"/>
  <c r="F70" i="50"/>
  <c r="X69" i="50"/>
  <c r="U69" i="50"/>
  <c r="R69" i="50"/>
  <c r="O69" i="50"/>
  <c r="L69" i="50"/>
  <c r="I69" i="50"/>
  <c r="F69" i="50"/>
  <c r="X68" i="50"/>
  <c r="U68" i="50"/>
  <c r="R68" i="50"/>
  <c r="O68" i="50"/>
  <c r="L68" i="50"/>
  <c r="I68" i="50"/>
  <c r="F68" i="50"/>
  <c r="X67" i="50"/>
  <c r="U67" i="50"/>
  <c r="R67" i="50"/>
  <c r="O67" i="50"/>
  <c r="L67" i="50"/>
  <c r="I67" i="50"/>
  <c r="F67" i="50"/>
  <c r="X66" i="50"/>
  <c r="U66" i="50"/>
  <c r="R66" i="50"/>
  <c r="O66" i="50"/>
  <c r="L66" i="50"/>
  <c r="I66" i="50"/>
  <c r="F66" i="50"/>
  <c r="X65" i="50"/>
  <c r="U65" i="50"/>
  <c r="R65" i="50"/>
  <c r="O65" i="50"/>
  <c r="L65" i="50"/>
  <c r="I65" i="50"/>
  <c r="F65" i="50"/>
  <c r="X64" i="50"/>
  <c r="U64" i="50"/>
  <c r="R64" i="50"/>
  <c r="O64" i="50"/>
  <c r="L64" i="50"/>
  <c r="I64" i="50"/>
  <c r="F64" i="50"/>
  <c r="X63" i="50"/>
  <c r="U63" i="50"/>
  <c r="R63" i="50"/>
  <c r="O63" i="50"/>
  <c r="L63" i="50"/>
  <c r="I63" i="50"/>
  <c r="F63" i="50"/>
  <c r="X62" i="50"/>
  <c r="U62" i="50"/>
  <c r="R62" i="50"/>
  <c r="O62" i="50"/>
  <c r="L62" i="50"/>
  <c r="I62" i="50"/>
  <c r="F62" i="50"/>
  <c r="X61" i="50"/>
  <c r="U61" i="50"/>
  <c r="R61" i="50"/>
  <c r="O61" i="50"/>
  <c r="L61" i="50"/>
  <c r="I61" i="50"/>
  <c r="F61" i="50"/>
  <c r="X60" i="50"/>
  <c r="U60" i="50"/>
  <c r="R60" i="50"/>
  <c r="O60" i="50"/>
  <c r="L60" i="50"/>
  <c r="I60" i="50"/>
  <c r="F60" i="50"/>
  <c r="X59" i="50"/>
  <c r="U59" i="50"/>
  <c r="R59" i="50"/>
  <c r="O59" i="50"/>
  <c r="L59" i="50"/>
  <c r="I59" i="50"/>
  <c r="F59" i="50"/>
  <c r="X58" i="50"/>
  <c r="U58" i="50"/>
  <c r="R58" i="50"/>
  <c r="O58" i="50"/>
  <c r="L58" i="50"/>
  <c r="I58" i="50"/>
  <c r="F58" i="50"/>
  <c r="X57" i="50"/>
  <c r="U57" i="50"/>
  <c r="R57" i="50"/>
  <c r="O57" i="50"/>
  <c r="L57" i="50"/>
  <c r="I57" i="50"/>
  <c r="F57" i="50"/>
  <c r="X56" i="50"/>
  <c r="U56" i="50"/>
  <c r="R56" i="50"/>
  <c r="O56" i="50"/>
  <c r="L56" i="50"/>
  <c r="I56" i="50"/>
  <c r="F56" i="50"/>
  <c r="X55" i="50"/>
  <c r="U55" i="50"/>
  <c r="R55" i="50"/>
  <c r="O55" i="50"/>
  <c r="L55" i="50"/>
  <c r="I55" i="50"/>
  <c r="F55" i="50"/>
  <c r="X54" i="50"/>
  <c r="U54" i="50"/>
  <c r="R54" i="50"/>
  <c r="O54" i="50"/>
  <c r="L54" i="50"/>
  <c r="I54" i="50"/>
  <c r="F54" i="50"/>
  <c r="X53" i="50"/>
  <c r="U53" i="50"/>
  <c r="R53" i="50"/>
  <c r="O53" i="50"/>
  <c r="L53" i="50"/>
  <c r="I53" i="50"/>
  <c r="F53" i="50"/>
  <c r="X52" i="50"/>
  <c r="U52" i="50"/>
  <c r="R52" i="50"/>
  <c r="O52" i="50"/>
  <c r="L52" i="50"/>
  <c r="I52" i="50"/>
  <c r="F52" i="50"/>
  <c r="X51" i="50"/>
  <c r="U51" i="50"/>
  <c r="R51" i="50"/>
  <c r="O51" i="50"/>
  <c r="L51" i="50"/>
  <c r="I51" i="50"/>
  <c r="F51" i="50"/>
  <c r="X50" i="50"/>
  <c r="U50" i="50"/>
  <c r="R50" i="50"/>
  <c r="O50" i="50"/>
  <c r="L50" i="50"/>
  <c r="I50" i="50"/>
  <c r="F50" i="50"/>
  <c r="X49" i="50"/>
  <c r="U49" i="50"/>
  <c r="R49" i="50"/>
  <c r="O49" i="50"/>
  <c r="L49" i="50"/>
  <c r="I49" i="50"/>
  <c r="F49" i="50"/>
  <c r="X48" i="50"/>
  <c r="U48" i="50"/>
  <c r="R48" i="50"/>
  <c r="O48" i="50"/>
  <c r="L48" i="50"/>
  <c r="I48" i="50"/>
  <c r="F48" i="50"/>
  <c r="X47" i="50"/>
  <c r="U47" i="50"/>
  <c r="R47" i="50"/>
  <c r="O47" i="50"/>
  <c r="L47" i="50"/>
  <c r="I47" i="50"/>
  <c r="F47" i="50"/>
  <c r="X46" i="50"/>
  <c r="U46" i="50"/>
  <c r="R46" i="50"/>
  <c r="O46" i="50"/>
  <c r="L46" i="50"/>
  <c r="I46" i="50"/>
  <c r="F46" i="50"/>
  <c r="X45" i="50"/>
  <c r="U45" i="50"/>
  <c r="R45" i="50"/>
  <c r="O45" i="50"/>
  <c r="L45" i="50"/>
  <c r="I45" i="50"/>
  <c r="F45" i="50"/>
  <c r="X44" i="50"/>
  <c r="U44" i="50"/>
  <c r="R44" i="50"/>
  <c r="O44" i="50"/>
  <c r="L44" i="50"/>
  <c r="I44" i="50"/>
  <c r="F44" i="50"/>
  <c r="X43" i="50"/>
  <c r="U43" i="50"/>
  <c r="R43" i="50"/>
  <c r="O43" i="50"/>
  <c r="L43" i="50"/>
  <c r="I43" i="50"/>
  <c r="F43" i="50"/>
  <c r="X42" i="50"/>
  <c r="U42" i="50"/>
  <c r="R42" i="50"/>
  <c r="O42" i="50"/>
  <c r="L42" i="50"/>
  <c r="I42" i="50"/>
  <c r="F42" i="50"/>
  <c r="X41" i="50"/>
  <c r="U41" i="50"/>
  <c r="R41" i="50"/>
  <c r="O41" i="50"/>
  <c r="L41" i="50"/>
  <c r="I41" i="50"/>
  <c r="F41" i="50"/>
  <c r="X40" i="50"/>
  <c r="U40" i="50"/>
  <c r="R40" i="50"/>
  <c r="O40" i="50"/>
  <c r="L40" i="50"/>
  <c r="I40" i="50"/>
  <c r="F40" i="50"/>
  <c r="X39" i="50"/>
  <c r="U39" i="50"/>
  <c r="R39" i="50"/>
  <c r="O39" i="50"/>
  <c r="L39" i="50"/>
  <c r="I39" i="50"/>
  <c r="F39" i="50"/>
  <c r="X38" i="50"/>
  <c r="U38" i="50"/>
  <c r="R38" i="50"/>
  <c r="O38" i="50"/>
  <c r="L38" i="50"/>
  <c r="I38" i="50"/>
  <c r="F38" i="50"/>
  <c r="X37" i="50"/>
  <c r="U37" i="50"/>
  <c r="R37" i="50"/>
  <c r="O37" i="50"/>
  <c r="L37" i="50"/>
  <c r="I37" i="50"/>
  <c r="F37" i="50"/>
  <c r="X36" i="50"/>
  <c r="U36" i="50"/>
  <c r="R36" i="50"/>
  <c r="O36" i="50"/>
  <c r="L36" i="50"/>
  <c r="I36" i="50"/>
  <c r="F36" i="50"/>
  <c r="X35" i="50"/>
  <c r="U35" i="50"/>
  <c r="R35" i="50"/>
  <c r="O35" i="50"/>
  <c r="L35" i="50"/>
  <c r="I35" i="50"/>
  <c r="F35" i="50"/>
  <c r="X34" i="50"/>
  <c r="U34" i="50"/>
  <c r="R34" i="50"/>
  <c r="O34" i="50"/>
  <c r="L34" i="50"/>
  <c r="I34" i="50"/>
  <c r="F34" i="50"/>
  <c r="X33" i="50"/>
  <c r="U33" i="50"/>
  <c r="R33" i="50"/>
  <c r="O33" i="50"/>
  <c r="L33" i="50"/>
  <c r="I33" i="50"/>
  <c r="F33" i="50"/>
  <c r="X32" i="50"/>
  <c r="U32" i="50"/>
  <c r="R32" i="50"/>
  <c r="O32" i="50"/>
  <c r="L32" i="50"/>
  <c r="I32" i="50"/>
  <c r="F32" i="50"/>
  <c r="X31" i="50"/>
  <c r="U31" i="50"/>
  <c r="R31" i="50"/>
  <c r="O31" i="50"/>
  <c r="L31" i="50"/>
  <c r="I31" i="50"/>
  <c r="F31" i="50"/>
  <c r="X30" i="50"/>
  <c r="U30" i="50"/>
  <c r="R30" i="50"/>
  <c r="O30" i="50"/>
  <c r="L30" i="50"/>
  <c r="I30" i="50"/>
  <c r="F30" i="50"/>
  <c r="X29" i="50"/>
  <c r="U29" i="50"/>
  <c r="R29" i="50"/>
  <c r="O29" i="50"/>
  <c r="L29" i="50"/>
  <c r="I29" i="50"/>
  <c r="F29" i="50"/>
  <c r="X28" i="50"/>
  <c r="U28" i="50"/>
  <c r="R28" i="50"/>
  <c r="O28" i="50"/>
  <c r="L28" i="50"/>
  <c r="I28" i="50"/>
  <c r="F28" i="50"/>
  <c r="X27" i="50"/>
  <c r="U27" i="50"/>
  <c r="R27" i="50"/>
  <c r="O27" i="50"/>
  <c r="L27" i="50"/>
  <c r="I27" i="50"/>
  <c r="F27" i="50"/>
  <c r="X26" i="50"/>
  <c r="U26" i="50"/>
  <c r="R26" i="50"/>
  <c r="O26" i="50"/>
  <c r="L26" i="50"/>
  <c r="I26" i="50"/>
  <c r="F26" i="50"/>
  <c r="X25" i="50"/>
  <c r="U25" i="50"/>
  <c r="R25" i="50"/>
  <c r="O25" i="50"/>
  <c r="L25" i="50"/>
  <c r="I25" i="50"/>
  <c r="F25" i="50"/>
  <c r="X24" i="50"/>
  <c r="U24" i="50"/>
  <c r="R24" i="50"/>
  <c r="O24" i="50"/>
  <c r="L24" i="50"/>
  <c r="I24" i="50"/>
  <c r="F24" i="50"/>
  <c r="X23" i="50"/>
  <c r="U23" i="50"/>
  <c r="R23" i="50"/>
  <c r="O23" i="50"/>
  <c r="L23" i="50"/>
  <c r="I23" i="50"/>
  <c r="F23" i="50"/>
  <c r="X22" i="50"/>
  <c r="U22" i="50"/>
  <c r="R22" i="50"/>
  <c r="O22" i="50"/>
  <c r="L22" i="50"/>
  <c r="I22" i="50"/>
  <c r="F22" i="50"/>
  <c r="X21" i="50"/>
  <c r="U21" i="50"/>
  <c r="R21" i="50"/>
  <c r="O21" i="50"/>
  <c r="L21" i="50"/>
  <c r="I21" i="50"/>
  <c r="F21" i="50"/>
  <c r="X20" i="50"/>
  <c r="U20" i="50"/>
  <c r="R20" i="50"/>
  <c r="O20" i="50"/>
  <c r="L20" i="50"/>
  <c r="I20" i="50"/>
  <c r="F20" i="50"/>
  <c r="X19" i="50"/>
  <c r="U19" i="50"/>
  <c r="R19" i="50"/>
  <c r="O19" i="50"/>
  <c r="L19" i="50"/>
  <c r="I19" i="50"/>
  <c r="F19" i="50"/>
  <c r="X18" i="50"/>
  <c r="U18" i="50"/>
  <c r="R18" i="50"/>
  <c r="O18" i="50"/>
  <c r="L18" i="50"/>
  <c r="I18" i="50"/>
  <c r="F18" i="50"/>
  <c r="X17" i="50"/>
  <c r="U17" i="50"/>
  <c r="R17" i="50"/>
  <c r="O17" i="50"/>
  <c r="L17" i="50"/>
  <c r="I17" i="50"/>
  <c r="F17" i="50"/>
  <c r="X16" i="50"/>
  <c r="U16" i="50"/>
  <c r="R16" i="50"/>
  <c r="O16" i="50"/>
  <c r="L16" i="50"/>
  <c r="I16" i="50"/>
  <c r="F16" i="50"/>
  <c r="X15" i="50"/>
  <c r="U15" i="50"/>
  <c r="R15" i="50"/>
  <c r="O15" i="50"/>
  <c r="L15" i="50"/>
  <c r="I15" i="50"/>
  <c r="F15" i="50"/>
  <c r="X14" i="50"/>
  <c r="U14" i="50"/>
  <c r="R14" i="50"/>
  <c r="O14" i="50"/>
  <c r="L14" i="50"/>
  <c r="I14" i="50"/>
  <c r="F14" i="50"/>
  <c r="X13" i="50"/>
  <c r="U13" i="50"/>
  <c r="R13" i="50"/>
  <c r="O13" i="50"/>
  <c r="L13" i="50"/>
  <c r="I13" i="50"/>
  <c r="F13" i="50"/>
  <c r="X12" i="50"/>
  <c r="U12" i="50"/>
  <c r="R12" i="50"/>
  <c r="O12" i="50"/>
  <c r="L12" i="50"/>
  <c r="I12" i="50"/>
  <c r="F12" i="50"/>
  <c r="X11" i="50"/>
  <c r="U11" i="50"/>
  <c r="R11" i="50"/>
  <c r="O11" i="50"/>
  <c r="L11" i="50"/>
  <c r="I11" i="50"/>
  <c r="F11" i="50"/>
  <c r="X10" i="50"/>
  <c r="U10" i="50"/>
  <c r="R10" i="50"/>
  <c r="O10" i="50"/>
  <c r="L10" i="50"/>
  <c r="I10" i="50"/>
  <c r="F10" i="50"/>
  <c r="X9" i="50"/>
  <c r="U9" i="50"/>
  <c r="R9" i="50"/>
  <c r="O9" i="50"/>
  <c r="L9" i="50"/>
  <c r="I9" i="50"/>
  <c r="F9" i="50"/>
  <c r="X8" i="50"/>
  <c r="U8" i="50"/>
  <c r="R8" i="50"/>
  <c r="O8" i="50"/>
  <c r="L8" i="50"/>
  <c r="I8" i="50"/>
  <c r="F8" i="50"/>
  <c r="X7" i="50"/>
  <c r="U7" i="50"/>
  <c r="R7" i="50"/>
  <c r="O7" i="50"/>
  <c r="L7" i="50"/>
  <c r="I7" i="50"/>
  <c r="F7" i="50"/>
  <c r="X6" i="50"/>
  <c r="U6" i="50"/>
  <c r="R6" i="50"/>
  <c r="O6" i="50"/>
  <c r="L6" i="50"/>
  <c r="I6" i="50"/>
  <c r="F6" i="50"/>
  <c r="X5" i="50"/>
  <c r="U5" i="50"/>
  <c r="R5" i="50"/>
  <c r="O5" i="50"/>
  <c r="L5" i="50"/>
  <c r="I5" i="50"/>
  <c r="F5" i="50"/>
  <c r="X4" i="50"/>
  <c r="U4" i="50"/>
  <c r="R4" i="50"/>
  <c r="O4" i="50"/>
  <c r="L4" i="50"/>
  <c r="I4" i="50"/>
  <c r="F4" i="50"/>
  <c r="X98" i="49"/>
  <c r="U98" i="49"/>
  <c r="R98" i="49"/>
  <c r="O98" i="49"/>
  <c r="L98" i="49"/>
  <c r="I98" i="49"/>
  <c r="F98" i="49"/>
  <c r="X97" i="49"/>
  <c r="U97" i="49"/>
  <c r="R97" i="49"/>
  <c r="O97" i="49"/>
  <c r="L97" i="49"/>
  <c r="I97" i="49"/>
  <c r="F97" i="49"/>
  <c r="X96" i="49"/>
  <c r="U96" i="49"/>
  <c r="R96" i="49"/>
  <c r="O96" i="49"/>
  <c r="L96" i="49"/>
  <c r="I96" i="49"/>
  <c r="F96" i="49"/>
  <c r="X95" i="49"/>
  <c r="U95" i="49"/>
  <c r="R95" i="49"/>
  <c r="O95" i="49"/>
  <c r="L95" i="49"/>
  <c r="I95" i="49"/>
  <c r="F95" i="49"/>
  <c r="X94" i="49"/>
  <c r="U94" i="49"/>
  <c r="R94" i="49"/>
  <c r="O94" i="49"/>
  <c r="L94" i="49"/>
  <c r="I94" i="49"/>
  <c r="F94" i="49"/>
  <c r="X93" i="49"/>
  <c r="U93" i="49"/>
  <c r="R93" i="49"/>
  <c r="O93" i="49"/>
  <c r="L93" i="49"/>
  <c r="I93" i="49"/>
  <c r="F93" i="49"/>
  <c r="X92" i="49"/>
  <c r="U92" i="49"/>
  <c r="R92" i="49"/>
  <c r="O92" i="49"/>
  <c r="L92" i="49"/>
  <c r="I92" i="49"/>
  <c r="F92" i="49"/>
  <c r="X91" i="49"/>
  <c r="U91" i="49"/>
  <c r="R91" i="49"/>
  <c r="O91" i="49"/>
  <c r="L91" i="49"/>
  <c r="I91" i="49"/>
  <c r="F91" i="49"/>
  <c r="X90" i="49"/>
  <c r="U90" i="49"/>
  <c r="R90" i="49"/>
  <c r="O90" i="49"/>
  <c r="L90" i="49"/>
  <c r="I90" i="49"/>
  <c r="F90" i="49"/>
  <c r="X89" i="49"/>
  <c r="U89" i="49"/>
  <c r="R89" i="49"/>
  <c r="O89" i="49"/>
  <c r="L89" i="49"/>
  <c r="I89" i="49"/>
  <c r="F89" i="49"/>
  <c r="X88" i="49"/>
  <c r="U88" i="49"/>
  <c r="R88" i="49"/>
  <c r="O88" i="49"/>
  <c r="L88" i="49"/>
  <c r="I88" i="49"/>
  <c r="F88" i="49"/>
  <c r="X87" i="49"/>
  <c r="U87" i="49"/>
  <c r="R87" i="49"/>
  <c r="O87" i="49"/>
  <c r="L87" i="49"/>
  <c r="I87" i="49"/>
  <c r="F87" i="49"/>
  <c r="X86" i="49"/>
  <c r="U86" i="49"/>
  <c r="R86" i="49"/>
  <c r="O86" i="49"/>
  <c r="L86" i="49"/>
  <c r="I86" i="49"/>
  <c r="F86" i="49"/>
  <c r="X85" i="49"/>
  <c r="U85" i="49"/>
  <c r="R85" i="49"/>
  <c r="O85" i="49"/>
  <c r="L85" i="49"/>
  <c r="I85" i="49"/>
  <c r="F85" i="49"/>
  <c r="X84" i="49"/>
  <c r="U84" i="49"/>
  <c r="R84" i="49"/>
  <c r="O84" i="49"/>
  <c r="L84" i="49"/>
  <c r="I84" i="49"/>
  <c r="F84" i="49"/>
  <c r="X83" i="49"/>
  <c r="U83" i="49"/>
  <c r="R83" i="49"/>
  <c r="O83" i="49"/>
  <c r="L83" i="49"/>
  <c r="I83" i="49"/>
  <c r="F83" i="49"/>
  <c r="X82" i="49"/>
  <c r="U82" i="49"/>
  <c r="R82" i="49"/>
  <c r="O82" i="49"/>
  <c r="L82" i="49"/>
  <c r="I82" i="49"/>
  <c r="F82" i="49"/>
  <c r="X81" i="49"/>
  <c r="U81" i="49"/>
  <c r="R81" i="49"/>
  <c r="O81" i="49"/>
  <c r="L81" i="49"/>
  <c r="I81" i="49"/>
  <c r="F81" i="49"/>
  <c r="X80" i="49"/>
  <c r="U80" i="49"/>
  <c r="R80" i="49"/>
  <c r="O80" i="49"/>
  <c r="L80" i="49"/>
  <c r="I80" i="49"/>
  <c r="F80" i="49"/>
  <c r="X79" i="49"/>
  <c r="U79" i="49"/>
  <c r="R79" i="49"/>
  <c r="O79" i="49"/>
  <c r="L79" i="49"/>
  <c r="I79" i="49"/>
  <c r="F79" i="49"/>
  <c r="X78" i="49"/>
  <c r="U78" i="49"/>
  <c r="R78" i="49"/>
  <c r="O78" i="49"/>
  <c r="L78" i="49"/>
  <c r="I78" i="49"/>
  <c r="F78" i="49"/>
  <c r="X77" i="49"/>
  <c r="U77" i="49"/>
  <c r="R77" i="49"/>
  <c r="O77" i="49"/>
  <c r="L77" i="49"/>
  <c r="I77" i="49"/>
  <c r="F77" i="49"/>
  <c r="X76" i="49"/>
  <c r="U76" i="49"/>
  <c r="R76" i="49"/>
  <c r="O76" i="49"/>
  <c r="L76" i="49"/>
  <c r="I76" i="49"/>
  <c r="F76" i="49"/>
  <c r="X75" i="49"/>
  <c r="U75" i="49"/>
  <c r="R75" i="49"/>
  <c r="O75" i="49"/>
  <c r="L75" i="49"/>
  <c r="I75" i="49"/>
  <c r="F75" i="49"/>
  <c r="X74" i="49"/>
  <c r="U74" i="49"/>
  <c r="R74" i="49"/>
  <c r="O74" i="49"/>
  <c r="L74" i="49"/>
  <c r="I74" i="49"/>
  <c r="F74" i="49"/>
  <c r="X73" i="49"/>
  <c r="U73" i="49"/>
  <c r="R73" i="49"/>
  <c r="O73" i="49"/>
  <c r="L73" i="49"/>
  <c r="I73" i="49"/>
  <c r="F73" i="49"/>
  <c r="X72" i="49"/>
  <c r="U72" i="49"/>
  <c r="R72" i="49"/>
  <c r="O72" i="49"/>
  <c r="L72" i="49"/>
  <c r="I72" i="49"/>
  <c r="F72" i="49"/>
  <c r="X71" i="49"/>
  <c r="U71" i="49"/>
  <c r="R71" i="49"/>
  <c r="O71" i="49"/>
  <c r="L71" i="49"/>
  <c r="I71" i="49"/>
  <c r="F71" i="49"/>
  <c r="X70" i="49"/>
  <c r="U70" i="49"/>
  <c r="R70" i="49"/>
  <c r="O70" i="49"/>
  <c r="L70" i="49"/>
  <c r="I70" i="49"/>
  <c r="F70" i="49"/>
  <c r="X69" i="49"/>
  <c r="U69" i="49"/>
  <c r="R69" i="49"/>
  <c r="O69" i="49"/>
  <c r="L69" i="49"/>
  <c r="I69" i="49"/>
  <c r="F69" i="49"/>
  <c r="X68" i="49"/>
  <c r="U68" i="49"/>
  <c r="R68" i="49"/>
  <c r="O68" i="49"/>
  <c r="L68" i="49"/>
  <c r="I68" i="49"/>
  <c r="F68" i="49"/>
  <c r="X67" i="49"/>
  <c r="U67" i="49"/>
  <c r="R67" i="49"/>
  <c r="O67" i="49"/>
  <c r="L67" i="49"/>
  <c r="I67" i="49"/>
  <c r="F67" i="49"/>
  <c r="X66" i="49"/>
  <c r="U66" i="49"/>
  <c r="R66" i="49"/>
  <c r="O66" i="49"/>
  <c r="L66" i="49"/>
  <c r="I66" i="49"/>
  <c r="F66" i="49"/>
  <c r="X65" i="49"/>
  <c r="U65" i="49"/>
  <c r="R65" i="49"/>
  <c r="O65" i="49"/>
  <c r="L65" i="49"/>
  <c r="I65" i="49"/>
  <c r="F65" i="49"/>
  <c r="X64" i="49"/>
  <c r="U64" i="49"/>
  <c r="R64" i="49"/>
  <c r="O64" i="49"/>
  <c r="L64" i="49"/>
  <c r="I64" i="49"/>
  <c r="F64" i="49"/>
  <c r="X63" i="49"/>
  <c r="U63" i="49"/>
  <c r="R63" i="49"/>
  <c r="O63" i="49"/>
  <c r="L63" i="49"/>
  <c r="I63" i="49"/>
  <c r="F63" i="49"/>
  <c r="X62" i="49"/>
  <c r="U62" i="49"/>
  <c r="R62" i="49"/>
  <c r="O62" i="49"/>
  <c r="L62" i="49"/>
  <c r="I62" i="49"/>
  <c r="F62" i="49"/>
  <c r="X61" i="49"/>
  <c r="U61" i="49"/>
  <c r="R61" i="49"/>
  <c r="O61" i="49"/>
  <c r="L61" i="49"/>
  <c r="I61" i="49"/>
  <c r="F61" i="49"/>
  <c r="X60" i="49"/>
  <c r="U60" i="49"/>
  <c r="R60" i="49"/>
  <c r="O60" i="49"/>
  <c r="L60" i="49"/>
  <c r="I60" i="49"/>
  <c r="F60" i="49"/>
  <c r="X59" i="49"/>
  <c r="U59" i="49"/>
  <c r="R59" i="49"/>
  <c r="O59" i="49"/>
  <c r="L59" i="49"/>
  <c r="I59" i="49"/>
  <c r="F59" i="49"/>
  <c r="X58" i="49"/>
  <c r="U58" i="49"/>
  <c r="R58" i="49"/>
  <c r="O58" i="49"/>
  <c r="L58" i="49"/>
  <c r="I58" i="49"/>
  <c r="F58" i="49"/>
  <c r="X57" i="49"/>
  <c r="U57" i="49"/>
  <c r="R57" i="49"/>
  <c r="O57" i="49"/>
  <c r="L57" i="49"/>
  <c r="I57" i="49"/>
  <c r="F57" i="49"/>
  <c r="X56" i="49"/>
  <c r="U56" i="49"/>
  <c r="R56" i="49"/>
  <c r="O56" i="49"/>
  <c r="L56" i="49"/>
  <c r="I56" i="49"/>
  <c r="F56" i="49"/>
  <c r="X55" i="49"/>
  <c r="U55" i="49"/>
  <c r="R55" i="49"/>
  <c r="O55" i="49"/>
  <c r="L55" i="49"/>
  <c r="I55" i="49"/>
  <c r="F55" i="49"/>
  <c r="X54" i="49"/>
  <c r="U54" i="49"/>
  <c r="R54" i="49"/>
  <c r="O54" i="49"/>
  <c r="L54" i="49"/>
  <c r="I54" i="49"/>
  <c r="F54" i="49"/>
  <c r="X53" i="49"/>
  <c r="U53" i="49"/>
  <c r="R53" i="49"/>
  <c r="O53" i="49"/>
  <c r="L53" i="49"/>
  <c r="I53" i="49"/>
  <c r="F53" i="49"/>
  <c r="X52" i="49"/>
  <c r="U52" i="49"/>
  <c r="R52" i="49"/>
  <c r="O52" i="49"/>
  <c r="L52" i="49"/>
  <c r="I52" i="49"/>
  <c r="F52" i="49"/>
  <c r="X51" i="49"/>
  <c r="U51" i="49"/>
  <c r="R51" i="49"/>
  <c r="O51" i="49"/>
  <c r="L51" i="49"/>
  <c r="I51" i="49"/>
  <c r="F51" i="49"/>
  <c r="X50" i="49"/>
  <c r="U50" i="49"/>
  <c r="R50" i="49"/>
  <c r="O50" i="49"/>
  <c r="L50" i="49"/>
  <c r="I50" i="49"/>
  <c r="F50" i="49"/>
  <c r="X49" i="49"/>
  <c r="U49" i="49"/>
  <c r="R49" i="49"/>
  <c r="O49" i="49"/>
  <c r="L49" i="49"/>
  <c r="I49" i="49"/>
  <c r="F49" i="49"/>
  <c r="X48" i="49"/>
  <c r="U48" i="49"/>
  <c r="R48" i="49"/>
  <c r="O48" i="49"/>
  <c r="L48" i="49"/>
  <c r="I48" i="49"/>
  <c r="F48" i="49"/>
  <c r="X47" i="49"/>
  <c r="U47" i="49"/>
  <c r="R47" i="49"/>
  <c r="O47" i="49"/>
  <c r="L47" i="49"/>
  <c r="I47" i="49"/>
  <c r="F47" i="49"/>
  <c r="X46" i="49"/>
  <c r="U46" i="49"/>
  <c r="R46" i="49"/>
  <c r="O46" i="49"/>
  <c r="L46" i="49"/>
  <c r="I46" i="49"/>
  <c r="F46" i="49"/>
  <c r="X45" i="49"/>
  <c r="U45" i="49"/>
  <c r="R45" i="49"/>
  <c r="O45" i="49"/>
  <c r="L45" i="49"/>
  <c r="I45" i="49"/>
  <c r="F45" i="49"/>
  <c r="X44" i="49"/>
  <c r="U44" i="49"/>
  <c r="R44" i="49"/>
  <c r="O44" i="49"/>
  <c r="L44" i="49"/>
  <c r="I44" i="49"/>
  <c r="F44" i="49"/>
  <c r="X43" i="49"/>
  <c r="U43" i="49"/>
  <c r="R43" i="49"/>
  <c r="O43" i="49"/>
  <c r="L43" i="49"/>
  <c r="I43" i="49"/>
  <c r="F43" i="49"/>
  <c r="X42" i="49"/>
  <c r="U42" i="49"/>
  <c r="R42" i="49"/>
  <c r="O42" i="49"/>
  <c r="L42" i="49"/>
  <c r="I42" i="49"/>
  <c r="F42" i="49"/>
  <c r="X41" i="49"/>
  <c r="U41" i="49"/>
  <c r="R41" i="49"/>
  <c r="O41" i="49"/>
  <c r="L41" i="49"/>
  <c r="I41" i="49"/>
  <c r="F41" i="49"/>
  <c r="X40" i="49"/>
  <c r="U40" i="49"/>
  <c r="R40" i="49"/>
  <c r="O40" i="49"/>
  <c r="L40" i="49"/>
  <c r="I40" i="49"/>
  <c r="F40" i="49"/>
  <c r="X39" i="49"/>
  <c r="U39" i="49"/>
  <c r="R39" i="49"/>
  <c r="O39" i="49"/>
  <c r="L39" i="49"/>
  <c r="I39" i="49"/>
  <c r="F39" i="49"/>
  <c r="X38" i="49"/>
  <c r="U38" i="49"/>
  <c r="R38" i="49"/>
  <c r="O38" i="49"/>
  <c r="L38" i="49"/>
  <c r="I38" i="49"/>
  <c r="F38" i="49"/>
  <c r="X37" i="49"/>
  <c r="U37" i="49"/>
  <c r="R37" i="49"/>
  <c r="O37" i="49"/>
  <c r="L37" i="49"/>
  <c r="I37" i="49"/>
  <c r="F37" i="49"/>
  <c r="X36" i="49"/>
  <c r="U36" i="49"/>
  <c r="R36" i="49"/>
  <c r="O36" i="49"/>
  <c r="L36" i="49"/>
  <c r="I36" i="49"/>
  <c r="F36" i="49"/>
  <c r="X35" i="49"/>
  <c r="U35" i="49"/>
  <c r="R35" i="49"/>
  <c r="O35" i="49"/>
  <c r="L35" i="49"/>
  <c r="I35" i="49"/>
  <c r="F35" i="49"/>
  <c r="X34" i="49"/>
  <c r="U34" i="49"/>
  <c r="R34" i="49"/>
  <c r="O34" i="49"/>
  <c r="L34" i="49"/>
  <c r="I34" i="49"/>
  <c r="F34" i="49"/>
  <c r="X33" i="49"/>
  <c r="U33" i="49"/>
  <c r="R33" i="49"/>
  <c r="O33" i="49"/>
  <c r="L33" i="49"/>
  <c r="I33" i="49"/>
  <c r="F33" i="49"/>
  <c r="X32" i="49"/>
  <c r="U32" i="49"/>
  <c r="R32" i="49"/>
  <c r="O32" i="49"/>
  <c r="L32" i="49"/>
  <c r="I32" i="49"/>
  <c r="F32" i="49"/>
  <c r="X31" i="49"/>
  <c r="U31" i="49"/>
  <c r="R31" i="49"/>
  <c r="O31" i="49"/>
  <c r="L31" i="49"/>
  <c r="I31" i="49"/>
  <c r="F31" i="49"/>
  <c r="X30" i="49"/>
  <c r="U30" i="49"/>
  <c r="R30" i="49"/>
  <c r="O30" i="49"/>
  <c r="L30" i="49"/>
  <c r="I30" i="49"/>
  <c r="F30" i="49"/>
  <c r="X29" i="49"/>
  <c r="U29" i="49"/>
  <c r="R29" i="49"/>
  <c r="O29" i="49"/>
  <c r="L29" i="49"/>
  <c r="I29" i="49"/>
  <c r="F29" i="49"/>
  <c r="X28" i="49"/>
  <c r="U28" i="49"/>
  <c r="R28" i="49"/>
  <c r="O28" i="49"/>
  <c r="L28" i="49"/>
  <c r="I28" i="49"/>
  <c r="F28" i="49"/>
  <c r="X27" i="49"/>
  <c r="U27" i="49"/>
  <c r="R27" i="49"/>
  <c r="O27" i="49"/>
  <c r="L27" i="49"/>
  <c r="I27" i="49"/>
  <c r="F27" i="49"/>
  <c r="X26" i="49"/>
  <c r="U26" i="49"/>
  <c r="R26" i="49"/>
  <c r="O26" i="49"/>
  <c r="L26" i="49"/>
  <c r="I26" i="49"/>
  <c r="F26" i="49"/>
  <c r="X25" i="49"/>
  <c r="U25" i="49"/>
  <c r="R25" i="49"/>
  <c r="O25" i="49"/>
  <c r="L25" i="49"/>
  <c r="I25" i="49"/>
  <c r="F25" i="49"/>
  <c r="X24" i="49"/>
  <c r="U24" i="49"/>
  <c r="R24" i="49"/>
  <c r="O24" i="49"/>
  <c r="L24" i="49"/>
  <c r="I24" i="49"/>
  <c r="F24" i="49"/>
  <c r="X23" i="49"/>
  <c r="U23" i="49"/>
  <c r="R23" i="49"/>
  <c r="O23" i="49"/>
  <c r="L23" i="49"/>
  <c r="I23" i="49"/>
  <c r="F23" i="49"/>
  <c r="X22" i="49"/>
  <c r="U22" i="49"/>
  <c r="R22" i="49"/>
  <c r="O22" i="49"/>
  <c r="L22" i="49"/>
  <c r="I22" i="49"/>
  <c r="F22" i="49"/>
  <c r="X21" i="49"/>
  <c r="U21" i="49"/>
  <c r="R21" i="49"/>
  <c r="O21" i="49"/>
  <c r="L21" i="49"/>
  <c r="I21" i="49"/>
  <c r="F21" i="49"/>
  <c r="X20" i="49"/>
  <c r="U20" i="49"/>
  <c r="R20" i="49"/>
  <c r="O20" i="49"/>
  <c r="L20" i="49"/>
  <c r="I20" i="49"/>
  <c r="F20" i="49"/>
  <c r="X19" i="49"/>
  <c r="U19" i="49"/>
  <c r="R19" i="49"/>
  <c r="O19" i="49"/>
  <c r="L19" i="49"/>
  <c r="I19" i="49"/>
  <c r="F19" i="49"/>
  <c r="X18" i="49"/>
  <c r="U18" i="49"/>
  <c r="R18" i="49"/>
  <c r="O18" i="49"/>
  <c r="L18" i="49"/>
  <c r="I18" i="49"/>
  <c r="F18" i="49"/>
  <c r="X17" i="49"/>
  <c r="U17" i="49"/>
  <c r="R17" i="49"/>
  <c r="O17" i="49"/>
  <c r="L17" i="49"/>
  <c r="I17" i="49"/>
  <c r="F17" i="49"/>
  <c r="X16" i="49"/>
  <c r="U16" i="49"/>
  <c r="R16" i="49"/>
  <c r="O16" i="49"/>
  <c r="L16" i="49"/>
  <c r="I16" i="49"/>
  <c r="F16" i="49"/>
  <c r="X15" i="49"/>
  <c r="U15" i="49"/>
  <c r="R15" i="49"/>
  <c r="O15" i="49"/>
  <c r="L15" i="49"/>
  <c r="I15" i="49"/>
  <c r="F15" i="49"/>
  <c r="X14" i="49"/>
  <c r="U14" i="49"/>
  <c r="R14" i="49"/>
  <c r="O14" i="49"/>
  <c r="L14" i="49"/>
  <c r="I14" i="49"/>
  <c r="F14" i="49"/>
  <c r="X13" i="49"/>
  <c r="U13" i="49"/>
  <c r="R13" i="49"/>
  <c r="O13" i="49"/>
  <c r="L13" i="49"/>
  <c r="I13" i="49"/>
  <c r="F13" i="49"/>
  <c r="X12" i="49"/>
  <c r="U12" i="49"/>
  <c r="R12" i="49"/>
  <c r="O12" i="49"/>
  <c r="L12" i="49"/>
  <c r="I12" i="49"/>
  <c r="F12" i="49"/>
  <c r="X11" i="49"/>
  <c r="U11" i="49"/>
  <c r="R11" i="49"/>
  <c r="O11" i="49"/>
  <c r="L11" i="49"/>
  <c r="I11" i="49"/>
  <c r="F11" i="49"/>
  <c r="X10" i="49"/>
  <c r="U10" i="49"/>
  <c r="R10" i="49"/>
  <c r="O10" i="49"/>
  <c r="L10" i="49"/>
  <c r="I10" i="49"/>
  <c r="F10" i="49"/>
  <c r="X9" i="49"/>
  <c r="U9" i="49"/>
  <c r="R9" i="49"/>
  <c r="O9" i="49"/>
  <c r="L9" i="49"/>
  <c r="I9" i="49"/>
  <c r="F9" i="49"/>
  <c r="X8" i="49"/>
  <c r="U8" i="49"/>
  <c r="R8" i="49"/>
  <c r="O8" i="49"/>
  <c r="L8" i="49"/>
  <c r="I8" i="49"/>
  <c r="F8" i="49"/>
  <c r="X7" i="49"/>
  <c r="U7" i="49"/>
  <c r="R7" i="49"/>
  <c r="O7" i="49"/>
  <c r="L7" i="49"/>
  <c r="I7" i="49"/>
  <c r="F7" i="49"/>
  <c r="X6" i="49"/>
  <c r="U6" i="49"/>
  <c r="R6" i="49"/>
  <c r="O6" i="49"/>
  <c r="L6" i="49"/>
  <c r="I6" i="49"/>
  <c r="F6" i="49"/>
  <c r="X5" i="49"/>
  <c r="U5" i="49"/>
  <c r="R5" i="49"/>
  <c r="O5" i="49"/>
  <c r="L5" i="49"/>
  <c r="I5" i="49"/>
  <c r="F5" i="49"/>
  <c r="X4" i="49"/>
  <c r="U4" i="49"/>
  <c r="R4" i="49"/>
  <c r="O4" i="49"/>
  <c r="L4" i="49"/>
  <c r="I4" i="49"/>
  <c r="F4" i="49"/>
  <c r="X98" i="48"/>
  <c r="U98" i="48"/>
  <c r="R98" i="48"/>
  <c r="O98" i="48"/>
  <c r="L98" i="48"/>
  <c r="I98" i="48"/>
  <c r="F98" i="48"/>
  <c r="X97" i="48"/>
  <c r="U97" i="48"/>
  <c r="R97" i="48"/>
  <c r="O97" i="48"/>
  <c r="L97" i="48"/>
  <c r="I97" i="48"/>
  <c r="F97" i="48"/>
  <c r="X96" i="48"/>
  <c r="U96" i="48"/>
  <c r="R96" i="48"/>
  <c r="O96" i="48"/>
  <c r="L96" i="48"/>
  <c r="I96" i="48"/>
  <c r="F96" i="48"/>
  <c r="X95" i="48"/>
  <c r="U95" i="48"/>
  <c r="R95" i="48"/>
  <c r="O95" i="48"/>
  <c r="L95" i="48"/>
  <c r="I95" i="48"/>
  <c r="F95" i="48"/>
  <c r="X94" i="48"/>
  <c r="U94" i="48"/>
  <c r="R94" i="48"/>
  <c r="O94" i="48"/>
  <c r="L94" i="48"/>
  <c r="I94" i="48"/>
  <c r="F94" i="48"/>
  <c r="X93" i="48"/>
  <c r="U93" i="48"/>
  <c r="R93" i="48"/>
  <c r="O93" i="48"/>
  <c r="L93" i="48"/>
  <c r="I93" i="48"/>
  <c r="F93" i="48"/>
  <c r="X92" i="48"/>
  <c r="U92" i="48"/>
  <c r="R92" i="48"/>
  <c r="O92" i="48"/>
  <c r="L92" i="48"/>
  <c r="I92" i="48"/>
  <c r="F92" i="48"/>
  <c r="X91" i="48"/>
  <c r="U91" i="48"/>
  <c r="R91" i="48"/>
  <c r="O91" i="48"/>
  <c r="L91" i="48"/>
  <c r="I91" i="48"/>
  <c r="F91" i="48"/>
  <c r="X90" i="48"/>
  <c r="U90" i="48"/>
  <c r="R90" i="48"/>
  <c r="O90" i="48"/>
  <c r="L90" i="48"/>
  <c r="I90" i="48"/>
  <c r="F90" i="48"/>
  <c r="X89" i="48"/>
  <c r="U89" i="48"/>
  <c r="R89" i="48"/>
  <c r="O89" i="48"/>
  <c r="L89" i="48"/>
  <c r="I89" i="48"/>
  <c r="F89" i="48"/>
  <c r="X88" i="48"/>
  <c r="U88" i="48"/>
  <c r="R88" i="48"/>
  <c r="O88" i="48"/>
  <c r="L88" i="48"/>
  <c r="I88" i="48"/>
  <c r="F88" i="48"/>
  <c r="X87" i="48"/>
  <c r="U87" i="48"/>
  <c r="R87" i="48"/>
  <c r="O87" i="48"/>
  <c r="L87" i="48"/>
  <c r="I87" i="48"/>
  <c r="F87" i="48"/>
  <c r="X86" i="48"/>
  <c r="U86" i="48"/>
  <c r="R86" i="48"/>
  <c r="O86" i="48"/>
  <c r="L86" i="48"/>
  <c r="I86" i="48"/>
  <c r="F86" i="48"/>
  <c r="X85" i="48"/>
  <c r="U85" i="48"/>
  <c r="R85" i="48"/>
  <c r="O85" i="48"/>
  <c r="L85" i="48"/>
  <c r="I85" i="48"/>
  <c r="F85" i="48"/>
  <c r="X84" i="48"/>
  <c r="U84" i="48"/>
  <c r="R84" i="48"/>
  <c r="O84" i="48"/>
  <c r="L84" i="48"/>
  <c r="I84" i="48"/>
  <c r="F84" i="48"/>
  <c r="X83" i="48"/>
  <c r="U83" i="48"/>
  <c r="R83" i="48"/>
  <c r="O83" i="48"/>
  <c r="L83" i="48"/>
  <c r="I83" i="48"/>
  <c r="F83" i="48"/>
  <c r="X82" i="48"/>
  <c r="U82" i="48"/>
  <c r="R82" i="48"/>
  <c r="O82" i="48"/>
  <c r="L82" i="48"/>
  <c r="I82" i="48"/>
  <c r="F82" i="48"/>
  <c r="X81" i="48"/>
  <c r="U81" i="48"/>
  <c r="R81" i="48"/>
  <c r="O81" i="48"/>
  <c r="L81" i="48"/>
  <c r="I81" i="48"/>
  <c r="F81" i="48"/>
  <c r="X80" i="48"/>
  <c r="U80" i="48"/>
  <c r="R80" i="48"/>
  <c r="O80" i="48"/>
  <c r="L80" i="48"/>
  <c r="I80" i="48"/>
  <c r="F80" i="48"/>
  <c r="X79" i="48"/>
  <c r="U79" i="48"/>
  <c r="R79" i="48"/>
  <c r="O79" i="48"/>
  <c r="L79" i="48"/>
  <c r="I79" i="48"/>
  <c r="F79" i="48"/>
  <c r="X78" i="48"/>
  <c r="U78" i="48"/>
  <c r="R78" i="48"/>
  <c r="O78" i="48"/>
  <c r="L78" i="48"/>
  <c r="I78" i="48"/>
  <c r="F78" i="48"/>
  <c r="X77" i="48"/>
  <c r="U77" i="48"/>
  <c r="R77" i="48"/>
  <c r="O77" i="48"/>
  <c r="L77" i="48"/>
  <c r="I77" i="48"/>
  <c r="F77" i="48"/>
  <c r="X76" i="48"/>
  <c r="U76" i="48"/>
  <c r="R76" i="48"/>
  <c r="O76" i="48"/>
  <c r="L76" i="48"/>
  <c r="I76" i="48"/>
  <c r="F76" i="48"/>
  <c r="X75" i="48"/>
  <c r="U75" i="48"/>
  <c r="R75" i="48"/>
  <c r="O75" i="48"/>
  <c r="L75" i="48"/>
  <c r="I75" i="48"/>
  <c r="F75" i="48"/>
  <c r="X74" i="48"/>
  <c r="U74" i="48"/>
  <c r="R74" i="48"/>
  <c r="O74" i="48"/>
  <c r="L74" i="48"/>
  <c r="I74" i="48"/>
  <c r="F74" i="48"/>
  <c r="X73" i="48"/>
  <c r="U73" i="48"/>
  <c r="R73" i="48"/>
  <c r="O73" i="48"/>
  <c r="L73" i="48"/>
  <c r="I73" i="48"/>
  <c r="F73" i="48"/>
  <c r="X72" i="48"/>
  <c r="U72" i="48"/>
  <c r="R72" i="48"/>
  <c r="O72" i="48"/>
  <c r="L72" i="48"/>
  <c r="I72" i="48"/>
  <c r="F72" i="48"/>
  <c r="X71" i="48"/>
  <c r="U71" i="48"/>
  <c r="R71" i="48"/>
  <c r="O71" i="48"/>
  <c r="L71" i="48"/>
  <c r="I71" i="48"/>
  <c r="F71" i="48"/>
  <c r="X70" i="48"/>
  <c r="U70" i="48"/>
  <c r="R70" i="48"/>
  <c r="O70" i="48"/>
  <c r="L70" i="48"/>
  <c r="I70" i="48"/>
  <c r="F70" i="48"/>
  <c r="X69" i="48"/>
  <c r="U69" i="48"/>
  <c r="R69" i="48"/>
  <c r="O69" i="48"/>
  <c r="L69" i="48"/>
  <c r="I69" i="48"/>
  <c r="F69" i="48"/>
  <c r="X68" i="48"/>
  <c r="U68" i="48"/>
  <c r="R68" i="48"/>
  <c r="O68" i="48"/>
  <c r="L68" i="48"/>
  <c r="I68" i="48"/>
  <c r="F68" i="48"/>
  <c r="X67" i="48"/>
  <c r="U67" i="48"/>
  <c r="R67" i="48"/>
  <c r="O67" i="48"/>
  <c r="L67" i="48"/>
  <c r="I67" i="48"/>
  <c r="F67" i="48"/>
  <c r="X66" i="48"/>
  <c r="U66" i="48"/>
  <c r="R66" i="48"/>
  <c r="O66" i="48"/>
  <c r="L66" i="48"/>
  <c r="I66" i="48"/>
  <c r="F66" i="48"/>
  <c r="X65" i="48"/>
  <c r="U65" i="48"/>
  <c r="R65" i="48"/>
  <c r="O65" i="48"/>
  <c r="L65" i="48"/>
  <c r="I65" i="48"/>
  <c r="F65" i="48"/>
  <c r="X64" i="48"/>
  <c r="U64" i="48"/>
  <c r="R64" i="48"/>
  <c r="O64" i="48"/>
  <c r="L64" i="48"/>
  <c r="I64" i="48"/>
  <c r="F64" i="48"/>
  <c r="X63" i="48"/>
  <c r="U63" i="48"/>
  <c r="R63" i="48"/>
  <c r="O63" i="48"/>
  <c r="L63" i="48"/>
  <c r="I63" i="48"/>
  <c r="F63" i="48"/>
  <c r="X62" i="48"/>
  <c r="U62" i="48"/>
  <c r="R62" i="48"/>
  <c r="O62" i="48"/>
  <c r="L62" i="48"/>
  <c r="I62" i="48"/>
  <c r="F62" i="48"/>
  <c r="X61" i="48"/>
  <c r="U61" i="48"/>
  <c r="R61" i="48"/>
  <c r="O61" i="48"/>
  <c r="L61" i="48"/>
  <c r="I61" i="48"/>
  <c r="F61" i="48"/>
  <c r="X60" i="48"/>
  <c r="U60" i="48"/>
  <c r="R60" i="48"/>
  <c r="O60" i="48"/>
  <c r="L60" i="48"/>
  <c r="I60" i="48"/>
  <c r="F60" i="48"/>
  <c r="X59" i="48"/>
  <c r="U59" i="48"/>
  <c r="R59" i="48"/>
  <c r="O59" i="48"/>
  <c r="L59" i="48"/>
  <c r="I59" i="48"/>
  <c r="F59" i="48"/>
  <c r="X58" i="48"/>
  <c r="U58" i="48"/>
  <c r="R58" i="48"/>
  <c r="O58" i="48"/>
  <c r="L58" i="48"/>
  <c r="I58" i="48"/>
  <c r="F58" i="48"/>
  <c r="X57" i="48"/>
  <c r="U57" i="48"/>
  <c r="R57" i="48"/>
  <c r="O57" i="48"/>
  <c r="L57" i="48"/>
  <c r="I57" i="48"/>
  <c r="F57" i="48"/>
  <c r="X56" i="48"/>
  <c r="U56" i="48"/>
  <c r="R56" i="48"/>
  <c r="O56" i="48"/>
  <c r="L56" i="48"/>
  <c r="I56" i="48"/>
  <c r="F56" i="48"/>
  <c r="X55" i="48"/>
  <c r="U55" i="48"/>
  <c r="R55" i="48"/>
  <c r="O55" i="48"/>
  <c r="L55" i="48"/>
  <c r="I55" i="48"/>
  <c r="F55" i="48"/>
  <c r="X54" i="48"/>
  <c r="U54" i="48"/>
  <c r="R54" i="48"/>
  <c r="O54" i="48"/>
  <c r="L54" i="48"/>
  <c r="I54" i="48"/>
  <c r="F54" i="48"/>
  <c r="X53" i="48"/>
  <c r="U53" i="48"/>
  <c r="R53" i="48"/>
  <c r="O53" i="48"/>
  <c r="L53" i="48"/>
  <c r="I53" i="48"/>
  <c r="F53" i="48"/>
  <c r="X52" i="48"/>
  <c r="U52" i="48"/>
  <c r="R52" i="48"/>
  <c r="O52" i="48"/>
  <c r="L52" i="48"/>
  <c r="I52" i="48"/>
  <c r="F52" i="48"/>
  <c r="X51" i="48"/>
  <c r="U51" i="48"/>
  <c r="R51" i="48"/>
  <c r="O51" i="48"/>
  <c r="L51" i="48"/>
  <c r="I51" i="48"/>
  <c r="F51" i="48"/>
  <c r="X50" i="48"/>
  <c r="U50" i="48"/>
  <c r="R50" i="48"/>
  <c r="O50" i="48"/>
  <c r="L50" i="48"/>
  <c r="I50" i="48"/>
  <c r="F50" i="48"/>
  <c r="X49" i="48"/>
  <c r="U49" i="48"/>
  <c r="R49" i="48"/>
  <c r="O49" i="48"/>
  <c r="L49" i="48"/>
  <c r="I49" i="48"/>
  <c r="F49" i="48"/>
  <c r="X48" i="48"/>
  <c r="U48" i="48"/>
  <c r="R48" i="48"/>
  <c r="O48" i="48"/>
  <c r="L48" i="48"/>
  <c r="I48" i="48"/>
  <c r="F48" i="48"/>
  <c r="X47" i="48"/>
  <c r="U47" i="48"/>
  <c r="R47" i="48"/>
  <c r="O47" i="48"/>
  <c r="L47" i="48"/>
  <c r="I47" i="48"/>
  <c r="F47" i="48"/>
  <c r="X46" i="48"/>
  <c r="U46" i="48"/>
  <c r="R46" i="48"/>
  <c r="O46" i="48"/>
  <c r="L46" i="48"/>
  <c r="I46" i="48"/>
  <c r="F46" i="48"/>
  <c r="X45" i="48"/>
  <c r="U45" i="48"/>
  <c r="R45" i="48"/>
  <c r="O45" i="48"/>
  <c r="L45" i="48"/>
  <c r="I45" i="48"/>
  <c r="F45" i="48"/>
  <c r="X44" i="48"/>
  <c r="U44" i="48"/>
  <c r="R44" i="48"/>
  <c r="O44" i="48"/>
  <c r="L44" i="48"/>
  <c r="I44" i="48"/>
  <c r="F44" i="48"/>
  <c r="X43" i="48"/>
  <c r="U43" i="48"/>
  <c r="R43" i="48"/>
  <c r="O43" i="48"/>
  <c r="L43" i="48"/>
  <c r="I43" i="48"/>
  <c r="F43" i="48"/>
  <c r="X42" i="48"/>
  <c r="U42" i="48"/>
  <c r="R42" i="48"/>
  <c r="O42" i="48"/>
  <c r="L42" i="48"/>
  <c r="I42" i="48"/>
  <c r="F42" i="48"/>
  <c r="X41" i="48"/>
  <c r="U41" i="48"/>
  <c r="R41" i="48"/>
  <c r="O41" i="48"/>
  <c r="L41" i="48"/>
  <c r="I41" i="48"/>
  <c r="F41" i="48"/>
  <c r="X40" i="48"/>
  <c r="U40" i="48"/>
  <c r="R40" i="48"/>
  <c r="O40" i="48"/>
  <c r="L40" i="48"/>
  <c r="I40" i="48"/>
  <c r="F40" i="48"/>
  <c r="X39" i="48"/>
  <c r="U39" i="48"/>
  <c r="R39" i="48"/>
  <c r="O39" i="48"/>
  <c r="L39" i="48"/>
  <c r="I39" i="48"/>
  <c r="F39" i="48"/>
  <c r="X38" i="48"/>
  <c r="U38" i="48"/>
  <c r="R38" i="48"/>
  <c r="O38" i="48"/>
  <c r="L38" i="48"/>
  <c r="I38" i="48"/>
  <c r="F38" i="48"/>
  <c r="X37" i="48"/>
  <c r="U37" i="48"/>
  <c r="R37" i="48"/>
  <c r="O37" i="48"/>
  <c r="L37" i="48"/>
  <c r="I37" i="48"/>
  <c r="F37" i="48"/>
  <c r="X36" i="48"/>
  <c r="U36" i="48"/>
  <c r="R36" i="48"/>
  <c r="O36" i="48"/>
  <c r="L36" i="48"/>
  <c r="I36" i="48"/>
  <c r="F36" i="48"/>
  <c r="X35" i="48"/>
  <c r="U35" i="48"/>
  <c r="R35" i="48"/>
  <c r="O35" i="48"/>
  <c r="L35" i="48"/>
  <c r="I35" i="48"/>
  <c r="F35" i="48"/>
  <c r="X34" i="48"/>
  <c r="U34" i="48"/>
  <c r="R34" i="48"/>
  <c r="O34" i="48"/>
  <c r="L34" i="48"/>
  <c r="I34" i="48"/>
  <c r="F34" i="48"/>
  <c r="X33" i="48"/>
  <c r="U33" i="48"/>
  <c r="R33" i="48"/>
  <c r="O33" i="48"/>
  <c r="L33" i="48"/>
  <c r="I33" i="48"/>
  <c r="F33" i="48"/>
  <c r="X32" i="48"/>
  <c r="U32" i="48"/>
  <c r="R32" i="48"/>
  <c r="O32" i="48"/>
  <c r="L32" i="48"/>
  <c r="I32" i="48"/>
  <c r="F32" i="48"/>
  <c r="X31" i="48"/>
  <c r="U31" i="48"/>
  <c r="R31" i="48"/>
  <c r="O31" i="48"/>
  <c r="L31" i="48"/>
  <c r="I31" i="48"/>
  <c r="F31" i="48"/>
  <c r="X30" i="48"/>
  <c r="U30" i="48"/>
  <c r="R30" i="48"/>
  <c r="O30" i="48"/>
  <c r="L30" i="48"/>
  <c r="I30" i="48"/>
  <c r="F30" i="48"/>
  <c r="X29" i="48"/>
  <c r="U29" i="48"/>
  <c r="R29" i="48"/>
  <c r="O29" i="48"/>
  <c r="L29" i="48"/>
  <c r="I29" i="48"/>
  <c r="F29" i="48"/>
  <c r="X28" i="48"/>
  <c r="U28" i="48"/>
  <c r="R28" i="48"/>
  <c r="O28" i="48"/>
  <c r="L28" i="48"/>
  <c r="I28" i="48"/>
  <c r="F28" i="48"/>
  <c r="X27" i="48"/>
  <c r="U27" i="48"/>
  <c r="R27" i="48"/>
  <c r="O27" i="48"/>
  <c r="L27" i="48"/>
  <c r="I27" i="48"/>
  <c r="F27" i="48"/>
  <c r="X26" i="48"/>
  <c r="U26" i="48"/>
  <c r="R26" i="48"/>
  <c r="O26" i="48"/>
  <c r="L26" i="48"/>
  <c r="I26" i="48"/>
  <c r="F26" i="48"/>
  <c r="X25" i="48"/>
  <c r="U25" i="48"/>
  <c r="R25" i="48"/>
  <c r="O25" i="48"/>
  <c r="L25" i="48"/>
  <c r="I25" i="48"/>
  <c r="F25" i="48"/>
  <c r="X24" i="48"/>
  <c r="U24" i="48"/>
  <c r="R24" i="48"/>
  <c r="O24" i="48"/>
  <c r="L24" i="48"/>
  <c r="I24" i="48"/>
  <c r="F24" i="48"/>
  <c r="X23" i="48"/>
  <c r="U23" i="48"/>
  <c r="R23" i="48"/>
  <c r="O23" i="48"/>
  <c r="L23" i="48"/>
  <c r="I23" i="48"/>
  <c r="F23" i="48"/>
  <c r="X22" i="48"/>
  <c r="U22" i="48"/>
  <c r="R22" i="48"/>
  <c r="O22" i="48"/>
  <c r="L22" i="48"/>
  <c r="I22" i="48"/>
  <c r="F22" i="48"/>
  <c r="X21" i="48"/>
  <c r="U21" i="48"/>
  <c r="R21" i="48"/>
  <c r="O21" i="48"/>
  <c r="L21" i="48"/>
  <c r="I21" i="48"/>
  <c r="F21" i="48"/>
  <c r="X20" i="48"/>
  <c r="U20" i="48"/>
  <c r="R20" i="48"/>
  <c r="O20" i="48"/>
  <c r="L20" i="48"/>
  <c r="I20" i="48"/>
  <c r="F20" i="48"/>
  <c r="X19" i="48"/>
  <c r="U19" i="48"/>
  <c r="R19" i="48"/>
  <c r="O19" i="48"/>
  <c r="L19" i="48"/>
  <c r="I19" i="48"/>
  <c r="F19" i="48"/>
  <c r="X18" i="48"/>
  <c r="U18" i="48"/>
  <c r="R18" i="48"/>
  <c r="O18" i="48"/>
  <c r="L18" i="48"/>
  <c r="I18" i="48"/>
  <c r="F18" i="48"/>
  <c r="X17" i="48"/>
  <c r="U17" i="48"/>
  <c r="R17" i="48"/>
  <c r="O17" i="48"/>
  <c r="L17" i="48"/>
  <c r="I17" i="48"/>
  <c r="F17" i="48"/>
  <c r="X16" i="48"/>
  <c r="U16" i="48"/>
  <c r="R16" i="48"/>
  <c r="O16" i="48"/>
  <c r="L16" i="48"/>
  <c r="I16" i="48"/>
  <c r="F16" i="48"/>
  <c r="X15" i="48"/>
  <c r="U15" i="48"/>
  <c r="R15" i="48"/>
  <c r="O15" i="48"/>
  <c r="L15" i="48"/>
  <c r="I15" i="48"/>
  <c r="F15" i="48"/>
  <c r="X14" i="48"/>
  <c r="U14" i="48"/>
  <c r="R14" i="48"/>
  <c r="O14" i="48"/>
  <c r="L14" i="48"/>
  <c r="I14" i="48"/>
  <c r="F14" i="48"/>
  <c r="X13" i="48"/>
  <c r="U13" i="48"/>
  <c r="R13" i="48"/>
  <c r="O13" i="48"/>
  <c r="L13" i="48"/>
  <c r="I13" i="48"/>
  <c r="F13" i="48"/>
  <c r="X12" i="48"/>
  <c r="U12" i="48"/>
  <c r="R12" i="48"/>
  <c r="O12" i="48"/>
  <c r="L12" i="48"/>
  <c r="I12" i="48"/>
  <c r="F12" i="48"/>
  <c r="X11" i="48"/>
  <c r="U11" i="48"/>
  <c r="R11" i="48"/>
  <c r="O11" i="48"/>
  <c r="L11" i="48"/>
  <c r="I11" i="48"/>
  <c r="F11" i="48"/>
  <c r="X10" i="48"/>
  <c r="U10" i="48"/>
  <c r="R10" i="48"/>
  <c r="O10" i="48"/>
  <c r="L10" i="48"/>
  <c r="I10" i="48"/>
  <c r="F10" i="48"/>
  <c r="X9" i="48"/>
  <c r="U9" i="48"/>
  <c r="R9" i="48"/>
  <c r="O9" i="48"/>
  <c r="L9" i="48"/>
  <c r="I9" i="48"/>
  <c r="F9" i="48"/>
  <c r="X8" i="48"/>
  <c r="U8" i="48"/>
  <c r="R8" i="48"/>
  <c r="O8" i="48"/>
  <c r="L8" i="48"/>
  <c r="I8" i="48"/>
  <c r="F8" i="48"/>
  <c r="X7" i="48"/>
  <c r="U7" i="48"/>
  <c r="R7" i="48"/>
  <c r="O7" i="48"/>
  <c r="L7" i="48"/>
  <c r="I7" i="48"/>
  <c r="F7" i="48"/>
  <c r="X6" i="48"/>
  <c r="U6" i="48"/>
  <c r="R6" i="48"/>
  <c r="O6" i="48"/>
  <c r="L6" i="48"/>
  <c r="I6" i="48"/>
  <c r="F6" i="48"/>
  <c r="X5" i="48"/>
  <c r="U5" i="48"/>
  <c r="R5" i="48"/>
  <c r="O5" i="48"/>
  <c r="L5" i="48"/>
  <c r="I5" i="48"/>
  <c r="F5" i="48"/>
  <c r="X4" i="48"/>
  <c r="U4" i="48"/>
  <c r="R4" i="48"/>
  <c r="O4" i="48"/>
  <c r="L4" i="48"/>
  <c r="I4" i="48"/>
  <c r="F4" i="48"/>
  <c r="X98" i="47"/>
  <c r="U98" i="47"/>
  <c r="R98" i="47"/>
  <c r="O98" i="47"/>
  <c r="L98" i="47"/>
  <c r="I98" i="47"/>
  <c r="F98" i="47"/>
  <c r="X97" i="47"/>
  <c r="U97" i="47"/>
  <c r="R97" i="47"/>
  <c r="O97" i="47"/>
  <c r="L97" i="47"/>
  <c r="I97" i="47"/>
  <c r="F97" i="47"/>
  <c r="X96" i="47"/>
  <c r="U96" i="47"/>
  <c r="R96" i="47"/>
  <c r="O96" i="47"/>
  <c r="L96" i="47"/>
  <c r="I96" i="47"/>
  <c r="F96" i="47"/>
  <c r="X95" i="47"/>
  <c r="U95" i="47"/>
  <c r="R95" i="47"/>
  <c r="O95" i="47"/>
  <c r="L95" i="47"/>
  <c r="I95" i="47"/>
  <c r="F95" i="47"/>
  <c r="X94" i="47"/>
  <c r="U94" i="47"/>
  <c r="R94" i="47"/>
  <c r="O94" i="47"/>
  <c r="L94" i="47"/>
  <c r="I94" i="47"/>
  <c r="F94" i="47"/>
  <c r="X93" i="47"/>
  <c r="U93" i="47"/>
  <c r="R93" i="47"/>
  <c r="O93" i="47"/>
  <c r="L93" i="47"/>
  <c r="I93" i="47"/>
  <c r="F93" i="47"/>
  <c r="X92" i="47"/>
  <c r="U92" i="47"/>
  <c r="R92" i="47"/>
  <c r="O92" i="47"/>
  <c r="L92" i="47"/>
  <c r="I92" i="47"/>
  <c r="F92" i="47"/>
  <c r="X91" i="47"/>
  <c r="U91" i="47"/>
  <c r="R91" i="47"/>
  <c r="O91" i="47"/>
  <c r="L91" i="47"/>
  <c r="I91" i="47"/>
  <c r="F91" i="47"/>
  <c r="X90" i="47"/>
  <c r="U90" i="47"/>
  <c r="R90" i="47"/>
  <c r="O90" i="47"/>
  <c r="L90" i="47"/>
  <c r="I90" i="47"/>
  <c r="F90" i="47"/>
  <c r="X89" i="47"/>
  <c r="U89" i="47"/>
  <c r="R89" i="47"/>
  <c r="O89" i="47"/>
  <c r="L89" i="47"/>
  <c r="I89" i="47"/>
  <c r="F89" i="47"/>
  <c r="X88" i="47"/>
  <c r="U88" i="47"/>
  <c r="R88" i="47"/>
  <c r="O88" i="47"/>
  <c r="L88" i="47"/>
  <c r="I88" i="47"/>
  <c r="F88" i="47"/>
  <c r="X87" i="47"/>
  <c r="U87" i="47"/>
  <c r="R87" i="47"/>
  <c r="O87" i="47"/>
  <c r="L87" i="47"/>
  <c r="I87" i="47"/>
  <c r="F87" i="47"/>
  <c r="X86" i="47"/>
  <c r="U86" i="47"/>
  <c r="R86" i="47"/>
  <c r="O86" i="47"/>
  <c r="L86" i="47"/>
  <c r="I86" i="47"/>
  <c r="F86" i="47"/>
  <c r="X85" i="47"/>
  <c r="U85" i="47"/>
  <c r="R85" i="47"/>
  <c r="O85" i="47"/>
  <c r="L85" i="47"/>
  <c r="I85" i="47"/>
  <c r="F85" i="47"/>
  <c r="X84" i="47"/>
  <c r="U84" i="47"/>
  <c r="R84" i="47"/>
  <c r="O84" i="47"/>
  <c r="L84" i="47"/>
  <c r="I84" i="47"/>
  <c r="F84" i="47"/>
  <c r="X83" i="47"/>
  <c r="U83" i="47"/>
  <c r="R83" i="47"/>
  <c r="O83" i="47"/>
  <c r="L83" i="47"/>
  <c r="I83" i="47"/>
  <c r="F83" i="47"/>
  <c r="X82" i="47"/>
  <c r="U82" i="47"/>
  <c r="R82" i="47"/>
  <c r="O82" i="47"/>
  <c r="L82" i="47"/>
  <c r="I82" i="47"/>
  <c r="F82" i="47"/>
  <c r="X81" i="47"/>
  <c r="U81" i="47"/>
  <c r="R81" i="47"/>
  <c r="O81" i="47"/>
  <c r="L81" i="47"/>
  <c r="I81" i="47"/>
  <c r="F81" i="47"/>
  <c r="X80" i="47"/>
  <c r="U80" i="47"/>
  <c r="R80" i="47"/>
  <c r="O80" i="47"/>
  <c r="L80" i="47"/>
  <c r="I80" i="47"/>
  <c r="F80" i="47"/>
  <c r="X79" i="47"/>
  <c r="U79" i="47"/>
  <c r="R79" i="47"/>
  <c r="O79" i="47"/>
  <c r="L79" i="47"/>
  <c r="I79" i="47"/>
  <c r="F79" i="47"/>
  <c r="X78" i="47"/>
  <c r="U78" i="47"/>
  <c r="R78" i="47"/>
  <c r="O78" i="47"/>
  <c r="L78" i="47"/>
  <c r="I78" i="47"/>
  <c r="F78" i="47"/>
  <c r="X77" i="47"/>
  <c r="U77" i="47"/>
  <c r="R77" i="47"/>
  <c r="O77" i="47"/>
  <c r="L77" i="47"/>
  <c r="I77" i="47"/>
  <c r="F77" i="47"/>
  <c r="X76" i="47"/>
  <c r="U76" i="47"/>
  <c r="R76" i="47"/>
  <c r="O76" i="47"/>
  <c r="L76" i="47"/>
  <c r="I76" i="47"/>
  <c r="F76" i="47"/>
  <c r="X75" i="47"/>
  <c r="U75" i="47"/>
  <c r="R75" i="47"/>
  <c r="O75" i="47"/>
  <c r="L75" i="47"/>
  <c r="I75" i="47"/>
  <c r="F75" i="47"/>
  <c r="X74" i="47"/>
  <c r="U74" i="47"/>
  <c r="R74" i="47"/>
  <c r="O74" i="47"/>
  <c r="L74" i="47"/>
  <c r="I74" i="47"/>
  <c r="F74" i="47"/>
  <c r="X73" i="47"/>
  <c r="U73" i="47"/>
  <c r="R73" i="47"/>
  <c r="O73" i="47"/>
  <c r="L73" i="47"/>
  <c r="I73" i="47"/>
  <c r="F73" i="47"/>
  <c r="X72" i="47"/>
  <c r="U72" i="47"/>
  <c r="R72" i="47"/>
  <c r="O72" i="47"/>
  <c r="L72" i="47"/>
  <c r="I72" i="47"/>
  <c r="F72" i="47"/>
  <c r="X71" i="47"/>
  <c r="U71" i="47"/>
  <c r="R71" i="47"/>
  <c r="O71" i="47"/>
  <c r="L71" i="47"/>
  <c r="I71" i="47"/>
  <c r="F71" i="47"/>
  <c r="X70" i="47"/>
  <c r="U70" i="47"/>
  <c r="R70" i="47"/>
  <c r="O70" i="47"/>
  <c r="L70" i="47"/>
  <c r="I70" i="47"/>
  <c r="F70" i="47"/>
  <c r="X69" i="47"/>
  <c r="U69" i="47"/>
  <c r="R69" i="47"/>
  <c r="O69" i="47"/>
  <c r="L69" i="47"/>
  <c r="I69" i="47"/>
  <c r="F69" i="47"/>
  <c r="X68" i="47"/>
  <c r="U68" i="47"/>
  <c r="R68" i="47"/>
  <c r="O68" i="47"/>
  <c r="L68" i="47"/>
  <c r="I68" i="47"/>
  <c r="F68" i="47"/>
  <c r="X67" i="47"/>
  <c r="U67" i="47"/>
  <c r="R67" i="47"/>
  <c r="O67" i="47"/>
  <c r="L67" i="47"/>
  <c r="I67" i="47"/>
  <c r="F67" i="47"/>
  <c r="X66" i="47"/>
  <c r="U66" i="47"/>
  <c r="R66" i="47"/>
  <c r="O66" i="47"/>
  <c r="L66" i="47"/>
  <c r="I66" i="47"/>
  <c r="F66" i="47"/>
  <c r="X65" i="47"/>
  <c r="U65" i="47"/>
  <c r="R65" i="47"/>
  <c r="O65" i="47"/>
  <c r="L65" i="47"/>
  <c r="I65" i="47"/>
  <c r="F65" i="47"/>
  <c r="X64" i="47"/>
  <c r="U64" i="47"/>
  <c r="R64" i="47"/>
  <c r="O64" i="47"/>
  <c r="L64" i="47"/>
  <c r="I64" i="47"/>
  <c r="F64" i="47"/>
  <c r="X63" i="47"/>
  <c r="U63" i="47"/>
  <c r="R63" i="47"/>
  <c r="O63" i="47"/>
  <c r="L63" i="47"/>
  <c r="I63" i="47"/>
  <c r="F63" i="47"/>
  <c r="X62" i="47"/>
  <c r="U62" i="47"/>
  <c r="R62" i="47"/>
  <c r="O62" i="47"/>
  <c r="L62" i="47"/>
  <c r="I62" i="47"/>
  <c r="F62" i="47"/>
  <c r="X61" i="47"/>
  <c r="U61" i="47"/>
  <c r="R61" i="47"/>
  <c r="O61" i="47"/>
  <c r="L61" i="47"/>
  <c r="I61" i="47"/>
  <c r="F61" i="47"/>
  <c r="X60" i="47"/>
  <c r="U60" i="47"/>
  <c r="R60" i="47"/>
  <c r="O60" i="47"/>
  <c r="L60" i="47"/>
  <c r="I60" i="47"/>
  <c r="F60" i="47"/>
  <c r="X59" i="47"/>
  <c r="U59" i="47"/>
  <c r="R59" i="47"/>
  <c r="O59" i="47"/>
  <c r="L59" i="47"/>
  <c r="I59" i="47"/>
  <c r="F59" i="47"/>
  <c r="X58" i="47"/>
  <c r="U58" i="47"/>
  <c r="R58" i="47"/>
  <c r="O58" i="47"/>
  <c r="L58" i="47"/>
  <c r="I58" i="47"/>
  <c r="F58" i="47"/>
  <c r="X57" i="47"/>
  <c r="U57" i="47"/>
  <c r="R57" i="47"/>
  <c r="O57" i="47"/>
  <c r="L57" i="47"/>
  <c r="I57" i="47"/>
  <c r="F57" i="47"/>
  <c r="X56" i="47"/>
  <c r="U56" i="47"/>
  <c r="R56" i="47"/>
  <c r="O56" i="47"/>
  <c r="L56" i="47"/>
  <c r="I56" i="47"/>
  <c r="F56" i="47"/>
  <c r="X55" i="47"/>
  <c r="U55" i="47"/>
  <c r="R55" i="47"/>
  <c r="O55" i="47"/>
  <c r="L55" i="47"/>
  <c r="I55" i="47"/>
  <c r="F55" i="47"/>
  <c r="X54" i="47"/>
  <c r="U54" i="47"/>
  <c r="R54" i="47"/>
  <c r="O54" i="47"/>
  <c r="L54" i="47"/>
  <c r="I54" i="47"/>
  <c r="F54" i="47"/>
  <c r="X53" i="47"/>
  <c r="U53" i="47"/>
  <c r="R53" i="47"/>
  <c r="O53" i="47"/>
  <c r="L53" i="47"/>
  <c r="I53" i="47"/>
  <c r="F53" i="47"/>
  <c r="X52" i="47"/>
  <c r="U52" i="47"/>
  <c r="R52" i="47"/>
  <c r="O52" i="47"/>
  <c r="L52" i="47"/>
  <c r="I52" i="47"/>
  <c r="F52" i="47"/>
  <c r="X51" i="47"/>
  <c r="U51" i="47"/>
  <c r="R51" i="47"/>
  <c r="O51" i="47"/>
  <c r="L51" i="47"/>
  <c r="I51" i="47"/>
  <c r="F51" i="47"/>
  <c r="X50" i="47"/>
  <c r="U50" i="47"/>
  <c r="R50" i="47"/>
  <c r="O50" i="47"/>
  <c r="L50" i="47"/>
  <c r="I50" i="47"/>
  <c r="F50" i="47"/>
  <c r="X49" i="47"/>
  <c r="U49" i="47"/>
  <c r="R49" i="47"/>
  <c r="O49" i="47"/>
  <c r="L49" i="47"/>
  <c r="I49" i="47"/>
  <c r="F49" i="47"/>
  <c r="X48" i="47"/>
  <c r="U48" i="47"/>
  <c r="R48" i="47"/>
  <c r="O48" i="47"/>
  <c r="L48" i="47"/>
  <c r="I48" i="47"/>
  <c r="F48" i="47"/>
  <c r="X47" i="47"/>
  <c r="U47" i="47"/>
  <c r="R47" i="47"/>
  <c r="O47" i="47"/>
  <c r="L47" i="47"/>
  <c r="I47" i="47"/>
  <c r="F47" i="47"/>
  <c r="X46" i="47"/>
  <c r="U46" i="47"/>
  <c r="R46" i="47"/>
  <c r="O46" i="47"/>
  <c r="L46" i="47"/>
  <c r="I46" i="47"/>
  <c r="F46" i="47"/>
  <c r="X45" i="47"/>
  <c r="U45" i="47"/>
  <c r="R45" i="47"/>
  <c r="O45" i="47"/>
  <c r="L45" i="47"/>
  <c r="I45" i="47"/>
  <c r="F45" i="47"/>
  <c r="X44" i="47"/>
  <c r="U44" i="47"/>
  <c r="R44" i="47"/>
  <c r="O44" i="47"/>
  <c r="L44" i="47"/>
  <c r="I44" i="47"/>
  <c r="F44" i="47"/>
  <c r="X43" i="47"/>
  <c r="U43" i="47"/>
  <c r="R43" i="47"/>
  <c r="O43" i="47"/>
  <c r="L43" i="47"/>
  <c r="I43" i="47"/>
  <c r="F43" i="47"/>
  <c r="X42" i="47"/>
  <c r="U42" i="47"/>
  <c r="R42" i="47"/>
  <c r="O42" i="47"/>
  <c r="L42" i="47"/>
  <c r="I42" i="47"/>
  <c r="F42" i="47"/>
  <c r="X41" i="47"/>
  <c r="U41" i="47"/>
  <c r="R41" i="47"/>
  <c r="O41" i="47"/>
  <c r="L41" i="47"/>
  <c r="I41" i="47"/>
  <c r="F41" i="47"/>
  <c r="X40" i="47"/>
  <c r="U40" i="47"/>
  <c r="R40" i="47"/>
  <c r="O40" i="47"/>
  <c r="L40" i="47"/>
  <c r="I40" i="47"/>
  <c r="F40" i="47"/>
  <c r="X39" i="47"/>
  <c r="U39" i="47"/>
  <c r="R39" i="47"/>
  <c r="O39" i="47"/>
  <c r="L39" i="47"/>
  <c r="I39" i="47"/>
  <c r="F39" i="47"/>
  <c r="X38" i="47"/>
  <c r="U38" i="47"/>
  <c r="R38" i="47"/>
  <c r="O38" i="47"/>
  <c r="L38" i="47"/>
  <c r="I38" i="47"/>
  <c r="F38" i="47"/>
  <c r="X37" i="47"/>
  <c r="U37" i="47"/>
  <c r="R37" i="47"/>
  <c r="O37" i="47"/>
  <c r="L37" i="47"/>
  <c r="I37" i="47"/>
  <c r="F37" i="47"/>
  <c r="X36" i="47"/>
  <c r="U36" i="47"/>
  <c r="R36" i="47"/>
  <c r="O36" i="47"/>
  <c r="L36" i="47"/>
  <c r="I36" i="47"/>
  <c r="F36" i="47"/>
  <c r="X35" i="47"/>
  <c r="U35" i="47"/>
  <c r="R35" i="47"/>
  <c r="O35" i="47"/>
  <c r="L35" i="47"/>
  <c r="I35" i="47"/>
  <c r="F35" i="47"/>
  <c r="X34" i="47"/>
  <c r="U34" i="47"/>
  <c r="R34" i="47"/>
  <c r="O34" i="47"/>
  <c r="L34" i="47"/>
  <c r="I34" i="47"/>
  <c r="F34" i="47"/>
  <c r="X33" i="47"/>
  <c r="U33" i="47"/>
  <c r="R33" i="47"/>
  <c r="O33" i="47"/>
  <c r="L33" i="47"/>
  <c r="I33" i="47"/>
  <c r="F33" i="47"/>
  <c r="X32" i="47"/>
  <c r="U32" i="47"/>
  <c r="R32" i="47"/>
  <c r="O32" i="47"/>
  <c r="L32" i="47"/>
  <c r="I32" i="47"/>
  <c r="F32" i="47"/>
  <c r="X31" i="47"/>
  <c r="U31" i="47"/>
  <c r="R31" i="47"/>
  <c r="O31" i="47"/>
  <c r="L31" i="47"/>
  <c r="I31" i="47"/>
  <c r="F31" i="47"/>
  <c r="X30" i="47"/>
  <c r="U30" i="47"/>
  <c r="R30" i="47"/>
  <c r="O30" i="47"/>
  <c r="L30" i="47"/>
  <c r="I30" i="47"/>
  <c r="F30" i="47"/>
  <c r="X29" i="47"/>
  <c r="U29" i="47"/>
  <c r="R29" i="47"/>
  <c r="O29" i="47"/>
  <c r="L29" i="47"/>
  <c r="I29" i="47"/>
  <c r="F29" i="47"/>
  <c r="X28" i="47"/>
  <c r="U28" i="47"/>
  <c r="R28" i="47"/>
  <c r="O28" i="47"/>
  <c r="L28" i="47"/>
  <c r="I28" i="47"/>
  <c r="F28" i="47"/>
  <c r="X27" i="47"/>
  <c r="U27" i="47"/>
  <c r="R27" i="47"/>
  <c r="O27" i="47"/>
  <c r="L27" i="47"/>
  <c r="I27" i="47"/>
  <c r="F27" i="47"/>
  <c r="X26" i="47"/>
  <c r="U26" i="47"/>
  <c r="R26" i="47"/>
  <c r="O26" i="47"/>
  <c r="L26" i="47"/>
  <c r="I26" i="47"/>
  <c r="F26" i="47"/>
  <c r="X25" i="47"/>
  <c r="U25" i="47"/>
  <c r="R25" i="47"/>
  <c r="O25" i="47"/>
  <c r="L25" i="47"/>
  <c r="I25" i="47"/>
  <c r="F25" i="47"/>
  <c r="X24" i="47"/>
  <c r="U24" i="47"/>
  <c r="R24" i="47"/>
  <c r="O24" i="47"/>
  <c r="L24" i="47"/>
  <c r="I24" i="47"/>
  <c r="F24" i="47"/>
  <c r="X23" i="47"/>
  <c r="U23" i="47"/>
  <c r="R23" i="47"/>
  <c r="O23" i="47"/>
  <c r="L23" i="47"/>
  <c r="I23" i="47"/>
  <c r="F23" i="47"/>
  <c r="X22" i="47"/>
  <c r="U22" i="47"/>
  <c r="R22" i="47"/>
  <c r="O22" i="47"/>
  <c r="L22" i="47"/>
  <c r="I22" i="47"/>
  <c r="F22" i="47"/>
  <c r="X21" i="47"/>
  <c r="U21" i="47"/>
  <c r="R21" i="47"/>
  <c r="O21" i="47"/>
  <c r="L21" i="47"/>
  <c r="I21" i="47"/>
  <c r="F21" i="47"/>
  <c r="X20" i="47"/>
  <c r="U20" i="47"/>
  <c r="R20" i="47"/>
  <c r="O20" i="47"/>
  <c r="L20" i="47"/>
  <c r="I20" i="47"/>
  <c r="F20" i="47"/>
  <c r="X19" i="47"/>
  <c r="U19" i="47"/>
  <c r="R19" i="47"/>
  <c r="O19" i="47"/>
  <c r="L19" i="47"/>
  <c r="I19" i="47"/>
  <c r="F19" i="47"/>
  <c r="X18" i="47"/>
  <c r="U18" i="47"/>
  <c r="R18" i="47"/>
  <c r="O18" i="47"/>
  <c r="L18" i="47"/>
  <c r="I18" i="47"/>
  <c r="F18" i="47"/>
  <c r="X17" i="47"/>
  <c r="U17" i="47"/>
  <c r="R17" i="47"/>
  <c r="O17" i="47"/>
  <c r="L17" i="47"/>
  <c r="I17" i="47"/>
  <c r="F17" i="47"/>
  <c r="X16" i="47"/>
  <c r="U16" i="47"/>
  <c r="R16" i="47"/>
  <c r="O16" i="47"/>
  <c r="L16" i="47"/>
  <c r="I16" i="47"/>
  <c r="F16" i="47"/>
  <c r="X15" i="47"/>
  <c r="U15" i="47"/>
  <c r="R15" i="47"/>
  <c r="O15" i="47"/>
  <c r="L15" i="47"/>
  <c r="I15" i="47"/>
  <c r="F15" i="47"/>
  <c r="X14" i="47"/>
  <c r="U14" i="47"/>
  <c r="R14" i="47"/>
  <c r="O14" i="47"/>
  <c r="L14" i="47"/>
  <c r="I14" i="47"/>
  <c r="F14" i="47"/>
  <c r="X13" i="47"/>
  <c r="U13" i="47"/>
  <c r="R13" i="47"/>
  <c r="O13" i="47"/>
  <c r="L13" i="47"/>
  <c r="I13" i="47"/>
  <c r="F13" i="47"/>
  <c r="X12" i="47"/>
  <c r="U12" i="47"/>
  <c r="R12" i="47"/>
  <c r="O12" i="47"/>
  <c r="L12" i="47"/>
  <c r="I12" i="47"/>
  <c r="F12" i="47"/>
  <c r="X11" i="47"/>
  <c r="U11" i="47"/>
  <c r="R11" i="47"/>
  <c r="O11" i="47"/>
  <c r="L11" i="47"/>
  <c r="I11" i="47"/>
  <c r="F11" i="47"/>
  <c r="X10" i="47"/>
  <c r="U10" i="47"/>
  <c r="R10" i="47"/>
  <c r="O10" i="47"/>
  <c r="L10" i="47"/>
  <c r="I10" i="47"/>
  <c r="F10" i="47"/>
  <c r="X9" i="47"/>
  <c r="U9" i="47"/>
  <c r="R9" i="47"/>
  <c r="O9" i="47"/>
  <c r="L9" i="47"/>
  <c r="I9" i="47"/>
  <c r="F9" i="47"/>
  <c r="X8" i="47"/>
  <c r="U8" i="47"/>
  <c r="R8" i="47"/>
  <c r="O8" i="47"/>
  <c r="L8" i="47"/>
  <c r="I8" i="47"/>
  <c r="F8" i="47"/>
  <c r="X7" i="47"/>
  <c r="U7" i="47"/>
  <c r="R7" i="47"/>
  <c r="O7" i="47"/>
  <c r="L7" i="47"/>
  <c r="I7" i="47"/>
  <c r="F7" i="47"/>
  <c r="X6" i="47"/>
  <c r="U6" i="47"/>
  <c r="R6" i="47"/>
  <c r="O6" i="47"/>
  <c r="L6" i="47"/>
  <c r="I6" i="47"/>
  <c r="F6" i="47"/>
  <c r="X5" i="47"/>
  <c r="U5" i="47"/>
  <c r="R5" i="47"/>
  <c r="O5" i="47"/>
  <c r="L5" i="47"/>
  <c r="I5" i="47"/>
  <c r="F5" i="47"/>
  <c r="X4" i="47"/>
  <c r="U4" i="47"/>
  <c r="R4" i="47"/>
  <c r="O4" i="47"/>
  <c r="L4" i="47"/>
  <c r="I4" i="47"/>
  <c r="F4" i="47"/>
  <c r="X98" i="46"/>
  <c r="U98" i="46"/>
  <c r="R98" i="46"/>
  <c r="O98" i="46"/>
  <c r="L98" i="46"/>
  <c r="I98" i="46"/>
  <c r="F98" i="46"/>
  <c r="X97" i="46"/>
  <c r="U97" i="46"/>
  <c r="R97" i="46"/>
  <c r="O97" i="46"/>
  <c r="L97" i="46"/>
  <c r="I97" i="46"/>
  <c r="F97" i="46"/>
  <c r="X96" i="46"/>
  <c r="U96" i="46"/>
  <c r="R96" i="46"/>
  <c r="O96" i="46"/>
  <c r="L96" i="46"/>
  <c r="I96" i="46"/>
  <c r="F96" i="46"/>
  <c r="X95" i="46"/>
  <c r="U95" i="46"/>
  <c r="R95" i="46"/>
  <c r="O95" i="46"/>
  <c r="L95" i="46"/>
  <c r="I95" i="46"/>
  <c r="F95" i="46"/>
  <c r="X94" i="46"/>
  <c r="U94" i="46"/>
  <c r="R94" i="46"/>
  <c r="O94" i="46"/>
  <c r="L94" i="46"/>
  <c r="I94" i="46"/>
  <c r="F94" i="46"/>
  <c r="X93" i="46"/>
  <c r="U93" i="46"/>
  <c r="R93" i="46"/>
  <c r="O93" i="46"/>
  <c r="L93" i="46"/>
  <c r="I93" i="46"/>
  <c r="F93" i="46"/>
  <c r="X92" i="46"/>
  <c r="U92" i="46"/>
  <c r="R92" i="46"/>
  <c r="O92" i="46"/>
  <c r="L92" i="46"/>
  <c r="I92" i="46"/>
  <c r="F92" i="46"/>
  <c r="X91" i="46"/>
  <c r="U91" i="46"/>
  <c r="R91" i="46"/>
  <c r="O91" i="46"/>
  <c r="L91" i="46"/>
  <c r="I91" i="46"/>
  <c r="F91" i="46"/>
  <c r="X90" i="46"/>
  <c r="U90" i="46"/>
  <c r="R90" i="46"/>
  <c r="O90" i="46"/>
  <c r="L90" i="46"/>
  <c r="I90" i="46"/>
  <c r="F90" i="46"/>
  <c r="X89" i="46"/>
  <c r="U89" i="46"/>
  <c r="R89" i="46"/>
  <c r="O89" i="46"/>
  <c r="L89" i="46"/>
  <c r="I89" i="46"/>
  <c r="F89" i="46"/>
  <c r="X88" i="46"/>
  <c r="U88" i="46"/>
  <c r="R88" i="46"/>
  <c r="O88" i="46"/>
  <c r="L88" i="46"/>
  <c r="I88" i="46"/>
  <c r="F88" i="46"/>
  <c r="X87" i="46"/>
  <c r="U87" i="46"/>
  <c r="R87" i="46"/>
  <c r="O87" i="46"/>
  <c r="L87" i="46"/>
  <c r="I87" i="46"/>
  <c r="F87" i="46"/>
  <c r="X86" i="46"/>
  <c r="U86" i="46"/>
  <c r="R86" i="46"/>
  <c r="O86" i="46"/>
  <c r="L86" i="46"/>
  <c r="I86" i="46"/>
  <c r="F86" i="46"/>
  <c r="X85" i="46"/>
  <c r="U85" i="46"/>
  <c r="R85" i="46"/>
  <c r="O85" i="46"/>
  <c r="L85" i="46"/>
  <c r="I85" i="46"/>
  <c r="F85" i="46"/>
  <c r="X84" i="46"/>
  <c r="U84" i="46"/>
  <c r="R84" i="46"/>
  <c r="O84" i="46"/>
  <c r="L84" i="46"/>
  <c r="I84" i="46"/>
  <c r="F84" i="46"/>
  <c r="X83" i="46"/>
  <c r="U83" i="46"/>
  <c r="R83" i="46"/>
  <c r="O83" i="46"/>
  <c r="L83" i="46"/>
  <c r="I83" i="46"/>
  <c r="F83" i="46"/>
  <c r="X82" i="46"/>
  <c r="U82" i="46"/>
  <c r="R82" i="46"/>
  <c r="O82" i="46"/>
  <c r="L82" i="46"/>
  <c r="I82" i="46"/>
  <c r="F82" i="46"/>
  <c r="X81" i="46"/>
  <c r="U81" i="46"/>
  <c r="R81" i="46"/>
  <c r="O81" i="46"/>
  <c r="L81" i="46"/>
  <c r="I81" i="46"/>
  <c r="F81" i="46"/>
  <c r="X80" i="46"/>
  <c r="U80" i="46"/>
  <c r="R80" i="46"/>
  <c r="O80" i="46"/>
  <c r="L80" i="46"/>
  <c r="I80" i="46"/>
  <c r="F80" i="46"/>
  <c r="X79" i="46"/>
  <c r="U79" i="46"/>
  <c r="R79" i="46"/>
  <c r="O79" i="46"/>
  <c r="L79" i="46"/>
  <c r="I79" i="46"/>
  <c r="F79" i="46"/>
  <c r="X78" i="46"/>
  <c r="U78" i="46"/>
  <c r="R78" i="46"/>
  <c r="O78" i="46"/>
  <c r="L78" i="46"/>
  <c r="I78" i="46"/>
  <c r="F78" i="46"/>
  <c r="X77" i="46"/>
  <c r="U77" i="46"/>
  <c r="R77" i="46"/>
  <c r="O77" i="46"/>
  <c r="L77" i="46"/>
  <c r="I77" i="46"/>
  <c r="F77" i="46"/>
  <c r="X76" i="46"/>
  <c r="U76" i="46"/>
  <c r="R76" i="46"/>
  <c r="O76" i="46"/>
  <c r="L76" i="46"/>
  <c r="I76" i="46"/>
  <c r="F76" i="46"/>
  <c r="X75" i="46"/>
  <c r="U75" i="46"/>
  <c r="R75" i="46"/>
  <c r="O75" i="46"/>
  <c r="L75" i="46"/>
  <c r="I75" i="46"/>
  <c r="F75" i="46"/>
  <c r="X74" i="46"/>
  <c r="U74" i="46"/>
  <c r="R74" i="46"/>
  <c r="O74" i="46"/>
  <c r="L74" i="46"/>
  <c r="I74" i="46"/>
  <c r="F74" i="46"/>
  <c r="X73" i="46"/>
  <c r="U73" i="46"/>
  <c r="R73" i="46"/>
  <c r="O73" i="46"/>
  <c r="L73" i="46"/>
  <c r="I73" i="46"/>
  <c r="F73" i="46"/>
  <c r="X72" i="46"/>
  <c r="U72" i="46"/>
  <c r="R72" i="46"/>
  <c r="O72" i="46"/>
  <c r="L72" i="46"/>
  <c r="I72" i="46"/>
  <c r="F72" i="46"/>
  <c r="X71" i="46"/>
  <c r="U71" i="46"/>
  <c r="R71" i="46"/>
  <c r="O71" i="46"/>
  <c r="L71" i="46"/>
  <c r="I71" i="46"/>
  <c r="F71" i="46"/>
  <c r="X70" i="46"/>
  <c r="U70" i="46"/>
  <c r="R70" i="46"/>
  <c r="O70" i="46"/>
  <c r="L70" i="46"/>
  <c r="I70" i="46"/>
  <c r="F70" i="46"/>
  <c r="X69" i="46"/>
  <c r="U69" i="46"/>
  <c r="R69" i="46"/>
  <c r="O69" i="46"/>
  <c r="L69" i="46"/>
  <c r="I69" i="46"/>
  <c r="F69" i="46"/>
  <c r="X68" i="46"/>
  <c r="U68" i="46"/>
  <c r="R68" i="46"/>
  <c r="O68" i="46"/>
  <c r="L68" i="46"/>
  <c r="I68" i="46"/>
  <c r="F68" i="46"/>
  <c r="X67" i="46"/>
  <c r="U67" i="46"/>
  <c r="R67" i="46"/>
  <c r="O67" i="46"/>
  <c r="L67" i="46"/>
  <c r="I67" i="46"/>
  <c r="F67" i="46"/>
  <c r="X66" i="46"/>
  <c r="U66" i="46"/>
  <c r="R66" i="46"/>
  <c r="O66" i="46"/>
  <c r="L66" i="46"/>
  <c r="I66" i="46"/>
  <c r="F66" i="46"/>
  <c r="X65" i="46"/>
  <c r="U65" i="46"/>
  <c r="R65" i="46"/>
  <c r="O65" i="46"/>
  <c r="L65" i="46"/>
  <c r="I65" i="46"/>
  <c r="F65" i="46"/>
  <c r="X64" i="46"/>
  <c r="U64" i="46"/>
  <c r="R64" i="46"/>
  <c r="O64" i="46"/>
  <c r="L64" i="46"/>
  <c r="I64" i="46"/>
  <c r="F64" i="46"/>
  <c r="X63" i="46"/>
  <c r="U63" i="46"/>
  <c r="R63" i="46"/>
  <c r="O63" i="46"/>
  <c r="L63" i="46"/>
  <c r="I63" i="46"/>
  <c r="F63" i="46"/>
  <c r="X62" i="46"/>
  <c r="U62" i="46"/>
  <c r="R62" i="46"/>
  <c r="O62" i="46"/>
  <c r="L62" i="46"/>
  <c r="I62" i="46"/>
  <c r="F62" i="46"/>
  <c r="X61" i="46"/>
  <c r="U61" i="46"/>
  <c r="R61" i="46"/>
  <c r="O61" i="46"/>
  <c r="L61" i="46"/>
  <c r="I61" i="46"/>
  <c r="F61" i="46"/>
  <c r="X60" i="46"/>
  <c r="U60" i="46"/>
  <c r="R60" i="46"/>
  <c r="O60" i="46"/>
  <c r="L60" i="46"/>
  <c r="I60" i="46"/>
  <c r="F60" i="46"/>
  <c r="X59" i="46"/>
  <c r="U59" i="46"/>
  <c r="R59" i="46"/>
  <c r="O59" i="46"/>
  <c r="L59" i="46"/>
  <c r="I59" i="46"/>
  <c r="F59" i="46"/>
  <c r="X58" i="46"/>
  <c r="U58" i="46"/>
  <c r="R58" i="46"/>
  <c r="O58" i="46"/>
  <c r="L58" i="46"/>
  <c r="I58" i="46"/>
  <c r="F58" i="46"/>
  <c r="X57" i="46"/>
  <c r="U57" i="46"/>
  <c r="R57" i="46"/>
  <c r="O57" i="46"/>
  <c r="L57" i="46"/>
  <c r="I57" i="46"/>
  <c r="F57" i="46"/>
  <c r="X56" i="46"/>
  <c r="U56" i="46"/>
  <c r="R56" i="46"/>
  <c r="O56" i="46"/>
  <c r="L56" i="46"/>
  <c r="I56" i="46"/>
  <c r="F56" i="46"/>
  <c r="X55" i="46"/>
  <c r="U55" i="46"/>
  <c r="R55" i="46"/>
  <c r="O55" i="46"/>
  <c r="L55" i="46"/>
  <c r="I55" i="46"/>
  <c r="F55" i="46"/>
  <c r="X54" i="46"/>
  <c r="U54" i="46"/>
  <c r="R54" i="46"/>
  <c r="O54" i="46"/>
  <c r="L54" i="46"/>
  <c r="I54" i="46"/>
  <c r="F54" i="46"/>
  <c r="X53" i="46"/>
  <c r="U53" i="46"/>
  <c r="R53" i="46"/>
  <c r="O53" i="46"/>
  <c r="L53" i="46"/>
  <c r="I53" i="46"/>
  <c r="F53" i="46"/>
  <c r="X52" i="46"/>
  <c r="U52" i="46"/>
  <c r="R52" i="46"/>
  <c r="O52" i="46"/>
  <c r="L52" i="46"/>
  <c r="I52" i="46"/>
  <c r="F52" i="46"/>
  <c r="X51" i="46"/>
  <c r="U51" i="46"/>
  <c r="R51" i="46"/>
  <c r="O51" i="46"/>
  <c r="L51" i="46"/>
  <c r="I51" i="46"/>
  <c r="F51" i="46"/>
  <c r="X50" i="46"/>
  <c r="U50" i="46"/>
  <c r="R50" i="46"/>
  <c r="O50" i="46"/>
  <c r="L50" i="46"/>
  <c r="I50" i="46"/>
  <c r="F50" i="46"/>
  <c r="X49" i="46"/>
  <c r="U49" i="46"/>
  <c r="R49" i="46"/>
  <c r="O49" i="46"/>
  <c r="L49" i="46"/>
  <c r="I49" i="46"/>
  <c r="F49" i="46"/>
  <c r="X48" i="46"/>
  <c r="U48" i="46"/>
  <c r="R48" i="46"/>
  <c r="O48" i="46"/>
  <c r="L48" i="46"/>
  <c r="I48" i="46"/>
  <c r="F48" i="46"/>
  <c r="X47" i="46"/>
  <c r="U47" i="46"/>
  <c r="R47" i="46"/>
  <c r="O47" i="46"/>
  <c r="L47" i="46"/>
  <c r="I47" i="46"/>
  <c r="F47" i="46"/>
  <c r="X46" i="46"/>
  <c r="U46" i="46"/>
  <c r="R46" i="46"/>
  <c r="O46" i="46"/>
  <c r="L46" i="46"/>
  <c r="I46" i="46"/>
  <c r="F46" i="46"/>
  <c r="X45" i="46"/>
  <c r="U45" i="46"/>
  <c r="R45" i="46"/>
  <c r="O45" i="46"/>
  <c r="L45" i="46"/>
  <c r="I45" i="46"/>
  <c r="F45" i="46"/>
  <c r="X44" i="46"/>
  <c r="U44" i="46"/>
  <c r="R44" i="46"/>
  <c r="O44" i="46"/>
  <c r="L44" i="46"/>
  <c r="I44" i="46"/>
  <c r="F44" i="46"/>
  <c r="X43" i="46"/>
  <c r="U43" i="46"/>
  <c r="R43" i="46"/>
  <c r="O43" i="46"/>
  <c r="L43" i="46"/>
  <c r="I43" i="46"/>
  <c r="F43" i="46"/>
  <c r="X42" i="46"/>
  <c r="U42" i="46"/>
  <c r="R42" i="46"/>
  <c r="O42" i="46"/>
  <c r="L42" i="46"/>
  <c r="I42" i="46"/>
  <c r="F42" i="46"/>
  <c r="X41" i="46"/>
  <c r="U41" i="46"/>
  <c r="R41" i="46"/>
  <c r="O41" i="46"/>
  <c r="L41" i="46"/>
  <c r="I41" i="46"/>
  <c r="F41" i="46"/>
  <c r="X40" i="46"/>
  <c r="U40" i="46"/>
  <c r="R40" i="46"/>
  <c r="O40" i="46"/>
  <c r="L40" i="46"/>
  <c r="I40" i="46"/>
  <c r="F40" i="46"/>
  <c r="X39" i="46"/>
  <c r="U39" i="46"/>
  <c r="R39" i="46"/>
  <c r="O39" i="46"/>
  <c r="L39" i="46"/>
  <c r="I39" i="46"/>
  <c r="F39" i="46"/>
  <c r="X38" i="46"/>
  <c r="U38" i="46"/>
  <c r="R38" i="46"/>
  <c r="O38" i="46"/>
  <c r="L38" i="46"/>
  <c r="I38" i="46"/>
  <c r="F38" i="46"/>
  <c r="X37" i="46"/>
  <c r="U37" i="46"/>
  <c r="R37" i="46"/>
  <c r="O37" i="46"/>
  <c r="L37" i="46"/>
  <c r="I37" i="46"/>
  <c r="F37" i="46"/>
  <c r="X36" i="46"/>
  <c r="U36" i="46"/>
  <c r="R36" i="46"/>
  <c r="O36" i="46"/>
  <c r="L36" i="46"/>
  <c r="I36" i="46"/>
  <c r="F36" i="46"/>
  <c r="X35" i="46"/>
  <c r="U35" i="46"/>
  <c r="R35" i="46"/>
  <c r="O35" i="46"/>
  <c r="L35" i="46"/>
  <c r="I35" i="46"/>
  <c r="F35" i="46"/>
  <c r="X34" i="46"/>
  <c r="U34" i="46"/>
  <c r="R34" i="46"/>
  <c r="O34" i="46"/>
  <c r="L34" i="46"/>
  <c r="I34" i="46"/>
  <c r="F34" i="46"/>
  <c r="X33" i="46"/>
  <c r="U33" i="46"/>
  <c r="R33" i="46"/>
  <c r="O33" i="46"/>
  <c r="L33" i="46"/>
  <c r="I33" i="46"/>
  <c r="F33" i="46"/>
  <c r="X32" i="46"/>
  <c r="U32" i="46"/>
  <c r="R32" i="46"/>
  <c r="O32" i="46"/>
  <c r="L32" i="46"/>
  <c r="I32" i="46"/>
  <c r="F32" i="46"/>
  <c r="X31" i="46"/>
  <c r="U31" i="46"/>
  <c r="R31" i="46"/>
  <c r="O31" i="46"/>
  <c r="L31" i="46"/>
  <c r="I31" i="46"/>
  <c r="F31" i="46"/>
  <c r="X30" i="46"/>
  <c r="U30" i="46"/>
  <c r="R30" i="46"/>
  <c r="O30" i="46"/>
  <c r="L30" i="46"/>
  <c r="I30" i="46"/>
  <c r="F30" i="46"/>
  <c r="X29" i="46"/>
  <c r="U29" i="46"/>
  <c r="R29" i="46"/>
  <c r="O29" i="46"/>
  <c r="L29" i="46"/>
  <c r="I29" i="46"/>
  <c r="F29" i="46"/>
  <c r="X28" i="46"/>
  <c r="U28" i="46"/>
  <c r="R28" i="46"/>
  <c r="O28" i="46"/>
  <c r="L28" i="46"/>
  <c r="I28" i="46"/>
  <c r="F28" i="46"/>
  <c r="X27" i="46"/>
  <c r="U27" i="46"/>
  <c r="R27" i="46"/>
  <c r="O27" i="46"/>
  <c r="L27" i="46"/>
  <c r="I27" i="46"/>
  <c r="F27" i="46"/>
  <c r="X26" i="46"/>
  <c r="U26" i="46"/>
  <c r="R26" i="46"/>
  <c r="O26" i="46"/>
  <c r="L26" i="46"/>
  <c r="I26" i="46"/>
  <c r="F26" i="46"/>
  <c r="X25" i="46"/>
  <c r="U25" i="46"/>
  <c r="R25" i="46"/>
  <c r="O25" i="46"/>
  <c r="L25" i="46"/>
  <c r="I25" i="46"/>
  <c r="F25" i="46"/>
  <c r="X24" i="46"/>
  <c r="U24" i="46"/>
  <c r="R24" i="46"/>
  <c r="O24" i="46"/>
  <c r="L24" i="46"/>
  <c r="I24" i="46"/>
  <c r="F24" i="46"/>
  <c r="X23" i="46"/>
  <c r="U23" i="46"/>
  <c r="R23" i="46"/>
  <c r="O23" i="46"/>
  <c r="L23" i="46"/>
  <c r="I23" i="46"/>
  <c r="F23" i="46"/>
  <c r="X22" i="46"/>
  <c r="U22" i="46"/>
  <c r="R22" i="46"/>
  <c r="O22" i="46"/>
  <c r="L22" i="46"/>
  <c r="I22" i="46"/>
  <c r="F22" i="46"/>
  <c r="X21" i="46"/>
  <c r="U21" i="46"/>
  <c r="R21" i="46"/>
  <c r="O21" i="46"/>
  <c r="L21" i="46"/>
  <c r="I21" i="46"/>
  <c r="F21" i="46"/>
  <c r="X20" i="46"/>
  <c r="U20" i="46"/>
  <c r="R20" i="46"/>
  <c r="O20" i="46"/>
  <c r="L20" i="46"/>
  <c r="I20" i="46"/>
  <c r="F20" i="46"/>
  <c r="X19" i="46"/>
  <c r="U19" i="46"/>
  <c r="R19" i="46"/>
  <c r="O19" i="46"/>
  <c r="L19" i="46"/>
  <c r="I19" i="46"/>
  <c r="F19" i="46"/>
  <c r="X18" i="46"/>
  <c r="U18" i="46"/>
  <c r="R18" i="46"/>
  <c r="O18" i="46"/>
  <c r="L18" i="46"/>
  <c r="I18" i="46"/>
  <c r="F18" i="46"/>
  <c r="X17" i="46"/>
  <c r="U17" i="46"/>
  <c r="R17" i="46"/>
  <c r="O17" i="46"/>
  <c r="L17" i="46"/>
  <c r="I17" i="46"/>
  <c r="F17" i="46"/>
  <c r="X16" i="46"/>
  <c r="U16" i="46"/>
  <c r="R16" i="46"/>
  <c r="O16" i="46"/>
  <c r="L16" i="46"/>
  <c r="I16" i="46"/>
  <c r="F16" i="46"/>
  <c r="X15" i="46"/>
  <c r="U15" i="46"/>
  <c r="R15" i="46"/>
  <c r="O15" i="46"/>
  <c r="L15" i="46"/>
  <c r="I15" i="46"/>
  <c r="F15" i="46"/>
  <c r="X14" i="46"/>
  <c r="U14" i="46"/>
  <c r="R14" i="46"/>
  <c r="O14" i="46"/>
  <c r="L14" i="46"/>
  <c r="I14" i="46"/>
  <c r="F14" i="46"/>
  <c r="X13" i="46"/>
  <c r="U13" i="46"/>
  <c r="R13" i="46"/>
  <c r="O13" i="46"/>
  <c r="L13" i="46"/>
  <c r="I13" i="46"/>
  <c r="F13" i="46"/>
  <c r="X12" i="46"/>
  <c r="U12" i="46"/>
  <c r="R12" i="46"/>
  <c r="O12" i="46"/>
  <c r="L12" i="46"/>
  <c r="I12" i="46"/>
  <c r="F12" i="46"/>
  <c r="X11" i="46"/>
  <c r="U11" i="46"/>
  <c r="R11" i="46"/>
  <c r="O11" i="46"/>
  <c r="L11" i="46"/>
  <c r="I11" i="46"/>
  <c r="F11" i="46"/>
  <c r="X10" i="46"/>
  <c r="U10" i="46"/>
  <c r="R10" i="46"/>
  <c r="O10" i="46"/>
  <c r="L10" i="46"/>
  <c r="I10" i="46"/>
  <c r="F10" i="46"/>
  <c r="X9" i="46"/>
  <c r="U9" i="46"/>
  <c r="R9" i="46"/>
  <c r="O9" i="46"/>
  <c r="L9" i="46"/>
  <c r="I9" i="46"/>
  <c r="F9" i="46"/>
  <c r="X8" i="46"/>
  <c r="U8" i="46"/>
  <c r="R8" i="46"/>
  <c r="O8" i="46"/>
  <c r="L8" i="46"/>
  <c r="I8" i="46"/>
  <c r="F8" i="46"/>
  <c r="X7" i="46"/>
  <c r="U7" i="46"/>
  <c r="R7" i="46"/>
  <c r="O7" i="46"/>
  <c r="L7" i="46"/>
  <c r="I7" i="46"/>
  <c r="F7" i="46"/>
  <c r="X6" i="46"/>
  <c r="U6" i="46"/>
  <c r="R6" i="46"/>
  <c r="O6" i="46"/>
  <c r="L6" i="46"/>
  <c r="I6" i="46"/>
  <c r="F6" i="46"/>
  <c r="X5" i="46"/>
  <c r="U5" i="46"/>
  <c r="R5" i="46"/>
  <c r="O5" i="46"/>
  <c r="L5" i="46"/>
  <c r="I5" i="46"/>
  <c r="F5" i="46"/>
  <c r="X4" i="46"/>
  <c r="U4" i="46"/>
  <c r="R4" i="46"/>
  <c r="O4" i="46"/>
  <c r="L4" i="46"/>
  <c r="I4" i="46"/>
  <c r="F4" i="46"/>
  <c r="X98" i="45"/>
  <c r="U98" i="45"/>
  <c r="R98" i="45"/>
  <c r="O98" i="45"/>
  <c r="L98" i="45"/>
  <c r="I98" i="45"/>
  <c r="F98" i="45"/>
  <c r="X97" i="45"/>
  <c r="U97" i="45"/>
  <c r="R97" i="45"/>
  <c r="O97" i="45"/>
  <c r="L97" i="45"/>
  <c r="I97" i="45"/>
  <c r="F97" i="45"/>
  <c r="X96" i="45"/>
  <c r="U96" i="45"/>
  <c r="R96" i="45"/>
  <c r="O96" i="45"/>
  <c r="L96" i="45"/>
  <c r="I96" i="45"/>
  <c r="F96" i="45"/>
  <c r="X95" i="45"/>
  <c r="U95" i="45"/>
  <c r="R95" i="45"/>
  <c r="O95" i="45"/>
  <c r="L95" i="45"/>
  <c r="I95" i="45"/>
  <c r="F95" i="45"/>
  <c r="X94" i="45"/>
  <c r="U94" i="45"/>
  <c r="R94" i="45"/>
  <c r="O94" i="45"/>
  <c r="L94" i="45"/>
  <c r="I94" i="45"/>
  <c r="F94" i="45"/>
  <c r="X93" i="45"/>
  <c r="U93" i="45"/>
  <c r="R93" i="45"/>
  <c r="O93" i="45"/>
  <c r="L93" i="45"/>
  <c r="I93" i="45"/>
  <c r="F93" i="45"/>
  <c r="X92" i="45"/>
  <c r="U92" i="45"/>
  <c r="R92" i="45"/>
  <c r="O92" i="45"/>
  <c r="L92" i="45"/>
  <c r="I92" i="45"/>
  <c r="F92" i="45"/>
  <c r="X91" i="45"/>
  <c r="U91" i="45"/>
  <c r="R91" i="45"/>
  <c r="O91" i="45"/>
  <c r="L91" i="45"/>
  <c r="I91" i="45"/>
  <c r="F91" i="45"/>
  <c r="X90" i="45"/>
  <c r="U90" i="45"/>
  <c r="R90" i="45"/>
  <c r="O90" i="45"/>
  <c r="L90" i="45"/>
  <c r="I90" i="45"/>
  <c r="F90" i="45"/>
  <c r="X89" i="45"/>
  <c r="U89" i="45"/>
  <c r="R89" i="45"/>
  <c r="O89" i="45"/>
  <c r="L89" i="45"/>
  <c r="I89" i="45"/>
  <c r="F89" i="45"/>
  <c r="X88" i="45"/>
  <c r="U88" i="45"/>
  <c r="R88" i="45"/>
  <c r="O88" i="45"/>
  <c r="L88" i="45"/>
  <c r="I88" i="45"/>
  <c r="F88" i="45"/>
  <c r="X87" i="45"/>
  <c r="U87" i="45"/>
  <c r="R87" i="45"/>
  <c r="O87" i="45"/>
  <c r="L87" i="45"/>
  <c r="I87" i="45"/>
  <c r="F87" i="45"/>
  <c r="X86" i="45"/>
  <c r="U86" i="45"/>
  <c r="R86" i="45"/>
  <c r="O86" i="45"/>
  <c r="L86" i="45"/>
  <c r="I86" i="45"/>
  <c r="F86" i="45"/>
  <c r="X85" i="45"/>
  <c r="U85" i="45"/>
  <c r="R85" i="45"/>
  <c r="O85" i="45"/>
  <c r="L85" i="45"/>
  <c r="I85" i="45"/>
  <c r="F85" i="45"/>
  <c r="X84" i="45"/>
  <c r="U84" i="45"/>
  <c r="R84" i="45"/>
  <c r="O84" i="45"/>
  <c r="L84" i="45"/>
  <c r="I84" i="45"/>
  <c r="F84" i="45"/>
  <c r="X83" i="45"/>
  <c r="U83" i="45"/>
  <c r="R83" i="45"/>
  <c r="O83" i="45"/>
  <c r="L83" i="45"/>
  <c r="I83" i="45"/>
  <c r="F83" i="45"/>
  <c r="X82" i="45"/>
  <c r="U82" i="45"/>
  <c r="R82" i="45"/>
  <c r="O82" i="45"/>
  <c r="L82" i="45"/>
  <c r="I82" i="45"/>
  <c r="F82" i="45"/>
  <c r="X81" i="45"/>
  <c r="U81" i="45"/>
  <c r="R81" i="45"/>
  <c r="O81" i="45"/>
  <c r="L81" i="45"/>
  <c r="I81" i="45"/>
  <c r="F81" i="45"/>
  <c r="X80" i="45"/>
  <c r="U80" i="45"/>
  <c r="R80" i="45"/>
  <c r="O80" i="45"/>
  <c r="L80" i="45"/>
  <c r="I80" i="45"/>
  <c r="F80" i="45"/>
  <c r="X79" i="45"/>
  <c r="U79" i="45"/>
  <c r="R79" i="45"/>
  <c r="O79" i="45"/>
  <c r="L79" i="45"/>
  <c r="I79" i="45"/>
  <c r="F79" i="45"/>
  <c r="X78" i="45"/>
  <c r="U78" i="45"/>
  <c r="R78" i="45"/>
  <c r="O78" i="45"/>
  <c r="L78" i="45"/>
  <c r="I78" i="45"/>
  <c r="F78" i="45"/>
  <c r="X77" i="45"/>
  <c r="U77" i="45"/>
  <c r="R77" i="45"/>
  <c r="O77" i="45"/>
  <c r="L77" i="45"/>
  <c r="I77" i="45"/>
  <c r="F77" i="45"/>
  <c r="X76" i="45"/>
  <c r="U76" i="45"/>
  <c r="R76" i="45"/>
  <c r="O76" i="45"/>
  <c r="L76" i="45"/>
  <c r="I76" i="45"/>
  <c r="F76" i="45"/>
  <c r="X75" i="45"/>
  <c r="U75" i="45"/>
  <c r="R75" i="45"/>
  <c r="O75" i="45"/>
  <c r="L75" i="45"/>
  <c r="I75" i="45"/>
  <c r="F75" i="45"/>
  <c r="X74" i="45"/>
  <c r="U74" i="45"/>
  <c r="R74" i="45"/>
  <c r="O74" i="45"/>
  <c r="L74" i="45"/>
  <c r="I74" i="45"/>
  <c r="F74" i="45"/>
  <c r="X73" i="45"/>
  <c r="U73" i="45"/>
  <c r="R73" i="45"/>
  <c r="O73" i="45"/>
  <c r="L73" i="45"/>
  <c r="I73" i="45"/>
  <c r="F73" i="45"/>
  <c r="X72" i="45"/>
  <c r="U72" i="45"/>
  <c r="R72" i="45"/>
  <c r="O72" i="45"/>
  <c r="L72" i="45"/>
  <c r="I72" i="45"/>
  <c r="F72" i="45"/>
  <c r="X71" i="45"/>
  <c r="U71" i="45"/>
  <c r="R71" i="45"/>
  <c r="O71" i="45"/>
  <c r="L71" i="45"/>
  <c r="I71" i="45"/>
  <c r="F71" i="45"/>
  <c r="X70" i="45"/>
  <c r="U70" i="45"/>
  <c r="R70" i="45"/>
  <c r="O70" i="45"/>
  <c r="L70" i="45"/>
  <c r="I70" i="45"/>
  <c r="F70" i="45"/>
  <c r="X69" i="45"/>
  <c r="U69" i="45"/>
  <c r="R69" i="45"/>
  <c r="O69" i="45"/>
  <c r="L69" i="45"/>
  <c r="I69" i="45"/>
  <c r="F69" i="45"/>
  <c r="X68" i="45"/>
  <c r="U68" i="45"/>
  <c r="R68" i="45"/>
  <c r="O68" i="45"/>
  <c r="L68" i="45"/>
  <c r="I68" i="45"/>
  <c r="F68" i="45"/>
  <c r="X67" i="45"/>
  <c r="U67" i="45"/>
  <c r="R67" i="45"/>
  <c r="O67" i="45"/>
  <c r="L67" i="45"/>
  <c r="I67" i="45"/>
  <c r="F67" i="45"/>
  <c r="X66" i="45"/>
  <c r="U66" i="45"/>
  <c r="R66" i="45"/>
  <c r="O66" i="45"/>
  <c r="L66" i="45"/>
  <c r="I66" i="45"/>
  <c r="F66" i="45"/>
  <c r="X65" i="45"/>
  <c r="U65" i="45"/>
  <c r="R65" i="45"/>
  <c r="O65" i="45"/>
  <c r="L65" i="45"/>
  <c r="I65" i="45"/>
  <c r="F65" i="45"/>
  <c r="X64" i="45"/>
  <c r="U64" i="45"/>
  <c r="R64" i="45"/>
  <c r="O64" i="45"/>
  <c r="L64" i="45"/>
  <c r="I64" i="45"/>
  <c r="F64" i="45"/>
  <c r="X63" i="45"/>
  <c r="U63" i="45"/>
  <c r="R63" i="45"/>
  <c r="O63" i="45"/>
  <c r="L63" i="45"/>
  <c r="I63" i="45"/>
  <c r="F63" i="45"/>
  <c r="X62" i="45"/>
  <c r="U62" i="45"/>
  <c r="R62" i="45"/>
  <c r="O62" i="45"/>
  <c r="L62" i="45"/>
  <c r="I62" i="45"/>
  <c r="F62" i="45"/>
  <c r="X61" i="45"/>
  <c r="U61" i="45"/>
  <c r="R61" i="45"/>
  <c r="O61" i="45"/>
  <c r="L61" i="45"/>
  <c r="I61" i="45"/>
  <c r="F61" i="45"/>
  <c r="X60" i="45"/>
  <c r="U60" i="45"/>
  <c r="R60" i="45"/>
  <c r="O60" i="45"/>
  <c r="L60" i="45"/>
  <c r="I60" i="45"/>
  <c r="F60" i="45"/>
  <c r="X59" i="45"/>
  <c r="U59" i="45"/>
  <c r="R59" i="45"/>
  <c r="O59" i="45"/>
  <c r="L59" i="45"/>
  <c r="I59" i="45"/>
  <c r="F59" i="45"/>
  <c r="X58" i="45"/>
  <c r="U58" i="45"/>
  <c r="R58" i="45"/>
  <c r="O58" i="45"/>
  <c r="L58" i="45"/>
  <c r="I58" i="45"/>
  <c r="F58" i="45"/>
  <c r="X57" i="45"/>
  <c r="U57" i="45"/>
  <c r="R57" i="45"/>
  <c r="O57" i="45"/>
  <c r="L57" i="45"/>
  <c r="I57" i="45"/>
  <c r="F57" i="45"/>
  <c r="X56" i="45"/>
  <c r="U56" i="45"/>
  <c r="R56" i="45"/>
  <c r="O56" i="45"/>
  <c r="L56" i="45"/>
  <c r="I56" i="45"/>
  <c r="F56" i="45"/>
  <c r="X55" i="45"/>
  <c r="U55" i="45"/>
  <c r="R55" i="45"/>
  <c r="O55" i="45"/>
  <c r="L55" i="45"/>
  <c r="I55" i="45"/>
  <c r="F55" i="45"/>
  <c r="X54" i="45"/>
  <c r="U54" i="45"/>
  <c r="R54" i="45"/>
  <c r="O54" i="45"/>
  <c r="L54" i="45"/>
  <c r="I54" i="45"/>
  <c r="F54" i="45"/>
  <c r="X53" i="45"/>
  <c r="U53" i="45"/>
  <c r="R53" i="45"/>
  <c r="O53" i="45"/>
  <c r="L53" i="45"/>
  <c r="I53" i="45"/>
  <c r="F53" i="45"/>
  <c r="X52" i="45"/>
  <c r="U52" i="45"/>
  <c r="R52" i="45"/>
  <c r="O52" i="45"/>
  <c r="L52" i="45"/>
  <c r="I52" i="45"/>
  <c r="F52" i="45"/>
  <c r="X51" i="45"/>
  <c r="U51" i="45"/>
  <c r="R51" i="45"/>
  <c r="O51" i="45"/>
  <c r="L51" i="45"/>
  <c r="I51" i="45"/>
  <c r="F51" i="45"/>
  <c r="X50" i="45"/>
  <c r="U50" i="45"/>
  <c r="R50" i="45"/>
  <c r="O50" i="45"/>
  <c r="L50" i="45"/>
  <c r="I50" i="45"/>
  <c r="F50" i="45"/>
  <c r="X49" i="45"/>
  <c r="U49" i="45"/>
  <c r="R49" i="45"/>
  <c r="O49" i="45"/>
  <c r="L49" i="45"/>
  <c r="I49" i="45"/>
  <c r="F49" i="45"/>
  <c r="X48" i="45"/>
  <c r="U48" i="45"/>
  <c r="R48" i="45"/>
  <c r="O48" i="45"/>
  <c r="L48" i="45"/>
  <c r="I48" i="45"/>
  <c r="F48" i="45"/>
  <c r="X47" i="45"/>
  <c r="U47" i="45"/>
  <c r="R47" i="45"/>
  <c r="O47" i="45"/>
  <c r="L47" i="45"/>
  <c r="I47" i="45"/>
  <c r="F47" i="45"/>
  <c r="X46" i="45"/>
  <c r="U46" i="45"/>
  <c r="R46" i="45"/>
  <c r="O46" i="45"/>
  <c r="L46" i="45"/>
  <c r="I46" i="45"/>
  <c r="F46" i="45"/>
  <c r="X45" i="45"/>
  <c r="U45" i="45"/>
  <c r="R45" i="45"/>
  <c r="O45" i="45"/>
  <c r="L45" i="45"/>
  <c r="I45" i="45"/>
  <c r="F45" i="45"/>
  <c r="X44" i="45"/>
  <c r="U44" i="45"/>
  <c r="R44" i="45"/>
  <c r="O44" i="45"/>
  <c r="L44" i="45"/>
  <c r="I44" i="45"/>
  <c r="F44" i="45"/>
  <c r="X43" i="45"/>
  <c r="U43" i="45"/>
  <c r="R43" i="45"/>
  <c r="O43" i="45"/>
  <c r="L43" i="45"/>
  <c r="I43" i="45"/>
  <c r="F43" i="45"/>
  <c r="X42" i="45"/>
  <c r="U42" i="45"/>
  <c r="R42" i="45"/>
  <c r="O42" i="45"/>
  <c r="L42" i="45"/>
  <c r="I42" i="45"/>
  <c r="F42" i="45"/>
  <c r="X41" i="45"/>
  <c r="U41" i="45"/>
  <c r="R41" i="45"/>
  <c r="O41" i="45"/>
  <c r="L41" i="45"/>
  <c r="I41" i="45"/>
  <c r="F41" i="45"/>
  <c r="X40" i="45"/>
  <c r="U40" i="45"/>
  <c r="R40" i="45"/>
  <c r="O40" i="45"/>
  <c r="L40" i="45"/>
  <c r="I40" i="45"/>
  <c r="F40" i="45"/>
  <c r="X39" i="45"/>
  <c r="U39" i="45"/>
  <c r="R39" i="45"/>
  <c r="O39" i="45"/>
  <c r="L39" i="45"/>
  <c r="I39" i="45"/>
  <c r="F39" i="45"/>
  <c r="X38" i="45"/>
  <c r="U38" i="45"/>
  <c r="R38" i="45"/>
  <c r="O38" i="45"/>
  <c r="L38" i="45"/>
  <c r="I38" i="45"/>
  <c r="F38" i="45"/>
  <c r="X37" i="45"/>
  <c r="U37" i="45"/>
  <c r="R37" i="45"/>
  <c r="O37" i="45"/>
  <c r="L37" i="45"/>
  <c r="I37" i="45"/>
  <c r="F37" i="45"/>
  <c r="X36" i="45"/>
  <c r="U36" i="45"/>
  <c r="R36" i="45"/>
  <c r="O36" i="45"/>
  <c r="L36" i="45"/>
  <c r="I36" i="45"/>
  <c r="F36" i="45"/>
  <c r="X35" i="45"/>
  <c r="U35" i="45"/>
  <c r="R35" i="45"/>
  <c r="O35" i="45"/>
  <c r="L35" i="45"/>
  <c r="I35" i="45"/>
  <c r="F35" i="45"/>
  <c r="X34" i="45"/>
  <c r="U34" i="45"/>
  <c r="R34" i="45"/>
  <c r="O34" i="45"/>
  <c r="L34" i="45"/>
  <c r="I34" i="45"/>
  <c r="F34" i="45"/>
  <c r="X33" i="45"/>
  <c r="U33" i="45"/>
  <c r="R33" i="45"/>
  <c r="O33" i="45"/>
  <c r="L33" i="45"/>
  <c r="I33" i="45"/>
  <c r="F33" i="45"/>
  <c r="X32" i="45"/>
  <c r="U32" i="45"/>
  <c r="R32" i="45"/>
  <c r="O32" i="45"/>
  <c r="L32" i="45"/>
  <c r="I32" i="45"/>
  <c r="F32" i="45"/>
  <c r="X31" i="45"/>
  <c r="U31" i="45"/>
  <c r="R31" i="45"/>
  <c r="O31" i="45"/>
  <c r="L31" i="45"/>
  <c r="I31" i="45"/>
  <c r="F31" i="45"/>
  <c r="X30" i="45"/>
  <c r="U30" i="45"/>
  <c r="R30" i="45"/>
  <c r="O30" i="45"/>
  <c r="L30" i="45"/>
  <c r="I30" i="45"/>
  <c r="F30" i="45"/>
  <c r="X29" i="45"/>
  <c r="U29" i="45"/>
  <c r="R29" i="45"/>
  <c r="O29" i="45"/>
  <c r="L29" i="45"/>
  <c r="I29" i="45"/>
  <c r="F29" i="45"/>
  <c r="X28" i="45"/>
  <c r="U28" i="45"/>
  <c r="R28" i="45"/>
  <c r="O28" i="45"/>
  <c r="L28" i="45"/>
  <c r="I28" i="45"/>
  <c r="F28" i="45"/>
  <c r="X27" i="45"/>
  <c r="U27" i="45"/>
  <c r="R27" i="45"/>
  <c r="O27" i="45"/>
  <c r="L27" i="45"/>
  <c r="I27" i="45"/>
  <c r="F27" i="45"/>
  <c r="X26" i="45"/>
  <c r="U26" i="45"/>
  <c r="R26" i="45"/>
  <c r="O26" i="45"/>
  <c r="L26" i="45"/>
  <c r="I26" i="45"/>
  <c r="F26" i="45"/>
  <c r="X25" i="45"/>
  <c r="U25" i="45"/>
  <c r="R25" i="45"/>
  <c r="O25" i="45"/>
  <c r="L25" i="45"/>
  <c r="I25" i="45"/>
  <c r="F25" i="45"/>
  <c r="X24" i="45"/>
  <c r="U24" i="45"/>
  <c r="R24" i="45"/>
  <c r="O24" i="45"/>
  <c r="L24" i="45"/>
  <c r="I24" i="45"/>
  <c r="F24" i="45"/>
  <c r="X23" i="45"/>
  <c r="U23" i="45"/>
  <c r="R23" i="45"/>
  <c r="O23" i="45"/>
  <c r="L23" i="45"/>
  <c r="I23" i="45"/>
  <c r="F23" i="45"/>
  <c r="X22" i="45"/>
  <c r="U22" i="45"/>
  <c r="R22" i="45"/>
  <c r="O22" i="45"/>
  <c r="L22" i="45"/>
  <c r="I22" i="45"/>
  <c r="F22" i="45"/>
  <c r="X21" i="45"/>
  <c r="U21" i="45"/>
  <c r="R21" i="45"/>
  <c r="O21" i="45"/>
  <c r="L21" i="45"/>
  <c r="I21" i="45"/>
  <c r="F21" i="45"/>
  <c r="X20" i="45"/>
  <c r="U20" i="45"/>
  <c r="R20" i="45"/>
  <c r="O20" i="45"/>
  <c r="L20" i="45"/>
  <c r="I20" i="45"/>
  <c r="F20" i="45"/>
  <c r="X19" i="45"/>
  <c r="U19" i="45"/>
  <c r="R19" i="45"/>
  <c r="O19" i="45"/>
  <c r="L19" i="45"/>
  <c r="I19" i="45"/>
  <c r="F19" i="45"/>
  <c r="X18" i="45"/>
  <c r="U18" i="45"/>
  <c r="R18" i="45"/>
  <c r="O18" i="45"/>
  <c r="L18" i="45"/>
  <c r="I18" i="45"/>
  <c r="F18" i="45"/>
  <c r="X17" i="45"/>
  <c r="U17" i="45"/>
  <c r="R17" i="45"/>
  <c r="O17" i="45"/>
  <c r="L17" i="45"/>
  <c r="I17" i="45"/>
  <c r="F17" i="45"/>
  <c r="X16" i="45"/>
  <c r="U16" i="45"/>
  <c r="R16" i="45"/>
  <c r="O16" i="45"/>
  <c r="L16" i="45"/>
  <c r="I16" i="45"/>
  <c r="F16" i="45"/>
  <c r="X15" i="45"/>
  <c r="U15" i="45"/>
  <c r="R15" i="45"/>
  <c r="O15" i="45"/>
  <c r="L15" i="45"/>
  <c r="I15" i="45"/>
  <c r="F15" i="45"/>
  <c r="X14" i="45"/>
  <c r="U14" i="45"/>
  <c r="R14" i="45"/>
  <c r="O14" i="45"/>
  <c r="L14" i="45"/>
  <c r="I14" i="45"/>
  <c r="F14" i="45"/>
  <c r="X13" i="45"/>
  <c r="U13" i="45"/>
  <c r="R13" i="45"/>
  <c r="O13" i="45"/>
  <c r="L13" i="45"/>
  <c r="I13" i="45"/>
  <c r="F13" i="45"/>
  <c r="X12" i="45"/>
  <c r="U12" i="45"/>
  <c r="R12" i="45"/>
  <c r="O12" i="45"/>
  <c r="L12" i="45"/>
  <c r="I12" i="45"/>
  <c r="F12" i="45"/>
  <c r="X11" i="45"/>
  <c r="U11" i="45"/>
  <c r="R11" i="45"/>
  <c r="O11" i="45"/>
  <c r="L11" i="45"/>
  <c r="I11" i="45"/>
  <c r="F11" i="45"/>
  <c r="X10" i="45"/>
  <c r="U10" i="45"/>
  <c r="R10" i="45"/>
  <c r="O10" i="45"/>
  <c r="L10" i="45"/>
  <c r="I10" i="45"/>
  <c r="F10" i="45"/>
  <c r="X9" i="45"/>
  <c r="U9" i="45"/>
  <c r="R9" i="45"/>
  <c r="O9" i="45"/>
  <c r="L9" i="45"/>
  <c r="I9" i="45"/>
  <c r="F9" i="45"/>
  <c r="X8" i="45"/>
  <c r="U8" i="45"/>
  <c r="R8" i="45"/>
  <c r="O8" i="45"/>
  <c r="L8" i="45"/>
  <c r="I8" i="45"/>
  <c r="F8" i="45"/>
  <c r="X7" i="45"/>
  <c r="U7" i="45"/>
  <c r="R7" i="45"/>
  <c r="O7" i="45"/>
  <c r="L7" i="45"/>
  <c r="I7" i="45"/>
  <c r="F7" i="45"/>
  <c r="X6" i="45"/>
  <c r="U6" i="45"/>
  <c r="R6" i="45"/>
  <c r="O6" i="45"/>
  <c r="L6" i="45"/>
  <c r="I6" i="45"/>
  <c r="F6" i="45"/>
  <c r="X5" i="45"/>
  <c r="U5" i="45"/>
  <c r="R5" i="45"/>
  <c r="O5" i="45"/>
  <c r="L5" i="45"/>
  <c r="I5" i="45"/>
  <c r="F5" i="45"/>
  <c r="X4" i="45"/>
  <c r="U4" i="45"/>
  <c r="R4" i="45"/>
  <c r="O4" i="45"/>
  <c r="L4" i="45"/>
  <c r="I4" i="45"/>
  <c r="F4" i="45"/>
  <c r="X98" i="44"/>
  <c r="U98" i="44"/>
  <c r="R98" i="44"/>
  <c r="O98" i="44"/>
  <c r="L98" i="44"/>
  <c r="I98" i="44"/>
  <c r="F98" i="44"/>
  <c r="X97" i="44"/>
  <c r="U97" i="44"/>
  <c r="R97" i="44"/>
  <c r="O97" i="44"/>
  <c r="L97" i="44"/>
  <c r="I97" i="44"/>
  <c r="F97" i="44"/>
  <c r="X96" i="44"/>
  <c r="U96" i="44"/>
  <c r="R96" i="44"/>
  <c r="O96" i="44"/>
  <c r="L96" i="44"/>
  <c r="I96" i="44"/>
  <c r="F96" i="44"/>
  <c r="X95" i="44"/>
  <c r="U95" i="44"/>
  <c r="R95" i="44"/>
  <c r="O95" i="44"/>
  <c r="L95" i="44"/>
  <c r="I95" i="44"/>
  <c r="F95" i="44"/>
  <c r="X94" i="44"/>
  <c r="U94" i="44"/>
  <c r="R94" i="44"/>
  <c r="O94" i="44"/>
  <c r="L94" i="44"/>
  <c r="I94" i="44"/>
  <c r="F94" i="44"/>
  <c r="X93" i="44"/>
  <c r="U93" i="44"/>
  <c r="R93" i="44"/>
  <c r="O93" i="44"/>
  <c r="L93" i="44"/>
  <c r="I93" i="44"/>
  <c r="F93" i="44"/>
  <c r="X92" i="44"/>
  <c r="U92" i="44"/>
  <c r="R92" i="44"/>
  <c r="O92" i="44"/>
  <c r="L92" i="44"/>
  <c r="I92" i="44"/>
  <c r="F92" i="44"/>
  <c r="X91" i="44"/>
  <c r="U91" i="44"/>
  <c r="R91" i="44"/>
  <c r="O91" i="44"/>
  <c r="L91" i="44"/>
  <c r="I91" i="44"/>
  <c r="F91" i="44"/>
  <c r="X90" i="44"/>
  <c r="U90" i="44"/>
  <c r="R90" i="44"/>
  <c r="O90" i="44"/>
  <c r="L90" i="44"/>
  <c r="I90" i="44"/>
  <c r="F90" i="44"/>
  <c r="X89" i="44"/>
  <c r="U89" i="44"/>
  <c r="R89" i="44"/>
  <c r="O89" i="44"/>
  <c r="L89" i="44"/>
  <c r="I89" i="44"/>
  <c r="F89" i="44"/>
  <c r="X88" i="44"/>
  <c r="U88" i="44"/>
  <c r="R88" i="44"/>
  <c r="O88" i="44"/>
  <c r="L88" i="44"/>
  <c r="I88" i="44"/>
  <c r="F88" i="44"/>
  <c r="X87" i="44"/>
  <c r="U87" i="44"/>
  <c r="R87" i="44"/>
  <c r="O87" i="44"/>
  <c r="L87" i="44"/>
  <c r="I87" i="44"/>
  <c r="F87" i="44"/>
  <c r="X86" i="44"/>
  <c r="U86" i="44"/>
  <c r="R86" i="44"/>
  <c r="O86" i="44"/>
  <c r="L86" i="44"/>
  <c r="I86" i="44"/>
  <c r="F86" i="44"/>
  <c r="X85" i="44"/>
  <c r="U85" i="44"/>
  <c r="R85" i="44"/>
  <c r="O85" i="44"/>
  <c r="L85" i="44"/>
  <c r="I85" i="44"/>
  <c r="F85" i="44"/>
  <c r="X84" i="44"/>
  <c r="U84" i="44"/>
  <c r="R84" i="44"/>
  <c r="O84" i="44"/>
  <c r="L84" i="44"/>
  <c r="I84" i="44"/>
  <c r="F84" i="44"/>
  <c r="X83" i="44"/>
  <c r="U83" i="44"/>
  <c r="R83" i="44"/>
  <c r="O83" i="44"/>
  <c r="L83" i="44"/>
  <c r="I83" i="44"/>
  <c r="F83" i="44"/>
  <c r="X82" i="44"/>
  <c r="U82" i="44"/>
  <c r="R82" i="44"/>
  <c r="O82" i="44"/>
  <c r="L82" i="44"/>
  <c r="I82" i="44"/>
  <c r="F82" i="44"/>
  <c r="X81" i="44"/>
  <c r="U81" i="44"/>
  <c r="R81" i="44"/>
  <c r="O81" i="44"/>
  <c r="L81" i="44"/>
  <c r="I81" i="44"/>
  <c r="F81" i="44"/>
  <c r="X80" i="44"/>
  <c r="U80" i="44"/>
  <c r="R80" i="44"/>
  <c r="O80" i="44"/>
  <c r="L80" i="44"/>
  <c r="I80" i="44"/>
  <c r="F80" i="44"/>
  <c r="X79" i="44"/>
  <c r="U79" i="44"/>
  <c r="R79" i="44"/>
  <c r="O79" i="44"/>
  <c r="L79" i="44"/>
  <c r="I79" i="44"/>
  <c r="F79" i="44"/>
  <c r="X78" i="44"/>
  <c r="U78" i="44"/>
  <c r="R78" i="44"/>
  <c r="O78" i="44"/>
  <c r="L78" i="44"/>
  <c r="I78" i="44"/>
  <c r="F78" i="44"/>
  <c r="X77" i="44"/>
  <c r="U77" i="44"/>
  <c r="R77" i="44"/>
  <c r="O77" i="44"/>
  <c r="L77" i="44"/>
  <c r="I77" i="44"/>
  <c r="F77" i="44"/>
  <c r="X76" i="44"/>
  <c r="U76" i="44"/>
  <c r="R76" i="44"/>
  <c r="O76" i="44"/>
  <c r="L76" i="44"/>
  <c r="I76" i="44"/>
  <c r="F76" i="44"/>
  <c r="X75" i="44"/>
  <c r="U75" i="44"/>
  <c r="R75" i="44"/>
  <c r="O75" i="44"/>
  <c r="L75" i="44"/>
  <c r="I75" i="44"/>
  <c r="F75" i="44"/>
  <c r="X74" i="44"/>
  <c r="U74" i="44"/>
  <c r="R74" i="44"/>
  <c r="O74" i="44"/>
  <c r="L74" i="44"/>
  <c r="I74" i="44"/>
  <c r="F74" i="44"/>
  <c r="X73" i="44"/>
  <c r="U73" i="44"/>
  <c r="R73" i="44"/>
  <c r="O73" i="44"/>
  <c r="L73" i="44"/>
  <c r="I73" i="44"/>
  <c r="F73" i="44"/>
  <c r="X72" i="44"/>
  <c r="U72" i="44"/>
  <c r="R72" i="44"/>
  <c r="O72" i="44"/>
  <c r="L72" i="44"/>
  <c r="I72" i="44"/>
  <c r="F72" i="44"/>
  <c r="X71" i="44"/>
  <c r="U71" i="44"/>
  <c r="R71" i="44"/>
  <c r="O71" i="44"/>
  <c r="L71" i="44"/>
  <c r="I71" i="44"/>
  <c r="F71" i="44"/>
  <c r="X70" i="44"/>
  <c r="U70" i="44"/>
  <c r="R70" i="44"/>
  <c r="O70" i="44"/>
  <c r="L70" i="44"/>
  <c r="I70" i="44"/>
  <c r="F70" i="44"/>
  <c r="X69" i="44"/>
  <c r="U69" i="44"/>
  <c r="R69" i="44"/>
  <c r="O69" i="44"/>
  <c r="L69" i="44"/>
  <c r="I69" i="44"/>
  <c r="F69" i="44"/>
  <c r="X68" i="44"/>
  <c r="U68" i="44"/>
  <c r="R68" i="44"/>
  <c r="O68" i="44"/>
  <c r="L68" i="44"/>
  <c r="I68" i="44"/>
  <c r="F68" i="44"/>
  <c r="X67" i="44"/>
  <c r="U67" i="44"/>
  <c r="R67" i="44"/>
  <c r="O67" i="44"/>
  <c r="L67" i="44"/>
  <c r="I67" i="44"/>
  <c r="F67" i="44"/>
  <c r="X66" i="44"/>
  <c r="U66" i="44"/>
  <c r="R66" i="44"/>
  <c r="O66" i="44"/>
  <c r="L66" i="44"/>
  <c r="I66" i="44"/>
  <c r="F66" i="44"/>
  <c r="X65" i="44"/>
  <c r="U65" i="44"/>
  <c r="R65" i="44"/>
  <c r="O65" i="44"/>
  <c r="L65" i="44"/>
  <c r="I65" i="44"/>
  <c r="F65" i="44"/>
  <c r="X64" i="44"/>
  <c r="U64" i="44"/>
  <c r="R64" i="44"/>
  <c r="O64" i="44"/>
  <c r="L64" i="44"/>
  <c r="I64" i="44"/>
  <c r="F64" i="44"/>
  <c r="X63" i="44"/>
  <c r="U63" i="44"/>
  <c r="R63" i="44"/>
  <c r="O63" i="44"/>
  <c r="L63" i="44"/>
  <c r="I63" i="44"/>
  <c r="F63" i="44"/>
  <c r="X62" i="44"/>
  <c r="U62" i="44"/>
  <c r="R62" i="44"/>
  <c r="O62" i="44"/>
  <c r="L62" i="44"/>
  <c r="I62" i="44"/>
  <c r="F62" i="44"/>
  <c r="X61" i="44"/>
  <c r="U61" i="44"/>
  <c r="R61" i="44"/>
  <c r="O61" i="44"/>
  <c r="L61" i="44"/>
  <c r="I61" i="44"/>
  <c r="F61" i="44"/>
  <c r="X60" i="44"/>
  <c r="U60" i="44"/>
  <c r="R60" i="44"/>
  <c r="O60" i="44"/>
  <c r="L60" i="44"/>
  <c r="I60" i="44"/>
  <c r="F60" i="44"/>
  <c r="X59" i="44"/>
  <c r="U59" i="44"/>
  <c r="R59" i="44"/>
  <c r="O59" i="44"/>
  <c r="L59" i="44"/>
  <c r="I59" i="44"/>
  <c r="F59" i="44"/>
  <c r="X58" i="44"/>
  <c r="U58" i="44"/>
  <c r="R58" i="44"/>
  <c r="O58" i="44"/>
  <c r="L58" i="44"/>
  <c r="I58" i="44"/>
  <c r="F58" i="44"/>
  <c r="X57" i="44"/>
  <c r="U57" i="44"/>
  <c r="R57" i="44"/>
  <c r="O57" i="44"/>
  <c r="L57" i="44"/>
  <c r="I57" i="44"/>
  <c r="F57" i="44"/>
  <c r="X56" i="44"/>
  <c r="U56" i="44"/>
  <c r="R56" i="44"/>
  <c r="O56" i="44"/>
  <c r="L56" i="44"/>
  <c r="I56" i="44"/>
  <c r="F56" i="44"/>
  <c r="X55" i="44"/>
  <c r="U55" i="44"/>
  <c r="R55" i="44"/>
  <c r="O55" i="44"/>
  <c r="L55" i="44"/>
  <c r="I55" i="44"/>
  <c r="F55" i="44"/>
  <c r="X54" i="44"/>
  <c r="U54" i="44"/>
  <c r="R54" i="44"/>
  <c r="O54" i="44"/>
  <c r="L54" i="44"/>
  <c r="I54" i="44"/>
  <c r="F54" i="44"/>
  <c r="X53" i="44"/>
  <c r="U53" i="44"/>
  <c r="R53" i="44"/>
  <c r="O53" i="44"/>
  <c r="L53" i="44"/>
  <c r="I53" i="44"/>
  <c r="F53" i="44"/>
  <c r="X52" i="44"/>
  <c r="U52" i="44"/>
  <c r="R52" i="44"/>
  <c r="O52" i="44"/>
  <c r="L52" i="44"/>
  <c r="I52" i="44"/>
  <c r="F52" i="44"/>
  <c r="X51" i="44"/>
  <c r="U51" i="44"/>
  <c r="R51" i="44"/>
  <c r="O51" i="44"/>
  <c r="L51" i="44"/>
  <c r="I51" i="44"/>
  <c r="F51" i="44"/>
  <c r="X50" i="44"/>
  <c r="U50" i="44"/>
  <c r="R50" i="44"/>
  <c r="O50" i="44"/>
  <c r="L50" i="44"/>
  <c r="I50" i="44"/>
  <c r="F50" i="44"/>
  <c r="X49" i="44"/>
  <c r="U49" i="44"/>
  <c r="R49" i="44"/>
  <c r="O49" i="44"/>
  <c r="L49" i="44"/>
  <c r="I49" i="44"/>
  <c r="F49" i="44"/>
  <c r="X48" i="44"/>
  <c r="U48" i="44"/>
  <c r="R48" i="44"/>
  <c r="O48" i="44"/>
  <c r="L48" i="44"/>
  <c r="I48" i="44"/>
  <c r="F48" i="44"/>
  <c r="X47" i="44"/>
  <c r="U47" i="44"/>
  <c r="R47" i="44"/>
  <c r="O47" i="44"/>
  <c r="L47" i="44"/>
  <c r="I47" i="44"/>
  <c r="F47" i="44"/>
  <c r="X46" i="44"/>
  <c r="U46" i="44"/>
  <c r="R46" i="44"/>
  <c r="O46" i="44"/>
  <c r="L46" i="44"/>
  <c r="I46" i="44"/>
  <c r="F46" i="44"/>
  <c r="X45" i="44"/>
  <c r="U45" i="44"/>
  <c r="R45" i="44"/>
  <c r="O45" i="44"/>
  <c r="L45" i="44"/>
  <c r="I45" i="44"/>
  <c r="F45" i="44"/>
  <c r="X44" i="44"/>
  <c r="U44" i="44"/>
  <c r="R44" i="44"/>
  <c r="O44" i="44"/>
  <c r="L44" i="44"/>
  <c r="I44" i="44"/>
  <c r="F44" i="44"/>
  <c r="X43" i="44"/>
  <c r="U43" i="44"/>
  <c r="R43" i="44"/>
  <c r="O43" i="44"/>
  <c r="L43" i="44"/>
  <c r="I43" i="44"/>
  <c r="F43" i="44"/>
  <c r="X42" i="44"/>
  <c r="U42" i="44"/>
  <c r="R42" i="44"/>
  <c r="O42" i="44"/>
  <c r="L42" i="44"/>
  <c r="I42" i="44"/>
  <c r="F42" i="44"/>
  <c r="X41" i="44"/>
  <c r="U41" i="44"/>
  <c r="R41" i="44"/>
  <c r="O41" i="44"/>
  <c r="L41" i="44"/>
  <c r="I41" i="44"/>
  <c r="F41" i="44"/>
  <c r="X40" i="44"/>
  <c r="U40" i="44"/>
  <c r="R40" i="44"/>
  <c r="O40" i="44"/>
  <c r="L40" i="44"/>
  <c r="I40" i="44"/>
  <c r="F40" i="44"/>
  <c r="X39" i="44"/>
  <c r="U39" i="44"/>
  <c r="R39" i="44"/>
  <c r="O39" i="44"/>
  <c r="L39" i="44"/>
  <c r="I39" i="44"/>
  <c r="F39" i="44"/>
  <c r="X38" i="44"/>
  <c r="U38" i="44"/>
  <c r="R38" i="44"/>
  <c r="O38" i="44"/>
  <c r="L38" i="44"/>
  <c r="I38" i="44"/>
  <c r="F38" i="44"/>
  <c r="X37" i="44"/>
  <c r="U37" i="44"/>
  <c r="R37" i="44"/>
  <c r="O37" i="44"/>
  <c r="L37" i="44"/>
  <c r="I37" i="44"/>
  <c r="F37" i="44"/>
  <c r="X36" i="44"/>
  <c r="U36" i="44"/>
  <c r="R36" i="44"/>
  <c r="O36" i="44"/>
  <c r="L36" i="44"/>
  <c r="I36" i="44"/>
  <c r="F36" i="44"/>
  <c r="X35" i="44"/>
  <c r="U35" i="44"/>
  <c r="R35" i="44"/>
  <c r="O35" i="44"/>
  <c r="L35" i="44"/>
  <c r="I35" i="44"/>
  <c r="F35" i="44"/>
  <c r="X34" i="44"/>
  <c r="U34" i="44"/>
  <c r="R34" i="44"/>
  <c r="O34" i="44"/>
  <c r="L34" i="44"/>
  <c r="I34" i="44"/>
  <c r="F34" i="44"/>
  <c r="X33" i="44"/>
  <c r="U33" i="44"/>
  <c r="R33" i="44"/>
  <c r="O33" i="44"/>
  <c r="L33" i="44"/>
  <c r="I33" i="44"/>
  <c r="F33" i="44"/>
  <c r="X32" i="44"/>
  <c r="U32" i="44"/>
  <c r="R32" i="44"/>
  <c r="O32" i="44"/>
  <c r="L32" i="44"/>
  <c r="I32" i="44"/>
  <c r="F32" i="44"/>
  <c r="X31" i="44"/>
  <c r="U31" i="44"/>
  <c r="R31" i="44"/>
  <c r="O31" i="44"/>
  <c r="L31" i="44"/>
  <c r="I31" i="44"/>
  <c r="F31" i="44"/>
  <c r="X30" i="44"/>
  <c r="U30" i="44"/>
  <c r="R30" i="44"/>
  <c r="O30" i="44"/>
  <c r="L30" i="44"/>
  <c r="I30" i="44"/>
  <c r="F30" i="44"/>
  <c r="X29" i="44"/>
  <c r="U29" i="44"/>
  <c r="R29" i="44"/>
  <c r="O29" i="44"/>
  <c r="L29" i="44"/>
  <c r="I29" i="44"/>
  <c r="F29" i="44"/>
  <c r="X28" i="44"/>
  <c r="U28" i="44"/>
  <c r="R28" i="44"/>
  <c r="O28" i="44"/>
  <c r="L28" i="44"/>
  <c r="I28" i="44"/>
  <c r="F28" i="44"/>
  <c r="X27" i="44"/>
  <c r="U27" i="44"/>
  <c r="R27" i="44"/>
  <c r="O27" i="44"/>
  <c r="L27" i="44"/>
  <c r="I27" i="44"/>
  <c r="F27" i="44"/>
  <c r="X26" i="44"/>
  <c r="U26" i="44"/>
  <c r="R26" i="44"/>
  <c r="O26" i="44"/>
  <c r="L26" i="44"/>
  <c r="I26" i="44"/>
  <c r="F26" i="44"/>
  <c r="X25" i="44"/>
  <c r="U25" i="44"/>
  <c r="R25" i="44"/>
  <c r="O25" i="44"/>
  <c r="L25" i="44"/>
  <c r="I25" i="44"/>
  <c r="F25" i="44"/>
  <c r="X24" i="44"/>
  <c r="U24" i="44"/>
  <c r="R24" i="44"/>
  <c r="O24" i="44"/>
  <c r="L24" i="44"/>
  <c r="I24" i="44"/>
  <c r="F24" i="44"/>
  <c r="X23" i="44"/>
  <c r="U23" i="44"/>
  <c r="R23" i="44"/>
  <c r="O23" i="44"/>
  <c r="L23" i="44"/>
  <c r="I23" i="44"/>
  <c r="F23" i="44"/>
  <c r="X22" i="44"/>
  <c r="U22" i="44"/>
  <c r="R22" i="44"/>
  <c r="O22" i="44"/>
  <c r="L22" i="44"/>
  <c r="I22" i="44"/>
  <c r="F22" i="44"/>
  <c r="X21" i="44"/>
  <c r="U21" i="44"/>
  <c r="R21" i="44"/>
  <c r="O21" i="44"/>
  <c r="L21" i="44"/>
  <c r="I21" i="44"/>
  <c r="F21" i="44"/>
  <c r="X20" i="44"/>
  <c r="U20" i="44"/>
  <c r="R20" i="44"/>
  <c r="O20" i="44"/>
  <c r="L20" i="44"/>
  <c r="I20" i="44"/>
  <c r="F20" i="44"/>
  <c r="X19" i="44"/>
  <c r="U19" i="44"/>
  <c r="R19" i="44"/>
  <c r="O19" i="44"/>
  <c r="L19" i="44"/>
  <c r="I19" i="44"/>
  <c r="F19" i="44"/>
  <c r="X18" i="44"/>
  <c r="U18" i="44"/>
  <c r="R18" i="44"/>
  <c r="O18" i="44"/>
  <c r="L18" i="44"/>
  <c r="I18" i="44"/>
  <c r="F18" i="44"/>
  <c r="X17" i="44"/>
  <c r="U17" i="44"/>
  <c r="R17" i="44"/>
  <c r="O17" i="44"/>
  <c r="L17" i="44"/>
  <c r="I17" i="44"/>
  <c r="F17" i="44"/>
  <c r="X16" i="44"/>
  <c r="U16" i="44"/>
  <c r="R16" i="44"/>
  <c r="O16" i="44"/>
  <c r="L16" i="44"/>
  <c r="I16" i="44"/>
  <c r="F16" i="44"/>
  <c r="X15" i="44"/>
  <c r="U15" i="44"/>
  <c r="R15" i="44"/>
  <c r="O15" i="44"/>
  <c r="L15" i="44"/>
  <c r="I15" i="44"/>
  <c r="F15" i="44"/>
  <c r="X14" i="44"/>
  <c r="U14" i="44"/>
  <c r="R14" i="44"/>
  <c r="O14" i="44"/>
  <c r="L14" i="44"/>
  <c r="I14" i="44"/>
  <c r="F14" i="44"/>
  <c r="X13" i="44"/>
  <c r="U13" i="44"/>
  <c r="R13" i="44"/>
  <c r="O13" i="44"/>
  <c r="L13" i="44"/>
  <c r="I13" i="44"/>
  <c r="F13" i="44"/>
  <c r="X12" i="44"/>
  <c r="U12" i="44"/>
  <c r="R12" i="44"/>
  <c r="O12" i="44"/>
  <c r="L12" i="44"/>
  <c r="I12" i="44"/>
  <c r="F12" i="44"/>
  <c r="X11" i="44"/>
  <c r="U11" i="44"/>
  <c r="R11" i="44"/>
  <c r="O11" i="44"/>
  <c r="L11" i="44"/>
  <c r="I11" i="44"/>
  <c r="F11" i="44"/>
  <c r="X10" i="44"/>
  <c r="U10" i="44"/>
  <c r="R10" i="44"/>
  <c r="O10" i="44"/>
  <c r="L10" i="44"/>
  <c r="I10" i="44"/>
  <c r="F10" i="44"/>
  <c r="X9" i="44"/>
  <c r="U9" i="44"/>
  <c r="R9" i="44"/>
  <c r="O9" i="44"/>
  <c r="L9" i="44"/>
  <c r="I9" i="44"/>
  <c r="F9" i="44"/>
  <c r="X8" i="44"/>
  <c r="U8" i="44"/>
  <c r="R8" i="44"/>
  <c r="O8" i="44"/>
  <c r="L8" i="44"/>
  <c r="I8" i="44"/>
  <c r="F8" i="44"/>
  <c r="X7" i="44"/>
  <c r="U7" i="44"/>
  <c r="R7" i="44"/>
  <c r="O7" i="44"/>
  <c r="L7" i="44"/>
  <c r="I7" i="44"/>
  <c r="F7" i="44"/>
  <c r="X6" i="44"/>
  <c r="U6" i="44"/>
  <c r="R6" i="44"/>
  <c r="O6" i="44"/>
  <c r="L6" i="44"/>
  <c r="I6" i="44"/>
  <c r="F6" i="44"/>
  <c r="X5" i="44"/>
  <c r="U5" i="44"/>
  <c r="R5" i="44"/>
  <c r="O5" i="44"/>
  <c r="L5" i="44"/>
  <c r="I5" i="44"/>
  <c r="F5" i="44"/>
  <c r="X4" i="44"/>
  <c r="U4" i="44"/>
  <c r="R4" i="44"/>
  <c r="O4" i="44"/>
  <c r="L4" i="44"/>
  <c r="I4" i="44"/>
  <c r="F4" i="44"/>
  <c r="X98" i="43"/>
  <c r="U98" i="43"/>
  <c r="R98" i="43"/>
  <c r="O98" i="43"/>
  <c r="L98" i="43"/>
  <c r="I98" i="43"/>
  <c r="F98" i="43"/>
  <c r="X97" i="43"/>
  <c r="U97" i="43"/>
  <c r="R97" i="43"/>
  <c r="O97" i="43"/>
  <c r="L97" i="43"/>
  <c r="I97" i="43"/>
  <c r="F97" i="43"/>
  <c r="X96" i="43"/>
  <c r="U96" i="43"/>
  <c r="R96" i="43"/>
  <c r="O96" i="43"/>
  <c r="L96" i="43"/>
  <c r="I96" i="43"/>
  <c r="F96" i="43"/>
  <c r="X95" i="43"/>
  <c r="U95" i="43"/>
  <c r="R95" i="43"/>
  <c r="O95" i="43"/>
  <c r="L95" i="43"/>
  <c r="I95" i="43"/>
  <c r="F95" i="43"/>
  <c r="X94" i="43"/>
  <c r="U94" i="43"/>
  <c r="R94" i="43"/>
  <c r="O94" i="43"/>
  <c r="L94" i="43"/>
  <c r="I94" i="43"/>
  <c r="F94" i="43"/>
  <c r="X93" i="43"/>
  <c r="U93" i="43"/>
  <c r="R93" i="43"/>
  <c r="O93" i="43"/>
  <c r="L93" i="43"/>
  <c r="I93" i="43"/>
  <c r="F93" i="43"/>
  <c r="X92" i="43"/>
  <c r="U92" i="43"/>
  <c r="R92" i="43"/>
  <c r="O92" i="43"/>
  <c r="L92" i="43"/>
  <c r="I92" i="43"/>
  <c r="F92" i="43"/>
  <c r="X91" i="43"/>
  <c r="U91" i="43"/>
  <c r="R91" i="43"/>
  <c r="O91" i="43"/>
  <c r="L91" i="43"/>
  <c r="I91" i="43"/>
  <c r="F91" i="43"/>
  <c r="X90" i="43"/>
  <c r="U90" i="43"/>
  <c r="R90" i="43"/>
  <c r="O90" i="43"/>
  <c r="L90" i="43"/>
  <c r="I90" i="43"/>
  <c r="F90" i="43"/>
  <c r="X89" i="43"/>
  <c r="U89" i="43"/>
  <c r="R89" i="43"/>
  <c r="O89" i="43"/>
  <c r="L89" i="43"/>
  <c r="I89" i="43"/>
  <c r="F89" i="43"/>
  <c r="X88" i="43"/>
  <c r="U88" i="43"/>
  <c r="R88" i="43"/>
  <c r="O88" i="43"/>
  <c r="L88" i="43"/>
  <c r="I88" i="43"/>
  <c r="F88" i="43"/>
  <c r="X87" i="43"/>
  <c r="U87" i="43"/>
  <c r="R87" i="43"/>
  <c r="O87" i="43"/>
  <c r="L87" i="43"/>
  <c r="I87" i="43"/>
  <c r="F87" i="43"/>
  <c r="X86" i="43"/>
  <c r="U86" i="43"/>
  <c r="R86" i="43"/>
  <c r="O86" i="43"/>
  <c r="L86" i="43"/>
  <c r="I86" i="43"/>
  <c r="F86" i="43"/>
  <c r="X85" i="43"/>
  <c r="U85" i="43"/>
  <c r="R85" i="43"/>
  <c r="O85" i="43"/>
  <c r="L85" i="43"/>
  <c r="I85" i="43"/>
  <c r="F85" i="43"/>
  <c r="X84" i="43"/>
  <c r="U84" i="43"/>
  <c r="R84" i="43"/>
  <c r="O84" i="43"/>
  <c r="L84" i="43"/>
  <c r="I84" i="43"/>
  <c r="F84" i="43"/>
  <c r="X83" i="43"/>
  <c r="U83" i="43"/>
  <c r="R83" i="43"/>
  <c r="O83" i="43"/>
  <c r="L83" i="43"/>
  <c r="I83" i="43"/>
  <c r="F83" i="43"/>
  <c r="X82" i="43"/>
  <c r="U82" i="43"/>
  <c r="R82" i="43"/>
  <c r="O82" i="43"/>
  <c r="L82" i="43"/>
  <c r="I82" i="43"/>
  <c r="F82" i="43"/>
  <c r="X81" i="43"/>
  <c r="U81" i="43"/>
  <c r="R81" i="43"/>
  <c r="O81" i="43"/>
  <c r="L81" i="43"/>
  <c r="I81" i="43"/>
  <c r="F81" i="43"/>
  <c r="X80" i="43"/>
  <c r="U80" i="43"/>
  <c r="R80" i="43"/>
  <c r="O80" i="43"/>
  <c r="L80" i="43"/>
  <c r="I80" i="43"/>
  <c r="F80" i="43"/>
  <c r="X79" i="43"/>
  <c r="U79" i="43"/>
  <c r="R79" i="43"/>
  <c r="O79" i="43"/>
  <c r="L79" i="43"/>
  <c r="I79" i="43"/>
  <c r="F79" i="43"/>
  <c r="X78" i="43"/>
  <c r="U78" i="43"/>
  <c r="R78" i="43"/>
  <c r="O78" i="43"/>
  <c r="L78" i="43"/>
  <c r="I78" i="43"/>
  <c r="F78" i="43"/>
  <c r="X77" i="43"/>
  <c r="U77" i="43"/>
  <c r="R77" i="43"/>
  <c r="O77" i="43"/>
  <c r="L77" i="43"/>
  <c r="I77" i="43"/>
  <c r="F77" i="43"/>
  <c r="X76" i="43"/>
  <c r="U76" i="43"/>
  <c r="R76" i="43"/>
  <c r="O76" i="43"/>
  <c r="L76" i="43"/>
  <c r="I76" i="43"/>
  <c r="F76" i="43"/>
  <c r="X75" i="43"/>
  <c r="U75" i="43"/>
  <c r="R75" i="43"/>
  <c r="O75" i="43"/>
  <c r="L75" i="43"/>
  <c r="I75" i="43"/>
  <c r="F75" i="43"/>
  <c r="X74" i="43"/>
  <c r="U74" i="43"/>
  <c r="R74" i="43"/>
  <c r="O74" i="43"/>
  <c r="L74" i="43"/>
  <c r="I74" i="43"/>
  <c r="F74" i="43"/>
  <c r="X73" i="43"/>
  <c r="U73" i="43"/>
  <c r="R73" i="43"/>
  <c r="O73" i="43"/>
  <c r="L73" i="43"/>
  <c r="I73" i="43"/>
  <c r="F73" i="43"/>
  <c r="X72" i="43"/>
  <c r="U72" i="43"/>
  <c r="R72" i="43"/>
  <c r="O72" i="43"/>
  <c r="L72" i="43"/>
  <c r="I72" i="43"/>
  <c r="F72" i="43"/>
  <c r="X71" i="43"/>
  <c r="U71" i="43"/>
  <c r="R71" i="43"/>
  <c r="O71" i="43"/>
  <c r="L71" i="43"/>
  <c r="I71" i="43"/>
  <c r="F71" i="43"/>
  <c r="X70" i="43"/>
  <c r="U70" i="43"/>
  <c r="R70" i="43"/>
  <c r="O70" i="43"/>
  <c r="L70" i="43"/>
  <c r="I70" i="43"/>
  <c r="F70" i="43"/>
  <c r="X69" i="43"/>
  <c r="U69" i="43"/>
  <c r="R69" i="43"/>
  <c r="O69" i="43"/>
  <c r="L69" i="43"/>
  <c r="I69" i="43"/>
  <c r="F69" i="43"/>
  <c r="X68" i="43"/>
  <c r="U68" i="43"/>
  <c r="R68" i="43"/>
  <c r="O68" i="43"/>
  <c r="L68" i="43"/>
  <c r="I68" i="43"/>
  <c r="F68" i="43"/>
  <c r="X67" i="43"/>
  <c r="U67" i="43"/>
  <c r="R67" i="43"/>
  <c r="O67" i="43"/>
  <c r="L67" i="43"/>
  <c r="I67" i="43"/>
  <c r="F67" i="43"/>
  <c r="X66" i="43"/>
  <c r="U66" i="43"/>
  <c r="R66" i="43"/>
  <c r="O66" i="43"/>
  <c r="L66" i="43"/>
  <c r="I66" i="43"/>
  <c r="F66" i="43"/>
  <c r="X65" i="43"/>
  <c r="U65" i="43"/>
  <c r="R65" i="43"/>
  <c r="O65" i="43"/>
  <c r="L65" i="43"/>
  <c r="I65" i="43"/>
  <c r="F65" i="43"/>
  <c r="X64" i="43"/>
  <c r="U64" i="43"/>
  <c r="R64" i="43"/>
  <c r="O64" i="43"/>
  <c r="L64" i="43"/>
  <c r="I64" i="43"/>
  <c r="F64" i="43"/>
  <c r="X63" i="43"/>
  <c r="U63" i="43"/>
  <c r="R63" i="43"/>
  <c r="O63" i="43"/>
  <c r="L63" i="43"/>
  <c r="I63" i="43"/>
  <c r="F63" i="43"/>
  <c r="X62" i="43"/>
  <c r="U62" i="43"/>
  <c r="R62" i="43"/>
  <c r="O62" i="43"/>
  <c r="L62" i="43"/>
  <c r="I62" i="43"/>
  <c r="F62" i="43"/>
  <c r="X61" i="43"/>
  <c r="U61" i="43"/>
  <c r="R61" i="43"/>
  <c r="O61" i="43"/>
  <c r="L61" i="43"/>
  <c r="I61" i="43"/>
  <c r="F61" i="43"/>
  <c r="X60" i="43"/>
  <c r="U60" i="43"/>
  <c r="R60" i="43"/>
  <c r="O60" i="43"/>
  <c r="L60" i="43"/>
  <c r="I60" i="43"/>
  <c r="F60" i="43"/>
  <c r="X59" i="43"/>
  <c r="U59" i="43"/>
  <c r="R59" i="43"/>
  <c r="O59" i="43"/>
  <c r="L59" i="43"/>
  <c r="I59" i="43"/>
  <c r="F59" i="43"/>
  <c r="X58" i="43"/>
  <c r="U58" i="43"/>
  <c r="R58" i="43"/>
  <c r="O58" i="43"/>
  <c r="L58" i="43"/>
  <c r="I58" i="43"/>
  <c r="F58" i="43"/>
  <c r="X57" i="43"/>
  <c r="U57" i="43"/>
  <c r="R57" i="43"/>
  <c r="O57" i="43"/>
  <c r="L57" i="43"/>
  <c r="I57" i="43"/>
  <c r="F57" i="43"/>
  <c r="X56" i="43"/>
  <c r="U56" i="43"/>
  <c r="R56" i="43"/>
  <c r="O56" i="43"/>
  <c r="L56" i="43"/>
  <c r="I56" i="43"/>
  <c r="F56" i="43"/>
  <c r="X55" i="43"/>
  <c r="U55" i="43"/>
  <c r="R55" i="43"/>
  <c r="O55" i="43"/>
  <c r="L55" i="43"/>
  <c r="I55" i="43"/>
  <c r="F55" i="43"/>
  <c r="X54" i="43"/>
  <c r="U54" i="43"/>
  <c r="R54" i="43"/>
  <c r="O54" i="43"/>
  <c r="L54" i="43"/>
  <c r="I54" i="43"/>
  <c r="F54" i="43"/>
  <c r="X53" i="43"/>
  <c r="U53" i="43"/>
  <c r="R53" i="43"/>
  <c r="O53" i="43"/>
  <c r="L53" i="43"/>
  <c r="I53" i="43"/>
  <c r="F53" i="43"/>
  <c r="X52" i="43"/>
  <c r="U52" i="43"/>
  <c r="R52" i="43"/>
  <c r="O52" i="43"/>
  <c r="L52" i="43"/>
  <c r="I52" i="43"/>
  <c r="F52" i="43"/>
  <c r="X51" i="43"/>
  <c r="U51" i="43"/>
  <c r="R51" i="43"/>
  <c r="O51" i="43"/>
  <c r="L51" i="43"/>
  <c r="I51" i="43"/>
  <c r="F51" i="43"/>
  <c r="X50" i="43"/>
  <c r="U50" i="43"/>
  <c r="R50" i="43"/>
  <c r="O50" i="43"/>
  <c r="L50" i="43"/>
  <c r="I50" i="43"/>
  <c r="F50" i="43"/>
  <c r="X49" i="43"/>
  <c r="U49" i="43"/>
  <c r="R49" i="43"/>
  <c r="O49" i="43"/>
  <c r="L49" i="43"/>
  <c r="I49" i="43"/>
  <c r="F49" i="43"/>
  <c r="X48" i="43"/>
  <c r="U48" i="43"/>
  <c r="R48" i="43"/>
  <c r="O48" i="43"/>
  <c r="L48" i="43"/>
  <c r="I48" i="43"/>
  <c r="F48" i="43"/>
  <c r="X47" i="43"/>
  <c r="U47" i="43"/>
  <c r="R47" i="43"/>
  <c r="O47" i="43"/>
  <c r="L47" i="43"/>
  <c r="I47" i="43"/>
  <c r="F47" i="43"/>
  <c r="X46" i="43"/>
  <c r="U46" i="43"/>
  <c r="R46" i="43"/>
  <c r="O46" i="43"/>
  <c r="L46" i="43"/>
  <c r="I46" i="43"/>
  <c r="F46" i="43"/>
  <c r="X45" i="43"/>
  <c r="U45" i="43"/>
  <c r="R45" i="43"/>
  <c r="O45" i="43"/>
  <c r="L45" i="43"/>
  <c r="I45" i="43"/>
  <c r="F45" i="43"/>
  <c r="X44" i="43"/>
  <c r="U44" i="43"/>
  <c r="R44" i="43"/>
  <c r="O44" i="43"/>
  <c r="L44" i="43"/>
  <c r="I44" i="43"/>
  <c r="F44" i="43"/>
  <c r="X43" i="43"/>
  <c r="U43" i="43"/>
  <c r="R43" i="43"/>
  <c r="O43" i="43"/>
  <c r="L43" i="43"/>
  <c r="I43" i="43"/>
  <c r="F43" i="43"/>
  <c r="X42" i="43"/>
  <c r="U42" i="43"/>
  <c r="R42" i="43"/>
  <c r="O42" i="43"/>
  <c r="L42" i="43"/>
  <c r="I42" i="43"/>
  <c r="F42" i="43"/>
  <c r="X41" i="43"/>
  <c r="U41" i="43"/>
  <c r="R41" i="43"/>
  <c r="O41" i="43"/>
  <c r="L41" i="43"/>
  <c r="I41" i="43"/>
  <c r="F41" i="43"/>
  <c r="X40" i="43"/>
  <c r="U40" i="43"/>
  <c r="R40" i="43"/>
  <c r="O40" i="43"/>
  <c r="L40" i="43"/>
  <c r="I40" i="43"/>
  <c r="F40" i="43"/>
  <c r="X39" i="43"/>
  <c r="U39" i="43"/>
  <c r="R39" i="43"/>
  <c r="O39" i="43"/>
  <c r="L39" i="43"/>
  <c r="I39" i="43"/>
  <c r="F39" i="43"/>
  <c r="X38" i="43"/>
  <c r="U38" i="43"/>
  <c r="R38" i="43"/>
  <c r="O38" i="43"/>
  <c r="L38" i="43"/>
  <c r="I38" i="43"/>
  <c r="F38" i="43"/>
  <c r="X37" i="43"/>
  <c r="U37" i="43"/>
  <c r="R37" i="43"/>
  <c r="O37" i="43"/>
  <c r="L37" i="43"/>
  <c r="I37" i="43"/>
  <c r="F37" i="43"/>
  <c r="X36" i="43"/>
  <c r="U36" i="43"/>
  <c r="R36" i="43"/>
  <c r="O36" i="43"/>
  <c r="L36" i="43"/>
  <c r="I36" i="43"/>
  <c r="F36" i="43"/>
  <c r="X35" i="43"/>
  <c r="U35" i="43"/>
  <c r="R35" i="43"/>
  <c r="O35" i="43"/>
  <c r="L35" i="43"/>
  <c r="I35" i="43"/>
  <c r="F35" i="43"/>
  <c r="X34" i="43"/>
  <c r="U34" i="43"/>
  <c r="R34" i="43"/>
  <c r="O34" i="43"/>
  <c r="L34" i="43"/>
  <c r="I34" i="43"/>
  <c r="F34" i="43"/>
  <c r="X33" i="43"/>
  <c r="U33" i="43"/>
  <c r="R33" i="43"/>
  <c r="O33" i="43"/>
  <c r="L33" i="43"/>
  <c r="I33" i="43"/>
  <c r="F33" i="43"/>
  <c r="X32" i="43"/>
  <c r="U32" i="43"/>
  <c r="R32" i="43"/>
  <c r="O32" i="43"/>
  <c r="L32" i="43"/>
  <c r="I32" i="43"/>
  <c r="F32" i="43"/>
  <c r="X31" i="43"/>
  <c r="U31" i="43"/>
  <c r="R31" i="43"/>
  <c r="O31" i="43"/>
  <c r="L31" i="43"/>
  <c r="I31" i="43"/>
  <c r="F31" i="43"/>
  <c r="X30" i="43"/>
  <c r="U30" i="43"/>
  <c r="R30" i="43"/>
  <c r="O30" i="43"/>
  <c r="L30" i="43"/>
  <c r="I30" i="43"/>
  <c r="F30" i="43"/>
  <c r="X29" i="43"/>
  <c r="U29" i="43"/>
  <c r="R29" i="43"/>
  <c r="O29" i="43"/>
  <c r="L29" i="43"/>
  <c r="I29" i="43"/>
  <c r="F29" i="43"/>
  <c r="X28" i="43"/>
  <c r="U28" i="43"/>
  <c r="R28" i="43"/>
  <c r="O28" i="43"/>
  <c r="L28" i="43"/>
  <c r="I28" i="43"/>
  <c r="F28" i="43"/>
  <c r="X27" i="43"/>
  <c r="U27" i="43"/>
  <c r="R27" i="43"/>
  <c r="O27" i="43"/>
  <c r="L27" i="43"/>
  <c r="I27" i="43"/>
  <c r="F27" i="43"/>
  <c r="X26" i="43"/>
  <c r="U26" i="43"/>
  <c r="R26" i="43"/>
  <c r="O26" i="43"/>
  <c r="L26" i="43"/>
  <c r="I26" i="43"/>
  <c r="F26" i="43"/>
  <c r="X25" i="43"/>
  <c r="U25" i="43"/>
  <c r="R25" i="43"/>
  <c r="O25" i="43"/>
  <c r="L25" i="43"/>
  <c r="I25" i="43"/>
  <c r="F25" i="43"/>
  <c r="X24" i="43"/>
  <c r="U24" i="43"/>
  <c r="R24" i="43"/>
  <c r="O24" i="43"/>
  <c r="L24" i="43"/>
  <c r="I24" i="43"/>
  <c r="F24" i="43"/>
  <c r="X23" i="43"/>
  <c r="U23" i="43"/>
  <c r="R23" i="43"/>
  <c r="O23" i="43"/>
  <c r="L23" i="43"/>
  <c r="I23" i="43"/>
  <c r="F23" i="43"/>
  <c r="X22" i="43"/>
  <c r="U22" i="43"/>
  <c r="R22" i="43"/>
  <c r="O22" i="43"/>
  <c r="L22" i="43"/>
  <c r="I22" i="43"/>
  <c r="F22" i="43"/>
  <c r="X21" i="43"/>
  <c r="U21" i="43"/>
  <c r="R21" i="43"/>
  <c r="O21" i="43"/>
  <c r="L21" i="43"/>
  <c r="I21" i="43"/>
  <c r="F21" i="43"/>
  <c r="X20" i="43"/>
  <c r="U20" i="43"/>
  <c r="R20" i="43"/>
  <c r="O20" i="43"/>
  <c r="L20" i="43"/>
  <c r="I20" i="43"/>
  <c r="F20" i="43"/>
  <c r="X19" i="43"/>
  <c r="U19" i="43"/>
  <c r="R19" i="43"/>
  <c r="O19" i="43"/>
  <c r="L19" i="43"/>
  <c r="I19" i="43"/>
  <c r="F19" i="43"/>
  <c r="X18" i="43"/>
  <c r="U18" i="43"/>
  <c r="R18" i="43"/>
  <c r="O18" i="43"/>
  <c r="L18" i="43"/>
  <c r="I18" i="43"/>
  <c r="F18" i="43"/>
  <c r="X17" i="43"/>
  <c r="U17" i="43"/>
  <c r="R17" i="43"/>
  <c r="O17" i="43"/>
  <c r="L17" i="43"/>
  <c r="I17" i="43"/>
  <c r="F17" i="43"/>
  <c r="X16" i="43"/>
  <c r="U16" i="43"/>
  <c r="R16" i="43"/>
  <c r="O16" i="43"/>
  <c r="L16" i="43"/>
  <c r="I16" i="43"/>
  <c r="F16" i="43"/>
  <c r="X15" i="43"/>
  <c r="U15" i="43"/>
  <c r="R15" i="43"/>
  <c r="O15" i="43"/>
  <c r="L15" i="43"/>
  <c r="I15" i="43"/>
  <c r="F15" i="43"/>
  <c r="X14" i="43"/>
  <c r="U14" i="43"/>
  <c r="R14" i="43"/>
  <c r="O14" i="43"/>
  <c r="L14" i="43"/>
  <c r="I14" i="43"/>
  <c r="F14" i="43"/>
  <c r="X13" i="43"/>
  <c r="U13" i="43"/>
  <c r="R13" i="43"/>
  <c r="O13" i="43"/>
  <c r="L13" i="43"/>
  <c r="I13" i="43"/>
  <c r="F13" i="43"/>
  <c r="X12" i="43"/>
  <c r="U12" i="43"/>
  <c r="R12" i="43"/>
  <c r="O12" i="43"/>
  <c r="L12" i="43"/>
  <c r="I12" i="43"/>
  <c r="F12" i="43"/>
  <c r="X11" i="43"/>
  <c r="U11" i="43"/>
  <c r="R11" i="43"/>
  <c r="O11" i="43"/>
  <c r="L11" i="43"/>
  <c r="I11" i="43"/>
  <c r="F11" i="43"/>
  <c r="X10" i="43"/>
  <c r="U10" i="43"/>
  <c r="R10" i="43"/>
  <c r="O10" i="43"/>
  <c r="L10" i="43"/>
  <c r="I10" i="43"/>
  <c r="F10" i="43"/>
  <c r="X9" i="43"/>
  <c r="U9" i="43"/>
  <c r="R9" i="43"/>
  <c r="O9" i="43"/>
  <c r="L9" i="43"/>
  <c r="I9" i="43"/>
  <c r="F9" i="43"/>
  <c r="X8" i="43"/>
  <c r="U8" i="43"/>
  <c r="R8" i="43"/>
  <c r="O8" i="43"/>
  <c r="L8" i="43"/>
  <c r="I8" i="43"/>
  <c r="F8" i="43"/>
  <c r="X7" i="43"/>
  <c r="U7" i="43"/>
  <c r="R7" i="43"/>
  <c r="O7" i="43"/>
  <c r="L7" i="43"/>
  <c r="I7" i="43"/>
  <c r="F7" i="43"/>
  <c r="X6" i="43"/>
  <c r="U6" i="43"/>
  <c r="R6" i="43"/>
  <c r="O6" i="43"/>
  <c r="L6" i="43"/>
  <c r="I6" i="43"/>
  <c r="F6" i="43"/>
  <c r="X5" i="43"/>
  <c r="U5" i="43"/>
  <c r="R5" i="43"/>
  <c r="O5" i="43"/>
  <c r="L5" i="43"/>
  <c r="I5" i="43"/>
  <c r="F5" i="43"/>
  <c r="X4" i="43"/>
  <c r="U4" i="43"/>
  <c r="R4" i="43"/>
  <c r="O4" i="43"/>
  <c r="L4" i="43"/>
  <c r="I4" i="43"/>
  <c r="F4" i="43"/>
  <c r="X98" i="42"/>
  <c r="U98" i="42"/>
  <c r="R98" i="42"/>
  <c r="O98" i="42"/>
  <c r="L98" i="42"/>
  <c r="I98" i="42"/>
  <c r="F98" i="42"/>
  <c r="X97" i="42"/>
  <c r="U97" i="42"/>
  <c r="R97" i="42"/>
  <c r="O97" i="42"/>
  <c r="L97" i="42"/>
  <c r="I97" i="42"/>
  <c r="F97" i="42"/>
  <c r="X96" i="42"/>
  <c r="U96" i="42"/>
  <c r="R96" i="42"/>
  <c r="O96" i="42"/>
  <c r="L96" i="42"/>
  <c r="I96" i="42"/>
  <c r="F96" i="42"/>
  <c r="X95" i="42"/>
  <c r="U95" i="42"/>
  <c r="R95" i="42"/>
  <c r="O95" i="42"/>
  <c r="L95" i="42"/>
  <c r="I95" i="42"/>
  <c r="F95" i="42"/>
  <c r="X94" i="42"/>
  <c r="U94" i="42"/>
  <c r="R94" i="42"/>
  <c r="O94" i="42"/>
  <c r="L94" i="42"/>
  <c r="I94" i="42"/>
  <c r="F94" i="42"/>
  <c r="X93" i="42"/>
  <c r="U93" i="42"/>
  <c r="R93" i="42"/>
  <c r="O93" i="42"/>
  <c r="L93" i="42"/>
  <c r="I93" i="42"/>
  <c r="F93" i="42"/>
  <c r="X92" i="42"/>
  <c r="U92" i="42"/>
  <c r="R92" i="42"/>
  <c r="O92" i="42"/>
  <c r="L92" i="42"/>
  <c r="I92" i="42"/>
  <c r="F92" i="42"/>
  <c r="X91" i="42"/>
  <c r="U91" i="42"/>
  <c r="R91" i="42"/>
  <c r="O91" i="42"/>
  <c r="L91" i="42"/>
  <c r="I91" i="42"/>
  <c r="F91" i="42"/>
  <c r="X90" i="42"/>
  <c r="U90" i="42"/>
  <c r="R90" i="42"/>
  <c r="O90" i="42"/>
  <c r="L90" i="42"/>
  <c r="I90" i="42"/>
  <c r="F90" i="42"/>
  <c r="X89" i="42"/>
  <c r="U89" i="42"/>
  <c r="R89" i="42"/>
  <c r="O89" i="42"/>
  <c r="L89" i="42"/>
  <c r="I89" i="42"/>
  <c r="F89" i="42"/>
  <c r="X88" i="42"/>
  <c r="U88" i="42"/>
  <c r="R88" i="42"/>
  <c r="O88" i="42"/>
  <c r="L88" i="42"/>
  <c r="I88" i="42"/>
  <c r="F88" i="42"/>
  <c r="X87" i="42"/>
  <c r="U87" i="42"/>
  <c r="R87" i="42"/>
  <c r="O87" i="42"/>
  <c r="L87" i="42"/>
  <c r="I87" i="42"/>
  <c r="F87" i="42"/>
  <c r="X86" i="42"/>
  <c r="U86" i="42"/>
  <c r="R86" i="42"/>
  <c r="O86" i="42"/>
  <c r="L86" i="42"/>
  <c r="I86" i="42"/>
  <c r="F86" i="42"/>
  <c r="X85" i="42"/>
  <c r="U85" i="42"/>
  <c r="R85" i="42"/>
  <c r="O85" i="42"/>
  <c r="L85" i="42"/>
  <c r="I85" i="42"/>
  <c r="F85" i="42"/>
  <c r="X84" i="42"/>
  <c r="U84" i="42"/>
  <c r="R84" i="42"/>
  <c r="O84" i="42"/>
  <c r="L84" i="42"/>
  <c r="I84" i="42"/>
  <c r="F84" i="42"/>
  <c r="X83" i="42"/>
  <c r="U83" i="42"/>
  <c r="R83" i="42"/>
  <c r="O83" i="42"/>
  <c r="L83" i="42"/>
  <c r="I83" i="42"/>
  <c r="F83" i="42"/>
  <c r="X82" i="42"/>
  <c r="U82" i="42"/>
  <c r="R82" i="42"/>
  <c r="O82" i="42"/>
  <c r="L82" i="42"/>
  <c r="I82" i="42"/>
  <c r="F82" i="42"/>
  <c r="X81" i="42"/>
  <c r="U81" i="42"/>
  <c r="R81" i="42"/>
  <c r="O81" i="42"/>
  <c r="L81" i="42"/>
  <c r="I81" i="42"/>
  <c r="F81" i="42"/>
  <c r="X80" i="42"/>
  <c r="U80" i="42"/>
  <c r="R80" i="42"/>
  <c r="O80" i="42"/>
  <c r="L80" i="42"/>
  <c r="I80" i="42"/>
  <c r="F80" i="42"/>
  <c r="X79" i="42"/>
  <c r="U79" i="42"/>
  <c r="R79" i="42"/>
  <c r="O79" i="42"/>
  <c r="L79" i="42"/>
  <c r="I79" i="42"/>
  <c r="F79" i="42"/>
  <c r="X78" i="42"/>
  <c r="U78" i="42"/>
  <c r="R78" i="42"/>
  <c r="O78" i="42"/>
  <c r="L78" i="42"/>
  <c r="I78" i="42"/>
  <c r="F78" i="42"/>
  <c r="X77" i="42"/>
  <c r="U77" i="42"/>
  <c r="R77" i="42"/>
  <c r="O77" i="42"/>
  <c r="L77" i="42"/>
  <c r="I77" i="42"/>
  <c r="F77" i="42"/>
  <c r="X76" i="42"/>
  <c r="U76" i="42"/>
  <c r="R76" i="42"/>
  <c r="O76" i="42"/>
  <c r="L76" i="42"/>
  <c r="I76" i="42"/>
  <c r="F76" i="42"/>
  <c r="X75" i="42"/>
  <c r="U75" i="42"/>
  <c r="R75" i="42"/>
  <c r="O75" i="42"/>
  <c r="L75" i="42"/>
  <c r="I75" i="42"/>
  <c r="F75" i="42"/>
  <c r="X74" i="42"/>
  <c r="U74" i="42"/>
  <c r="R74" i="42"/>
  <c r="O74" i="42"/>
  <c r="L74" i="42"/>
  <c r="I74" i="42"/>
  <c r="F74" i="42"/>
  <c r="X73" i="42"/>
  <c r="U73" i="42"/>
  <c r="R73" i="42"/>
  <c r="O73" i="42"/>
  <c r="L73" i="42"/>
  <c r="I73" i="42"/>
  <c r="F73" i="42"/>
  <c r="X72" i="42"/>
  <c r="U72" i="42"/>
  <c r="R72" i="42"/>
  <c r="O72" i="42"/>
  <c r="L72" i="42"/>
  <c r="I72" i="42"/>
  <c r="F72" i="42"/>
  <c r="X71" i="42"/>
  <c r="U71" i="42"/>
  <c r="R71" i="42"/>
  <c r="O71" i="42"/>
  <c r="L71" i="42"/>
  <c r="I71" i="42"/>
  <c r="F71" i="42"/>
  <c r="X70" i="42"/>
  <c r="U70" i="42"/>
  <c r="R70" i="42"/>
  <c r="O70" i="42"/>
  <c r="L70" i="42"/>
  <c r="I70" i="42"/>
  <c r="F70" i="42"/>
  <c r="X69" i="42"/>
  <c r="U69" i="42"/>
  <c r="R69" i="42"/>
  <c r="O69" i="42"/>
  <c r="L69" i="42"/>
  <c r="I69" i="42"/>
  <c r="F69" i="42"/>
  <c r="X68" i="42"/>
  <c r="U68" i="42"/>
  <c r="R68" i="42"/>
  <c r="O68" i="42"/>
  <c r="L68" i="42"/>
  <c r="I68" i="42"/>
  <c r="F68" i="42"/>
  <c r="X67" i="42"/>
  <c r="U67" i="42"/>
  <c r="R67" i="42"/>
  <c r="O67" i="42"/>
  <c r="L67" i="42"/>
  <c r="I67" i="42"/>
  <c r="F67" i="42"/>
  <c r="X66" i="42"/>
  <c r="U66" i="42"/>
  <c r="R66" i="42"/>
  <c r="O66" i="42"/>
  <c r="L66" i="42"/>
  <c r="I66" i="42"/>
  <c r="F66" i="42"/>
  <c r="X65" i="42"/>
  <c r="U65" i="42"/>
  <c r="R65" i="42"/>
  <c r="O65" i="42"/>
  <c r="L65" i="42"/>
  <c r="I65" i="42"/>
  <c r="F65" i="42"/>
  <c r="X64" i="42"/>
  <c r="U64" i="42"/>
  <c r="R64" i="42"/>
  <c r="O64" i="42"/>
  <c r="L64" i="42"/>
  <c r="I64" i="42"/>
  <c r="F64" i="42"/>
  <c r="X63" i="42"/>
  <c r="U63" i="42"/>
  <c r="R63" i="42"/>
  <c r="O63" i="42"/>
  <c r="L63" i="42"/>
  <c r="I63" i="42"/>
  <c r="F63" i="42"/>
  <c r="X62" i="42"/>
  <c r="U62" i="42"/>
  <c r="R62" i="42"/>
  <c r="O62" i="42"/>
  <c r="L62" i="42"/>
  <c r="I62" i="42"/>
  <c r="F62" i="42"/>
  <c r="X61" i="42"/>
  <c r="U61" i="42"/>
  <c r="R61" i="42"/>
  <c r="O61" i="42"/>
  <c r="L61" i="42"/>
  <c r="I61" i="42"/>
  <c r="F61" i="42"/>
  <c r="X60" i="42"/>
  <c r="U60" i="42"/>
  <c r="R60" i="42"/>
  <c r="O60" i="42"/>
  <c r="L60" i="42"/>
  <c r="I60" i="42"/>
  <c r="F60" i="42"/>
  <c r="X59" i="42"/>
  <c r="U59" i="42"/>
  <c r="R59" i="42"/>
  <c r="O59" i="42"/>
  <c r="L59" i="42"/>
  <c r="I59" i="42"/>
  <c r="F59" i="42"/>
  <c r="X58" i="42"/>
  <c r="U58" i="42"/>
  <c r="R58" i="42"/>
  <c r="O58" i="42"/>
  <c r="L58" i="42"/>
  <c r="I58" i="42"/>
  <c r="F58" i="42"/>
  <c r="X57" i="42"/>
  <c r="U57" i="42"/>
  <c r="R57" i="42"/>
  <c r="O57" i="42"/>
  <c r="L57" i="42"/>
  <c r="I57" i="42"/>
  <c r="F57" i="42"/>
  <c r="X56" i="42"/>
  <c r="U56" i="42"/>
  <c r="R56" i="42"/>
  <c r="O56" i="42"/>
  <c r="L56" i="42"/>
  <c r="I56" i="42"/>
  <c r="F56" i="42"/>
  <c r="X55" i="42"/>
  <c r="U55" i="42"/>
  <c r="R55" i="42"/>
  <c r="O55" i="42"/>
  <c r="L55" i="42"/>
  <c r="I55" i="42"/>
  <c r="F55" i="42"/>
  <c r="X54" i="42"/>
  <c r="U54" i="42"/>
  <c r="R54" i="42"/>
  <c r="O54" i="42"/>
  <c r="L54" i="42"/>
  <c r="I54" i="42"/>
  <c r="F54" i="42"/>
  <c r="X53" i="42"/>
  <c r="U53" i="42"/>
  <c r="R53" i="42"/>
  <c r="O53" i="42"/>
  <c r="L53" i="42"/>
  <c r="I53" i="42"/>
  <c r="F53" i="42"/>
  <c r="X52" i="42"/>
  <c r="U52" i="42"/>
  <c r="R52" i="42"/>
  <c r="O52" i="42"/>
  <c r="L52" i="42"/>
  <c r="I52" i="42"/>
  <c r="F52" i="42"/>
  <c r="X51" i="42"/>
  <c r="U51" i="42"/>
  <c r="R51" i="42"/>
  <c r="O51" i="42"/>
  <c r="L51" i="42"/>
  <c r="I51" i="42"/>
  <c r="F51" i="42"/>
  <c r="X50" i="42"/>
  <c r="U50" i="42"/>
  <c r="R50" i="42"/>
  <c r="O50" i="42"/>
  <c r="L50" i="42"/>
  <c r="I50" i="42"/>
  <c r="F50" i="42"/>
  <c r="X49" i="42"/>
  <c r="U49" i="42"/>
  <c r="R49" i="42"/>
  <c r="O49" i="42"/>
  <c r="L49" i="42"/>
  <c r="I49" i="42"/>
  <c r="F49" i="42"/>
  <c r="X48" i="42"/>
  <c r="U48" i="42"/>
  <c r="R48" i="42"/>
  <c r="O48" i="42"/>
  <c r="L48" i="42"/>
  <c r="I48" i="42"/>
  <c r="F48" i="42"/>
  <c r="X47" i="42"/>
  <c r="U47" i="42"/>
  <c r="R47" i="42"/>
  <c r="O47" i="42"/>
  <c r="L47" i="42"/>
  <c r="I47" i="42"/>
  <c r="F47" i="42"/>
  <c r="X46" i="42"/>
  <c r="U46" i="42"/>
  <c r="R46" i="42"/>
  <c r="O46" i="42"/>
  <c r="L46" i="42"/>
  <c r="I46" i="42"/>
  <c r="F46" i="42"/>
  <c r="X45" i="42"/>
  <c r="U45" i="42"/>
  <c r="R45" i="42"/>
  <c r="O45" i="42"/>
  <c r="L45" i="42"/>
  <c r="I45" i="42"/>
  <c r="F45" i="42"/>
  <c r="X44" i="42"/>
  <c r="U44" i="42"/>
  <c r="R44" i="42"/>
  <c r="O44" i="42"/>
  <c r="L44" i="42"/>
  <c r="I44" i="42"/>
  <c r="F44" i="42"/>
  <c r="X43" i="42"/>
  <c r="U43" i="42"/>
  <c r="R43" i="42"/>
  <c r="O43" i="42"/>
  <c r="L43" i="42"/>
  <c r="I43" i="42"/>
  <c r="F43" i="42"/>
  <c r="X42" i="42"/>
  <c r="U42" i="42"/>
  <c r="R42" i="42"/>
  <c r="O42" i="42"/>
  <c r="L42" i="42"/>
  <c r="I42" i="42"/>
  <c r="F42" i="42"/>
  <c r="X41" i="42"/>
  <c r="U41" i="42"/>
  <c r="R41" i="42"/>
  <c r="O41" i="42"/>
  <c r="L41" i="42"/>
  <c r="I41" i="42"/>
  <c r="F41" i="42"/>
  <c r="X40" i="42"/>
  <c r="U40" i="42"/>
  <c r="R40" i="42"/>
  <c r="O40" i="42"/>
  <c r="L40" i="42"/>
  <c r="I40" i="42"/>
  <c r="F40" i="42"/>
  <c r="X39" i="42"/>
  <c r="U39" i="42"/>
  <c r="R39" i="42"/>
  <c r="O39" i="42"/>
  <c r="L39" i="42"/>
  <c r="I39" i="42"/>
  <c r="F39" i="42"/>
  <c r="X38" i="42"/>
  <c r="U38" i="42"/>
  <c r="R38" i="42"/>
  <c r="O38" i="42"/>
  <c r="L38" i="42"/>
  <c r="I38" i="42"/>
  <c r="F38" i="42"/>
  <c r="X37" i="42"/>
  <c r="U37" i="42"/>
  <c r="R37" i="42"/>
  <c r="O37" i="42"/>
  <c r="L37" i="42"/>
  <c r="I37" i="42"/>
  <c r="F37" i="42"/>
  <c r="X36" i="42"/>
  <c r="U36" i="42"/>
  <c r="R36" i="42"/>
  <c r="O36" i="42"/>
  <c r="L36" i="42"/>
  <c r="I36" i="42"/>
  <c r="F36" i="42"/>
  <c r="X35" i="42"/>
  <c r="U35" i="42"/>
  <c r="R35" i="42"/>
  <c r="O35" i="42"/>
  <c r="L35" i="42"/>
  <c r="I35" i="42"/>
  <c r="F35" i="42"/>
  <c r="X34" i="42"/>
  <c r="U34" i="42"/>
  <c r="R34" i="42"/>
  <c r="O34" i="42"/>
  <c r="L34" i="42"/>
  <c r="I34" i="42"/>
  <c r="F34" i="42"/>
  <c r="X33" i="42"/>
  <c r="U33" i="42"/>
  <c r="R33" i="42"/>
  <c r="O33" i="42"/>
  <c r="L33" i="42"/>
  <c r="I33" i="42"/>
  <c r="F33" i="42"/>
  <c r="X32" i="42"/>
  <c r="U32" i="42"/>
  <c r="R32" i="42"/>
  <c r="O32" i="42"/>
  <c r="L32" i="42"/>
  <c r="I32" i="42"/>
  <c r="F32" i="42"/>
  <c r="X31" i="42"/>
  <c r="U31" i="42"/>
  <c r="R31" i="42"/>
  <c r="O31" i="42"/>
  <c r="L31" i="42"/>
  <c r="I31" i="42"/>
  <c r="F31" i="42"/>
  <c r="X30" i="42"/>
  <c r="U30" i="42"/>
  <c r="R30" i="42"/>
  <c r="O30" i="42"/>
  <c r="L30" i="42"/>
  <c r="I30" i="42"/>
  <c r="F30" i="42"/>
  <c r="X29" i="42"/>
  <c r="U29" i="42"/>
  <c r="R29" i="42"/>
  <c r="O29" i="42"/>
  <c r="L29" i="42"/>
  <c r="I29" i="42"/>
  <c r="F29" i="42"/>
  <c r="X28" i="42"/>
  <c r="U28" i="42"/>
  <c r="R28" i="42"/>
  <c r="O28" i="42"/>
  <c r="L28" i="42"/>
  <c r="I28" i="42"/>
  <c r="F28" i="42"/>
  <c r="X27" i="42"/>
  <c r="U27" i="42"/>
  <c r="R27" i="42"/>
  <c r="O27" i="42"/>
  <c r="L27" i="42"/>
  <c r="I27" i="42"/>
  <c r="F27" i="42"/>
  <c r="X26" i="42"/>
  <c r="U26" i="42"/>
  <c r="R26" i="42"/>
  <c r="O26" i="42"/>
  <c r="L26" i="42"/>
  <c r="I26" i="42"/>
  <c r="F26" i="42"/>
  <c r="X25" i="42"/>
  <c r="U25" i="42"/>
  <c r="R25" i="42"/>
  <c r="O25" i="42"/>
  <c r="L25" i="42"/>
  <c r="I25" i="42"/>
  <c r="F25" i="42"/>
  <c r="X24" i="42"/>
  <c r="U24" i="42"/>
  <c r="R24" i="42"/>
  <c r="O24" i="42"/>
  <c r="L24" i="42"/>
  <c r="I24" i="42"/>
  <c r="F24" i="42"/>
  <c r="X23" i="42"/>
  <c r="U23" i="42"/>
  <c r="R23" i="42"/>
  <c r="O23" i="42"/>
  <c r="L23" i="42"/>
  <c r="I23" i="42"/>
  <c r="F23" i="42"/>
  <c r="X22" i="42"/>
  <c r="U22" i="42"/>
  <c r="R22" i="42"/>
  <c r="O22" i="42"/>
  <c r="L22" i="42"/>
  <c r="I22" i="42"/>
  <c r="F22" i="42"/>
  <c r="X21" i="42"/>
  <c r="U21" i="42"/>
  <c r="R21" i="42"/>
  <c r="O21" i="42"/>
  <c r="L21" i="42"/>
  <c r="I21" i="42"/>
  <c r="F21" i="42"/>
  <c r="X20" i="42"/>
  <c r="U20" i="42"/>
  <c r="R20" i="42"/>
  <c r="O20" i="42"/>
  <c r="L20" i="42"/>
  <c r="I20" i="42"/>
  <c r="F20" i="42"/>
  <c r="X19" i="42"/>
  <c r="U19" i="42"/>
  <c r="R19" i="42"/>
  <c r="O19" i="42"/>
  <c r="L19" i="42"/>
  <c r="I19" i="42"/>
  <c r="F19" i="42"/>
  <c r="X18" i="42"/>
  <c r="U18" i="42"/>
  <c r="R18" i="42"/>
  <c r="O18" i="42"/>
  <c r="L18" i="42"/>
  <c r="I18" i="42"/>
  <c r="F18" i="42"/>
  <c r="X17" i="42"/>
  <c r="U17" i="42"/>
  <c r="R17" i="42"/>
  <c r="O17" i="42"/>
  <c r="L17" i="42"/>
  <c r="I17" i="42"/>
  <c r="F17" i="42"/>
  <c r="X16" i="42"/>
  <c r="U16" i="42"/>
  <c r="R16" i="42"/>
  <c r="O16" i="42"/>
  <c r="L16" i="42"/>
  <c r="I16" i="42"/>
  <c r="F16" i="42"/>
  <c r="X15" i="42"/>
  <c r="U15" i="42"/>
  <c r="R15" i="42"/>
  <c r="O15" i="42"/>
  <c r="L15" i="42"/>
  <c r="I15" i="42"/>
  <c r="F15" i="42"/>
  <c r="X14" i="42"/>
  <c r="U14" i="42"/>
  <c r="R14" i="42"/>
  <c r="O14" i="42"/>
  <c r="L14" i="42"/>
  <c r="I14" i="42"/>
  <c r="F14" i="42"/>
  <c r="X13" i="42"/>
  <c r="U13" i="42"/>
  <c r="R13" i="42"/>
  <c r="O13" i="42"/>
  <c r="L13" i="42"/>
  <c r="I13" i="42"/>
  <c r="F13" i="42"/>
  <c r="X12" i="42"/>
  <c r="U12" i="42"/>
  <c r="R12" i="42"/>
  <c r="O12" i="42"/>
  <c r="L12" i="42"/>
  <c r="I12" i="42"/>
  <c r="F12" i="42"/>
  <c r="X11" i="42"/>
  <c r="U11" i="42"/>
  <c r="R11" i="42"/>
  <c r="O11" i="42"/>
  <c r="L11" i="42"/>
  <c r="I11" i="42"/>
  <c r="F11" i="42"/>
  <c r="X10" i="42"/>
  <c r="U10" i="42"/>
  <c r="R10" i="42"/>
  <c r="O10" i="42"/>
  <c r="L10" i="42"/>
  <c r="I10" i="42"/>
  <c r="F10" i="42"/>
  <c r="X9" i="42"/>
  <c r="U9" i="42"/>
  <c r="R9" i="42"/>
  <c r="O9" i="42"/>
  <c r="L9" i="42"/>
  <c r="I9" i="42"/>
  <c r="F9" i="42"/>
  <c r="X8" i="42"/>
  <c r="U8" i="42"/>
  <c r="R8" i="42"/>
  <c r="O8" i="42"/>
  <c r="L8" i="42"/>
  <c r="I8" i="42"/>
  <c r="F8" i="42"/>
  <c r="X7" i="42"/>
  <c r="U7" i="42"/>
  <c r="R7" i="42"/>
  <c r="O7" i="42"/>
  <c r="L7" i="42"/>
  <c r="I7" i="42"/>
  <c r="F7" i="42"/>
  <c r="X6" i="42"/>
  <c r="U6" i="42"/>
  <c r="R6" i="42"/>
  <c r="O6" i="42"/>
  <c r="L6" i="42"/>
  <c r="I6" i="42"/>
  <c r="F6" i="42"/>
  <c r="X5" i="42"/>
  <c r="U5" i="42"/>
  <c r="R5" i="42"/>
  <c r="O5" i="42"/>
  <c r="L5" i="42"/>
  <c r="I5" i="42"/>
  <c r="F5" i="42"/>
  <c r="X4" i="42"/>
  <c r="U4" i="42"/>
  <c r="R4" i="42"/>
  <c r="O4" i="42"/>
  <c r="L4" i="42"/>
  <c r="I4" i="42"/>
  <c r="F4" i="42"/>
  <c r="X98" i="41"/>
  <c r="U98" i="41"/>
  <c r="R98" i="41"/>
  <c r="O98" i="41"/>
  <c r="L98" i="41"/>
  <c r="I98" i="41"/>
  <c r="F98" i="41"/>
  <c r="X97" i="41"/>
  <c r="U97" i="41"/>
  <c r="R97" i="41"/>
  <c r="O97" i="41"/>
  <c r="L97" i="41"/>
  <c r="I97" i="41"/>
  <c r="F97" i="41"/>
  <c r="X96" i="41"/>
  <c r="U96" i="41"/>
  <c r="R96" i="41"/>
  <c r="O96" i="41"/>
  <c r="L96" i="41"/>
  <c r="I96" i="41"/>
  <c r="F96" i="41"/>
  <c r="X95" i="41"/>
  <c r="U95" i="41"/>
  <c r="R95" i="41"/>
  <c r="O95" i="41"/>
  <c r="L95" i="41"/>
  <c r="I95" i="41"/>
  <c r="F95" i="41"/>
  <c r="X94" i="41"/>
  <c r="U94" i="41"/>
  <c r="R94" i="41"/>
  <c r="O94" i="41"/>
  <c r="L94" i="41"/>
  <c r="I94" i="41"/>
  <c r="F94" i="41"/>
  <c r="X93" i="41"/>
  <c r="U93" i="41"/>
  <c r="R93" i="41"/>
  <c r="O93" i="41"/>
  <c r="L93" i="41"/>
  <c r="I93" i="41"/>
  <c r="F93" i="41"/>
  <c r="X92" i="41"/>
  <c r="U92" i="41"/>
  <c r="R92" i="41"/>
  <c r="O92" i="41"/>
  <c r="L92" i="41"/>
  <c r="I92" i="41"/>
  <c r="F92" i="41"/>
  <c r="X91" i="41"/>
  <c r="U91" i="41"/>
  <c r="R91" i="41"/>
  <c r="O91" i="41"/>
  <c r="L91" i="41"/>
  <c r="I91" i="41"/>
  <c r="F91" i="41"/>
  <c r="X90" i="41"/>
  <c r="U90" i="41"/>
  <c r="R90" i="41"/>
  <c r="O90" i="41"/>
  <c r="L90" i="41"/>
  <c r="I90" i="41"/>
  <c r="F90" i="41"/>
  <c r="X89" i="41"/>
  <c r="U89" i="41"/>
  <c r="R89" i="41"/>
  <c r="O89" i="41"/>
  <c r="L89" i="41"/>
  <c r="I89" i="41"/>
  <c r="F89" i="41"/>
  <c r="X88" i="41"/>
  <c r="U88" i="41"/>
  <c r="R88" i="41"/>
  <c r="O88" i="41"/>
  <c r="L88" i="41"/>
  <c r="I88" i="41"/>
  <c r="F88" i="41"/>
  <c r="X87" i="41"/>
  <c r="U87" i="41"/>
  <c r="R87" i="41"/>
  <c r="O87" i="41"/>
  <c r="L87" i="41"/>
  <c r="I87" i="41"/>
  <c r="F87" i="41"/>
  <c r="X86" i="41"/>
  <c r="U86" i="41"/>
  <c r="R86" i="41"/>
  <c r="O86" i="41"/>
  <c r="L86" i="41"/>
  <c r="I86" i="41"/>
  <c r="F86" i="41"/>
  <c r="X85" i="41"/>
  <c r="U85" i="41"/>
  <c r="R85" i="41"/>
  <c r="O85" i="41"/>
  <c r="L85" i="41"/>
  <c r="I85" i="41"/>
  <c r="F85" i="41"/>
  <c r="X84" i="41"/>
  <c r="U84" i="41"/>
  <c r="R84" i="41"/>
  <c r="O84" i="41"/>
  <c r="L84" i="41"/>
  <c r="I84" i="41"/>
  <c r="F84" i="41"/>
  <c r="X83" i="41"/>
  <c r="U83" i="41"/>
  <c r="R83" i="41"/>
  <c r="O83" i="41"/>
  <c r="L83" i="41"/>
  <c r="I83" i="41"/>
  <c r="F83" i="41"/>
  <c r="X82" i="41"/>
  <c r="U82" i="41"/>
  <c r="R82" i="41"/>
  <c r="O82" i="41"/>
  <c r="L82" i="41"/>
  <c r="I82" i="41"/>
  <c r="F82" i="41"/>
  <c r="X81" i="41"/>
  <c r="U81" i="41"/>
  <c r="R81" i="41"/>
  <c r="O81" i="41"/>
  <c r="L81" i="41"/>
  <c r="I81" i="41"/>
  <c r="F81" i="41"/>
  <c r="X80" i="41"/>
  <c r="U80" i="41"/>
  <c r="R80" i="41"/>
  <c r="O80" i="41"/>
  <c r="L80" i="41"/>
  <c r="I80" i="41"/>
  <c r="F80" i="41"/>
  <c r="X79" i="41"/>
  <c r="U79" i="41"/>
  <c r="R79" i="41"/>
  <c r="O79" i="41"/>
  <c r="L79" i="41"/>
  <c r="I79" i="41"/>
  <c r="F79" i="41"/>
  <c r="X78" i="41"/>
  <c r="U78" i="41"/>
  <c r="R78" i="41"/>
  <c r="O78" i="41"/>
  <c r="L78" i="41"/>
  <c r="I78" i="41"/>
  <c r="F78" i="41"/>
  <c r="X77" i="41"/>
  <c r="U77" i="41"/>
  <c r="R77" i="41"/>
  <c r="O77" i="41"/>
  <c r="L77" i="41"/>
  <c r="I77" i="41"/>
  <c r="F77" i="41"/>
  <c r="X76" i="41"/>
  <c r="U76" i="41"/>
  <c r="R76" i="41"/>
  <c r="O76" i="41"/>
  <c r="L76" i="41"/>
  <c r="I76" i="41"/>
  <c r="F76" i="41"/>
  <c r="X75" i="41"/>
  <c r="U75" i="41"/>
  <c r="R75" i="41"/>
  <c r="O75" i="41"/>
  <c r="L75" i="41"/>
  <c r="I75" i="41"/>
  <c r="F75" i="41"/>
  <c r="X74" i="41"/>
  <c r="U74" i="41"/>
  <c r="R74" i="41"/>
  <c r="O74" i="41"/>
  <c r="L74" i="41"/>
  <c r="I74" i="41"/>
  <c r="F74" i="41"/>
  <c r="X73" i="41"/>
  <c r="U73" i="41"/>
  <c r="R73" i="41"/>
  <c r="O73" i="41"/>
  <c r="L73" i="41"/>
  <c r="I73" i="41"/>
  <c r="F73" i="41"/>
  <c r="X72" i="41"/>
  <c r="U72" i="41"/>
  <c r="R72" i="41"/>
  <c r="O72" i="41"/>
  <c r="L72" i="41"/>
  <c r="I72" i="41"/>
  <c r="F72" i="41"/>
  <c r="X71" i="41"/>
  <c r="U71" i="41"/>
  <c r="R71" i="41"/>
  <c r="O71" i="41"/>
  <c r="L71" i="41"/>
  <c r="I71" i="41"/>
  <c r="F71" i="41"/>
  <c r="X70" i="41"/>
  <c r="U70" i="41"/>
  <c r="R70" i="41"/>
  <c r="O70" i="41"/>
  <c r="L70" i="41"/>
  <c r="I70" i="41"/>
  <c r="F70" i="41"/>
  <c r="X69" i="41"/>
  <c r="U69" i="41"/>
  <c r="R69" i="41"/>
  <c r="O69" i="41"/>
  <c r="L69" i="41"/>
  <c r="I69" i="41"/>
  <c r="F69" i="41"/>
  <c r="X68" i="41"/>
  <c r="U68" i="41"/>
  <c r="R68" i="41"/>
  <c r="O68" i="41"/>
  <c r="L68" i="41"/>
  <c r="I68" i="41"/>
  <c r="F68" i="41"/>
  <c r="X67" i="41"/>
  <c r="U67" i="41"/>
  <c r="R67" i="41"/>
  <c r="O67" i="41"/>
  <c r="L67" i="41"/>
  <c r="I67" i="41"/>
  <c r="F67" i="41"/>
  <c r="X66" i="41"/>
  <c r="U66" i="41"/>
  <c r="R66" i="41"/>
  <c r="O66" i="41"/>
  <c r="L66" i="41"/>
  <c r="I66" i="41"/>
  <c r="F66" i="41"/>
  <c r="X65" i="41"/>
  <c r="U65" i="41"/>
  <c r="R65" i="41"/>
  <c r="O65" i="41"/>
  <c r="L65" i="41"/>
  <c r="I65" i="41"/>
  <c r="F65" i="41"/>
  <c r="X64" i="41"/>
  <c r="U64" i="41"/>
  <c r="R64" i="41"/>
  <c r="O64" i="41"/>
  <c r="L64" i="41"/>
  <c r="I64" i="41"/>
  <c r="F64" i="41"/>
  <c r="X63" i="41"/>
  <c r="U63" i="41"/>
  <c r="R63" i="41"/>
  <c r="O63" i="41"/>
  <c r="L63" i="41"/>
  <c r="I63" i="41"/>
  <c r="F63" i="41"/>
  <c r="X62" i="41"/>
  <c r="U62" i="41"/>
  <c r="R62" i="41"/>
  <c r="O62" i="41"/>
  <c r="L62" i="41"/>
  <c r="I62" i="41"/>
  <c r="F62" i="41"/>
  <c r="X61" i="41"/>
  <c r="U61" i="41"/>
  <c r="R61" i="41"/>
  <c r="O61" i="41"/>
  <c r="L61" i="41"/>
  <c r="I61" i="41"/>
  <c r="F61" i="41"/>
  <c r="X60" i="41"/>
  <c r="U60" i="41"/>
  <c r="R60" i="41"/>
  <c r="O60" i="41"/>
  <c r="L60" i="41"/>
  <c r="I60" i="41"/>
  <c r="F60" i="41"/>
  <c r="X59" i="41"/>
  <c r="U59" i="41"/>
  <c r="R59" i="41"/>
  <c r="O59" i="41"/>
  <c r="L59" i="41"/>
  <c r="I59" i="41"/>
  <c r="F59" i="41"/>
  <c r="X58" i="41"/>
  <c r="U58" i="41"/>
  <c r="R58" i="41"/>
  <c r="O58" i="41"/>
  <c r="L58" i="41"/>
  <c r="I58" i="41"/>
  <c r="F58" i="41"/>
  <c r="X57" i="41"/>
  <c r="U57" i="41"/>
  <c r="R57" i="41"/>
  <c r="O57" i="41"/>
  <c r="L57" i="41"/>
  <c r="I57" i="41"/>
  <c r="F57" i="41"/>
  <c r="X56" i="41"/>
  <c r="U56" i="41"/>
  <c r="R56" i="41"/>
  <c r="O56" i="41"/>
  <c r="L56" i="41"/>
  <c r="I56" i="41"/>
  <c r="F56" i="41"/>
  <c r="X55" i="41"/>
  <c r="U55" i="41"/>
  <c r="R55" i="41"/>
  <c r="O55" i="41"/>
  <c r="L55" i="41"/>
  <c r="I55" i="41"/>
  <c r="F55" i="41"/>
  <c r="X54" i="41"/>
  <c r="U54" i="41"/>
  <c r="R54" i="41"/>
  <c r="O54" i="41"/>
  <c r="L54" i="41"/>
  <c r="I54" i="41"/>
  <c r="F54" i="41"/>
  <c r="X53" i="41"/>
  <c r="U53" i="41"/>
  <c r="R53" i="41"/>
  <c r="O53" i="41"/>
  <c r="L53" i="41"/>
  <c r="I53" i="41"/>
  <c r="F53" i="41"/>
  <c r="X52" i="41"/>
  <c r="U52" i="41"/>
  <c r="R52" i="41"/>
  <c r="O52" i="41"/>
  <c r="L52" i="41"/>
  <c r="I52" i="41"/>
  <c r="F52" i="41"/>
  <c r="X51" i="41"/>
  <c r="U51" i="41"/>
  <c r="R51" i="41"/>
  <c r="O51" i="41"/>
  <c r="L51" i="41"/>
  <c r="I51" i="41"/>
  <c r="F51" i="41"/>
  <c r="X50" i="41"/>
  <c r="U50" i="41"/>
  <c r="R50" i="41"/>
  <c r="O50" i="41"/>
  <c r="L50" i="41"/>
  <c r="I50" i="41"/>
  <c r="F50" i="41"/>
  <c r="X49" i="41"/>
  <c r="U49" i="41"/>
  <c r="R49" i="41"/>
  <c r="O49" i="41"/>
  <c r="L49" i="41"/>
  <c r="I49" i="41"/>
  <c r="F49" i="41"/>
  <c r="Z49" i="41" s="1"/>
  <c r="AC49" i="41" s="1"/>
  <c r="AE49" i="41" s="1"/>
  <c r="X48" i="41"/>
  <c r="U48" i="41"/>
  <c r="R48" i="41"/>
  <c r="O48" i="41"/>
  <c r="L48" i="41"/>
  <c r="I48" i="41"/>
  <c r="F48" i="41"/>
  <c r="X47" i="41"/>
  <c r="U47" i="41"/>
  <c r="R47" i="41"/>
  <c r="O47" i="41"/>
  <c r="L47" i="41"/>
  <c r="I47" i="41"/>
  <c r="F47" i="41"/>
  <c r="X46" i="41"/>
  <c r="U46" i="41"/>
  <c r="R46" i="41"/>
  <c r="O46" i="41"/>
  <c r="L46" i="41"/>
  <c r="I46" i="41"/>
  <c r="F46" i="41"/>
  <c r="X45" i="41"/>
  <c r="U45" i="41"/>
  <c r="R45" i="41"/>
  <c r="O45" i="41"/>
  <c r="L45" i="41"/>
  <c r="I45" i="41"/>
  <c r="F45" i="41"/>
  <c r="X44" i="41"/>
  <c r="U44" i="41"/>
  <c r="R44" i="41"/>
  <c r="O44" i="41"/>
  <c r="L44" i="41"/>
  <c r="I44" i="41"/>
  <c r="F44" i="41"/>
  <c r="X43" i="41"/>
  <c r="U43" i="41"/>
  <c r="R43" i="41"/>
  <c r="O43" i="41"/>
  <c r="L43" i="41"/>
  <c r="I43" i="41"/>
  <c r="F43" i="41"/>
  <c r="X42" i="41"/>
  <c r="U42" i="41"/>
  <c r="R42" i="41"/>
  <c r="O42" i="41"/>
  <c r="L42" i="41"/>
  <c r="I42" i="41"/>
  <c r="F42" i="41"/>
  <c r="X41" i="41"/>
  <c r="U41" i="41"/>
  <c r="R41" i="41"/>
  <c r="O41" i="41"/>
  <c r="L41" i="41"/>
  <c r="I41" i="41"/>
  <c r="F41" i="41"/>
  <c r="X40" i="41"/>
  <c r="U40" i="41"/>
  <c r="R40" i="41"/>
  <c r="O40" i="41"/>
  <c r="L40" i="41"/>
  <c r="I40" i="41"/>
  <c r="F40" i="41"/>
  <c r="X39" i="41"/>
  <c r="U39" i="41"/>
  <c r="R39" i="41"/>
  <c r="O39" i="41"/>
  <c r="L39" i="41"/>
  <c r="I39" i="41"/>
  <c r="F39" i="41"/>
  <c r="X38" i="41"/>
  <c r="U38" i="41"/>
  <c r="R38" i="41"/>
  <c r="O38" i="41"/>
  <c r="L38" i="41"/>
  <c r="I38" i="41"/>
  <c r="F38" i="41"/>
  <c r="X37" i="41"/>
  <c r="U37" i="41"/>
  <c r="R37" i="41"/>
  <c r="O37" i="41"/>
  <c r="L37" i="41"/>
  <c r="I37" i="41"/>
  <c r="F37" i="41"/>
  <c r="X36" i="41"/>
  <c r="U36" i="41"/>
  <c r="R36" i="41"/>
  <c r="O36" i="41"/>
  <c r="L36" i="41"/>
  <c r="I36" i="41"/>
  <c r="F36" i="41"/>
  <c r="X35" i="41"/>
  <c r="U35" i="41"/>
  <c r="R35" i="41"/>
  <c r="O35" i="41"/>
  <c r="L35" i="41"/>
  <c r="I35" i="41"/>
  <c r="F35" i="41"/>
  <c r="X34" i="41"/>
  <c r="U34" i="41"/>
  <c r="R34" i="41"/>
  <c r="O34" i="41"/>
  <c r="L34" i="41"/>
  <c r="I34" i="41"/>
  <c r="F34" i="41"/>
  <c r="X33" i="41"/>
  <c r="U33" i="41"/>
  <c r="R33" i="41"/>
  <c r="O33" i="41"/>
  <c r="L33" i="41"/>
  <c r="I33" i="41"/>
  <c r="F33" i="41"/>
  <c r="X32" i="41"/>
  <c r="U32" i="41"/>
  <c r="R32" i="41"/>
  <c r="O32" i="41"/>
  <c r="L32" i="41"/>
  <c r="I32" i="41"/>
  <c r="F32" i="41"/>
  <c r="X31" i="41"/>
  <c r="U31" i="41"/>
  <c r="R31" i="41"/>
  <c r="O31" i="41"/>
  <c r="L31" i="41"/>
  <c r="I31" i="41"/>
  <c r="F31" i="41"/>
  <c r="X30" i="41"/>
  <c r="U30" i="41"/>
  <c r="R30" i="41"/>
  <c r="O30" i="41"/>
  <c r="L30" i="41"/>
  <c r="I30" i="41"/>
  <c r="F30" i="41"/>
  <c r="X29" i="41"/>
  <c r="U29" i="41"/>
  <c r="R29" i="41"/>
  <c r="O29" i="41"/>
  <c r="L29" i="41"/>
  <c r="I29" i="41"/>
  <c r="F29" i="41"/>
  <c r="X28" i="41"/>
  <c r="U28" i="41"/>
  <c r="R28" i="41"/>
  <c r="O28" i="41"/>
  <c r="L28" i="41"/>
  <c r="I28" i="41"/>
  <c r="F28" i="41"/>
  <c r="X27" i="41"/>
  <c r="U27" i="41"/>
  <c r="R27" i="41"/>
  <c r="O27" i="41"/>
  <c r="L27" i="41"/>
  <c r="I27" i="41"/>
  <c r="F27" i="41"/>
  <c r="X26" i="41"/>
  <c r="U26" i="41"/>
  <c r="R26" i="41"/>
  <c r="O26" i="41"/>
  <c r="L26" i="41"/>
  <c r="I26" i="41"/>
  <c r="F26" i="41"/>
  <c r="X25" i="41"/>
  <c r="U25" i="41"/>
  <c r="R25" i="41"/>
  <c r="O25" i="41"/>
  <c r="L25" i="41"/>
  <c r="I25" i="41"/>
  <c r="F25" i="41"/>
  <c r="X24" i="41"/>
  <c r="U24" i="41"/>
  <c r="R24" i="41"/>
  <c r="O24" i="41"/>
  <c r="L24" i="41"/>
  <c r="I24" i="41"/>
  <c r="F24" i="41"/>
  <c r="X23" i="41"/>
  <c r="U23" i="41"/>
  <c r="R23" i="41"/>
  <c r="O23" i="41"/>
  <c r="L23" i="41"/>
  <c r="I23" i="41"/>
  <c r="F23" i="41"/>
  <c r="X22" i="41"/>
  <c r="U22" i="41"/>
  <c r="R22" i="41"/>
  <c r="O22" i="41"/>
  <c r="L22" i="41"/>
  <c r="I22" i="41"/>
  <c r="F22" i="41"/>
  <c r="X21" i="41"/>
  <c r="U21" i="41"/>
  <c r="R21" i="41"/>
  <c r="O21" i="41"/>
  <c r="L21" i="41"/>
  <c r="I21" i="41"/>
  <c r="F21" i="41"/>
  <c r="X20" i="41"/>
  <c r="U20" i="41"/>
  <c r="R20" i="41"/>
  <c r="O20" i="41"/>
  <c r="L20" i="41"/>
  <c r="I20" i="41"/>
  <c r="F20" i="41"/>
  <c r="X19" i="41"/>
  <c r="U19" i="41"/>
  <c r="R19" i="41"/>
  <c r="O19" i="41"/>
  <c r="L19" i="41"/>
  <c r="I19" i="41"/>
  <c r="F19" i="41"/>
  <c r="X18" i="41"/>
  <c r="U18" i="41"/>
  <c r="R18" i="41"/>
  <c r="O18" i="41"/>
  <c r="L18" i="41"/>
  <c r="I18" i="41"/>
  <c r="F18" i="41"/>
  <c r="X17" i="41"/>
  <c r="U17" i="41"/>
  <c r="R17" i="41"/>
  <c r="O17" i="41"/>
  <c r="L17" i="41"/>
  <c r="I17" i="41"/>
  <c r="F17" i="41"/>
  <c r="X16" i="41"/>
  <c r="U16" i="41"/>
  <c r="R16" i="41"/>
  <c r="O16" i="41"/>
  <c r="L16" i="41"/>
  <c r="I16" i="41"/>
  <c r="F16" i="41"/>
  <c r="X15" i="41"/>
  <c r="U15" i="41"/>
  <c r="R15" i="41"/>
  <c r="O15" i="41"/>
  <c r="L15" i="41"/>
  <c r="I15" i="41"/>
  <c r="F15" i="41"/>
  <c r="X14" i="41"/>
  <c r="U14" i="41"/>
  <c r="R14" i="41"/>
  <c r="O14" i="41"/>
  <c r="L14" i="41"/>
  <c r="I14" i="41"/>
  <c r="F14" i="41"/>
  <c r="X13" i="41"/>
  <c r="U13" i="41"/>
  <c r="R13" i="41"/>
  <c r="O13" i="41"/>
  <c r="L13" i="41"/>
  <c r="I13" i="41"/>
  <c r="F13" i="41"/>
  <c r="X12" i="41"/>
  <c r="U12" i="41"/>
  <c r="R12" i="41"/>
  <c r="O12" i="41"/>
  <c r="L12" i="41"/>
  <c r="I12" i="41"/>
  <c r="F12" i="41"/>
  <c r="X11" i="41"/>
  <c r="U11" i="41"/>
  <c r="R11" i="41"/>
  <c r="O11" i="41"/>
  <c r="L11" i="41"/>
  <c r="I11" i="41"/>
  <c r="F11" i="41"/>
  <c r="X10" i="41"/>
  <c r="U10" i="41"/>
  <c r="R10" i="41"/>
  <c r="O10" i="41"/>
  <c r="L10" i="41"/>
  <c r="I10" i="41"/>
  <c r="F10" i="41"/>
  <c r="X9" i="41"/>
  <c r="U9" i="41"/>
  <c r="R9" i="41"/>
  <c r="O9" i="41"/>
  <c r="L9" i="41"/>
  <c r="I9" i="41"/>
  <c r="F9" i="41"/>
  <c r="X8" i="41"/>
  <c r="U8" i="41"/>
  <c r="R8" i="41"/>
  <c r="O8" i="41"/>
  <c r="L8" i="41"/>
  <c r="I8" i="41"/>
  <c r="F8" i="41"/>
  <c r="X7" i="41"/>
  <c r="U7" i="41"/>
  <c r="R7" i="41"/>
  <c r="O7" i="41"/>
  <c r="L7" i="41"/>
  <c r="I7" i="41"/>
  <c r="F7" i="41"/>
  <c r="X6" i="41"/>
  <c r="U6" i="41"/>
  <c r="R6" i="41"/>
  <c r="O6" i="41"/>
  <c r="L6" i="41"/>
  <c r="I6" i="41"/>
  <c r="F6" i="41"/>
  <c r="X5" i="41"/>
  <c r="U5" i="41"/>
  <c r="R5" i="41"/>
  <c r="O5" i="41"/>
  <c r="L5" i="41"/>
  <c r="I5" i="41"/>
  <c r="F5" i="41"/>
  <c r="X4" i="41"/>
  <c r="U4" i="41"/>
  <c r="R4" i="41"/>
  <c r="O4" i="41"/>
  <c r="L4" i="41"/>
  <c r="I4" i="41"/>
  <c r="F4" i="41"/>
  <c r="X98" i="40"/>
  <c r="U98" i="40"/>
  <c r="R98" i="40"/>
  <c r="O98" i="40"/>
  <c r="L98" i="40"/>
  <c r="I98" i="40"/>
  <c r="F98" i="40"/>
  <c r="X97" i="40"/>
  <c r="U97" i="40"/>
  <c r="R97" i="40"/>
  <c r="O97" i="40"/>
  <c r="L97" i="40"/>
  <c r="I97" i="40"/>
  <c r="F97" i="40"/>
  <c r="X96" i="40"/>
  <c r="U96" i="40"/>
  <c r="R96" i="40"/>
  <c r="O96" i="40"/>
  <c r="L96" i="40"/>
  <c r="I96" i="40"/>
  <c r="F96" i="40"/>
  <c r="X95" i="40"/>
  <c r="U95" i="40"/>
  <c r="R95" i="40"/>
  <c r="O95" i="40"/>
  <c r="L95" i="40"/>
  <c r="I95" i="40"/>
  <c r="F95" i="40"/>
  <c r="X94" i="40"/>
  <c r="U94" i="40"/>
  <c r="R94" i="40"/>
  <c r="O94" i="40"/>
  <c r="L94" i="40"/>
  <c r="I94" i="40"/>
  <c r="F94" i="40"/>
  <c r="X93" i="40"/>
  <c r="U93" i="40"/>
  <c r="R93" i="40"/>
  <c r="O93" i="40"/>
  <c r="L93" i="40"/>
  <c r="I93" i="40"/>
  <c r="F93" i="40"/>
  <c r="X92" i="40"/>
  <c r="U92" i="40"/>
  <c r="R92" i="40"/>
  <c r="O92" i="40"/>
  <c r="L92" i="40"/>
  <c r="I92" i="40"/>
  <c r="F92" i="40"/>
  <c r="X91" i="40"/>
  <c r="U91" i="40"/>
  <c r="R91" i="40"/>
  <c r="O91" i="40"/>
  <c r="L91" i="40"/>
  <c r="I91" i="40"/>
  <c r="F91" i="40"/>
  <c r="X90" i="40"/>
  <c r="U90" i="40"/>
  <c r="R90" i="40"/>
  <c r="O90" i="40"/>
  <c r="L90" i="40"/>
  <c r="I90" i="40"/>
  <c r="F90" i="40"/>
  <c r="X89" i="40"/>
  <c r="U89" i="40"/>
  <c r="R89" i="40"/>
  <c r="O89" i="40"/>
  <c r="L89" i="40"/>
  <c r="I89" i="40"/>
  <c r="F89" i="40"/>
  <c r="X88" i="40"/>
  <c r="U88" i="40"/>
  <c r="R88" i="40"/>
  <c r="O88" i="40"/>
  <c r="L88" i="40"/>
  <c r="I88" i="40"/>
  <c r="F88" i="40"/>
  <c r="X87" i="40"/>
  <c r="U87" i="40"/>
  <c r="R87" i="40"/>
  <c r="O87" i="40"/>
  <c r="L87" i="40"/>
  <c r="I87" i="40"/>
  <c r="F87" i="40"/>
  <c r="X86" i="40"/>
  <c r="U86" i="40"/>
  <c r="R86" i="40"/>
  <c r="O86" i="40"/>
  <c r="L86" i="40"/>
  <c r="I86" i="40"/>
  <c r="F86" i="40"/>
  <c r="X85" i="40"/>
  <c r="U85" i="40"/>
  <c r="R85" i="40"/>
  <c r="O85" i="40"/>
  <c r="L85" i="40"/>
  <c r="I85" i="40"/>
  <c r="F85" i="40"/>
  <c r="X84" i="40"/>
  <c r="U84" i="40"/>
  <c r="R84" i="40"/>
  <c r="O84" i="40"/>
  <c r="L84" i="40"/>
  <c r="I84" i="40"/>
  <c r="F84" i="40"/>
  <c r="X83" i="40"/>
  <c r="U83" i="40"/>
  <c r="R83" i="40"/>
  <c r="O83" i="40"/>
  <c r="L83" i="40"/>
  <c r="I83" i="40"/>
  <c r="F83" i="40"/>
  <c r="X82" i="40"/>
  <c r="U82" i="40"/>
  <c r="R82" i="40"/>
  <c r="O82" i="40"/>
  <c r="L82" i="40"/>
  <c r="I82" i="40"/>
  <c r="F82" i="40"/>
  <c r="X81" i="40"/>
  <c r="U81" i="40"/>
  <c r="R81" i="40"/>
  <c r="O81" i="40"/>
  <c r="L81" i="40"/>
  <c r="I81" i="40"/>
  <c r="F81" i="40"/>
  <c r="X80" i="40"/>
  <c r="U80" i="40"/>
  <c r="R80" i="40"/>
  <c r="O80" i="40"/>
  <c r="L80" i="40"/>
  <c r="I80" i="40"/>
  <c r="F80" i="40"/>
  <c r="X79" i="40"/>
  <c r="U79" i="40"/>
  <c r="R79" i="40"/>
  <c r="O79" i="40"/>
  <c r="L79" i="40"/>
  <c r="I79" i="40"/>
  <c r="F79" i="40"/>
  <c r="X78" i="40"/>
  <c r="U78" i="40"/>
  <c r="R78" i="40"/>
  <c r="O78" i="40"/>
  <c r="L78" i="40"/>
  <c r="I78" i="40"/>
  <c r="F78" i="40"/>
  <c r="X77" i="40"/>
  <c r="U77" i="40"/>
  <c r="R77" i="40"/>
  <c r="O77" i="40"/>
  <c r="L77" i="40"/>
  <c r="I77" i="40"/>
  <c r="F77" i="40"/>
  <c r="X76" i="40"/>
  <c r="U76" i="40"/>
  <c r="R76" i="40"/>
  <c r="O76" i="40"/>
  <c r="L76" i="40"/>
  <c r="I76" i="40"/>
  <c r="F76" i="40"/>
  <c r="X75" i="40"/>
  <c r="U75" i="40"/>
  <c r="R75" i="40"/>
  <c r="O75" i="40"/>
  <c r="L75" i="40"/>
  <c r="I75" i="40"/>
  <c r="F75" i="40"/>
  <c r="X74" i="40"/>
  <c r="U74" i="40"/>
  <c r="R74" i="40"/>
  <c r="O74" i="40"/>
  <c r="L74" i="40"/>
  <c r="I74" i="40"/>
  <c r="F74" i="40"/>
  <c r="X73" i="40"/>
  <c r="U73" i="40"/>
  <c r="R73" i="40"/>
  <c r="O73" i="40"/>
  <c r="L73" i="40"/>
  <c r="I73" i="40"/>
  <c r="F73" i="40"/>
  <c r="X72" i="40"/>
  <c r="U72" i="40"/>
  <c r="R72" i="40"/>
  <c r="O72" i="40"/>
  <c r="L72" i="40"/>
  <c r="I72" i="40"/>
  <c r="F72" i="40"/>
  <c r="X71" i="40"/>
  <c r="U71" i="40"/>
  <c r="R71" i="40"/>
  <c r="O71" i="40"/>
  <c r="L71" i="40"/>
  <c r="I71" i="40"/>
  <c r="F71" i="40"/>
  <c r="X70" i="40"/>
  <c r="U70" i="40"/>
  <c r="R70" i="40"/>
  <c r="O70" i="40"/>
  <c r="L70" i="40"/>
  <c r="I70" i="40"/>
  <c r="F70" i="40"/>
  <c r="X69" i="40"/>
  <c r="U69" i="40"/>
  <c r="R69" i="40"/>
  <c r="O69" i="40"/>
  <c r="L69" i="40"/>
  <c r="I69" i="40"/>
  <c r="F69" i="40"/>
  <c r="X68" i="40"/>
  <c r="U68" i="40"/>
  <c r="R68" i="40"/>
  <c r="O68" i="40"/>
  <c r="L68" i="40"/>
  <c r="I68" i="40"/>
  <c r="F68" i="40"/>
  <c r="X67" i="40"/>
  <c r="U67" i="40"/>
  <c r="R67" i="40"/>
  <c r="O67" i="40"/>
  <c r="L67" i="40"/>
  <c r="I67" i="40"/>
  <c r="F67" i="40"/>
  <c r="X66" i="40"/>
  <c r="U66" i="40"/>
  <c r="R66" i="40"/>
  <c r="O66" i="40"/>
  <c r="L66" i="40"/>
  <c r="I66" i="40"/>
  <c r="F66" i="40"/>
  <c r="X65" i="40"/>
  <c r="U65" i="40"/>
  <c r="R65" i="40"/>
  <c r="O65" i="40"/>
  <c r="L65" i="40"/>
  <c r="I65" i="40"/>
  <c r="F65" i="40"/>
  <c r="X64" i="40"/>
  <c r="U64" i="40"/>
  <c r="R64" i="40"/>
  <c r="O64" i="40"/>
  <c r="L64" i="40"/>
  <c r="I64" i="40"/>
  <c r="F64" i="40"/>
  <c r="X63" i="40"/>
  <c r="U63" i="40"/>
  <c r="R63" i="40"/>
  <c r="O63" i="40"/>
  <c r="L63" i="40"/>
  <c r="I63" i="40"/>
  <c r="F63" i="40"/>
  <c r="X62" i="40"/>
  <c r="U62" i="40"/>
  <c r="R62" i="40"/>
  <c r="O62" i="40"/>
  <c r="L62" i="40"/>
  <c r="I62" i="40"/>
  <c r="F62" i="40"/>
  <c r="X61" i="40"/>
  <c r="U61" i="40"/>
  <c r="R61" i="40"/>
  <c r="O61" i="40"/>
  <c r="L61" i="40"/>
  <c r="I61" i="40"/>
  <c r="F61" i="40"/>
  <c r="X60" i="40"/>
  <c r="U60" i="40"/>
  <c r="R60" i="40"/>
  <c r="O60" i="40"/>
  <c r="L60" i="40"/>
  <c r="I60" i="40"/>
  <c r="F60" i="40"/>
  <c r="X59" i="40"/>
  <c r="U59" i="40"/>
  <c r="R59" i="40"/>
  <c r="O59" i="40"/>
  <c r="L59" i="40"/>
  <c r="I59" i="40"/>
  <c r="F59" i="40"/>
  <c r="X58" i="40"/>
  <c r="U58" i="40"/>
  <c r="R58" i="40"/>
  <c r="O58" i="40"/>
  <c r="L58" i="40"/>
  <c r="I58" i="40"/>
  <c r="F58" i="40"/>
  <c r="X57" i="40"/>
  <c r="U57" i="40"/>
  <c r="R57" i="40"/>
  <c r="O57" i="40"/>
  <c r="L57" i="40"/>
  <c r="I57" i="40"/>
  <c r="F57" i="40"/>
  <c r="X56" i="40"/>
  <c r="U56" i="40"/>
  <c r="R56" i="40"/>
  <c r="O56" i="40"/>
  <c r="L56" i="40"/>
  <c r="I56" i="40"/>
  <c r="F56" i="40"/>
  <c r="X55" i="40"/>
  <c r="U55" i="40"/>
  <c r="R55" i="40"/>
  <c r="O55" i="40"/>
  <c r="L55" i="40"/>
  <c r="I55" i="40"/>
  <c r="F55" i="40"/>
  <c r="X54" i="40"/>
  <c r="U54" i="40"/>
  <c r="R54" i="40"/>
  <c r="O54" i="40"/>
  <c r="L54" i="40"/>
  <c r="I54" i="40"/>
  <c r="F54" i="40"/>
  <c r="X53" i="40"/>
  <c r="U53" i="40"/>
  <c r="R53" i="40"/>
  <c r="O53" i="40"/>
  <c r="L53" i="40"/>
  <c r="I53" i="40"/>
  <c r="F53" i="40"/>
  <c r="X52" i="40"/>
  <c r="U52" i="40"/>
  <c r="R52" i="40"/>
  <c r="O52" i="40"/>
  <c r="L52" i="40"/>
  <c r="I52" i="40"/>
  <c r="F52" i="40"/>
  <c r="X51" i="40"/>
  <c r="U51" i="40"/>
  <c r="R51" i="40"/>
  <c r="O51" i="40"/>
  <c r="L51" i="40"/>
  <c r="I51" i="40"/>
  <c r="F51" i="40"/>
  <c r="X50" i="40"/>
  <c r="U50" i="40"/>
  <c r="R50" i="40"/>
  <c r="O50" i="40"/>
  <c r="L50" i="40"/>
  <c r="I50" i="40"/>
  <c r="F50" i="40"/>
  <c r="X49" i="40"/>
  <c r="U49" i="40"/>
  <c r="R49" i="40"/>
  <c r="O49" i="40"/>
  <c r="L49" i="40"/>
  <c r="I49" i="40"/>
  <c r="F49" i="40"/>
  <c r="X48" i="40"/>
  <c r="U48" i="40"/>
  <c r="R48" i="40"/>
  <c r="O48" i="40"/>
  <c r="L48" i="40"/>
  <c r="I48" i="40"/>
  <c r="F48" i="40"/>
  <c r="X47" i="40"/>
  <c r="U47" i="40"/>
  <c r="R47" i="40"/>
  <c r="O47" i="40"/>
  <c r="L47" i="40"/>
  <c r="I47" i="40"/>
  <c r="F47" i="40"/>
  <c r="X46" i="40"/>
  <c r="U46" i="40"/>
  <c r="R46" i="40"/>
  <c r="O46" i="40"/>
  <c r="L46" i="40"/>
  <c r="I46" i="40"/>
  <c r="F46" i="40"/>
  <c r="X45" i="40"/>
  <c r="U45" i="40"/>
  <c r="R45" i="40"/>
  <c r="O45" i="40"/>
  <c r="L45" i="40"/>
  <c r="I45" i="40"/>
  <c r="F45" i="40"/>
  <c r="X44" i="40"/>
  <c r="U44" i="40"/>
  <c r="R44" i="40"/>
  <c r="O44" i="40"/>
  <c r="L44" i="40"/>
  <c r="I44" i="40"/>
  <c r="F44" i="40"/>
  <c r="X43" i="40"/>
  <c r="U43" i="40"/>
  <c r="R43" i="40"/>
  <c r="O43" i="40"/>
  <c r="L43" i="40"/>
  <c r="I43" i="40"/>
  <c r="F43" i="40"/>
  <c r="X42" i="40"/>
  <c r="U42" i="40"/>
  <c r="R42" i="40"/>
  <c r="O42" i="40"/>
  <c r="L42" i="40"/>
  <c r="I42" i="40"/>
  <c r="F42" i="40"/>
  <c r="X41" i="40"/>
  <c r="U41" i="40"/>
  <c r="R41" i="40"/>
  <c r="O41" i="40"/>
  <c r="L41" i="40"/>
  <c r="I41" i="40"/>
  <c r="F41" i="40"/>
  <c r="X40" i="40"/>
  <c r="U40" i="40"/>
  <c r="R40" i="40"/>
  <c r="O40" i="40"/>
  <c r="L40" i="40"/>
  <c r="I40" i="40"/>
  <c r="F40" i="40"/>
  <c r="X39" i="40"/>
  <c r="U39" i="40"/>
  <c r="R39" i="40"/>
  <c r="O39" i="40"/>
  <c r="L39" i="40"/>
  <c r="I39" i="40"/>
  <c r="F39" i="40"/>
  <c r="X38" i="40"/>
  <c r="U38" i="40"/>
  <c r="R38" i="40"/>
  <c r="O38" i="40"/>
  <c r="L38" i="40"/>
  <c r="I38" i="40"/>
  <c r="F38" i="40"/>
  <c r="X37" i="40"/>
  <c r="U37" i="40"/>
  <c r="R37" i="40"/>
  <c r="O37" i="40"/>
  <c r="L37" i="40"/>
  <c r="I37" i="40"/>
  <c r="F37" i="40"/>
  <c r="X36" i="40"/>
  <c r="U36" i="40"/>
  <c r="R36" i="40"/>
  <c r="O36" i="40"/>
  <c r="L36" i="40"/>
  <c r="I36" i="40"/>
  <c r="F36" i="40"/>
  <c r="X35" i="40"/>
  <c r="U35" i="40"/>
  <c r="R35" i="40"/>
  <c r="O35" i="40"/>
  <c r="L35" i="40"/>
  <c r="I35" i="40"/>
  <c r="F35" i="40"/>
  <c r="X34" i="40"/>
  <c r="U34" i="40"/>
  <c r="R34" i="40"/>
  <c r="O34" i="40"/>
  <c r="L34" i="40"/>
  <c r="I34" i="40"/>
  <c r="F34" i="40"/>
  <c r="X33" i="40"/>
  <c r="U33" i="40"/>
  <c r="R33" i="40"/>
  <c r="O33" i="40"/>
  <c r="L33" i="40"/>
  <c r="I33" i="40"/>
  <c r="F33" i="40"/>
  <c r="X32" i="40"/>
  <c r="U32" i="40"/>
  <c r="R32" i="40"/>
  <c r="O32" i="40"/>
  <c r="L32" i="40"/>
  <c r="I32" i="40"/>
  <c r="F32" i="40"/>
  <c r="X31" i="40"/>
  <c r="U31" i="40"/>
  <c r="R31" i="40"/>
  <c r="O31" i="40"/>
  <c r="L31" i="40"/>
  <c r="I31" i="40"/>
  <c r="F31" i="40"/>
  <c r="X30" i="40"/>
  <c r="U30" i="40"/>
  <c r="R30" i="40"/>
  <c r="O30" i="40"/>
  <c r="L30" i="40"/>
  <c r="I30" i="40"/>
  <c r="F30" i="40"/>
  <c r="X29" i="40"/>
  <c r="U29" i="40"/>
  <c r="R29" i="40"/>
  <c r="O29" i="40"/>
  <c r="L29" i="40"/>
  <c r="I29" i="40"/>
  <c r="F29" i="40"/>
  <c r="X28" i="40"/>
  <c r="U28" i="40"/>
  <c r="R28" i="40"/>
  <c r="O28" i="40"/>
  <c r="L28" i="40"/>
  <c r="I28" i="40"/>
  <c r="F28" i="40"/>
  <c r="X27" i="40"/>
  <c r="U27" i="40"/>
  <c r="R27" i="40"/>
  <c r="O27" i="40"/>
  <c r="L27" i="40"/>
  <c r="I27" i="40"/>
  <c r="F27" i="40"/>
  <c r="X26" i="40"/>
  <c r="U26" i="40"/>
  <c r="R26" i="40"/>
  <c r="O26" i="40"/>
  <c r="L26" i="40"/>
  <c r="I26" i="40"/>
  <c r="F26" i="40"/>
  <c r="X25" i="40"/>
  <c r="U25" i="40"/>
  <c r="R25" i="40"/>
  <c r="O25" i="40"/>
  <c r="L25" i="40"/>
  <c r="I25" i="40"/>
  <c r="F25" i="40"/>
  <c r="X24" i="40"/>
  <c r="U24" i="40"/>
  <c r="R24" i="40"/>
  <c r="O24" i="40"/>
  <c r="L24" i="40"/>
  <c r="I24" i="40"/>
  <c r="F24" i="40"/>
  <c r="X23" i="40"/>
  <c r="U23" i="40"/>
  <c r="R23" i="40"/>
  <c r="O23" i="40"/>
  <c r="L23" i="40"/>
  <c r="I23" i="40"/>
  <c r="F23" i="40"/>
  <c r="X22" i="40"/>
  <c r="U22" i="40"/>
  <c r="R22" i="40"/>
  <c r="O22" i="40"/>
  <c r="L22" i="40"/>
  <c r="I22" i="40"/>
  <c r="F22" i="40"/>
  <c r="X21" i="40"/>
  <c r="U21" i="40"/>
  <c r="R21" i="40"/>
  <c r="O21" i="40"/>
  <c r="L21" i="40"/>
  <c r="I21" i="40"/>
  <c r="F21" i="40"/>
  <c r="X20" i="40"/>
  <c r="U20" i="40"/>
  <c r="R20" i="40"/>
  <c r="O20" i="40"/>
  <c r="L20" i="40"/>
  <c r="I20" i="40"/>
  <c r="F20" i="40"/>
  <c r="X19" i="40"/>
  <c r="U19" i="40"/>
  <c r="R19" i="40"/>
  <c r="O19" i="40"/>
  <c r="L19" i="40"/>
  <c r="I19" i="40"/>
  <c r="F19" i="40"/>
  <c r="X18" i="40"/>
  <c r="U18" i="40"/>
  <c r="R18" i="40"/>
  <c r="O18" i="40"/>
  <c r="L18" i="40"/>
  <c r="I18" i="40"/>
  <c r="F18" i="40"/>
  <c r="X17" i="40"/>
  <c r="U17" i="40"/>
  <c r="R17" i="40"/>
  <c r="O17" i="40"/>
  <c r="L17" i="40"/>
  <c r="I17" i="40"/>
  <c r="F17" i="40"/>
  <c r="X16" i="40"/>
  <c r="U16" i="40"/>
  <c r="R16" i="40"/>
  <c r="O16" i="40"/>
  <c r="L16" i="40"/>
  <c r="I16" i="40"/>
  <c r="F16" i="40"/>
  <c r="X15" i="40"/>
  <c r="U15" i="40"/>
  <c r="R15" i="40"/>
  <c r="O15" i="40"/>
  <c r="L15" i="40"/>
  <c r="I15" i="40"/>
  <c r="F15" i="40"/>
  <c r="X14" i="40"/>
  <c r="U14" i="40"/>
  <c r="R14" i="40"/>
  <c r="O14" i="40"/>
  <c r="L14" i="40"/>
  <c r="I14" i="40"/>
  <c r="F14" i="40"/>
  <c r="X13" i="40"/>
  <c r="U13" i="40"/>
  <c r="R13" i="40"/>
  <c r="O13" i="40"/>
  <c r="L13" i="40"/>
  <c r="I13" i="40"/>
  <c r="F13" i="40"/>
  <c r="X12" i="40"/>
  <c r="U12" i="40"/>
  <c r="R12" i="40"/>
  <c r="O12" i="40"/>
  <c r="L12" i="40"/>
  <c r="I12" i="40"/>
  <c r="F12" i="40"/>
  <c r="X11" i="40"/>
  <c r="U11" i="40"/>
  <c r="R11" i="40"/>
  <c r="O11" i="40"/>
  <c r="L11" i="40"/>
  <c r="I11" i="40"/>
  <c r="F11" i="40"/>
  <c r="X10" i="40"/>
  <c r="U10" i="40"/>
  <c r="R10" i="40"/>
  <c r="O10" i="40"/>
  <c r="L10" i="40"/>
  <c r="I10" i="40"/>
  <c r="F10" i="40"/>
  <c r="X9" i="40"/>
  <c r="U9" i="40"/>
  <c r="R9" i="40"/>
  <c r="O9" i="40"/>
  <c r="L9" i="40"/>
  <c r="I9" i="40"/>
  <c r="F9" i="40"/>
  <c r="X8" i="40"/>
  <c r="U8" i="40"/>
  <c r="R8" i="40"/>
  <c r="O8" i="40"/>
  <c r="L8" i="40"/>
  <c r="I8" i="40"/>
  <c r="F8" i="40"/>
  <c r="X7" i="40"/>
  <c r="U7" i="40"/>
  <c r="R7" i="40"/>
  <c r="O7" i="40"/>
  <c r="L7" i="40"/>
  <c r="I7" i="40"/>
  <c r="F7" i="40"/>
  <c r="X6" i="40"/>
  <c r="U6" i="40"/>
  <c r="R6" i="40"/>
  <c r="O6" i="40"/>
  <c r="L6" i="40"/>
  <c r="I6" i="40"/>
  <c r="F6" i="40"/>
  <c r="X5" i="40"/>
  <c r="U5" i="40"/>
  <c r="R5" i="40"/>
  <c r="O5" i="40"/>
  <c r="L5" i="40"/>
  <c r="I5" i="40"/>
  <c r="F5" i="40"/>
  <c r="X4" i="40"/>
  <c r="U4" i="40"/>
  <c r="R4" i="40"/>
  <c r="O4" i="40"/>
  <c r="L4" i="40"/>
  <c r="I4" i="40"/>
  <c r="F4" i="40"/>
  <c r="X98" i="39"/>
  <c r="U98" i="39"/>
  <c r="R98" i="39"/>
  <c r="O98" i="39"/>
  <c r="L98" i="39"/>
  <c r="I98" i="39"/>
  <c r="F98" i="39"/>
  <c r="X97" i="39"/>
  <c r="U97" i="39"/>
  <c r="R97" i="39"/>
  <c r="O97" i="39"/>
  <c r="L97" i="39"/>
  <c r="I97" i="39"/>
  <c r="F97" i="39"/>
  <c r="X96" i="39"/>
  <c r="U96" i="39"/>
  <c r="R96" i="39"/>
  <c r="O96" i="39"/>
  <c r="L96" i="39"/>
  <c r="I96" i="39"/>
  <c r="F96" i="39"/>
  <c r="X95" i="39"/>
  <c r="U95" i="39"/>
  <c r="R95" i="39"/>
  <c r="O95" i="39"/>
  <c r="L95" i="39"/>
  <c r="I95" i="39"/>
  <c r="F95" i="39"/>
  <c r="X94" i="39"/>
  <c r="U94" i="39"/>
  <c r="R94" i="39"/>
  <c r="O94" i="39"/>
  <c r="L94" i="39"/>
  <c r="I94" i="39"/>
  <c r="F94" i="39"/>
  <c r="X93" i="39"/>
  <c r="U93" i="39"/>
  <c r="R93" i="39"/>
  <c r="O93" i="39"/>
  <c r="L93" i="39"/>
  <c r="I93" i="39"/>
  <c r="F93" i="39"/>
  <c r="X92" i="39"/>
  <c r="U92" i="39"/>
  <c r="R92" i="39"/>
  <c r="O92" i="39"/>
  <c r="L92" i="39"/>
  <c r="I92" i="39"/>
  <c r="F92" i="39"/>
  <c r="X91" i="39"/>
  <c r="U91" i="39"/>
  <c r="R91" i="39"/>
  <c r="O91" i="39"/>
  <c r="L91" i="39"/>
  <c r="I91" i="39"/>
  <c r="F91" i="39"/>
  <c r="X90" i="39"/>
  <c r="U90" i="39"/>
  <c r="R90" i="39"/>
  <c r="O90" i="39"/>
  <c r="L90" i="39"/>
  <c r="I90" i="39"/>
  <c r="F90" i="39"/>
  <c r="X89" i="39"/>
  <c r="U89" i="39"/>
  <c r="R89" i="39"/>
  <c r="O89" i="39"/>
  <c r="L89" i="39"/>
  <c r="I89" i="39"/>
  <c r="F89" i="39"/>
  <c r="X88" i="39"/>
  <c r="U88" i="39"/>
  <c r="R88" i="39"/>
  <c r="O88" i="39"/>
  <c r="L88" i="39"/>
  <c r="I88" i="39"/>
  <c r="F88" i="39"/>
  <c r="X87" i="39"/>
  <c r="U87" i="39"/>
  <c r="R87" i="39"/>
  <c r="O87" i="39"/>
  <c r="L87" i="39"/>
  <c r="I87" i="39"/>
  <c r="F87" i="39"/>
  <c r="X86" i="39"/>
  <c r="U86" i="39"/>
  <c r="R86" i="39"/>
  <c r="O86" i="39"/>
  <c r="L86" i="39"/>
  <c r="I86" i="39"/>
  <c r="F86" i="39"/>
  <c r="X85" i="39"/>
  <c r="U85" i="39"/>
  <c r="R85" i="39"/>
  <c r="O85" i="39"/>
  <c r="L85" i="39"/>
  <c r="I85" i="39"/>
  <c r="F85" i="39"/>
  <c r="X84" i="39"/>
  <c r="U84" i="39"/>
  <c r="R84" i="39"/>
  <c r="O84" i="39"/>
  <c r="L84" i="39"/>
  <c r="I84" i="39"/>
  <c r="F84" i="39"/>
  <c r="X83" i="39"/>
  <c r="U83" i="39"/>
  <c r="R83" i="39"/>
  <c r="O83" i="39"/>
  <c r="L83" i="39"/>
  <c r="I83" i="39"/>
  <c r="F83" i="39"/>
  <c r="X82" i="39"/>
  <c r="U82" i="39"/>
  <c r="R82" i="39"/>
  <c r="O82" i="39"/>
  <c r="L82" i="39"/>
  <c r="I82" i="39"/>
  <c r="F82" i="39"/>
  <c r="X81" i="39"/>
  <c r="U81" i="39"/>
  <c r="R81" i="39"/>
  <c r="O81" i="39"/>
  <c r="L81" i="39"/>
  <c r="I81" i="39"/>
  <c r="F81" i="39"/>
  <c r="X80" i="39"/>
  <c r="U80" i="39"/>
  <c r="R80" i="39"/>
  <c r="O80" i="39"/>
  <c r="L80" i="39"/>
  <c r="I80" i="39"/>
  <c r="F80" i="39"/>
  <c r="X79" i="39"/>
  <c r="U79" i="39"/>
  <c r="R79" i="39"/>
  <c r="O79" i="39"/>
  <c r="L79" i="39"/>
  <c r="I79" i="39"/>
  <c r="F79" i="39"/>
  <c r="X78" i="39"/>
  <c r="U78" i="39"/>
  <c r="R78" i="39"/>
  <c r="O78" i="39"/>
  <c r="L78" i="39"/>
  <c r="I78" i="39"/>
  <c r="F78" i="39"/>
  <c r="X77" i="39"/>
  <c r="U77" i="39"/>
  <c r="R77" i="39"/>
  <c r="O77" i="39"/>
  <c r="L77" i="39"/>
  <c r="I77" i="39"/>
  <c r="F77" i="39"/>
  <c r="X76" i="39"/>
  <c r="U76" i="39"/>
  <c r="R76" i="39"/>
  <c r="O76" i="39"/>
  <c r="L76" i="39"/>
  <c r="I76" i="39"/>
  <c r="F76" i="39"/>
  <c r="X75" i="39"/>
  <c r="U75" i="39"/>
  <c r="R75" i="39"/>
  <c r="O75" i="39"/>
  <c r="L75" i="39"/>
  <c r="I75" i="39"/>
  <c r="F75" i="39"/>
  <c r="X74" i="39"/>
  <c r="U74" i="39"/>
  <c r="R74" i="39"/>
  <c r="O74" i="39"/>
  <c r="L74" i="39"/>
  <c r="I74" i="39"/>
  <c r="F74" i="39"/>
  <c r="X73" i="39"/>
  <c r="U73" i="39"/>
  <c r="R73" i="39"/>
  <c r="O73" i="39"/>
  <c r="L73" i="39"/>
  <c r="I73" i="39"/>
  <c r="F73" i="39"/>
  <c r="X72" i="39"/>
  <c r="U72" i="39"/>
  <c r="R72" i="39"/>
  <c r="O72" i="39"/>
  <c r="L72" i="39"/>
  <c r="I72" i="39"/>
  <c r="F72" i="39"/>
  <c r="X71" i="39"/>
  <c r="U71" i="39"/>
  <c r="R71" i="39"/>
  <c r="O71" i="39"/>
  <c r="L71" i="39"/>
  <c r="I71" i="39"/>
  <c r="F71" i="39"/>
  <c r="X70" i="39"/>
  <c r="U70" i="39"/>
  <c r="R70" i="39"/>
  <c r="O70" i="39"/>
  <c r="L70" i="39"/>
  <c r="I70" i="39"/>
  <c r="F70" i="39"/>
  <c r="X69" i="39"/>
  <c r="U69" i="39"/>
  <c r="R69" i="39"/>
  <c r="O69" i="39"/>
  <c r="L69" i="39"/>
  <c r="I69" i="39"/>
  <c r="F69" i="39"/>
  <c r="X68" i="39"/>
  <c r="U68" i="39"/>
  <c r="R68" i="39"/>
  <c r="O68" i="39"/>
  <c r="L68" i="39"/>
  <c r="I68" i="39"/>
  <c r="F68" i="39"/>
  <c r="X67" i="39"/>
  <c r="U67" i="39"/>
  <c r="R67" i="39"/>
  <c r="O67" i="39"/>
  <c r="L67" i="39"/>
  <c r="I67" i="39"/>
  <c r="F67" i="39"/>
  <c r="X66" i="39"/>
  <c r="U66" i="39"/>
  <c r="R66" i="39"/>
  <c r="O66" i="39"/>
  <c r="L66" i="39"/>
  <c r="I66" i="39"/>
  <c r="F66" i="39"/>
  <c r="X65" i="39"/>
  <c r="U65" i="39"/>
  <c r="R65" i="39"/>
  <c r="O65" i="39"/>
  <c r="L65" i="39"/>
  <c r="I65" i="39"/>
  <c r="F65" i="39"/>
  <c r="X64" i="39"/>
  <c r="U64" i="39"/>
  <c r="R64" i="39"/>
  <c r="O64" i="39"/>
  <c r="L64" i="39"/>
  <c r="I64" i="39"/>
  <c r="F64" i="39"/>
  <c r="X63" i="39"/>
  <c r="U63" i="39"/>
  <c r="R63" i="39"/>
  <c r="O63" i="39"/>
  <c r="L63" i="39"/>
  <c r="I63" i="39"/>
  <c r="F63" i="39"/>
  <c r="X62" i="39"/>
  <c r="U62" i="39"/>
  <c r="R62" i="39"/>
  <c r="O62" i="39"/>
  <c r="L62" i="39"/>
  <c r="I62" i="39"/>
  <c r="F62" i="39"/>
  <c r="X61" i="39"/>
  <c r="U61" i="39"/>
  <c r="R61" i="39"/>
  <c r="O61" i="39"/>
  <c r="L61" i="39"/>
  <c r="I61" i="39"/>
  <c r="F61" i="39"/>
  <c r="X60" i="39"/>
  <c r="U60" i="39"/>
  <c r="R60" i="39"/>
  <c r="O60" i="39"/>
  <c r="L60" i="39"/>
  <c r="I60" i="39"/>
  <c r="F60" i="39"/>
  <c r="X59" i="39"/>
  <c r="U59" i="39"/>
  <c r="R59" i="39"/>
  <c r="O59" i="39"/>
  <c r="L59" i="39"/>
  <c r="I59" i="39"/>
  <c r="F59" i="39"/>
  <c r="X58" i="39"/>
  <c r="U58" i="39"/>
  <c r="R58" i="39"/>
  <c r="O58" i="39"/>
  <c r="L58" i="39"/>
  <c r="I58" i="39"/>
  <c r="F58" i="39"/>
  <c r="X57" i="39"/>
  <c r="U57" i="39"/>
  <c r="R57" i="39"/>
  <c r="O57" i="39"/>
  <c r="L57" i="39"/>
  <c r="I57" i="39"/>
  <c r="F57" i="39"/>
  <c r="X56" i="39"/>
  <c r="U56" i="39"/>
  <c r="R56" i="39"/>
  <c r="O56" i="39"/>
  <c r="L56" i="39"/>
  <c r="I56" i="39"/>
  <c r="F56" i="39"/>
  <c r="X55" i="39"/>
  <c r="U55" i="39"/>
  <c r="R55" i="39"/>
  <c r="O55" i="39"/>
  <c r="L55" i="39"/>
  <c r="I55" i="39"/>
  <c r="F55" i="39"/>
  <c r="X54" i="39"/>
  <c r="U54" i="39"/>
  <c r="R54" i="39"/>
  <c r="O54" i="39"/>
  <c r="L54" i="39"/>
  <c r="I54" i="39"/>
  <c r="F54" i="39"/>
  <c r="X53" i="39"/>
  <c r="U53" i="39"/>
  <c r="R53" i="39"/>
  <c r="O53" i="39"/>
  <c r="L53" i="39"/>
  <c r="I53" i="39"/>
  <c r="F53" i="39"/>
  <c r="X52" i="39"/>
  <c r="U52" i="39"/>
  <c r="R52" i="39"/>
  <c r="O52" i="39"/>
  <c r="L52" i="39"/>
  <c r="I52" i="39"/>
  <c r="F52" i="39"/>
  <c r="X51" i="39"/>
  <c r="U51" i="39"/>
  <c r="R51" i="39"/>
  <c r="O51" i="39"/>
  <c r="L51" i="39"/>
  <c r="I51" i="39"/>
  <c r="F51" i="39"/>
  <c r="X50" i="39"/>
  <c r="U50" i="39"/>
  <c r="R50" i="39"/>
  <c r="O50" i="39"/>
  <c r="L50" i="39"/>
  <c r="I50" i="39"/>
  <c r="F50" i="39"/>
  <c r="X49" i="39"/>
  <c r="U49" i="39"/>
  <c r="R49" i="39"/>
  <c r="O49" i="39"/>
  <c r="L49" i="39"/>
  <c r="I49" i="39"/>
  <c r="F49" i="39"/>
  <c r="X48" i="39"/>
  <c r="U48" i="39"/>
  <c r="R48" i="39"/>
  <c r="O48" i="39"/>
  <c r="L48" i="39"/>
  <c r="I48" i="39"/>
  <c r="F48" i="39"/>
  <c r="X47" i="39"/>
  <c r="U47" i="39"/>
  <c r="R47" i="39"/>
  <c r="O47" i="39"/>
  <c r="L47" i="39"/>
  <c r="I47" i="39"/>
  <c r="F47" i="39"/>
  <c r="X46" i="39"/>
  <c r="U46" i="39"/>
  <c r="R46" i="39"/>
  <c r="O46" i="39"/>
  <c r="L46" i="39"/>
  <c r="I46" i="39"/>
  <c r="F46" i="39"/>
  <c r="X45" i="39"/>
  <c r="U45" i="39"/>
  <c r="R45" i="39"/>
  <c r="O45" i="39"/>
  <c r="L45" i="39"/>
  <c r="I45" i="39"/>
  <c r="F45" i="39"/>
  <c r="X44" i="39"/>
  <c r="U44" i="39"/>
  <c r="R44" i="39"/>
  <c r="O44" i="39"/>
  <c r="L44" i="39"/>
  <c r="I44" i="39"/>
  <c r="F44" i="39"/>
  <c r="X43" i="39"/>
  <c r="U43" i="39"/>
  <c r="R43" i="39"/>
  <c r="O43" i="39"/>
  <c r="L43" i="39"/>
  <c r="I43" i="39"/>
  <c r="F43" i="39"/>
  <c r="X42" i="39"/>
  <c r="U42" i="39"/>
  <c r="R42" i="39"/>
  <c r="O42" i="39"/>
  <c r="L42" i="39"/>
  <c r="I42" i="39"/>
  <c r="F42" i="39"/>
  <c r="X41" i="39"/>
  <c r="U41" i="39"/>
  <c r="R41" i="39"/>
  <c r="O41" i="39"/>
  <c r="L41" i="39"/>
  <c r="I41" i="39"/>
  <c r="F41" i="39"/>
  <c r="X40" i="39"/>
  <c r="U40" i="39"/>
  <c r="R40" i="39"/>
  <c r="O40" i="39"/>
  <c r="L40" i="39"/>
  <c r="I40" i="39"/>
  <c r="F40" i="39"/>
  <c r="X39" i="39"/>
  <c r="U39" i="39"/>
  <c r="R39" i="39"/>
  <c r="O39" i="39"/>
  <c r="L39" i="39"/>
  <c r="I39" i="39"/>
  <c r="F39" i="39"/>
  <c r="X38" i="39"/>
  <c r="U38" i="39"/>
  <c r="R38" i="39"/>
  <c r="O38" i="39"/>
  <c r="L38" i="39"/>
  <c r="I38" i="39"/>
  <c r="F38" i="39"/>
  <c r="X37" i="39"/>
  <c r="U37" i="39"/>
  <c r="R37" i="39"/>
  <c r="O37" i="39"/>
  <c r="L37" i="39"/>
  <c r="I37" i="39"/>
  <c r="F37" i="39"/>
  <c r="X36" i="39"/>
  <c r="U36" i="39"/>
  <c r="R36" i="39"/>
  <c r="O36" i="39"/>
  <c r="L36" i="39"/>
  <c r="I36" i="39"/>
  <c r="F36" i="39"/>
  <c r="X35" i="39"/>
  <c r="U35" i="39"/>
  <c r="R35" i="39"/>
  <c r="O35" i="39"/>
  <c r="L35" i="39"/>
  <c r="I35" i="39"/>
  <c r="F35" i="39"/>
  <c r="X34" i="39"/>
  <c r="U34" i="39"/>
  <c r="R34" i="39"/>
  <c r="O34" i="39"/>
  <c r="L34" i="39"/>
  <c r="I34" i="39"/>
  <c r="F34" i="39"/>
  <c r="X33" i="39"/>
  <c r="U33" i="39"/>
  <c r="R33" i="39"/>
  <c r="O33" i="39"/>
  <c r="L33" i="39"/>
  <c r="I33" i="39"/>
  <c r="F33" i="39"/>
  <c r="X32" i="39"/>
  <c r="U32" i="39"/>
  <c r="R32" i="39"/>
  <c r="O32" i="39"/>
  <c r="L32" i="39"/>
  <c r="I32" i="39"/>
  <c r="F32" i="39"/>
  <c r="X31" i="39"/>
  <c r="U31" i="39"/>
  <c r="R31" i="39"/>
  <c r="O31" i="39"/>
  <c r="L31" i="39"/>
  <c r="I31" i="39"/>
  <c r="F31" i="39"/>
  <c r="X30" i="39"/>
  <c r="U30" i="39"/>
  <c r="R30" i="39"/>
  <c r="O30" i="39"/>
  <c r="L30" i="39"/>
  <c r="I30" i="39"/>
  <c r="F30" i="39"/>
  <c r="X29" i="39"/>
  <c r="U29" i="39"/>
  <c r="R29" i="39"/>
  <c r="O29" i="39"/>
  <c r="L29" i="39"/>
  <c r="I29" i="39"/>
  <c r="F29" i="39"/>
  <c r="X28" i="39"/>
  <c r="U28" i="39"/>
  <c r="R28" i="39"/>
  <c r="O28" i="39"/>
  <c r="L28" i="39"/>
  <c r="I28" i="39"/>
  <c r="F28" i="39"/>
  <c r="X27" i="39"/>
  <c r="U27" i="39"/>
  <c r="R27" i="39"/>
  <c r="O27" i="39"/>
  <c r="L27" i="39"/>
  <c r="I27" i="39"/>
  <c r="F27" i="39"/>
  <c r="X26" i="39"/>
  <c r="U26" i="39"/>
  <c r="R26" i="39"/>
  <c r="O26" i="39"/>
  <c r="L26" i="39"/>
  <c r="I26" i="39"/>
  <c r="F26" i="39"/>
  <c r="X25" i="39"/>
  <c r="U25" i="39"/>
  <c r="R25" i="39"/>
  <c r="O25" i="39"/>
  <c r="L25" i="39"/>
  <c r="I25" i="39"/>
  <c r="F25" i="39"/>
  <c r="X24" i="39"/>
  <c r="U24" i="39"/>
  <c r="R24" i="39"/>
  <c r="O24" i="39"/>
  <c r="L24" i="39"/>
  <c r="I24" i="39"/>
  <c r="F24" i="39"/>
  <c r="X23" i="39"/>
  <c r="U23" i="39"/>
  <c r="R23" i="39"/>
  <c r="O23" i="39"/>
  <c r="L23" i="39"/>
  <c r="I23" i="39"/>
  <c r="F23" i="39"/>
  <c r="X22" i="39"/>
  <c r="U22" i="39"/>
  <c r="R22" i="39"/>
  <c r="O22" i="39"/>
  <c r="L22" i="39"/>
  <c r="I22" i="39"/>
  <c r="F22" i="39"/>
  <c r="X21" i="39"/>
  <c r="U21" i="39"/>
  <c r="R21" i="39"/>
  <c r="O21" i="39"/>
  <c r="L21" i="39"/>
  <c r="I21" i="39"/>
  <c r="F21" i="39"/>
  <c r="X20" i="39"/>
  <c r="U20" i="39"/>
  <c r="R20" i="39"/>
  <c r="O20" i="39"/>
  <c r="L20" i="39"/>
  <c r="I20" i="39"/>
  <c r="F20" i="39"/>
  <c r="X19" i="39"/>
  <c r="U19" i="39"/>
  <c r="R19" i="39"/>
  <c r="O19" i="39"/>
  <c r="L19" i="39"/>
  <c r="I19" i="39"/>
  <c r="F19" i="39"/>
  <c r="X18" i="39"/>
  <c r="U18" i="39"/>
  <c r="R18" i="39"/>
  <c r="O18" i="39"/>
  <c r="L18" i="39"/>
  <c r="I18" i="39"/>
  <c r="F18" i="39"/>
  <c r="X17" i="39"/>
  <c r="U17" i="39"/>
  <c r="R17" i="39"/>
  <c r="O17" i="39"/>
  <c r="L17" i="39"/>
  <c r="I17" i="39"/>
  <c r="F17" i="39"/>
  <c r="X16" i="39"/>
  <c r="U16" i="39"/>
  <c r="R16" i="39"/>
  <c r="O16" i="39"/>
  <c r="L16" i="39"/>
  <c r="I16" i="39"/>
  <c r="F16" i="39"/>
  <c r="X15" i="39"/>
  <c r="U15" i="39"/>
  <c r="R15" i="39"/>
  <c r="O15" i="39"/>
  <c r="L15" i="39"/>
  <c r="I15" i="39"/>
  <c r="F15" i="39"/>
  <c r="X14" i="39"/>
  <c r="U14" i="39"/>
  <c r="R14" i="39"/>
  <c r="O14" i="39"/>
  <c r="L14" i="39"/>
  <c r="I14" i="39"/>
  <c r="F14" i="39"/>
  <c r="X13" i="39"/>
  <c r="U13" i="39"/>
  <c r="R13" i="39"/>
  <c r="O13" i="39"/>
  <c r="L13" i="39"/>
  <c r="I13" i="39"/>
  <c r="F13" i="39"/>
  <c r="X12" i="39"/>
  <c r="U12" i="39"/>
  <c r="R12" i="39"/>
  <c r="O12" i="39"/>
  <c r="L12" i="39"/>
  <c r="I12" i="39"/>
  <c r="F12" i="39"/>
  <c r="X11" i="39"/>
  <c r="U11" i="39"/>
  <c r="R11" i="39"/>
  <c r="O11" i="39"/>
  <c r="L11" i="39"/>
  <c r="I11" i="39"/>
  <c r="F11" i="39"/>
  <c r="X10" i="39"/>
  <c r="U10" i="39"/>
  <c r="R10" i="39"/>
  <c r="O10" i="39"/>
  <c r="L10" i="39"/>
  <c r="I10" i="39"/>
  <c r="F10" i="39"/>
  <c r="X9" i="39"/>
  <c r="U9" i="39"/>
  <c r="R9" i="39"/>
  <c r="O9" i="39"/>
  <c r="L9" i="39"/>
  <c r="I9" i="39"/>
  <c r="F9" i="39"/>
  <c r="X8" i="39"/>
  <c r="U8" i="39"/>
  <c r="R8" i="39"/>
  <c r="O8" i="39"/>
  <c r="L8" i="39"/>
  <c r="I8" i="39"/>
  <c r="F8" i="39"/>
  <c r="X7" i="39"/>
  <c r="U7" i="39"/>
  <c r="R7" i="39"/>
  <c r="O7" i="39"/>
  <c r="L7" i="39"/>
  <c r="I7" i="39"/>
  <c r="F7" i="39"/>
  <c r="X6" i="39"/>
  <c r="U6" i="39"/>
  <c r="R6" i="39"/>
  <c r="O6" i="39"/>
  <c r="L6" i="39"/>
  <c r="I6" i="39"/>
  <c r="F6" i="39"/>
  <c r="X5" i="39"/>
  <c r="U5" i="39"/>
  <c r="R5" i="39"/>
  <c r="O5" i="39"/>
  <c r="L5" i="39"/>
  <c r="I5" i="39"/>
  <c r="F5" i="39"/>
  <c r="X4" i="39"/>
  <c r="U4" i="39"/>
  <c r="R4" i="39"/>
  <c r="O4" i="39"/>
  <c r="L4" i="39"/>
  <c r="I4" i="39"/>
  <c r="F4" i="39"/>
  <c r="X98" i="38"/>
  <c r="U98" i="38"/>
  <c r="R98" i="38"/>
  <c r="O98" i="38"/>
  <c r="L98" i="38"/>
  <c r="I98" i="38"/>
  <c r="F98" i="38"/>
  <c r="X97" i="38"/>
  <c r="U97" i="38"/>
  <c r="R97" i="38"/>
  <c r="O97" i="38"/>
  <c r="L97" i="38"/>
  <c r="I97" i="38"/>
  <c r="F97" i="38"/>
  <c r="X96" i="38"/>
  <c r="U96" i="38"/>
  <c r="R96" i="38"/>
  <c r="O96" i="38"/>
  <c r="L96" i="38"/>
  <c r="I96" i="38"/>
  <c r="F96" i="38"/>
  <c r="X95" i="38"/>
  <c r="U95" i="38"/>
  <c r="R95" i="38"/>
  <c r="O95" i="38"/>
  <c r="L95" i="38"/>
  <c r="I95" i="38"/>
  <c r="F95" i="38"/>
  <c r="X94" i="38"/>
  <c r="U94" i="38"/>
  <c r="R94" i="38"/>
  <c r="O94" i="38"/>
  <c r="L94" i="38"/>
  <c r="I94" i="38"/>
  <c r="F94" i="38"/>
  <c r="X93" i="38"/>
  <c r="U93" i="38"/>
  <c r="R93" i="38"/>
  <c r="O93" i="38"/>
  <c r="L93" i="38"/>
  <c r="I93" i="38"/>
  <c r="F93" i="38"/>
  <c r="X92" i="38"/>
  <c r="U92" i="38"/>
  <c r="R92" i="38"/>
  <c r="O92" i="38"/>
  <c r="L92" i="38"/>
  <c r="I92" i="38"/>
  <c r="F92" i="38"/>
  <c r="X91" i="38"/>
  <c r="U91" i="38"/>
  <c r="R91" i="38"/>
  <c r="O91" i="38"/>
  <c r="L91" i="38"/>
  <c r="I91" i="38"/>
  <c r="F91" i="38"/>
  <c r="X90" i="38"/>
  <c r="U90" i="38"/>
  <c r="R90" i="38"/>
  <c r="O90" i="38"/>
  <c r="L90" i="38"/>
  <c r="I90" i="38"/>
  <c r="F90" i="38"/>
  <c r="X89" i="38"/>
  <c r="U89" i="38"/>
  <c r="R89" i="38"/>
  <c r="O89" i="38"/>
  <c r="L89" i="38"/>
  <c r="I89" i="38"/>
  <c r="F89" i="38"/>
  <c r="X88" i="38"/>
  <c r="U88" i="38"/>
  <c r="R88" i="38"/>
  <c r="O88" i="38"/>
  <c r="L88" i="38"/>
  <c r="I88" i="38"/>
  <c r="F88" i="38"/>
  <c r="X87" i="38"/>
  <c r="U87" i="38"/>
  <c r="R87" i="38"/>
  <c r="O87" i="38"/>
  <c r="L87" i="38"/>
  <c r="I87" i="38"/>
  <c r="F87" i="38"/>
  <c r="X86" i="38"/>
  <c r="U86" i="38"/>
  <c r="R86" i="38"/>
  <c r="O86" i="38"/>
  <c r="L86" i="38"/>
  <c r="I86" i="38"/>
  <c r="F86" i="38"/>
  <c r="X85" i="38"/>
  <c r="U85" i="38"/>
  <c r="R85" i="38"/>
  <c r="O85" i="38"/>
  <c r="L85" i="38"/>
  <c r="I85" i="38"/>
  <c r="F85" i="38"/>
  <c r="X84" i="38"/>
  <c r="U84" i="38"/>
  <c r="R84" i="38"/>
  <c r="O84" i="38"/>
  <c r="L84" i="38"/>
  <c r="I84" i="38"/>
  <c r="F84" i="38"/>
  <c r="X83" i="38"/>
  <c r="U83" i="38"/>
  <c r="R83" i="38"/>
  <c r="O83" i="38"/>
  <c r="L83" i="38"/>
  <c r="I83" i="38"/>
  <c r="F83" i="38"/>
  <c r="X82" i="38"/>
  <c r="U82" i="38"/>
  <c r="R82" i="38"/>
  <c r="O82" i="38"/>
  <c r="L82" i="38"/>
  <c r="I82" i="38"/>
  <c r="F82" i="38"/>
  <c r="X81" i="38"/>
  <c r="U81" i="38"/>
  <c r="R81" i="38"/>
  <c r="O81" i="38"/>
  <c r="L81" i="38"/>
  <c r="I81" i="38"/>
  <c r="F81" i="38"/>
  <c r="X80" i="38"/>
  <c r="U80" i="38"/>
  <c r="R80" i="38"/>
  <c r="O80" i="38"/>
  <c r="L80" i="38"/>
  <c r="I80" i="38"/>
  <c r="F80" i="38"/>
  <c r="X79" i="38"/>
  <c r="U79" i="38"/>
  <c r="R79" i="38"/>
  <c r="O79" i="38"/>
  <c r="L79" i="38"/>
  <c r="I79" i="38"/>
  <c r="F79" i="38"/>
  <c r="X78" i="38"/>
  <c r="U78" i="38"/>
  <c r="R78" i="38"/>
  <c r="O78" i="38"/>
  <c r="L78" i="38"/>
  <c r="I78" i="38"/>
  <c r="F78" i="38"/>
  <c r="X77" i="38"/>
  <c r="U77" i="38"/>
  <c r="R77" i="38"/>
  <c r="O77" i="38"/>
  <c r="L77" i="38"/>
  <c r="I77" i="38"/>
  <c r="F77" i="38"/>
  <c r="X76" i="38"/>
  <c r="U76" i="38"/>
  <c r="R76" i="38"/>
  <c r="O76" i="38"/>
  <c r="L76" i="38"/>
  <c r="I76" i="38"/>
  <c r="F76" i="38"/>
  <c r="X75" i="38"/>
  <c r="U75" i="38"/>
  <c r="R75" i="38"/>
  <c r="O75" i="38"/>
  <c r="L75" i="38"/>
  <c r="I75" i="38"/>
  <c r="F75" i="38"/>
  <c r="X74" i="38"/>
  <c r="U74" i="38"/>
  <c r="R74" i="38"/>
  <c r="O74" i="38"/>
  <c r="L74" i="38"/>
  <c r="I74" i="38"/>
  <c r="F74" i="38"/>
  <c r="X73" i="38"/>
  <c r="U73" i="38"/>
  <c r="R73" i="38"/>
  <c r="O73" i="38"/>
  <c r="L73" i="38"/>
  <c r="I73" i="38"/>
  <c r="F73" i="38"/>
  <c r="X72" i="38"/>
  <c r="U72" i="38"/>
  <c r="R72" i="38"/>
  <c r="O72" i="38"/>
  <c r="L72" i="38"/>
  <c r="I72" i="38"/>
  <c r="F72" i="38"/>
  <c r="X71" i="38"/>
  <c r="U71" i="38"/>
  <c r="R71" i="38"/>
  <c r="O71" i="38"/>
  <c r="L71" i="38"/>
  <c r="I71" i="38"/>
  <c r="F71" i="38"/>
  <c r="X70" i="38"/>
  <c r="U70" i="38"/>
  <c r="R70" i="38"/>
  <c r="O70" i="38"/>
  <c r="L70" i="38"/>
  <c r="I70" i="38"/>
  <c r="F70" i="38"/>
  <c r="X69" i="38"/>
  <c r="U69" i="38"/>
  <c r="R69" i="38"/>
  <c r="O69" i="38"/>
  <c r="L69" i="38"/>
  <c r="I69" i="38"/>
  <c r="F69" i="38"/>
  <c r="X68" i="38"/>
  <c r="U68" i="38"/>
  <c r="R68" i="38"/>
  <c r="O68" i="38"/>
  <c r="L68" i="38"/>
  <c r="I68" i="38"/>
  <c r="F68" i="38"/>
  <c r="X67" i="38"/>
  <c r="U67" i="38"/>
  <c r="R67" i="38"/>
  <c r="O67" i="38"/>
  <c r="L67" i="38"/>
  <c r="I67" i="38"/>
  <c r="F67" i="38"/>
  <c r="X66" i="38"/>
  <c r="U66" i="38"/>
  <c r="R66" i="38"/>
  <c r="O66" i="38"/>
  <c r="L66" i="38"/>
  <c r="I66" i="38"/>
  <c r="F66" i="38"/>
  <c r="X65" i="38"/>
  <c r="U65" i="38"/>
  <c r="R65" i="38"/>
  <c r="O65" i="38"/>
  <c r="L65" i="38"/>
  <c r="I65" i="38"/>
  <c r="F65" i="38"/>
  <c r="X64" i="38"/>
  <c r="U64" i="38"/>
  <c r="R64" i="38"/>
  <c r="O64" i="38"/>
  <c r="L64" i="38"/>
  <c r="I64" i="38"/>
  <c r="F64" i="38"/>
  <c r="X63" i="38"/>
  <c r="U63" i="38"/>
  <c r="R63" i="38"/>
  <c r="O63" i="38"/>
  <c r="L63" i="38"/>
  <c r="I63" i="38"/>
  <c r="F63" i="38"/>
  <c r="X62" i="38"/>
  <c r="U62" i="38"/>
  <c r="R62" i="38"/>
  <c r="O62" i="38"/>
  <c r="L62" i="38"/>
  <c r="I62" i="38"/>
  <c r="F62" i="38"/>
  <c r="X61" i="38"/>
  <c r="U61" i="38"/>
  <c r="R61" i="38"/>
  <c r="O61" i="38"/>
  <c r="L61" i="38"/>
  <c r="I61" i="38"/>
  <c r="F61" i="38"/>
  <c r="X60" i="38"/>
  <c r="U60" i="38"/>
  <c r="R60" i="38"/>
  <c r="O60" i="38"/>
  <c r="L60" i="38"/>
  <c r="I60" i="38"/>
  <c r="F60" i="38"/>
  <c r="X59" i="38"/>
  <c r="U59" i="38"/>
  <c r="R59" i="38"/>
  <c r="O59" i="38"/>
  <c r="L59" i="38"/>
  <c r="I59" i="38"/>
  <c r="F59" i="38"/>
  <c r="X58" i="38"/>
  <c r="U58" i="38"/>
  <c r="R58" i="38"/>
  <c r="O58" i="38"/>
  <c r="L58" i="38"/>
  <c r="I58" i="38"/>
  <c r="F58" i="38"/>
  <c r="X57" i="38"/>
  <c r="U57" i="38"/>
  <c r="R57" i="38"/>
  <c r="O57" i="38"/>
  <c r="L57" i="38"/>
  <c r="I57" i="38"/>
  <c r="F57" i="38"/>
  <c r="X56" i="38"/>
  <c r="U56" i="38"/>
  <c r="R56" i="38"/>
  <c r="O56" i="38"/>
  <c r="L56" i="38"/>
  <c r="I56" i="38"/>
  <c r="F56" i="38"/>
  <c r="X55" i="38"/>
  <c r="U55" i="38"/>
  <c r="R55" i="38"/>
  <c r="O55" i="38"/>
  <c r="L55" i="38"/>
  <c r="I55" i="38"/>
  <c r="F55" i="38"/>
  <c r="X54" i="38"/>
  <c r="U54" i="38"/>
  <c r="R54" i="38"/>
  <c r="O54" i="38"/>
  <c r="L54" i="38"/>
  <c r="I54" i="38"/>
  <c r="F54" i="38"/>
  <c r="X53" i="38"/>
  <c r="U53" i="38"/>
  <c r="R53" i="38"/>
  <c r="O53" i="38"/>
  <c r="L53" i="38"/>
  <c r="I53" i="38"/>
  <c r="F53" i="38"/>
  <c r="X52" i="38"/>
  <c r="U52" i="38"/>
  <c r="R52" i="38"/>
  <c r="O52" i="38"/>
  <c r="L52" i="38"/>
  <c r="I52" i="38"/>
  <c r="F52" i="38"/>
  <c r="X51" i="38"/>
  <c r="U51" i="38"/>
  <c r="R51" i="38"/>
  <c r="O51" i="38"/>
  <c r="L51" i="38"/>
  <c r="I51" i="38"/>
  <c r="F51" i="38"/>
  <c r="X50" i="38"/>
  <c r="U50" i="38"/>
  <c r="R50" i="38"/>
  <c r="O50" i="38"/>
  <c r="L50" i="38"/>
  <c r="I50" i="38"/>
  <c r="F50" i="38"/>
  <c r="X49" i="38"/>
  <c r="U49" i="38"/>
  <c r="R49" i="38"/>
  <c r="O49" i="38"/>
  <c r="L49" i="38"/>
  <c r="I49" i="38"/>
  <c r="F49" i="38"/>
  <c r="X48" i="38"/>
  <c r="U48" i="38"/>
  <c r="R48" i="38"/>
  <c r="O48" i="38"/>
  <c r="L48" i="38"/>
  <c r="I48" i="38"/>
  <c r="F48" i="38"/>
  <c r="X47" i="38"/>
  <c r="U47" i="38"/>
  <c r="R47" i="38"/>
  <c r="O47" i="38"/>
  <c r="L47" i="38"/>
  <c r="I47" i="38"/>
  <c r="F47" i="38"/>
  <c r="X46" i="38"/>
  <c r="U46" i="38"/>
  <c r="R46" i="38"/>
  <c r="O46" i="38"/>
  <c r="L46" i="38"/>
  <c r="I46" i="38"/>
  <c r="F46" i="38"/>
  <c r="X45" i="38"/>
  <c r="U45" i="38"/>
  <c r="R45" i="38"/>
  <c r="O45" i="38"/>
  <c r="L45" i="38"/>
  <c r="I45" i="38"/>
  <c r="F45" i="38"/>
  <c r="X44" i="38"/>
  <c r="U44" i="38"/>
  <c r="R44" i="38"/>
  <c r="O44" i="38"/>
  <c r="L44" i="38"/>
  <c r="I44" i="38"/>
  <c r="F44" i="38"/>
  <c r="X43" i="38"/>
  <c r="U43" i="38"/>
  <c r="R43" i="38"/>
  <c r="O43" i="38"/>
  <c r="L43" i="38"/>
  <c r="I43" i="38"/>
  <c r="F43" i="38"/>
  <c r="X42" i="38"/>
  <c r="U42" i="38"/>
  <c r="R42" i="38"/>
  <c r="O42" i="38"/>
  <c r="L42" i="38"/>
  <c r="I42" i="38"/>
  <c r="F42" i="38"/>
  <c r="X41" i="38"/>
  <c r="U41" i="38"/>
  <c r="R41" i="38"/>
  <c r="O41" i="38"/>
  <c r="L41" i="38"/>
  <c r="I41" i="38"/>
  <c r="F41" i="38"/>
  <c r="X40" i="38"/>
  <c r="U40" i="38"/>
  <c r="R40" i="38"/>
  <c r="O40" i="38"/>
  <c r="L40" i="38"/>
  <c r="I40" i="38"/>
  <c r="F40" i="38"/>
  <c r="X39" i="38"/>
  <c r="U39" i="38"/>
  <c r="R39" i="38"/>
  <c r="O39" i="38"/>
  <c r="L39" i="38"/>
  <c r="I39" i="38"/>
  <c r="F39" i="38"/>
  <c r="X38" i="38"/>
  <c r="U38" i="38"/>
  <c r="R38" i="38"/>
  <c r="O38" i="38"/>
  <c r="L38" i="38"/>
  <c r="I38" i="38"/>
  <c r="F38" i="38"/>
  <c r="X37" i="38"/>
  <c r="U37" i="38"/>
  <c r="R37" i="38"/>
  <c r="O37" i="38"/>
  <c r="L37" i="38"/>
  <c r="I37" i="38"/>
  <c r="F37" i="38"/>
  <c r="X36" i="38"/>
  <c r="U36" i="38"/>
  <c r="R36" i="38"/>
  <c r="O36" i="38"/>
  <c r="L36" i="38"/>
  <c r="I36" i="38"/>
  <c r="F36" i="38"/>
  <c r="X35" i="38"/>
  <c r="U35" i="38"/>
  <c r="R35" i="38"/>
  <c r="O35" i="38"/>
  <c r="L35" i="38"/>
  <c r="I35" i="38"/>
  <c r="F35" i="38"/>
  <c r="X34" i="38"/>
  <c r="U34" i="38"/>
  <c r="R34" i="38"/>
  <c r="O34" i="38"/>
  <c r="L34" i="38"/>
  <c r="I34" i="38"/>
  <c r="F34" i="38"/>
  <c r="X33" i="38"/>
  <c r="U33" i="38"/>
  <c r="R33" i="38"/>
  <c r="O33" i="38"/>
  <c r="L33" i="38"/>
  <c r="I33" i="38"/>
  <c r="F33" i="38"/>
  <c r="X32" i="38"/>
  <c r="U32" i="38"/>
  <c r="R32" i="38"/>
  <c r="O32" i="38"/>
  <c r="L32" i="38"/>
  <c r="I32" i="38"/>
  <c r="F32" i="38"/>
  <c r="X31" i="38"/>
  <c r="U31" i="38"/>
  <c r="R31" i="38"/>
  <c r="O31" i="38"/>
  <c r="L31" i="38"/>
  <c r="I31" i="38"/>
  <c r="F31" i="38"/>
  <c r="X30" i="38"/>
  <c r="U30" i="38"/>
  <c r="R30" i="38"/>
  <c r="O30" i="38"/>
  <c r="L30" i="38"/>
  <c r="I30" i="38"/>
  <c r="F30" i="38"/>
  <c r="X29" i="38"/>
  <c r="U29" i="38"/>
  <c r="R29" i="38"/>
  <c r="O29" i="38"/>
  <c r="L29" i="38"/>
  <c r="I29" i="38"/>
  <c r="F29" i="38"/>
  <c r="X28" i="38"/>
  <c r="U28" i="38"/>
  <c r="R28" i="38"/>
  <c r="O28" i="38"/>
  <c r="L28" i="38"/>
  <c r="I28" i="38"/>
  <c r="F28" i="38"/>
  <c r="X27" i="38"/>
  <c r="U27" i="38"/>
  <c r="R27" i="38"/>
  <c r="O27" i="38"/>
  <c r="L27" i="38"/>
  <c r="I27" i="38"/>
  <c r="F27" i="38"/>
  <c r="X26" i="38"/>
  <c r="U26" i="38"/>
  <c r="R26" i="38"/>
  <c r="O26" i="38"/>
  <c r="L26" i="38"/>
  <c r="I26" i="38"/>
  <c r="F26" i="38"/>
  <c r="X25" i="38"/>
  <c r="U25" i="38"/>
  <c r="R25" i="38"/>
  <c r="O25" i="38"/>
  <c r="L25" i="38"/>
  <c r="I25" i="38"/>
  <c r="F25" i="38"/>
  <c r="X24" i="38"/>
  <c r="U24" i="38"/>
  <c r="R24" i="38"/>
  <c r="O24" i="38"/>
  <c r="L24" i="38"/>
  <c r="I24" i="38"/>
  <c r="F24" i="38"/>
  <c r="X23" i="38"/>
  <c r="U23" i="38"/>
  <c r="R23" i="38"/>
  <c r="O23" i="38"/>
  <c r="L23" i="38"/>
  <c r="I23" i="38"/>
  <c r="F23" i="38"/>
  <c r="X22" i="38"/>
  <c r="U22" i="38"/>
  <c r="R22" i="38"/>
  <c r="O22" i="38"/>
  <c r="L22" i="38"/>
  <c r="I22" i="38"/>
  <c r="F22" i="38"/>
  <c r="X21" i="38"/>
  <c r="U21" i="38"/>
  <c r="R21" i="38"/>
  <c r="O21" i="38"/>
  <c r="L21" i="38"/>
  <c r="I21" i="38"/>
  <c r="F21" i="38"/>
  <c r="X20" i="38"/>
  <c r="U20" i="38"/>
  <c r="R20" i="38"/>
  <c r="O20" i="38"/>
  <c r="L20" i="38"/>
  <c r="I20" i="38"/>
  <c r="F20" i="38"/>
  <c r="X19" i="38"/>
  <c r="U19" i="38"/>
  <c r="R19" i="38"/>
  <c r="O19" i="38"/>
  <c r="L19" i="38"/>
  <c r="I19" i="38"/>
  <c r="F19" i="38"/>
  <c r="X18" i="38"/>
  <c r="U18" i="38"/>
  <c r="R18" i="38"/>
  <c r="O18" i="38"/>
  <c r="L18" i="38"/>
  <c r="I18" i="38"/>
  <c r="F18" i="38"/>
  <c r="X17" i="38"/>
  <c r="U17" i="38"/>
  <c r="R17" i="38"/>
  <c r="O17" i="38"/>
  <c r="L17" i="38"/>
  <c r="I17" i="38"/>
  <c r="F17" i="38"/>
  <c r="X16" i="38"/>
  <c r="U16" i="38"/>
  <c r="R16" i="38"/>
  <c r="O16" i="38"/>
  <c r="L16" i="38"/>
  <c r="I16" i="38"/>
  <c r="F16" i="38"/>
  <c r="X15" i="38"/>
  <c r="U15" i="38"/>
  <c r="R15" i="38"/>
  <c r="O15" i="38"/>
  <c r="L15" i="38"/>
  <c r="I15" i="38"/>
  <c r="F15" i="38"/>
  <c r="X14" i="38"/>
  <c r="U14" i="38"/>
  <c r="R14" i="38"/>
  <c r="O14" i="38"/>
  <c r="L14" i="38"/>
  <c r="I14" i="38"/>
  <c r="F14" i="38"/>
  <c r="X13" i="38"/>
  <c r="U13" i="38"/>
  <c r="R13" i="38"/>
  <c r="O13" i="38"/>
  <c r="L13" i="38"/>
  <c r="I13" i="38"/>
  <c r="F13" i="38"/>
  <c r="X12" i="38"/>
  <c r="U12" i="38"/>
  <c r="R12" i="38"/>
  <c r="O12" i="38"/>
  <c r="L12" i="38"/>
  <c r="I12" i="38"/>
  <c r="F12" i="38"/>
  <c r="X11" i="38"/>
  <c r="U11" i="38"/>
  <c r="R11" i="38"/>
  <c r="O11" i="38"/>
  <c r="L11" i="38"/>
  <c r="I11" i="38"/>
  <c r="F11" i="38"/>
  <c r="X10" i="38"/>
  <c r="U10" i="38"/>
  <c r="R10" i="38"/>
  <c r="O10" i="38"/>
  <c r="L10" i="38"/>
  <c r="I10" i="38"/>
  <c r="F10" i="38"/>
  <c r="X9" i="38"/>
  <c r="U9" i="38"/>
  <c r="R9" i="38"/>
  <c r="O9" i="38"/>
  <c r="L9" i="38"/>
  <c r="I9" i="38"/>
  <c r="F9" i="38"/>
  <c r="X8" i="38"/>
  <c r="U8" i="38"/>
  <c r="R8" i="38"/>
  <c r="O8" i="38"/>
  <c r="L8" i="38"/>
  <c r="I8" i="38"/>
  <c r="F8" i="38"/>
  <c r="X7" i="38"/>
  <c r="U7" i="38"/>
  <c r="R7" i="38"/>
  <c r="O7" i="38"/>
  <c r="L7" i="38"/>
  <c r="I7" i="38"/>
  <c r="F7" i="38"/>
  <c r="X6" i="38"/>
  <c r="U6" i="38"/>
  <c r="R6" i="38"/>
  <c r="O6" i="38"/>
  <c r="L6" i="38"/>
  <c r="I6" i="38"/>
  <c r="F6" i="38"/>
  <c r="X5" i="38"/>
  <c r="U5" i="38"/>
  <c r="R5" i="38"/>
  <c r="O5" i="38"/>
  <c r="L5" i="38"/>
  <c r="I5" i="38"/>
  <c r="F5" i="38"/>
  <c r="X4" i="38"/>
  <c r="U4" i="38"/>
  <c r="R4" i="38"/>
  <c r="O4" i="38"/>
  <c r="L4" i="38"/>
  <c r="I4" i="38"/>
  <c r="F4" i="38"/>
  <c r="X98" i="37"/>
  <c r="U98" i="37"/>
  <c r="R98" i="37"/>
  <c r="O98" i="37"/>
  <c r="L98" i="37"/>
  <c r="I98" i="37"/>
  <c r="F98" i="37"/>
  <c r="X97" i="37"/>
  <c r="U97" i="37"/>
  <c r="R97" i="37"/>
  <c r="O97" i="37"/>
  <c r="L97" i="37"/>
  <c r="I97" i="37"/>
  <c r="F97" i="37"/>
  <c r="X96" i="37"/>
  <c r="U96" i="37"/>
  <c r="R96" i="37"/>
  <c r="O96" i="37"/>
  <c r="L96" i="37"/>
  <c r="I96" i="37"/>
  <c r="F96" i="37"/>
  <c r="X95" i="37"/>
  <c r="U95" i="37"/>
  <c r="R95" i="37"/>
  <c r="O95" i="37"/>
  <c r="L95" i="37"/>
  <c r="I95" i="37"/>
  <c r="F95" i="37"/>
  <c r="X94" i="37"/>
  <c r="U94" i="37"/>
  <c r="R94" i="37"/>
  <c r="O94" i="37"/>
  <c r="L94" i="37"/>
  <c r="I94" i="37"/>
  <c r="F94" i="37"/>
  <c r="X93" i="37"/>
  <c r="U93" i="37"/>
  <c r="R93" i="37"/>
  <c r="O93" i="37"/>
  <c r="L93" i="37"/>
  <c r="I93" i="37"/>
  <c r="F93" i="37"/>
  <c r="X92" i="37"/>
  <c r="U92" i="37"/>
  <c r="R92" i="37"/>
  <c r="O92" i="37"/>
  <c r="L92" i="37"/>
  <c r="I92" i="37"/>
  <c r="F92" i="37"/>
  <c r="X91" i="37"/>
  <c r="U91" i="37"/>
  <c r="R91" i="37"/>
  <c r="O91" i="37"/>
  <c r="L91" i="37"/>
  <c r="I91" i="37"/>
  <c r="F91" i="37"/>
  <c r="X90" i="37"/>
  <c r="U90" i="37"/>
  <c r="R90" i="37"/>
  <c r="O90" i="37"/>
  <c r="L90" i="37"/>
  <c r="I90" i="37"/>
  <c r="F90" i="37"/>
  <c r="X89" i="37"/>
  <c r="U89" i="37"/>
  <c r="R89" i="37"/>
  <c r="O89" i="37"/>
  <c r="L89" i="37"/>
  <c r="I89" i="37"/>
  <c r="F89" i="37"/>
  <c r="X88" i="37"/>
  <c r="U88" i="37"/>
  <c r="R88" i="37"/>
  <c r="O88" i="37"/>
  <c r="L88" i="37"/>
  <c r="I88" i="37"/>
  <c r="F88" i="37"/>
  <c r="X87" i="37"/>
  <c r="U87" i="37"/>
  <c r="R87" i="37"/>
  <c r="O87" i="37"/>
  <c r="L87" i="37"/>
  <c r="I87" i="37"/>
  <c r="F87" i="37"/>
  <c r="X86" i="37"/>
  <c r="U86" i="37"/>
  <c r="R86" i="37"/>
  <c r="O86" i="37"/>
  <c r="L86" i="37"/>
  <c r="I86" i="37"/>
  <c r="F86" i="37"/>
  <c r="X85" i="37"/>
  <c r="U85" i="37"/>
  <c r="R85" i="37"/>
  <c r="O85" i="37"/>
  <c r="L85" i="37"/>
  <c r="I85" i="37"/>
  <c r="F85" i="37"/>
  <c r="X84" i="37"/>
  <c r="U84" i="37"/>
  <c r="R84" i="37"/>
  <c r="O84" i="37"/>
  <c r="L84" i="37"/>
  <c r="I84" i="37"/>
  <c r="F84" i="37"/>
  <c r="X83" i="37"/>
  <c r="U83" i="37"/>
  <c r="R83" i="37"/>
  <c r="O83" i="37"/>
  <c r="L83" i="37"/>
  <c r="I83" i="37"/>
  <c r="F83" i="37"/>
  <c r="X82" i="37"/>
  <c r="U82" i="37"/>
  <c r="R82" i="37"/>
  <c r="O82" i="37"/>
  <c r="L82" i="37"/>
  <c r="I82" i="37"/>
  <c r="F82" i="37"/>
  <c r="X81" i="37"/>
  <c r="U81" i="37"/>
  <c r="R81" i="37"/>
  <c r="O81" i="37"/>
  <c r="L81" i="37"/>
  <c r="I81" i="37"/>
  <c r="F81" i="37"/>
  <c r="X80" i="37"/>
  <c r="U80" i="37"/>
  <c r="R80" i="37"/>
  <c r="O80" i="37"/>
  <c r="L80" i="37"/>
  <c r="I80" i="37"/>
  <c r="F80" i="37"/>
  <c r="X79" i="37"/>
  <c r="U79" i="37"/>
  <c r="R79" i="37"/>
  <c r="O79" i="37"/>
  <c r="L79" i="37"/>
  <c r="I79" i="37"/>
  <c r="F79" i="37"/>
  <c r="X78" i="37"/>
  <c r="U78" i="37"/>
  <c r="R78" i="37"/>
  <c r="O78" i="37"/>
  <c r="L78" i="37"/>
  <c r="I78" i="37"/>
  <c r="F78" i="37"/>
  <c r="X77" i="37"/>
  <c r="U77" i="37"/>
  <c r="R77" i="37"/>
  <c r="O77" i="37"/>
  <c r="L77" i="37"/>
  <c r="I77" i="37"/>
  <c r="F77" i="37"/>
  <c r="X76" i="37"/>
  <c r="U76" i="37"/>
  <c r="R76" i="37"/>
  <c r="O76" i="37"/>
  <c r="L76" i="37"/>
  <c r="I76" i="37"/>
  <c r="F76" i="37"/>
  <c r="X75" i="37"/>
  <c r="U75" i="37"/>
  <c r="R75" i="37"/>
  <c r="O75" i="37"/>
  <c r="L75" i="37"/>
  <c r="I75" i="37"/>
  <c r="F75" i="37"/>
  <c r="X74" i="37"/>
  <c r="U74" i="37"/>
  <c r="R74" i="37"/>
  <c r="O74" i="37"/>
  <c r="L74" i="37"/>
  <c r="I74" i="37"/>
  <c r="F74" i="37"/>
  <c r="X73" i="37"/>
  <c r="U73" i="37"/>
  <c r="R73" i="37"/>
  <c r="O73" i="37"/>
  <c r="L73" i="37"/>
  <c r="I73" i="37"/>
  <c r="F73" i="37"/>
  <c r="X72" i="37"/>
  <c r="U72" i="37"/>
  <c r="R72" i="37"/>
  <c r="O72" i="37"/>
  <c r="L72" i="37"/>
  <c r="I72" i="37"/>
  <c r="F72" i="37"/>
  <c r="X71" i="37"/>
  <c r="U71" i="37"/>
  <c r="R71" i="37"/>
  <c r="O71" i="37"/>
  <c r="L71" i="37"/>
  <c r="I71" i="37"/>
  <c r="F71" i="37"/>
  <c r="X70" i="37"/>
  <c r="U70" i="37"/>
  <c r="R70" i="37"/>
  <c r="O70" i="37"/>
  <c r="L70" i="37"/>
  <c r="I70" i="37"/>
  <c r="F70" i="37"/>
  <c r="X69" i="37"/>
  <c r="U69" i="37"/>
  <c r="R69" i="37"/>
  <c r="O69" i="37"/>
  <c r="L69" i="37"/>
  <c r="I69" i="37"/>
  <c r="F69" i="37"/>
  <c r="X68" i="37"/>
  <c r="U68" i="37"/>
  <c r="R68" i="37"/>
  <c r="O68" i="37"/>
  <c r="L68" i="37"/>
  <c r="I68" i="37"/>
  <c r="F68" i="37"/>
  <c r="X67" i="37"/>
  <c r="U67" i="37"/>
  <c r="R67" i="37"/>
  <c r="O67" i="37"/>
  <c r="L67" i="37"/>
  <c r="I67" i="37"/>
  <c r="F67" i="37"/>
  <c r="X66" i="37"/>
  <c r="U66" i="37"/>
  <c r="R66" i="37"/>
  <c r="O66" i="37"/>
  <c r="L66" i="37"/>
  <c r="I66" i="37"/>
  <c r="F66" i="37"/>
  <c r="X65" i="37"/>
  <c r="U65" i="37"/>
  <c r="R65" i="37"/>
  <c r="O65" i="37"/>
  <c r="L65" i="37"/>
  <c r="I65" i="37"/>
  <c r="F65" i="37"/>
  <c r="X64" i="37"/>
  <c r="U64" i="37"/>
  <c r="R64" i="37"/>
  <c r="O64" i="37"/>
  <c r="L64" i="37"/>
  <c r="I64" i="37"/>
  <c r="F64" i="37"/>
  <c r="X63" i="37"/>
  <c r="U63" i="37"/>
  <c r="R63" i="37"/>
  <c r="O63" i="37"/>
  <c r="L63" i="37"/>
  <c r="I63" i="37"/>
  <c r="F63" i="37"/>
  <c r="X62" i="37"/>
  <c r="U62" i="37"/>
  <c r="R62" i="37"/>
  <c r="O62" i="37"/>
  <c r="L62" i="37"/>
  <c r="I62" i="37"/>
  <c r="F62" i="37"/>
  <c r="X61" i="37"/>
  <c r="U61" i="37"/>
  <c r="R61" i="37"/>
  <c r="O61" i="37"/>
  <c r="L61" i="37"/>
  <c r="I61" i="37"/>
  <c r="F61" i="37"/>
  <c r="X60" i="37"/>
  <c r="U60" i="37"/>
  <c r="R60" i="37"/>
  <c r="O60" i="37"/>
  <c r="L60" i="37"/>
  <c r="I60" i="37"/>
  <c r="F60" i="37"/>
  <c r="X59" i="37"/>
  <c r="U59" i="37"/>
  <c r="R59" i="37"/>
  <c r="O59" i="37"/>
  <c r="L59" i="37"/>
  <c r="I59" i="37"/>
  <c r="F59" i="37"/>
  <c r="X58" i="37"/>
  <c r="U58" i="37"/>
  <c r="R58" i="37"/>
  <c r="O58" i="37"/>
  <c r="L58" i="37"/>
  <c r="I58" i="37"/>
  <c r="F58" i="37"/>
  <c r="X57" i="37"/>
  <c r="U57" i="37"/>
  <c r="R57" i="37"/>
  <c r="O57" i="37"/>
  <c r="L57" i="37"/>
  <c r="I57" i="37"/>
  <c r="F57" i="37"/>
  <c r="X56" i="37"/>
  <c r="U56" i="37"/>
  <c r="R56" i="37"/>
  <c r="O56" i="37"/>
  <c r="L56" i="37"/>
  <c r="I56" i="37"/>
  <c r="F56" i="37"/>
  <c r="X55" i="37"/>
  <c r="U55" i="37"/>
  <c r="R55" i="37"/>
  <c r="O55" i="37"/>
  <c r="L55" i="37"/>
  <c r="I55" i="37"/>
  <c r="F55" i="37"/>
  <c r="X54" i="37"/>
  <c r="U54" i="37"/>
  <c r="R54" i="37"/>
  <c r="O54" i="37"/>
  <c r="L54" i="37"/>
  <c r="I54" i="37"/>
  <c r="F54" i="37"/>
  <c r="X53" i="37"/>
  <c r="U53" i="37"/>
  <c r="R53" i="37"/>
  <c r="O53" i="37"/>
  <c r="L53" i="37"/>
  <c r="I53" i="37"/>
  <c r="F53" i="37"/>
  <c r="X52" i="37"/>
  <c r="U52" i="37"/>
  <c r="R52" i="37"/>
  <c r="O52" i="37"/>
  <c r="L52" i="37"/>
  <c r="I52" i="37"/>
  <c r="F52" i="37"/>
  <c r="X51" i="37"/>
  <c r="U51" i="37"/>
  <c r="R51" i="37"/>
  <c r="O51" i="37"/>
  <c r="L51" i="37"/>
  <c r="I51" i="37"/>
  <c r="F51" i="37"/>
  <c r="X50" i="37"/>
  <c r="U50" i="37"/>
  <c r="R50" i="37"/>
  <c r="O50" i="37"/>
  <c r="L50" i="37"/>
  <c r="I50" i="37"/>
  <c r="F50" i="37"/>
  <c r="X49" i="37"/>
  <c r="U49" i="37"/>
  <c r="R49" i="37"/>
  <c r="O49" i="37"/>
  <c r="L49" i="37"/>
  <c r="I49" i="37"/>
  <c r="F49" i="37"/>
  <c r="X48" i="37"/>
  <c r="U48" i="37"/>
  <c r="R48" i="37"/>
  <c r="O48" i="37"/>
  <c r="L48" i="37"/>
  <c r="I48" i="37"/>
  <c r="F48" i="37"/>
  <c r="X47" i="37"/>
  <c r="U47" i="37"/>
  <c r="R47" i="37"/>
  <c r="O47" i="37"/>
  <c r="L47" i="37"/>
  <c r="I47" i="37"/>
  <c r="F47" i="37"/>
  <c r="X46" i="37"/>
  <c r="U46" i="37"/>
  <c r="R46" i="37"/>
  <c r="O46" i="37"/>
  <c r="L46" i="37"/>
  <c r="I46" i="37"/>
  <c r="F46" i="37"/>
  <c r="X45" i="37"/>
  <c r="U45" i="37"/>
  <c r="R45" i="37"/>
  <c r="O45" i="37"/>
  <c r="L45" i="37"/>
  <c r="I45" i="37"/>
  <c r="F45" i="37"/>
  <c r="X44" i="37"/>
  <c r="U44" i="37"/>
  <c r="R44" i="37"/>
  <c r="O44" i="37"/>
  <c r="L44" i="37"/>
  <c r="I44" i="37"/>
  <c r="F44" i="37"/>
  <c r="X43" i="37"/>
  <c r="U43" i="37"/>
  <c r="R43" i="37"/>
  <c r="O43" i="37"/>
  <c r="L43" i="37"/>
  <c r="I43" i="37"/>
  <c r="F43" i="37"/>
  <c r="X42" i="37"/>
  <c r="U42" i="37"/>
  <c r="R42" i="37"/>
  <c r="O42" i="37"/>
  <c r="L42" i="37"/>
  <c r="I42" i="37"/>
  <c r="F42" i="37"/>
  <c r="X41" i="37"/>
  <c r="U41" i="37"/>
  <c r="R41" i="37"/>
  <c r="O41" i="37"/>
  <c r="L41" i="37"/>
  <c r="I41" i="37"/>
  <c r="F41" i="37"/>
  <c r="X40" i="37"/>
  <c r="U40" i="37"/>
  <c r="R40" i="37"/>
  <c r="O40" i="37"/>
  <c r="L40" i="37"/>
  <c r="I40" i="37"/>
  <c r="F40" i="37"/>
  <c r="X39" i="37"/>
  <c r="U39" i="37"/>
  <c r="R39" i="37"/>
  <c r="O39" i="37"/>
  <c r="L39" i="37"/>
  <c r="I39" i="37"/>
  <c r="F39" i="37"/>
  <c r="X38" i="37"/>
  <c r="U38" i="37"/>
  <c r="R38" i="37"/>
  <c r="O38" i="37"/>
  <c r="L38" i="37"/>
  <c r="I38" i="37"/>
  <c r="F38" i="37"/>
  <c r="X37" i="37"/>
  <c r="U37" i="37"/>
  <c r="R37" i="37"/>
  <c r="O37" i="37"/>
  <c r="L37" i="37"/>
  <c r="I37" i="37"/>
  <c r="F37" i="37"/>
  <c r="X36" i="37"/>
  <c r="U36" i="37"/>
  <c r="R36" i="37"/>
  <c r="O36" i="37"/>
  <c r="L36" i="37"/>
  <c r="I36" i="37"/>
  <c r="F36" i="37"/>
  <c r="X35" i="37"/>
  <c r="U35" i="37"/>
  <c r="R35" i="37"/>
  <c r="O35" i="37"/>
  <c r="L35" i="37"/>
  <c r="I35" i="37"/>
  <c r="F35" i="37"/>
  <c r="X34" i="37"/>
  <c r="U34" i="37"/>
  <c r="R34" i="37"/>
  <c r="O34" i="37"/>
  <c r="L34" i="37"/>
  <c r="I34" i="37"/>
  <c r="F34" i="37"/>
  <c r="X33" i="37"/>
  <c r="U33" i="37"/>
  <c r="R33" i="37"/>
  <c r="O33" i="37"/>
  <c r="L33" i="37"/>
  <c r="I33" i="37"/>
  <c r="F33" i="37"/>
  <c r="X32" i="37"/>
  <c r="U32" i="37"/>
  <c r="R32" i="37"/>
  <c r="O32" i="37"/>
  <c r="L32" i="37"/>
  <c r="I32" i="37"/>
  <c r="F32" i="37"/>
  <c r="X31" i="37"/>
  <c r="U31" i="37"/>
  <c r="R31" i="37"/>
  <c r="O31" i="37"/>
  <c r="L31" i="37"/>
  <c r="I31" i="37"/>
  <c r="F31" i="37"/>
  <c r="X30" i="37"/>
  <c r="U30" i="37"/>
  <c r="R30" i="37"/>
  <c r="O30" i="37"/>
  <c r="L30" i="37"/>
  <c r="I30" i="37"/>
  <c r="F30" i="37"/>
  <c r="X29" i="37"/>
  <c r="U29" i="37"/>
  <c r="R29" i="37"/>
  <c r="O29" i="37"/>
  <c r="L29" i="37"/>
  <c r="I29" i="37"/>
  <c r="F29" i="37"/>
  <c r="X28" i="37"/>
  <c r="U28" i="37"/>
  <c r="R28" i="37"/>
  <c r="O28" i="37"/>
  <c r="L28" i="37"/>
  <c r="I28" i="37"/>
  <c r="F28" i="37"/>
  <c r="X27" i="37"/>
  <c r="U27" i="37"/>
  <c r="R27" i="37"/>
  <c r="O27" i="37"/>
  <c r="L27" i="37"/>
  <c r="I27" i="37"/>
  <c r="F27" i="37"/>
  <c r="X26" i="37"/>
  <c r="U26" i="37"/>
  <c r="R26" i="37"/>
  <c r="O26" i="37"/>
  <c r="L26" i="37"/>
  <c r="I26" i="37"/>
  <c r="F26" i="37"/>
  <c r="X25" i="37"/>
  <c r="U25" i="37"/>
  <c r="R25" i="37"/>
  <c r="O25" i="37"/>
  <c r="L25" i="37"/>
  <c r="I25" i="37"/>
  <c r="F25" i="37"/>
  <c r="X24" i="37"/>
  <c r="U24" i="37"/>
  <c r="R24" i="37"/>
  <c r="O24" i="37"/>
  <c r="L24" i="37"/>
  <c r="I24" i="37"/>
  <c r="F24" i="37"/>
  <c r="X23" i="37"/>
  <c r="U23" i="37"/>
  <c r="R23" i="37"/>
  <c r="O23" i="37"/>
  <c r="L23" i="37"/>
  <c r="I23" i="37"/>
  <c r="F23" i="37"/>
  <c r="X22" i="37"/>
  <c r="U22" i="37"/>
  <c r="R22" i="37"/>
  <c r="O22" i="37"/>
  <c r="L22" i="37"/>
  <c r="I22" i="37"/>
  <c r="F22" i="37"/>
  <c r="X21" i="37"/>
  <c r="U21" i="37"/>
  <c r="R21" i="37"/>
  <c r="O21" i="37"/>
  <c r="L21" i="37"/>
  <c r="I21" i="37"/>
  <c r="F21" i="37"/>
  <c r="X20" i="37"/>
  <c r="U20" i="37"/>
  <c r="R20" i="37"/>
  <c r="O20" i="37"/>
  <c r="L20" i="37"/>
  <c r="I20" i="37"/>
  <c r="F20" i="37"/>
  <c r="X19" i="37"/>
  <c r="U19" i="37"/>
  <c r="R19" i="37"/>
  <c r="O19" i="37"/>
  <c r="L19" i="37"/>
  <c r="I19" i="37"/>
  <c r="F19" i="37"/>
  <c r="X18" i="37"/>
  <c r="U18" i="37"/>
  <c r="R18" i="37"/>
  <c r="O18" i="37"/>
  <c r="L18" i="37"/>
  <c r="I18" i="37"/>
  <c r="F18" i="37"/>
  <c r="X17" i="37"/>
  <c r="U17" i="37"/>
  <c r="R17" i="37"/>
  <c r="O17" i="37"/>
  <c r="L17" i="37"/>
  <c r="I17" i="37"/>
  <c r="F17" i="37"/>
  <c r="X16" i="37"/>
  <c r="U16" i="37"/>
  <c r="R16" i="37"/>
  <c r="O16" i="37"/>
  <c r="L16" i="37"/>
  <c r="I16" i="37"/>
  <c r="F16" i="37"/>
  <c r="X15" i="37"/>
  <c r="U15" i="37"/>
  <c r="R15" i="37"/>
  <c r="O15" i="37"/>
  <c r="L15" i="37"/>
  <c r="I15" i="37"/>
  <c r="F15" i="37"/>
  <c r="X14" i="37"/>
  <c r="U14" i="37"/>
  <c r="R14" i="37"/>
  <c r="O14" i="37"/>
  <c r="L14" i="37"/>
  <c r="I14" i="37"/>
  <c r="F14" i="37"/>
  <c r="X13" i="37"/>
  <c r="U13" i="37"/>
  <c r="R13" i="37"/>
  <c r="O13" i="37"/>
  <c r="L13" i="37"/>
  <c r="I13" i="37"/>
  <c r="F13" i="37"/>
  <c r="X12" i="37"/>
  <c r="U12" i="37"/>
  <c r="R12" i="37"/>
  <c r="O12" i="37"/>
  <c r="L12" i="37"/>
  <c r="I12" i="37"/>
  <c r="F12" i="37"/>
  <c r="X11" i="37"/>
  <c r="U11" i="37"/>
  <c r="R11" i="37"/>
  <c r="O11" i="37"/>
  <c r="L11" i="37"/>
  <c r="I11" i="37"/>
  <c r="F11" i="37"/>
  <c r="X10" i="37"/>
  <c r="U10" i="37"/>
  <c r="R10" i="37"/>
  <c r="O10" i="37"/>
  <c r="L10" i="37"/>
  <c r="I10" i="37"/>
  <c r="F10" i="37"/>
  <c r="X9" i="37"/>
  <c r="U9" i="37"/>
  <c r="R9" i="37"/>
  <c r="O9" i="37"/>
  <c r="L9" i="37"/>
  <c r="I9" i="37"/>
  <c r="F9" i="37"/>
  <c r="X8" i="37"/>
  <c r="U8" i="37"/>
  <c r="R8" i="37"/>
  <c r="O8" i="37"/>
  <c r="L8" i="37"/>
  <c r="I8" i="37"/>
  <c r="F8" i="37"/>
  <c r="X7" i="37"/>
  <c r="U7" i="37"/>
  <c r="R7" i="37"/>
  <c r="O7" i="37"/>
  <c r="L7" i="37"/>
  <c r="I7" i="37"/>
  <c r="F7" i="37"/>
  <c r="X6" i="37"/>
  <c r="U6" i="37"/>
  <c r="R6" i="37"/>
  <c r="O6" i="37"/>
  <c r="L6" i="37"/>
  <c r="I6" i="37"/>
  <c r="F6" i="37"/>
  <c r="X5" i="37"/>
  <c r="U5" i="37"/>
  <c r="R5" i="37"/>
  <c r="O5" i="37"/>
  <c r="L5" i="37"/>
  <c r="I5" i="37"/>
  <c r="F5" i="37"/>
  <c r="X4" i="37"/>
  <c r="U4" i="37"/>
  <c r="R4" i="37"/>
  <c r="O4" i="37"/>
  <c r="L4" i="37"/>
  <c r="I4" i="37"/>
  <c r="F4" i="37"/>
  <c r="X98" i="36"/>
  <c r="U98" i="36"/>
  <c r="R98" i="36"/>
  <c r="O98" i="36"/>
  <c r="L98" i="36"/>
  <c r="I98" i="36"/>
  <c r="F98" i="36"/>
  <c r="X97" i="36"/>
  <c r="U97" i="36"/>
  <c r="R97" i="36"/>
  <c r="O97" i="36"/>
  <c r="L97" i="36"/>
  <c r="I97" i="36"/>
  <c r="F97" i="36"/>
  <c r="X96" i="36"/>
  <c r="U96" i="36"/>
  <c r="R96" i="36"/>
  <c r="O96" i="36"/>
  <c r="L96" i="36"/>
  <c r="I96" i="36"/>
  <c r="F96" i="36"/>
  <c r="X95" i="36"/>
  <c r="U95" i="36"/>
  <c r="R95" i="36"/>
  <c r="O95" i="36"/>
  <c r="L95" i="36"/>
  <c r="I95" i="36"/>
  <c r="F95" i="36"/>
  <c r="X94" i="36"/>
  <c r="U94" i="36"/>
  <c r="R94" i="36"/>
  <c r="O94" i="36"/>
  <c r="L94" i="36"/>
  <c r="I94" i="36"/>
  <c r="F94" i="36"/>
  <c r="X93" i="36"/>
  <c r="U93" i="36"/>
  <c r="R93" i="36"/>
  <c r="O93" i="36"/>
  <c r="L93" i="36"/>
  <c r="I93" i="36"/>
  <c r="F93" i="36"/>
  <c r="X92" i="36"/>
  <c r="U92" i="36"/>
  <c r="R92" i="36"/>
  <c r="O92" i="36"/>
  <c r="L92" i="36"/>
  <c r="I92" i="36"/>
  <c r="F92" i="36"/>
  <c r="X91" i="36"/>
  <c r="U91" i="36"/>
  <c r="R91" i="36"/>
  <c r="O91" i="36"/>
  <c r="L91" i="36"/>
  <c r="I91" i="36"/>
  <c r="F91" i="36"/>
  <c r="X90" i="36"/>
  <c r="U90" i="36"/>
  <c r="R90" i="36"/>
  <c r="O90" i="36"/>
  <c r="L90" i="36"/>
  <c r="I90" i="36"/>
  <c r="F90" i="36"/>
  <c r="X89" i="36"/>
  <c r="U89" i="36"/>
  <c r="R89" i="36"/>
  <c r="O89" i="36"/>
  <c r="L89" i="36"/>
  <c r="I89" i="36"/>
  <c r="F89" i="36"/>
  <c r="X88" i="36"/>
  <c r="U88" i="36"/>
  <c r="R88" i="36"/>
  <c r="O88" i="36"/>
  <c r="L88" i="36"/>
  <c r="I88" i="36"/>
  <c r="F88" i="36"/>
  <c r="X87" i="36"/>
  <c r="U87" i="36"/>
  <c r="R87" i="36"/>
  <c r="O87" i="36"/>
  <c r="L87" i="36"/>
  <c r="I87" i="36"/>
  <c r="F87" i="36"/>
  <c r="X86" i="36"/>
  <c r="U86" i="36"/>
  <c r="R86" i="36"/>
  <c r="O86" i="36"/>
  <c r="L86" i="36"/>
  <c r="I86" i="36"/>
  <c r="F86" i="36"/>
  <c r="X85" i="36"/>
  <c r="U85" i="36"/>
  <c r="R85" i="36"/>
  <c r="O85" i="36"/>
  <c r="L85" i="36"/>
  <c r="I85" i="36"/>
  <c r="F85" i="36"/>
  <c r="X84" i="36"/>
  <c r="U84" i="36"/>
  <c r="R84" i="36"/>
  <c r="O84" i="36"/>
  <c r="L84" i="36"/>
  <c r="I84" i="36"/>
  <c r="F84" i="36"/>
  <c r="X83" i="36"/>
  <c r="U83" i="36"/>
  <c r="R83" i="36"/>
  <c r="O83" i="36"/>
  <c r="L83" i="36"/>
  <c r="I83" i="36"/>
  <c r="F83" i="36"/>
  <c r="X82" i="36"/>
  <c r="U82" i="36"/>
  <c r="R82" i="36"/>
  <c r="O82" i="36"/>
  <c r="L82" i="36"/>
  <c r="I82" i="36"/>
  <c r="F82" i="36"/>
  <c r="X81" i="36"/>
  <c r="U81" i="36"/>
  <c r="R81" i="36"/>
  <c r="O81" i="36"/>
  <c r="L81" i="36"/>
  <c r="I81" i="36"/>
  <c r="F81" i="36"/>
  <c r="X80" i="36"/>
  <c r="U80" i="36"/>
  <c r="R80" i="36"/>
  <c r="O80" i="36"/>
  <c r="L80" i="36"/>
  <c r="I80" i="36"/>
  <c r="F80" i="36"/>
  <c r="X79" i="36"/>
  <c r="U79" i="36"/>
  <c r="R79" i="36"/>
  <c r="O79" i="36"/>
  <c r="L79" i="36"/>
  <c r="I79" i="36"/>
  <c r="F79" i="36"/>
  <c r="X78" i="36"/>
  <c r="U78" i="36"/>
  <c r="R78" i="36"/>
  <c r="O78" i="36"/>
  <c r="L78" i="36"/>
  <c r="I78" i="36"/>
  <c r="F78" i="36"/>
  <c r="X77" i="36"/>
  <c r="U77" i="36"/>
  <c r="R77" i="36"/>
  <c r="O77" i="36"/>
  <c r="L77" i="36"/>
  <c r="I77" i="36"/>
  <c r="F77" i="36"/>
  <c r="X76" i="36"/>
  <c r="U76" i="36"/>
  <c r="R76" i="36"/>
  <c r="O76" i="36"/>
  <c r="L76" i="36"/>
  <c r="I76" i="36"/>
  <c r="F76" i="36"/>
  <c r="X75" i="36"/>
  <c r="U75" i="36"/>
  <c r="R75" i="36"/>
  <c r="O75" i="36"/>
  <c r="L75" i="36"/>
  <c r="I75" i="36"/>
  <c r="F75" i="36"/>
  <c r="X74" i="36"/>
  <c r="U74" i="36"/>
  <c r="R74" i="36"/>
  <c r="O74" i="36"/>
  <c r="L74" i="36"/>
  <c r="I74" i="36"/>
  <c r="F74" i="36"/>
  <c r="X73" i="36"/>
  <c r="U73" i="36"/>
  <c r="R73" i="36"/>
  <c r="O73" i="36"/>
  <c r="L73" i="36"/>
  <c r="I73" i="36"/>
  <c r="F73" i="36"/>
  <c r="X72" i="36"/>
  <c r="U72" i="36"/>
  <c r="R72" i="36"/>
  <c r="O72" i="36"/>
  <c r="L72" i="36"/>
  <c r="I72" i="36"/>
  <c r="F72" i="36"/>
  <c r="X71" i="36"/>
  <c r="U71" i="36"/>
  <c r="R71" i="36"/>
  <c r="O71" i="36"/>
  <c r="L71" i="36"/>
  <c r="I71" i="36"/>
  <c r="F71" i="36"/>
  <c r="X70" i="36"/>
  <c r="U70" i="36"/>
  <c r="R70" i="36"/>
  <c r="O70" i="36"/>
  <c r="L70" i="36"/>
  <c r="I70" i="36"/>
  <c r="F70" i="36"/>
  <c r="X69" i="36"/>
  <c r="U69" i="36"/>
  <c r="R69" i="36"/>
  <c r="O69" i="36"/>
  <c r="L69" i="36"/>
  <c r="I69" i="36"/>
  <c r="F69" i="36"/>
  <c r="X68" i="36"/>
  <c r="U68" i="36"/>
  <c r="R68" i="36"/>
  <c r="O68" i="36"/>
  <c r="L68" i="36"/>
  <c r="I68" i="36"/>
  <c r="F68" i="36"/>
  <c r="X67" i="36"/>
  <c r="U67" i="36"/>
  <c r="R67" i="36"/>
  <c r="O67" i="36"/>
  <c r="L67" i="36"/>
  <c r="I67" i="36"/>
  <c r="F67" i="36"/>
  <c r="X66" i="36"/>
  <c r="U66" i="36"/>
  <c r="R66" i="36"/>
  <c r="O66" i="36"/>
  <c r="L66" i="36"/>
  <c r="I66" i="36"/>
  <c r="F66" i="36"/>
  <c r="X65" i="36"/>
  <c r="U65" i="36"/>
  <c r="R65" i="36"/>
  <c r="O65" i="36"/>
  <c r="L65" i="36"/>
  <c r="I65" i="36"/>
  <c r="F65" i="36"/>
  <c r="X64" i="36"/>
  <c r="U64" i="36"/>
  <c r="R64" i="36"/>
  <c r="O64" i="36"/>
  <c r="L64" i="36"/>
  <c r="I64" i="36"/>
  <c r="F64" i="36"/>
  <c r="X63" i="36"/>
  <c r="U63" i="36"/>
  <c r="R63" i="36"/>
  <c r="O63" i="36"/>
  <c r="L63" i="36"/>
  <c r="I63" i="36"/>
  <c r="F63" i="36"/>
  <c r="X62" i="36"/>
  <c r="U62" i="36"/>
  <c r="R62" i="36"/>
  <c r="O62" i="36"/>
  <c r="L62" i="36"/>
  <c r="I62" i="36"/>
  <c r="F62" i="36"/>
  <c r="X61" i="36"/>
  <c r="U61" i="36"/>
  <c r="R61" i="36"/>
  <c r="O61" i="36"/>
  <c r="L61" i="36"/>
  <c r="I61" i="36"/>
  <c r="F61" i="36"/>
  <c r="X60" i="36"/>
  <c r="U60" i="36"/>
  <c r="R60" i="36"/>
  <c r="O60" i="36"/>
  <c r="L60" i="36"/>
  <c r="I60" i="36"/>
  <c r="F60" i="36"/>
  <c r="X59" i="36"/>
  <c r="U59" i="36"/>
  <c r="R59" i="36"/>
  <c r="O59" i="36"/>
  <c r="L59" i="36"/>
  <c r="I59" i="36"/>
  <c r="F59" i="36"/>
  <c r="X58" i="36"/>
  <c r="U58" i="36"/>
  <c r="R58" i="36"/>
  <c r="O58" i="36"/>
  <c r="L58" i="36"/>
  <c r="I58" i="36"/>
  <c r="F58" i="36"/>
  <c r="X57" i="36"/>
  <c r="U57" i="36"/>
  <c r="R57" i="36"/>
  <c r="O57" i="36"/>
  <c r="L57" i="36"/>
  <c r="I57" i="36"/>
  <c r="F57" i="36"/>
  <c r="X56" i="36"/>
  <c r="U56" i="36"/>
  <c r="R56" i="36"/>
  <c r="O56" i="36"/>
  <c r="L56" i="36"/>
  <c r="I56" i="36"/>
  <c r="F56" i="36"/>
  <c r="X55" i="36"/>
  <c r="U55" i="36"/>
  <c r="R55" i="36"/>
  <c r="O55" i="36"/>
  <c r="L55" i="36"/>
  <c r="I55" i="36"/>
  <c r="F55" i="36"/>
  <c r="X54" i="36"/>
  <c r="U54" i="36"/>
  <c r="R54" i="36"/>
  <c r="O54" i="36"/>
  <c r="L54" i="36"/>
  <c r="I54" i="36"/>
  <c r="F54" i="36"/>
  <c r="X53" i="36"/>
  <c r="U53" i="36"/>
  <c r="R53" i="36"/>
  <c r="O53" i="36"/>
  <c r="L53" i="36"/>
  <c r="I53" i="36"/>
  <c r="F53" i="36"/>
  <c r="X52" i="36"/>
  <c r="U52" i="36"/>
  <c r="R52" i="36"/>
  <c r="O52" i="36"/>
  <c r="L52" i="36"/>
  <c r="I52" i="36"/>
  <c r="F52" i="36"/>
  <c r="X51" i="36"/>
  <c r="U51" i="36"/>
  <c r="R51" i="36"/>
  <c r="O51" i="36"/>
  <c r="L51" i="36"/>
  <c r="I51" i="36"/>
  <c r="F51" i="36"/>
  <c r="X50" i="36"/>
  <c r="U50" i="36"/>
  <c r="R50" i="36"/>
  <c r="O50" i="36"/>
  <c r="L50" i="36"/>
  <c r="I50" i="36"/>
  <c r="F50" i="36"/>
  <c r="X49" i="36"/>
  <c r="U49" i="36"/>
  <c r="R49" i="36"/>
  <c r="O49" i="36"/>
  <c r="L49" i="36"/>
  <c r="I49" i="36"/>
  <c r="F49" i="36"/>
  <c r="X48" i="36"/>
  <c r="U48" i="36"/>
  <c r="R48" i="36"/>
  <c r="O48" i="36"/>
  <c r="L48" i="36"/>
  <c r="I48" i="36"/>
  <c r="F48" i="36"/>
  <c r="X47" i="36"/>
  <c r="U47" i="36"/>
  <c r="R47" i="36"/>
  <c r="O47" i="36"/>
  <c r="L47" i="36"/>
  <c r="I47" i="36"/>
  <c r="F47" i="36"/>
  <c r="X46" i="36"/>
  <c r="U46" i="36"/>
  <c r="R46" i="36"/>
  <c r="O46" i="36"/>
  <c r="L46" i="36"/>
  <c r="I46" i="36"/>
  <c r="F46" i="36"/>
  <c r="X45" i="36"/>
  <c r="U45" i="36"/>
  <c r="R45" i="36"/>
  <c r="O45" i="36"/>
  <c r="L45" i="36"/>
  <c r="I45" i="36"/>
  <c r="F45" i="36"/>
  <c r="X44" i="36"/>
  <c r="U44" i="36"/>
  <c r="R44" i="36"/>
  <c r="O44" i="36"/>
  <c r="L44" i="36"/>
  <c r="I44" i="36"/>
  <c r="F44" i="36"/>
  <c r="X43" i="36"/>
  <c r="U43" i="36"/>
  <c r="R43" i="36"/>
  <c r="O43" i="36"/>
  <c r="L43" i="36"/>
  <c r="I43" i="36"/>
  <c r="F43" i="36"/>
  <c r="X42" i="36"/>
  <c r="U42" i="36"/>
  <c r="R42" i="36"/>
  <c r="O42" i="36"/>
  <c r="L42" i="36"/>
  <c r="I42" i="36"/>
  <c r="F42" i="36"/>
  <c r="X41" i="36"/>
  <c r="U41" i="36"/>
  <c r="R41" i="36"/>
  <c r="O41" i="36"/>
  <c r="L41" i="36"/>
  <c r="I41" i="36"/>
  <c r="F41" i="36"/>
  <c r="X40" i="36"/>
  <c r="U40" i="36"/>
  <c r="R40" i="36"/>
  <c r="O40" i="36"/>
  <c r="L40" i="36"/>
  <c r="I40" i="36"/>
  <c r="F40" i="36"/>
  <c r="X39" i="36"/>
  <c r="U39" i="36"/>
  <c r="R39" i="36"/>
  <c r="O39" i="36"/>
  <c r="L39" i="36"/>
  <c r="I39" i="36"/>
  <c r="F39" i="36"/>
  <c r="X38" i="36"/>
  <c r="U38" i="36"/>
  <c r="R38" i="36"/>
  <c r="O38" i="36"/>
  <c r="L38" i="36"/>
  <c r="I38" i="36"/>
  <c r="F38" i="36"/>
  <c r="X37" i="36"/>
  <c r="U37" i="36"/>
  <c r="R37" i="36"/>
  <c r="O37" i="36"/>
  <c r="L37" i="36"/>
  <c r="I37" i="36"/>
  <c r="F37" i="36"/>
  <c r="X36" i="36"/>
  <c r="U36" i="36"/>
  <c r="R36" i="36"/>
  <c r="O36" i="36"/>
  <c r="L36" i="36"/>
  <c r="I36" i="36"/>
  <c r="F36" i="36"/>
  <c r="X35" i="36"/>
  <c r="U35" i="36"/>
  <c r="R35" i="36"/>
  <c r="O35" i="36"/>
  <c r="L35" i="36"/>
  <c r="I35" i="36"/>
  <c r="F35" i="36"/>
  <c r="X34" i="36"/>
  <c r="U34" i="36"/>
  <c r="R34" i="36"/>
  <c r="O34" i="36"/>
  <c r="L34" i="36"/>
  <c r="I34" i="36"/>
  <c r="F34" i="36"/>
  <c r="X33" i="36"/>
  <c r="U33" i="36"/>
  <c r="R33" i="36"/>
  <c r="O33" i="36"/>
  <c r="L33" i="36"/>
  <c r="I33" i="36"/>
  <c r="F33" i="36"/>
  <c r="X32" i="36"/>
  <c r="U32" i="36"/>
  <c r="R32" i="36"/>
  <c r="O32" i="36"/>
  <c r="L32" i="36"/>
  <c r="I32" i="36"/>
  <c r="F32" i="36"/>
  <c r="X31" i="36"/>
  <c r="U31" i="36"/>
  <c r="R31" i="36"/>
  <c r="O31" i="36"/>
  <c r="L31" i="36"/>
  <c r="I31" i="36"/>
  <c r="F31" i="36"/>
  <c r="X30" i="36"/>
  <c r="U30" i="36"/>
  <c r="R30" i="36"/>
  <c r="O30" i="36"/>
  <c r="L30" i="36"/>
  <c r="I30" i="36"/>
  <c r="F30" i="36"/>
  <c r="X29" i="36"/>
  <c r="U29" i="36"/>
  <c r="R29" i="36"/>
  <c r="O29" i="36"/>
  <c r="L29" i="36"/>
  <c r="I29" i="36"/>
  <c r="F29" i="36"/>
  <c r="X28" i="36"/>
  <c r="U28" i="36"/>
  <c r="R28" i="36"/>
  <c r="O28" i="36"/>
  <c r="L28" i="36"/>
  <c r="I28" i="36"/>
  <c r="F28" i="36"/>
  <c r="X27" i="36"/>
  <c r="U27" i="36"/>
  <c r="R27" i="36"/>
  <c r="O27" i="36"/>
  <c r="L27" i="36"/>
  <c r="I27" i="36"/>
  <c r="F27" i="36"/>
  <c r="X26" i="36"/>
  <c r="U26" i="36"/>
  <c r="R26" i="36"/>
  <c r="O26" i="36"/>
  <c r="L26" i="36"/>
  <c r="I26" i="36"/>
  <c r="F26" i="36"/>
  <c r="X25" i="36"/>
  <c r="U25" i="36"/>
  <c r="R25" i="36"/>
  <c r="O25" i="36"/>
  <c r="L25" i="36"/>
  <c r="I25" i="36"/>
  <c r="F25" i="36"/>
  <c r="X24" i="36"/>
  <c r="U24" i="36"/>
  <c r="R24" i="36"/>
  <c r="O24" i="36"/>
  <c r="L24" i="36"/>
  <c r="I24" i="36"/>
  <c r="F24" i="36"/>
  <c r="X23" i="36"/>
  <c r="U23" i="36"/>
  <c r="R23" i="36"/>
  <c r="O23" i="36"/>
  <c r="L23" i="36"/>
  <c r="I23" i="36"/>
  <c r="F23" i="36"/>
  <c r="X22" i="36"/>
  <c r="U22" i="36"/>
  <c r="R22" i="36"/>
  <c r="O22" i="36"/>
  <c r="L22" i="36"/>
  <c r="I22" i="36"/>
  <c r="F22" i="36"/>
  <c r="X21" i="36"/>
  <c r="U21" i="36"/>
  <c r="R21" i="36"/>
  <c r="O21" i="36"/>
  <c r="L21" i="36"/>
  <c r="I21" i="36"/>
  <c r="F21" i="36"/>
  <c r="X20" i="36"/>
  <c r="U20" i="36"/>
  <c r="R20" i="36"/>
  <c r="O20" i="36"/>
  <c r="L20" i="36"/>
  <c r="I20" i="36"/>
  <c r="F20" i="36"/>
  <c r="X19" i="36"/>
  <c r="U19" i="36"/>
  <c r="R19" i="36"/>
  <c r="O19" i="36"/>
  <c r="L19" i="36"/>
  <c r="I19" i="36"/>
  <c r="F19" i="36"/>
  <c r="X18" i="36"/>
  <c r="U18" i="36"/>
  <c r="R18" i="36"/>
  <c r="O18" i="36"/>
  <c r="L18" i="36"/>
  <c r="I18" i="36"/>
  <c r="F18" i="36"/>
  <c r="X17" i="36"/>
  <c r="U17" i="36"/>
  <c r="R17" i="36"/>
  <c r="O17" i="36"/>
  <c r="L17" i="36"/>
  <c r="I17" i="36"/>
  <c r="F17" i="36"/>
  <c r="X16" i="36"/>
  <c r="U16" i="36"/>
  <c r="R16" i="36"/>
  <c r="O16" i="36"/>
  <c r="L16" i="36"/>
  <c r="I16" i="36"/>
  <c r="F16" i="36"/>
  <c r="X15" i="36"/>
  <c r="U15" i="36"/>
  <c r="R15" i="36"/>
  <c r="O15" i="36"/>
  <c r="L15" i="36"/>
  <c r="I15" i="36"/>
  <c r="F15" i="36"/>
  <c r="X14" i="36"/>
  <c r="U14" i="36"/>
  <c r="R14" i="36"/>
  <c r="O14" i="36"/>
  <c r="L14" i="36"/>
  <c r="I14" i="36"/>
  <c r="F14" i="36"/>
  <c r="X13" i="36"/>
  <c r="U13" i="36"/>
  <c r="R13" i="36"/>
  <c r="O13" i="36"/>
  <c r="L13" i="36"/>
  <c r="I13" i="36"/>
  <c r="F13" i="36"/>
  <c r="X12" i="36"/>
  <c r="U12" i="36"/>
  <c r="R12" i="36"/>
  <c r="O12" i="36"/>
  <c r="L12" i="36"/>
  <c r="I12" i="36"/>
  <c r="F12" i="36"/>
  <c r="X11" i="36"/>
  <c r="U11" i="36"/>
  <c r="R11" i="36"/>
  <c r="O11" i="36"/>
  <c r="L11" i="36"/>
  <c r="I11" i="36"/>
  <c r="F11" i="36"/>
  <c r="X10" i="36"/>
  <c r="U10" i="36"/>
  <c r="R10" i="36"/>
  <c r="O10" i="36"/>
  <c r="L10" i="36"/>
  <c r="I10" i="36"/>
  <c r="F10" i="36"/>
  <c r="X9" i="36"/>
  <c r="U9" i="36"/>
  <c r="R9" i="36"/>
  <c r="O9" i="36"/>
  <c r="L9" i="36"/>
  <c r="I9" i="36"/>
  <c r="F9" i="36"/>
  <c r="X8" i="36"/>
  <c r="U8" i="36"/>
  <c r="R8" i="36"/>
  <c r="O8" i="36"/>
  <c r="L8" i="36"/>
  <c r="I8" i="36"/>
  <c r="F8" i="36"/>
  <c r="X7" i="36"/>
  <c r="U7" i="36"/>
  <c r="R7" i="36"/>
  <c r="O7" i="36"/>
  <c r="L7" i="36"/>
  <c r="I7" i="36"/>
  <c r="F7" i="36"/>
  <c r="X6" i="36"/>
  <c r="U6" i="36"/>
  <c r="R6" i="36"/>
  <c r="O6" i="36"/>
  <c r="L6" i="36"/>
  <c r="I6" i="36"/>
  <c r="F6" i="36"/>
  <c r="X5" i="36"/>
  <c r="U5" i="36"/>
  <c r="R5" i="36"/>
  <c r="O5" i="36"/>
  <c r="L5" i="36"/>
  <c r="I5" i="36"/>
  <c r="F5" i="36"/>
  <c r="X4" i="36"/>
  <c r="U4" i="36"/>
  <c r="R4" i="36"/>
  <c r="O4" i="36"/>
  <c r="L4" i="36"/>
  <c r="I4" i="36"/>
  <c r="F4" i="36"/>
  <c r="X98" i="35"/>
  <c r="U98" i="35"/>
  <c r="R98" i="35"/>
  <c r="O98" i="35"/>
  <c r="L98" i="35"/>
  <c r="I98" i="35"/>
  <c r="F98" i="35"/>
  <c r="X97" i="35"/>
  <c r="U97" i="35"/>
  <c r="R97" i="35"/>
  <c r="O97" i="35"/>
  <c r="L97" i="35"/>
  <c r="I97" i="35"/>
  <c r="F97" i="35"/>
  <c r="X96" i="35"/>
  <c r="U96" i="35"/>
  <c r="R96" i="35"/>
  <c r="O96" i="35"/>
  <c r="L96" i="35"/>
  <c r="I96" i="35"/>
  <c r="F96" i="35"/>
  <c r="X95" i="35"/>
  <c r="U95" i="35"/>
  <c r="R95" i="35"/>
  <c r="O95" i="35"/>
  <c r="L95" i="35"/>
  <c r="I95" i="35"/>
  <c r="F95" i="35"/>
  <c r="X94" i="35"/>
  <c r="U94" i="35"/>
  <c r="R94" i="35"/>
  <c r="O94" i="35"/>
  <c r="L94" i="35"/>
  <c r="I94" i="35"/>
  <c r="F94" i="35"/>
  <c r="X93" i="35"/>
  <c r="U93" i="35"/>
  <c r="R93" i="35"/>
  <c r="O93" i="35"/>
  <c r="L93" i="35"/>
  <c r="I93" i="35"/>
  <c r="F93" i="35"/>
  <c r="X92" i="35"/>
  <c r="U92" i="35"/>
  <c r="R92" i="35"/>
  <c r="O92" i="35"/>
  <c r="L92" i="35"/>
  <c r="I92" i="35"/>
  <c r="F92" i="35"/>
  <c r="X91" i="35"/>
  <c r="U91" i="35"/>
  <c r="R91" i="35"/>
  <c r="O91" i="35"/>
  <c r="L91" i="35"/>
  <c r="I91" i="35"/>
  <c r="F91" i="35"/>
  <c r="X90" i="35"/>
  <c r="U90" i="35"/>
  <c r="R90" i="35"/>
  <c r="O90" i="35"/>
  <c r="L90" i="35"/>
  <c r="I90" i="35"/>
  <c r="F90" i="35"/>
  <c r="X89" i="35"/>
  <c r="U89" i="35"/>
  <c r="R89" i="35"/>
  <c r="O89" i="35"/>
  <c r="L89" i="35"/>
  <c r="I89" i="35"/>
  <c r="F89" i="35"/>
  <c r="X88" i="35"/>
  <c r="U88" i="35"/>
  <c r="R88" i="35"/>
  <c r="O88" i="35"/>
  <c r="L88" i="35"/>
  <c r="I88" i="35"/>
  <c r="F88" i="35"/>
  <c r="X87" i="35"/>
  <c r="U87" i="35"/>
  <c r="R87" i="35"/>
  <c r="O87" i="35"/>
  <c r="L87" i="35"/>
  <c r="I87" i="35"/>
  <c r="F87" i="35"/>
  <c r="X86" i="35"/>
  <c r="U86" i="35"/>
  <c r="R86" i="35"/>
  <c r="O86" i="35"/>
  <c r="L86" i="35"/>
  <c r="I86" i="35"/>
  <c r="F86" i="35"/>
  <c r="X85" i="35"/>
  <c r="U85" i="35"/>
  <c r="R85" i="35"/>
  <c r="O85" i="35"/>
  <c r="L85" i="35"/>
  <c r="I85" i="35"/>
  <c r="F85" i="35"/>
  <c r="X84" i="35"/>
  <c r="U84" i="35"/>
  <c r="R84" i="35"/>
  <c r="O84" i="35"/>
  <c r="L84" i="35"/>
  <c r="I84" i="35"/>
  <c r="F84" i="35"/>
  <c r="X83" i="35"/>
  <c r="U83" i="35"/>
  <c r="R83" i="35"/>
  <c r="O83" i="35"/>
  <c r="L83" i="35"/>
  <c r="I83" i="35"/>
  <c r="F83" i="35"/>
  <c r="X82" i="35"/>
  <c r="U82" i="35"/>
  <c r="R82" i="35"/>
  <c r="O82" i="35"/>
  <c r="L82" i="35"/>
  <c r="I82" i="35"/>
  <c r="F82" i="35"/>
  <c r="X81" i="35"/>
  <c r="U81" i="35"/>
  <c r="R81" i="35"/>
  <c r="O81" i="35"/>
  <c r="L81" i="35"/>
  <c r="I81" i="35"/>
  <c r="F81" i="35"/>
  <c r="X80" i="35"/>
  <c r="U80" i="35"/>
  <c r="R80" i="35"/>
  <c r="O80" i="35"/>
  <c r="L80" i="35"/>
  <c r="I80" i="35"/>
  <c r="F80" i="35"/>
  <c r="X79" i="35"/>
  <c r="U79" i="35"/>
  <c r="R79" i="35"/>
  <c r="O79" i="35"/>
  <c r="L79" i="35"/>
  <c r="I79" i="35"/>
  <c r="F79" i="35"/>
  <c r="X78" i="35"/>
  <c r="U78" i="35"/>
  <c r="R78" i="35"/>
  <c r="O78" i="35"/>
  <c r="L78" i="35"/>
  <c r="I78" i="35"/>
  <c r="F78" i="35"/>
  <c r="X77" i="35"/>
  <c r="U77" i="35"/>
  <c r="R77" i="35"/>
  <c r="O77" i="35"/>
  <c r="L77" i="35"/>
  <c r="I77" i="35"/>
  <c r="F77" i="35"/>
  <c r="X76" i="35"/>
  <c r="U76" i="35"/>
  <c r="R76" i="35"/>
  <c r="O76" i="35"/>
  <c r="L76" i="35"/>
  <c r="I76" i="35"/>
  <c r="F76" i="35"/>
  <c r="X75" i="35"/>
  <c r="U75" i="35"/>
  <c r="R75" i="35"/>
  <c r="O75" i="35"/>
  <c r="L75" i="35"/>
  <c r="I75" i="35"/>
  <c r="F75" i="35"/>
  <c r="X74" i="35"/>
  <c r="U74" i="35"/>
  <c r="R74" i="35"/>
  <c r="O74" i="35"/>
  <c r="L74" i="35"/>
  <c r="I74" i="35"/>
  <c r="F74" i="35"/>
  <c r="X73" i="35"/>
  <c r="U73" i="35"/>
  <c r="R73" i="35"/>
  <c r="O73" i="35"/>
  <c r="L73" i="35"/>
  <c r="I73" i="35"/>
  <c r="F73" i="35"/>
  <c r="X72" i="35"/>
  <c r="U72" i="35"/>
  <c r="R72" i="35"/>
  <c r="O72" i="35"/>
  <c r="L72" i="35"/>
  <c r="I72" i="35"/>
  <c r="F72" i="35"/>
  <c r="X71" i="35"/>
  <c r="U71" i="35"/>
  <c r="R71" i="35"/>
  <c r="O71" i="35"/>
  <c r="L71" i="35"/>
  <c r="I71" i="35"/>
  <c r="F71" i="35"/>
  <c r="X70" i="35"/>
  <c r="U70" i="35"/>
  <c r="R70" i="35"/>
  <c r="O70" i="35"/>
  <c r="L70" i="35"/>
  <c r="I70" i="35"/>
  <c r="F70" i="35"/>
  <c r="X69" i="35"/>
  <c r="U69" i="35"/>
  <c r="R69" i="35"/>
  <c r="O69" i="35"/>
  <c r="L69" i="35"/>
  <c r="I69" i="35"/>
  <c r="F69" i="35"/>
  <c r="X68" i="35"/>
  <c r="U68" i="35"/>
  <c r="R68" i="35"/>
  <c r="O68" i="35"/>
  <c r="L68" i="35"/>
  <c r="I68" i="35"/>
  <c r="F68" i="35"/>
  <c r="X67" i="35"/>
  <c r="U67" i="35"/>
  <c r="R67" i="35"/>
  <c r="O67" i="35"/>
  <c r="L67" i="35"/>
  <c r="I67" i="35"/>
  <c r="F67" i="35"/>
  <c r="X66" i="35"/>
  <c r="U66" i="35"/>
  <c r="R66" i="35"/>
  <c r="O66" i="35"/>
  <c r="L66" i="35"/>
  <c r="I66" i="35"/>
  <c r="F66" i="35"/>
  <c r="X65" i="35"/>
  <c r="U65" i="35"/>
  <c r="R65" i="35"/>
  <c r="O65" i="35"/>
  <c r="L65" i="35"/>
  <c r="I65" i="35"/>
  <c r="F65" i="35"/>
  <c r="X64" i="35"/>
  <c r="U64" i="35"/>
  <c r="R64" i="35"/>
  <c r="O64" i="35"/>
  <c r="L64" i="35"/>
  <c r="I64" i="35"/>
  <c r="F64" i="35"/>
  <c r="X63" i="35"/>
  <c r="U63" i="35"/>
  <c r="R63" i="35"/>
  <c r="O63" i="35"/>
  <c r="L63" i="35"/>
  <c r="I63" i="35"/>
  <c r="F63" i="35"/>
  <c r="X62" i="35"/>
  <c r="U62" i="35"/>
  <c r="R62" i="35"/>
  <c r="O62" i="35"/>
  <c r="L62" i="35"/>
  <c r="I62" i="35"/>
  <c r="F62" i="35"/>
  <c r="X61" i="35"/>
  <c r="U61" i="35"/>
  <c r="R61" i="35"/>
  <c r="O61" i="35"/>
  <c r="L61" i="35"/>
  <c r="I61" i="35"/>
  <c r="F61" i="35"/>
  <c r="X60" i="35"/>
  <c r="U60" i="35"/>
  <c r="R60" i="35"/>
  <c r="O60" i="35"/>
  <c r="L60" i="35"/>
  <c r="I60" i="35"/>
  <c r="F60" i="35"/>
  <c r="X59" i="35"/>
  <c r="U59" i="35"/>
  <c r="R59" i="35"/>
  <c r="O59" i="35"/>
  <c r="L59" i="35"/>
  <c r="I59" i="35"/>
  <c r="F59" i="35"/>
  <c r="X58" i="35"/>
  <c r="U58" i="35"/>
  <c r="R58" i="35"/>
  <c r="O58" i="35"/>
  <c r="L58" i="35"/>
  <c r="I58" i="35"/>
  <c r="F58" i="35"/>
  <c r="X57" i="35"/>
  <c r="U57" i="35"/>
  <c r="R57" i="35"/>
  <c r="O57" i="35"/>
  <c r="L57" i="35"/>
  <c r="I57" i="35"/>
  <c r="F57" i="35"/>
  <c r="X56" i="35"/>
  <c r="U56" i="35"/>
  <c r="R56" i="35"/>
  <c r="O56" i="35"/>
  <c r="L56" i="35"/>
  <c r="I56" i="35"/>
  <c r="F56" i="35"/>
  <c r="X55" i="35"/>
  <c r="U55" i="35"/>
  <c r="R55" i="35"/>
  <c r="O55" i="35"/>
  <c r="L55" i="35"/>
  <c r="I55" i="35"/>
  <c r="F55" i="35"/>
  <c r="X54" i="35"/>
  <c r="U54" i="35"/>
  <c r="R54" i="35"/>
  <c r="O54" i="35"/>
  <c r="L54" i="35"/>
  <c r="I54" i="35"/>
  <c r="F54" i="35"/>
  <c r="X53" i="35"/>
  <c r="U53" i="35"/>
  <c r="R53" i="35"/>
  <c r="O53" i="35"/>
  <c r="L53" i="35"/>
  <c r="I53" i="35"/>
  <c r="F53" i="35"/>
  <c r="X52" i="35"/>
  <c r="U52" i="35"/>
  <c r="R52" i="35"/>
  <c r="O52" i="35"/>
  <c r="L52" i="35"/>
  <c r="I52" i="35"/>
  <c r="F52" i="35"/>
  <c r="X51" i="35"/>
  <c r="U51" i="35"/>
  <c r="R51" i="35"/>
  <c r="O51" i="35"/>
  <c r="L51" i="35"/>
  <c r="I51" i="35"/>
  <c r="F51" i="35"/>
  <c r="X50" i="35"/>
  <c r="U50" i="35"/>
  <c r="R50" i="35"/>
  <c r="O50" i="35"/>
  <c r="L50" i="35"/>
  <c r="I50" i="35"/>
  <c r="F50" i="35"/>
  <c r="X49" i="35"/>
  <c r="U49" i="35"/>
  <c r="R49" i="35"/>
  <c r="O49" i="35"/>
  <c r="L49" i="35"/>
  <c r="I49" i="35"/>
  <c r="F49" i="35"/>
  <c r="X48" i="35"/>
  <c r="U48" i="35"/>
  <c r="R48" i="35"/>
  <c r="O48" i="35"/>
  <c r="L48" i="35"/>
  <c r="I48" i="35"/>
  <c r="F48" i="35"/>
  <c r="X47" i="35"/>
  <c r="U47" i="35"/>
  <c r="R47" i="35"/>
  <c r="O47" i="35"/>
  <c r="L47" i="35"/>
  <c r="I47" i="35"/>
  <c r="F47" i="35"/>
  <c r="X46" i="35"/>
  <c r="U46" i="35"/>
  <c r="R46" i="35"/>
  <c r="O46" i="35"/>
  <c r="L46" i="35"/>
  <c r="I46" i="35"/>
  <c r="F46" i="35"/>
  <c r="X45" i="35"/>
  <c r="U45" i="35"/>
  <c r="R45" i="35"/>
  <c r="O45" i="35"/>
  <c r="L45" i="35"/>
  <c r="I45" i="35"/>
  <c r="F45" i="35"/>
  <c r="X44" i="35"/>
  <c r="U44" i="35"/>
  <c r="R44" i="35"/>
  <c r="O44" i="35"/>
  <c r="L44" i="35"/>
  <c r="I44" i="35"/>
  <c r="F44" i="35"/>
  <c r="X43" i="35"/>
  <c r="U43" i="35"/>
  <c r="R43" i="35"/>
  <c r="O43" i="35"/>
  <c r="L43" i="35"/>
  <c r="I43" i="35"/>
  <c r="F43" i="35"/>
  <c r="X42" i="35"/>
  <c r="U42" i="35"/>
  <c r="R42" i="35"/>
  <c r="O42" i="35"/>
  <c r="L42" i="35"/>
  <c r="I42" i="35"/>
  <c r="F42" i="35"/>
  <c r="X41" i="35"/>
  <c r="U41" i="35"/>
  <c r="R41" i="35"/>
  <c r="O41" i="35"/>
  <c r="L41" i="35"/>
  <c r="I41" i="35"/>
  <c r="F41" i="35"/>
  <c r="X40" i="35"/>
  <c r="U40" i="35"/>
  <c r="R40" i="35"/>
  <c r="O40" i="35"/>
  <c r="L40" i="35"/>
  <c r="I40" i="35"/>
  <c r="F40" i="35"/>
  <c r="X39" i="35"/>
  <c r="U39" i="35"/>
  <c r="R39" i="35"/>
  <c r="O39" i="35"/>
  <c r="L39" i="35"/>
  <c r="I39" i="35"/>
  <c r="F39" i="35"/>
  <c r="X38" i="35"/>
  <c r="U38" i="35"/>
  <c r="R38" i="35"/>
  <c r="O38" i="35"/>
  <c r="L38" i="35"/>
  <c r="I38" i="35"/>
  <c r="F38" i="35"/>
  <c r="X37" i="35"/>
  <c r="U37" i="35"/>
  <c r="R37" i="35"/>
  <c r="O37" i="35"/>
  <c r="L37" i="35"/>
  <c r="I37" i="35"/>
  <c r="F37" i="35"/>
  <c r="X36" i="35"/>
  <c r="U36" i="35"/>
  <c r="R36" i="35"/>
  <c r="O36" i="35"/>
  <c r="L36" i="35"/>
  <c r="I36" i="35"/>
  <c r="F36" i="35"/>
  <c r="X35" i="35"/>
  <c r="U35" i="35"/>
  <c r="R35" i="35"/>
  <c r="O35" i="35"/>
  <c r="L35" i="35"/>
  <c r="I35" i="35"/>
  <c r="F35" i="35"/>
  <c r="X34" i="35"/>
  <c r="U34" i="35"/>
  <c r="R34" i="35"/>
  <c r="O34" i="35"/>
  <c r="L34" i="35"/>
  <c r="I34" i="35"/>
  <c r="F34" i="35"/>
  <c r="X33" i="35"/>
  <c r="U33" i="35"/>
  <c r="R33" i="35"/>
  <c r="O33" i="35"/>
  <c r="L33" i="35"/>
  <c r="I33" i="35"/>
  <c r="F33" i="35"/>
  <c r="X32" i="35"/>
  <c r="U32" i="35"/>
  <c r="R32" i="35"/>
  <c r="O32" i="35"/>
  <c r="L32" i="35"/>
  <c r="I32" i="35"/>
  <c r="F32" i="35"/>
  <c r="X31" i="35"/>
  <c r="U31" i="35"/>
  <c r="R31" i="35"/>
  <c r="O31" i="35"/>
  <c r="L31" i="35"/>
  <c r="I31" i="35"/>
  <c r="F31" i="35"/>
  <c r="X30" i="35"/>
  <c r="U30" i="35"/>
  <c r="R30" i="35"/>
  <c r="O30" i="35"/>
  <c r="L30" i="35"/>
  <c r="I30" i="35"/>
  <c r="F30" i="35"/>
  <c r="X29" i="35"/>
  <c r="U29" i="35"/>
  <c r="R29" i="35"/>
  <c r="O29" i="35"/>
  <c r="L29" i="35"/>
  <c r="I29" i="35"/>
  <c r="F29" i="35"/>
  <c r="X28" i="35"/>
  <c r="U28" i="35"/>
  <c r="R28" i="35"/>
  <c r="O28" i="35"/>
  <c r="L28" i="35"/>
  <c r="I28" i="35"/>
  <c r="F28" i="35"/>
  <c r="X27" i="35"/>
  <c r="U27" i="35"/>
  <c r="R27" i="35"/>
  <c r="O27" i="35"/>
  <c r="L27" i="35"/>
  <c r="I27" i="35"/>
  <c r="F27" i="35"/>
  <c r="X26" i="35"/>
  <c r="U26" i="35"/>
  <c r="R26" i="35"/>
  <c r="O26" i="35"/>
  <c r="L26" i="35"/>
  <c r="I26" i="35"/>
  <c r="F26" i="35"/>
  <c r="X25" i="35"/>
  <c r="U25" i="35"/>
  <c r="R25" i="35"/>
  <c r="O25" i="35"/>
  <c r="L25" i="35"/>
  <c r="I25" i="35"/>
  <c r="F25" i="35"/>
  <c r="X24" i="35"/>
  <c r="U24" i="35"/>
  <c r="R24" i="35"/>
  <c r="O24" i="35"/>
  <c r="L24" i="35"/>
  <c r="I24" i="35"/>
  <c r="F24" i="35"/>
  <c r="X23" i="35"/>
  <c r="U23" i="35"/>
  <c r="R23" i="35"/>
  <c r="O23" i="35"/>
  <c r="L23" i="35"/>
  <c r="I23" i="35"/>
  <c r="F23" i="35"/>
  <c r="X22" i="35"/>
  <c r="U22" i="35"/>
  <c r="R22" i="35"/>
  <c r="O22" i="35"/>
  <c r="L22" i="35"/>
  <c r="I22" i="35"/>
  <c r="F22" i="35"/>
  <c r="X21" i="35"/>
  <c r="U21" i="35"/>
  <c r="R21" i="35"/>
  <c r="O21" i="35"/>
  <c r="L21" i="35"/>
  <c r="I21" i="35"/>
  <c r="F21" i="35"/>
  <c r="X20" i="35"/>
  <c r="U20" i="35"/>
  <c r="R20" i="35"/>
  <c r="O20" i="35"/>
  <c r="L20" i="35"/>
  <c r="I20" i="35"/>
  <c r="F20" i="35"/>
  <c r="X19" i="35"/>
  <c r="U19" i="35"/>
  <c r="R19" i="35"/>
  <c r="O19" i="35"/>
  <c r="L19" i="35"/>
  <c r="I19" i="35"/>
  <c r="F19" i="35"/>
  <c r="X18" i="35"/>
  <c r="U18" i="35"/>
  <c r="R18" i="35"/>
  <c r="O18" i="35"/>
  <c r="L18" i="35"/>
  <c r="I18" i="35"/>
  <c r="F18" i="35"/>
  <c r="X17" i="35"/>
  <c r="U17" i="35"/>
  <c r="R17" i="35"/>
  <c r="O17" i="35"/>
  <c r="L17" i="35"/>
  <c r="I17" i="35"/>
  <c r="F17" i="35"/>
  <c r="X16" i="35"/>
  <c r="U16" i="35"/>
  <c r="R16" i="35"/>
  <c r="O16" i="35"/>
  <c r="L16" i="35"/>
  <c r="I16" i="35"/>
  <c r="F16" i="35"/>
  <c r="X15" i="35"/>
  <c r="U15" i="35"/>
  <c r="R15" i="35"/>
  <c r="O15" i="35"/>
  <c r="L15" i="35"/>
  <c r="I15" i="35"/>
  <c r="F15" i="35"/>
  <c r="X14" i="35"/>
  <c r="U14" i="35"/>
  <c r="R14" i="35"/>
  <c r="O14" i="35"/>
  <c r="L14" i="35"/>
  <c r="I14" i="35"/>
  <c r="F14" i="35"/>
  <c r="X13" i="35"/>
  <c r="U13" i="35"/>
  <c r="R13" i="35"/>
  <c r="O13" i="35"/>
  <c r="L13" i="35"/>
  <c r="I13" i="35"/>
  <c r="F13" i="35"/>
  <c r="X12" i="35"/>
  <c r="U12" i="35"/>
  <c r="R12" i="35"/>
  <c r="O12" i="35"/>
  <c r="L12" i="35"/>
  <c r="I12" i="35"/>
  <c r="F12" i="35"/>
  <c r="X11" i="35"/>
  <c r="U11" i="35"/>
  <c r="R11" i="35"/>
  <c r="O11" i="35"/>
  <c r="L11" i="35"/>
  <c r="I11" i="35"/>
  <c r="F11" i="35"/>
  <c r="X10" i="35"/>
  <c r="U10" i="35"/>
  <c r="R10" i="35"/>
  <c r="O10" i="35"/>
  <c r="L10" i="35"/>
  <c r="I10" i="35"/>
  <c r="F10" i="35"/>
  <c r="X9" i="35"/>
  <c r="U9" i="35"/>
  <c r="R9" i="35"/>
  <c r="O9" i="35"/>
  <c r="L9" i="35"/>
  <c r="I9" i="35"/>
  <c r="F9" i="35"/>
  <c r="X8" i="35"/>
  <c r="U8" i="35"/>
  <c r="R8" i="35"/>
  <c r="O8" i="35"/>
  <c r="L8" i="35"/>
  <c r="I8" i="35"/>
  <c r="F8" i="35"/>
  <c r="X7" i="35"/>
  <c r="U7" i="35"/>
  <c r="R7" i="35"/>
  <c r="O7" i="35"/>
  <c r="L7" i="35"/>
  <c r="I7" i="35"/>
  <c r="F7" i="35"/>
  <c r="X6" i="35"/>
  <c r="U6" i="35"/>
  <c r="R6" i="35"/>
  <c r="O6" i="35"/>
  <c r="L6" i="35"/>
  <c r="I6" i="35"/>
  <c r="F6" i="35"/>
  <c r="X5" i="35"/>
  <c r="U5" i="35"/>
  <c r="R5" i="35"/>
  <c r="O5" i="35"/>
  <c r="L5" i="35"/>
  <c r="I5" i="35"/>
  <c r="F5" i="35"/>
  <c r="X4" i="35"/>
  <c r="U4" i="35"/>
  <c r="R4" i="35"/>
  <c r="O4" i="35"/>
  <c r="L4" i="35"/>
  <c r="I4" i="35"/>
  <c r="F4" i="35"/>
  <c r="X98" i="34"/>
  <c r="U98" i="34"/>
  <c r="R98" i="34"/>
  <c r="O98" i="34"/>
  <c r="L98" i="34"/>
  <c r="I98" i="34"/>
  <c r="F98" i="34"/>
  <c r="X97" i="34"/>
  <c r="U97" i="34"/>
  <c r="R97" i="34"/>
  <c r="O97" i="34"/>
  <c r="L97" i="34"/>
  <c r="I97" i="34"/>
  <c r="F97" i="34"/>
  <c r="X96" i="34"/>
  <c r="U96" i="34"/>
  <c r="R96" i="34"/>
  <c r="O96" i="34"/>
  <c r="L96" i="34"/>
  <c r="I96" i="34"/>
  <c r="F96" i="34"/>
  <c r="X95" i="34"/>
  <c r="U95" i="34"/>
  <c r="R95" i="34"/>
  <c r="O95" i="34"/>
  <c r="L95" i="34"/>
  <c r="I95" i="34"/>
  <c r="F95" i="34"/>
  <c r="X94" i="34"/>
  <c r="U94" i="34"/>
  <c r="R94" i="34"/>
  <c r="O94" i="34"/>
  <c r="L94" i="34"/>
  <c r="I94" i="34"/>
  <c r="F94" i="34"/>
  <c r="X93" i="34"/>
  <c r="U93" i="34"/>
  <c r="R93" i="34"/>
  <c r="O93" i="34"/>
  <c r="L93" i="34"/>
  <c r="I93" i="34"/>
  <c r="F93" i="34"/>
  <c r="X92" i="34"/>
  <c r="U92" i="34"/>
  <c r="R92" i="34"/>
  <c r="O92" i="34"/>
  <c r="L92" i="34"/>
  <c r="I92" i="34"/>
  <c r="F92" i="34"/>
  <c r="X91" i="34"/>
  <c r="U91" i="34"/>
  <c r="R91" i="34"/>
  <c r="O91" i="34"/>
  <c r="L91" i="34"/>
  <c r="I91" i="34"/>
  <c r="F91" i="34"/>
  <c r="X90" i="34"/>
  <c r="U90" i="34"/>
  <c r="R90" i="34"/>
  <c r="O90" i="34"/>
  <c r="L90" i="34"/>
  <c r="I90" i="34"/>
  <c r="F90" i="34"/>
  <c r="X89" i="34"/>
  <c r="U89" i="34"/>
  <c r="R89" i="34"/>
  <c r="O89" i="34"/>
  <c r="L89" i="34"/>
  <c r="I89" i="34"/>
  <c r="F89" i="34"/>
  <c r="X88" i="34"/>
  <c r="U88" i="34"/>
  <c r="R88" i="34"/>
  <c r="O88" i="34"/>
  <c r="L88" i="34"/>
  <c r="I88" i="34"/>
  <c r="F88" i="34"/>
  <c r="X87" i="34"/>
  <c r="U87" i="34"/>
  <c r="R87" i="34"/>
  <c r="O87" i="34"/>
  <c r="L87" i="34"/>
  <c r="I87" i="34"/>
  <c r="F87" i="34"/>
  <c r="X86" i="34"/>
  <c r="U86" i="34"/>
  <c r="R86" i="34"/>
  <c r="O86" i="34"/>
  <c r="L86" i="34"/>
  <c r="I86" i="34"/>
  <c r="F86" i="34"/>
  <c r="X85" i="34"/>
  <c r="U85" i="34"/>
  <c r="R85" i="34"/>
  <c r="O85" i="34"/>
  <c r="L85" i="34"/>
  <c r="I85" i="34"/>
  <c r="F85" i="34"/>
  <c r="X84" i="34"/>
  <c r="U84" i="34"/>
  <c r="R84" i="34"/>
  <c r="O84" i="34"/>
  <c r="L84" i="34"/>
  <c r="I84" i="34"/>
  <c r="F84" i="34"/>
  <c r="X83" i="34"/>
  <c r="U83" i="34"/>
  <c r="R83" i="34"/>
  <c r="O83" i="34"/>
  <c r="L83" i="34"/>
  <c r="I83" i="34"/>
  <c r="F83" i="34"/>
  <c r="X82" i="34"/>
  <c r="U82" i="34"/>
  <c r="R82" i="34"/>
  <c r="O82" i="34"/>
  <c r="L82" i="34"/>
  <c r="I82" i="34"/>
  <c r="F82" i="34"/>
  <c r="X81" i="34"/>
  <c r="U81" i="34"/>
  <c r="R81" i="34"/>
  <c r="O81" i="34"/>
  <c r="L81" i="34"/>
  <c r="I81" i="34"/>
  <c r="F81" i="34"/>
  <c r="X80" i="34"/>
  <c r="U80" i="34"/>
  <c r="R80" i="34"/>
  <c r="O80" i="34"/>
  <c r="L80" i="34"/>
  <c r="I80" i="34"/>
  <c r="F80" i="34"/>
  <c r="X79" i="34"/>
  <c r="U79" i="34"/>
  <c r="R79" i="34"/>
  <c r="O79" i="34"/>
  <c r="L79" i="34"/>
  <c r="I79" i="34"/>
  <c r="F79" i="34"/>
  <c r="X78" i="34"/>
  <c r="U78" i="34"/>
  <c r="R78" i="34"/>
  <c r="O78" i="34"/>
  <c r="L78" i="34"/>
  <c r="I78" i="34"/>
  <c r="F78" i="34"/>
  <c r="X77" i="34"/>
  <c r="U77" i="34"/>
  <c r="R77" i="34"/>
  <c r="O77" i="34"/>
  <c r="L77" i="34"/>
  <c r="I77" i="34"/>
  <c r="F77" i="34"/>
  <c r="X76" i="34"/>
  <c r="U76" i="34"/>
  <c r="R76" i="34"/>
  <c r="O76" i="34"/>
  <c r="L76" i="34"/>
  <c r="I76" i="34"/>
  <c r="F76" i="34"/>
  <c r="X75" i="34"/>
  <c r="U75" i="34"/>
  <c r="R75" i="34"/>
  <c r="O75" i="34"/>
  <c r="L75" i="34"/>
  <c r="I75" i="34"/>
  <c r="F75" i="34"/>
  <c r="X74" i="34"/>
  <c r="U74" i="34"/>
  <c r="R74" i="34"/>
  <c r="O74" i="34"/>
  <c r="L74" i="34"/>
  <c r="I74" i="34"/>
  <c r="F74" i="34"/>
  <c r="X73" i="34"/>
  <c r="U73" i="34"/>
  <c r="R73" i="34"/>
  <c r="O73" i="34"/>
  <c r="L73" i="34"/>
  <c r="I73" i="34"/>
  <c r="F73" i="34"/>
  <c r="X72" i="34"/>
  <c r="U72" i="34"/>
  <c r="R72" i="34"/>
  <c r="O72" i="34"/>
  <c r="L72" i="34"/>
  <c r="I72" i="34"/>
  <c r="F72" i="34"/>
  <c r="X71" i="34"/>
  <c r="U71" i="34"/>
  <c r="R71" i="34"/>
  <c r="O71" i="34"/>
  <c r="L71" i="34"/>
  <c r="I71" i="34"/>
  <c r="F71" i="34"/>
  <c r="X70" i="34"/>
  <c r="U70" i="34"/>
  <c r="R70" i="34"/>
  <c r="O70" i="34"/>
  <c r="L70" i="34"/>
  <c r="I70" i="34"/>
  <c r="F70" i="34"/>
  <c r="X69" i="34"/>
  <c r="U69" i="34"/>
  <c r="R69" i="34"/>
  <c r="O69" i="34"/>
  <c r="L69" i="34"/>
  <c r="I69" i="34"/>
  <c r="F69" i="34"/>
  <c r="X68" i="34"/>
  <c r="U68" i="34"/>
  <c r="R68" i="34"/>
  <c r="O68" i="34"/>
  <c r="L68" i="34"/>
  <c r="I68" i="34"/>
  <c r="F68" i="34"/>
  <c r="X67" i="34"/>
  <c r="U67" i="34"/>
  <c r="R67" i="34"/>
  <c r="O67" i="34"/>
  <c r="L67" i="34"/>
  <c r="I67" i="34"/>
  <c r="F67" i="34"/>
  <c r="X66" i="34"/>
  <c r="U66" i="34"/>
  <c r="R66" i="34"/>
  <c r="O66" i="34"/>
  <c r="L66" i="34"/>
  <c r="I66" i="34"/>
  <c r="F66" i="34"/>
  <c r="X65" i="34"/>
  <c r="U65" i="34"/>
  <c r="R65" i="34"/>
  <c r="O65" i="34"/>
  <c r="L65" i="34"/>
  <c r="I65" i="34"/>
  <c r="F65" i="34"/>
  <c r="X64" i="34"/>
  <c r="U64" i="34"/>
  <c r="R64" i="34"/>
  <c r="O64" i="34"/>
  <c r="L64" i="34"/>
  <c r="I64" i="34"/>
  <c r="F64" i="34"/>
  <c r="X63" i="34"/>
  <c r="U63" i="34"/>
  <c r="R63" i="34"/>
  <c r="O63" i="34"/>
  <c r="L63" i="34"/>
  <c r="I63" i="34"/>
  <c r="F63" i="34"/>
  <c r="X62" i="34"/>
  <c r="U62" i="34"/>
  <c r="R62" i="34"/>
  <c r="O62" i="34"/>
  <c r="L62" i="34"/>
  <c r="I62" i="34"/>
  <c r="F62" i="34"/>
  <c r="X61" i="34"/>
  <c r="U61" i="34"/>
  <c r="R61" i="34"/>
  <c r="O61" i="34"/>
  <c r="L61" i="34"/>
  <c r="I61" i="34"/>
  <c r="F61" i="34"/>
  <c r="X60" i="34"/>
  <c r="U60" i="34"/>
  <c r="R60" i="34"/>
  <c r="O60" i="34"/>
  <c r="L60" i="34"/>
  <c r="I60" i="34"/>
  <c r="F60" i="34"/>
  <c r="X59" i="34"/>
  <c r="U59" i="34"/>
  <c r="R59" i="34"/>
  <c r="O59" i="34"/>
  <c r="L59" i="34"/>
  <c r="I59" i="34"/>
  <c r="F59" i="34"/>
  <c r="X58" i="34"/>
  <c r="U58" i="34"/>
  <c r="R58" i="34"/>
  <c r="O58" i="34"/>
  <c r="L58" i="34"/>
  <c r="I58" i="34"/>
  <c r="F58" i="34"/>
  <c r="X57" i="34"/>
  <c r="U57" i="34"/>
  <c r="R57" i="34"/>
  <c r="O57" i="34"/>
  <c r="L57" i="34"/>
  <c r="I57" i="34"/>
  <c r="F57" i="34"/>
  <c r="X56" i="34"/>
  <c r="U56" i="34"/>
  <c r="R56" i="34"/>
  <c r="O56" i="34"/>
  <c r="L56" i="34"/>
  <c r="I56" i="34"/>
  <c r="F56" i="34"/>
  <c r="X55" i="34"/>
  <c r="U55" i="34"/>
  <c r="R55" i="34"/>
  <c r="O55" i="34"/>
  <c r="L55" i="34"/>
  <c r="I55" i="34"/>
  <c r="F55" i="34"/>
  <c r="X54" i="34"/>
  <c r="U54" i="34"/>
  <c r="R54" i="34"/>
  <c r="O54" i="34"/>
  <c r="L54" i="34"/>
  <c r="I54" i="34"/>
  <c r="F54" i="34"/>
  <c r="X53" i="34"/>
  <c r="U53" i="34"/>
  <c r="R53" i="34"/>
  <c r="O53" i="34"/>
  <c r="L53" i="34"/>
  <c r="I53" i="34"/>
  <c r="F53" i="34"/>
  <c r="X52" i="34"/>
  <c r="U52" i="34"/>
  <c r="R52" i="34"/>
  <c r="O52" i="34"/>
  <c r="L52" i="34"/>
  <c r="I52" i="34"/>
  <c r="F52" i="34"/>
  <c r="X51" i="34"/>
  <c r="U51" i="34"/>
  <c r="R51" i="34"/>
  <c r="O51" i="34"/>
  <c r="L51" i="34"/>
  <c r="I51" i="34"/>
  <c r="F51" i="34"/>
  <c r="X50" i="34"/>
  <c r="U50" i="34"/>
  <c r="R50" i="34"/>
  <c r="O50" i="34"/>
  <c r="L50" i="34"/>
  <c r="I50" i="34"/>
  <c r="F50" i="34"/>
  <c r="X49" i="34"/>
  <c r="U49" i="34"/>
  <c r="R49" i="34"/>
  <c r="O49" i="34"/>
  <c r="L49" i="34"/>
  <c r="I49" i="34"/>
  <c r="F49" i="34"/>
  <c r="X48" i="34"/>
  <c r="U48" i="34"/>
  <c r="R48" i="34"/>
  <c r="O48" i="34"/>
  <c r="L48" i="34"/>
  <c r="I48" i="34"/>
  <c r="F48" i="34"/>
  <c r="X47" i="34"/>
  <c r="U47" i="34"/>
  <c r="R47" i="34"/>
  <c r="O47" i="34"/>
  <c r="L47" i="34"/>
  <c r="I47" i="34"/>
  <c r="F47" i="34"/>
  <c r="X46" i="34"/>
  <c r="U46" i="34"/>
  <c r="R46" i="34"/>
  <c r="O46" i="34"/>
  <c r="L46" i="34"/>
  <c r="I46" i="34"/>
  <c r="F46" i="34"/>
  <c r="X45" i="34"/>
  <c r="U45" i="34"/>
  <c r="R45" i="34"/>
  <c r="O45" i="34"/>
  <c r="L45" i="34"/>
  <c r="I45" i="34"/>
  <c r="F45" i="34"/>
  <c r="X44" i="34"/>
  <c r="U44" i="34"/>
  <c r="R44" i="34"/>
  <c r="O44" i="34"/>
  <c r="L44" i="34"/>
  <c r="I44" i="34"/>
  <c r="F44" i="34"/>
  <c r="X43" i="34"/>
  <c r="U43" i="34"/>
  <c r="R43" i="34"/>
  <c r="O43" i="34"/>
  <c r="L43" i="34"/>
  <c r="I43" i="34"/>
  <c r="F43" i="34"/>
  <c r="X42" i="34"/>
  <c r="U42" i="34"/>
  <c r="R42" i="34"/>
  <c r="O42" i="34"/>
  <c r="L42" i="34"/>
  <c r="I42" i="34"/>
  <c r="F42" i="34"/>
  <c r="X41" i="34"/>
  <c r="U41" i="34"/>
  <c r="R41" i="34"/>
  <c r="O41" i="34"/>
  <c r="L41" i="34"/>
  <c r="I41" i="34"/>
  <c r="F41" i="34"/>
  <c r="X40" i="34"/>
  <c r="U40" i="34"/>
  <c r="R40" i="34"/>
  <c r="O40" i="34"/>
  <c r="L40" i="34"/>
  <c r="I40" i="34"/>
  <c r="F40" i="34"/>
  <c r="X39" i="34"/>
  <c r="U39" i="34"/>
  <c r="R39" i="34"/>
  <c r="O39" i="34"/>
  <c r="L39" i="34"/>
  <c r="I39" i="34"/>
  <c r="F39" i="34"/>
  <c r="X38" i="34"/>
  <c r="U38" i="34"/>
  <c r="R38" i="34"/>
  <c r="O38" i="34"/>
  <c r="L38" i="34"/>
  <c r="I38" i="34"/>
  <c r="F38" i="34"/>
  <c r="X37" i="34"/>
  <c r="U37" i="34"/>
  <c r="R37" i="34"/>
  <c r="O37" i="34"/>
  <c r="L37" i="34"/>
  <c r="I37" i="34"/>
  <c r="F37" i="34"/>
  <c r="X36" i="34"/>
  <c r="U36" i="34"/>
  <c r="R36" i="34"/>
  <c r="O36" i="34"/>
  <c r="L36" i="34"/>
  <c r="I36" i="34"/>
  <c r="F36" i="34"/>
  <c r="X35" i="34"/>
  <c r="U35" i="34"/>
  <c r="R35" i="34"/>
  <c r="O35" i="34"/>
  <c r="L35" i="34"/>
  <c r="I35" i="34"/>
  <c r="F35" i="34"/>
  <c r="X34" i="34"/>
  <c r="U34" i="34"/>
  <c r="R34" i="34"/>
  <c r="O34" i="34"/>
  <c r="L34" i="34"/>
  <c r="I34" i="34"/>
  <c r="F34" i="34"/>
  <c r="X33" i="34"/>
  <c r="U33" i="34"/>
  <c r="R33" i="34"/>
  <c r="O33" i="34"/>
  <c r="L33" i="34"/>
  <c r="I33" i="34"/>
  <c r="F33" i="34"/>
  <c r="X32" i="34"/>
  <c r="U32" i="34"/>
  <c r="R32" i="34"/>
  <c r="O32" i="34"/>
  <c r="L32" i="34"/>
  <c r="I32" i="34"/>
  <c r="F32" i="34"/>
  <c r="X31" i="34"/>
  <c r="U31" i="34"/>
  <c r="R31" i="34"/>
  <c r="O31" i="34"/>
  <c r="L31" i="34"/>
  <c r="I31" i="34"/>
  <c r="F31" i="34"/>
  <c r="X30" i="34"/>
  <c r="U30" i="34"/>
  <c r="R30" i="34"/>
  <c r="O30" i="34"/>
  <c r="L30" i="34"/>
  <c r="I30" i="34"/>
  <c r="F30" i="34"/>
  <c r="X29" i="34"/>
  <c r="U29" i="34"/>
  <c r="R29" i="34"/>
  <c r="O29" i="34"/>
  <c r="L29" i="34"/>
  <c r="I29" i="34"/>
  <c r="F29" i="34"/>
  <c r="X28" i="34"/>
  <c r="U28" i="34"/>
  <c r="R28" i="34"/>
  <c r="O28" i="34"/>
  <c r="L28" i="34"/>
  <c r="I28" i="34"/>
  <c r="F28" i="34"/>
  <c r="X27" i="34"/>
  <c r="U27" i="34"/>
  <c r="R27" i="34"/>
  <c r="O27" i="34"/>
  <c r="L27" i="34"/>
  <c r="I27" i="34"/>
  <c r="F27" i="34"/>
  <c r="X26" i="34"/>
  <c r="U26" i="34"/>
  <c r="R26" i="34"/>
  <c r="O26" i="34"/>
  <c r="L26" i="34"/>
  <c r="I26" i="34"/>
  <c r="F26" i="34"/>
  <c r="X25" i="34"/>
  <c r="U25" i="34"/>
  <c r="R25" i="34"/>
  <c r="O25" i="34"/>
  <c r="L25" i="34"/>
  <c r="I25" i="34"/>
  <c r="F25" i="34"/>
  <c r="X24" i="34"/>
  <c r="U24" i="34"/>
  <c r="R24" i="34"/>
  <c r="O24" i="34"/>
  <c r="L24" i="34"/>
  <c r="I24" i="34"/>
  <c r="F24" i="34"/>
  <c r="X23" i="34"/>
  <c r="U23" i="34"/>
  <c r="R23" i="34"/>
  <c r="O23" i="34"/>
  <c r="L23" i="34"/>
  <c r="I23" i="34"/>
  <c r="F23" i="34"/>
  <c r="X22" i="34"/>
  <c r="U22" i="34"/>
  <c r="R22" i="34"/>
  <c r="O22" i="34"/>
  <c r="L22" i="34"/>
  <c r="I22" i="34"/>
  <c r="F22" i="34"/>
  <c r="X21" i="34"/>
  <c r="U21" i="34"/>
  <c r="R21" i="34"/>
  <c r="O21" i="34"/>
  <c r="L21" i="34"/>
  <c r="I21" i="34"/>
  <c r="F21" i="34"/>
  <c r="X20" i="34"/>
  <c r="U20" i="34"/>
  <c r="R20" i="34"/>
  <c r="O20" i="34"/>
  <c r="L20" i="34"/>
  <c r="I20" i="34"/>
  <c r="F20" i="34"/>
  <c r="X19" i="34"/>
  <c r="U19" i="34"/>
  <c r="R19" i="34"/>
  <c r="O19" i="34"/>
  <c r="L19" i="34"/>
  <c r="I19" i="34"/>
  <c r="F19" i="34"/>
  <c r="X18" i="34"/>
  <c r="U18" i="34"/>
  <c r="R18" i="34"/>
  <c r="O18" i="34"/>
  <c r="L18" i="34"/>
  <c r="I18" i="34"/>
  <c r="F18" i="34"/>
  <c r="X17" i="34"/>
  <c r="U17" i="34"/>
  <c r="R17" i="34"/>
  <c r="O17" i="34"/>
  <c r="L17" i="34"/>
  <c r="I17" i="34"/>
  <c r="F17" i="34"/>
  <c r="X16" i="34"/>
  <c r="U16" i="34"/>
  <c r="R16" i="34"/>
  <c r="O16" i="34"/>
  <c r="L16" i="34"/>
  <c r="I16" i="34"/>
  <c r="F16" i="34"/>
  <c r="X15" i="34"/>
  <c r="U15" i="34"/>
  <c r="R15" i="34"/>
  <c r="O15" i="34"/>
  <c r="L15" i="34"/>
  <c r="I15" i="34"/>
  <c r="F15" i="34"/>
  <c r="X14" i="34"/>
  <c r="U14" i="34"/>
  <c r="R14" i="34"/>
  <c r="O14" i="34"/>
  <c r="L14" i="34"/>
  <c r="I14" i="34"/>
  <c r="F14" i="34"/>
  <c r="X13" i="34"/>
  <c r="U13" i="34"/>
  <c r="R13" i="34"/>
  <c r="O13" i="34"/>
  <c r="L13" i="34"/>
  <c r="I13" i="34"/>
  <c r="F13" i="34"/>
  <c r="X12" i="34"/>
  <c r="U12" i="34"/>
  <c r="R12" i="34"/>
  <c r="O12" i="34"/>
  <c r="L12" i="34"/>
  <c r="I12" i="34"/>
  <c r="F12" i="34"/>
  <c r="X11" i="34"/>
  <c r="U11" i="34"/>
  <c r="R11" i="34"/>
  <c r="O11" i="34"/>
  <c r="L11" i="34"/>
  <c r="I11" i="34"/>
  <c r="F11" i="34"/>
  <c r="X10" i="34"/>
  <c r="U10" i="34"/>
  <c r="R10" i="34"/>
  <c r="O10" i="34"/>
  <c r="L10" i="34"/>
  <c r="I10" i="34"/>
  <c r="F10" i="34"/>
  <c r="X9" i="34"/>
  <c r="U9" i="34"/>
  <c r="R9" i="34"/>
  <c r="O9" i="34"/>
  <c r="L9" i="34"/>
  <c r="I9" i="34"/>
  <c r="F9" i="34"/>
  <c r="X8" i="34"/>
  <c r="U8" i="34"/>
  <c r="R8" i="34"/>
  <c r="O8" i="34"/>
  <c r="L8" i="34"/>
  <c r="I8" i="34"/>
  <c r="F8" i="34"/>
  <c r="X7" i="34"/>
  <c r="U7" i="34"/>
  <c r="R7" i="34"/>
  <c r="O7" i="34"/>
  <c r="L7" i="34"/>
  <c r="I7" i="34"/>
  <c r="F7" i="34"/>
  <c r="X6" i="34"/>
  <c r="U6" i="34"/>
  <c r="R6" i="34"/>
  <c r="O6" i="34"/>
  <c r="L6" i="34"/>
  <c r="I6" i="34"/>
  <c r="F6" i="34"/>
  <c r="X5" i="34"/>
  <c r="U5" i="34"/>
  <c r="R5" i="34"/>
  <c r="O5" i="34"/>
  <c r="L5" i="34"/>
  <c r="I5" i="34"/>
  <c r="F5" i="34"/>
  <c r="X4" i="34"/>
  <c r="U4" i="34"/>
  <c r="R4" i="34"/>
  <c r="O4" i="34"/>
  <c r="L4" i="34"/>
  <c r="I4" i="34"/>
  <c r="F4" i="34"/>
  <c r="X98" i="33"/>
  <c r="U98" i="33"/>
  <c r="R98" i="33"/>
  <c r="O98" i="33"/>
  <c r="L98" i="33"/>
  <c r="I98" i="33"/>
  <c r="F98" i="33"/>
  <c r="X97" i="33"/>
  <c r="U97" i="33"/>
  <c r="R97" i="33"/>
  <c r="O97" i="33"/>
  <c r="L97" i="33"/>
  <c r="I97" i="33"/>
  <c r="F97" i="33"/>
  <c r="X96" i="33"/>
  <c r="U96" i="33"/>
  <c r="R96" i="33"/>
  <c r="O96" i="33"/>
  <c r="L96" i="33"/>
  <c r="I96" i="33"/>
  <c r="F96" i="33"/>
  <c r="X95" i="33"/>
  <c r="U95" i="33"/>
  <c r="R95" i="33"/>
  <c r="O95" i="33"/>
  <c r="L95" i="33"/>
  <c r="I95" i="33"/>
  <c r="F95" i="33"/>
  <c r="X94" i="33"/>
  <c r="U94" i="33"/>
  <c r="R94" i="33"/>
  <c r="O94" i="33"/>
  <c r="L94" i="33"/>
  <c r="I94" i="33"/>
  <c r="F94" i="33"/>
  <c r="X93" i="33"/>
  <c r="U93" i="33"/>
  <c r="R93" i="33"/>
  <c r="O93" i="33"/>
  <c r="L93" i="33"/>
  <c r="I93" i="33"/>
  <c r="F93" i="33"/>
  <c r="X92" i="33"/>
  <c r="U92" i="33"/>
  <c r="R92" i="33"/>
  <c r="O92" i="33"/>
  <c r="L92" i="33"/>
  <c r="I92" i="33"/>
  <c r="F92" i="33"/>
  <c r="X91" i="33"/>
  <c r="U91" i="33"/>
  <c r="R91" i="33"/>
  <c r="O91" i="33"/>
  <c r="L91" i="33"/>
  <c r="I91" i="33"/>
  <c r="F91" i="33"/>
  <c r="X90" i="33"/>
  <c r="U90" i="33"/>
  <c r="R90" i="33"/>
  <c r="O90" i="33"/>
  <c r="L90" i="33"/>
  <c r="I90" i="33"/>
  <c r="F90" i="33"/>
  <c r="X89" i="33"/>
  <c r="U89" i="33"/>
  <c r="R89" i="33"/>
  <c r="O89" i="33"/>
  <c r="L89" i="33"/>
  <c r="I89" i="33"/>
  <c r="F89" i="33"/>
  <c r="X88" i="33"/>
  <c r="U88" i="33"/>
  <c r="R88" i="33"/>
  <c r="O88" i="33"/>
  <c r="L88" i="33"/>
  <c r="I88" i="33"/>
  <c r="F88" i="33"/>
  <c r="X87" i="33"/>
  <c r="U87" i="33"/>
  <c r="R87" i="33"/>
  <c r="O87" i="33"/>
  <c r="L87" i="33"/>
  <c r="I87" i="33"/>
  <c r="F87" i="33"/>
  <c r="X86" i="33"/>
  <c r="U86" i="33"/>
  <c r="R86" i="33"/>
  <c r="O86" i="33"/>
  <c r="L86" i="33"/>
  <c r="I86" i="33"/>
  <c r="F86" i="33"/>
  <c r="X85" i="33"/>
  <c r="U85" i="33"/>
  <c r="R85" i="33"/>
  <c r="O85" i="33"/>
  <c r="L85" i="33"/>
  <c r="I85" i="33"/>
  <c r="F85" i="33"/>
  <c r="X84" i="33"/>
  <c r="U84" i="33"/>
  <c r="R84" i="33"/>
  <c r="O84" i="33"/>
  <c r="L84" i="33"/>
  <c r="I84" i="33"/>
  <c r="F84" i="33"/>
  <c r="X83" i="33"/>
  <c r="U83" i="33"/>
  <c r="R83" i="33"/>
  <c r="O83" i="33"/>
  <c r="L83" i="33"/>
  <c r="I83" i="33"/>
  <c r="F83" i="33"/>
  <c r="X82" i="33"/>
  <c r="U82" i="33"/>
  <c r="R82" i="33"/>
  <c r="O82" i="33"/>
  <c r="L82" i="33"/>
  <c r="I82" i="33"/>
  <c r="F82" i="33"/>
  <c r="X81" i="33"/>
  <c r="U81" i="33"/>
  <c r="R81" i="33"/>
  <c r="O81" i="33"/>
  <c r="L81" i="33"/>
  <c r="I81" i="33"/>
  <c r="F81" i="33"/>
  <c r="X80" i="33"/>
  <c r="U80" i="33"/>
  <c r="R80" i="33"/>
  <c r="O80" i="33"/>
  <c r="L80" i="33"/>
  <c r="I80" i="33"/>
  <c r="F80" i="33"/>
  <c r="X79" i="33"/>
  <c r="U79" i="33"/>
  <c r="R79" i="33"/>
  <c r="O79" i="33"/>
  <c r="L79" i="33"/>
  <c r="I79" i="33"/>
  <c r="F79" i="33"/>
  <c r="X78" i="33"/>
  <c r="U78" i="33"/>
  <c r="R78" i="33"/>
  <c r="O78" i="33"/>
  <c r="L78" i="33"/>
  <c r="I78" i="33"/>
  <c r="F78" i="33"/>
  <c r="X77" i="33"/>
  <c r="U77" i="33"/>
  <c r="R77" i="33"/>
  <c r="O77" i="33"/>
  <c r="L77" i="33"/>
  <c r="I77" i="33"/>
  <c r="F77" i="33"/>
  <c r="X76" i="33"/>
  <c r="U76" i="33"/>
  <c r="R76" i="33"/>
  <c r="O76" i="33"/>
  <c r="L76" i="33"/>
  <c r="I76" i="33"/>
  <c r="F76" i="33"/>
  <c r="X75" i="33"/>
  <c r="U75" i="33"/>
  <c r="R75" i="33"/>
  <c r="O75" i="33"/>
  <c r="L75" i="33"/>
  <c r="I75" i="33"/>
  <c r="F75" i="33"/>
  <c r="X74" i="33"/>
  <c r="U74" i="33"/>
  <c r="R74" i="33"/>
  <c r="O74" i="33"/>
  <c r="L74" i="33"/>
  <c r="I74" i="33"/>
  <c r="F74" i="33"/>
  <c r="X73" i="33"/>
  <c r="U73" i="33"/>
  <c r="R73" i="33"/>
  <c r="O73" i="33"/>
  <c r="L73" i="33"/>
  <c r="I73" i="33"/>
  <c r="F73" i="33"/>
  <c r="X72" i="33"/>
  <c r="U72" i="33"/>
  <c r="R72" i="33"/>
  <c r="O72" i="33"/>
  <c r="L72" i="33"/>
  <c r="I72" i="33"/>
  <c r="F72" i="33"/>
  <c r="X71" i="33"/>
  <c r="U71" i="33"/>
  <c r="R71" i="33"/>
  <c r="O71" i="33"/>
  <c r="L71" i="33"/>
  <c r="I71" i="33"/>
  <c r="F71" i="33"/>
  <c r="X70" i="33"/>
  <c r="U70" i="33"/>
  <c r="R70" i="33"/>
  <c r="O70" i="33"/>
  <c r="L70" i="33"/>
  <c r="I70" i="33"/>
  <c r="F70" i="33"/>
  <c r="X69" i="33"/>
  <c r="U69" i="33"/>
  <c r="R69" i="33"/>
  <c r="O69" i="33"/>
  <c r="L69" i="33"/>
  <c r="I69" i="33"/>
  <c r="F69" i="33"/>
  <c r="X68" i="33"/>
  <c r="U68" i="33"/>
  <c r="R68" i="33"/>
  <c r="O68" i="33"/>
  <c r="L68" i="33"/>
  <c r="I68" i="33"/>
  <c r="F68" i="33"/>
  <c r="X67" i="33"/>
  <c r="U67" i="33"/>
  <c r="R67" i="33"/>
  <c r="O67" i="33"/>
  <c r="L67" i="33"/>
  <c r="I67" i="33"/>
  <c r="F67" i="33"/>
  <c r="X66" i="33"/>
  <c r="U66" i="33"/>
  <c r="R66" i="33"/>
  <c r="O66" i="33"/>
  <c r="L66" i="33"/>
  <c r="I66" i="33"/>
  <c r="F66" i="33"/>
  <c r="X65" i="33"/>
  <c r="U65" i="33"/>
  <c r="R65" i="33"/>
  <c r="O65" i="33"/>
  <c r="L65" i="33"/>
  <c r="I65" i="33"/>
  <c r="F65" i="33"/>
  <c r="X64" i="33"/>
  <c r="U64" i="33"/>
  <c r="R64" i="33"/>
  <c r="O64" i="33"/>
  <c r="L64" i="33"/>
  <c r="I64" i="33"/>
  <c r="F64" i="33"/>
  <c r="X63" i="33"/>
  <c r="U63" i="33"/>
  <c r="R63" i="33"/>
  <c r="O63" i="33"/>
  <c r="L63" i="33"/>
  <c r="I63" i="33"/>
  <c r="F63" i="33"/>
  <c r="X62" i="33"/>
  <c r="U62" i="33"/>
  <c r="R62" i="33"/>
  <c r="O62" i="33"/>
  <c r="L62" i="33"/>
  <c r="I62" i="33"/>
  <c r="F62" i="33"/>
  <c r="X61" i="33"/>
  <c r="U61" i="33"/>
  <c r="R61" i="33"/>
  <c r="O61" i="33"/>
  <c r="L61" i="33"/>
  <c r="I61" i="33"/>
  <c r="F61" i="33"/>
  <c r="X60" i="33"/>
  <c r="U60" i="33"/>
  <c r="R60" i="33"/>
  <c r="O60" i="33"/>
  <c r="L60" i="33"/>
  <c r="I60" i="33"/>
  <c r="F60" i="33"/>
  <c r="X59" i="33"/>
  <c r="U59" i="33"/>
  <c r="R59" i="33"/>
  <c r="O59" i="33"/>
  <c r="L59" i="33"/>
  <c r="I59" i="33"/>
  <c r="F59" i="33"/>
  <c r="X58" i="33"/>
  <c r="U58" i="33"/>
  <c r="R58" i="33"/>
  <c r="O58" i="33"/>
  <c r="L58" i="33"/>
  <c r="I58" i="33"/>
  <c r="F58" i="33"/>
  <c r="X57" i="33"/>
  <c r="U57" i="33"/>
  <c r="R57" i="33"/>
  <c r="O57" i="33"/>
  <c r="L57" i="33"/>
  <c r="I57" i="33"/>
  <c r="F57" i="33"/>
  <c r="X56" i="33"/>
  <c r="U56" i="33"/>
  <c r="R56" i="33"/>
  <c r="O56" i="33"/>
  <c r="L56" i="33"/>
  <c r="I56" i="33"/>
  <c r="F56" i="33"/>
  <c r="X55" i="33"/>
  <c r="U55" i="33"/>
  <c r="R55" i="33"/>
  <c r="O55" i="33"/>
  <c r="L55" i="33"/>
  <c r="I55" i="33"/>
  <c r="F55" i="33"/>
  <c r="X54" i="33"/>
  <c r="U54" i="33"/>
  <c r="R54" i="33"/>
  <c r="O54" i="33"/>
  <c r="L54" i="33"/>
  <c r="I54" i="33"/>
  <c r="F54" i="33"/>
  <c r="X53" i="33"/>
  <c r="U53" i="33"/>
  <c r="R53" i="33"/>
  <c r="O53" i="33"/>
  <c r="L53" i="33"/>
  <c r="I53" i="33"/>
  <c r="F53" i="33"/>
  <c r="X52" i="33"/>
  <c r="U52" i="33"/>
  <c r="R52" i="33"/>
  <c r="O52" i="33"/>
  <c r="L52" i="33"/>
  <c r="I52" i="33"/>
  <c r="F52" i="33"/>
  <c r="X51" i="33"/>
  <c r="U51" i="33"/>
  <c r="R51" i="33"/>
  <c r="O51" i="33"/>
  <c r="L51" i="33"/>
  <c r="I51" i="33"/>
  <c r="F51" i="33"/>
  <c r="X50" i="33"/>
  <c r="U50" i="33"/>
  <c r="R50" i="33"/>
  <c r="O50" i="33"/>
  <c r="L50" i="33"/>
  <c r="I50" i="33"/>
  <c r="F50" i="33"/>
  <c r="X49" i="33"/>
  <c r="U49" i="33"/>
  <c r="R49" i="33"/>
  <c r="O49" i="33"/>
  <c r="L49" i="33"/>
  <c r="I49" i="33"/>
  <c r="F49" i="33"/>
  <c r="X48" i="33"/>
  <c r="U48" i="33"/>
  <c r="R48" i="33"/>
  <c r="O48" i="33"/>
  <c r="L48" i="33"/>
  <c r="I48" i="33"/>
  <c r="F48" i="33"/>
  <c r="X47" i="33"/>
  <c r="U47" i="33"/>
  <c r="R47" i="33"/>
  <c r="O47" i="33"/>
  <c r="L47" i="33"/>
  <c r="I47" i="33"/>
  <c r="F47" i="33"/>
  <c r="X46" i="33"/>
  <c r="U46" i="33"/>
  <c r="R46" i="33"/>
  <c r="O46" i="33"/>
  <c r="L46" i="33"/>
  <c r="I46" i="33"/>
  <c r="F46" i="33"/>
  <c r="X45" i="33"/>
  <c r="U45" i="33"/>
  <c r="R45" i="33"/>
  <c r="O45" i="33"/>
  <c r="L45" i="33"/>
  <c r="I45" i="33"/>
  <c r="F45" i="33"/>
  <c r="X44" i="33"/>
  <c r="U44" i="33"/>
  <c r="R44" i="33"/>
  <c r="O44" i="33"/>
  <c r="L44" i="33"/>
  <c r="I44" i="33"/>
  <c r="F44" i="33"/>
  <c r="X43" i="33"/>
  <c r="U43" i="33"/>
  <c r="R43" i="33"/>
  <c r="O43" i="33"/>
  <c r="L43" i="33"/>
  <c r="I43" i="33"/>
  <c r="F43" i="33"/>
  <c r="X42" i="33"/>
  <c r="U42" i="33"/>
  <c r="R42" i="33"/>
  <c r="O42" i="33"/>
  <c r="L42" i="33"/>
  <c r="I42" i="33"/>
  <c r="F42" i="33"/>
  <c r="X41" i="33"/>
  <c r="U41" i="33"/>
  <c r="R41" i="33"/>
  <c r="O41" i="33"/>
  <c r="L41" i="33"/>
  <c r="I41" i="33"/>
  <c r="F41" i="33"/>
  <c r="X40" i="33"/>
  <c r="U40" i="33"/>
  <c r="R40" i="33"/>
  <c r="O40" i="33"/>
  <c r="L40" i="33"/>
  <c r="I40" i="33"/>
  <c r="F40" i="33"/>
  <c r="X39" i="33"/>
  <c r="U39" i="33"/>
  <c r="R39" i="33"/>
  <c r="O39" i="33"/>
  <c r="L39" i="33"/>
  <c r="I39" i="33"/>
  <c r="F39" i="33"/>
  <c r="X38" i="33"/>
  <c r="U38" i="33"/>
  <c r="R38" i="33"/>
  <c r="O38" i="33"/>
  <c r="L38" i="33"/>
  <c r="I38" i="33"/>
  <c r="F38" i="33"/>
  <c r="X37" i="33"/>
  <c r="U37" i="33"/>
  <c r="R37" i="33"/>
  <c r="O37" i="33"/>
  <c r="L37" i="33"/>
  <c r="I37" i="33"/>
  <c r="F37" i="33"/>
  <c r="X36" i="33"/>
  <c r="U36" i="33"/>
  <c r="R36" i="33"/>
  <c r="O36" i="33"/>
  <c r="L36" i="33"/>
  <c r="I36" i="33"/>
  <c r="F36" i="33"/>
  <c r="X35" i="33"/>
  <c r="U35" i="33"/>
  <c r="R35" i="33"/>
  <c r="O35" i="33"/>
  <c r="L35" i="33"/>
  <c r="I35" i="33"/>
  <c r="F35" i="33"/>
  <c r="X34" i="33"/>
  <c r="U34" i="33"/>
  <c r="R34" i="33"/>
  <c r="O34" i="33"/>
  <c r="L34" i="33"/>
  <c r="I34" i="33"/>
  <c r="F34" i="33"/>
  <c r="X33" i="33"/>
  <c r="U33" i="33"/>
  <c r="R33" i="33"/>
  <c r="O33" i="33"/>
  <c r="L33" i="33"/>
  <c r="I33" i="33"/>
  <c r="F33" i="33"/>
  <c r="X32" i="33"/>
  <c r="U32" i="33"/>
  <c r="R32" i="33"/>
  <c r="O32" i="33"/>
  <c r="L32" i="33"/>
  <c r="I32" i="33"/>
  <c r="F32" i="33"/>
  <c r="X31" i="33"/>
  <c r="U31" i="33"/>
  <c r="R31" i="33"/>
  <c r="O31" i="33"/>
  <c r="L31" i="33"/>
  <c r="I31" i="33"/>
  <c r="F31" i="33"/>
  <c r="X30" i="33"/>
  <c r="U30" i="33"/>
  <c r="R30" i="33"/>
  <c r="O30" i="33"/>
  <c r="L30" i="33"/>
  <c r="I30" i="33"/>
  <c r="F30" i="33"/>
  <c r="X29" i="33"/>
  <c r="U29" i="33"/>
  <c r="R29" i="33"/>
  <c r="O29" i="33"/>
  <c r="L29" i="33"/>
  <c r="I29" i="33"/>
  <c r="F29" i="33"/>
  <c r="X28" i="33"/>
  <c r="U28" i="33"/>
  <c r="R28" i="33"/>
  <c r="O28" i="33"/>
  <c r="L28" i="33"/>
  <c r="I28" i="33"/>
  <c r="F28" i="33"/>
  <c r="X27" i="33"/>
  <c r="U27" i="33"/>
  <c r="R27" i="33"/>
  <c r="O27" i="33"/>
  <c r="L27" i="33"/>
  <c r="I27" i="33"/>
  <c r="F27" i="33"/>
  <c r="X26" i="33"/>
  <c r="U26" i="33"/>
  <c r="R26" i="33"/>
  <c r="O26" i="33"/>
  <c r="L26" i="33"/>
  <c r="I26" i="33"/>
  <c r="F26" i="33"/>
  <c r="X25" i="33"/>
  <c r="U25" i="33"/>
  <c r="R25" i="33"/>
  <c r="O25" i="33"/>
  <c r="L25" i="33"/>
  <c r="I25" i="33"/>
  <c r="F25" i="33"/>
  <c r="X24" i="33"/>
  <c r="U24" i="33"/>
  <c r="R24" i="33"/>
  <c r="O24" i="33"/>
  <c r="L24" i="33"/>
  <c r="I24" i="33"/>
  <c r="F24" i="33"/>
  <c r="X23" i="33"/>
  <c r="U23" i="33"/>
  <c r="R23" i="33"/>
  <c r="O23" i="33"/>
  <c r="L23" i="33"/>
  <c r="I23" i="33"/>
  <c r="F23" i="33"/>
  <c r="X22" i="33"/>
  <c r="U22" i="33"/>
  <c r="R22" i="33"/>
  <c r="O22" i="33"/>
  <c r="L22" i="33"/>
  <c r="I22" i="33"/>
  <c r="F22" i="33"/>
  <c r="X21" i="33"/>
  <c r="U21" i="33"/>
  <c r="R21" i="33"/>
  <c r="O21" i="33"/>
  <c r="L21" i="33"/>
  <c r="I21" i="33"/>
  <c r="F21" i="33"/>
  <c r="X20" i="33"/>
  <c r="U20" i="33"/>
  <c r="R20" i="33"/>
  <c r="O20" i="33"/>
  <c r="L20" i="33"/>
  <c r="I20" i="33"/>
  <c r="F20" i="33"/>
  <c r="X19" i="33"/>
  <c r="U19" i="33"/>
  <c r="R19" i="33"/>
  <c r="O19" i="33"/>
  <c r="L19" i="33"/>
  <c r="I19" i="33"/>
  <c r="F19" i="33"/>
  <c r="X18" i="33"/>
  <c r="U18" i="33"/>
  <c r="R18" i="33"/>
  <c r="O18" i="33"/>
  <c r="L18" i="33"/>
  <c r="I18" i="33"/>
  <c r="F18" i="33"/>
  <c r="X17" i="33"/>
  <c r="U17" i="33"/>
  <c r="R17" i="33"/>
  <c r="O17" i="33"/>
  <c r="L17" i="33"/>
  <c r="I17" i="33"/>
  <c r="F17" i="33"/>
  <c r="X16" i="33"/>
  <c r="U16" i="33"/>
  <c r="R16" i="33"/>
  <c r="O16" i="33"/>
  <c r="L16" i="33"/>
  <c r="I16" i="33"/>
  <c r="F16" i="33"/>
  <c r="X15" i="33"/>
  <c r="U15" i="33"/>
  <c r="R15" i="33"/>
  <c r="O15" i="33"/>
  <c r="L15" i="33"/>
  <c r="I15" i="33"/>
  <c r="F15" i="33"/>
  <c r="X14" i="33"/>
  <c r="U14" i="33"/>
  <c r="R14" i="33"/>
  <c r="O14" i="33"/>
  <c r="L14" i="33"/>
  <c r="I14" i="33"/>
  <c r="F14" i="33"/>
  <c r="X13" i="33"/>
  <c r="U13" i="33"/>
  <c r="R13" i="33"/>
  <c r="O13" i="33"/>
  <c r="L13" i="33"/>
  <c r="I13" i="33"/>
  <c r="F13" i="33"/>
  <c r="X12" i="33"/>
  <c r="U12" i="33"/>
  <c r="R12" i="33"/>
  <c r="O12" i="33"/>
  <c r="L12" i="33"/>
  <c r="I12" i="33"/>
  <c r="F12" i="33"/>
  <c r="X11" i="33"/>
  <c r="U11" i="33"/>
  <c r="R11" i="33"/>
  <c r="O11" i="33"/>
  <c r="L11" i="33"/>
  <c r="I11" i="33"/>
  <c r="F11" i="33"/>
  <c r="X10" i="33"/>
  <c r="U10" i="33"/>
  <c r="R10" i="33"/>
  <c r="O10" i="33"/>
  <c r="L10" i="33"/>
  <c r="I10" i="33"/>
  <c r="F10" i="33"/>
  <c r="X9" i="33"/>
  <c r="U9" i="33"/>
  <c r="R9" i="33"/>
  <c r="O9" i="33"/>
  <c r="L9" i="33"/>
  <c r="I9" i="33"/>
  <c r="F9" i="33"/>
  <c r="X8" i="33"/>
  <c r="U8" i="33"/>
  <c r="R8" i="33"/>
  <c r="O8" i="33"/>
  <c r="L8" i="33"/>
  <c r="I8" i="33"/>
  <c r="F8" i="33"/>
  <c r="X7" i="33"/>
  <c r="U7" i="33"/>
  <c r="R7" i="33"/>
  <c r="O7" i="33"/>
  <c r="L7" i="33"/>
  <c r="I7" i="33"/>
  <c r="F7" i="33"/>
  <c r="X6" i="33"/>
  <c r="U6" i="33"/>
  <c r="R6" i="33"/>
  <c r="O6" i="33"/>
  <c r="L6" i="33"/>
  <c r="I6" i="33"/>
  <c r="F6" i="33"/>
  <c r="X5" i="33"/>
  <c r="U5" i="33"/>
  <c r="R5" i="33"/>
  <c r="O5" i="33"/>
  <c r="L5" i="33"/>
  <c r="I5" i="33"/>
  <c r="F5" i="33"/>
  <c r="X4" i="33"/>
  <c r="U4" i="33"/>
  <c r="R4" i="33"/>
  <c r="O4" i="33"/>
  <c r="L4" i="33"/>
  <c r="I4" i="33"/>
  <c r="F4" i="33"/>
  <c r="X98" i="32"/>
  <c r="U98" i="32"/>
  <c r="R98" i="32"/>
  <c r="O98" i="32"/>
  <c r="L98" i="32"/>
  <c r="I98" i="32"/>
  <c r="F98" i="32"/>
  <c r="X97" i="32"/>
  <c r="U97" i="32"/>
  <c r="R97" i="32"/>
  <c r="O97" i="32"/>
  <c r="L97" i="32"/>
  <c r="I97" i="32"/>
  <c r="F97" i="32"/>
  <c r="X96" i="32"/>
  <c r="U96" i="32"/>
  <c r="R96" i="32"/>
  <c r="O96" i="32"/>
  <c r="L96" i="32"/>
  <c r="I96" i="32"/>
  <c r="F96" i="32"/>
  <c r="X95" i="32"/>
  <c r="U95" i="32"/>
  <c r="R95" i="32"/>
  <c r="O95" i="32"/>
  <c r="L95" i="32"/>
  <c r="I95" i="32"/>
  <c r="F95" i="32"/>
  <c r="X94" i="32"/>
  <c r="U94" i="32"/>
  <c r="R94" i="32"/>
  <c r="O94" i="32"/>
  <c r="L94" i="32"/>
  <c r="I94" i="32"/>
  <c r="F94" i="32"/>
  <c r="X93" i="32"/>
  <c r="U93" i="32"/>
  <c r="R93" i="32"/>
  <c r="O93" i="32"/>
  <c r="L93" i="32"/>
  <c r="I93" i="32"/>
  <c r="F93" i="32"/>
  <c r="X92" i="32"/>
  <c r="U92" i="32"/>
  <c r="R92" i="32"/>
  <c r="O92" i="32"/>
  <c r="L92" i="32"/>
  <c r="I92" i="32"/>
  <c r="F92" i="32"/>
  <c r="X91" i="32"/>
  <c r="U91" i="32"/>
  <c r="R91" i="32"/>
  <c r="O91" i="32"/>
  <c r="L91" i="32"/>
  <c r="I91" i="32"/>
  <c r="F91" i="32"/>
  <c r="X90" i="32"/>
  <c r="U90" i="32"/>
  <c r="R90" i="32"/>
  <c r="O90" i="32"/>
  <c r="L90" i="32"/>
  <c r="I90" i="32"/>
  <c r="F90" i="32"/>
  <c r="X89" i="32"/>
  <c r="U89" i="32"/>
  <c r="R89" i="32"/>
  <c r="O89" i="32"/>
  <c r="L89" i="32"/>
  <c r="I89" i="32"/>
  <c r="F89" i="32"/>
  <c r="X88" i="32"/>
  <c r="U88" i="32"/>
  <c r="R88" i="32"/>
  <c r="O88" i="32"/>
  <c r="L88" i="32"/>
  <c r="I88" i="32"/>
  <c r="F88" i="32"/>
  <c r="X87" i="32"/>
  <c r="U87" i="32"/>
  <c r="R87" i="32"/>
  <c r="O87" i="32"/>
  <c r="L87" i="32"/>
  <c r="I87" i="32"/>
  <c r="F87" i="32"/>
  <c r="X86" i="32"/>
  <c r="U86" i="32"/>
  <c r="R86" i="32"/>
  <c r="O86" i="32"/>
  <c r="L86" i="32"/>
  <c r="I86" i="32"/>
  <c r="F86" i="32"/>
  <c r="X85" i="32"/>
  <c r="U85" i="32"/>
  <c r="R85" i="32"/>
  <c r="O85" i="32"/>
  <c r="L85" i="32"/>
  <c r="I85" i="32"/>
  <c r="F85" i="32"/>
  <c r="X84" i="32"/>
  <c r="U84" i="32"/>
  <c r="R84" i="32"/>
  <c r="O84" i="32"/>
  <c r="L84" i="32"/>
  <c r="I84" i="32"/>
  <c r="F84" i="32"/>
  <c r="X83" i="32"/>
  <c r="U83" i="32"/>
  <c r="R83" i="32"/>
  <c r="O83" i="32"/>
  <c r="L83" i="32"/>
  <c r="I83" i="32"/>
  <c r="F83" i="32"/>
  <c r="X82" i="32"/>
  <c r="U82" i="32"/>
  <c r="R82" i="32"/>
  <c r="O82" i="32"/>
  <c r="L82" i="32"/>
  <c r="I82" i="32"/>
  <c r="F82" i="32"/>
  <c r="X81" i="32"/>
  <c r="U81" i="32"/>
  <c r="R81" i="32"/>
  <c r="O81" i="32"/>
  <c r="L81" i="32"/>
  <c r="I81" i="32"/>
  <c r="F81" i="32"/>
  <c r="X80" i="32"/>
  <c r="U80" i="32"/>
  <c r="R80" i="32"/>
  <c r="O80" i="32"/>
  <c r="L80" i="32"/>
  <c r="I80" i="32"/>
  <c r="F80" i="32"/>
  <c r="X79" i="32"/>
  <c r="U79" i="32"/>
  <c r="R79" i="32"/>
  <c r="O79" i="32"/>
  <c r="L79" i="32"/>
  <c r="I79" i="32"/>
  <c r="F79" i="32"/>
  <c r="X78" i="32"/>
  <c r="U78" i="32"/>
  <c r="R78" i="32"/>
  <c r="O78" i="32"/>
  <c r="L78" i="32"/>
  <c r="I78" i="32"/>
  <c r="F78" i="32"/>
  <c r="X77" i="32"/>
  <c r="U77" i="32"/>
  <c r="R77" i="32"/>
  <c r="O77" i="32"/>
  <c r="L77" i="32"/>
  <c r="I77" i="32"/>
  <c r="F77" i="32"/>
  <c r="X76" i="32"/>
  <c r="U76" i="32"/>
  <c r="R76" i="32"/>
  <c r="O76" i="32"/>
  <c r="L76" i="32"/>
  <c r="I76" i="32"/>
  <c r="F76" i="32"/>
  <c r="X75" i="32"/>
  <c r="U75" i="32"/>
  <c r="R75" i="32"/>
  <c r="O75" i="32"/>
  <c r="L75" i="32"/>
  <c r="I75" i="32"/>
  <c r="F75" i="32"/>
  <c r="X74" i="32"/>
  <c r="U74" i="32"/>
  <c r="R74" i="32"/>
  <c r="O74" i="32"/>
  <c r="L74" i="32"/>
  <c r="I74" i="32"/>
  <c r="F74" i="32"/>
  <c r="X73" i="32"/>
  <c r="U73" i="32"/>
  <c r="R73" i="32"/>
  <c r="O73" i="32"/>
  <c r="L73" i="32"/>
  <c r="I73" i="32"/>
  <c r="F73" i="32"/>
  <c r="X72" i="32"/>
  <c r="U72" i="32"/>
  <c r="R72" i="32"/>
  <c r="O72" i="32"/>
  <c r="L72" i="32"/>
  <c r="I72" i="32"/>
  <c r="F72" i="32"/>
  <c r="X71" i="32"/>
  <c r="U71" i="32"/>
  <c r="R71" i="32"/>
  <c r="O71" i="32"/>
  <c r="L71" i="32"/>
  <c r="I71" i="32"/>
  <c r="F71" i="32"/>
  <c r="X70" i="32"/>
  <c r="U70" i="32"/>
  <c r="R70" i="32"/>
  <c r="O70" i="32"/>
  <c r="L70" i="32"/>
  <c r="I70" i="32"/>
  <c r="F70" i="32"/>
  <c r="X69" i="32"/>
  <c r="U69" i="32"/>
  <c r="R69" i="32"/>
  <c r="O69" i="32"/>
  <c r="L69" i="32"/>
  <c r="I69" i="32"/>
  <c r="F69" i="32"/>
  <c r="X68" i="32"/>
  <c r="U68" i="32"/>
  <c r="R68" i="32"/>
  <c r="O68" i="32"/>
  <c r="L68" i="32"/>
  <c r="I68" i="32"/>
  <c r="F68" i="32"/>
  <c r="X67" i="32"/>
  <c r="U67" i="32"/>
  <c r="R67" i="32"/>
  <c r="O67" i="32"/>
  <c r="L67" i="32"/>
  <c r="I67" i="32"/>
  <c r="F67" i="32"/>
  <c r="X66" i="32"/>
  <c r="U66" i="32"/>
  <c r="R66" i="32"/>
  <c r="O66" i="32"/>
  <c r="L66" i="32"/>
  <c r="I66" i="32"/>
  <c r="F66" i="32"/>
  <c r="X65" i="32"/>
  <c r="U65" i="32"/>
  <c r="R65" i="32"/>
  <c r="O65" i="32"/>
  <c r="L65" i="32"/>
  <c r="I65" i="32"/>
  <c r="F65" i="32"/>
  <c r="X64" i="32"/>
  <c r="U64" i="32"/>
  <c r="R64" i="32"/>
  <c r="O64" i="32"/>
  <c r="L64" i="32"/>
  <c r="I64" i="32"/>
  <c r="F64" i="32"/>
  <c r="X63" i="32"/>
  <c r="U63" i="32"/>
  <c r="R63" i="32"/>
  <c r="O63" i="32"/>
  <c r="L63" i="32"/>
  <c r="I63" i="32"/>
  <c r="F63" i="32"/>
  <c r="X62" i="32"/>
  <c r="U62" i="32"/>
  <c r="R62" i="32"/>
  <c r="O62" i="32"/>
  <c r="L62" i="32"/>
  <c r="I62" i="32"/>
  <c r="F62" i="32"/>
  <c r="X61" i="32"/>
  <c r="U61" i="32"/>
  <c r="R61" i="32"/>
  <c r="O61" i="32"/>
  <c r="L61" i="32"/>
  <c r="I61" i="32"/>
  <c r="F61" i="32"/>
  <c r="X60" i="32"/>
  <c r="U60" i="32"/>
  <c r="R60" i="32"/>
  <c r="O60" i="32"/>
  <c r="L60" i="32"/>
  <c r="I60" i="32"/>
  <c r="F60" i="32"/>
  <c r="X59" i="32"/>
  <c r="U59" i="32"/>
  <c r="R59" i="32"/>
  <c r="O59" i="32"/>
  <c r="L59" i="32"/>
  <c r="I59" i="32"/>
  <c r="F59" i="32"/>
  <c r="X58" i="32"/>
  <c r="U58" i="32"/>
  <c r="R58" i="32"/>
  <c r="O58" i="32"/>
  <c r="L58" i="32"/>
  <c r="I58" i="32"/>
  <c r="F58" i="32"/>
  <c r="X57" i="32"/>
  <c r="U57" i="32"/>
  <c r="R57" i="32"/>
  <c r="O57" i="32"/>
  <c r="L57" i="32"/>
  <c r="I57" i="32"/>
  <c r="F57" i="32"/>
  <c r="X56" i="32"/>
  <c r="U56" i="32"/>
  <c r="R56" i="32"/>
  <c r="O56" i="32"/>
  <c r="L56" i="32"/>
  <c r="I56" i="32"/>
  <c r="F56" i="32"/>
  <c r="X55" i="32"/>
  <c r="U55" i="32"/>
  <c r="R55" i="32"/>
  <c r="O55" i="32"/>
  <c r="L55" i="32"/>
  <c r="I55" i="32"/>
  <c r="F55" i="32"/>
  <c r="X54" i="32"/>
  <c r="U54" i="32"/>
  <c r="R54" i="32"/>
  <c r="O54" i="32"/>
  <c r="L54" i="32"/>
  <c r="I54" i="32"/>
  <c r="F54" i="32"/>
  <c r="X53" i="32"/>
  <c r="U53" i="32"/>
  <c r="R53" i="32"/>
  <c r="O53" i="32"/>
  <c r="L53" i="32"/>
  <c r="I53" i="32"/>
  <c r="F53" i="32"/>
  <c r="X52" i="32"/>
  <c r="U52" i="32"/>
  <c r="R52" i="32"/>
  <c r="O52" i="32"/>
  <c r="L52" i="32"/>
  <c r="I52" i="32"/>
  <c r="F52" i="32"/>
  <c r="X51" i="32"/>
  <c r="U51" i="32"/>
  <c r="R51" i="32"/>
  <c r="O51" i="32"/>
  <c r="L51" i="32"/>
  <c r="I51" i="32"/>
  <c r="F51" i="32"/>
  <c r="X50" i="32"/>
  <c r="U50" i="32"/>
  <c r="R50" i="32"/>
  <c r="O50" i="32"/>
  <c r="L50" i="32"/>
  <c r="I50" i="32"/>
  <c r="F50" i="32"/>
  <c r="X49" i="32"/>
  <c r="U49" i="32"/>
  <c r="R49" i="32"/>
  <c r="O49" i="32"/>
  <c r="L49" i="32"/>
  <c r="I49" i="32"/>
  <c r="F49" i="32"/>
  <c r="X48" i="32"/>
  <c r="U48" i="32"/>
  <c r="R48" i="32"/>
  <c r="O48" i="32"/>
  <c r="L48" i="32"/>
  <c r="I48" i="32"/>
  <c r="F48" i="32"/>
  <c r="X47" i="32"/>
  <c r="U47" i="32"/>
  <c r="R47" i="32"/>
  <c r="O47" i="32"/>
  <c r="L47" i="32"/>
  <c r="I47" i="32"/>
  <c r="F47" i="32"/>
  <c r="X46" i="32"/>
  <c r="U46" i="32"/>
  <c r="R46" i="32"/>
  <c r="O46" i="32"/>
  <c r="L46" i="32"/>
  <c r="I46" i="32"/>
  <c r="F46" i="32"/>
  <c r="X45" i="32"/>
  <c r="U45" i="32"/>
  <c r="R45" i="32"/>
  <c r="O45" i="32"/>
  <c r="L45" i="32"/>
  <c r="I45" i="32"/>
  <c r="F45" i="32"/>
  <c r="X44" i="32"/>
  <c r="U44" i="32"/>
  <c r="R44" i="32"/>
  <c r="O44" i="32"/>
  <c r="L44" i="32"/>
  <c r="I44" i="32"/>
  <c r="F44" i="32"/>
  <c r="X43" i="32"/>
  <c r="U43" i="32"/>
  <c r="R43" i="32"/>
  <c r="O43" i="32"/>
  <c r="L43" i="32"/>
  <c r="I43" i="32"/>
  <c r="F43" i="32"/>
  <c r="X42" i="32"/>
  <c r="U42" i="32"/>
  <c r="R42" i="32"/>
  <c r="O42" i="32"/>
  <c r="L42" i="32"/>
  <c r="I42" i="32"/>
  <c r="F42" i="32"/>
  <c r="X41" i="32"/>
  <c r="U41" i="32"/>
  <c r="R41" i="32"/>
  <c r="O41" i="32"/>
  <c r="L41" i="32"/>
  <c r="I41" i="32"/>
  <c r="F41" i="32"/>
  <c r="X40" i="32"/>
  <c r="U40" i="32"/>
  <c r="R40" i="32"/>
  <c r="O40" i="32"/>
  <c r="L40" i="32"/>
  <c r="I40" i="32"/>
  <c r="F40" i="32"/>
  <c r="X39" i="32"/>
  <c r="U39" i="32"/>
  <c r="R39" i="32"/>
  <c r="O39" i="32"/>
  <c r="L39" i="32"/>
  <c r="I39" i="32"/>
  <c r="F39" i="32"/>
  <c r="X38" i="32"/>
  <c r="U38" i="32"/>
  <c r="R38" i="32"/>
  <c r="O38" i="32"/>
  <c r="L38" i="32"/>
  <c r="I38" i="32"/>
  <c r="F38" i="32"/>
  <c r="X37" i="32"/>
  <c r="U37" i="32"/>
  <c r="R37" i="32"/>
  <c r="O37" i="32"/>
  <c r="L37" i="32"/>
  <c r="I37" i="32"/>
  <c r="F37" i="32"/>
  <c r="X36" i="32"/>
  <c r="U36" i="32"/>
  <c r="R36" i="32"/>
  <c r="O36" i="32"/>
  <c r="L36" i="32"/>
  <c r="I36" i="32"/>
  <c r="F36" i="32"/>
  <c r="X35" i="32"/>
  <c r="U35" i="32"/>
  <c r="R35" i="32"/>
  <c r="O35" i="32"/>
  <c r="L35" i="32"/>
  <c r="I35" i="32"/>
  <c r="F35" i="32"/>
  <c r="X34" i="32"/>
  <c r="U34" i="32"/>
  <c r="R34" i="32"/>
  <c r="O34" i="32"/>
  <c r="L34" i="32"/>
  <c r="I34" i="32"/>
  <c r="F34" i="32"/>
  <c r="X33" i="32"/>
  <c r="U33" i="32"/>
  <c r="R33" i="32"/>
  <c r="O33" i="32"/>
  <c r="L33" i="32"/>
  <c r="I33" i="32"/>
  <c r="F33" i="32"/>
  <c r="X32" i="32"/>
  <c r="U32" i="32"/>
  <c r="R32" i="32"/>
  <c r="O32" i="32"/>
  <c r="L32" i="32"/>
  <c r="I32" i="32"/>
  <c r="F32" i="32"/>
  <c r="X31" i="32"/>
  <c r="U31" i="32"/>
  <c r="R31" i="32"/>
  <c r="O31" i="32"/>
  <c r="L31" i="32"/>
  <c r="I31" i="32"/>
  <c r="F31" i="32"/>
  <c r="X30" i="32"/>
  <c r="U30" i="32"/>
  <c r="R30" i="32"/>
  <c r="O30" i="32"/>
  <c r="L30" i="32"/>
  <c r="I30" i="32"/>
  <c r="F30" i="32"/>
  <c r="X29" i="32"/>
  <c r="U29" i="32"/>
  <c r="R29" i="32"/>
  <c r="O29" i="32"/>
  <c r="L29" i="32"/>
  <c r="I29" i="32"/>
  <c r="F29" i="32"/>
  <c r="X28" i="32"/>
  <c r="U28" i="32"/>
  <c r="R28" i="32"/>
  <c r="O28" i="32"/>
  <c r="L28" i="32"/>
  <c r="I28" i="32"/>
  <c r="F28" i="32"/>
  <c r="X27" i="32"/>
  <c r="U27" i="32"/>
  <c r="R27" i="32"/>
  <c r="O27" i="32"/>
  <c r="L27" i="32"/>
  <c r="I27" i="32"/>
  <c r="F27" i="32"/>
  <c r="X26" i="32"/>
  <c r="U26" i="32"/>
  <c r="R26" i="32"/>
  <c r="O26" i="32"/>
  <c r="L26" i="32"/>
  <c r="I26" i="32"/>
  <c r="F26" i="32"/>
  <c r="X25" i="32"/>
  <c r="U25" i="32"/>
  <c r="R25" i="32"/>
  <c r="O25" i="32"/>
  <c r="L25" i="32"/>
  <c r="I25" i="32"/>
  <c r="F25" i="32"/>
  <c r="X24" i="32"/>
  <c r="U24" i="32"/>
  <c r="R24" i="32"/>
  <c r="O24" i="32"/>
  <c r="L24" i="32"/>
  <c r="I24" i="32"/>
  <c r="F24" i="32"/>
  <c r="X23" i="32"/>
  <c r="U23" i="32"/>
  <c r="R23" i="32"/>
  <c r="O23" i="32"/>
  <c r="L23" i="32"/>
  <c r="I23" i="32"/>
  <c r="F23" i="32"/>
  <c r="X22" i="32"/>
  <c r="U22" i="32"/>
  <c r="R22" i="32"/>
  <c r="O22" i="32"/>
  <c r="L22" i="32"/>
  <c r="I22" i="32"/>
  <c r="F22" i="32"/>
  <c r="X21" i="32"/>
  <c r="U21" i="32"/>
  <c r="R21" i="32"/>
  <c r="O21" i="32"/>
  <c r="L21" i="32"/>
  <c r="I21" i="32"/>
  <c r="F21" i="32"/>
  <c r="X20" i="32"/>
  <c r="U20" i="32"/>
  <c r="R20" i="32"/>
  <c r="O20" i="32"/>
  <c r="L20" i="32"/>
  <c r="I20" i="32"/>
  <c r="F20" i="32"/>
  <c r="X19" i="32"/>
  <c r="U19" i="32"/>
  <c r="R19" i="32"/>
  <c r="O19" i="32"/>
  <c r="L19" i="32"/>
  <c r="I19" i="32"/>
  <c r="F19" i="32"/>
  <c r="X18" i="32"/>
  <c r="U18" i="32"/>
  <c r="R18" i="32"/>
  <c r="O18" i="32"/>
  <c r="L18" i="32"/>
  <c r="I18" i="32"/>
  <c r="F18" i="32"/>
  <c r="X17" i="32"/>
  <c r="U17" i="32"/>
  <c r="R17" i="32"/>
  <c r="O17" i="32"/>
  <c r="L17" i="32"/>
  <c r="I17" i="32"/>
  <c r="F17" i="32"/>
  <c r="X16" i="32"/>
  <c r="U16" i="32"/>
  <c r="R16" i="32"/>
  <c r="O16" i="32"/>
  <c r="L16" i="32"/>
  <c r="I16" i="32"/>
  <c r="F16" i="32"/>
  <c r="X15" i="32"/>
  <c r="U15" i="32"/>
  <c r="R15" i="32"/>
  <c r="O15" i="32"/>
  <c r="L15" i="32"/>
  <c r="I15" i="32"/>
  <c r="F15" i="32"/>
  <c r="X14" i="32"/>
  <c r="U14" i="32"/>
  <c r="R14" i="32"/>
  <c r="O14" i="32"/>
  <c r="L14" i="32"/>
  <c r="I14" i="32"/>
  <c r="F14" i="32"/>
  <c r="X13" i="32"/>
  <c r="U13" i="32"/>
  <c r="R13" i="32"/>
  <c r="O13" i="32"/>
  <c r="L13" i="32"/>
  <c r="I13" i="32"/>
  <c r="F13" i="32"/>
  <c r="X12" i="32"/>
  <c r="U12" i="32"/>
  <c r="R12" i="32"/>
  <c r="O12" i="32"/>
  <c r="L12" i="32"/>
  <c r="I12" i="32"/>
  <c r="F12" i="32"/>
  <c r="X11" i="32"/>
  <c r="U11" i="32"/>
  <c r="R11" i="32"/>
  <c r="O11" i="32"/>
  <c r="L11" i="32"/>
  <c r="I11" i="32"/>
  <c r="F11" i="32"/>
  <c r="X10" i="32"/>
  <c r="U10" i="32"/>
  <c r="R10" i="32"/>
  <c r="O10" i="32"/>
  <c r="L10" i="32"/>
  <c r="I10" i="32"/>
  <c r="F10" i="32"/>
  <c r="X9" i="32"/>
  <c r="U9" i="32"/>
  <c r="R9" i="32"/>
  <c r="O9" i="32"/>
  <c r="L9" i="32"/>
  <c r="I9" i="32"/>
  <c r="F9" i="32"/>
  <c r="X8" i="32"/>
  <c r="U8" i="32"/>
  <c r="R8" i="32"/>
  <c r="O8" i="32"/>
  <c r="L8" i="32"/>
  <c r="I8" i="32"/>
  <c r="F8" i="32"/>
  <c r="X7" i="32"/>
  <c r="U7" i="32"/>
  <c r="R7" i="32"/>
  <c r="O7" i="32"/>
  <c r="L7" i="32"/>
  <c r="I7" i="32"/>
  <c r="F7" i="32"/>
  <c r="X6" i="32"/>
  <c r="U6" i="32"/>
  <c r="R6" i="32"/>
  <c r="O6" i="32"/>
  <c r="L6" i="32"/>
  <c r="I6" i="32"/>
  <c r="F6" i="32"/>
  <c r="X5" i="32"/>
  <c r="U5" i="32"/>
  <c r="R5" i="32"/>
  <c r="O5" i="32"/>
  <c r="L5" i="32"/>
  <c r="I5" i="32"/>
  <c r="F5" i="32"/>
  <c r="X4" i="32"/>
  <c r="U4" i="32"/>
  <c r="R4" i="32"/>
  <c r="O4" i="32"/>
  <c r="L4" i="32"/>
  <c r="I4" i="32"/>
  <c r="F4" i="32"/>
  <c r="X98" i="31"/>
  <c r="U98" i="31"/>
  <c r="R98" i="31"/>
  <c r="O98" i="31"/>
  <c r="L98" i="31"/>
  <c r="I98" i="31"/>
  <c r="F98" i="31"/>
  <c r="X97" i="31"/>
  <c r="U97" i="31"/>
  <c r="R97" i="31"/>
  <c r="O97" i="31"/>
  <c r="L97" i="31"/>
  <c r="I97" i="31"/>
  <c r="F97" i="31"/>
  <c r="X96" i="31"/>
  <c r="U96" i="31"/>
  <c r="R96" i="31"/>
  <c r="O96" i="31"/>
  <c r="L96" i="31"/>
  <c r="I96" i="31"/>
  <c r="F96" i="31"/>
  <c r="X95" i="31"/>
  <c r="U95" i="31"/>
  <c r="R95" i="31"/>
  <c r="O95" i="31"/>
  <c r="L95" i="31"/>
  <c r="I95" i="31"/>
  <c r="F95" i="31"/>
  <c r="X94" i="31"/>
  <c r="U94" i="31"/>
  <c r="R94" i="31"/>
  <c r="O94" i="31"/>
  <c r="L94" i="31"/>
  <c r="I94" i="31"/>
  <c r="F94" i="31"/>
  <c r="X93" i="31"/>
  <c r="U93" i="31"/>
  <c r="R93" i="31"/>
  <c r="O93" i="31"/>
  <c r="L93" i="31"/>
  <c r="I93" i="31"/>
  <c r="F93" i="31"/>
  <c r="X92" i="31"/>
  <c r="U92" i="31"/>
  <c r="R92" i="31"/>
  <c r="O92" i="31"/>
  <c r="L92" i="31"/>
  <c r="I92" i="31"/>
  <c r="F92" i="31"/>
  <c r="X91" i="31"/>
  <c r="U91" i="31"/>
  <c r="R91" i="31"/>
  <c r="O91" i="31"/>
  <c r="L91" i="31"/>
  <c r="I91" i="31"/>
  <c r="F91" i="31"/>
  <c r="X90" i="31"/>
  <c r="U90" i="31"/>
  <c r="R90" i="31"/>
  <c r="O90" i="31"/>
  <c r="L90" i="31"/>
  <c r="I90" i="31"/>
  <c r="F90" i="31"/>
  <c r="X89" i="31"/>
  <c r="U89" i="31"/>
  <c r="R89" i="31"/>
  <c r="O89" i="31"/>
  <c r="L89" i="31"/>
  <c r="I89" i="31"/>
  <c r="F89" i="31"/>
  <c r="X88" i="31"/>
  <c r="U88" i="31"/>
  <c r="R88" i="31"/>
  <c r="O88" i="31"/>
  <c r="L88" i="31"/>
  <c r="I88" i="31"/>
  <c r="F88" i="31"/>
  <c r="X87" i="31"/>
  <c r="U87" i="31"/>
  <c r="R87" i="31"/>
  <c r="O87" i="31"/>
  <c r="L87" i="31"/>
  <c r="I87" i="31"/>
  <c r="F87" i="31"/>
  <c r="X86" i="31"/>
  <c r="U86" i="31"/>
  <c r="R86" i="31"/>
  <c r="O86" i="31"/>
  <c r="L86" i="31"/>
  <c r="I86" i="31"/>
  <c r="F86" i="31"/>
  <c r="X85" i="31"/>
  <c r="U85" i="31"/>
  <c r="R85" i="31"/>
  <c r="O85" i="31"/>
  <c r="L85" i="31"/>
  <c r="I85" i="31"/>
  <c r="F85" i="31"/>
  <c r="X84" i="31"/>
  <c r="U84" i="31"/>
  <c r="R84" i="31"/>
  <c r="O84" i="31"/>
  <c r="L84" i="31"/>
  <c r="I84" i="31"/>
  <c r="F84" i="31"/>
  <c r="X83" i="31"/>
  <c r="U83" i="31"/>
  <c r="R83" i="31"/>
  <c r="O83" i="31"/>
  <c r="L83" i="31"/>
  <c r="I83" i="31"/>
  <c r="F83" i="31"/>
  <c r="X82" i="31"/>
  <c r="U82" i="31"/>
  <c r="R82" i="31"/>
  <c r="O82" i="31"/>
  <c r="L82" i="31"/>
  <c r="I82" i="31"/>
  <c r="F82" i="31"/>
  <c r="X81" i="31"/>
  <c r="U81" i="31"/>
  <c r="R81" i="31"/>
  <c r="O81" i="31"/>
  <c r="L81" i="31"/>
  <c r="I81" i="31"/>
  <c r="F81" i="31"/>
  <c r="X80" i="31"/>
  <c r="U80" i="31"/>
  <c r="R80" i="31"/>
  <c r="O80" i="31"/>
  <c r="L80" i="31"/>
  <c r="I80" i="31"/>
  <c r="F80" i="31"/>
  <c r="X79" i="31"/>
  <c r="U79" i="31"/>
  <c r="R79" i="31"/>
  <c r="O79" i="31"/>
  <c r="L79" i="31"/>
  <c r="I79" i="31"/>
  <c r="F79" i="31"/>
  <c r="X78" i="31"/>
  <c r="U78" i="31"/>
  <c r="R78" i="31"/>
  <c r="O78" i="31"/>
  <c r="L78" i="31"/>
  <c r="I78" i="31"/>
  <c r="F78" i="31"/>
  <c r="X77" i="31"/>
  <c r="U77" i="31"/>
  <c r="R77" i="31"/>
  <c r="O77" i="31"/>
  <c r="L77" i="31"/>
  <c r="I77" i="31"/>
  <c r="F77" i="31"/>
  <c r="X76" i="31"/>
  <c r="U76" i="31"/>
  <c r="R76" i="31"/>
  <c r="O76" i="31"/>
  <c r="L76" i="31"/>
  <c r="I76" i="31"/>
  <c r="F76" i="31"/>
  <c r="X75" i="31"/>
  <c r="U75" i="31"/>
  <c r="R75" i="31"/>
  <c r="O75" i="31"/>
  <c r="L75" i="31"/>
  <c r="I75" i="31"/>
  <c r="F75" i="31"/>
  <c r="X74" i="31"/>
  <c r="U74" i="31"/>
  <c r="R74" i="31"/>
  <c r="O74" i="31"/>
  <c r="L74" i="31"/>
  <c r="I74" i="31"/>
  <c r="F74" i="31"/>
  <c r="X73" i="31"/>
  <c r="U73" i="31"/>
  <c r="R73" i="31"/>
  <c r="O73" i="31"/>
  <c r="L73" i="31"/>
  <c r="I73" i="31"/>
  <c r="F73" i="31"/>
  <c r="X72" i="31"/>
  <c r="U72" i="31"/>
  <c r="R72" i="31"/>
  <c r="O72" i="31"/>
  <c r="L72" i="31"/>
  <c r="I72" i="31"/>
  <c r="F72" i="31"/>
  <c r="X71" i="31"/>
  <c r="U71" i="31"/>
  <c r="R71" i="31"/>
  <c r="O71" i="31"/>
  <c r="L71" i="31"/>
  <c r="I71" i="31"/>
  <c r="F71" i="31"/>
  <c r="X70" i="31"/>
  <c r="U70" i="31"/>
  <c r="R70" i="31"/>
  <c r="O70" i="31"/>
  <c r="L70" i="31"/>
  <c r="I70" i="31"/>
  <c r="F70" i="31"/>
  <c r="X69" i="31"/>
  <c r="U69" i="31"/>
  <c r="R69" i="31"/>
  <c r="O69" i="31"/>
  <c r="L69" i="31"/>
  <c r="I69" i="31"/>
  <c r="F69" i="31"/>
  <c r="X68" i="31"/>
  <c r="U68" i="31"/>
  <c r="R68" i="31"/>
  <c r="O68" i="31"/>
  <c r="L68" i="31"/>
  <c r="I68" i="31"/>
  <c r="F68" i="31"/>
  <c r="X67" i="31"/>
  <c r="U67" i="31"/>
  <c r="R67" i="31"/>
  <c r="O67" i="31"/>
  <c r="L67" i="31"/>
  <c r="I67" i="31"/>
  <c r="F67" i="31"/>
  <c r="X66" i="31"/>
  <c r="U66" i="31"/>
  <c r="R66" i="31"/>
  <c r="O66" i="31"/>
  <c r="L66" i="31"/>
  <c r="I66" i="31"/>
  <c r="F66" i="31"/>
  <c r="X65" i="31"/>
  <c r="U65" i="31"/>
  <c r="R65" i="31"/>
  <c r="O65" i="31"/>
  <c r="L65" i="31"/>
  <c r="I65" i="31"/>
  <c r="F65" i="31"/>
  <c r="X64" i="31"/>
  <c r="U64" i="31"/>
  <c r="R64" i="31"/>
  <c r="O64" i="31"/>
  <c r="L64" i="31"/>
  <c r="I64" i="31"/>
  <c r="F64" i="31"/>
  <c r="X63" i="31"/>
  <c r="U63" i="31"/>
  <c r="R63" i="31"/>
  <c r="O63" i="31"/>
  <c r="L63" i="31"/>
  <c r="I63" i="31"/>
  <c r="F63" i="31"/>
  <c r="X62" i="31"/>
  <c r="U62" i="31"/>
  <c r="R62" i="31"/>
  <c r="O62" i="31"/>
  <c r="L62" i="31"/>
  <c r="I62" i="31"/>
  <c r="F62" i="31"/>
  <c r="X61" i="31"/>
  <c r="U61" i="31"/>
  <c r="R61" i="31"/>
  <c r="O61" i="31"/>
  <c r="L61" i="31"/>
  <c r="I61" i="31"/>
  <c r="F61" i="31"/>
  <c r="X60" i="31"/>
  <c r="U60" i="31"/>
  <c r="R60" i="31"/>
  <c r="O60" i="31"/>
  <c r="L60" i="31"/>
  <c r="I60" i="31"/>
  <c r="F60" i="31"/>
  <c r="X59" i="31"/>
  <c r="U59" i="31"/>
  <c r="R59" i="31"/>
  <c r="O59" i="31"/>
  <c r="L59" i="31"/>
  <c r="I59" i="31"/>
  <c r="F59" i="31"/>
  <c r="X58" i="31"/>
  <c r="U58" i="31"/>
  <c r="R58" i="31"/>
  <c r="O58" i="31"/>
  <c r="L58" i="31"/>
  <c r="I58" i="31"/>
  <c r="F58" i="31"/>
  <c r="X57" i="31"/>
  <c r="U57" i="31"/>
  <c r="R57" i="31"/>
  <c r="O57" i="31"/>
  <c r="L57" i="31"/>
  <c r="I57" i="31"/>
  <c r="F57" i="31"/>
  <c r="X56" i="31"/>
  <c r="U56" i="31"/>
  <c r="R56" i="31"/>
  <c r="O56" i="31"/>
  <c r="L56" i="31"/>
  <c r="I56" i="31"/>
  <c r="F56" i="31"/>
  <c r="X55" i="31"/>
  <c r="U55" i="31"/>
  <c r="R55" i="31"/>
  <c r="O55" i="31"/>
  <c r="L55" i="31"/>
  <c r="I55" i="31"/>
  <c r="F55" i="31"/>
  <c r="X54" i="31"/>
  <c r="U54" i="31"/>
  <c r="R54" i="31"/>
  <c r="O54" i="31"/>
  <c r="L54" i="31"/>
  <c r="I54" i="31"/>
  <c r="F54" i="31"/>
  <c r="X53" i="31"/>
  <c r="U53" i="31"/>
  <c r="R53" i="31"/>
  <c r="O53" i="31"/>
  <c r="L53" i="31"/>
  <c r="I53" i="31"/>
  <c r="F53" i="31"/>
  <c r="X52" i="31"/>
  <c r="U52" i="31"/>
  <c r="R52" i="31"/>
  <c r="O52" i="31"/>
  <c r="L52" i="31"/>
  <c r="I52" i="31"/>
  <c r="F52" i="31"/>
  <c r="X51" i="31"/>
  <c r="U51" i="31"/>
  <c r="R51" i="31"/>
  <c r="O51" i="31"/>
  <c r="L51" i="31"/>
  <c r="I51" i="31"/>
  <c r="F51" i="31"/>
  <c r="X50" i="31"/>
  <c r="U50" i="31"/>
  <c r="R50" i="31"/>
  <c r="O50" i="31"/>
  <c r="L50" i="31"/>
  <c r="I50" i="31"/>
  <c r="F50" i="31"/>
  <c r="X49" i="31"/>
  <c r="U49" i="31"/>
  <c r="R49" i="31"/>
  <c r="O49" i="31"/>
  <c r="L49" i="31"/>
  <c r="I49" i="31"/>
  <c r="F49" i="31"/>
  <c r="X48" i="31"/>
  <c r="U48" i="31"/>
  <c r="R48" i="31"/>
  <c r="O48" i="31"/>
  <c r="L48" i="31"/>
  <c r="I48" i="31"/>
  <c r="F48" i="31"/>
  <c r="X47" i="31"/>
  <c r="U47" i="31"/>
  <c r="R47" i="31"/>
  <c r="O47" i="31"/>
  <c r="L47" i="31"/>
  <c r="I47" i="31"/>
  <c r="F47" i="31"/>
  <c r="X46" i="31"/>
  <c r="U46" i="31"/>
  <c r="R46" i="31"/>
  <c r="O46" i="31"/>
  <c r="L46" i="31"/>
  <c r="I46" i="31"/>
  <c r="F46" i="31"/>
  <c r="X45" i="31"/>
  <c r="U45" i="31"/>
  <c r="R45" i="31"/>
  <c r="O45" i="31"/>
  <c r="L45" i="31"/>
  <c r="I45" i="31"/>
  <c r="F45" i="31"/>
  <c r="X44" i="31"/>
  <c r="U44" i="31"/>
  <c r="R44" i="31"/>
  <c r="O44" i="31"/>
  <c r="L44" i="31"/>
  <c r="I44" i="31"/>
  <c r="F44" i="31"/>
  <c r="X43" i="31"/>
  <c r="U43" i="31"/>
  <c r="R43" i="31"/>
  <c r="O43" i="31"/>
  <c r="L43" i="31"/>
  <c r="I43" i="31"/>
  <c r="F43" i="31"/>
  <c r="X42" i="31"/>
  <c r="U42" i="31"/>
  <c r="R42" i="31"/>
  <c r="O42" i="31"/>
  <c r="L42" i="31"/>
  <c r="I42" i="31"/>
  <c r="F42" i="31"/>
  <c r="X41" i="31"/>
  <c r="U41" i="31"/>
  <c r="R41" i="31"/>
  <c r="O41" i="31"/>
  <c r="L41" i="31"/>
  <c r="I41" i="31"/>
  <c r="F41" i="31"/>
  <c r="X40" i="31"/>
  <c r="U40" i="31"/>
  <c r="R40" i="31"/>
  <c r="O40" i="31"/>
  <c r="L40" i="31"/>
  <c r="I40" i="31"/>
  <c r="F40" i="31"/>
  <c r="X39" i="31"/>
  <c r="U39" i="31"/>
  <c r="R39" i="31"/>
  <c r="O39" i="31"/>
  <c r="L39" i="31"/>
  <c r="I39" i="31"/>
  <c r="F39" i="31"/>
  <c r="X38" i="31"/>
  <c r="U38" i="31"/>
  <c r="R38" i="31"/>
  <c r="O38" i="31"/>
  <c r="L38" i="31"/>
  <c r="I38" i="31"/>
  <c r="F38" i="31"/>
  <c r="X37" i="31"/>
  <c r="U37" i="31"/>
  <c r="R37" i="31"/>
  <c r="O37" i="31"/>
  <c r="L37" i="31"/>
  <c r="I37" i="31"/>
  <c r="F37" i="31"/>
  <c r="X36" i="31"/>
  <c r="U36" i="31"/>
  <c r="R36" i="31"/>
  <c r="O36" i="31"/>
  <c r="L36" i="31"/>
  <c r="I36" i="31"/>
  <c r="F36" i="31"/>
  <c r="X35" i="31"/>
  <c r="U35" i="31"/>
  <c r="R35" i="31"/>
  <c r="O35" i="31"/>
  <c r="L35" i="31"/>
  <c r="I35" i="31"/>
  <c r="F35" i="31"/>
  <c r="X34" i="31"/>
  <c r="U34" i="31"/>
  <c r="R34" i="31"/>
  <c r="O34" i="31"/>
  <c r="L34" i="31"/>
  <c r="I34" i="31"/>
  <c r="F34" i="31"/>
  <c r="X33" i="31"/>
  <c r="U33" i="31"/>
  <c r="R33" i="31"/>
  <c r="O33" i="31"/>
  <c r="L33" i="31"/>
  <c r="I33" i="31"/>
  <c r="F33" i="31"/>
  <c r="X32" i="31"/>
  <c r="U32" i="31"/>
  <c r="R32" i="31"/>
  <c r="O32" i="31"/>
  <c r="L32" i="31"/>
  <c r="I32" i="31"/>
  <c r="F32" i="31"/>
  <c r="X31" i="31"/>
  <c r="U31" i="31"/>
  <c r="R31" i="31"/>
  <c r="O31" i="31"/>
  <c r="L31" i="31"/>
  <c r="I31" i="31"/>
  <c r="F31" i="31"/>
  <c r="X30" i="31"/>
  <c r="U30" i="31"/>
  <c r="R30" i="31"/>
  <c r="O30" i="31"/>
  <c r="L30" i="31"/>
  <c r="I30" i="31"/>
  <c r="F30" i="31"/>
  <c r="X29" i="31"/>
  <c r="U29" i="31"/>
  <c r="R29" i="31"/>
  <c r="O29" i="31"/>
  <c r="L29" i="31"/>
  <c r="I29" i="31"/>
  <c r="F29" i="31"/>
  <c r="X28" i="31"/>
  <c r="U28" i="31"/>
  <c r="R28" i="31"/>
  <c r="O28" i="31"/>
  <c r="L28" i="31"/>
  <c r="I28" i="31"/>
  <c r="F28" i="31"/>
  <c r="X27" i="31"/>
  <c r="U27" i="31"/>
  <c r="R27" i="31"/>
  <c r="O27" i="31"/>
  <c r="L27" i="31"/>
  <c r="I27" i="31"/>
  <c r="F27" i="31"/>
  <c r="X26" i="31"/>
  <c r="U26" i="31"/>
  <c r="R26" i="31"/>
  <c r="O26" i="31"/>
  <c r="L26" i="31"/>
  <c r="I26" i="31"/>
  <c r="F26" i="31"/>
  <c r="X25" i="31"/>
  <c r="U25" i="31"/>
  <c r="R25" i="31"/>
  <c r="O25" i="31"/>
  <c r="L25" i="31"/>
  <c r="I25" i="31"/>
  <c r="F25" i="31"/>
  <c r="X24" i="31"/>
  <c r="U24" i="31"/>
  <c r="R24" i="31"/>
  <c r="O24" i="31"/>
  <c r="L24" i="31"/>
  <c r="I24" i="31"/>
  <c r="F24" i="31"/>
  <c r="X23" i="31"/>
  <c r="U23" i="31"/>
  <c r="R23" i="31"/>
  <c r="O23" i="31"/>
  <c r="L23" i="31"/>
  <c r="I23" i="31"/>
  <c r="F23" i="31"/>
  <c r="X22" i="31"/>
  <c r="U22" i="31"/>
  <c r="R22" i="31"/>
  <c r="O22" i="31"/>
  <c r="L22" i="31"/>
  <c r="I22" i="31"/>
  <c r="F22" i="31"/>
  <c r="X21" i="31"/>
  <c r="U21" i="31"/>
  <c r="R21" i="31"/>
  <c r="O21" i="31"/>
  <c r="L21" i="31"/>
  <c r="I21" i="31"/>
  <c r="F21" i="31"/>
  <c r="X20" i="31"/>
  <c r="U20" i="31"/>
  <c r="R20" i="31"/>
  <c r="O20" i="31"/>
  <c r="L20" i="31"/>
  <c r="I20" i="31"/>
  <c r="F20" i="31"/>
  <c r="X19" i="31"/>
  <c r="U19" i="31"/>
  <c r="R19" i="31"/>
  <c r="O19" i="31"/>
  <c r="L19" i="31"/>
  <c r="I19" i="31"/>
  <c r="F19" i="31"/>
  <c r="X18" i="31"/>
  <c r="U18" i="31"/>
  <c r="R18" i="31"/>
  <c r="O18" i="31"/>
  <c r="L18" i="31"/>
  <c r="I18" i="31"/>
  <c r="F18" i="31"/>
  <c r="X17" i="31"/>
  <c r="U17" i="31"/>
  <c r="R17" i="31"/>
  <c r="O17" i="31"/>
  <c r="L17" i="31"/>
  <c r="I17" i="31"/>
  <c r="F17" i="31"/>
  <c r="X16" i="31"/>
  <c r="U16" i="31"/>
  <c r="R16" i="31"/>
  <c r="O16" i="31"/>
  <c r="L16" i="31"/>
  <c r="I16" i="31"/>
  <c r="F16" i="31"/>
  <c r="X15" i="31"/>
  <c r="U15" i="31"/>
  <c r="R15" i="31"/>
  <c r="O15" i="31"/>
  <c r="L15" i="31"/>
  <c r="I15" i="31"/>
  <c r="F15" i="31"/>
  <c r="X14" i="31"/>
  <c r="U14" i="31"/>
  <c r="R14" i="31"/>
  <c r="O14" i="31"/>
  <c r="L14" i="31"/>
  <c r="I14" i="31"/>
  <c r="F14" i="31"/>
  <c r="X13" i="31"/>
  <c r="U13" i="31"/>
  <c r="R13" i="31"/>
  <c r="O13" i="31"/>
  <c r="L13" i="31"/>
  <c r="I13" i="31"/>
  <c r="F13" i="31"/>
  <c r="X12" i="31"/>
  <c r="U12" i="31"/>
  <c r="R12" i="31"/>
  <c r="O12" i="31"/>
  <c r="L12" i="31"/>
  <c r="I12" i="31"/>
  <c r="F12" i="31"/>
  <c r="X11" i="31"/>
  <c r="U11" i="31"/>
  <c r="R11" i="31"/>
  <c r="O11" i="31"/>
  <c r="L11" i="31"/>
  <c r="I11" i="31"/>
  <c r="F11" i="31"/>
  <c r="X10" i="31"/>
  <c r="U10" i="31"/>
  <c r="R10" i="31"/>
  <c r="O10" i="31"/>
  <c r="L10" i="31"/>
  <c r="I10" i="31"/>
  <c r="F10" i="31"/>
  <c r="X9" i="31"/>
  <c r="U9" i="31"/>
  <c r="R9" i="31"/>
  <c r="O9" i="31"/>
  <c r="L9" i="31"/>
  <c r="I9" i="31"/>
  <c r="F9" i="31"/>
  <c r="X8" i="31"/>
  <c r="U8" i="31"/>
  <c r="R8" i="31"/>
  <c r="O8" i="31"/>
  <c r="L8" i="31"/>
  <c r="I8" i="31"/>
  <c r="F8" i="31"/>
  <c r="X7" i="31"/>
  <c r="U7" i="31"/>
  <c r="R7" i="31"/>
  <c r="O7" i="31"/>
  <c r="L7" i="31"/>
  <c r="I7" i="31"/>
  <c r="F7" i="31"/>
  <c r="X6" i="31"/>
  <c r="U6" i="31"/>
  <c r="R6" i="31"/>
  <c r="O6" i="31"/>
  <c r="L6" i="31"/>
  <c r="I6" i="31"/>
  <c r="F6" i="31"/>
  <c r="X5" i="31"/>
  <c r="U5" i="31"/>
  <c r="R5" i="31"/>
  <c r="O5" i="31"/>
  <c r="L5" i="31"/>
  <c r="I5" i="31"/>
  <c r="F5" i="31"/>
  <c r="X4" i="31"/>
  <c r="U4" i="31"/>
  <c r="R4" i="31"/>
  <c r="O4" i="31"/>
  <c r="L4" i="31"/>
  <c r="I4" i="31"/>
  <c r="F4" i="31"/>
  <c r="X98" i="30"/>
  <c r="U98" i="30"/>
  <c r="R98" i="30"/>
  <c r="O98" i="30"/>
  <c r="L98" i="30"/>
  <c r="I98" i="30"/>
  <c r="F98" i="30"/>
  <c r="X97" i="30"/>
  <c r="U97" i="30"/>
  <c r="R97" i="30"/>
  <c r="O97" i="30"/>
  <c r="L97" i="30"/>
  <c r="I97" i="30"/>
  <c r="F97" i="30"/>
  <c r="X96" i="30"/>
  <c r="U96" i="30"/>
  <c r="R96" i="30"/>
  <c r="O96" i="30"/>
  <c r="L96" i="30"/>
  <c r="I96" i="30"/>
  <c r="F96" i="30"/>
  <c r="X95" i="30"/>
  <c r="U95" i="30"/>
  <c r="R95" i="30"/>
  <c r="O95" i="30"/>
  <c r="L95" i="30"/>
  <c r="I95" i="30"/>
  <c r="F95" i="30"/>
  <c r="X94" i="30"/>
  <c r="U94" i="30"/>
  <c r="R94" i="30"/>
  <c r="O94" i="30"/>
  <c r="L94" i="30"/>
  <c r="I94" i="30"/>
  <c r="F94" i="30"/>
  <c r="X93" i="30"/>
  <c r="U93" i="30"/>
  <c r="R93" i="30"/>
  <c r="O93" i="30"/>
  <c r="L93" i="30"/>
  <c r="I93" i="30"/>
  <c r="F93" i="30"/>
  <c r="X92" i="30"/>
  <c r="U92" i="30"/>
  <c r="R92" i="30"/>
  <c r="O92" i="30"/>
  <c r="L92" i="30"/>
  <c r="I92" i="30"/>
  <c r="F92" i="30"/>
  <c r="X91" i="30"/>
  <c r="U91" i="30"/>
  <c r="R91" i="30"/>
  <c r="O91" i="30"/>
  <c r="L91" i="30"/>
  <c r="I91" i="30"/>
  <c r="F91" i="30"/>
  <c r="X90" i="30"/>
  <c r="U90" i="30"/>
  <c r="R90" i="30"/>
  <c r="O90" i="30"/>
  <c r="L90" i="30"/>
  <c r="I90" i="30"/>
  <c r="F90" i="30"/>
  <c r="X89" i="30"/>
  <c r="U89" i="30"/>
  <c r="R89" i="30"/>
  <c r="O89" i="30"/>
  <c r="L89" i="30"/>
  <c r="I89" i="30"/>
  <c r="F89" i="30"/>
  <c r="X88" i="30"/>
  <c r="U88" i="30"/>
  <c r="R88" i="30"/>
  <c r="O88" i="30"/>
  <c r="L88" i="30"/>
  <c r="I88" i="30"/>
  <c r="F88" i="30"/>
  <c r="X87" i="30"/>
  <c r="U87" i="30"/>
  <c r="R87" i="30"/>
  <c r="O87" i="30"/>
  <c r="L87" i="30"/>
  <c r="I87" i="30"/>
  <c r="F87" i="30"/>
  <c r="X86" i="30"/>
  <c r="U86" i="30"/>
  <c r="R86" i="30"/>
  <c r="O86" i="30"/>
  <c r="L86" i="30"/>
  <c r="I86" i="30"/>
  <c r="F86" i="30"/>
  <c r="X85" i="30"/>
  <c r="U85" i="30"/>
  <c r="R85" i="30"/>
  <c r="O85" i="30"/>
  <c r="L85" i="30"/>
  <c r="I85" i="30"/>
  <c r="F85" i="30"/>
  <c r="X84" i="30"/>
  <c r="U84" i="30"/>
  <c r="R84" i="30"/>
  <c r="O84" i="30"/>
  <c r="L84" i="30"/>
  <c r="I84" i="30"/>
  <c r="F84" i="30"/>
  <c r="X83" i="30"/>
  <c r="U83" i="30"/>
  <c r="R83" i="30"/>
  <c r="O83" i="30"/>
  <c r="L83" i="30"/>
  <c r="I83" i="30"/>
  <c r="F83" i="30"/>
  <c r="X82" i="30"/>
  <c r="U82" i="30"/>
  <c r="R82" i="30"/>
  <c r="O82" i="30"/>
  <c r="L82" i="30"/>
  <c r="I82" i="30"/>
  <c r="F82" i="30"/>
  <c r="X81" i="30"/>
  <c r="U81" i="30"/>
  <c r="R81" i="30"/>
  <c r="O81" i="30"/>
  <c r="L81" i="30"/>
  <c r="I81" i="30"/>
  <c r="F81" i="30"/>
  <c r="X80" i="30"/>
  <c r="U80" i="30"/>
  <c r="R80" i="30"/>
  <c r="O80" i="30"/>
  <c r="L80" i="30"/>
  <c r="I80" i="30"/>
  <c r="F80" i="30"/>
  <c r="X79" i="30"/>
  <c r="U79" i="30"/>
  <c r="R79" i="30"/>
  <c r="O79" i="30"/>
  <c r="L79" i="30"/>
  <c r="I79" i="30"/>
  <c r="F79" i="30"/>
  <c r="X78" i="30"/>
  <c r="U78" i="30"/>
  <c r="R78" i="30"/>
  <c r="O78" i="30"/>
  <c r="L78" i="30"/>
  <c r="I78" i="30"/>
  <c r="F78" i="30"/>
  <c r="X77" i="30"/>
  <c r="U77" i="30"/>
  <c r="R77" i="30"/>
  <c r="O77" i="30"/>
  <c r="L77" i="30"/>
  <c r="I77" i="30"/>
  <c r="F77" i="30"/>
  <c r="X76" i="30"/>
  <c r="U76" i="30"/>
  <c r="R76" i="30"/>
  <c r="O76" i="30"/>
  <c r="L76" i="30"/>
  <c r="I76" i="30"/>
  <c r="F76" i="30"/>
  <c r="X75" i="30"/>
  <c r="U75" i="30"/>
  <c r="R75" i="30"/>
  <c r="O75" i="30"/>
  <c r="L75" i="30"/>
  <c r="I75" i="30"/>
  <c r="F75" i="30"/>
  <c r="X74" i="30"/>
  <c r="U74" i="30"/>
  <c r="R74" i="30"/>
  <c r="O74" i="30"/>
  <c r="L74" i="30"/>
  <c r="I74" i="30"/>
  <c r="F74" i="30"/>
  <c r="X73" i="30"/>
  <c r="U73" i="30"/>
  <c r="R73" i="30"/>
  <c r="O73" i="30"/>
  <c r="L73" i="30"/>
  <c r="I73" i="30"/>
  <c r="F73" i="30"/>
  <c r="X72" i="30"/>
  <c r="U72" i="30"/>
  <c r="R72" i="30"/>
  <c r="O72" i="30"/>
  <c r="L72" i="30"/>
  <c r="I72" i="30"/>
  <c r="F72" i="30"/>
  <c r="X71" i="30"/>
  <c r="U71" i="30"/>
  <c r="R71" i="30"/>
  <c r="O71" i="30"/>
  <c r="L71" i="30"/>
  <c r="I71" i="30"/>
  <c r="F71" i="30"/>
  <c r="X70" i="30"/>
  <c r="U70" i="30"/>
  <c r="R70" i="30"/>
  <c r="O70" i="30"/>
  <c r="L70" i="30"/>
  <c r="I70" i="30"/>
  <c r="F70" i="30"/>
  <c r="X69" i="30"/>
  <c r="U69" i="30"/>
  <c r="R69" i="30"/>
  <c r="O69" i="30"/>
  <c r="L69" i="30"/>
  <c r="I69" i="30"/>
  <c r="F69" i="30"/>
  <c r="X68" i="30"/>
  <c r="U68" i="30"/>
  <c r="R68" i="30"/>
  <c r="O68" i="30"/>
  <c r="L68" i="30"/>
  <c r="I68" i="30"/>
  <c r="F68" i="30"/>
  <c r="X67" i="30"/>
  <c r="U67" i="30"/>
  <c r="R67" i="30"/>
  <c r="O67" i="30"/>
  <c r="L67" i="30"/>
  <c r="I67" i="30"/>
  <c r="F67" i="30"/>
  <c r="X66" i="30"/>
  <c r="U66" i="30"/>
  <c r="R66" i="30"/>
  <c r="O66" i="30"/>
  <c r="L66" i="30"/>
  <c r="I66" i="30"/>
  <c r="F66" i="30"/>
  <c r="X65" i="30"/>
  <c r="U65" i="30"/>
  <c r="R65" i="30"/>
  <c r="O65" i="30"/>
  <c r="L65" i="30"/>
  <c r="I65" i="30"/>
  <c r="F65" i="30"/>
  <c r="X64" i="30"/>
  <c r="U64" i="30"/>
  <c r="R64" i="30"/>
  <c r="O64" i="30"/>
  <c r="L64" i="30"/>
  <c r="I64" i="30"/>
  <c r="F64" i="30"/>
  <c r="X63" i="30"/>
  <c r="U63" i="30"/>
  <c r="R63" i="30"/>
  <c r="O63" i="30"/>
  <c r="L63" i="30"/>
  <c r="I63" i="30"/>
  <c r="F63" i="30"/>
  <c r="X62" i="30"/>
  <c r="U62" i="30"/>
  <c r="R62" i="30"/>
  <c r="O62" i="30"/>
  <c r="L62" i="30"/>
  <c r="I62" i="30"/>
  <c r="F62" i="30"/>
  <c r="X61" i="30"/>
  <c r="U61" i="30"/>
  <c r="R61" i="30"/>
  <c r="O61" i="30"/>
  <c r="L61" i="30"/>
  <c r="I61" i="30"/>
  <c r="F61" i="30"/>
  <c r="X60" i="30"/>
  <c r="U60" i="30"/>
  <c r="R60" i="30"/>
  <c r="O60" i="30"/>
  <c r="L60" i="30"/>
  <c r="I60" i="30"/>
  <c r="F60" i="30"/>
  <c r="X59" i="30"/>
  <c r="U59" i="30"/>
  <c r="R59" i="30"/>
  <c r="O59" i="30"/>
  <c r="L59" i="30"/>
  <c r="I59" i="30"/>
  <c r="F59" i="30"/>
  <c r="X58" i="30"/>
  <c r="U58" i="30"/>
  <c r="R58" i="30"/>
  <c r="O58" i="30"/>
  <c r="L58" i="30"/>
  <c r="I58" i="30"/>
  <c r="F58" i="30"/>
  <c r="X57" i="30"/>
  <c r="U57" i="30"/>
  <c r="R57" i="30"/>
  <c r="O57" i="30"/>
  <c r="L57" i="30"/>
  <c r="I57" i="30"/>
  <c r="F57" i="30"/>
  <c r="X56" i="30"/>
  <c r="U56" i="30"/>
  <c r="R56" i="30"/>
  <c r="O56" i="30"/>
  <c r="L56" i="30"/>
  <c r="I56" i="30"/>
  <c r="F56" i="30"/>
  <c r="X55" i="30"/>
  <c r="U55" i="30"/>
  <c r="R55" i="30"/>
  <c r="O55" i="30"/>
  <c r="L55" i="30"/>
  <c r="I55" i="30"/>
  <c r="F55" i="30"/>
  <c r="X54" i="30"/>
  <c r="U54" i="30"/>
  <c r="R54" i="30"/>
  <c r="O54" i="30"/>
  <c r="L54" i="30"/>
  <c r="I54" i="30"/>
  <c r="F54" i="30"/>
  <c r="X53" i="30"/>
  <c r="U53" i="30"/>
  <c r="R53" i="30"/>
  <c r="O53" i="30"/>
  <c r="L53" i="30"/>
  <c r="I53" i="30"/>
  <c r="F53" i="30"/>
  <c r="X52" i="30"/>
  <c r="U52" i="30"/>
  <c r="R52" i="30"/>
  <c r="O52" i="30"/>
  <c r="L52" i="30"/>
  <c r="I52" i="30"/>
  <c r="F52" i="30"/>
  <c r="X51" i="30"/>
  <c r="U51" i="30"/>
  <c r="R51" i="30"/>
  <c r="O51" i="30"/>
  <c r="L51" i="30"/>
  <c r="I51" i="30"/>
  <c r="F51" i="30"/>
  <c r="X50" i="30"/>
  <c r="U50" i="30"/>
  <c r="R50" i="30"/>
  <c r="O50" i="30"/>
  <c r="L50" i="30"/>
  <c r="I50" i="30"/>
  <c r="F50" i="30"/>
  <c r="X49" i="30"/>
  <c r="U49" i="30"/>
  <c r="R49" i="30"/>
  <c r="O49" i="30"/>
  <c r="L49" i="30"/>
  <c r="I49" i="30"/>
  <c r="F49" i="30"/>
  <c r="X48" i="30"/>
  <c r="U48" i="30"/>
  <c r="R48" i="30"/>
  <c r="O48" i="30"/>
  <c r="L48" i="30"/>
  <c r="I48" i="30"/>
  <c r="F48" i="30"/>
  <c r="X47" i="30"/>
  <c r="U47" i="30"/>
  <c r="R47" i="30"/>
  <c r="O47" i="30"/>
  <c r="L47" i="30"/>
  <c r="I47" i="30"/>
  <c r="F47" i="30"/>
  <c r="X46" i="30"/>
  <c r="U46" i="30"/>
  <c r="R46" i="30"/>
  <c r="O46" i="30"/>
  <c r="L46" i="30"/>
  <c r="I46" i="30"/>
  <c r="F46" i="30"/>
  <c r="X45" i="30"/>
  <c r="U45" i="30"/>
  <c r="R45" i="30"/>
  <c r="O45" i="30"/>
  <c r="L45" i="30"/>
  <c r="I45" i="30"/>
  <c r="F45" i="30"/>
  <c r="X44" i="30"/>
  <c r="U44" i="30"/>
  <c r="R44" i="30"/>
  <c r="O44" i="30"/>
  <c r="L44" i="30"/>
  <c r="I44" i="30"/>
  <c r="F44" i="30"/>
  <c r="X43" i="30"/>
  <c r="U43" i="30"/>
  <c r="R43" i="30"/>
  <c r="O43" i="30"/>
  <c r="L43" i="30"/>
  <c r="I43" i="30"/>
  <c r="F43" i="30"/>
  <c r="X42" i="30"/>
  <c r="U42" i="30"/>
  <c r="R42" i="30"/>
  <c r="O42" i="30"/>
  <c r="L42" i="30"/>
  <c r="I42" i="30"/>
  <c r="F42" i="30"/>
  <c r="X41" i="30"/>
  <c r="U41" i="30"/>
  <c r="R41" i="30"/>
  <c r="O41" i="30"/>
  <c r="L41" i="30"/>
  <c r="I41" i="30"/>
  <c r="F41" i="30"/>
  <c r="X40" i="30"/>
  <c r="U40" i="30"/>
  <c r="R40" i="30"/>
  <c r="O40" i="30"/>
  <c r="L40" i="30"/>
  <c r="I40" i="30"/>
  <c r="F40" i="30"/>
  <c r="X39" i="30"/>
  <c r="U39" i="30"/>
  <c r="R39" i="30"/>
  <c r="O39" i="30"/>
  <c r="L39" i="30"/>
  <c r="I39" i="30"/>
  <c r="F39" i="30"/>
  <c r="X38" i="30"/>
  <c r="U38" i="30"/>
  <c r="R38" i="30"/>
  <c r="O38" i="30"/>
  <c r="L38" i="30"/>
  <c r="I38" i="30"/>
  <c r="F38" i="30"/>
  <c r="X37" i="30"/>
  <c r="U37" i="30"/>
  <c r="R37" i="30"/>
  <c r="O37" i="30"/>
  <c r="L37" i="30"/>
  <c r="I37" i="30"/>
  <c r="F37" i="30"/>
  <c r="X36" i="30"/>
  <c r="U36" i="30"/>
  <c r="R36" i="30"/>
  <c r="O36" i="30"/>
  <c r="L36" i="30"/>
  <c r="I36" i="30"/>
  <c r="F36" i="30"/>
  <c r="X35" i="30"/>
  <c r="U35" i="30"/>
  <c r="R35" i="30"/>
  <c r="O35" i="30"/>
  <c r="L35" i="30"/>
  <c r="I35" i="30"/>
  <c r="F35" i="30"/>
  <c r="X34" i="30"/>
  <c r="U34" i="30"/>
  <c r="R34" i="30"/>
  <c r="O34" i="30"/>
  <c r="L34" i="30"/>
  <c r="I34" i="30"/>
  <c r="F34" i="30"/>
  <c r="X33" i="30"/>
  <c r="U33" i="30"/>
  <c r="R33" i="30"/>
  <c r="O33" i="30"/>
  <c r="L33" i="30"/>
  <c r="I33" i="30"/>
  <c r="F33" i="30"/>
  <c r="X32" i="30"/>
  <c r="U32" i="30"/>
  <c r="R32" i="30"/>
  <c r="O32" i="30"/>
  <c r="L32" i="30"/>
  <c r="I32" i="30"/>
  <c r="F32" i="30"/>
  <c r="X31" i="30"/>
  <c r="U31" i="30"/>
  <c r="R31" i="30"/>
  <c r="O31" i="30"/>
  <c r="L31" i="30"/>
  <c r="I31" i="30"/>
  <c r="F31" i="30"/>
  <c r="X30" i="30"/>
  <c r="U30" i="30"/>
  <c r="R30" i="30"/>
  <c r="O30" i="30"/>
  <c r="L30" i="30"/>
  <c r="I30" i="30"/>
  <c r="F30" i="30"/>
  <c r="X29" i="30"/>
  <c r="U29" i="30"/>
  <c r="R29" i="30"/>
  <c r="O29" i="30"/>
  <c r="L29" i="30"/>
  <c r="I29" i="30"/>
  <c r="F29" i="30"/>
  <c r="X28" i="30"/>
  <c r="U28" i="30"/>
  <c r="R28" i="30"/>
  <c r="O28" i="30"/>
  <c r="L28" i="30"/>
  <c r="I28" i="30"/>
  <c r="F28" i="30"/>
  <c r="X27" i="30"/>
  <c r="U27" i="30"/>
  <c r="R27" i="30"/>
  <c r="O27" i="30"/>
  <c r="L27" i="30"/>
  <c r="I27" i="30"/>
  <c r="F27" i="30"/>
  <c r="X26" i="30"/>
  <c r="U26" i="30"/>
  <c r="R26" i="30"/>
  <c r="O26" i="30"/>
  <c r="L26" i="30"/>
  <c r="I26" i="30"/>
  <c r="F26" i="30"/>
  <c r="X25" i="30"/>
  <c r="U25" i="30"/>
  <c r="R25" i="30"/>
  <c r="O25" i="30"/>
  <c r="L25" i="30"/>
  <c r="I25" i="30"/>
  <c r="F25" i="30"/>
  <c r="X24" i="30"/>
  <c r="U24" i="30"/>
  <c r="R24" i="30"/>
  <c r="O24" i="30"/>
  <c r="L24" i="30"/>
  <c r="I24" i="30"/>
  <c r="F24" i="30"/>
  <c r="X23" i="30"/>
  <c r="U23" i="30"/>
  <c r="R23" i="30"/>
  <c r="O23" i="30"/>
  <c r="L23" i="30"/>
  <c r="I23" i="30"/>
  <c r="F23" i="30"/>
  <c r="X22" i="30"/>
  <c r="U22" i="30"/>
  <c r="R22" i="30"/>
  <c r="O22" i="30"/>
  <c r="L22" i="30"/>
  <c r="I22" i="30"/>
  <c r="F22" i="30"/>
  <c r="X21" i="30"/>
  <c r="U21" i="30"/>
  <c r="R21" i="30"/>
  <c r="O21" i="30"/>
  <c r="L21" i="30"/>
  <c r="I21" i="30"/>
  <c r="F21" i="30"/>
  <c r="X20" i="30"/>
  <c r="U20" i="30"/>
  <c r="R20" i="30"/>
  <c r="O20" i="30"/>
  <c r="L20" i="30"/>
  <c r="I20" i="30"/>
  <c r="F20" i="30"/>
  <c r="X19" i="30"/>
  <c r="U19" i="30"/>
  <c r="R19" i="30"/>
  <c r="O19" i="30"/>
  <c r="L19" i="30"/>
  <c r="I19" i="30"/>
  <c r="F19" i="30"/>
  <c r="X18" i="30"/>
  <c r="U18" i="30"/>
  <c r="R18" i="30"/>
  <c r="O18" i="30"/>
  <c r="L18" i="30"/>
  <c r="I18" i="30"/>
  <c r="F18" i="30"/>
  <c r="X17" i="30"/>
  <c r="U17" i="30"/>
  <c r="R17" i="30"/>
  <c r="O17" i="30"/>
  <c r="L17" i="30"/>
  <c r="I17" i="30"/>
  <c r="F17" i="30"/>
  <c r="X16" i="30"/>
  <c r="U16" i="30"/>
  <c r="R16" i="30"/>
  <c r="O16" i="30"/>
  <c r="L16" i="30"/>
  <c r="I16" i="30"/>
  <c r="F16" i="30"/>
  <c r="X15" i="30"/>
  <c r="U15" i="30"/>
  <c r="R15" i="30"/>
  <c r="O15" i="30"/>
  <c r="L15" i="30"/>
  <c r="I15" i="30"/>
  <c r="F15" i="30"/>
  <c r="X14" i="30"/>
  <c r="U14" i="30"/>
  <c r="R14" i="30"/>
  <c r="O14" i="30"/>
  <c r="L14" i="30"/>
  <c r="I14" i="30"/>
  <c r="F14" i="30"/>
  <c r="X13" i="30"/>
  <c r="U13" i="30"/>
  <c r="R13" i="30"/>
  <c r="O13" i="30"/>
  <c r="L13" i="30"/>
  <c r="I13" i="30"/>
  <c r="F13" i="30"/>
  <c r="X12" i="30"/>
  <c r="U12" i="30"/>
  <c r="R12" i="30"/>
  <c r="O12" i="30"/>
  <c r="L12" i="30"/>
  <c r="I12" i="30"/>
  <c r="F12" i="30"/>
  <c r="X11" i="30"/>
  <c r="U11" i="30"/>
  <c r="R11" i="30"/>
  <c r="O11" i="30"/>
  <c r="L11" i="30"/>
  <c r="I11" i="30"/>
  <c r="F11" i="30"/>
  <c r="X10" i="30"/>
  <c r="U10" i="30"/>
  <c r="R10" i="30"/>
  <c r="O10" i="30"/>
  <c r="L10" i="30"/>
  <c r="I10" i="30"/>
  <c r="F10" i="30"/>
  <c r="X9" i="30"/>
  <c r="U9" i="30"/>
  <c r="R9" i="30"/>
  <c r="O9" i="30"/>
  <c r="L9" i="30"/>
  <c r="I9" i="30"/>
  <c r="F9" i="30"/>
  <c r="X8" i="30"/>
  <c r="U8" i="30"/>
  <c r="R8" i="30"/>
  <c r="O8" i="30"/>
  <c r="L8" i="30"/>
  <c r="I8" i="30"/>
  <c r="F8" i="30"/>
  <c r="X7" i="30"/>
  <c r="U7" i="30"/>
  <c r="R7" i="30"/>
  <c r="O7" i="30"/>
  <c r="L7" i="30"/>
  <c r="I7" i="30"/>
  <c r="F7" i="30"/>
  <c r="X6" i="30"/>
  <c r="U6" i="30"/>
  <c r="R6" i="30"/>
  <c r="O6" i="30"/>
  <c r="L6" i="30"/>
  <c r="I6" i="30"/>
  <c r="F6" i="30"/>
  <c r="X5" i="30"/>
  <c r="U5" i="30"/>
  <c r="R5" i="30"/>
  <c r="O5" i="30"/>
  <c r="L5" i="30"/>
  <c r="I5" i="30"/>
  <c r="F5" i="30"/>
  <c r="X4" i="30"/>
  <c r="U4" i="30"/>
  <c r="R4" i="30"/>
  <c r="O4" i="30"/>
  <c r="L4" i="30"/>
  <c r="I4" i="30"/>
  <c r="F4" i="30"/>
  <c r="X98" i="29"/>
  <c r="U98" i="29"/>
  <c r="R98" i="29"/>
  <c r="O98" i="29"/>
  <c r="L98" i="29"/>
  <c r="I98" i="29"/>
  <c r="F98" i="29"/>
  <c r="X97" i="29"/>
  <c r="U97" i="29"/>
  <c r="R97" i="29"/>
  <c r="O97" i="29"/>
  <c r="L97" i="29"/>
  <c r="I97" i="29"/>
  <c r="F97" i="29"/>
  <c r="X96" i="29"/>
  <c r="U96" i="29"/>
  <c r="R96" i="29"/>
  <c r="O96" i="29"/>
  <c r="L96" i="29"/>
  <c r="I96" i="29"/>
  <c r="F96" i="29"/>
  <c r="X95" i="29"/>
  <c r="U95" i="29"/>
  <c r="R95" i="29"/>
  <c r="O95" i="29"/>
  <c r="L95" i="29"/>
  <c r="I95" i="29"/>
  <c r="F95" i="29"/>
  <c r="X94" i="29"/>
  <c r="U94" i="29"/>
  <c r="R94" i="29"/>
  <c r="O94" i="29"/>
  <c r="L94" i="29"/>
  <c r="I94" i="29"/>
  <c r="F94" i="29"/>
  <c r="X93" i="29"/>
  <c r="U93" i="29"/>
  <c r="R93" i="29"/>
  <c r="O93" i="29"/>
  <c r="L93" i="29"/>
  <c r="I93" i="29"/>
  <c r="F93" i="29"/>
  <c r="X92" i="29"/>
  <c r="U92" i="29"/>
  <c r="R92" i="29"/>
  <c r="O92" i="29"/>
  <c r="L92" i="29"/>
  <c r="I92" i="29"/>
  <c r="F92" i="29"/>
  <c r="X91" i="29"/>
  <c r="U91" i="29"/>
  <c r="R91" i="29"/>
  <c r="O91" i="29"/>
  <c r="L91" i="29"/>
  <c r="I91" i="29"/>
  <c r="F91" i="29"/>
  <c r="X90" i="29"/>
  <c r="U90" i="29"/>
  <c r="R90" i="29"/>
  <c r="O90" i="29"/>
  <c r="L90" i="29"/>
  <c r="I90" i="29"/>
  <c r="F90" i="29"/>
  <c r="X89" i="29"/>
  <c r="U89" i="29"/>
  <c r="R89" i="29"/>
  <c r="O89" i="29"/>
  <c r="L89" i="29"/>
  <c r="I89" i="29"/>
  <c r="F89" i="29"/>
  <c r="X88" i="29"/>
  <c r="U88" i="29"/>
  <c r="R88" i="29"/>
  <c r="O88" i="29"/>
  <c r="L88" i="29"/>
  <c r="I88" i="29"/>
  <c r="F88" i="29"/>
  <c r="X87" i="29"/>
  <c r="U87" i="29"/>
  <c r="R87" i="29"/>
  <c r="O87" i="29"/>
  <c r="L87" i="29"/>
  <c r="I87" i="29"/>
  <c r="F87" i="29"/>
  <c r="X86" i="29"/>
  <c r="U86" i="29"/>
  <c r="R86" i="29"/>
  <c r="O86" i="29"/>
  <c r="L86" i="29"/>
  <c r="I86" i="29"/>
  <c r="F86" i="29"/>
  <c r="X85" i="29"/>
  <c r="U85" i="29"/>
  <c r="R85" i="29"/>
  <c r="O85" i="29"/>
  <c r="L85" i="29"/>
  <c r="I85" i="29"/>
  <c r="F85" i="29"/>
  <c r="X84" i="29"/>
  <c r="U84" i="29"/>
  <c r="R84" i="29"/>
  <c r="O84" i="29"/>
  <c r="L84" i="29"/>
  <c r="I84" i="29"/>
  <c r="F84" i="29"/>
  <c r="X83" i="29"/>
  <c r="U83" i="29"/>
  <c r="R83" i="29"/>
  <c r="O83" i="29"/>
  <c r="L83" i="29"/>
  <c r="I83" i="29"/>
  <c r="F83" i="29"/>
  <c r="X82" i="29"/>
  <c r="U82" i="29"/>
  <c r="R82" i="29"/>
  <c r="O82" i="29"/>
  <c r="L82" i="29"/>
  <c r="I82" i="29"/>
  <c r="F82" i="29"/>
  <c r="X81" i="29"/>
  <c r="U81" i="29"/>
  <c r="R81" i="29"/>
  <c r="O81" i="29"/>
  <c r="L81" i="29"/>
  <c r="I81" i="29"/>
  <c r="F81" i="29"/>
  <c r="X80" i="29"/>
  <c r="U80" i="29"/>
  <c r="R80" i="29"/>
  <c r="O80" i="29"/>
  <c r="L80" i="29"/>
  <c r="I80" i="29"/>
  <c r="F80" i="29"/>
  <c r="X79" i="29"/>
  <c r="U79" i="29"/>
  <c r="R79" i="29"/>
  <c r="O79" i="29"/>
  <c r="L79" i="29"/>
  <c r="I79" i="29"/>
  <c r="F79" i="29"/>
  <c r="X78" i="29"/>
  <c r="U78" i="29"/>
  <c r="R78" i="29"/>
  <c r="O78" i="29"/>
  <c r="L78" i="29"/>
  <c r="I78" i="29"/>
  <c r="F78" i="29"/>
  <c r="X77" i="29"/>
  <c r="U77" i="29"/>
  <c r="R77" i="29"/>
  <c r="O77" i="29"/>
  <c r="L77" i="29"/>
  <c r="I77" i="29"/>
  <c r="F77" i="29"/>
  <c r="X76" i="29"/>
  <c r="U76" i="29"/>
  <c r="R76" i="29"/>
  <c r="O76" i="29"/>
  <c r="L76" i="29"/>
  <c r="I76" i="29"/>
  <c r="F76" i="29"/>
  <c r="X75" i="29"/>
  <c r="U75" i="29"/>
  <c r="R75" i="29"/>
  <c r="O75" i="29"/>
  <c r="L75" i="29"/>
  <c r="I75" i="29"/>
  <c r="F75" i="29"/>
  <c r="X74" i="29"/>
  <c r="U74" i="29"/>
  <c r="R74" i="29"/>
  <c r="O74" i="29"/>
  <c r="L74" i="29"/>
  <c r="I74" i="29"/>
  <c r="F74" i="29"/>
  <c r="X73" i="29"/>
  <c r="U73" i="29"/>
  <c r="R73" i="29"/>
  <c r="O73" i="29"/>
  <c r="L73" i="29"/>
  <c r="I73" i="29"/>
  <c r="F73" i="29"/>
  <c r="X72" i="29"/>
  <c r="U72" i="29"/>
  <c r="R72" i="29"/>
  <c r="O72" i="29"/>
  <c r="L72" i="29"/>
  <c r="I72" i="29"/>
  <c r="F72" i="29"/>
  <c r="X71" i="29"/>
  <c r="U71" i="29"/>
  <c r="R71" i="29"/>
  <c r="O71" i="29"/>
  <c r="L71" i="29"/>
  <c r="I71" i="29"/>
  <c r="F71" i="29"/>
  <c r="X70" i="29"/>
  <c r="U70" i="29"/>
  <c r="R70" i="29"/>
  <c r="O70" i="29"/>
  <c r="L70" i="29"/>
  <c r="I70" i="29"/>
  <c r="F70" i="29"/>
  <c r="X69" i="29"/>
  <c r="U69" i="29"/>
  <c r="R69" i="29"/>
  <c r="O69" i="29"/>
  <c r="L69" i="29"/>
  <c r="I69" i="29"/>
  <c r="F69" i="29"/>
  <c r="X68" i="29"/>
  <c r="U68" i="29"/>
  <c r="R68" i="29"/>
  <c r="O68" i="29"/>
  <c r="L68" i="29"/>
  <c r="I68" i="29"/>
  <c r="F68" i="29"/>
  <c r="X67" i="29"/>
  <c r="U67" i="29"/>
  <c r="R67" i="29"/>
  <c r="O67" i="29"/>
  <c r="L67" i="29"/>
  <c r="I67" i="29"/>
  <c r="F67" i="29"/>
  <c r="X66" i="29"/>
  <c r="U66" i="29"/>
  <c r="R66" i="29"/>
  <c r="O66" i="29"/>
  <c r="L66" i="29"/>
  <c r="I66" i="29"/>
  <c r="F66" i="29"/>
  <c r="X65" i="29"/>
  <c r="U65" i="29"/>
  <c r="R65" i="29"/>
  <c r="O65" i="29"/>
  <c r="L65" i="29"/>
  <c r="I65" i="29"/>
  <c r="F65" i="29"/>
  <c r="X64" i="29"/>
  <c r="U64" i="29"/>
  <c r="R64" i="29"/>
  <c r="O64" i="29"/>
  <c r="L64" i="29"/>
  <c r="I64" i="29"/>
  <c r="F64" i="29"/>
  <c r="X63" i="29"/>
  <c r="U63" i="29"/>
  <c r="R63" i="29"/>
  <c r="O63" i="29"/>
  <c r="L63" i="29"/>
  <c r="I63" i="29"/>
  <c r="F63" i="29"/>
  <c r="X62" i="29"/>
  <c r="U62" i="29"/>
  <c r="R62" i="29"/>
  <c r="O62" i="29"/>
  <c r="L62" i="29"/>
  <c r="I62" i="29"/>
  <c r="F62" i="29"/>
  <c r="X61" i="29"/>
  <c r="U61" i="29"/>
  <c r="R61" i="29"/>
  <c r="O61" i="29"/>
  <c r="L61" i="29"/>
  <c r="I61" i="29"/>
  <c r="F61" i="29"/>
  <c r="X60" i="29"/>
  <c r="U60" i="29"/>
  <c r="R60" i="29"/>
  <c r="O60" i="29"/>
  <c r="L60" i="29"/>
  <c r="I60" i="29"/>
  <c r="F60" i="29"/>
  <c r="X59" i="29"/>
  <c r="U59" i="29"/>
  <c r="R59" i="29"/>
  <c r="O59" i="29"/>
  <c r="L59" i="29"/>
  <c r="I59" i="29"/>
  <c r="F59" i="29"/>
  <c r="X58" i="29"/>
  <c r="U58" i="29"/>
  <c r="R58" i="29"/>
  <c r="O58" i="29"/>
  <c r="L58" i="29"/>
  <c r="I58" i="29"/>
  <c r="F58" i="29"/>
  <c r="X57" i="29"/>
  <c r="U57" i="29"/>
  <c r="R57" i="29"/>
  <c r="O57" i="29"/>
  <c r="L57" i="29"/>
  <c r="I57" i="29"/>
  <c r="F57" i="29"/>
  <c r="X56" i="29"/>
  <c r="U56" i="29"/>
  <c r="R56" i="29"/>
  <c r="O56" i="29"/>
  <c r="L56" i="29"/>
  <c r="I56" i="29"/>
  <c r="F56" i="29"/>
  <c r="X55" i="29"/>
  <c r="U55" i="29"/>
  <c r="R55" i="29"/>
  <c r="O55" i="29"/>
  <c r="L55" i="29"/>
  <c r="I55" i="29"/>
  <c r="F55" i="29"/>
  <c r="X54" i="29"/>
  <c r="U54" i="29"/>
  <c r="R54" i="29"/>
  <c r="O54" i="29"/>
  <c r="L54" i="29"/>
  <c r="I54" i="29"/>
  <c r="F54" i="29"/>
  <c r="X53" i="29"/>
  <c r="U53" i="29"/>
  <c r="R53" i="29"/>
  <c r="O53" i="29"/>
  <c r="L53" i="29"/>
  <c r="I53" i="29"/>
  <c r="F53" i="29"/>
  <c r="X52" i="29"/>
  <c r="U52" i="29"/>
  <c r="R52" i="29"/>
  <c r="O52" i="29"/>
  <c r="L52" i="29"/>
  <c r="I52" i="29"/>
  <c r="F52" i="29"/>
  <c r="X51" i="29"/>
  <c r="U51" i="29"/>
  <c r="R51" i="29"/>
  <c r="O51" i="29"/>
  <c r="L51" i="29"/>
  <c r="I51" i="29"/>
  <c r="F51" i="29"/>
  <c r="X50" i="29"/>
  <c r="U50" i="29"/>
  <c r="R50" i="29"/>
  <c r="O50" i="29"/>
  <c r="L50" i="29"/>
  <c r="I50" i="29"/>
  <c r="F50" i="29"/>
  <c r="X49" i="29"/>
  <c r="U49" i="29"/>
  <c r="R49" i="29"/>
  <c r="O49" i="29"/>
  <c r="L49" i="29"/>
  <c r="I49" i="29"/>
  <c r="F49" i="29"/>
  <c r="X48" i="29"/>
  <c r="U48" i="29"/>
  <c r="R48" i="29"/>
  <c r="O48" i="29"/>
  <c r="L48" i="29"/>
  <c r="I48" i="29"/>
  <c r="F48" i="29"/>
  <c r="X47" i="29"/>
  <c r="U47" i="29"/>
  <c r="R47" i="29"/>
  <c r="O47" i="29"/>
  <c r="L47" i="29"/>
  <c r="I47" i="29"/>
  <c r="F47" i="29"/>
  <c r="X46" i="29"/>
  <c r="U46" i="29"/>
  <c r="R46" i="29"/>
  <c r="O46" i="29"/>
  <c r="L46" i="29"/>
  <c r="I46" i="29"/>
  <c r="F46" i="29"/>
  <c r="X45" i="29"/>
  <c r="U45" i="29"/>
  <c r="R45" i="29"/>
  <c r="O45" i="29"/>
  <c r="L45" i="29"/>
  <c r="I45" i="29"/>
  <c r="F45" i="29"/>
  <c r="X44" i="29"/>
  <c r="U44" i="29"/>
  <c r="R44" i="29"/>
  <c r="O44" i="29"/>
  <c r="L44" i="29"/>
  <c r="I44" i="29"/>
  <c r="F44" i="29"/>
  <c r="X43" i="29"/>
  <c r="U43" i="29"/>
  <c r="R43" i="29"/>
  <c r="O43" i="29"/>
  <c r="L43" i="29"/>
  <c r="I43" i="29"/>
  <c r="F43" i="29"/>
  <c r="X42" i="29"/>
  <c r="U42" i="29"/>
  <c r="R42" i="29"/>
  <c r="O42" i="29"/>
  <c r="L42" i="29"/>
  <c r="I42" i="29"/>
  <c r="F42" i="29"/>
  <c r="X41" i="29"/>
  <c r="U41" i="29"/>
  <c r="R41" i="29"/>
  <c r="O41" i="29"/>
  <c r="L41" i="29"/>
  <c r="I41" i="29"/>
  <c r="F41" i="29"/>
  <c r="X40" i="29"/>
  <c r="U40" i="29"/>
  <c r="R40" i="29"/>
  <c r="O40" i="29"/>
  <c r="L40" i="29"/>
  <c r="I40" i="29"/>
  <c r="F40" i="29"/>
  <c r="X39" i="29"/>
  <c r="U39" i="29"/>
  <c r="R39" i="29"/>
  <c r="O39" i="29"/>
  <c r="L39" i="29"/>
  <c r="I39" i="29"/>
  <c r="F39" i="29"/>
  <c r="X38" i="29"/>
  <c r="U38" i="29"/>
  <c r="R38" i="29"/>
  <c r="O38" i="29"/>
  <c r="L38" i="29"/>
  <c r="I38" i="29"/>
  <c r="F38" i="29"/>
  <c r="X37" i="29"/>
  <c r="U37" i="29"/>
  <c r="R37" i="29"/>
  <c r="O37" i="29"/>
  <c r="L37" i="29"/>
  <c r="I37" i="29"/>
  <c r="F37" i="29"/>
  <c r="X36" i="29"/>
  <c r="U36" i="29"/>
  <c r="R36" i="29"/>
  <c r="O36" i="29"/>
  <c r="L36" i="29"/>
  <c r="I36" i="29"/>
  <c r="F36" i="29"/>
  <c r="X35" i="29"/>
  <c r="U35" i="29"/>
  <c r="R35" i="29"/>
  <c r="O35" i="29"/>
  <c r="L35" i="29"/>
  <c r="I35" i="29"/>
  <c r="F35" i="29"/>
  <c r="X34" i="29"/>
  <c r="U34" i="29"/>
  <c r="R34" i="29"/>
  <c r="O34" i="29"/>
  <c r="L34" i="29"/>
  <c r="I34" i="29"/>
  <c r="F34" i="29"/>
  <c r="X33" i="29"/>
  <c r="U33" i="29"/>
  <c r="R33" i="29"/>
  <c r="O33" i="29"/>
  <c r="L33" i="29"/>
  <c r="I33" i="29"/>
  <c r="F33" i="29"/>
  <c r="X32" i="29"/>
  <c r="U32" i="29"/>
  <c r="R32" i="29"/>
  <c r="O32" i="29"/>
  <c r="L32" i="29"/>
  <c r="I32" i="29"/>
  <c r="F32" i="29"/>
  <c r="X31" i="29"/>
  <c r="U31" i="29"/>
  <c r="R31" i="29"/>
  <c r="O31" i="29"/>
  <c r="L31" i="29"/>
  <c r="I31" i="29"/>
  <c r="F31" i="29"/>
  <c r="X30" i="29"/>
  <c r="U30" i="29"/>
  <c r="R30" i="29"/>
  <c r="O30" i="29"/>
  <c r="L30" i="29"/>
  <c r="I30" i="29"/>
  <c r="F30" i="29"/>
  <c r="X29" i="29"/>
  <c r="U29" i="29"/>
  <c r="R29" i="29"/>
  <c r="O29" i="29"/>
  <c r="L29" i="29"/>
  <c r="I29" i="29"/>
  <c r="F29" i="29"/>
  <c r="X28" i="29"/>
  <c r="U28" i="29"/>
  <c r="R28" i="29"/>
  <c r="O28" i="29"/>
  <c r="L28" i="29"/>
  <c r="I28" i="29"/>
  <c r="F28" i="29"/>
  <c r="X27" i="29"/>
  <c r="U27" i="29"/>
  <c r="R27" i="29"/>
  <c r="O27" i="29"/>
  <c r="L27" i="29"/>
  <c r="I27" i="29"/>
  <c r="F27" i="29"/>
  <c r="X26" i="29"/>
  <c r="U26" i="29"/>
  <c r="R26" i="29"/>
  <c r="O26" i="29"/>
  <c r="L26" i="29"/>
  <c r="I26" i="29"/>
  <c r="F26" i="29"/>
  <c r="X25" i="29"/>
  <c r="U25" i="29"/>
  <c r="R25" i="29"/>
  <c r="O25" i="29"/>
  <c r="L25" i="29"/>
  <c r="I25" i="29"/>
  <c r="F25" i="29"/>
  <c r="X24" i="29"/>
  <c r="U24" i="29"/>
  <c r="R24" i="29"/>
  <c r="O24" i="29"/>
  <c r="L24" i="29"/>
  <c r="I24" i="29"/>
  <c r="F24" i="29"/>
  <c r="X23" i="29"/>
  <c r="U23" i="29"/>
  <c r="R23" i="29"/>
  <c r="O23" i="29"/>
  <c r="L23" i="29"/>
  <c r="I23" i="29"/>
  <c r="F23" i="29"/>
  <c r="X22" i="29"/>
  <c r="U22" i="29"/>
  <c r="R22" i="29"/>
  <c r="O22" i="29"/>
  <c r="L22" i="29"/>
  <c r="I22" i="29"/>
  <c r="F22" i="29"/>
  <c r="X21" i="29"/>
  <c r="U21" i="29"/>
  <c r="R21" i="29"/>
  <c r="O21" i="29"/>
  <c r="L21" i="29"/>
  <c r="I21" i="29"/>
  <c r="F21" i="29"/>
  <c r="X20" i="29"/>
  <c r="U20" i="29"/>
  <c r="R20" i="29"/>
  <c r="O20" i="29"/>
  <c r="L20" i="29"/>
  <c r="I20" i="29"/>
  <c r="F20" i="29"/>
  <c r="X19" i="29"/>
  <c r="U19" i="29"/>
  <c r="R19" i="29"/>
  <c r="O19" i="29"/>
  <c r="L19" i="29"/>
  <c r="I19" i="29"/>
  <c r="F19" i="29"/>
  <c r="X18" i="29"/>
  <c r="U18" i="29"/>
  <c r="R18" i="29"/>
  <c r="O18" i="29"/>
  <c r="L18" i="29"/>
  <c r="I18" i="29"/>
  <c r="F18" i="29"/>
  <c r="X17" i="29"/>
  <c r="U17" i="29"/>
  <c r="R17" i="29"/>
  <c r="O17" i="29"/>
  <c r="L17" i="29"/>
  <c r="I17" i="29"/>
  <c r="F17" i="29"/>
  <c r="X16" i="29"/>
  <c r="U16" i="29"/>
  <c r="R16" i="29"/>
  <c r="O16" i="29"/>
  <c r="L16" i="29"/>
  <c r="I16" i="29"/>
  <c r="F16" i="29"/>
  <c r="X15" i="29"/>
  <c r="U15" i="29"/>
  <c r="R15" i="29"/>
  <c r="O15" i="29"/>
  <c r="L15" i="29"/>
  <c r="I15" i="29"/>
  <c r="F15" i="29"/>
  <c r="X14" i="29"/>
  <c r="U14" i="29"/>
  <c r="R14" i="29"/>
  <c r="O14" i="29"/>
  <c r="L14" i="29"/>
  <c r="I14" i="29"/>
  <c r="F14" i="29"/>
  <c r="X13" i="29"/>
  <c r="U13" i="29"/>
  <c r="R13" i="29"/>
  <c r="O13" i="29"/>
  <c r="L13" i="29"/>
  <c r="I13" i="29"/>
  <c r="F13" i="29"/>
  <c r="X12" i="29"/>
  <c r="U12" i="29"/>
  <c r="R12" i="29"/>
  <c r="O12" i="29"/>
  <c r="L12" i="29"/>
  <c r="I12" i="29"/>
  <c r="F12" i="29"/>
  <c r="X11" i="29"/>
  <c r="U11" i="29"/>
  <c r="R11" i="29"/>
  <c r="O11" i="29"/>
  <c r="L11" i="29"/>
  <c r="I11" i="29"/>
  <c r="F11" i="29"/>
  <c r="X10" i="29"/>
  <c r="U10" i="29"/>
  <c r="R10" i="29"/>
  <c r="O10" i="29"/>
  <c r="L10" i="29"/>
  <c r="I10" i="29"/>
  <c r="F10" i="29"/>
  <c r="X9" i="29"/>
  <c r="U9" i="29"/>
  <c r="R9" i="29"/>
  <c r="O9" i="29"/>
  <c r="L9" i="29"/>
  <c r="I9" i="29"/>
  <c r="F9" i="29"/>
  <c r="X8" i="29"/>
  <c r="U8" i="29"/>
  <c r="R8" i="29"/>
  <c r="O8" i="29"/>
  <c r="L8" i="29"/>
  <c r="I8" i="29"/>
  <c r="F8" i="29"/>
  <c r="X7" i="29"/>
  <c r="U7" i="29"/>
  <c r="R7" i="29"/>
  <c r="O7" i="29"/>
  <c r="L7" i="29"/>
  <c r="I7" i="29"/>
  <c r="F7" i="29"/>
  <c r="X6" i="29"/>
  <c r="U6" i="29"/>
  <c r="R6" i="29"/>
  <c r="O6" i="29"/>
  <c r="L6" i="29"/>
  <c r="I6" i="29"/>
  <c r="F6" i="29"/>
  <c r="X5" i="29"/>
  <c r="U5" i="29"/>
  <c r="R5" i="29"/>
  <c r="O5" i="29"/>
  <c r="L5" i="29"/>
  <c r="I5" i="29"/>
  <c r="F5" i="29"/>
  <c r="X4" i="29"/>
  <c r="U4" i="29"/>
  <c r="R4" i="29"/>
  <c r="O4" i="29"/>
  <c r="L4" i="29"/>
  <c r="I4" i="29"/>
  <c r="F4" i="29"/>
  <c r="X98" i="28"/>
  <c r="U98" i="28"/>
  <c r="R98" i="28"/>
  <c r="O98" i="28"/>
  <c r="L98" i="28"/>
  <c r="I98" i="28"/>
  <c r="F98" i="28"/>
  <c r="X97" i="28"/>
  <c r="U97" i="28"/>
  <c r="R97" i="28"/>
  <c r="O97" i="28"/>
  <c r="L97" i="28"/>
  <c r="I97" i="28"/>
  <c r="F97" i="28"/>
  <c r="X96" i="28"/>
  <c r="U96" i="28"/>
  <c r="R96" i="28"/>
  <c r="O96" i="28"/>
  <c r="L96" i="28"/>
  <c r="I96" i="28"/>
  <c r="F96" i="28"/>
  <c r="X95" i="28"/>
  <c r="U95" i="28"/>
  <c r="R95" i="28"/>
  <c r="O95" i="28"/>
  <c r="L95" i="28"/>
  <c r="I95" i="28"/>
  <c r="F95" i="28"/>
  <c r="X94" i="28"/>
  <c r="U94" i="28"/>
  <c r="R94" i="28"/>
  <c r="O94" i="28"/>
  <c r="L94" i="28"/>
  <c r="I94" i="28"/>
  <c r="F94" i="28"/>
  <c r="X93" i="28"/>
  <c r="U93" i="28"/>
  <c r="R93" i="28"/>
  <c r="O93" i="28"/>
  <c r="L93" i="28"/>
  <c r="I93" i="28"/>
  <c r="F93" i="28"/>
  <c r="X92" i="28"/>
  <c r="U92" i="28"/>
  <c r="R92" i="28"/>
  <c r="O92" i="28"/>
  <c r="L92" i="28"/>
  <c r="I92" i="28"/>
  <c r="F92" i="28"/>
  <c r="X91" i="28"/>
  <c r="U91" i="28"/>
  <c r="R91" i="28"/>
  <c r="O91" i="28"/>
  <c r="L91" i="28"/>
  <c r="I91" i="28"/>
  <c r="F91" i="28"/>
  <c r="X90" i="28"/>
  <c r="U90" i="28"/>
  <c r="R90" i="28"/>
  <c r="O90" i="28"/>
  <c r="L90" i="28"/>
  <c r="I90" i="28"/>
  <c r="F90" i="28"/>
  <c r="X89" i="28"/>
  <c r="U89" i="28"/>
  <c r="R89" i="28"/>
  <c r="O89" i="28"/>
  <c r="L89" i="28"/>
  <c r="I89" i="28"/>
  <c r="F89" i="28"/>
  <c r="X88" i="28"/>
  <c r="U88" i="28"/>
  <c r="R88" i="28"/>
  <c r="O88" i="28"/>
  <c r="L88" i="28"/>
  <c r="I88" i="28"/>
  <c r="F88" i="28"/>
  <c r="X87" i="28"/>
  <c r="U87" i="28"/>
  <c r="R87" i="28"/>
  <c r="O87" i="28"/>
  <c r="L87" i="28"/>
  <c r="I87" i="28"/>
  <c r="F87" i="28"/>
  <c r="X86" i="28"/>
  <c r="U86" i="28"/>
  <c r="R86" i="28"/>
  <c r="O86" i="28"/>
  <c r="L86" i="28"/>
  <c r="I86" i="28"/>
  <c r="F86" i="28"/>
  <c r="X85" i="28"/>
  <c r="U85" i="28"/>
  <c r="R85" i="28"/>
  <c r="O85" i="28"/>
  <c r="L85" i="28"/>
  <c r="I85" i="28"/>
  <c r="F85" i="28"/>
  <c r="X84" i="28"/>
  <c r="U84" i="28"/>
  <c r="R84" i="28"/>
  <c r="O84" i="28"/>
  <c r="L84" i="28"/>
  <c r="I84" i="28"/>
  <c r="F84" i="28"/>
  <c r="X83" i="28"/>
  <c r="U83" i="28"/>
  <c r="R83" i="28"/>
  <c r="O83" i="28"/>
  <c r="L83" i="28"/>
  <c r="I83" i="28"/>
  <c r="F83" i="28"/>
  <c r="X82" i="28"/>
  <c r="U82" i="28"/>
  <c r="R82" i="28"/>
  <c r="O82" i="28"/>
  <c r="L82" i="28"/>
  <c r="I82" i="28"/>
  <c r="F82" i="28"/>
  <c r="X81" i="28"/>
  <c r="U81" i="28"/>
  <c r="R81" i="28"/>
  <c r="O81" i="28"/>
  <c r="L81" i="28"/>
  <c r="I81" i="28"/>
  <c r="F81" i="28"/>
  <c r="X80" i="28"/>
  <c r="U80" i="28"/>
  <c r="R80" i="28"/>
  <c r="O80" i="28"/>
  <c r="L80" i="28"/>
  <c r="I80" i="28"/>
  <c r="F80" i="28"/>
  <c r="X79" i="28"/>
  <c r="U79" i="28"/>
  <c r="R79" i="28"/>
  <c r="O79" i="28"/>
  <c r="L79" i="28"/>
  <c r="I79" i="28"/>
  <c r="F79" i="28"/>
  <c r="X78" i="28"/>
  <c r="U78" i="28"/>
  <c r="R78" i="28"/>
  <c r="O78" i="28"/>
  <c r="L78" i="28"/>
  <c r="I78" i="28"/>
  <c r="F78" i="28"/>
  <c r="X77" i="28"/>
  <c r="U77" i="28"/>
  <c r="R77" i="28"/>
  <c r="O77" i="28"/>
  <c r="L77" i="28"/>
  <c r="I77" i="28"/>
  <c r="F77" i="28"/>
  <c r="X76" i="28"/>
  <c r="U76" i="28"/>
  <c r="R76" i="28"/>
  <c r="O76" i="28"/>
  <c r="L76" i="28"/>
  <c r="I76" i="28"/>
  <c r="F76" i="28"/>
  <c r="X75" i="28"/>
  <c r="U75" i="28"/>
  <c r="R75" i="28"/>
  <c r="O75" i="28"/>
  <c r="L75" i="28"/>
  <c r="I75" i="28"/>
  <c r="F75" i="28"/>
  <c r="X74" i="28"/>
  <c r="U74" i="28"/>
  <c r="R74" i="28"/>
  <c r="O74" i="28"/>
  <c r="L74" i="28"/>
  <c r="I74" i="28"/>
  <c r="F74" i="28"/>
  <c r="X73" i="28"/>
  <c r="U73" i="28"/>
  <c r="R73" i="28"/>
  <c r="O73" i="28"/>
  <c r="L73" i="28"/>
  <c r="I73" i="28"/>
  <c r="F73" i="28"/>
  <c r="X72" i="28"/>
  <c r="U72" i="28"/>
  <c r="R72" i="28"/>
  <c r="O72" i="28"/>
  <c r="L72" i="28"/>
  <c r="I72" i="28"/>
  <c r="F72" i="28"/>
  <c r="X71" i="28"/>
  <c r="U71" i="28"/>
  <c r="R71" i="28"/>
  <c r="O71" i="28"/>
  <c r="L71" i="28"/>
  <c r="I71" i="28"/>
  <c r="F71" i="28"/>
  <c r="X70" i="28"/>
  <c r="U70" i="28"/>
  <c r="R70" i="28"/>
  <c r="O70" i="28"/>
  <c r="L70" i="28"/>
  <c r="I70" i="28"/>
  <c r="F70" i="28"/>
  <c r="X69" i="28"/>
  <c r="U69" i="28"/>
  <c r="R69" i="28"/>
  <c r="O69" i="28"/>
  <c r="L69" i="28"/>
  <c r="I69" i="28"/>
  <c r="F69" i="28"/>
  <c r="X68" i="28"/>
  <c r="U68" i="28"/>
  <c r="R68" i="28"/>
  <c r="O68" i="28"/>
  <c r="L68" i="28"/>
  <c r="I68" i="28"/>
  <c r="F68" i="28"/>
  <c r="X67" i="28"/>
  <c r="U67" i="28"/>
  <c r="R67" i="28"/>
  <c r="O67" i="28"/>
  <c r="L67" i="28"/>
  <c r="I67" i="28"/>
  <c r="F67" i="28"/>
  <c r="X66" i="28"/>
  <c r="U66" i="28"/>
  <c r="R66" i="28"/>
  <c r="O66" i="28"/>
  <c r="L66" i="28"/>
  <c r="I66" i="28"/>
  <c r="F66" i="28"/>
  <c r="X65" i="28"/>
  <c r="U65" i="28"/>
  <c r="R65" i="28"/>
  <c r="O65" i="28"/>
  <c r="L65" i="28"/>
  <c r="I65" i="28"/>
  <c r="F65" i="28"/>
  <c r="X64" i="28"/>
  <c r="U64" i="28"/>
  <c r="R64" i="28"/>
  <c r="O64" i="28"/>
  <c r="L64" i="28"/>
  <c r="I64" i="28"/>
  <c r="F64" i="28"/>
  <c r="X63" i="28"/>
  <c r="U63" i="28"/>
  <c r="R63" i="28"/>
  <c r="O63" i="28"/>
  <c r="L63" i="28"/>
  <c r="I63" i="28"/>
  <c r="F63" i="28"/>
  <c r="X62" i="28"/>
  <c r="U62" i="28"/>
  <c r="R62" i="28"/>
  <c r="O62" i="28"/>
  <c r="L62" i="28"/>
  <c r="I62" i="28"/>
  <c r="F62" i="28"/>
  <c r="X61" i="28"/>
  <c r="U61" i="28"/>
  <c r="R61" i="28"/>
  <c r="O61" i="28"/>
  <c r="L61" i="28"/>
  <c r="I61" i="28"/>
  <c r="F61" i="28"/>
  <c r="X60" i="28"/>
  <c r="U60" i="28"/>
  <c r="R60" i="28"/>
  <c r="O60" i="28"/>
  <c r="L60" i="28"/>
  <c r="I60" i="28"/>
  <c r="F60" i="28"/>
  <c r="X59" i="28"/>
  <c r="U59" i="28"/>
  <c r="R59" i="28"/>
  <c r="O59" i="28"/>
  <c r="L59" i="28"/>
  <c r="I59" i="28"/>
  <c r="F59" i="28"/>
  <c r="X58" i="28"/>
  <c r="U58" i="28"/>
  <c r="R58" i="28"/>
  <c r="O58" i="28"/>
  <c r="L58" i="28"/>
  <c r="I58" i="28"/>
  <c r="F58" i="28"/>
  <c r="X57" i="28"/>
  <c r="U57" i="28"/>
  <c r="R57" i="28"/>
  <c r="O57" i="28"/>
  <c r="L57" i="28"/>
  <c r="I57" i="28"/>
  <c r="F57" i="28"/>
  <c r="X56" i="28"/>
  <c r="U56" i="28"/>
  <c r="R56" i="28"/>
  <c r="O56" i="28"/>
  <c r="L56" i="28"/>
  <c r="I56" i="28"/>
  <c r="F56" i="28"/>
  <c r="X55" i="28"/>
  <c r="U55" i="28"/>
  <c r="R55" i="28"/>
  <c r="O55" i="28"/>
  <c r="L55" i="28"/>
  <c r="I55" i="28"/>
  <c r="F55" i="28"/>
  <c r="X54" i="28"/>
  <c r="U54" i="28"/>
  <c r="R54" i="28"/>
  <c r="O54" i="28"/>
  <c r="L54" i="28"/>
  <c r="I54" i="28"/>
  <c r="F54" i="28"/>
  <c r="X53" i="28"/>
  <c r="U53" i="28"/>
  <c r="R53" i="28"/>
  <c r="O53" i="28"/>
  <c r="L53" i="28"/>
  <c r="I53" i="28"/>
  <c r="F53" i="28"/>
  <c r="X52" i="28"/>
  <c r="U52" i="28"/>
  <c r="R52" i="28"/>
  <c r="O52" i="28"/>
  <c r="L52" i="28"/>
  <c r="I52" i="28"/>
  <c r="F52" i="28"/>
  <c r="X51" i="28"/>
  <c r="U51" i="28"/>
  <c r="R51" i="28"/>
  <c r="O51" i="28"/>
  <c r="L51" i="28"/>
  <c r="I51" i="28"/>
  <c r="F51" i="28"/>
  <c r="X50" i="28"/>
  <c r="U50" i="28"/>
  <c r="R50" i="28"/>
  <c r="O50" i="28"/>
  <c r="L50" i="28"/>
  <c r="I50" i="28"/>
  <c r="F50" i="28"/>
  <c r="X49" i="28"/>
  <c r="U49" i="28"/>
  <c r="R49" i="28"/>
  <c r="O49" i="28"/>
  <c r="L49" i="28"/>
  <c r="I49" i="28"/>
  <c r="F49" i="28"/>
  <c r="X48" i="28"/>
  <c r="U48" i="28"/>
  <c r="R48" i="28"/>
  <c r="O48" i="28"/>
  <c r="L48" i="28"/>
  <c r="I48" i="28"/>
  <c r="F48" i="28"/>
  <c r="X47" i="28"/>
  <c r="U47" i="28"/>
  <c r="R47" i="28"/>
  <c r="O47" i="28"/>
  <c r="L47" i="28"/>
  <c r="I47" i="28"/>
  <c r="F47" i="28"/>
  <c r="X46" i="28"/>
  <c r="U46" i="28"/>
  <c r="R46" i="28"/>
  <c r="O46" i="28"/>
  <c r="L46" i="28"/>
  <c r="I46" i="28"/>
  <c r="F46" i="28"/>
  <c r="X45" i="28"/>
  <c r="U45" i="28"/>
  <c r="R45" i="28"/>
  <c r="O45" i="28"/>
  <c r="L45" i="28"/>
  <c r="I45" i="28"/>
  <c r="F45" i="28"/>
  <c r="X44" i="28"/>
  <c r="U44" i="28"/>
  <c r="R44" i="28"/>
  <c r="O44" i="28"/>
  <c r="L44" i="28"/>
  <c r="I44" i="28"/>
  <c r="F44" i="28"/>
  <c r="X43" i="28"/>
  <c r="U43" i="28"/>
  <c r="R43" i="28"/>
  <c r="O43" i="28"/>
  <c r="L43" i="28"/>
  <c r="I43" i="28"/>
  <c r="F43" i="28"/>
  <c r="X42" i="28"/>
  <c r="U42" i="28"/>
  <c r="R42" i="28"/>
  <c r="O42" i="28"/>
  <c r="L42" i="28"/>
  <c r="I42" i="28"/>
  <c r="F42" i="28"/>
  <c r="X41" i="28"/>
  <c r="U41" i="28"/>
  <c r="R41" i="28"/>
  <c r="O41" i="28"/>
  <c r="L41" i="28"/>
  <c r="I41" i="28"/>
  <c r="F41" i="28"/>
  <c r="X40" i="28"/>
  <c r="U40" i="28"/>
  <c r="R40" i="28"/>
  <c r="O40" i="28"/>
  <c r="L40" i="28"/>
  <c r="I40" i="28"/>
  <c r="F40" i="28"/>
  <c r="X39" i="28"/>
  <c r="U39" i="28"/>
  <c r="R39" i="28"/>
  <c r="O39" i="28"/>
  <c r="L39" i="28"/>
  <c r="I39" i="28"/>
  <c r="F39" i="28"/>
  <c r="X38" i="28"/>
  <c r="U38" i="28"/>
  <c r="R38" i="28"/>
  <c r="O38" i="28"/>
  <c r="L38" i="28"/>
  <c r="I38" i="28"/>
  <c r="F38" i="28"/>
  <c r="X37" i="28"/>
  <c r="U37" i="28"/>
  <c r="R37" i="28"/>
  <c r="O37" i="28"/>
  <c r="L37" i="28"/>
  <c r="I37" i="28"/>
  <c r="F37" i="28"/>
  <c r="X36" i="28"/>
  <c r="U36" i="28"/>
  <c r="R36" i="28"/>
  <c r="O36" i="28"/>
  <c r="L36" i="28"/>
  <c r="I36" i="28"/>
  <c r="F36" i="28"/>
  <c r="X35" i="28"/>
  <c r="U35" i="28"/>
  <c r="R35" i="28"/>
  <c r="O35" i="28"/>
  <c r="L35" i="28"/>
  <c r="I35" i="28"/>
  <c r="F35" i="28"/>
  <c r="X34" i="28"/>
  <c r="U34" i="28"/>
  <c r="R34" i="28"/>
  <c r="O34" i="28"/>
  <c r="L34" i="28"/>
  <c r="I34" i="28"/>
  <c r="F34" i="28"/>
  <c r="X33" i="28"/>
  <c r="U33" i="28"/>
  <c r="R33" i="28"/>
  <c r="O33" i="28"/>
  <c r="L33" i="28"/>
  <c r="I33" i="28"/>
  <c r="F33" i="28"/>
  <c r="X32" i="28"/>
  <c r="U32" i="28"/>
  <c r="R32" i="28"/>
  <c r="O32" i="28"/>
  <c r="L32" i="28"/>
  <c r="I32" i="28"/>
  <c r="F32" i="28"/>
  <c r="X31" i="28"/>
  <c r="U31" i="28"/>
  <c r="R31" i="28"/>
  <c r="O31" i="28"/>
  <c r="L31" i="28"/>
  <c r="I31" i="28"/>
  <c r="F31" i="28"/>
  <c r="X30" i="28"/>
  <c r="U30" i="28"/>
  <c r="R30" i="28"/>
  <c r="O30" i="28"/>
  <c r="L30" i="28"/>
  <c r="I30" i="28"/>
  <c r="F30" i="28"/>
  <c r="X29" i="28"/>
  <c r="U29" i="28"/>
  <c r="R29" i="28"/>
  <c r="O29" i="28"/>
  <c r="L29" i="28"/>
  <c r="I29" i="28"/>
  <c r="F29" i="28"/>
  <c r="X28" i="28"/>
  <c r="U28" i="28"/>
  <c r="R28" i="28"/>
  <c r="O28" i="28"/>
  <c r="L28" i="28"/>
  <c r="I28" i="28"/>
  <c r="F28" i="28"/>
  <c r="X27" i="28"/>
  <c r="U27" i="28"/>
  <c r="R27" i="28"/>
  <c r="O27" i="28"/>
  <c r="L27" i="28"/>
  <c r="I27" i="28"/>
  <c r="F27" i="28"/>
  <c r="X26" i="28"/>
  <c r="U26" i="28"/>
  <c r="R26" i="28"/>
  <c r="O26" i="28"/>
  <c r="L26" i="28"/>
  <c r="I26" i="28"/>
  <c r="F26" i="28"/>
  <c r="X25" i="28"/>
  <c r="U25" i="28"/>
  <c r="R25" i="28"/>
  <c r="O25" i="28"/>
  <c r="L25" i="28"/>
  <c r="I25" i="28"/>
  <c r="F25" i="28"/>
  <c r="X24" i="28"/>
  <c r="U24" i="28"/>
  <c r="R24" i="28"/>
  <c r="O24" i="28"/>
  <c r="L24" i="28"/>
  <c r="I24" i="28"/>
  <c r="F24" i="28"/>
  <c r="X23" i="28"/>
  <c r="U23" i="28"/>
  <c r="R23" i="28"/>
  <c r="O23" i="28"/>
  <c r="L23" i="28"/>
  <c r="I23" i="28"/>
  <c r="F23" i="28"/>
  <c r="X22" i="28"/>
  <c r="U22" i="28"/>
  <c r="R22" i="28"/>
  <c r="O22" i="28"/>
  <c r="L22" i="28"/>
  <c r="I22" i="28"/>
  <c r="F22" i="28"/>
  <c r="X21" i="28"/>
  <c r="U21" i="28"/>
  <c r="R21" i="28"/>
  <c r="O21" i="28"/>
  <c r="L21" i="28"/>
  <c r="I21" i="28"/>
  <c r="F21" i="28"/>
  <c r="X20" i="28"/>
  <c r="U20" i="28"/>
  <c r="R20" i="28"/>
  <c r="O20" i="28"/>
  <c r="L20" i="28"/>
  <c r="I20" i="28"/>
  <c r="F20" i="28"/>
  <c r="X19" i="28"/>
  <c r="U19" i="28"/>
  <c r="R19" i="28"/>
  <c r="O19" i="28"/>
  <c r="L19" i="28"/>
  <c r="I19" i="28"/>
  <c r="F19" i="28"/>
  <c r="X18" i="28"/>
  <c r="U18" i="28"/>
  <c r="R18" i="28"/>
  <c r="O18" i="28"/>
  <c r="L18" i="28"/>
  <c r="I18" i="28"/>
  <c r="F18" i="28"/>
  <c r="X17" i="28"/>
  <c r="U17" i="28"/>
  <c r="R17" i="28"/>
  <c r="O17" i="28"/>
  <c r="L17" i="28"/>
  <c r="I17" i="28"/>
  <c r="F17" i="28"/>
  <c r="X16" i="28"/>
  <c r="U16" i="28"/>
  <c r="R16" i="28"/>
  <c r="O16" i="28"/>
  <c r="L16" i="28"/>
  <c r="I16" i="28"/>
  <c r="F16" i="28"/>
  <c r="X15" i="28"/>
  <c r="U15" i="28"/>
  <c r="R15" i="28"/>
  <c r="O15" i="28"/>
  <c r="L15" i="28"/>
  <c r="I15" i="28"/>
  <c r="F15" i="28"/>
  <c r="X14" i="28"/>
  <c r="U14" i="28"/>
  <c r="R14" i="28"/>
  <c r="O14" i="28"/>
  <c r="L14" i="28"/>
  <c r="I14" i="28"/>
  <c r="F14" i="28"/>
  <c r="X13" i="28"/>
  <c r="U13" i="28"/>
  <c r="R13" i="28"/>
  <c r="O13" i="28"/>
  <c r="L13" i="28"/>
  <c r="I13" i="28"/>
  <c r="F13" i="28"/>
  <c r="X12" i="28"/>
  <c r="U12" i="28"/>
  <c r="R12" i="28"/>
  <c r="O12" i="28"/>
  <c r="L12" i="28"/>
  <c r="I12" i="28"/>
  <c r="F12" i="28"/>
  <c r="X11" i="28"/>
  <c r="U11" i="28"/>
  <c r="R11" i="28"/>
  <c r="O11" i="28"/>
  <c r="L11" i="28"/>
  <c r="I11" i="28"/>
  <c r="F11" i="28"/>
  <c r="X10" i="28"/>
  <c r="U10" i="28"/>
  <c r="R10" i="28"/>
  <c r="O10" i="28"/>
  <c r="L10" i="28"/>
  <c r="I10" i="28"/>
  <c r="F10" i="28"/>
  <c r="X9" i="28"/>
  <c r="U9" i="28"/>
  <c r="R9" i="28"/>
  <c r="O9" i="28"/>
  <c r="L9" i="28"/>
  <c r="I9" i="28"/>
  <c r="F9" i="28"/>
  <c r="X8" i="28"/>
  <c r="U8" i="28"/>
  <c r="R8" i="28"/>
  <c r="O8" i="28"/>
  <c r="L8" i="28"/>
  <c r="I8" i="28"/>
  <c r="F8" i="28"/>
  <c r="X7" i="28"/>
  <c r="U7" i="28"/>
  <c r="R7" i="28"/>
  <c r="O7" i="28"/>
  <c r="L7" i="28"/>
  <c r="I7" i="28"/>
  <c r="F7" i="28"/>
  <c r="X6" i="28"/>
  <c r="U6" i="28"/>
  <c r="R6" i="28"/>
  <c r="O6" i="28"/>
  <c r="L6" i="28"/>
  <c r="I6" i="28"/>
  <c r="F6" i="28"/>
  <c r="X5" i="28"/>
  <c r="U5" i="28"/>
  <c r="R5" i="28"/>
  <c r="O5" i="28"/>
  <c r="L5" i="28"/>
  <c r="I5" i="28"/>
  <c r="F5" i="28"/>
  <c r="X4" i="28"/>
  <c r="U4" i="28"/>
  <c r="R4" i="28"/>
  <c r="O4" i="28"/>
  <c r="L4" i="28"/>
  <c r="I4" i="28"/>
  <c r="F4" i="28"/>
  <c r="X98" i="27"/>
  <c r="U98" i="27"/>
  <c r="R98" i="27"/>
  <c r="O98" i="27"/>
  <c r="L98" i="27"/>
  <c r="I98" i="27"/>
  <c r="F98" i="27"/>
  <c r="X97" i="27"/>
  <c r="U97" i="27"/>
  <c r="R97" i="27"/>
  <c r="O97" i="27"/>
  <c r="L97" i="27"/>
  <c r="I97" i="27"/>
  <c r="F97" i="27"/>
  <c r="X96" i="27"/>
  <c r="U96" i="27"/>
  <c r="R96" i="27"/>
  <c r="O96" i="27"/>
  <c r="L96" i="27"/>
  <c r="I96" i="27"/>
  <c r="F96" i="27"/>
  <c r="X95" i="27"/>
  <c r="U95" i="27"/>
  <c r="R95" i="27"/>
  <c r="O95" i="27"/>
  <c r="L95" i="27"/>
  <c r="I95" i="27"/>
  <c r="F95" i="27"/>
  <c r="X94" i="27"/>
  <c r="U94" i="27"/>
  <c r="R94" i="27"/>
  <c r="O94" i="27"/>
  <c r="L94" i="27"/>
  <c r="I94" i="27"/>
  <c r="F94" i="27"/>
  <c r="X93" i="27"/>
  <c r="U93" i="27"/>
  <c r="R93" i="27"/>
  <c r="O93" i="27"/>
  <c r="L93" i="27"/>
  <c r="I93" i="27"/>
  <c r="F93" i="27"/>
  <c r="X92" i="27"/>
  <c r="U92" i="27"/>
  <c r="R92" i="27"/>
  <c r="O92" i="27"/>
  <c r="L92" i="27"/>
  <c r="I92" i="27"/>
  <c r="F92" i="27"/>
  <c r="X91" i="27"/>
  <c r="U91" i="27"/>
  <c r="R91" i="27"/>
  <c r="O91" i="27"/>
  <c r="L91" i="27"/>
  <c r="I91" i="27"/>
  <c r="F91" i="27"/>
  <c r="X90" i="27"/>
  <c r="U90" i="27"/>
  <c r="R90" i="27"/>
  <c r="O90" i="27"/>
  <c r="L90" i="27"/>
  <c r="I90" i="27"/>
  <c r="F90" i="27"/>
  <c r="X89" i="27"/>
  <c r="U89" i="27"/>
  <c r="R89" i="27"/>
  <c r="O89" i="27"/>
  <c r="L89" i="27"/>
  <c r="I89" i="27"/>
  <c r="F89" i="27"/>
  <c r="X88" i="27"/>
  <c r="U88" i="27"/>
  <c r="R88" i="27"/>
  <c r="O88" i="27"/>
  <c r="L88" i="27"/>
  <c r="I88" i="27"/>
  <c r="F88" i="27"/>
  <c r="X87" i="27"/>
  <c r="U87" i="27"/>
  <c r="R87" i="27"/>
  <c r="O87" i="27"/>
  <c r="L87" i="27"/>
  <c r="I87" i="27"/>
  <c r="F87" i="27"/>
  <c r="X86" i="27"/>
  <c r="U86" i="27"/>
  <c r="R86" i="27"/>
  <c r="O86" i="27"/>
  <c r="L86" i="27"/>
  <c r="I86" i="27"/>
  <c r="F86" i="27"/>
  <c r="X85" i="27"/>
  <c r="U85" i="27"/>
  <c r="R85" i="27"/>
  <c r="O85" i="27"/>
  <c r="L85" i="27"/>
  <c r="I85" i="27"/>
  <c r="F85" i="27"/>
  <c r="X84" i="27"/>
  <c r="U84" i="27"/>
  <c r="R84" i="27"/>
  <c r="O84" i="27"/>
  <c r="L84" i="27"/>
  <c r="I84" i="27"/>
  <c r="F84" i="27"/>
  <c r="X83" i="27"/>
  <c r="U83" i="27"/>
  <c r="R83" i="27"/>
  <c r="O83" i="27"/>
  <c r="L83" i="27"/>
  <c r="I83" i="27"/>
  <c r="F83" i="27"/>
  <c r="X82" i="27"/>
  <c r="U82" i="27"/>
  <c r="R82" i="27"/>
  <c r="O82" i="27"/>
  <c r="L82" i="27"/>
  <c r="I82" i="27"/>
  <c r="F82" i="27"/>
  <c r="X81" i="27"/>
  <c r="U81" i="27"/>
  <c r="R81" i="27"/>
  <c r="O81" i="27"/>
  <c r="L81" i="27"/>
  <c r="I81" i="27"/>
  <c r="F81" i="27"/>
  <c r="X80" i="27"/>
  <c r="U80" i="27"/>
  <c r="R80" i="27"/>
  <c r="O80" i="27"/>
  <c r="L80" i="27"/>
  <c r="I80" i="27"/>
  <c r="F80" i="27"/>
  <c r="X79" i="27"/>
  <c r="U79" i="27"/>
  <c r="R79" i="27"/>
  <c r="O79" i="27"/>
  <c r="L79" i="27"/>
  <c r="I79" i="27"/>
  <c r="F79" i="27"/>
  <c r="X78" i="27"/>
  <c r="U78" i="27"/>
  <c r="R78" i="27"/>
  <c r="O78" i="27"/>
  <c r="L78" i="27"/>
  <c r="I78" i="27"/>
  <c r="F78" i="27"/>
  <c r="X77" i="27"/>
  <c r="U77" i="27"/>
  <c r="R77" i="27"/>
  <c r="O77" i="27"/>
  <c r="L77" i="27"/>
  <c r="I77" i="27"/>
  <c r="F77" i="27"/>
  <c r="X76" i="27"/>
  <c r="U76" i="27"/>
  <c r="R76" i="27"/>
  <c r="O76" i="27"/>
  <c r="L76" i="27"/>
  <c r="I76" i="27"/>
  <c r="F76" i="27"/>
  <c r="X75" i="27"/>
  <c r="U75" i="27"/>
  <c r="R75" i="27"/>
  <c r="O75" i="27"/>
  <c r="L75" i="27"/>
  <c r="I75" i="27"/>
  <c r="F75" i="27"/>
  <c r="X74" i="27"/>
  <c r="U74" i="27"/>
  <c r="R74" i="27"/>
  <c r="O74" i="27"/>
  <c r="L74" i="27"/>
  <c r="I74" i="27"/>
  <c r="F74" i="27"/>
  <c r="X73" i="27"/>
  <c r="U73" i="27"/>
  <c r="R73" i="27"/>
  <c r="O73" i="27"/>
  <c r="L73" i="27"/>
  <c r="I73" i="27"/>
  <c r="F73" i="27"/>
  <c r="X72" i="27"/>
  <c r="U72" i="27"/>
  <c r="R72" i="27"/>
  <c r="O72" i="27"/>
  <c r="L72" i="27"/>
  <c r="I72" i="27"/>
  <c r="F72" i="27"/>
  <c r="X71" i="27"/>
  <c r="U71" i="27"/>
  <c r="R71" i="27"/>
  <c r="O71" i="27"/>
  <c r="L71" i="27"/>
  <c r="I71" i="27"/>
  <c r="F71" i="27"/>
  <c r="X70" i="27"/>
  <c r="U70" i="27"/>
  <c r="R70" i="27"/>
  <c r="O70" i="27"/>
  <c r="L70" i="27"/>
  <c r="I70" i="27"/>
  <c r="F70" i="27"/>
  <c r="X69" i="27"/>
  <c r="U69" i="27"/>
  <c r="R69" i="27"/>
  <c r="O69" i="27"/>
  <c r="L69" i="27"/>
  <c r="I69" i="27"/>
  <c r="F69" i="27"/>
  <c r="X68" i="27"/>
  <c r="U68" i="27"/>
  <c r="R68" i="27"/>
  <c r="O68" i="27"/>
  <c r="L68" i="27"/>
  <c r="I68" i="27"/>
  <c r="F68" i="27"/>
  <c r="X67" i="27"/>
  <c r="U67" i="27"/>
  <c r="R67" i="27"/>
  <c r="O67" i="27"/>
  <c r="L67" i="27"/>
  <c r="I67" i="27"/>
  <c r="F67" i="27"/>
  <c r="X66" i="27"/>
  <c r="U66" i="27"/>
  <c r="R66" i="27"/>
  <c r="O66" i="27"/>
  <c r="L66" i="27"/>
  <c r="I66" i="27"/>
  <c r="F66" i="27"/>
  <c r="X65" i="27"/>
  <c r="U65" i="27"/>
  <c r="R65" i="27"/>
  <c r="O65" i="27"/>
  <c r="L65" i="27"/>
  <c r="I65" i="27"/>
  <c r="F65" i="27"/>
  <c r="X64" i="27"/>
  <c r="U64" i="27"/>
  <c r="R64" i="27"/>
  <c r="O64" i="27"/>
  <c r="L64" i="27"/>
  <c r="I64" i="27"/>
  <c r="F64" i="27"/>
  <c r="X63" i="27"/>
  <c r="U63" i="27"/>
  <c r="R63" i="27"/>
  <c r="O63" i="27"/>
  <c r="L63" i="27"/>
  <c r="I63" i="27"/>
  <c r="F63" i="27"/>
  <c r="X62" i="27"/>
  <c r="U62" i="27"/>
  <c r="R62" i="27"/>
  <c r="O62" i="27"/>
  <c r="L62" i="27"/>
  <c r="I62" i="27"/>
  <c r="F62" i="27"/>
  <c r="X61" i="27"/>
  <c r="U61" i="27"/>
  <c r="R61" i="27"/>
  <c r="O61" i="27"/>
  <c r="L61" i="27"/>
  <c r="I61" i="27"/>
  <c r="F61" i="27"/>
  <c r="X60" i="27"/>
  <c r="U60" i="27"/>
  <c r="R60" i="27"/>
  <c r="O60" i="27"/>
  <c r="L60" i="27"/>
  <c r="I60" i="27"/>
  <c r="F60" i="27"/>
  <c r="X59" i="27"/>
  <c r="U59" i="27"/>
  <c r="R59" i="27"/>
  <c r="O59" i="27"/>
  <c r="L59" i="27"/>
  <c r="I59" i="27"/>
  <c r="F59" i="27"/>
  <c r="X58" i="27"/>
  <c r="U58" i="27"/>
  <c r="R58" i="27"/>
  <c r="O58" i="27"/>
  <c r="L58" i="27"/>
  <c r="I58" i="27"/>
  <c r="F58" i="27"/>
  <c r="X57" i="27"/>
  <c r="U57" i="27"/>
  <c r="R57" i="27"/>
  <c r="O57" i="27"/>
  <c r="L57" i="27"/>
  <c r="I57" i="27"/>
  <c r="F57" i="27"/>
  <c r="X56" i="27"/>
  <c r="U56" i="27"/>
  <c r="R56" i="27"/>
  <c r="O56" i="27"/>
  <c r="L56" i="27"/>
  <c r="I56" i="27"/>
  <c r="F56" i="27"/>
  <c r="X55" i="27"/>
  <c r="U55" i="27"/>
  <c r="R55" i="27"/>
  <c r="O55" i="27"/>
  <c r="L55" i="27"/>
  <c r="I55" i="27"/>
  <c r="F55" i="27"/>
  <c r="X54" i="27"/>
  <c r="U54" i="27"/>
  <c r="R54" i="27"/>
  <c r="O54" i="27"/>
  <c r="L54" i="27"/>
  <c r="I54" i="27"/>
  <c r="F54" i="27"/>
  <c r="X53" i="27"/>
  <c r="U53" i="27"/>
  <c r="R53" i="27"/>
  <c r="O53" i="27"/>
  <c r="L53" i="27"/>
  <c r="I53" i="27"/>
  <c r="F53" i="27"/>
  <c r="X52" i="27"/>
  <c r="U52" i="27"/>
  <c r="R52" i="27"/>
  <c r="O52" i="27"/>
  <c r="L52" i="27"/>
  <c r="I52" i="27"/>
  <c r="F52" i="27"/>
  <c r="X51" i="27"/>
  <c r="U51" i="27"/>
  <c r="R51" i="27"/>
  <c r="O51" i="27"/>
  <c r="L51" i="27"/>
  <c r="I51" i="27"/>
  <c r="F51" i="27"/>
  <c r="X50" i="27"/>
  <c r="U50" i="27"/>
  <c r="R50" i="27"/>
  <c r="O50" i="27"/>
  <c r="L50" i="27"/>
  <c r="I50" i="27"/>
  <c r="F50" i="27"/>
  <c r="X49" i="27"/>
  <c r="U49" i="27"/>
  <c r="R49" i="27"/>
  <c r="O49" i="27"/>
  <c r="L49" i="27"/>
  <c r="I49" i="27"/>
  <c r="F49" i="27"/>
  <c r="X48" i="27"/>
  <c r="U48" i="27"/>
  <c r="R48" i="27"/>
  <c r="O48" i="27"/>
  <c r="L48" i="27"/>
  <c r="I48" i="27"/>
  <c r="F48" i="27"/>
  <c r="X47" i="27"/>
  <c r="U47" i="27"/>
  <c r="R47" i="27"/>
  <c r="O47" i="27"/>
  <c r="L47" i="27"/>
  <c r="I47" i="27"/>
  <c r="F47" i="27"/>
  <c r="X46" i="27"/>
  <c r="U46" i="27"/>
  <c r="R46" i="27"/>
  <c r="O46" i="27"/>
  <c r="L46" i="27"/>
  <c r="I46" i="27"/>
  <c r="F46" i="27"/>
  <c r="X45" i="27"/>
  <c r="U45" i="27"/>
  <c r="R45" i="27"/>
  <c r="O45" i="27"/>
  <c r="L45" i="27"/>
  <c r="I45" i="27"/>
  <c r="F45" i="27"/>
  <c r="X44" i="27"/>
  <c r="U44" i="27"/>
  <c r="R44" i="27"/>
  <c r="O44" i="27"/>
  <c r="L44" i="27"/>
  <c r="I44" i="27"/>
  <c r="F44" i="27"/>
  <c r="X43" i="27"/>
  <c r="U43" i="27"/>
  <c r="R43" i="27"/>
  <c r="O43" i="27"/>
  <c r="L43" i="27"/>
  <c r="I43" i="27"/>
  <c r="F43" i="27"/>
  <c r="X42" i="27"/>
  <c r="U42" i="27"/>
  <c r="R42" i="27"/>
  <c r="O42" i="27"/>
  <c r="L42" i="27"/>
  <c r="I42" i="27"/>
  <c r="F42" i="27"/>
  <c r="X41" i="27"/>
  <c r="U41" i="27"/>
  <c r="R41" i="27"/>
  <c r="O41" i="27"/>
  <c r="L41" i="27"/>
  <c r="I41" i="27"/>
  <c r="F41" i="27"/>
  <c r="X40" i="27"/>
  <c r="U40" i="27"/>
  <c r="R40" i="27"/>
  <c r="O40" i="27"/>
  <c r="L40" i="27"/>
  <c r="I40" i="27"/>
  <c r="F40" i="27"/>
  <c r="X39" i="27"/>
  <c r="U39" i="27"/>
  <c r="R39" i="27"/>
  <c r="O39" i="27"/>
  <c r="L39" i="27"/>
  <c r="I39" i="27"/>
  <c r="F39" i="27"/>
  <c r="X38" i="27"/>
  <c r="U38" i="27"/>
  <c r="R38" i="27"/>
  <c r="O38" i="27"/>
  <c r="L38" i="27"/>
  <c r="I38" i="27"/>
  <c r="F38" i="27"/>
  <c r="X37" i="27"/>
  <c r="U37" i="27"/>
  <c r="R37" i="27"/>
  <c r="O37" i="27"/>
  <c r="L37" i="27"/>
  <c r="I37" i="27"/>
  <c r="F37" i="27"/>
  <c r="X36" i="27"/>
  <c r="U36" i="27"/>
  <c r="R36" i="27"/>
  <c r="O36" i="27"/>
  <c r="L36" i="27"/>
  <c r="I36" i="27"/>
  <c r="F36" i="27"/>
  <c r="X35" i="27"/>
  <c r="U35" i="27"/>
  <c r="R35" i="27"/>
  <c r="O35" i="27"/>
  <c r="L35" i="27"/>
  <c r="I35" i="27"/>
  <c r="F35" i="27"/>
  <c r="X34" i="27"/>
  <c r="U34" i="27"/>
  <c r="R34" i="27"/>
  <c r="O34" i="27"/>
  <c r="L34" i="27"/>
  <c r="I34" i="27"/>
  <c r="F34" i="27"/>
  <c r="X33" i="27"/>
  <c r="U33" i="27"/>
  <c r="R33" i="27"/>
  <c r="O33" i="27"/>
  <c r="L33" i="27"/>
  <c r="I33" i="27"/>
  <c r="F33" i="27"/>
  <c r="X32" i="27"/>
  <c r="U32" i="27"/>
  <c r="R32" i="27"/>
  <c r="O32" i="27"/>
  <c r="L32" i="27"/>
  <c r="I32" i="27"/>
  <c r="F32" i="27"/>
  <c r="X31" i="27"/>
  <c r="U31" i="27"/>
  <c r="R31" i="27"/>
  <c r="O31" i="27"/>
  <c r="L31" i="27"/>
  <c r="I31" i="27"/>
  <c r="F31" i="27"/>
  <c r="X30" i="27"/>
  <c r="U30" i="27"/>
  <c r="R30" i="27"/>
  <c r="O30" i="27"/>
  <c r="L30" i="27"/>
  <c r="I30" i="27"/>
  <c r="F30" i="27"/>
  <c r="X29" i="27"/>
  <c r="U29" i="27"/>
  <c r="R29" i="27"/>
  <c r="O29" i="27"/>
  <c r="L29" i="27"/>
  <c r="I29" i="27"/>
  <c r="F29" i="27"/>
  <c r="X28" i="27"/>
  <c r="U28" i="27"/>
  <c r="R28" i="27"/>
  <c r="O28" i="27"/>
  <c r="L28" i="27"/>
  <c r="I28" i="27"/>
  <c r="F28" i="27"/>
  <c r="X27" i="27"/>
  <c r="U27" i="27"/>
  <c r="R27" i="27"/>
  <c r="O27" i="27"/>
  <c r="L27" i="27"/>
  <c r="I27" i="27"/>
  <c r="F27" i="27"/>
  <c r="X26" i="27"/>
  <c r="U26" i="27"/>
  <c r="R26" i="27"/>
  <c r="O26" i="27"/>
  <c r="L26" i="27"/>
  <c r="I26" i="27"/>
  <c r="F26" i="27"/>
  <c r="X25" i="27"/>
  <c r="U25" i="27"/>
  <c r="R25" i="27"/>
  <c r="O25" i="27"/>
  <c r="L25" i="27"/>
  <c r="I25" i="27"/>
  <c r="F25" i="27"/>
  <c r="X24" i="27"/>
  <c r="U24" i="27"/>
  <c r="R24" i="27"/>
  <c r="O24" i="27"/>
  <c r="L24" i="27"/>
  <c r="I24" i="27"/>
  <c r="F24" i="27"/>
  <c r="X23" i="27"/>
  <c r="U23" i="27"/>
  <c r="R23" i="27"/>
  <c r="O23" i="27"/>
  <c r="L23" i="27"/>
  <c r="I23" i="27"/>
  <c r="F23" i="27"/>
  <c r="X22" i="27"/>
  <c r="U22" i="27"/>
  <c r="R22" i="27"/>
  <c r="O22" i="27"/>
  <c r="L22" i="27"/>
  <c r="I22" i="27"/>
  <c r="F22" i="27"/>
  <c r="X21" i="27"/>
  <c r="U21" i="27"/>
  <c r="R21" i="27"/>
  <c r="O21" i="27"/>
  <c r="L21" i="27"/>
  <c r="I21" i="27"/>
  <c r="F21" i="27"/>
  <c r="X20" i="27"/>
  <c r="U20" i="27"/>
  <c r="R20" i="27"/>
  <c r="O20" i="27"/>
  <c r="L20" i="27"/>
  <c r="I20" i="27"/>
  <c r="F20" i="27"/>
  <c r="X19" i="27"/>
  <c r="U19" i="27"/>
  <c r="R19" i="27"/>
  <c r="O19" i="27"/>
  <c r="L19" i="27"/>
  <c r="I19" i="27"/>
  <c r="F19" i="27"/>
  <c r="X18" i="27"/>
  <c r="U18" i="27"/>
  <c r="R18" i="27"/>
  <c r="O18" i="27"/>
  <c r="L18" i="27"/>
  <c r="I18" i="27"/>
  <c r="F18" i="27"/>
  <c r="X17" i="27"/>
  <c r="U17" i="27"/>
  <c r="R17" i="27"/>
  <c r="O17" i="27"/>
  <c r="L17" i="27"/>
  <c r="I17" i="27"/>
  <c r="F17" i="27"/>
  <c r="X16" i="27"/>
  <c r="U16" i="27"/>
  <c r="R16" i="27"/>
  <c r="O16" i="27"/>
  <c r="L16" i="27"/>
  <c r="I16" i="27"/>
  <c r="F16" i="27"/>
  <c r="X15" i="27"/>
  <c r="U15" i="27"/>
  <c r="R15" i="27"/>
  <c r="O15" i="27"/>
  <c r="L15" i="27"/>
  <c r="I15" i="27"/>
  <c r="F15" i="27"/>
  <c r="X14" i="27"/>
  <c r="U14" i="27"/>
  <c r="R14" i="27"/>
  <c r="O14" i="27"/>
  <c r="L14" i="27"/>
  <c r="I14" i="27"/>
  <c r="F14" i="27"/>
  <c r="X13" i="27"/>
  <c r="U13" i="27"/>
  <c r="R13" i="27"/>
  <c r="O13" i="27"/>
  <c r="L13" i="27"/>
  <c r="I13" i="27"/>
  <c r="F13" i="27"/>
  <c r="X12" i="27"/>
  <c r="U12" i="27"/>
  <c r="R12" i="27"/>
  <c r="O12" i="27"/>
  <c r="L12" i="27"/>
  <c r="I12" i="27"/>
  <c r="F12" i="27"/>
  <c r="X11" i="27"/>
  <c r="U11" i="27"/>
  <c r="R11" i="27"/>
  <c r="O11" i="27"/>
  <c r="L11" i="27"/>
  <c r="I11" i="27"/>
  <c r="F11" i="27"/>
  <c r="X10" i="27"/>
  <c r="U10" i="27"/>
  <c r="R10" i="27"/>
  <c r="O10" i="27"/>
  <c r="L10" i="27"/>
  <c r="I10" i="27"/>
  <c r="F10" i="27"/>
  <c r="X9" i="27"/>
  <c r="U9" i="27"/>
  <c r="R9" i="27"/>
  <c r="O9" i="27"/>
  <c r="L9" i="27"/>
  <c r="I9" i="27"/>
  <c r="F9" i="27"/>
  <c r="X8" i="27"/>
  <c r="U8" i="27"/>
  <c r="R8" i="27"/>
  <c r="O8" i="27"/>
  <c r="L8" i="27"/>
  <c r="I8" i="27"/>
  <c r="F8" i="27"/>
  <c r="X7" i="27"/>
  <c r="U7" i="27"/>
  <c r="R7" i="27"/>
  <c r="O7" i="27"/>
  <c r="L7" i="27"/>
  <c r="I7" i="27"/>
  <c r="F7" i="27"/>
  <c r="X6" i="27"/>
  <c r="U6" i="27"/>
  <c r="R6" i="27"/>
  <c r="O6" i="27"/>
  <c r="L6" i="27"/>
  <c r="I6" i="27"/>
  <c r="F6" i="27"/>
  <c r="X5" i="27"/>
  <c r="U5" i="27"/>
  <c r="R5" i="27"/>
  <c r="O5" i="27"/>
  <c r="L5" i="27"/>
  <c r="I5" i="27"/>
  <c r="F5" i="27"/>
  <c r="X4" i="27"/>
  <c r="U4" i="27"/>
  <c r="R4" i="27"/>
  <c r="O4" i="27"/>
  <c r="L4" i="27"/>
  <c r="I4" i="27"/>
  <c r="F4" i="27"/>
  <c r="X98" i="26"/>
  <c r="U98" i="26"/>
  <c r="R98" i="26"/>
  <c r="O98" i="26"/>
  <c r="L98" i="26"/>
  <c r="I98" i="26"/>
  <c r="F98" i="26"/>
  <c r="X97" i="26"/>
  <c r="U97" i="26"/>
  <c r="R97" i="26"/>
  <c r="O97" i="26"/>
  <c r="L97" i="26"/>
  <c r="I97" i="26"/>
  <c r="F97" i="26"/>
  <c r="X96" i="26"/>
  <c r="U96" i="26"/>
  <c r="R96" i="26"/>
  <c r="O96" i="26"/>
  <c r="L96" i="26"/>
  <c r="I96" i="26"/>
  <c r="F96" i="26"/>
  <c r="X95" i="26"/>
  <c r="U95" i="26"/>
  <c r="R95" i="26"/>
  <c r="O95" i="26"/>
  <c r="L95" i="26"/>
  <c r="I95" i="26"/>
  <c r="F95" i="26"/>
  <c r="X94" i="26"/>
  <c r="U94" i="26"/>
  <c r="R94" i="26"/>
  <c r="O94" i="26"/>
  <c r="L94" i="26"/>
  <c r="I94" i="26"/>
  <c r="F94" i="26"/>
  <c r="X93" i="26"/>
  <c r="U93" i="26"/>
  <c r="R93" i="26"/>
  <c r="O93" i="26"/>
  <c r="L93" i="26"/>
  <c r="I93" i="26"/>
  <c r="F93" i="26"/>
  <c r="X92" i="26"/>
  <c r="U92" i="26"/>
  <c r="R92" i="26"/>
  <c r="O92" i="26"/>
  <c r="L92" i="26"/>
  <c r="I92" i="26"/>
  <c r="F92" i="26"/>
  <c r="X91" i="26"/>
  <c r="U91" i="26"/>
  <c r="R91" i="26"/>
  <c r="O91" i="26"/>
  <c r="L91" i="26"/>
  <c r="I91" i="26"/>
  <c r="F91" i="26"/>
  <c r="X90" i="26"/>
  <c r="U90" i="26"/>
  <c r="R90" i="26"/>
  <c r="O90" i="26"/>
  <c r="L90" i="26"/>
  <c r="I90" i="26"/>
  <c r="F90" i="26"/>
  <c r="X89" i="26"/>
  <c r="U89" i="26"/>
  <c r="R89" i="26"/>
  <c r="O89" i="26"/>
  <c r="L89" i="26"/>
  <c r="I89" i="26"/>
  <c r="F89" i="26"/>
  <c r="X88" i="26"/>
  <c r="U88" i="26"/>
  <c r="R88" i="26"/>
  <c r="O88" i="26"/>
  <c r="L88" i="26"/>
  <c r="I88" i="26"/>
  <c r="F88" i="26"/>
  <c r="X87" i="26"/>
  <c r="U87" i="26"/>
  <c r="R87" i="26"/>
  <c r="O87" i="26"/>
  <c r="L87" i="26"/>
  <c r="I87" i="26"/>
  <c r="F87" i="26"/>
  <c r="X86" i="26"/>
  <c r="U86" i="26"/>
  <c r="R86" i="26"/>
  <c r="O86" i="26"/>
  <c r="L86" i="26"/>
  <c r="I86" i="26"/>
  <c r="F86" i="26"/>
  <c r="X85" i="26"/>
  <c r="U85" i="26"/>
  <c r="R85" i="26"/>
  <c r="O85" i="26"/>
  <c r="L85" i="26"/>
  <c r="I85" i="26"/>
  <c r="F85" i="26"/>
  <c r="X84" i="26"/>
  <c r="U84" i="26"/>
  <c r="R84" i="26"/>
  <c r="O84" i="26"/>
  <c r="L84" i="26"/>
  <c r="I84" i="26"/>
  <c r="F84" i="26"/>
  <c r="X83" i="26"/>
  <c r="U83" i="26"/>
  <c r="R83" i="26"/>
  <c r="O83" i="26"/>
  <c r="L83" i="26"/>
  <c r="I83" i="26"/>
  <c r="F83" i="26"/>
  <c r="X82" i="26"/>
  <c r="U82" i="26"/>
  <c r="R82" i="26"/>
  <c r="O82" i="26"/>
  <c r="L82" i="26"/>
  <c r="I82" i="26"/>
  <c r="F82" i="26"/>
  <c r="X81" i="26"/>
  <c r="U81" i="26"/>
  <c r="R81" i="26"/>
  <c r="O81" i="26"/>
  <c r="L81" i="26"/>
  <c r="I81" i="26"/>
  <c r="F81" i="26"/>
  <c r="X80" i="26"/>
  <c r="U80" i="26"/>
  <c r="R80" i="26"/>
  <c r="O80" i="26"/>
  <c r="L80" i="26"/>
  <c r="I80" i="26"/>
  <c r="F80" i="26"/>
  <c r="X79" i="26"/>
  <c r="U79" i="26"/>
  <c r="R79" i="26"/>
  <c r="O79" i="26"/>
  <c r="L79" i="26"/>
  <c r="I79" i="26"/>
  <c r="F79" i="26"/>
  <c r="X78" i="26"/>
  <c r="U78" i="26"/>
  <c r="R78" i="26"/>
  <c r="O78" i="26"/>
  <c r="L78" i="26"/>
  <c r="I78" i="26"/>
  <c r="F78" i="26"/>
  <c r="X77" i="26"/>
  <c r="U77" i="26"/>
  <c r="R77" i="26"/>
  <c r="O77" i="26"/>
  <c r="L77" i="26"/>
  <c r="I77" i="26"/>
  <c r="F77" i="26"/>
  <c r="X76" i="26"/>
  <c r="U76" i="26"/>
  <c r="R76" i="26"/>
  <c r="O76" i="26"/>
  <c r="L76" i="26"/>
  <c r="I76" i="26"/>
  <c r="F76" i="26"/>
  <c r="X75" i="26"/>
  <c r="U75" i="26"/>
  <c r="R75" i="26"/>
  <c r="O75" i="26"/>
  <c r="L75" i="26"/>
  <c r="I75" i="26"/>
  <c r="F75" i="26"/>
  <c r="X74" i="26"/>
  <c r="U74" i="26"/>
  <c r="R74" i="26"/>
  <c r="O74" i="26"/>
  <c r="L74" i="26"/>
  <c r="I74" i="26"/>
  <c r="F74" i="26"/>
  <c r="X73" i="26"/>
  <c r="U73" i="26"/>
  <c r="R73" i="26"/>
  <c r="O73" i="26"/>
  <c r="L73" i="26"/>
  <c r="I73" i="26"/>
  <c r="F73" i="26"/>
  <c r="X72" i="26"/>
  <c r="U72" i="26"/>
  <c r="R72" i="26"/>
  <c r="O72" i="26"/>
  <c r="L72" i="26"/>
  <c r="I72" i="26"/>
  <c r="F72" i="26"/>
  <c r="X71" i="26"/>
  <c r="U71" i="26"/>
  <c r="R71" i="26"/>
  <c r="O71" i="26"/>
  <c r="L71" i="26"/>
  <c r="I71" i="26"/>
  <c r="F71" i="26"/>
  <c r="X70" i="26"/>
  <c r="U70" i="26"/>
  <c r="R70" i="26"/>
  <c r="O70" i="26"/>
  <c r="L70" i="26"/>
  <c r="I70" i="26"/>
  <c r="F70" i="26"/>
  <c r="X69" i="26"/>
  <c r="U69" i="26"/>
  <c r="R69" i="26"/>
  <c r="O69" i="26"/>
  <c r="L69" i="26"/>
  <c r="I69" i="26"/>
  <c r="F69" i="26"/>
  <c r="X68" i="26"/>
  <c r="U68" i="26"/>
  <c r="R68" i="26"/>
  <c r="O68" i="26"/>
  <c r="L68" i="26"/>
  <c r="I68" i="26"/>
  <c r="F68" i="26"/>
  <c r="X67" i="26"/>
  <c r="U67" i="26"/>
  <c r="R67" i="26"/>
  <c r="O67" i="26"/>
  <c r="L67" i="26"/>
  <c r="I67" i="26"/>
  <c r="F67" i="26"/>
  <c r="X66" i="26"/>
  <c r="U66" i="26"/>
  <c r="R66" i="26"/>
  <c r="O66" i="26"/>
  <c r="L66" i="26"/>
  <c r="I66" i="26"/>
  <c r="F66" i="26"/>
  <c r="X65" i="26"/>
  <c r="U65" i="26"/>
  <c r="R65" i="26"/>
  <c r="O65" i="26"/>
  <c r="L65" i="26"/>
  <c r="I65" i="26"/>
  <c r="F65" i="26"/>
  <c r="X64" i="26"/>
  <c r="U64" i="26"/>
  <c r="R64" i="26"/>
  <c r="O64" i="26"/>
  <c r="L64" i="26"/>
  <c r="I64" i="26"/>
  <c r="F64" i="26"/>
  <c r="X63" i="26"/>
  <c r="U63" i="26"/>
  <c r="R63" i="26"/>
  <c r="O63" i="26"/>
  <c r="L63" i="26"/>
  <c r="I63" i="26"/>
  <c r="F63" i="26"/>
  <c r="X62" i="26"/>
  <c r="U62" i="26"/>
  <c r="R62" i="26"/>
  <c r="O62" i="26"/>
  <c r="L62" i="26"/>
  <c r="I62" i="26"/>
  <c r="F62" i="26"/>
  <c r="X61" i="26"/>
  <c r="U61" i="26"/>
  <c r="R61" i="26"/>
  <c r="O61" i="26"/>
  <c r="L61" i="26"/>
  <c r="I61" i="26"/>
  <c r="F61" i="26"/>
  <c r="X60" i="26"/>
  <c r="U60" i="26"/>
  <c r="R60" i="26"/>
  <c r="O60" i="26"/>
  <c r="L60" i="26"/>
  <c r="I60" i="26"/>
  <c r="F60" i="26"/>
  <c r="X59" i="26"/>
  <c r="U59" i="26"/>
  <c r="R59" i="26"/>
  <c r="O59" i="26"/>
  <c r="L59" i="26"/>
  <c r="I59" i="26"/>
  <c r="F59" i="26"/>
  <c r="X58" i="26"/>
  <c r="U58" i="26"/>
  <c r="R58" i="26"/>
  <c r="O58" i="26"/>
  <c r="L58" i="26"/>
  <c r="I58" i="26"/>
  <c r="F58" i="26"/>
  <c r="X57" i="26"/>
  <c r="U57" i="26"/>
  <c r="R57" i="26"/>
  <c r="O57" i="26"/>
  <c r="L57" i="26"/>
  <c r="I57" i="26"/>
  <c r="F57" i="26"/>
  <c r="X56" i="26"/>
  <c r="U56" i="26"/>
  <c r="R56" i="26"/>
  <c r="O56" i="26"/>
  <c r="L56" i="26"/>
  <c r="I56" i="26"/>
  <c r="F56" i="26"/>
  <c r="X55" i="26"/>
  <c r="U55" i="26"/>
  <c r="R55" i="26"/>
  <c r="O55" i="26"/>
  <c r="L55" i="26"/>
  <c r="I55" i="26"/>
  <c r="F55" i="26"/>
  <c r="X54" i="26"/>
  <c r="U54" i="26"/>
  <c r="R54" i="26"/>
  <c r="O54" i="26"/>
  <c r="L54" i="26"/>
  <c r="I54" i="26"/>
  <c r="F54" i="26"/>
  <c r="X53" i="26"/>
  <c r="U53" i="26"/>
  <c r="R53" i="26"/>
  <c r="O53" i="26"/>
  <c r="L53" i="26"/>
  <c r="I53" i="26"/>
  <c r="F53" i="26"/>
  <c r="X52" i="26"/>
  <c r="U52" i="26"/>
  <c r="R52" i="26"/>
  <c r="O52" i="26"/>
  <c r="L52" i="26"/>
  <c r="I52" i="26"/>
  <c r="F52" i="26"/>
  <c r="X51" i="26"/>
  <c r="U51" i="26"/>
  <c r="R51" i="26"/>
  <c r="O51" i="26"/>
  <c r="L51" i="26"/>
  <c r="I51" i="26"/>
  <c r="F51" i="26"/>
  <c r="X50" i="26"/>
  <c r="U50" i="26"/>
  <c r="R50" i="26"/>
  <c r="O50" i="26"/>
  <c r="L50" i="26"/>
  <c r="I50" i="26"/>
  <c r="F50" i="26"/>
  <c r="X49" i="26"/>
  <c r="U49" i="26"/>
  <c r="R49" i="26"/>
  <c r="O49" i="26"/>
  <c r="L49" i="26"/>
  <c r="I49" i="26"/>
  <c r="F49" i="26"/>
  <c r="X48" i="26"/>
  <c r="U48" i="26"/>
  <c r="R48" i="26"/>
  <c r="O48" i="26"/>
  <c r="L48" i="26"/>
  <c r="I48" i="26"/>
  <c r="F48" i="26"/>
  <c r="X47" i="26"/>
  <c r="U47" i="26"/>
  <c r="R47" i="26"/>
  <c r="O47" i="26"/>
  <c r="L47" i="26"/>
  <c r="I47" i="26"/>
  <c r="F47" i="26"/>
  <c r="X46" i="26"/>
  <c r="U46" i="26"/>
  <c r="R46" i="26"/>
  <c r="O46" i="26"/>
  <c r="L46" i="26"/>
  <c r="I46" i="26"/>
  <c r="F46" i="26"/>
  <c r="X45" i="26"/>
  <c r="U45" i="26"/>
  <c r="R45" i="26"/>
  <c r="O45" i="26"/>
  <c r="L45" i="26"/>
  <c r="I45" i="26"/>
  <c r="F45" i="26"/>
  <c r="X44" i="26"/>
  <c r="U44" i="26"/>
  <c r="R44" i="26"/>
  <c r="O44" i="26"/>
  <c r="L44" i="26"/>
  <c r="I44" i="26"/>
  <c r="F44" i="26"/>
  <c r="X43" i="26"/>
  <c r="U43" i="26"/>
  <c r="R43" i="26"/>
  <c r="O43" i="26"/>
  <c r="L43" i="26"/>
  <c r="I43" i="26"/>
  <c r="F43" i="26"/>
  <c r="X42" i="26"/>
  <c r="U42" i="26"/>
  <c r="R42" i="26"/>
  <c r="O42" i="26"/>
  <c r="L42" i="26"/>
  <c r="I42" i="26"/>
  <c r="F42" i="26"/>
  <c r="X41" i="26"/>
  <c r="U41" i="26"/>
  <c r="R41" i="26"/>
  <c r="O41" i="26"/>
  <c r="L41" i="26"/>
  <c r="I41" i="26"/>
  <c r="F41" i="26"/>
  <c r="X40" i="26"/>
  <c r="U40" i="26"/>
  <c r="R40" i="26"/>
  <c r="O40" i="26"/>
  <c r="L40" i="26"/>
  <c r="I40" i="26"/>
  <c r="F40" i="26"/>
  <c r="X39" i="26"/>
  <c r="U39" i="26"/>
  <c r="R39" i="26"/>
  <c r="O39" i="26"/>
  <c r="L39" i="26"/>
  <c r="I39" i="26"/>
  <c r="F39" i="26"/>
  <c r="X38" i="26"/>
  <c r="U38" i="26"/>
  <c r="R38" i="26"/>
  <c r="O38" i="26"/>
  <c r="L38" i="26"/>
  <c r="I38" i="26"/>
  <c r="F38" i="26"/>
  <c r="X37" i="26"/>
  <c r="U37" i="26"/>
  <c r="R37" i="26"/>
  <c r="O37" i="26"/>
  <c r="L37" i="26"/>
  <c r="I37" i="26"/>
  <c r="F37" i="26"/>
  <c r="X36" i="26"/>
  <c r="U36" i="26"/>
  <c r="R36" i="26"/>
  <c r="O36" i="26"/>
  <c r="L36" i="26"/>
  <c r="I36" i="26"/>
  <c r="F36" i="26"/>
  <c r="X35" i="26"/>
  <c r="U35" i="26"/>
  <c r="R35" i="26"/>
  <c r="O35" i="26"/>
  <c r="L35" i="26"/>
  <c r="I35" i="26"/>
  <c r="F35" i="26"/>
  <c r="X34" i="26"/>
  <c r="U34" i="26"/>
  <c r="R34" i="26"/>
  <c r="O34" i="26"/>
  <c r="L34" i="26"/>
  <c r="I34" i="26"/>
  <c r="F34" i="26"/>
  <c r="X33" i="26"/>
  <c r="U33" i="26"/>
  <c r="R33" i="26"/>
  <c r="O33" i="26"/>
  <c r="L33" i="26"/>
  <c r="I33" i="26"/>
  <c r="F33" i="26"/>
  <c r="X32" i="26"/>
  <c r="U32" i="26"/>
  <c r="R32" i="26"/>
  <c r="O32" i="26"/>
  <c r="L32" i="26"/>
  <c r="I32" i="26"/>
  <c r="F32" i="26"/>
  <c r="X31" i="26"/>
  <c r="U31" i="26"/>
  <c r="R31" i="26"/>
  <c r="O31" i="26"/>
  <c r="L31" i="26"/>
  <c r="I31" i="26"/>
  <c r="F31" i="26"/>
  <c r="X30" i="26"/>
  <c r="U30" i="26"/>
  <c r="R30" i="26"/>
  <c r="O30" i="26"/>
  <c r="L30" i="26"/>
  <c r="I30" i="26"/>
  <c r="F30" i="26"/>
  <c r="X29" i="26"/>
  <c r="U29" i="26"/>
  <c r="R29" i="26"/>
  <c r="O29" i="26"/>
  <c r="L29" i="26"/>
  <c r="I29" i="26"/>
  <c r="F29" i="26"/>
  <c r="X28" i="26"/>
  <c r="U28" i="26"/>
  <c r="R28" i="26"/>
  <c r="O28" i="26"/>
  <c r="L28" i="26"/>
  <c r="I28" i="26"/>
  <c r="F28" i="26"/>
  <c r="X27" i="26"/>
  <c r="U27" i="26"/>
  <c r="R27" i="26"/>
  <c r="O27" i="26"/>
  <c r="L27" i="26"/>
  <c r="I27" i="26"/>
  <c r="F27" i="26"/>
  <c r="X26" i="26"/>
  <c r="U26" i="26"/>
  <c r="R26" i="26"/>
  <c r="O26" i="26"/>
  <c r="L26" i="26"/>
  <c r="I26" i="26"/>
  <c r="F26" i="26"/>
  <c r="X25" i="26"/>
  <c r="U25" i="26"/>
  <c r="R25" i="26"/>
  <c r="O25" i="26"/>
  <c r="L25" i="26"/>
  <c r="I25" i="26"/>
  <c r="F25" i="26"/>
  <c r="X24" i="26"/>
  <c r="U24" i="26"/>
  <c r="R24" i="26"/>
  <c r="O24" i="26"/>
  <c r="L24" i="26"/>
  <c r="I24" i="26"/>
  <c r="F24" i="26"/>
  <c r="X23" i="26"/>
  <c r="U23" i="26"/>
  <c r="R23" i="26"/>
  <c r="O23" i="26"/>
  <c r="L23" i="26"/>
  <c r="I23" i="26"/>
  <c r="F23" i="26"/>
  <c r="X22" i="26"/>
  <c r="U22" i="26"/>
  <c r="R22" i="26"/>
  <c r="O22" i="26"/>
  <c r="L22" i="26"/>
  <c r="I22" i="26"/>
  <c r="F22" i="26"/>
  <c r="X21" i="26"/>
  <c r="U21" i="26"/>
  <c r="R21" i="26"/>
  <c r="O21" i="26"/>
  <c r="L21" i="26"/>
  <c r="I21" i="26"/>
  <c r="F21" i="26"/>
  <c r="X20" i="26"/>
  <c r="U20" i="26"/>
  <c r="R20" i="26"/>
  <c r="O20" i="26"/>
  <c r="L20" i="26"/>
  <c r="I20" i="26"/>
  <c r="F20" i="26"/>
  <c r="X19" i="26"/>
  <c r="U19" i="26"/>
  <c r="R19" i="26"/>
  <c r="O19" i="26"/>
  <c r="L19" i="26"/>
  <c r="I19" i="26"/>
  <c r="F19" i="26"/>
  <c r="X18" i="26"/>
  <c r="U18" i="26"/>
  <c r="R18" i="26"/>
  <c r="O18" i="26"/>
  <c r="L18" i="26"/>
  <c r="I18" i="26"/>
  <c r="F18" i="26"/>
  <c r="X17" i="26"/>
  <c r="U17" i="26"/>
  <c r="R17" i="26"/>
  <c r="O17" i="26"/>
  <c r="L17" i="26"/>
  <c r="I17" i="26"/>
  <c r="F17" i="26"/>
  <c r="X16" i="26"/>
  <c r="U16" i="26"/>
  <c r="R16" i="26"/>
  <c r="O16" i="26"/>
  <c r="L16" i="26"/>
  <c r="I16" i="26"/>
  <c r="F16" i="26"/>
  <c r="X15" i="26"/>
  <c r="U15" i="26"/>
  <c r="R15" i="26"/>
  <c r="O15" i="26"/>
  <c r="L15" i="26"/>
  <c r="I15" i="26"/>
  <c r="F15" i="26"/>
  <c r="X14" i="26"/>
  <c r="U14" i="26"/>
  <c r="R14" i="26"/>
  <c r="O14" i="26"/>
  <c r="L14" i="26"/>
  <c r="I14" i="26"/>
  <c r="F14" i="26"/>
  <c r="X13" i="26"/>
  <c r="U13" i="26"/>
  <c r="R13" i="26"/>
  <c r="O13" i="26"/>
  <c r="L13" i="26"/>
  <c r="I13" i="26"/>
  <c r="F13" i="26"/>
  <c r="X12" i="26"/>
  <c r="U12" i="26"/>
  <c r="R12" i="26"/>
  <c r="O12" i="26"/>
  <c r="L12" i="26"/>
  <c r="I12" i="26"/>
  <c r="F12" i="26"/>
  <c r="X11" i="26"/>
  <c r="U11" i="26"/>
  <c r="R11" i="26"/>
  <c r="O11" i="26"/>
  <c r="L11" i="26"/>
  <c r="I11" i="26"/>
  <c r="F11" i="26"/>
  <c r="X10" i="26"/>
  <c r="U10" i="26"/>
  <c r="R10" i="26"/>
  <c r="O10" i="26"/>
  <c r="L10" i="26"/>
  <c r="I10" i="26"/>
  <c r="F10" i="26"/>
  <c r="X9" i="26"/>
  <c r="U9" i="26"/>
  <c r="R9" i="26"/>
  <c r="O9" i="26"/>
  <c r="L9" i="26"/>
  <c r="I9" i="26"/>
  <c r="F9" i="26"/>
  <c r="X8" i="26"/>
  <c r="U8" i="26"/>
  <c r="R8" i="26"/>
  <c r="O8" i="26"/>
  <c r="L8" i="26"/>
  <c r="I8" i="26"/>
  <c r="F8" i="26"/>
  <c r="X7" i="26"/>
  <c r="U7" i="26"/>
  <c r="R7" i="26"/>
  <c r="O7" i="26"/>
  <c r="L7" i="26"/>
  <c r="I7" i="26"/>
  <c r="F7" i="26"/>
  <c r="X6" i="26"/>
  <c r="U6" i="26"/>
  <c r="R6" i="26"/>
  <c r="O6" i="26"/>
  <c r="L6" i="26"/>
  <c r="I6" i="26"/>
  <c r="F6" i="26"/>
  <c r="X5" i="26"/>
  <c r="U5" i="26"/>
  <c r="R5" i="26"/>
  <c r="O5" i="26"/>
  <c r="L5" i="26"/>
  <c r="I5" i="26"/>
  <c r="F5" i="26"/>
  <c r="X4" i="26"/>
  <c r="U4" i="26"/>
  <c r="R4" i="26"/>
  <c r="O4" i="26"/>
  <c r="L4" i="26"/>
  <c r="I4" i="26"/>
  <c r="F4" i="26"/>
  <c r="Z54" i="46" l="1"/>
  <c r="AC54" i="46" s="1"/>
  <c r="AE54" i="46" s="1"/>
  <c r="Z38" i="46"/>
  <c r="AC38" i="46" s="1"/>
  <c r="AE38" i="46" s="1"/>
  <c r="Z6" i="46"/>
  <c r="AC6" i="46" s="1"/>
  <c r="AE6" i="46" s="1"/>
  <c r="Z70" i="39"/>
  <c r="AC70" i="39" s="1"/>
  <c r="AE70" i="39" s="1"/>
  <c r="Z53" i="33"/>
  <c r="Z75" i="33"/>
  <c r="Z49" i="34"/>
  <c r="AC49" i="34" s="1"/>
  <c r="AE49" i="34" s="1"/>
  <c r="I154" i="26"/>
  <c r="F154" i="35"/>
  <c r="Z36" i="35"/>
  <c r="AC36" i="35" s="1"/>
  <c r="AE36" i="35" s="1"/>
  <c r="U154" i="38"/>
  <c r="Z6" i="53"/>
  <c r="AC6" i="53" s="1"/>
  <c r="AE6" i="53" s="1"/>
  <c r="R154" i="31"/>
  <c r="Z6" i="41"/>
  <c r="AC6" i="41" s="1"/>
  <c r="AE6" i="41" s="1"/>
  <c r="Z39" i="53"/>
  <c r="AC39" i="53" s="1"/>
  <c r="AE39" i="53" s="1"/>
  <c r="Z75" i="34"/>
  <c r="AC75" i="34" s="1"/>
  <c r="AE75" i="34" s="1"/>
  <c r="Z94" i="37"/>
  <c r="AC94" i="37" s="1"/>
  <c r="AE94" i="37" s="1"/>
  <c r="Z54" i="52"/>
  <c r="AC54" i="52" s="1"/>
  <c r="AE54" i="52" s="1"/>
  <c r="O154" i="54"/>
  <c r="Z78" i="38"/>
  <c r="AC78" i="38" s="1"/>
  <c r="AE78" i="38" s="1"/>
  <c r="F154" i="42"/>
  <c r="U154" i="45"/>
  <c r="I154" i="49"/>
  <c r="X154" i="52"/>
  <c r="Z14" i="30"/>
  <c r="AC14" i="30" s="1"/>
  <c r="AE14" i="30" s="1"/>
  <c r="Z87" i="30"/>
  <c r="AC87" i="30" s="1"/>
  <c r="AE87" i="30" s="1"/>
  <c r="Z86" i="30"/>
  <c r="AC86" i="30" s="1"/>
  <c r="AE86" i="30" s="1"/>
  <c r="Z70" i="30"/>
  <c r="AC70" i="30" s="1"/>
  <c r="AE70" i="30" s="1"/>
  <c r="P154" i="19"/>
  <c r="I154" i="35"/>
  <c r="X154" i="38"/>
  <c r="R154" i="40"/>
  <c r="I154" i="42"/>
  <c r="X154" i="45"/>
  <c r="R154" i="47"/>
  <c r="L154" i="49"/>
  <c r="F154" i="51"/>
  <c r="Z30" i="52"/>
  <c r="AC30" i="52" s="1"/>
  <c r="AE30" i="52" s="1"/>
  <c r="Z32" i="52"/>
  <c r="AC32" i="52" s="1"/>
  <c r="AE32" i="52" s="1"/>
  <c r="Z48" i="52"/>
  <c r="AC48" i="52" s="1"/>
  <c r="AE48" i="52" s="1"/>
  <c r="R154" i="54"/>
  <c r="N154" i="19"/>
  <c r="L154" i="26"/>
  <c r="X154" i="31"/>
  <c r="L154" i="35"/>
  <c r="F154" i="37"/>
  <c r="L154" i="42"/>
  <c r="F154" i="44"/>
  <c r="U154" i="47"/>
  <c r="O154" i="49"/>
  <c r="I154" i="51"/>
  <c r="U154" i="54"/>
  <c r="M154" i="19"/>
  <c r="O154" i="33"/>
  <c r="Z48" i="38"/>
  <c r="AC48" i="38" s="1"/>
  <c r="AE48" i="38" s="1"/>
  <c r="Z80" i="38"/>
  <c r="AC80" i="38" s="1"/>
  <c r="AE80" i="38" s="1"/>
  <c r="Z67" i="39"/>
  <c r="AC67" i="39" s="1"/>
  <c r="AE67" i="39" s="1"/>
  <c r="U154" i="40"/>
  <c r="R154" i="26"/>
  <c r="L154" i="28"/>
  <c r="F154" i="30"/>
  <c r="U154" i="33"/>
  <c r="Z71" i="33"/>
  <c r="AC71" i="33" s="1"/>
  <c r="AE71" i="33" s="1"/>
  <c r="O154" i="35"/>
  <c r="I154" i="37"/>
  <c r="X154" i="40"/>
  <c r="O154" i="42"/>
  <c r="I154" i="44"/>
  <c r="X154" i="47"/>
  <c r="Z14" i="47"/>
  <c r="AC14" i="47" s="1"/>
  <c r="AE14" i="47" s="1"/>
  <c r="R154" i="49"/>
  <c r="L154" i="51"/>
  <c r="F154" i="53"/>
  <c r="X154" i="54"/>
  <c r="Z11" i="54"/>
  <c r="AC11" i="54" s="1"/>
  <c r="AE11" i="54" s="1"/>
  <c r="E154" i="19"/>
  <c r="K154" i="19"/>
  <c r="O154" i="47"/>
  <c r="R154" i="33"/>
  <c r="Z14" i="34"/>
  <c r="AC14" i="34" s="1"/>
  <c r="AE14" i="34" s="1"/>
  <c r="U154" i="26"/>
  <c r="O154" i="28"/>
  <c r="I154" i="30"/>
  <c r="X154" i="33"/>
  <c r="Z78" i="33"/>
  <c r="AC78" i="33" s="1"/>
  <c r="AE78" i="33" s="1"/>
  <c r="R154" i="35"/>
  <c r="L154" i="37"/>
  <c r="Z50" i="37"/>
  <c r="AC50" i="37" s="1"/>
  <c r="AE50" i="37" s="1"/>
  <c r="F154" i="39"/>
  <c r="R154" i="42"/>
  <c r="L154" i="44"/>
  <c r="Z35" i="45"/>
  <c r="AC35" i="45" s="1"/>
  <c r="AE35" i="45" s="1"/>
  <c r="Z67" i="45"/>
  <c r="AC67" i="45" s="1"/>
  <c r="AE67" i="45" s="1"/>
  <c r="F154" i="46"/>
  <c r="Z86" i="48"/>
  <c r="AC86" i="48" s="1"/>
  <c r="AE86" i="48" s="1"/>
  <c r="U154" i="49"/>
  <c r="O154" i="51"/>
  <c r="I154" i="53"/>
  <c r="J154" i="19"/>
  <c r="X154" i="26"/>
  <c r="R154" i="28"/>
  <c r="L154" i="30"/>
  <c r="F154" i="32"/>
  <c r="Z16" i="33"/>
  <c r="AC16" i="33" s="1"/>
  <c r="AE16" i="33" s="1"/>
  <c r="U154" i="35"/>
  <c r="O154" i="37"/>
  <c r="Z25" i="37"/>
  <c r="AC25" i="37" s="1"/>
  <c r="AE25" i="37" s="1"/>
  <c r="Z38" i="37"/>
  <c r="AC38" i="37" s="1"/>
  <c r="AE38" i="37" s="1"/>
  <c r="Z41" i="37"/>
  <c r="AC41" i="37" s="1"/>
  <c r="AE41" i="37" s="1"/>
  <c r="I154" i="39"/>
  <c r="U154" i="42"/>
  <c r="O154" i="44"/>
  <c r="I154" i="46"/>
  <c r="Z53" i="47"/>
  <c r="AC53" i="47" s="1"/>
  <c r="AE53" i="47" s="1"/>
  <c r="Z60" i="47"/>
  <c r="AC60" i="47" s="1"/>
  <c r="AE60" i="47" s="1"/>
  <c r="Z6" i="48"/>
  <c r="AC6" i="48" s="1"/>
  <c r="AE6" i="48" s="1"/>
  <c r="Z38" i="48"/>
  <c r="AC38" i="48" s="1"/>
  <c r="AE38" i="48" s="1"/>
  <c r="X154" i="49"/>
  <c r="R154" i="51"/>
  <c r="L154" i="53"/>
  <c r="H154" i="19"/>
  <c r="I154" i="28"/>
  <c r="O154" i="30"/>
  <c r="I154" i="32"/>
  <c r="Z91" i="35"/>
  <c r="AC91" i="35" s="1"/>
  <c r="AE91" i="35" s="1"/>
  <c r="L154" i="39"/>
  <c r="F154" i="41"/>
  <c r="X154" i="42"/>
  <c r="R154" i="44"/>
  <c r="L154" i="46"/>
  <c r="F154" i="48"/>
  <c r="U154" i="51"/>
  <c r="O154" i="53"/>
  <c r="D154" i="19"/>
  <c r="G154" i="19"/>
  <c r="O154" i="40"/>
  <c r="U154" i="28"/>
  <c r="X154" i="35"/>
  <c r="Z94" i="35"/>
  <c r="AC94" i="35" s="1"/>
  <c r="AE94" i="35" s="1"/>
  <c r="R154" i="37"/>
  <c r="X154" i="28"/>
  <c r="R154" i="30"/>
  <c r="Z78" i="31"/>
  <c r="AC78" i="31" s="1"/>
  <c r="AE78" i="31" s="1"/>
  <c r="L154" i="32"/>
  <c r="F154" i="34"/>
  <c r="U154" i="37"/>
  <c r="O154" i="39"/>
  <c r="I154" i="41"/>
  <c r="Z6" i="43"/>
  <c r="AC6" i="43" s="1"/>
  <c r="AE6" i="43" s="1"/>
  <c r="U154" i="44"/>
  <c r="Z23" i="44"/>
  <c r="AC23" i="44" s="1"/>
  <c r="AE23" i="44" s="1"/>
  <c r="O154" i="46"/>
  <c r="Z73" i="46"/>
  <c r="AC73" i="46" s="1"/>
  <c r="AE73" i="46" s="1"/>
  <c r="I154" i="48"/>
  <c r="X154" i="51"/>
  <c r="Z30" i="51"/>
  <c r="AC30" i="51" s="1"/>
  <c r="AE30" i="51" s="1"/>
  <c r="R154" i="53"/>
  <c r="Z58" i="54"/>
  <c r="AC58" i="54" s="1"/>
  <c r="AE58" i="54" s="1"/>
  <c r="U154" i="30"/>
  <c r="Z46" i="31"/>
  <c r="AC46" i="31" s="1"/>
  <c r="AE46" i="31" s="1"/>
  <c r="O154" i="32"/>
  <c r="I154" i="34"/>
  <c r="X154" i="37"/>
  <c r="R154" i="39"/>
  <c r="L154" i="41"/>
  <c r="X154" i="44"/>
  <c r="Z46" i="44"/>
  <c r="AC46" i="44" s="1"/>
  <c r="AE46" i="44" s="1"/>
  <c r="R154" i="46"/>
  <c r="L154" i="48"/>
  <c r="F154" i="50"/>
  <c r="Z54" i="50"/>
  <c r="AC54" i="50" s="1"/>
  <c r="AE54" i="50" s="1"/>
  <c r="U154" i="53"/>
  <c r="Z33" i="54"/>
  <c r="AC33" i="54" s="1"/>
  <c r="AE33" i="54" s="1"/>
  <c r="U154" i="39"/>
  <c r="O154" i="41"/>
  <c r="F154" i="43"/>
  <c r="U154" i="46"/>
  <c r="O154" i="48"/>
  <c r="I154" i="50"/>
  <c r="X154" i="53"/>
  <c r="X154" i="29"/>
  <c r="L154" i="33"/>
  <c r="L154" i="27"/>
  <c r="F154" i="29"/>
  <c r="U154" i="32"/>
  <c r="O154" i="34"/>
  <c r="Z38" i="34"/>
  <c r="AC38" i="34" s="1"/>
  <c r="AE38" i="34" s="1"/>
  <c r="I154" i="36"/>
  <c r="Z46" i="37"/>
  <c r="AC46" i="37" s="1"/>
  <c r="AE46" i="37" s="1"/>
  <c r="X154" i="39"/>
  <c r="R154" i="41"/>
  <c r="I154" i="43"/>
  <c r="Z83" i="45"/>
  <c r="AC83" i="45" s="1"/>
  <c r="AE83" i="45" s="1"/>
  <c r="X154" i="46"/>
  <c r="R154" i="48"/>
  <c r="L154" i="50"/>
  <c r="F154" i="52"/>
  <c r="Z14" i="53"/>
  <c r="AC14" i="53" s="1"/>
  <c r="AE14" i="53" s="1"/>
  <c r="Y154" i="19"/>
  <c r="Z83" i="30"/>
  <c r="AC83" i="30" s="1"/>
  <c r="AE83" i="30" s="1"/>
  <c r="U154" i="31"/>
  <c r="O154" i="26"/>
  <c r="X154" i="30"/>
  <c r="F154" i="36"/>
  <c r="O154" i="27"/>
  <c r="I154" i="29"/>
  <c r="X154" i="32"/>
  <c r="Z31" i="33"/>
  <c r="AC31" i="33" s="1"/>
  <c r="AE31" i="33" s="1"/>
  <c r="R154" i="34"/>
  <c r="L154" i="36"/>
  <c r="F154" i="38"/>
  <c r="Z72" i="38"/>
  <c r="AC72" i="38" s="1"/>
  <c r="AE72" i="38" s="1"/>
  <c r="Z16" i="39"/>
  <c r="AC16" i="39" s="1"/>
  <c r="AE16" i="39" s="1"/>
  <c r="U154" i="41"/>
  <c r="Z38" i="41"/>
  <c r="AC38" i="41" s="1"/>
  <c r="AE38" i="41" s="1"/>
  <c r="L154" i="43"/>
  <c r="F154" i="45"/>
  <c r="Z36" i="45"/>
  <c r="AC36" i="45" s="1"/>
  <c r="AE36" i="45" s="1"/>
  <c r="Z52" i="45"/>
  <c r="AC52" i="45" s="1"/>
  <c r="AE52" i="45" s="1"/>
  <c r="Z56" i="45"/>
  <c r="AC56" i="45" s="1"/>
  <c r="AE56" i="45" s="1"/>
  <c r="U154" i="48"/>
  <c r="O154" i="50"/>
  <c r="Z6" i="50"/>
  <c r="AC6" i="50" s="1"/>
  <c r="AE6" i="50" s="1"/>
  <c r="Z57" i="50"/>
  <c r="AC57" i="50" s="1"/>
  <c r="AE57" i="50" s="1"/>
  <c r="Z89" i="50"/>
  <c r="AC89" i="50" s="1"/>
  <c r="AE89" i="50" s="1"/>
  <c r="I154" i="52"/>
  <c r="Z54" i="54"/>
  <c r="AC54" i="54" s="1"/>
  <c r="AE54" i="54" s="1"/>
  <c r="W154" i="19"/>
  <c r="R154" i="32"/>
  <c r="L154" i="34"/>
  <c r="R154" i="27"/>
  <c r="L154" i="29"/>
  <c r="F154" i="31"/>
  <c r="Z6" i="33"/>
  <c r="AC6" i="33" s="1"/>
  <c r="AE6" i="33" s="1"/>
  <c r="U154" i="34"/>
  <c r="O154" i="36"/>
  <c r="I154" i="38"/>
  <c r="X154" i="41"/>
  <c r="O154" i="43"/>
  <c r="I154" i="45"/>
  <c r="X154" i="48"/>
  <c r="Z62" i="48"/>
  <c r="AC62" i="48" s="1"/>
  <c r="AE62" i="48" s="1"/>
  <c r="R154" i="50"/>
  <c r="L154" i="52"/>
  <c r="V154" i="19"/>
  <c r="F154" i="28"/>
  <c r="U154" i="27"/>
  <c r="O154" i="29"/>
  <c r="I154" i="31"/>
  <c r="Z62" i="32"/>
  <c r="AC62" i="32" s="1"/>
  <c r="AE62" i="32" s="1"/>
  <c r="X154" i="34"/>
  <c r="R154" i="36"/>
  <c r="L154" i="38"/>
  <c r="F154" i="40"/>
  <c r="R154" i="43"/>
  <c r="Z62" i="44"/>
  <c r="AC62" i="44" s="1"/>
  <c r="AE62" i="44" s="1"/>
  <c r="L154" i="45"/>
  <c r="F154" i="47"/>
  <c r="U154" i="50"/>
  <c r="O154" i="52"/>
  <c r="F154" i="54"/>
  <c r="T154" i="19"/>
  <c r="Z67" i="30"/>
  <c r="AC67" i="30" s="1"/>
  <c r="AE67" i="30" s="1"/>
  <c r="F154" i="27"/>
  <c r="I154" i="27"/>
  <c r="X154" i="27"/>
  <c r="R154" i="29"/>
  <c r="L154" i="31"/>
  <c r="F154" i="33"/>
  <c r="U154" i="36"/>
  <c r="O154" i="38"/>
  <c r="I154" i="40"/>
  <c r="Z70" i="42"/>
  <c r="AC70" i="42" s="1"/>
  <c r="AE70" i="42" s="1"/>
  <c r="U154" i="43"/>
  <c r="Z39" i="43"/>
  <c r="AC39" i="43" s="1"/>
  <c r="AE39" i="43" s="1"/>
  <c r="Z71" i="43"/>
  <c r="AC71" i="43" s="1"/>
  <c r="AE71" i="43" s="1"/>
  <c r="O154" i="45"/>
  <c r="I154" i="47"/>
  <c r="X154" i="50"/>
  <c r="R154" i="52"/>
  <c r="I154" i="54"/>
  <c r="S154" i="19"/>
  <c r="F154" i="26"/>
  <c r="U154" i="29"/>
  <c r="O154" i="31"/>
  <c r="I154" i="33"/>
  <c r="Z88" i="35"/>
  <c r="AC88" i="35" s="1"/>
  <c r="AE88" i="35" s="1"/>
  <c r="X154" i="36"/>
  <c r="Z14" i="36"/>
  <c r="AC14" i="36" s="1"/>
  <c r="AE14" i="36" s="1"/>
  <c r="Z43" i="36"/>
  <c r="AC43" i="36" s="1"/>
  <c r="AE43" i="36" s="1"/>
  <c r="Z46" i="36"/>
  <c r="AC46" i="36" s="1"/>
  <c r="AE46" i="36" s="1"/>
  <c r="Z62" i="36"/>
  <c r="AC62" i="36" s="1"/>
  <c r="AE62" i="36" s="1"/>
  <c r="R154" i="38"/>
  <c r="L154" i="40"/>
  <c r="X154" i="43"/>
  <c r="Z14" i="43"/>
  <c r="AC14" i="43" s="1"/>
  <c r="AE14" i="43" s="1"/>
  <c r="R154" i="45"/>
  <c r="L154" i="47"/>
  <c r="F154" i="49"/>
  <c r="U154" i="52"/>
  <c r="Z94" i="53"/>
  <c r="AC94" i="53" s="1"/>
  <c r="AE94" i="53" s="1"/>
  <c r="L154" i="54"/>
  <c r="Q154" i="19"/>
  <c r="AE151" i="19"/>
  <c r="AE154" i="19" s="1"/>
  <c r="AC154" i="19"/>
  <c r="AE151" i="54"/>
  <c r="AE151" i="53"/>
  <c r="AE151" i="52"/>
  <c r="AE151" i="51"/>
  <c r="AE151" i="50"/>
  <c r="AE151" i="49"/>
  <c r="AE151" i="48"/>
  <c r="AE151" i="47"/>
  <c r="AE151" i="46"/>
  <c r="AE151" i="45"/>
  <c r="AE151" i="44"/>
  <c r="AE151" i="41"/>
  <c r="AE151" i="39"/>
  <c r="AE151" i="38"/>
  <c r="AE151" i="35"/>
  <c r="AE151" i="34"/>
  <c r="AE151" i="33"/>
  <c r="AE151" i="32"/>
  <c r="AE151" i="31"/>
  <c r="AE151" i="30"/>
  <c r="AE151" i="28"/>
  <c r="AE151" i="27"/>
  <c r="AE151" i="26"/>
  <c r="O83" i="19"/>
  <c r="Z6" i="29"/>
  <c r="AC6" i="29" s="1"/>
  <c r="AE6" i="29" s="1"/>
  <c r="Z73" i="29"/>
  <c r="AC73" i="29" s="1"/>
  <c r="AE73" i="29" s="1"/>
  <c r="Z54" i="29"/>
  <c r="AC54" i="29" s="1"/>
  <c r="AE54" i="29" s="1"/>
  <c r="Z86" i="28"/>
  <c r="AC86" i="28" s="1"/>
  <c r="AE86" i="28" s="1"/>
  <c r="Z46" i="28"/>
  <c r="AC46" i="28" s="1"/>
  <c r="AE46" i="28" s="1"/>
  <c r="Z12" i="28"/>
  <c r="AC12" i="28" s="1"/>
  <c r="AE12" i="28" s="1"/>
  <c r="Z62" i="30"/>
  <c r="AC62" i="30" s="1"/>
  <c r="AE62" i="30" s="1"/>
  <c r="Z78" i="30"/>
  <c r="AC78" i="30" s="1"/>
  <c r="AE78" i="30" s="1"/>
  <c r="Z70" i="52"/>
  <c r="AC70" i="52" s="1"/>
  <c r="AE70" i="52" s="1"/>
  <c r="Z46" i="30"/>
  <c r="AC46" i="30" s="1"/>
  <c r="AE46" i="30" s="1"/>
  <c r="Z56" i="38"/>
  <c r="AC56" i="38" s="1"/>
  <c r="AE56" i="38" s="1"/>
  <c r="Z30" i="39"/>
  <c r="AC30" i="39" s="1"/>
  <c r="AE30" i="39" s="1"/>
  <c r="Z62" i="39"/>
  <c r="AC62" i="39" s="1"/>
  <c r="AE62" i="39" s="1"/>
  <c r="Z41" i="41"/>
  <c r="AC41" i="41" s="1"/>
  <c r="AE41" i="41" s="1"/>
  <c r="Z54" i="41"/>
  <c r="AC54" i="41" s="1"/>
  <c r="AE54" i="41" s="1"/>
  <c r="Z73" i="41"/>
  <c r="AC73" i="41" s="1"/>
  <c r="AE73" i="41" s="1"/>
  <c r="Z62" i="27"/>
  <c r="AC62" i="27" s="1"/>
  <c r="AE62" i="27" s="1"/>
  <c r="Z6" i="38"/>
  <c r="AC6" i="38" s="1"/>
  <c r="AE6" i="38" s="1"/>
  <c r="Z38" i="47"/>
  <c r="AC38" i="47" s="1"/>
  <c r="AE38" i="47" s="1"/>
  <c r="Z14" i="27"/>
  <c r="AC14" i="27" s="1"/>
  <c r="AE14" i="27" s="1"/>
  <c r="Z22" i="28"/>
  <c r="AC22" i="28" s="1"/>
  <c r="AE22" i="28" s="1"/>
  <c r="Z70" i="29"/>
  <c r="AC70" i="29" s="1"/>
  <c r="AE70" i="29" s="1"/>
  <c r="Z78" i="34"/>
  <c r="AC78" i="34" s="1"/>
  <c r="AE78" i="34" s="1"/>
  <c r="Z54" i="35"/>
  <c r="AC54" i="35" s="1"/>
  <c r="AE54" i="35" s="1"/>
  <c r="Z70" i="35"/>
  <c r="AC70" i="35" s="1"/>
  <c r="AE70" i="35" s="1"/>
  <c r="Z55" i="36"/>
  <c r="AC55" i="36" s="1"/>
  <c r="AE55" i="36" s="1"/>
  <c r="Z22" i="30"/>
  <c r="AC22" i="30" s="1"/>
  <c r="AE22" i="30" s="1"/>
  <c r="Z70" i="44"/>
  <c r="AC70" i="44" s="1"/>
  <c r="AE70" i="44" s="1"/>
  <c r="Z31" i="46"/>
  <c r="AC31" i="46" s="1"/>
  <c r="AE31" i="46" s="1"/>
  <c r="Z54" i="32"/>
  <c r="AC54" i="32" s="1"/>
  <c r="AE54" i="32" s="1"/>
  <c r="Z30" i="28"/>
  <c r="AC30" i="28" s="1"/>
  <c r="AE30" i="28" s="1"/>
  <c r="Z62" i="31"/>
  <c r="AC62" i="31" s="1"/>
  <c r="AE62" i="31" s="1"/>
  <c r="Z72" i="32"/>
  <c r="AC72" i="32" s="1"/>
  <c r="AE72" i="32" s="1"/>
  <c r="Z27" i="33"/>
  <c r="AC27" i="33" s="1"/>
  <c r="AE27" i="33" s="1"/>
  <c r="Z30" i="33"/>
  <c r="AC30" i="33" s="1"/>
  <c r="AE30" i="33" s="1"/>
  <c r="Z6" i="32"/>
  <c r="AC6" i="32" s="1"/>
  <c r="AE6" i="32" s="1"/>
  <c r="Z46" i="42"/>
  <c r="AC46" i="42" s="1"/>
  <c r="AE46" i="42" s="1"/>
  <c r="Z31" i="43"/>
  <c r="AC31" i="43" s="1"/>
  <c r="AE31" i="43" s="1"/>
  <c r="Z30" i="54"/>
  <c r="AC30" i="54" s="1"/>
  <c r="AE30" i="54" s="1"/>
  <c r="Z61" i="28"/>
  <c r="AC61" i="28" s="1"/>
  <c r="AE61" i="28" s="1"/>
  <c r="Z55" i="29"/>
  <c r="AC55" i="29" s="1"/>
  <c r="AE55" i="29" s="1"/>
  <c r="Z93" i="35"/>
  <c r="AC93" i="35" s="1"/>
  <c r="AE93" i="35" s="1"/>
  <c r="Z38" i="38"/>
  <c r="AC38" i="38" s="1"/>
  <c r="AE38" i="38" s="1"/>
  <c r="Z89" i="44"/>
  <c r="AC89" i="44" s="1"/>
  <c r="AE89" i="44" s="1"/>
  <c r="Z26" i="45"/>
  <c r="AC26" i="45" s="1"/>
  <c r="AE26" i="45" s="1"/>
  <c r="Z22" i="46"/>
  <c r="AC22" i="46" s="1"/>
  <c r="AE22" i="46" s="1"/>
  <c r="Z86" i="47"/>
  <c r="AC86" i="47" s="1"/>
  <c r="AE86" i="47" s="1"/>
  <c r="Z35" i="49"/>
  <c r="AC35" i="49" s="1"/>
  <c r="AE35" i="49" s="1"/>
  <c r="Z67" i="49"/>
  <c r="AC67" i="49" s="1"/>
  <c r="AE67" i="49" s="1"/>
  <c r="Z7" i="50"/>
  <c r="AC7" i="50" s="1"/>
  <c r="AE7" i="50" s="1"/>
  <c r="Z58" i="51"/>
  <c r="AC58" i="51" s="1"/>
  <c r="AE58" i="51" s="1"/>
  <c r="Z90" i="51"/>
  <c r="AC90" i="51" s="1"/>
  <c r="AE90" i="51" s="1"/>
  <c r="Z93" i="52"/>
  <c r="AC93" i="52" s="1"/>
  <c r="AE93" i="52" s="1"/>
  <c r="Z62" i="54"/>
  <c r="AC62" i="54" s="1"/>
  <c r="AE62" i="54" s="1"/>
  <c r="Z67" i="54"/>
  <c r="AC67" i="54" s="1"/>
  <c r="AE67" i="54" s="1"/>
  <c r="U87" i="19"/>
  <c r="L85" i="19"/>
  <c r="R81" i="19"/>
  <c r="Z35" i="31"/>
  <c r="AC35" i="31" s="1"/>
  <c r="AE35" i="31" s="1"/>
  <c r="Z69" i="33"/>
  <c r="AC69" i="33" s="1"/>
  <c r="AE69" i="33" s="1"/>
  <c r="Z84" i="35"/>
  <c r="AC84" i="35" s="1"/>
  <c r="AE84" i="35" s="1"/>
  <c r="Z15" i="37"/>
  <c r="AC15" i="37" s="1"/>
  <c r="AE15" i="37" s="1"/>
  <c r="Z12" i="39"/>
  <c r="AC12" i="39" s="1"/>
  <c r="AE12" i="39" s="1"/>
  <c r="Z23" i="41"/>
  <c r="AC23" i="41" s="1"/>
  <c r="AE23" i="41" s="1"/>
  <c r="Z94" i="26"/>
  <c r="AC94" i="26" s="1"/>
  <c r="AE94" i="26" s="1"/>
  <c r="Z96" i="26"/>
  <c r="AC96" i="26" s="1"/>
  <c r="AE96" i="26" s="1"/>
  <c r="Z6" i="27"/>
  <c r="AC6" i="27" s="1"/>
  <c r="AE6" i="27" s="1"/>
  <c r="Z62" i="29"/>
  <c r="AC62" i="29" s="1"/>
  <c r="AE62" i="29" s="1"/>
  <c r="Z6" i="31"/>
  <c r="AC6" i="31" s="1"/>
  <c r="AE6" i="31" s="1"/>
  <c r="Z24" i="31"/>
  <c r="AC24" i="31" s="1"/>
  <c r="AE24" i="31" s="1"/>
  <c r="Z54" i="31"/>
  <c r="AC54" i="31" s="1"/>
  <c r="AE54" i="31" s="1"/>
  <c r="Z82" i="32"/>
  <c r="AC82" i="32" s="1"/>
  <c r="AE82" i="32" s="1"/>
  <c r="Z22" i="34"/>
  <c r="AC22" i="34" s="1"/>
  <c r="AE22" i="34" s="1"/>
  <c r="Z35" i="34"/>
  <c r="AC35" i="34" s="1"/>
  <c r="AE35" i="34" s="1"/>
  <c r="Z22" i="35"/>
  <c r="AC22" i="35" s="1"/>
  <c r="AE22" i="35" s="1"/>
  <c r="Z28" i="36"/>
  <c r="AC28" i="36" s="1"/>
  <c r="AE28" i="36" s="1"/>
  <c r="Z35" i="37"/>
  <c r="AC35" i="37" s="1"/>
  <c r="AE35" i="37" s="1"/>
  <c r="Z8" i="38"/>
  <c r="AC8" i="38" s="1"/>
  <c r="AE8" i="38" s="1"/>
  <c r="Z98" i="38"/>
  <c r="AC98" i="38" s="1"/>
  <c r="AE98" i="38" s="1"/>
  <c r="Z4" i="40"/>
  <c r="Z20" i="40"/>
  <c r="AC20" i="40" s="1"/>
  <c r="AE20" i="40" s="1"/>
  <c r="Z36" i="40"/>
  <c r="AC36" i="40" s="1"/>
  <c r="AE36" i="40" s="1"/>
  <c r="Z52" i="40"/>
  <c r="AC52" i="40" s="1"/>
  <c r="AE52" i="40" s="1"/>
  <c r="Z68" i="40"/>
  <c r="AC68" i="40" s="1"/>
  <c r="AE68" i="40" s="1"/>
  <c r="Z84" i="40"/>
  <c r="AC84" i="40" s="1"/>
  <c r="AE84" i="40" s="1"/>
  <c r="Z94" i="41"/>
  <c r="AC94" i="41" s="1"/>
  <c r="AE94" i="41" s="1"/>
  <c r="Z62" i="42"/>
  <c r="AC62" i="42" s="1"/>
  <c r="AE62" i="42" s="1"/>
  <c r="Z14" i="44"/>
  <c r="AC14" i="44" s="1"/>
  <c r="AE14" i="44" s="1"/>
  <c r="Z59" i="44"/>
  <c r="AC59" i="44" s="1"/>
  <c r="AE59" i="44" s="1"/>
  <c r="Z13" i="46"/>
  <c r="AC13" i="46" s="1"/>
  <c r="AE13" i="46" s="1"/>
  <c r="Z20" i="46"/>
  <c r="AC20" i="46" s="1"/>
  <c r="AE20" i="46" s="1"/>
  <c r="Z89" i="47"/>
  <c r="AC89" i="47" s="1"/>
  <c r="AE89" i="47" s="1"/>
  <c r="Z42" i="48"/>
  <c r="AC42" i="48" s="1"/>
  <c r="AE42" i="48" s="1"/>
  <c r="Z71" i="50"/>
  <c r="AC71" i="50" s="1"/>
  <c r="AE71" i="50" s="1"/>
  <c r="Z75" i="50"/>
  <c r="AC75" i="50" s="1"/>
  <c r="AE75" i="50" s="1"/>
  <c r="Z81" i="51"/>
  <c r="AC81" i="51" s="1"/>
  <c r="AE81" i="51" s="1"/>
  <c r="Z30" i="53"/>
  <c r="AC30" i="53" s="1"/>
  <c r="AE30" i="53" s="1"/>
  <c r="Z43" i="53"/>
  <c r="AC43" i="53" s="1"/>
  <c r="AE43" i="53" s="1"/>
  <c r="Z46" i="53"/>
  <c r="AC46" i="53" s="1"/>
  <c r="AE46" i="53" s="1"/>
  <c r="Z75" i="53"/>
  <c r="AC75" i="53" s="1"/>
  <c r="AE75" i="53" s="1"/>
  <c r="Z54" i="28"/>
  <c r="AC54" i="28" s="1"/>
  <c r="AE54" i="28" s="1"/>
  <c r="Z84" i="28"/>
  <c r="AC84" i="28" s="1"/>
  <c r="AE84" i="28" s="1"/>
  <c r="Z32" i="36"/>
  <c r="AC32" i="36" s="1"/>
  <c r="AE32" i="36" s="1"/>
  <c r="Z14" i="39"/>
  <c r="AC14" i="39" s="1"/>
  <c r="AE14" i="39" s="1"/>
  <c r="Z53" i="39"/>
  <c r="AC53" i="39" s="1"/>
  <c r="AE53" i="39" s="1"/>
  <c r="Z39" i="41"/>
  <c r="AC39" i="41" s="1"/>
  <c r="AE39" i="41" s="1"/>
  <c r="Z65" i="42"/>
  <c r="AC65" i="42" s="1"/>
  <c r="AE65" i="42" s="1"/>
  <c r="Z74" i="42"/>
  <c r="AC74" i="42" s="1"/>
  <c r="AE74" i="42" s="1"/>
  <c r="Z92" i="26"/>
  <c r="AC92" i="26" s="1"/>
  <c r="AE92" i="26" s="1"/>
  <c r="Z54" i="27"/>
  <c r="AC54" i="27" s="1"/>
  <c r="AE54" i="27" s="1"/>
  <c r="Z79" i="27"/>
  <c r="AC79" i="27" s="1"/>
  <c r="AE79" i="27" s="1"/>
  <c r="Z38" i="28"/>
  <c r="AC38" i="28" s="1"/>
  <c r="AE38" i="28" s="1"/>
  <c r="Z30" i="29"/>
  <c r="AC30" i="29" s="1"/>
  <c r="AE30" i="29" s="1"/>
  <c r="Z37" i="29"/>
  <c r="AC37" i="29" s="1"/>
  <c r="AE37" i="29" s="1"/>
  <c r="Z44" i="29"/>
  <c r="AC44" i="29" s="1"/>
  <c r="AE44" i="29" s="1"/>
  <c r="Z6" i="30"/>
  <c r="AC6" i="30" s="1"/>
  <c r="AE6" i="30" s="1"/>
  <c r="Z15" i="30"/>
  <c r="AC15" i="30" s="1"/>
  <c r="AE15" i="30" s="1"/>
  <c r="Z20" i="31"/>
  <c r="AC20" i="31" s="1"/>
  <c r="AE20" i="31" s="1"/>
  <c r="Z36" i="31"/>
  <c r="AC36" i="31" s="1"/>
  <c r="AE36" i="31" s="1"/>
  <c r="Z86" i="31"/>
  <c r="AC86" i="31" s="1"/>
  <c r="AE86" i="31" s="1"/>
  <c r="Z73" i="32"/>
  <c r="AC73" i="32" s="1"/>
  <c r="AE73" i="32" s="1"/>
  <c r="Z6" i="34"/>
  <c r="AC6" i="34" s="1"/>
  <c r="AE6" i="34" s="1"/>
  <c r="Z8" i="34"/>
  <c r="AC8" i="34" s="1"/>
  <c r="AE8" i="34" s="1"/>
  <c r="Z25" i="35"/>
  <c r="AC25" i="35" s="1"/>
  <c r="AE25" i="35" s="1"/>
  <c r="Z66" i="35"/>
  <c r="AC66" i="35" s="1"/>
  <c r="AE66" i="35" s="1"/>
  <c r="Z6" i="37"/>
  <c r="AC6" i="37" s="1"/>
  <c r="AE6" i="37" s="1"/>
  <c r="Z90" i="39"/>
  <c r="AC90" i="39" s="1"/>
  <c r="AE90" i="39" s="1"/>
  <c r="Z94" i="39"/>
  <c r="AC94" i="39" s="1"/>
  <c r="AE94" i="39" s="1"/>
  <c r="Z5" i="41"/>
  <c r="AC5" i="41" s="1"/>
  <c r="AE5" i="41" s="1"/>
  <c r="Z14" i="41"/>
  <c r="AC14" i="41" s="1"/>
  <c r="AE14" i="41" s="1"/>
  <c r="Z16" i="41"/>
  <c r="AC16" i="41" s="1"/>
  <c r="AE16" i="41" s="1"/>
  <c r="Z30" i="41"/>
  <c r="AC30" i="41" s="1"/>
  <c r="AE30" i="41" s="1"/>
  <c r="Z6" i="42"/>
  <c r="AC6" i="42" s="1"/>
  <c r="AE6" i="42" s="1"/>
  <c r="Z47" i="42"/>
  <c r="AC47" i="42" s="1"/>
  <c r="AE47" i="42" s="1"/>
  <c r="Z5" i="44"/>
  <c r="AC5" i="44" s="1"/>
  <c r="AE5" i="44" s="1"/>
  <c r="Z48" i="44"/>
  <c r="AC48" i="44" s="1"/>
  <c r="AE48" i="44" s="1"/>
  <c r="Z33" i="48"/>
  <c r="AC33" i="48" s="1"/>
  <c r="AE33" i="48" s="1"/>
  <c r="Z94" i="48"/>
  <c r="AC94" i="48" s="1"/>
  <c r="AE94" i="48" s="1"/>
  <c r="Z78" i="50"/>
  <c r="AC78" i="50" s="1"/>
  <c r="AE78" i="50" s="1"/>
  <c r="Z6" i="52"/>
  <c r="AC6" i="52" s="1"/>
  <c r="AE6" i="52" s="1"/>
  <c r="Z57" i="52"/>
  <c r="AC57" i="52" s="1"/>
  <c r="AE57" i="52" s="1"/>
  <c r="Z15" i="54"/>
  <c r="AC15" i="54" s="1"/>
  <c r="AE15" i="54" s="1"/>
  <c r="Z47" i="54"/>
  <c r="AC47" i="54" s="1"/>
  <c r="AE47" i="54" s="1"/>
  <c r="Z25" i="28"/>
  <c r="AC25" i="28" s="1"/>
  <c r="AE25" i="28" s="1"/>
  <c r="Z46" i="32"/>
  <c r="AC46" i="32" s="1"/>
  <c r="AE46" i="32" s="1"/>
  <c r="Z55" i="32"/>
  <c r="AC55" i="32" s="1"/>
  <c r="AE55" i="32" s="1"/>
  <c r="Z58" i="33"/>
  <c r="AC58" i="33" s="1"/>
  <c r="AE58" i="33" s="1"/>
  <c r="Z10" i="36"/>
  <c r="AC10" i="36" s="1"/>
  <c r="AE10" i="36" s="1"/>
  <c r="Z81" i="39"/>
  <c r="AC81" i="39" s="1"/>
  <c r="AE81" i="39" s="1"/>
  <c r="Z69" i="41"/>
  <c r="AC69" i="41" s="1"/>
  <c r="AE69" i="41" s="1"/>
  <c r="Z24" i="42"/>
  <c r="AC24" i="42" s="1"/>
  <c r="AE24" i="42" s="1"/>
  <c r="Z66" i="43"/>
  <c r="AC66" i="43" s="1"/>
  <c r="AE66" i="43" s="1"/>
  <c r="Z27" i="47"/>
  <c r="AC27" i="47" s="1"/>
  <c r="AE27" i="47" s="1"/>
  <c r="Z81" i="48"/>
  <c r="AC81" i="48" s="1"/>
  <c r="AE81" i="48" s="1"/>
  <c r="Z90" i="48"/>
  <c r="AC90" i="48" s="1"/>
  <c r="AE90" i="48" s="1"/>
  <c r="Z86" i="49"/>
  <c r="AC86" i="49" s="1"/>
  <c r="AE86" i="49" s="1"/>
  <c r="Z44" i="50"/>
  <c r="AC44" i="50" s="1"/>
  <c r="AE44" i="50" s="1"/>
  <c r="Z6" i="51"/>
  <c r="AC6" i="51" s="1"/>
  <c r="AE6" i="51" s="1"/>
  <c r="Z63" i="51"/>
  <c r="AC63" i="51" s="1"/>
  <c r="AE63" i="51" s="1"/>
  <c r="Z95" i="51"/>
  <c r="AC95" i="51" s="1"/>
  <c r="AE95" i="51" s="1"/>
  <c r="Z37" i="53"/>
  <c r="AC37" i="53" s="1"/>
  <c r="AE37" i="53" s="1"/>
  <c r="Z6" i="54"/>
  <c r="AC6" i="54" s="1"/>
  <c r="AE6" i="54" s="1"/>
  <c r="Z22" i="54"/>
  <c r="AC22" i="54" s="1"/>
  <c r="AE22" i="54" s="1"/>
  <c r="Z62" i="26"/>
  <c r="AC62" i="26" s="1"/>
  <c r="AE62" i="26" s="1"/>
  <c r="Z14" i="32"/>
  <c r="AC14" i="32" s="1"/>
  <c r="AE14" i="32" s="1"/>
  <c r="Z43" i="32"/>
  <c r="AC43" i="32" s="1"/>
  <c r="AE43" i="32" s="1"/>
  <c r="Z58" i="26"/>
  <c r="AC58" i="26" s="1"/>
  <c r="AE58" i="26" s="1"/>
  <c r="Z74" i="26"/>
  <c r="AC74" i="26" s="1"/>
  <c r="AE74" i="26" s="1"/>
  <c r="Z90" i="26"/>
  <c r="AC90" i="26" s="1"/>
  <c r="AE90" i="26" s="1"/>
  <c r="Z38" i="27"/>
  <c r="AC38" i="27" s="1"/>
  <c r="AE38" i="27" s="1"/>
  <c r="Z45" i="27"/>
  <c r="AC45" i="27" s="1"/>
  <c r="AE45" i="27" s="1"/>
  <c r="Z52" i="27"/>
  <c r="AC52" i="27" s="1"/>
  <c r="AE52" i="27" s="1"/>
  <c r="Z11" i="28"/>
  <c r="AC11" i="28" s="1"/>
  <c r="AE11" i="28" s="1"/>
  <c r="Z23" i="28"/>
  <c r="AC23" i="28" s="1"/>
  <c r="AE23" i="28" s="1"/>
  <c r="Z49" i="33"/>
  <c r="AC49" i="33" s="1"/>
  <c r="AE49" i="33" s="1"/>
  <c r="Z90" i="33"/>
  <c r="AC90" i="33" s="1"/>
  <c r="AE90" i="33" s="1"/>
  <c r="Z70" i="34"/>
  <c r="AC70" i="34" s="1"/>
  <c r="AE70" i="34" s="1"/>
  <c r="Z78" i="36"/>
  <c r="AC78" i="36" s="1"/>
  <c r="AE78" i="36" s="1"/>
  <c r="Z61" i="37"/>
  <c r="AC61" i="37" s="1"/>
  <c r="AE61" i="37" s="1"/>
  <c r="Z68" i="37"/>
  <c r="AC68" i="37" s="1"/>
  <c r="AE68" i="37" s="1"/>
  <c r="Z70" i="37"/>
  <c r="AC70" i="37" s="1"/>
  <c r="AE70" i="37" s="1"/>
  <c r="Z77" i="37"/>
  <c r="AC77" i="37" s="1"/>
  <c r="AE77" i="37" s="1"/>
  <c r="Z93" i="37"/>
  <c r="AC93" i="37" s="1"/>
  <c r="AE93" i="37" s="1"/>
  <c r="Z71" i="38"/>
  <c r="AC71" i="38" s="1"/>
  <c r="AE71" i="38" s="1"/>
  <c r="Z87" i="38"/>
  <c r="AC87" i="38" s="1"/>
  <c r="AE87" i="38" s="1"/>
  <c r="Z78" i="39"/>
  <c r="AC78" i="39" s="1"/>
  <c r="AE78" i="39" s="1"/>
  <c r="Z20" i="42"/>
  <c r="AC20" i="42" s="1"/>
  <c r="AE20" i="42" s="1"/>
  <c r="Z22" i="42"/>
  <c r="AC22" i="42" s="1"/>
  <c r="AE22" i="42" s="1"/>
  <c r="Z86" i="42"/>
  <c r="AC86" i="42" s="1"/>
  <c r="AE86" i="42" s="1"/>
  <c r="Z57" i="43"/>
  <c r="AC57" i="43" s="1"/>
  <c r="AE57" i="43" s="1"/>
  <c r="Z89" i="43"/>
  <c r="AC89" i="43" s="1"/>
  <c r="AE89" i="43" s="1"/>
  <c r="Z30" i="44"/>
  <c r="AC30" i="44" s="1"/>
  <c r="AE30" i="44" s="1"/>
  <c r="Z70" i="46"/>
  <c r="AC70" i="46" s="1"/>
  <c r="AE70" i="46" s="1"/>
  <c r="Z62" i="47"/>
  <c r="AC62" i="47" s="1"/>
  <c r="AE62" i="47" s="1"/>
  <c r="Z75" i="47"/>
  <c r="AC75" i="47" s="1"/>
  <c r="AE75" i="47" s="1"/>
  <c r="Z78" i="47"/>
  <c r="AC78" i="47" s="1"/>
  <c r="AE78" i="47" s="1"/>
  <c r="Z15" i="48"/>
  <c r="AC15" i="48" s="1"/>
  <c r="AE15" i="48" s="1"/>
  <c r="Z18" i="49"/>
  <c r="AC18" i="49" s="1"/>
  <c r="AE18" i="49" s="1"/>
  <c r="Z34" i="49"/>
  <c r="AC34" i="49" s="1"/>
  <c r="AE34" i="49" s="1"/>
  <c r="Z69" i="50"/>
  <c r="AC69" i="50" s="1"/>
  <c r="AE69" i="50" s="1"/>
  <c r="Z22" i="51"/>
  <c r="AC22" i="51" s="1"/>
  <c r="AE22" i="51" s="1"/>
  <c r="Z38" i="51"/>
  <c r="AC38" i="51" s="1"/>
  <c r="AE38" i="51" s="1"/>
  <c r="Z83" i="54"/>
  <c r="AC83" i="54" s="1"/>
  <c r="AE83" i="54" s="1"/>
  <c r="U83" i="19"/>
  <c r="Z77" i="28"/>
  <c r="AC77" i="28" s="1"/>
  <c r="AE77" i="28" s="1"/>
  <c r="Z46" i="29"/>
  <c r="AC46" i="29" s="1"/>
  <c r="AE46" i="29" s="1"/>
  <c r="Z94" i="30"/>
  <c r="AC94" i="30" s="1"/>
  <c r="AE94" i="30" s="1"/>
  <c r="Z38" i="31"/>
  <c r="AC38" i="31" s="1"/>
  <c r="AE38" i="31" s="1"/>
  <c r="Z86" i="27"/>
  <c r="AC86" i="27" s="1"/>
  <c r="AE86" i="27" s="1"/>
  <c r="Z94" i="29"/>
  <c r="AC94" i="29" s="1"/>
  <c r="AE94" i="29" s="1"/>
  <c r="Z88" i="31"/>
  <c r="AC88" i="31" s="1"/>
  <c r="AE88" i="31" s="1"/>
  <c r="Z30" i="32"/>
  <c r="AC30" i="32" s="1"/>
  <c r="AE30" i="32" s="1"/>
  <c r="Z14" i="28"/>
  <c r="AC14" i="28" s="1"/>
  <c r="AE14" i="28" s="1"/>
  <c r="Z41" i="28"/>
  <c r="AC41" i="28" s="1"/>
  <c r="AE41" i="28" s="1"/>
  <c r="Z14" i="29"/>
  <c r="AC14" i="29" s="1"/>
  <c r="AE14" i="29" s="1"/>
  <c r="Z26" i="29"/>
  <c r="AC26" i="29" s="1"/>
  <c r="AE26" i="29" s="1"/>
  <c r="Z78" i="29"/>
  <c r="AC78" i="29" s="1"/>
  <c r="AE78" i="29" s="1"/>
  <c r="Z84" i="31"/>
  <c r="AC84" i="31" s="1"/>
  <c r="AE84" i="31" s="1"/>
  <c r="Z30" i="26"/>
  <c r="AC30" i="26" s="1"/>
  <c r="AE30" i="26" s="1"/>
  <c r="Z33" i="26"/>
  <c r="AC33" i="26" s="1"/>
  <c r="AE33" i="26" s="1"/>
  <c r="Z49" i="26"/>
  <c r="AC49" i="26" s="1"/>
  <c r="AE49" i="26" s="1"/>
  <c r="Z65" i="26"/>
  <c r="AC65" i="26" s="1"/>
  <c r="AE65" i="26" s="1"/>
  <c r="Z81" i="26"/>
  <c r="AC81" i="26" s="1"/>
  <c r="AE81" i="26" s="1"/>
  <c r="Z17" i="29"/>
  <c r="AC17" i="29" s="1"/>
  <c r="AE17" i="29" s="1"/>
  <c r="Z38" i="30"/>
  <c r="AC38" i="30" s="1"/>
  <c r="AE38" i="30" s="1"/>
  <c r="Z51" i="30"/>
  <c r="AC51" i="30" s="1"/>
  <c r="AE51" i="30" s="1"/>
  <c r="Z54" i="30"/>
  <c r="AC54" i="30" s="1"/>
  <c r="AE54" i="30" s="1"/>
  <c r="Z41" i="31"/>
  <c r="AC41" i="31" s="1"/>
  <c r="AE41" i="31" s="1"/>
  <c r="Z50" i="31"/>
  <c r="AC50" i="31" s="1"/>
  <c r="AE50" i="31" s="1"/>
  <c r="Z5" i="32"/>
  <c r="AC5" i="32" s="1"/>
  <c r="AE5" i="32" s="1"/>
  <c r="Z21" i="32"/>
  <c r="AC21" i="32" s="1"/>
  <c r="AE21" i="32" s="1"/>
  <c r="Z28" i="32"/>
  <c r="AC28" i="32" s="1"/>
  <c r="AE28" i="32" s="1"/>
  <c r="Z94" i="32"/>
  <c r="AC94" i="32" s="1"/>
  <c r="AE94" i="32" s="1"/>
  <c r="Z46" i="33"/>
  <c r="AC46" i="33" s="1"/>
  <c r="AE46" i="33" s="1"/>
  <c r="Z14" i="35"/>
  <c r="AC14" i="35" s="1"/>
  <c r="AE14" i="35" s="1"/>
  <c r="Z30" i="35"/>
  <c r="AC30" i="35" s="1"/>
  <c r="AE30" i="35" s="1"/>
  <c r="Z81" i="36"/>
  <c r="AC81" i="36" s="1"/>
  <c r="AE81" i="36" s="1"/>
  <c r="Z97" i="36"/>
  <c r="AC97" i="36" s="1"/>
  <c r="AE97" i="36" s="1"/>
  <c r="Z54" i="37"/>
  <c r="AC54" i="37" s="1"/>
  <c r="AE54" i="37" s="1"/>
  <c r="Z31" i="39"/>
  <c r="AC31" i="39" s="1"/>
  <c r="AE31" i="39" s="1"/>
  <c r="Z58" i="41"/>
  <c r="AC58" i="41" s="1"/>
  <c r="AE58" i="41" s="1"/>
  <c r="Z90" i="41"/>
  <c r="AC90" i="41" s="1"/>
  <c r="AE90" i="41" s="1"/>
  <c r="Z72" i="42"/>
  <c r="AC72" i="42" s="1"/>
  <c r="AE72" i="42" s="1"/>
  <c r="Z82" i="46"/>
  <c r="AC82" i="46" s="1"/>
  <c r="AE82" i="46" s="1"/>
  <c r="Z37" i="47"/>
  <c r="AC37" i="47" s="1"/>
  <c r="AE37" i="47" s="1"/>
  <c r="Z46" i="47"/>
  <c r="AC46" i="47" s="1"/>
  <c r="AE46" i="47" s="1"/>
  <c r="Z22" i="48"/>
  <c r="AC22" i="48" s="1"/>
  <c r="AE22" i="48" s="1"/>
  <c r="Z25" i="49"/>
  <c r="AC25" i="49" s="1"/>
  <c r="AE25" i="49" s="1"/>
  <c r="Z57" i="49"/>
  <c r="AC57" i="49" s="1"/>
  <c r="AE57" i="49" s="1"/>
  <c r="Z14" i="50"/>
  <c r="AC14" i="50" s="1"/>
  <c r="AE14" i="50" s="1"/>
  <c r="Z26" i="50"/>
  <c r="AC26" i="50" s="1"/>
  <c r="AE26" i="50" s="1"/>
  <c r="Z43" i="52"/>
  <c r="AC43" i="52" s="1"/>
  <c r="AE43" i="52" s="1"/>
  <c r="Z46" i="52"/>
  <c r="AC46" i="52" s="1"/>
  <c r="AE46" i="52" s="1"/>
  <c r="Z62" i="52"/>
  <c r="AC62" i="52" s="1"/>
  <c r="AE62" i="52" s="1"/>
  <c r="Z94" i="52"/>
  <c r="AC94" i="52" s="1"/>
  <c r="AE94" i="52" s="1"/>
  <c r="Z93" i="54"/>
  <c r="AC93" i="54" s="1"/>
  <c r="AE93" i="54" s="1"/>
  <c r="Z63" i="36"/>
  <c r="AC63" i="36" s="1"/>
  <c r="AE63" i="36" s="1"/>
  <c r="Z22" i="37"/>
  <c r="AC22" i="37" s="1"/>
  <c r="AE22" i="37" s="1"/>
  <c r="Z57" i="37"/>
  <c r="AC57" i="37" s="1"/>
  <c r="AE57" i="37" s="1"/>
  <c r="Z21" i="38"/>
  <c r="AC21" i="38" s="1"/>
  <c r="AE21" i="38" s="1"/>
  <c r="Z28" i="38"/>
  <c r="AC28" i="38" s="1"/>
  <c r="AE28" i="38" s="1"/>
  <c r="Z30" i="38"/>
  <c r="AC30" i="38" s="1"/>
  <c r="AE30" i="38" s="1"/>
  <c r="Z37" i="38"/>
  <c r="AC37" i="38" s="1"/>
  <c r="AE37" i="38" s="1"/>
  <c r="Z69" i="38"/>
  <c r="AC69" i="38" s="1"/>
  <c r="AE69" i="38" s="1"/>
  <c r="Z76" i="38"/>
  <c r="AC76" i="38" s="1"/>
  <c r="AE76" i="38" s="1"/>
  <c r="Z54" i="39"/>
  <c r="AC54" i="39" s="1"/>
  <c r="AE54" i="39" s="1"/>
  <c r="Z74" i="44"/>
  <c r="AC74" i="44" s="1"/>
  <c r="AE74" i="44" s="1"/>
  <c r="Z90" i="44"/>
  <c r="AC90" i="44" s="1"/>
  <c r="AE90" i="44" s="1"/>
  <c r="Z84" i="45"/>
  <c r="AC84" i="45" s="1"/>
  <c r="AE84" i="45" s="1"/>
  <c r="Z14" i="46"/>
  <c r="AC14" i="46" s="1"/>
  <c r="AE14" i="46" s="1"/>
  <c r="Z27" i="46"/>
  <c r="AC27" i="46" s="1"/>
  <c r="AE27" i="46" s="1"/>
  <c r="Z30" i="46"/>
  <c r="AC30" i="46" s="1"/>
  <c r="AE30" i="46" s="1"/>
  <c r="Z39" i="46"/>
  <c r="AC39" i="46" s="1"/>
  <c r="AE39" i="46" s="1"/>
  <c r="Z4" i="48"/>
  <c r="AC4" i="48" s="1"/>
  <c r="Z70" i="48"/>
  <c r="AC70" i="48" s="1"/>
  <c r="AE70" i="48" s="1"/>
  <c r="Z96" i="52"/>
  <c r="AC96" i="52" s="1"/>
  <c r="AE96" i="52" s="1"/>
  <c r="Z27" i="54"/>
  <c r="AC27" i="54" s="1"/>
  <c r="AE27" i="54" s="1"/>
  <c r="Z78" i="28"/>
  <c r="AC78" i="28" s="1"/>
  <c r="AE78" i="28" s="1"/>
  <c r="Z61" i="30"/>
  <c r="AC61" i="30" s="1"/>
  <c r="AE61" i="30" s="1"/>
  <c r="Z23" i="31"/>
  <c r="AC23" i="31" s="1"/>
  <c r="AE23" i="31" s="1"/>
  <c r="Z6" i="26"/>
  <c r="AC6" i="26" s="1"/>
  <c r="AE6" i="26" s="1"/>
  <c r="Z86" i="26"/>
  <c r="AC86" i="26" s="1"/>
  <c r="AE86" i="26" s="1"/>
  <c r="Z22" i="29"/>
  <c r="AC22" i="29" s="1"/>
  <c r="AE22" i="29" s="1"/>
  <c r="Z38" i="29"/>
  <c r="AC38" i="29" s="1"/>
  <c r="AE38" i="29" s="1"/>
  <c r="Z57" i="34"/>
  <c r="AC57" i="34" s="1"/>
  <c r="AE57" i="34" s="1"/>
  <c r="Z5" i="40"/>
  <c r="AC5" i="40" s="1"/>
  <c r="AE5" i="40" s="1"/>
  <c r="Z21" i="40"/>
  <c r="AC21" i="40" s="1"/>
  <c r="AE21" i="40" s="1"/>
  <c r="Z53" i="40"/>
  <c r="AC53" i="40" s="1"/>
  <c r="AE53" i="40" s="1"/>
  <c r="Z69" i="40"/>
  <c r="AC69" i="40" s="1"/>
  <c r="AE69" i="40" s="1"/>
  <c r="Z85" i="40"/>
  <c r="AC85" i="40" s="1"/>
  <c r="AE85" i="40" s="1"/>
  <c r="Z31" i="41"/>
  <c r="AC31" i="41" s="1"/>
  <c r="AE31" i="41" s="1"/>
  <c r="Z82" i="42"/>
  <c r="AC82" i="42" s="1"/>
  <c r="AE82" i="42" s="1"/>
  <c r="Z19" i="44"/>
  <c r="AC19" i="44" s="1"/>
  <c r="AE19" i="44" s="1"/>
  <c r="Z35" i="44"/>
  <c r="AC35" i="44" s="1"/>
  <c r="AE35" i="44" s="1"/>
  <c r="Z38" i="44"/>
  <c r="AC38" i="44" s="1"/>
  <c r="AE38" i="44" s="1"/>
  <c r="Z47" i="44"/>
  <c r="AC47" i="44" s="1"/>
  <c r="AE47" i="44" s="1"/>
  <c r="Z18" i="45"/>
  <c r="AC18" i="45" s="1"/>
  <c r="AE18" i="45" s="1"/>
  <c r="Z34" i="45"/>
  <c r="AC34" i="45" s="1"/>
  <c r="AE34" i="45" s="1"/>
  <c r="Z55" i="46"/>
  <c r="AC55" i="46" s="1"/>
  <c r="AE55" i="46" s="1"/>
  <c r="Z33" i="47"/>
  <c r="AC33" i="47" s="1"/>
  <c r="AE33" i="47" s="1"/>
  <c r="Z42" i="47"/>
  <c r="AC42" i="47" s="1"/>
  <c r="AE42" i="47" s="1"/>
  <c r="Z88" i="48"/>
  <c r="AC88" i="48" s="1"/>
  <c r="AE88" i="48" s="1"/>
  <c r="Z25" i="51"/>
  <c r="AC25" i="51" s="1"/>
  <c r="AE25" i="51" s="1"/>
  <c r="Z14" i="52"/>
  <c r="AC14" i="52" s="1"/>
  <c r="AE14" i="52" s="1"/>
  <c r="Z47" i="53"/>
  <c r="AC47" i="53" s="1"/>
  <c r="AE47" i="53" s="1"/>
  <c r="Z79" i="53"/>
  <c r="AC79" i="53" s="1"/>
  <c r="AE79" i="53" s="1"/>
  <c r="Z25" i="54"/>
  <c r="AC25" i="54" s="1"/>
  <c r="AE25" i="54" s="1"/>
  <c r="Z98" i="54"/>
  <c r="AC98" i="54" s="1"/>
  <c r="AE98" i="54" s="1"/>
  <c r="Z31" i="26"/>
  <c r="AC31" i="26" s="1"/>
  <c r="AE31" i="26" s="1"/>
  <c r="Z80" i="28"/>
  <c r="AC80" i="28" s="1"/>
  <c r="AE80" i="28" s="1"/>
  <c r="Z10" i="32"/>
  <c r="AC10" i="32" s="1"/>
  <c r="AE10" i="32" s="1"/>
  <c r="Z85" i="32"/>
  <c r="AC85" i="32" s="1"/>
  <c r="AE85" i="32" s="1"/>
  <c r="Z22" i="33"/>
  <c r="AC22" i="33" s="1"/>
  <c r="AE22" i="33" s="1"/>
  <c r="Z29" i="33"/>
  <c r="AC29" i="33" s="1"/>
  <c r="AE29" i="33" s="1"/>
  <c r="Z38" i="33"/>
  <c r="AC38" i="33" s="1"/>
  <c r="AE38" i="33" s="1"/>
  <c r="Z70" i="33"/>
  <c r="AC70" i="33" s="1"/>
  <c r="AE70" i="33" s="1"/>
  <c r="Z5" i="35"/>
  <c r="AC5" i="35" s="1"/>
  <c r="AE5" i="35" s="1"/>
  <c r="Z22" i="26"/>
  <c r="AC22" i="26" s="1"/>
  <c r="AE22" i="26" s="1"/>
  <c r="Z69" i="28"/>
  <c r="AC69" i="28" s="1"/>
  <c r="AE69" i="28" s="1"/>
  <c r="Z68" i="30"/>
  <c r="AC68" i="30" s="1"/>
  <c r="AE68" i="30" s="1"/>
  <c r="Z30" i="31"/>
  <c r="AC30" i="31" s="1"/>
  <c r="AE30" i="31" s="1"/>
  <c r="Z86" i="33"/>
  <c r="AC86" i="33" s="1"/>
  <c r="AE86" i="33" s="1"/>
  <c r="Z82" i="34"/>
  <c r="AC82" i="34" s="1"/>
  <c r="AE82" i="34" s="1"/>
  <c r="Z19" i="38"/>
  <c r="AC19" i="38" s="1"/>
  <c r="AE19" i="38" s="1"/>
  <c r="Z6" i="39"/>
  <c r="AC6" i="39" s="1"/>
  <c r="AE6" i="39" s="1"/>
  <c r="Z37" i="40"/>
  <c r="AC37" i="40" s="1"/>
  <c r="AE37" i="40" s="1"/>
  <c r="Z62" i="28"/>
  <c r="AC62" i="28" s="1"/>
  <c r="AE62" i="28" s="1"/>
  <c r="Z74" i="32"/>
  <c r="AC74" i="32" s="1"/>
  <c r="AE74" i="32" s="1"/>
  <c r="Z26" i="35"/>
  <c r="AC26" i="35" s="1"/>
  <c r="AE26" i="35" s="1"/>
  <c r="Z29" i="36"/>
  <c r="AC29" i="36" s="1"/>
  <c r="AE29" i="36" s="1"/>
  <c r="Z36" i="36"/>
  <c r="AC36" i="36" s="1"/>
  <c r="AE36" i="36" s="1"/>
  <c r="Z45" i="36"/>
  <c r="AC45" i="36" s="1"/>
  <c r="AE45" i="36" s="1"/>
  <c r="Z52" i="36"/>
  <c r="AC52" i="36" s="1"/>
  <c r="AE52" i="36" s="1"/>
  <c r="Z30" i="37"/>
  <c r="AC30" i="37" s="1"/>
  <c r="AE30" i="37" s="1"/>
  <c r="Z26" i="38"/>
  <c r="AC26" i="38" s="1"/>
  <c r="AE26" i="38" s="1"/>
  <c r="Z38" i="39"/>
  <c r="AC38" i="39" s="1"/>
  <c r="AE38" i="39" s="1"/>
  <c r="Z39" i="42"/>
  <c r="AC39" i="42" s="1"/>
  <c r="AE39" i="42" s="1"/>
  <c r="Z85" i="43"/>
  <c r="AC85" i="43" s="1"/>
  <c r="AE85" i="43" s="1"/>
  <c r="Z54" i="44"/>
  <c r="AC54" i="44" s="1"/>
  <c r="AE54" i="44" s="1"/>
  <c r="Z28" i="46"/>
  <c r="AC28" i="46" s="1"/>
  <c r="AE28" i="46" s="1"/>
  <c r="Z37" i="46"/>
  <c r="AC37" i="46" s="1"/>
  <c r="AE37" i="46" s="1"/>
  <c r="Z62" i="46"/>
  <c r="AC62" i="46" s="1"/>
  <c r="AE62" i="46" s="1"/>
  <c r="Z62" i="49"/>
  <c r="AC62" i="49" s="1"/>
  <c r="AE62" i="49" s="1"/>
  <c r="Z80" i="49"/>
  <c r="AC80" i="49" s="1"/>
  <c r="AE80" i="49" s="1"/>
  <c r="Z41" i="51"/>
  <c r="AC41" i="51" s="1"/>
  <c r="AE41" i="51" s="1"/>
  <c r="Z10" i="52"/>
  <c r="AC10" i="52" s="1"/>
  <c r="AE10" i="52" s="1"/>
  <c r="Z26" i="52"/>
  <c r="AC26" i="52" s="1"/>
  <c r="AE26" i="52" s="1"/>
  <c r="Z22" i="53"/>
  <c r="AC22" i="53" s="1"/>
  <c r="AE22" i="53" s="1"/>
  <c r="Z38" i="53"/>
  <c r="AC38" i="53" s="1"/>
  <c r="AE38" i="53" s="1"/>
  <c r="Z67" i="53"/>
  <c r="AC67" i="53" s="1"/>
  <c r="AE67" i="53" s="1"/>
  <c r="Z70" i="53"/>
  <c r="AC70" i="53" s="1"/>
  <c r="AE70" i="53" s="1"/>
  <c r="Z86" i="54"/>
  <c r="AC86" i="54" s="1"/>
  <c r="AE86" i="54" s="1"/>
  <c r="Z96" i="28"/>
  <c r="AC96" i="28" s="1"/>
  <c r="AE96" i="28" s="1"/>
  <c r="Z78" i="32"/>
  <c r="AC78" i="32" s="1"/>
  <c r="AE78" i="32" s="1"/>
  <c r="Z70" i="36"/>
  <c r="AC70" i="36" s="1"/>
  <c r="AE70" i="36" s="1"/>
  <c r="Z7" i="37"/>
  <c r="AC7" i="37" s="1"/>
  <c r="AE7" i="37" s="1"/>
  <c r="Z39" i="37"/>
  <c r="AC39" i="37" s="1"/>
  <c r="AE39" i="37" s="1"/>
  <c r="Z14" i="38"/>
  <c r="AC14" i="38" s="1"/>
  <c r="AE14" i="38" s="1"/>
  <c r="Z4" i="39"/>
  <c r="AC4" i="39" s="1"/>
  <c r="Z38" i="26"/>
  <c r="AC38" i="26" s="1"/>
  <c r="AE38" i="26" s="1"/>
  <c r="Z45" i="29"/>
  <c r="AC45" i="29" s="1"/>
  <c r="AE45" i="29" s="1"/>
  <c r="Z21" i="31"/>
  <c r="AC21" i="31" s="1"/>
  <c r="AE21" i="31" s="1"/>
  <c r="Z71" i="34"/>
  <c r="AC71" i="34" s="1"/>
  <c r="AE71" i="34" s="1"/>
  <c r="Z17" i="35"/>
  <c r="AC17" i="35" s="1"/>
  <c r="AE17" i="35" s="1"/>
  <c r="Z74" i="35"/>
  <c r="AC74" i="35" s="1"/>
  <c r="AE74" i="35" s="1"/>
  <c r="Z78" i="37"/>
  <c r="AC78" i="37" s="1"/>
  <c r="AE78" i="37" s="1"/>
  <c r="Z97" i="38"/>
  <c r="AC97" i="38" s="1"/>
  <c r="AE97" i="38" s="1"/>
  <c r="Z98" i="39"/>
  <c r="AC98" i="39" s="1"/>
  <c r="AE98" i="39" s="1"/>
  <c r="Z8" i="41"/>
  <c r="AC8" i="41" s="1"/>
  <c r="AE8" i="41" s="1"/>
  <c r="Z14" i="42"/>
  <c r="AC14" i="42" s="1"/>
  <c r="AE14" i="42" s="1"/>
  <c r="Z78" i="43"/>
  <c r="AC78" i="43" s="1"/>
  <c r="AE78" i="43" s="1"/>
  <c r="Z36" i="44"/>
  <c r="AC36" i="44" s="1"/>
  <c r="AE36" i="44" s="1"/>
  <c r="Z95" i="44"/>
  <c r="AC95" i="44" s="1"/>
  <c r="AE95" i="44" s="1"/>
  <c r="Z15" i="47"/>
  <c r="AC15" i="47" s="1"/>
  <c r="AE15" i="47" s="1"/>
  <c r="Z37" i="49"/>
  <c r="AC37" i="49" s="1"/>
  <c r="AE37" i="49" s="1"/>
  <c r="Z76" i="49"/>
  <c r="AC76" i="49" s="1"/>
  <c r="AE76" i="49" s="1"/>
  <c r="Z38" i="50"/>
  <c r="AC38" i="50" s="1"/>
  <c r="AE38" i="50" s="1"/>
  <c r="Z83" i="50"/>
  <c r="AC83" i="50" s="1"/>
  <c r="AE83" i="50" s="1"/>
  <c r="Z17" i="52"/>
  <c r="AC17" i="52" s="1"/>
  <c r="AE17" i="52" s="1"/>
  <c r="Z86" i="53"/>
  <c r="AC86" i="53" s="1"/>
  <c r="AE86" i="53" s="1"/>
  <c r="Z98" i="30"/>
  <c r="AC98" i="30" s="1"/>
  <c r="AE98" i="30" s="1"/>
  <c r="Z18" i="36"/>
  <c r="AC18" i="36" s="1"/>
  <c r="AE18" i="36" s="1"/>
  <c r="Z64" i="37"/>
  <c r="AC64" i="37" s="1"/>
  <c r="AE64" i="37" s="1"/>
  <c r="Z88" i="38"/>
  <c r="AC88" i="38" s="1"/>
  <c r="AE88" i="38" s="1"/>
  <c r="Z94" i="38"/>
  <c r="AC94" i="38" s="1"/>
  <c r="AE94" i="38" s="1"/>
  <c r="Z89" i="39"/>
  <c r="AC89" i="39" s="1"/>
  <c r="AE89" i="39" s="1"/>
  <c r="Z10" i="40"/>
  <c r="AC10" i="40" s="1"/>
  <c r="AE10" i="40" s="1"/>
  <c r="Z26" i="40"/>
  <c r="AC26" i="40" s="1"/>
  <c r="AE26" i="40" s="1"/>
  <c r="Z42" i="40"/>
  <c r="AC42" i="40" s="1"/>
  <c r="AE42" i="40" s="1"/>
  <c r="Z58" i="40"/>
  <c r="AC58" i="40" s="1"/>
  <c r="AE58" i="40" s="1"/>
  <c r="Z74" i="40"/>
  <c r="AC74" i="40" s="1"/>
  <c r="AE74" i="40" s="1"/>
  <c r="Z90" i="40"/>
  <c r="AC90" i="40" s="1"/>
  <c r="AE90" i="40" s="1"/>
  <c r="Z30" i="42"/>
  <c r="AC30" i="42" s="1"/>
  <c r="AE30" i="42" s="1"/>
  <c r="Z32" i="42"/>
  <c r="AC32" i="42" s="1"/>
  <c r="AE32" i="42" s="1"/>
  <c r="Z59" i="42"/>
  <c r="AC59" i="42" s="1"/>
  <c r="AE59" i="42" s="1"/>
  <c r="Z58" i="43"/>
  <c r="AC58" i="43" s="1"/>
  <c r="AE58" i="43" s="1"/>
  <c r="Z10" i="46"/>
  <c r="AC10" i="46" s="1"/>
  <c r="AE10" i="46" s="1"/>
  <c r="Z76" i="46"/>
  <c r="AC76" i="46" s="1"/>
  <c r="AE76" i="46" s="1"/>
  <c r="Z22" i="47"/>
  <c r="AC22" i="47" s="1"/>
  <c r="AE22" i="47" s="1"/>
  <c r="Z14" i="49"/>
  <c r="AC14" i="49" s="1"/>
  <c r="AE14" i="49" s="1"/>
  <c r="Z13" i="50"/>
  <c r="AC13" i="50" s="1"/>
  <c r="AE13" i="50" s="1"/>
  <c r="Z29" i="50"/>
  <c r="AC29" i="50" s="1"/>
  <c r="AE29" i="50" s="1"/>
  <c r="Z11" i="51"/>
  <c r="AC11" i="51" s="1"/>
  <c r="AE11" i="51" s="1"/>
  <c r="Z14" i="51"/>
  <c r="AC14" i="51" s="1"/>
  <c r="AE14" i="51" s="1"/>
  <c r="Z27" i="51"/>
  <c r="AC27" i="51" s="1"/>
  <c r="AE27" i="51" s="1"/>
  <c r="Z61" i="53"/>
  <c r="AC61" i="53" s="1"/>
  <c r="AE61" i="53" s="1"/>
  <c r="Z77" i="53"/>
  <c r="AC77" i="53" s="1"/>
  <c r="AE77" i="53" s="1"/>
  <c r="Z14" i="54"/>
  <c r="AC14" i="54" s="1"/>
  <c r="AE14" i="54" s="1"/>
  <c r="Z6" i="28"/>
  <c r="AC6" i="28" s="1"/>
  <c r="AE6" i="28" s="1"/>
  <c r="Z19" i="28"/>
  <c r="AC19" i="28" s="1"/>
  <c r="AE19" i="28" s="1"/>
  <c r="Z33" i="28"/>
  <c r="AC33" i="28" s="1"/>
  <c r="AE33" i="28" s="1"/>
  <c r="Z5" i="30"/>
  <c r="AC5" i="30" s="1"/>
  <c r="AE5" i="30" s="1"/>
  <c r="Z22" i="32"/>
  <c r="AC22" i="32" s="1"/>
  <c r="AE22" i="32" s="1"/>
  <c r="Z24" i="32"/>
  <c r="AC24" i="32" s="1"/>
  <c r="AE24" i="32" s="1"/>
  <c r="Z40" i="32"/>
  <c r="AC40" i="32" s="1"/>
  <c r="AE40" i="32" s="1"/>
  <c r="Z47" i="35"/>
  <c r="AC47" i="35" s="1"/>
  <c r="AE47" i="35" s="1"/>
  <c r="Z62" i="35"/>
  <c r="AC62" i="35" s="1"/>
  <c r="AE62" i="35" s="1"/>
  <c r="Z6" i="36"/>
  <c r="AC6" i="36" s="1"/>
  <c r="AE6" i="36" s="1"/>
  <c r="Z9" i="36"/>
  <c r="AC9" i="36" s="1"/>
  <c r="AE9" i="36" s="1"/>
  <c r="Z82" i="36"/>
  <c r="AC82" i="36" s="1"/>
  <c r="AE82" i="36" s="1"/>
  <c r="Z96" i="37"/>
  <c r="AC96" i="37" s="1"/>
  <c r="AE96" i="37" s="1"/>
  <c r="Z21" i="42"/>
  <c r="AC21" i="42" s="1"/>
  <c r="AE21" i="42" s="1"/>
  <c r="Z33" i="43"/>
  <c r="AC33" i="43" s="1"/>
  <c r="AE33" i="43" s="1"/>
  <c r="Z49" i="43"/>
  <c r="AC49" i="43" s="1"/>
  <c r="AE49" i="43" s="1"/>
  <c r="Z18" i="44"/>
  <c r="AC18" i="44" s="1"/>
  <c r="AE18" i="44" s="1"/>
  <c r="Z72" i="44"/>
  <c r="AC72" i="44" s="1"/>
  <c r="AE72" i="44" s="1"/>
  <c r="Z71" i="45"/>
  <c r="AC71" i="45" s="1"/>
  <c r="AE71" i="45" s="1"/>
  <c r="Z87" i="45"/>
  <c r="AC87" i="45" s="1"/>
  <c r="AE87" i="45" s="1"/>
  <c r="Z54" i="47"/>
  <c r="AC54" i="47" s="1"/>
  <c r="AE54" i="47" s="1"/>
  <c r="Z58" i="49"/>
  <c r="AC58" i="49" s="1"/>
  <c r="AE58" i="49" s="1"/>
  <c r="Z11" i="50"/>
  <c r="AC11" i="50" s="1"/>
  <c r="AE11" i="50" s="1"/>
  <c r="Z94" i="51"/>
  <c r="AC94" i="51" s="1"/>
  <c r="AE94" i="51" s="1"/>
  <c r="Z47" i="52"/>
  <c r="AC47" i="52" s="1"/>
  <c r="AE47" i="52" s="1"/>
  <c r="Z78" i="52"/>
  <c r="AC78" i="52" s="1"/>
  <c r="AE78" i="52" s="1"/>
  <c r="I83" i="19"/>
  <c r="Z51" i="32"/>
  <c r="AC51" i="32" s="1"/>
  <c r="AE51" i="32" s="1"/>
  <c r="Z34" i="33"/>
  <c r="AC34" i="33" s="1"/>
  <c r="AE34" i="33" s="1"/>
  <c r="Z65" i="35"/>
  <c r="AC65" i="35" s="1"/>
  <c r="AE65" i="35" s="1"/>
  <c r="Z79" i="28"/>
  <c r="AC79" i="28" s="1"/>
  <c r="AE79" i="28" s="1"/>
  <c r="Z82" i="29"/>
  <c r="AC82" i="29" s="1"/>
  <c r="AE82" i="29" s="1"/>
  <c r="Z94" i="31"/>
  <c r="AC94" i="31" s="1"/>
  <c r="AE94" i="31" s="1"/>
  <c r="Z89" i="33"/>
  <c r="AC89" i="33" s="1"/>
  <c r="AE89" i="33" s="1"/>
  <c r="Z60" i="34"/>
  <c r="AC60" i="34" s="1"/>
  <c r="AE60" i="34" s="1"/>
  <c r="Z6" i="35"/>
  <c r="AC6" i="35" s="1"/>
  <c r="AE6" i="35" s="1"/>
  <c r="Z35" i="35"/>
  <c r="AC35" i="35" s="1"/>
  <c r="AE35" i="35" s="1"/>
  <c r="Z38" i="35"/>
  <c r="AC38" i="35" s="1"/>
  <c r="AE38" i="35" s="1"/>
  <c r="Z95" i="35"/>
  <c r="AC95" i="35" s="1"/>
  <c r="AE95" i="35" s="1"/>
  <c r="Z73" i="36"/>
  <c r="AC73" i="36" s="1"/>
  <c r="AE73" i="36" s="1"/>
  <c r="Z67" i="38"/>
  <c r="AC67" i="38" s="1"/>
  <c r="AE67" i="38" s="1"/>
  <c r="Z70" i="38"/>
  <c r="AC70" i="38" s="1"/>
  <c r="AE70" i="38" s="1"/>
  <c r="Z39" i="39"/>
  <c r="AC39" i="39" s="1"/>
  <c r="AE39" i="39" s="1"/>
  <c r="Z55" i="39"/>
  <c r="AC55" i="39" s="1"/>
  <c r="AE55" i="39" s="1"/>
  <c r="Z71" i="39"/>
  <c r="AC71" i="39" s="1"/>
  <c r="AE71" i="39" s="1"/>
  <c r="Z66" i="41"/>
  <c r="AC66" i="41" s="1"/>
  <c r="AE66" i="41" s="1"/>
  <c r="Z82" i="41"/>
  <c r="AC82" i="41" s="1"/>
  <c r="AE82" i="41" s="1"/>
  <c r="Z96" i="42"/>
  <c r="AC96" i="42" s="1"/>
  <c r="AE96" i="42" s="1"/>
  <c r="Z30" i="43"/>
  <c r="AC30" i="43" s="1"/>
  <c r="AE30" i="43" s="1"/>
  <c r="Z43" i="45"/>
  <c r="AC43" i="45" s="1"/>
  <c r="AE43" i="45" s="1"/>
  <c r="Z59" i="45"/>
  <c r="AC59" i="45" s="1"/>
  <c r="AE59" i="45" s="1"/>
  <c r="Z78" i="45"/>
  <c r="AC78" i="45" s="1"/>
  <c r="AE78" i="45" s="1"/>
  <c r="Z94" i="45"/>
  <c r="AC94" i="45" s="1"/>
  <c r="AE94" i="45" s="1"/>
  <c r="Z49" i="46"/>
  <c r="AC49" i="46" s="1"/>
  <c r="AE49" i="46" s="1"/>
  <c r="Z58" i="46"/>
  <c r="AC58" i="46" s="1"/>
  <c r="AE58" i="46" s="1"/>
  <c r="Z40" i="47"/>
  <c r="AC40" i="47" s="1"/>
  <c r="AE40" i="47" s="1"/>
  <c r="Z11" i="48"/>
  <c r="AC11" i="48" s="1"/>
  <c r="AE11" i="48" s="1"/>
  <c r="Z14" i="48"/>
  <c r="AC14" i="48" s="1"/>
  <c r="AE14" i="48" s="1"/>
  <c r="Z22" i="52"/>
  <c r="AC22" i="52" s="1"/>
  <c r="AE22" i="52" s="1"/>
  <c r="Z78" i="54"/>
  <c r="AC78" i="54" s="1"/>
  <c r="AE78" i="54" s="1"/>
  <c r="AE99" i="44"/>
  <c r="AE99" i="32"/>
  <c r="Z81" i="27"/>
  <c r="AC81" i="27" s="1"/>
  <c r="AE81" i="27" s="1"/>
  <c r="U55" i="19"/>
  <c r="I95" i="19"/>
  <c r="X93" i="19"/>
  <c r="U79" i="19"/>
  <c r="I79" i="19"/>
  <c r="X77" i="19"/>
  <c r="L77" i="19"/>
  <c r="U75" i="19"/>
  <c r="X73" i="19"/>
  <c r="R73" i="19"/>
  <c r="L73" i="19"/>
  <c r="U71" i="19"/>
  <c r="R57" i="19"/>
  <c r="L57" i="19"/>
  <c r="I55" i="19"/>
  <c r="X53" i="19"/>
  <c r="L53" i="19"/>
  <c r="U51" i="19"/>
  <c r="O51" i="19"/>
  <c r="X49" i="19"/>
  <c r="R49" i="19"/>
  <c r="L49" i="19"/>
  <c r="U47" i="19"/>
  <c r="X45" i="19"/>
  <c r="U43" i="19"/>
  <c r="O43" i="19"/>
  <c r="X41" i="19"/>
  <c r="R41" i="19"/>
  <c r="U39" i="19"/>
  <c r="L37" i="19"/>
  <c r="R33" i="19"/>
  <c r="I31" i="19"/>
  <c r="X29" i="19"/>
  <c r="O27" i="19"/>
  <c r="X25" i="19"/>
  <c r="R25" i="19"/>
  <c r="L25" i="19"/>
  <c r="U23" i="19"/>
  <c r="X21" i="19"/>
  <c r="R21" i="19"/>
  <c r="U19" i="19"/>
  <c r="O19" i="19"/>
  <c r="I19" i="19"/>
  <c r="X17" i="19"/>
  <c r="R17" i="19"/>
  <c r="L17" i="19"/>
  <c r="U15" i="19"/>
  <c r="O15" i="19"/>
  <c r="I15" i="19"/>
  <c r="X13" i="19"/>
  <c r="R13" i="19"/>
  <c r="L13" i="19"/>
  <c r="U11" i="19"/>
  <c r="I71" i="19"/>
  <c r="U67" i="19"/>
  <c r="I67" i="19"/>
  <c r="X65" i="19"/>
  <c r="R65" i="19"/>
  <c r="U63" i="19"/>
  <c r="X61" i="19"/>
  <c r="R61" i="19"/>
  <c r="L61" i="19"/>
  <c r="U59" i="19"/>
  <c r="O59" i="19"/>
  <c r="X57" i="19"/>
  <c r="O11" i="19"/>
  <c r="X9" i="19"/>
  <c r="U7" i="19"/>
  <c r="F4" i="19"/>
  <c r="F20" i="19"/>
  <c r="F12" i="19"/>
  <c r="R97" i="19"/>
  <c r="F16" i="19"/>
  <c r="F18" i="19"/>
  <c r="F14" i="19"/>
  <c r="F10" i="19"/>
  <c r="I97" i="19"/>
  <c r="O93" i="19"/>
  <c r="U89" i="19"/>
  <c r="L87" i="19"/>
  <c r="X83" i="19"/>
  <c r="R83" i="19"/>
  <c r="L83" i="19"/>
  <c r="O81" i="19"/>
  <c r="I81" i="19"/>
  <c r="X79" i="19"/>
  <c r="U77" i="19"/>
  <c r="O77" i="19"/>
  <c r="I77" i="19"/>
  <c r="X75" i="19"/>
  <c r="L75" i="19"/>
  <c r="U73" i="19"/>
  <c r="R71" i="19"/>
  <c r="L71" i="19"/>
  <c r="U69" i="19"/>
  <c r="X67" i="19"/>
  <c r="R67" i="19"/>
  <c r="L67" i="19"/>
  <c r="O65" i="19"/>
  <c r="I65" i="19"/>
  <c r="X63" i="19"/>
  <c r="U61" i="19"/>
  <c r="O61" i="19"/>
  <c r="X59" i="19"/>
  <c r="U57" i="19"/>
  <c r="R55" i="19"/>
  <c r="L55" i="19"/>
  <c r="U53" i="19"/>
  <c r="I53" i="19"/>
  <c r="X19" i="19"/>
  <c r="R19" i="19"/>
  <c r="L19" i="19"/>
  <c r="O17" i="19"/>
  <c r="I17" i="19"/>
  <c r="U13" i="19"/>
  <c r="X11" i="19"/>
  <c r="L11" i="19"/>
  <c r="U9" i="19"/>
  <c r="O9" i="19"/>
  <c r="U5" i="19"/>
  <c r="L59" i="19"/>
  <c r="O13" i="19"/>
  <c r="X15" i="19"/>
  <c r="R15" i="19"/>
  <c r="X4" i="19"/>
  <c r="R4" i="19"/>
  <c r="L4" i="19"/>
  <c r="F94" i="19"/>
  <c r="F82" i="19"/>
  <c r="F62" i="19"/>
  <c r="F42" i="19"/>
  <c r="O91" i="19"/>
  <c r="I90" i="19"/>
  <c r="L80" i="19"/>
  <c r="O75" i="19"/>
  <c r="I75" i="19"/>
  <c r="X69" i="19"/>
  <c r="R69" i="19"/>
  <c r="L69" i="19"/>
  <c r="O67" i="19"/>
  <c r="O66" i="19"/>
  <c r="I63" i="19"/>
  <c r="O47" i="19"/>
  <c r="I47" i="19"/>
  <c r="R45" i="19"/>
  <c r="L45" i="19"/>
  <c r="X40" i="19"/>
  <c r="O38" i="19"/>
  <c r="R28" i="19"/>
  <c r="L21" i="19"/>
  <c r="R9" i="19"/>
  <c r="L9" i="19"/>
  <c r="X5" i="19"/>
  <c r="R5" i="19"/>
  <c r="L79" i="19"/>
  <c r="F66" i="19"/>
  <c r="F46" i="19"/>
  <c r="R51" i="19"/>
  <c r="L51" i="19"/>
  <c r="O49" i="19"/>
  <c r="I49" i="19"/>
  <c r="X47" i="19"/>
  <c r="R47" i="19"/>
  <c r="U45" i="19"/>
  <c r="O45" i="19"/>
  <c r="X43" i="19"/>
  <c r="L43" i="19"/>
  <c r="U41" i="19"/>
  <c r="O41" i="19"/>
  <c r="R35" i="19"/>
  <c r="I33" i="19"/>
  <c r="F78" i="19"/>
  <c r="F58" i="19"/>
  <c r="F50" i="19"/>
  <c r="F26" i="19"/>
  <c r="F81" i="19"/>
  <c r="F73" i="19"/>
  <c r="F65" i="19"/>
  <c r="F57" i="19"/>
  <c r="F49" i="19"/>
  <c r="F45" i="19"/>
  <c r="F41" i="19"/>
  <c r="F33" i="19"/>
  <c r="F25" i="19"/>
  <c r="F17" i="19"/>
  <c r="F13" i="19"/>
  <c r="F9" i="19"/>
  <c r="R82" i="19"/>
  <c r="U80" i="19"/>
  <c r="I80" i="19"/>
  <c r="X78" i="19"/>
  <c r="L78" i="19"/>
  <c r="O76" i="19"/>
  <c r="X74" i="19"/>
  <c r="R74" i="19"/>
  <c r="U72" i="19"/>
  <c r="X70" i="19"/>
  <c r="L70" i="19"/>
  <c r="U68" i="19"/>
  <c r="O68" i="19"/>
  <c r="U64" i="19"/>
  <c r="I64" i="19"/>
  <c r="X62" i="19"/>
  <c r="R62" i="19"/>
  <c r="L62" i="19"/>
  <c r="O60" i="19"/>
  <c r="I60" i="19"/>
  <c r="X58" i="19"/>
  <c r="R58" i="19"/>
  <c r="U56" i="19"/>
  <c r="O56" i="19"/>
  <c r="I56" i="19"/>
  <c r="X54" i="19"/>
  <c r="L54" i="19"/>
  <c r="U52" i="19"/>
  <c r="O52" i="19"/>
  <c r="R50" i="19"/>
  <c r="L50" i="19"/>
  <c r="U48" i="19"/>
  <c r="I48" i="19"/>
  <c r="X46" i="19"/>
  <c r="R46" i="19"/>
  <c r="L46" i="19"/>
  <c r="O44" i="19"/>
  <c r="I44" i="19"/>
  <c r="X42" i="19"/>
  <c r="R42" i="19"/>
  <c r="U40" i="19"/>
  <c r="I40" i="19"/>
  <c r="L38" i="19"/>
  <c r="R34" i="19"/>
  <c r="I32" i="19"/>
  <c r="X30" i="19"/>
  <c r="O28" i="19"/>
  <c r="X26" i="19"/>
  <c r="R26" i="19"/>
  <c r="U24" i="19"/>
  <c r="L22" i="19"/>
  <c r="U20" i="19"/>
  <c r="O20" i="19"/>
  <c r="R18" i="19"/>
  <c r="L18" i="19"/>
  <c r="U16" i="19"/>
  <c r="I16" i="19"/>
  <c r="X14" i="19"/>
  <c r="R14" i="19"/>
  <c r="L14" i="19"/>
  <c r="O12" i="19"/>
  <c r="U8" i="19"/>
  <c r="U4" i="19"/>
  <c r="O4" i="19"/>
  <c r="F76" i="19"/>
  <c r="F56" i="19"/>
  <c r="F44" i="19"/>
  <c r="L5" i="19"/>
  <c r="F84" i="19"/>
  <c r="F72" i="19"/>
  <c r="F64" i="19"/>
  <c r="F52" i="19"/>
  <c r="F40" i="19"/>
  <c r="F79" i="19"/>
  <c r="F75" i="19"/>
  <c r="F71" i="19"/>
  <c r="F63" i="19"/>
  <c r="F59" i="19"/>
  <c r="F47" i="19"/>
  <c r="F43" i="19"/>
  <c r="F27" i="19"/>
  <c r="F15" i="19"/>
  <c r="F11" i="19"/>
  <c r="F54" i="19"/>
  <c r="O82" i="19"/>
  <c r="I82" i="19"/>
  <c r="X80" i="19"/>
  <c r="R80" i="19"/>
  <c r="U78" i="19"/>
  <c r="O78" i="19"/>
  <c r="I78" i="19"/>
  <c r="X76" i="19"/>
  <c r="L76" i="19"/>
  <c r="U74" i="19"/>
  <c r="O74" i="19"/>
  <c r="R72" i="19"/>
  <c r="L72" i="19"/>
  <c r="U70" i="19"/>
  <c r="I70" i="19"/>
  <c r="X68" i="19"/>
  <c r="R68" i="19"/>
  <c r="L68" i="19"/>
  <c r="I66" i="19"/>
  <c r="X64" i="19"/>
  <c r="R64" i="19"/>
  <c r="U62" i="19"/>
  <c r="O62" i="19"/>
  <c r="I62" i="19"/>
  <c r="X60" i="19"/>
  <c r="L60" i="19"/>
  <c r="U58" i="19"/>
  <c r="O58" i="19"/>
  <c r="R56" i="19"/>
  <c r="L56" i="19"/>
  <c r="U54" i="19"/>
  <c r="I54" i="19"/>
  <c r="X52" i="19"/>
  <c r="R52" i="19"/>
  <c r="L52" i="19"/>
  <c r="O50" i="19"/>
  <c r="I50" i="19"/>
  <c r="X48" i="19"/>
  <c r="R48" i="19"/>
  <c r="U46" i="19"/>
  <c r="O46" i="19"/>
  <c r="I46" i="19"/>
  <c r="X44" i="19"/>
  <c r="L44" i="19"/>
  <c r="U42" i="19"/>
  <c r="O42" i="19"/>
  <c r="L40" i="19"/>
  <c r="R36" i="19"/>
  <c r="I34" i="19"/>
  <c r="X32" i="19"/>
  <c r="R32" i="19"/>
  <c r="O30" i="19"/>
  <c r="U26" i="19"/>
  <c r="O26" i="19"/>
  <c r="X20" i="19"/>
  <c r="R20" i="19"/>
  <c r="L20" i="19"/>
  <c r="O18" i="19"/>
  <c r="I18" i="19"/>
  <c r="X16" i="19"/>
  <c r="R16" i="19"/>
  <c r="U14" i="19"/>
  <c r="O14" i="19"/>
  <c r="I14" i="19"/>
  <c r="X12" i="19"/>
  <c r="L12" i="19"/>
  <c r="U10" i="19"/>
  <c r="O10" i="19"/>
  <c r="L8" i="19"/>
  <c r="F68" i="19"/>
  <c r="F60" i="19"/>
  <c r="F48" i="19"/>
  <c r="F36" i="19"/>
  <c r="X95" i="19"/>
  <c r="R79" i="19"/>
  <c r="I69" i="19"/>
  <c r="X66" i="19"/>
  <c r="R66" i="19"/>
  <c r="X51" i="19"/>
  <c r="L30" i="19"/>
  <c r="X27" i="19"/>
  <c r="I5" i="19"/>
  <c r="L81" i="19"/>
  <c r="U35" i="19"/>
  <c r="X10" i="19"/>
  <c r="R10" i="19"/>
  <c r="L6" i="19"/>
  <c r="F95" i="19"/>
  <c r="F87" i="19"/>
  <c r="O98" i="19"/>
  <c r="R96" i="19"/>
  <c r="U94" i="19"/>
  <c r="I94" i="19"/>
  <c r="L92" i="19"/>
  <c r="R88" i="19"/>
  <c r="I86" i="19"/>
  <c r="X84" i="19"/>
  <c r="F97" i="19"/>
  <c r="F89" i="19"/>
  <c r="R98" i="19"/>
  <c r="U96" i="19"/>
  <c r="I96" i="19"/>
  <c r="X94" i="19"/>
  <c r="L94" i="19"/>
  <c r="O92" i="19"/>
  <c r="U88" i="19"/>
  <c r="I88" i="19"/>
  <c r="O87" i="19"/>
  <c r="X86" i="19"/>
  <c r="L86" i="19"/>
  <c r="F23" i="19"/>
  <c r="L24" i="19"/>
  <c r="U22" i="19"/>
  <c r="U25" i="19"/>
  <c r="U21" i="19"/>
  <c r="I21" i="19"/>
  <c r="O23" i="19"/>
  <c r="R78" i="19"/>
  <c r="R77" i="19"/>
  <c r="U29" i="19"/>
  <c r="L27" i="19"/>
  <c r="F28" i="19"/>
  <c r="L29" i="19"/>
  <c r="F31" i="19"/>
  <c r="U30" i="19"/>
  <c r="L28" i="19"/>
  <c r="F30" i="19"/>
  <c r="X31" i="19"/>
  <c r="O29" i="19"/>
  <c r="O31" i="19"/>
  <c r="U27" i="19"/>
  <c r="I30" i="19"/>
  <c r="X28" i="19"/>
  <c r="Z30" i="27"/>
  <c r="AC30" i="27" s="1"/>
  <c r="AE30" i="27" s="1"/>
  <c r="R8" i="19"/>
  <c r="O8" i="19"/>
  <c r="I6" i="19"/>
  <c r="I7" i="19"/>
  <c r="O7" i="19"/>
  <c r="I8" i="19"/>
  <c r="X6" i="19"/>
  <c r="F8" i="19"/>
  <c r="Z7" i="27"/>
  <c r="AC7" i="27" s="1"/>
  <c r="AE7" i="27" s="1"/>
  <c r="U6" i="19"/>
  <c r="R23" i="19"/>
  <c r="R24" i="19"/>
  <c r="L23" i="19"/>
  <c r="O24" i="19"/>
  <c r="I23" i="19"/>
  <c r="F24" i="19"/>
  <c r="Z22" i="27"/>
  <c r="AC22" i="27" s="1"/>
  <c r="AE22" i="27" s="1"/>
  <c r="I24" i="19"/>
  <c r="X22" i="19"/>
  <c r="F34" i="19"/>
  <c r="R39" i="19"/>
  <c r="I37" i="19"/>
  <c r="X35" i="19"/>
  <c r="O33" i="19"/>
  <c r="R40" i="19"/>
  <c r="I38" i="19"/>
  <c r="X36" i="19"/>
  <c r="O34" i="19"/>
  <c r="L34" i="19"/>
  <c r="I39" i="19"/>
  <c r="X37" i="19"/>
  <c r="Z34" i="27"/>
  <c r="AC34" i="27" s="1"/>
  <c r="AE34" i="27" s="1"/>
  <c r="F39" i="19"/>
  <c r="U38" i="19"/>
  <c r="F98" i="19"/>
  <c r="O97" i="19"/>
  <c r="U93" i="19"/>
  <c r="L91" i="19"/>
  <c r="R87" i="19"/>
  <c r="I85" i="19"/>
  <c r="Z90" i="27"/>
  <c r="AC90" i="27" s="1"/>
  <c r="AE90" i="27" s="1"/>
  <c r="I91" i="19"/>
  <c r="X89" i="19"/>
  <c r="Z94" i="27"/>
  <c r="AC94" i="27" s="1"/>
  <c r="AE94" i="27" s="1"/>
  <c r="Z97" i="27"/>
  <c r="AC97" i="27" s="1"/>
  <c r="AE97" i="27" s="1"/>
  <c r="F91" i="19"/>
  <c r="I98" i="19"/>
  <c r="X96" i="19"/>
  <c r="O94" i="19"/>
  <c r="U90" i="19"/>
  <c r="L88" i="19"/>
  <c r="U85" i="19"/>
  <c r="R84" i="19"/>
  <c r="F92" i="19"/>
  <c r="I87" i="19"/>
  <c r="R90" i="19"/>
  <c r="F88" i="19"/>
  <c r="X97" i="19"/>
  <c r="U91" i="19"/>
  <c r="R85" i="19"/>
  <c r="X92" i="19"/>
  <c r="I92" i="19"/>
  <c r="U95" i="19"/>
  <c r="L93" i="19"/>
  <c r="R89" i="19"/>
  <c r="X85" i="19"/>
  <c r="Z63" i="27"/>
  <c r="AC63" i="27" s="1"/>
  <c r="AE63" i="27" s="1"/>
  <c r="Z25" i="27"/>
  <c r="AC25" i="27" s="1"/>
  <c r="AE25" i="27" s="1"/>
  <c r="Z46" i="27"/>
  <c r="AC46" i="27" s="1"/>
  <c r="AE46" i="27" s="1"/>
  <c r="Z70" i="27"/>
  <c r="AC70" i="27" s="1"/>
  <c r="AE70" i="27" s="1"/>
  <c r="Z78" i="27"/>
  <c r="AC78" i="27" s="1"/>
  <c r="AE78" i="27" s="1"/>
  <c r="Z53" i="27"/>
  <c r="AC53" i="27" s="1"/>
  <c r="AE53" i="27" s="1"/>
  <c r="Z59" i="29"/>
  <c r="AC59" i="29" s="1"/>
  <c r="AE59" i="29" s="1"/>
  <c r="Z53" i="29"/>
  <c r="AC53" i="29" s="1"/>
  <c r="AE53" i="29" s="1"/>
  <c r="Z51" i="31"/>
  <c r="AC51" i="31" s="1"/>
  <c r="AE51" i="31" s="1"/>
  <c r="Z35" i="33"/>
  <c r="AC35" i="33" s="1"/>
  <c r="AE35" i="33" s="1"/>
  <c r="Z51" i="35"/>
  <c r="AC51" i="35" s="1"/>
  <c r="AE51" i="35" s="1"/>
  <c r="Z67" i="27"/>
  <c r="AC67" i="27" s="1"/>
  <c r="AE67" i="27" s="1"/>
  <c r="Z88" i="28"/>
  <c r="AC88" i="28" s="1"/>
  <c r="AE88" i="28" s="1"/>
  <c r="Z13" i="31"/>
  <c r="AC13" i="31" s="1"/>
  <c r="AE13" i="31" s="1"/>
  <c r="Z80" i="30"/>
  <c r="AC80" i="30" s="1"/>
  <c r="AE80" i="30" s="1"/>
  <c r="Z40" i="31"/>
  <c r="AC40" i="31" s="1"/>
  <c r="AE40" i="31" s="1"/>
  <c r="Z37" i="32"/>
  <c r="AC37" i="32" s="1"/>
  <c r="AE37" i="32" s="1"/>
  <c r="Z24" i="33"/>
  <c r="AC24" i="33" s="1"/>
  <c r="AE24" i="33" s="1"/>
  <c r="Z13" i="26"/>
  <c r="AC13" i="26" s="1"/>
  <c r="AE13" i="26" s="1"/>
  <c r="Z20" i="26"/>
  <c r="AC20" i="26" s="1"/>
  <c r="AE20" i="26" s="1"/>
  <c r="Z24" i="26"/>
  <c r="AC24" i="26" s="1"/>
  <c r="AE24" i="26" s="1"/>
  <c r="Z35" i="26"/>
  <c r="AC35" i="26" s="1"/>
  <c r="AE35" i="26" s="1"/>
  <c r="Z23" i="27"/>
  <c r="AC23" i="27" s="1"/>
  <c r="AE23" i="27" s="1"/>
  <c r="Z41" i="27"/>
  <c r="AC41" i="27" s="1"/>
  <c r="AE41" i="27" s="1"/>
  <c r="Z50" i="27"/>
  <c r="AC50" i="27" s="1"/>
  <c r="AE50" i="27" s="1"/>
  <c r="Z68" i="27"/>
  <c r="AC68" i="27" s="1"/>
  <c r="AE68" i="27" s="1"/>
  <c r="Z72" i="27"/>
  <c r="AC72" i="27" s="1"/>
  <c r="AE72" i="27" s="1"/>
  <c r="Z83" i="27"/>
  <c r="AC83" i="27" s="1"/>
  <c r="AE83" i="27" s="1"/>
  <c r="Z21" i="28"/>
  <c r="AC21" i="28" s="1"/>
  <c r="AE21" i="28" s="1"/>
  <c r="Z39" i="28"/>
  <c r="AC39" i="28" s="1"/>
  <c r="AE39" i="28" s="1"/>
  <c r="Z57" i="28"/>
  <c r="AC57" i="28" s="1"/>
  <c r="AE57" i="28" s="1"/>
  <c r="Z66" i="28"/>
  <c r="AC66" i="28" s="1"/>
  <c r="AE66" i="28" s="1"/>
  <c r="Z58" i="30"/>
  <c r="AC58" i="30" s="1"/>
  <c r="AE58" i="30" s="1"/>
  <c r="Z69" i="30"/>
  <c r="AC69" i="30" s="1"/>
  <c r="AE69" i="30" s="1"/>
  <c r="Z76" i="30"/>
  <c r="AC76" i="30" s="1"/>
  <c r="AE76" i="30" s="1"/>
  <c r="Z18" i="31"/>
  <c r="AC18" i="31" s="1"/>
  <c r="AE18" i="31" s="1"/>
  <c r="Z56" i="31"/>
  <c r="AC56" i="31" s="1"/>
  <c r="AE56" i="31" s="1"/>
  <c r="Z67" i="31"/>
  <c r="AC67" i="31" s="1"/>
  <c r="AE67" i="31" s="1"/>
  <c r="Z70" i="31"/>
  <c r="AC70" i="31" s="1"/>
  <c r="AE70" i="31" s="1"/>
  <c r="Z20" i="33"/>
  <c r="AC20" i="33" s="1"/>
  <c r="AE20" i="33" s="1"/>
  <c r="Z54" i="33"/>
  <c r="AC54" i="33" s="1"/>
  <c r="AE54" i="33" s="1"/>
  <c r="Z30" i="34"/>
  <c r="AC30" i="34" s="1"/>
  <c r="AE30" i="34" s="1"/>
  <c r="Z43" i="34"/>
  <c r="AC43" i="34" s="1"/>
  <c r="AE43" i="34" s="1"/>
  <c r="Z46" i="34"/>
  <c r="AC46" i="34" s="1"/>
  <c r="AE46" i="34" s="1"/>
  <c r="Z40" i="35"/>
  <c r="AC40" i="35" s="1"/>
  <c r="AE40" i="35" s="1"/>
  <c r="Z63" i="35"/>
  <c r="AC63" i="35" s="1"/>
  <c r="AE63" i="35" s="1"/>
  <c r="Z11" i="37"/>
  <c r="AC11" i="37" s="1"/>
  <c r="AE11" i="37" s="1"/>
  <c r="Z14" i="37"/>
  <c r="AC14" i="37" s="1"/>
  <c r="AE14" i="37" s="1"/>
  <c r="Z23" i="37"/>
  <c r="AC23" i="37" s="1"/>
  <c r="AE23" i="37" s="1"/>
  <c r="Z48" i="29"/>
  <c r="AC48" i="29" s="1"/>
  <c r="AE48" i="29" s="1"/>
  <c r="Z29" i="26"/>
  <c r="AC29" i="26" s="1"/>
  <c r="AE29" i="26" s="1"/>
  <c r="Z97" i="26"/>
  <c r="AC97" i="26" s="1"/>
  <c r="AE97" i="26" s="1"/>
  <c r="Z77" i="27"/>
  <c r="AC77" i="27" s="1"/>
  <c r="AE77" i="27" s="1"/>
  <c r="Z95" i="27"/>
  <c r="AC95" i="27" s="1"/>
  <c r="AE95" i="27" s="1"/>
  <c r="Z10" i="28"/>
  <c r="AC10" i="28" s="1"/>
  <c r="AE10" i="28" s="1"/>
  <c r="Z28" i="28"/>
  <c r="AC28" i="28" s="1"/>
  <c r="AE28" i="28" s="1"/>
  <c r="Z32" i="28"/>
  <c r="AC32" i="28" s="1"/>
  <c r="AE32" i="28" s="1"/>
  <c r="Z43" i="28"/>
  <c r="AC43" i="28" s="1"/>
  <c r="AE43" i="28" s="1"/>
  <c r="Z73" i="28"/>
  <c r="AC73" i="28" s="1"/>
  <c r="AE73" i="28" s="1"/>
  <c r="Z82" i="28"/>
  <c r="AC82" i="28" s="1"/>
  <c r="AE82" i="28" s="1"/>
  <c r="Z98" i="28"/>
  <c r="AC98" i="28" s="1"/>
  <c r="AE98" i="28" s="1"/>
  <c r="Z4" i="29"/>
  <c r="Z19" i="29"/>
  <c r="AC19" i="29" s="1"/>
  <c r="AE19" i="29" s="1"/>
  <c r="Z47" i="30"/>
  <c r="AC47" i="30" s="1"/>
  <c r="AE47" i="30" s="1"/>
  <c r="Z9" i="31"/>
  <c r="AC9" i="31" s="1"/>
  <c r="AE9" i="31" s="1"/>
  <c r="Z25" i="31"/>
  <c r="AC25" i="31" s="1"/>
  <c r="AE25" i="31" s="1"/>
  <c r="Z34" i="31"/>
  <c r="AC34" i="31" s="1"/>
  <c r="AE34" i="31" s="1"/>
  <c r="Z52" i="31"/>
  <c r="AC52" i="31" s="1"/>
  <c r="AE52" i="31" s="1"/>
  <c r="Z72" i="31"/>
  <c r="AC72" i="31" s="1"/>
  <c r="AE72" i="31" s="1"/>
  <c r="Z83" i="31"/>
  <c r="AC83" i="31" s="1"/>
  <c r="AE83" i="31" s="1"/>
  <c r="Z91" i="32"/>
  <c r="AC91" i="32" s="1"/>
  <c r="AE91" i="32" s="1"/>
  <c r="Z11" i="33"/>
  <c r="AC11" i="33" s="1"/>
  <c r="AE11" i="33" s="1"/>
  <c r="Z62" i="34"/>
  <c r="AC62" i="34" s="1"/>
  <c r="AE62" i="34" s="1"/>
  <c r="Z18" i="35"/>
  <c r="AC18" i="35" s="1"/>
  <c r="AE18" i="35" s="1"/>
  <c r="Z86" i="35"/>
  <c r="AC86" i="35" s="1"/>
  <c r="AE86" i="35" s="1"/>
  <c r="Z74" i="36"/>
  <c r="AC74" i="36" s="1"/>
  <c r="AE74" i="36" s="1"/>
  <c r="Z94" i="36"/>
  <c r="AC94" i="36" s="1"/>
  <c r="AE94" i="36" s="1"/>
  <c r="Z16" i="37"/>
  <c r="AC16" i="37" s="1"/>
  <c r="AE16" i="37" s="1"/>
  <c r="Z27" i="37"/>
  <c r="AC27" i="37" s="1"/>
  <c r="AE27" i="37" s="1"/>
  <c r="Z61" i="27"/>
  <c r="AC61" i="27" s="1"/>
  <c r="AE61" i="27" s="1"/>
  <c r="Z27" i="28"/>
  <c r="AC27" i="28" s="1"/>
  <c r="AE27" i="28" s="1"/>
  <c r="Z54" i="26"/>
  <c r="AC54" i="26" s="1"/>
  <c r="AE54" i="26" s="1"/>
  <c r="Z79" i="26"/>
  <c r="AC79" i="26" s="1"/>
  <c r="AE79" i="26" s="1"/>
  <c r="Z12" i="27"/>
  <c r="AC12" i="27" s="1"/>
  <c r="AE12" i="27" s="1"/>
  <c r="Z16" i="27"/>
  <c r="AC16" i="27" s="1"/>
  <c r="AE16" i="27" s="1"/>
  <c r="Z27" i="27"/>
  <c r="AC27" i="27" s="1"/>
  <c r="AE27" i="27" s="1"/>
  <c r="Z18" i="26"/>
  <c r="AC18" i="26" s="1"/>
  <c r="AE18" i="26" s="1"/>
  <c r="Z36" i="26"/>
  <c r="AC36" i="26" s="1"/>
  <c r="AE36" i="26" s="1"/>
  <c r="Z40" i="26"/>
  <c r="AC40" i="26" s="1"/>
  <c r="AE40" i="26" s="1"/>
  <c r="Z56" i="26"/>
  <c r="AC56" i="26" s="1"/>
  <c r="AE56" i="26" s="1"/>
  <c r="Z21" i="27"/>
  <c r="AC21" i="27" s="1"/>
  <c r="AE21" i="27" s="1"/>
  <c r="Z39" i="27"/>
  <c r="AC39" i="27" s="1"/>
  <c r="AE39" i="27" s="1"/>
  <c r="Z57" i="27"/>
  <c r="AC57" i="27" s="1"/>
  <c r="AE57" i="27" s="1"/>
  <c r="Z66" i="27"/>
  <c r="AC66" i="27" s="1"/>
  <c r="AE66" i="27" s="1"/>
  <c r="Z84" i="27"/>
  <c r="AC84" i="27" s="1"/>
  <c r="AE84" i="27" s="1"/>
  <c r="Z88" i="27"/>
  <c r="AC88" i="27" s="1"/>
  <c r="AE88" i="27" s="1"/>
  <c r="Z37" i="28"/>
  <c r="AC37" i="28" s="1"/>
  <c r="AE37" i="28" s="1"/>
  <c r="Z55" i="28"/>
  <c r="AC55" i="28" s="1"/>
  <c r="AE55" i="28" s="1"/>
  <c r="Z89" i="28"/>
  <c r="AC89" i="28" s="1"/>
  <c r="AE89" i="28" s="1"/>
  <c r="Z9" i="30"/>
  <c r="AC9" i="30" s="1"/>
  <c r="AE9" i="30" s="1"/>
  <c r="Z29" i="30"/>
  <c r="AC29" i="30" s="1"/>
  <c r="AE29" i="30" s="1"/>
  <c r="Z36" i="30"/>
  <c r="AC36" i="30" s="1"/>
  <c r="AE36" i="30" s="1"/>
  <c r="Z65" i="30"/>
  <c r="AC65" i="30" s="1"/>
  <c r="AE65" i="30" s="1"/>
  <c r="Z74" i="30"/>
  <c r="AC74" i="30" s="1"/>
  <c r="AE74" i="30" s="1"/>
  <c r="Z92" i="30"/>
  <c r="AC92" i="30" s="1"/>
  <c r="AE92" i="30" s="1"/>
  <c r="Z96" i="30"/>
  <c r="AC96" i="30" s="1"/>
  <c r="AE96" i="30" s="1"/>
  <c r="Z68" i="31"/>
  <c r="AC68" i="31" s="1"/>
  <c r="AE68" i="31" s="1"/>
  <c r="Z77" i="31"/>
  <c r="AC77" i="31" s="1"/>
  <c r="AE77" i="31" s="1"/>
  <c r="Z95" i="31"/>
  <c r="AC95" i="31" s="1"/>
  <c r="AE95" i="31" s="1"/>
  <c r="Z76" i="32"/>
  <c r="AC76" i="32" s="1"/>
  <c r="AE76" i="32" s="1"/>
  <c r="Z80" i="32"/>
  <c r="AC80" i="32" s="1"/>
  <c r="AE80" i="32" s="1"/>
  <c r="Z9" i="33"/>
  <c r="AC9" i="33" s="1"/>
  <c r="AE9" i="33" s="1"/>
  <c r="Z52" i="33"/>
  <c r="AC52" i="33" s="1"/>
  <c r="AE52" i="33" s="1"/>
  <c r="Z68" i="33"/>
  <c r="AC68" i="33" s="1"/>
  <c r="AE68" i="33" s="1"/>
  <c r="Z72" i="33"/>
  <c r="AC72" i="33" s="1"/>
  <c r="AE72" i="33" s="1"/>
  <c r="Z77" i="33"/>
  <c r="AC77" i="33" s="1"/>
  <c r="AE77" i="33" s="1"/>
  <c r="Z83" i="33"/>
  <c r="AC83" i="33" s="1"/>
  <c r="AE83" i="33" s="1"/>
  <c r="Z65" i="36"/>
  <c r="AC65" i="36" s="1"/>
  <c r="AE65" i="36" s="1"/>
  <c r="Z90" i="36"/>
  <c r="AC90" i="36" s="1"/>
  <c r="AE90" i="36" s="1"/>
  <c r="Z5" i="37"/>
  <c r="AC5" i="37" s="1"/>
  <c r="AE5" i="37" s="1"/>
  <c r="Z12" i="37"/>
  <c r="AC12" i="37" s="1"/>
  <c r="AE12" i="37" s="1"/>
  <c r="Z19" i="39"/>
  <c r="AC19" i="39" s="1"/>
  <c r="AE19" i="39" s="1"/>
  <c r="Z22" i="39"/>
  <c r="AC22" i="39" s="1"/>
  <c r="AE22" i="39" s="1"/>
  <c r="Z31" i="44"/>
  <c r="AC31" i="44" s="1"/>
  <c r="AE31" i="44" s="1"/>
  <c r="Z65" i="44"/>
  <c r="AC65" i="44" s="1"/>
  <c r="AE65" i="44" s="1"/>
  <c r="Z72" i="26"/>
  <c r="AC72" i="26" s="1"/>
  <c r="AE72" i="26" s="1"/>
  <c r="Z28" i="27"/>
  <c r="AC28" i="27" s="1"/>
  <c r="AE28" i="27" s="1"/>
  <c r="Z43" i="27"/>
  <c r="AC43" i="27" s="1"/>
  <c r="AE43" i="27" s="1"/>
  <c r="Z93" i="27"/>
  <c r="AC93" i="27" s="1"/>
  <c r="AE93" i="27" s="1"/>
  <c r="Z44" i="28"/>
  <c r="AC44" i="28" s="1"/>
  <c r="AE44" i="28" s="1"/>
  <c r="Z71" i="28"/>
  <c r="AC71" i="28" s="1"/>
  <c r="AE71" i="28" s="1"/>
  <c r="Z96" i="29"/>
  <c r="AC96" i="29" s="1"/>
  <c r="AE96" i="29" s="1"/>
  <c r="Z7" i="31"/>
  <c r="AC7" i="31" s="1"/>
  <c r="AE7" i="31" s="1"/>
  <c r="Z49" i="32"/>
  <c r="AC49" i="32" s="1"/>
  <c r="AE49" i="32" s="1"/>
  <c r="Z58" i="32"/>
  <c r="AC58" i="32" s="1"/>
  <c r="AE58" i="32" s="1"/>
  <c r="Z92" i="32"/>
  <c r="AC92" i="32" s="1"/>
  <c r="AE92" i="32" s="1"/>
  <c r="Z96" i="32"/>
  <c r="AC96" i="32" s="1"/>
  <c r="AE96" i="32" s="1"/>
  <c r="Z96" i="34"/>
  <c r="AC96" i="34" s="1"/>
  <c r="AE96" i="34" s="1"/>
  <c r="Z47" i="36"/>
  <c r="AC47" i="36" s="1"/>
  <c r="AE47" i="36" s="1"/>
  <c r="Z93" i="43"/>
  <c r="AC93" i="43" s="1"/>
  <c r="AE93" i="43" s="1"/>
  <c r="Z6" i="44"/>
  <c r="AC6" i="44" s="1"/>
  <c r="AE6" i="44" s="1"/>
  <c r="Z22" i="44"/>
  <c r="AC22" i="44" s="1"/>
  <c r="AE22" i="44" s="1"/>
  <c r="Z56" i="27"/>
  <c r="AC56" i="27" s="1"/>
  <c r="AE56" i="27" s="1"/>
  <c r="Z93" i="28"/>
  <c r="AC93" i="28" s="1"/>
  <c r="AE93" i="28" s="1"/>
  <c r="Z45" i="26"/>
  <c r="AC45" i="26" s="1"/>
  <c r="AE45" i="26" s="1"/>
  <c r="Z52" i="26"/>
  <c r="AC52" i="26" s="1"/>
  <c r="AE52" i="26" s="1"/>
  <c r="Z95" i="26"/>
  <c r="AC95" i="26" s="1"/>
  <c r="AE95" i="26" s="1"/>
  <c r="Z10" i="27"/>
  <c r="AC10" i="27" s="1"/>
  <c r="AE10" i="27" s="1"/>
  <c r="Z26" i="28"/>
  <c r="AC26" i="28" s="1"/>
  <c r="AE26" i="28" s="1"/>
  <c r="Z20" i="29"/>
  <c r="AC20" i="29" s="1"/>
  <c r="AE20" i="29" s="1"/>
  <c r="Z24" i="29"/>
  <c r="AC24" i="29" s="1"/>
  <c r="AE24" i="29" s="1"/>
  <c r="Z35" i="29"/>
  <c r="AC35" i="29" s="1"/>
  <c r="AE35" i="29" s="1"/>
  <c r="Z85" i="29"/>
  <c r="AC85" i="29" s="1"/>
  <c r="AE85" i="29" s="1"/>
  <c r="Z92" i="29"/>
  <c r="AC92" i="29" s="1"/>
  <c r="AE92" i="29" s="1"/>
  <c r="Z18" i="30"/>
  <c r="AC18" i="30" s="1"/>
  <c r="AE18" i="30" s="1"/>
  <c r="Z34" i="26"/>
  <c r="AC34" i="26" s="1"/>
  <c r="AE34" i="26" s="1"/>
  <c r="Z84" i="26"/>
  <c r="AC84" i="26" s="1"/>
  <c r="AE84" i="26" s="1"/>
  <c r="Z88" i="26"/>
  <c r="AC88" i="26" s="1"/>
  <c r="AE88" i="26" s="1"/>
  <c r="Z37" i="27"/>
  <c r="AC37" i="27" s="1"/>
  <c r="AE37" i="27" s="1"/>
  <c r="Z55" i="27"/>
  <c r="AC55" i="27" s="1"/>
  <c r="AE55" i="27" s="1"/>
  <c r="Z73" i="27"/>
  <c r="AC73" i="27" s="1"/>
  <c r="AE73" i="27" s="1"/>
  <c r="Z82" i="27"/>
  <c r="AC82" i="27" s="1"/>
  <c r="AE82" i="27" s="1"/>
  <c r="Z17" i="28"/>
  <c r="AC17" i="28" s="1"/>
  <c r="AE17" i="28" s="1"/>
  <c r="Z53" i="28"/>
  <c r="AC53" i="28" s="1"/>
  <c r="AE53" i="28" s="1"/>
  <c r="Z87" i="28"/>
  <c r="AC87" i="28" s="1"/>
  <c r="AE87" i="28" s="1"/>
  <c r="Z29" i="29"/>
  <c r="AC29" i="29" s="1"/>
  <c r="AE29" i="29" s="1"/>
  <c r="Z47" i="29"/>
  <c r="AC47" i="29" s="1"/>
  <c r="AE47" i="29" s="1"/>
  <c r="Z65" i="29"/>
  <c r="AC65" i="29" s="1"/>
  <c r="AE65" i="29" s="1"/>
  <c r="Z74" i="29"/>
  <c r="AC74" i="29" s="1"/>
  <c r="AE74" i="29" s="1"/>
  <c r="Z7" i="30"/>
  <c r="AC7" i="30" s="1"/>
  <c r="AE7" i="30" s="1"/>
  <c r="Z34" i="30"/>
  <c r="AC34" i="30" s="1"/>
  <c r="AE34" i="30" s="1"/>
  <c r="Z63" i="30"/>
  <c r="AC63" i="30" s="1"/>
  <c r="AE63" i="30" s="1"/>
  <c r="Z14" i="31"/>
  <c r="AC14" i="31" s="1"/>
  <c r="AE14" i="31" s="1"/>
  <c r="Z27" i="31"/>
  <c r="AC27" i="31" s="1"/>
  <c r="AE27" i="31" s="1"/>
  <c r="Z57" i="31"/>
  <c r="AC57" i="31" s="1"/>
  <c r="AE57" i="31" s="1"/>
  <c r="Z66" i="31"/>
  <c r="AC66" i="31" s="1"/>
  <c r="AE66" i="31" s="1"/>
  <c r="Z31" i="32"/>
  <c r="AC31" i="32" s="1"/>
  <c r="AE31" i="32" s="1"/>
  <c r="Z7" i="33"/>
  <c r="AC7" i="33" s="1"/>
  <c r="AE7" i="33" s="1"/>
  <c r="Z41" i="33"/>
  <c r="AC41" i="33" s="1"/>
  <c r="AE41" i="33" s="1"/>
  <c r="Z50" i="33"/>
  <c r="AC50" i="33" s="1"/>
  <c r="AE50" i="33" s="1"/>
  <c r="Z92" i="34"/>
  <c r="AC92" i="34" s="1"/>
  <c r="AE92" i="34" s="1"/>
  <c r="Z94" i="34"/>
  <c r="AC94" i="34" s="1"/>
  <c r="AE94" i="34" s="1"/>
  <c r="Z51" i="36"/>
  <c r="AC51" i="36" s="1"/>
  <c r="AE51" i="36" s="1"/>
  <c r="Z54" i="36"/>
  <c r="AC54" i="36" s="1"/>
  <c r="AE54" i="36" s="1"/>
  <c r="Z13" i="39"/>
  <c r="AC13" i="39" s="1"/>
  <c r="AE13" i="39" s="1"/>
  <c r="Z86" i="43"/>
  <c r="AC86" i="43" s="1"/>
  <c r="AE86" i="43" s="1"/>
  <c r="Z8" i="44"/>
  <c r="AC8" i="44" s="1"/>
  <c r="AE8" i="44" s="1"/>
  <c r="Z24" i="44"/>
  <c r="AC24" i="44" s="1"/>
  <c r="AE24" i="44" s="1"/>
  <c r="Z8" i="26"/>
  <c r="AC8" i="26" s="1"/>
  <c r="AE8" i="26" s="1"/>
  <c r="Z11" i="27"/>
  <c r="AC11" i="27" s="1"/>
  <c r="AE11" i="27" s="1"/>
  <c r="Z16" i="28"/>
  <c r="AC16" i="28" s="1"/>
  <c r="AE16" i="28" s="1"/>
  <c r="Z32" i="27"/>
  <c r="AC32" i="27" s="1"/>
  <c r="AE32" i="27" s="1"/>
  <c r="Z45" i="30"/>
  <c r="AC45" i="30" s="1"/>
  <c r="AE45" i="30" s="1"/>
  <c r="Z81" i="30"/>
  <c r="AC81" i="30" s="1"/>
  <c r="AE81" i="30" s="1"/>
  <c r="Z7" i="26"/>
  <c r="AC7" i="26" s="1"/>
  <c r="AE7" i="26" s="1"/>
  <c r="Z93" i="26"/>
  <c r="AC93" i="26" s="1"/>
  <c r="AE93" i="26" s="1"/>
  <c r="Z17" i="27"/>
  <c r="AC17" i="27" s="1"/>
  <c r="AE17" i="27" s="1"/>
  <c r="Z26" i="27"/>
  <c r="AC26" i="27" s="1"/>
  <c r="AE26" i="27" s="1"/>
  <c r="Z44" i="27"/>
  <c r="AC44" i="27" s="1"/>
  <c r="AE44" i="27" s="1"/>
  <c r="Z48" i="27"/>
  <c r="AC48" i="27" s="1"/>
  <c r="AE48" i="27" s="1"/>
  <c r="Z59" i="27"/>
  <c r="AC59" i="27" s="1"/>
  <c r="AE59" i="27" s="1"/>
  <c r="Z15" i="28"/>
  <c r="AC15" i="28" s="1"/>
  <c r="AE15" i="28" s="1"/>
  <c r="Z91" i="28"/>
  <c r="AC91" i="28" s="1"/>
  <c r="AE91" i="28" s="1"/>
  <c r="Z94" i="28"/>
  <c r="AC94" i="28" s="1"/>
  <c r="AE94" i="28" s="1"/>
  <c r="Z9" i="29"/>
  <c r="AC9" i="29" s="1"/>
  <c r="AE9" i="29" s="1"/>
  <c r="Z18" i="29"/>
  <c r="AC18" i="29" s="1"/>
  <c r="AE18" i="29" s="1"/>
  <c r="Z36" i="29"/>
  <c r="AC36" i="29" s="1"/>
  <c r="AE36" i="29" s="1"/>
  <c r="Z40" i="29"/>
  <c r="AC40" i="29" s="1"/>
  <c r="AE40" i="29" s="1"/>
  <c r="Z51" i="29"/>
  <c r="AC51" i="29" s="1"/>
  <c r="AE51" i="29" s="1"/>
  <c r="Z90" i="29"/>
  <c r="AC90" i="29" s="1"/>
  <c r="AE90" i="29" s="1"/>
  <c r="Z11" i="30"/>
  <c r="AC11" i="30" s="1"/>
  <c r="AE11" i="30" s="1"/>
  <c r="Z25" i="30"/>
  <c r="AC25" i="30" s="1"/>
  <c r="AE25" i="30" s="1"/>
  <c r="Z52" i="30"/>
  <c r="AC52" i="30" s="1"/>
  <c r="AE52" i="30" s="1"/>
  <c r="Z56" i="30"/>
  <c r="AC56" i="30" s="1"/>
  <c r="AE56" i="30" s="1"/>
  <c r="Z79" i="30"/>
  <c r="AC79" i="30" s="1"/>
  <c r="AE79" i="30" s="1"/>
  <c r="Z5" i="31"/>
  <c r="AC5" i="31" s="1"/>
  <c r="AE5" i="31" s="1"/>
  <c r="Z16" i="31"/>
  <c r="AC16" i="31" s="1"/>
  <c r="AE16" i="31" s="1"/>
  <c r="Z39" i="31"/>
  <c r="AC39" i="31" s="1"/>
  <c r="AE39" i="31" s="1"/>
  <c r="Z35" i="32"/>
  <c r="AC35" i="32" s="1"/>
  <c r="AE35" i="32" s="1"/>
  <c r="Z38" i="32"/>
  <c r="AC38" i="32" s="1"/>
  <c r="AE38" i="32" s="1"/>
  <c r="Z47" i="32"/>
  <c r="AC47" i="32" s="1"/>
  <c r="AE47" i="32" s="1"/>
  <c r="Z65" i="32"/>
  <c r="AC65" i="32" s="1"/>
  <c r="AE65" i="32" s="1"/>
  <c r="Z14" i="33"/>
  <c r="AC14" i="33" s="1"/>
  <c r="AE14" i="33" s="1"/>
  <c r="Z23" i="33"/>
  <c r="AC23" i="33" s="1"/>
  <c r="AE23" i="33" s="1"/>
  <c r="Z38" i="36"/>
  <c r="AC38" i="36" s="1"/>
  <c r="AE38" i="36" s="1"/>
  <c r="Z40" i="36"/>
  <c r="AC40" i="36" s="1"/>
  <c r="AE40" i="36" s="1"/>
  <c r="Z56" i="36"/>
  <c r="AC56" i="36" s="1"/>
  <c r="AE56" i="36" s="1"/>
  <c r="Z67" i="36"/>
  <c r="AC67" i="36" s="1"/>
  <c r="AE67" i="36" s="1"/>
  <c r="Z89" i="38"/>
  <c r="AC89" i="38" s="1"/>
  <c r="AE89" i="38" s="1"/>
  <c r="Z63" i="29"/>
  <c r="AC63" i="29" s="1"/>
  <c r="AE63" i="29" s="1"/>
  <c r="Z32" i="32"/>
  <c r="AC32" i="32" s="1"/>
  <c r="AE32" i="32" s="1"/>
  <c r="Z39" i="33"/>
  <c r="AC39" i="33" s="1"/>
  <c r="AE39" i="33" s="1"/>
  <c r="Z14" i="26"/>
  <c r="AC14" i="26" s="1"/>
  <c r="AE14" i="26" s="1"/>
  <c r="Z16" i="26"/>
  <c r="AC16" i="26" s="1"/>
  <c r="AE16" i="26" s="1"/>
  <c r="Z27" i="26"/>
  <c r="AC27" i="26" s="1"/>
  <c r="AE27" i="26" s="1"/>
  <c r="Z73" i="26"/>
  <c r="AC73" i="26" s="1"/>
  <c r="AE73" i="26" s="1"/>
  <c r="Z15" i="27"/>
  <c r="AC15" i="27" s="1"/>
  <c r="AE15" i="27" s="1"/>
  <c r="Z33" i="27"/>
  <c r="AC33" i="27" s="1"/>
  <c r="AE33" i="27" s="1"/>
  <c r="Z42" i="27"/>
  <c r="AC42" i="27" s="1"/>
  <c r="AE42" i="27" s="1"/>
  <c r="Z60" i="27"/>
  <c r="AC60" i="27" s="1"/>
  <c r="AE60" i="27" s="1"/>
  <c r="Z64" i="27"/>
  <c r="AC64" i="27" s="1"/>
  <c r="AE64" i="27" s="1"/>
  <c r="Z75" i="27"/>
  <c r="AC75" i="27" s="1"/>
  <c r="AE75" i="27" s="1"/>
  <c r="Z13" i="28"/>
  <c r="AC13" i="28" s="1"/>
  <c r="AE13" i="28" s="1"/>
  <c r="Z31" i="28"/>
  <c r="AC31" i="28" s="1"/>
  <c r="AE31" i="28" s="1"/>
  <c r="Z49" i="28"/>
  <c r="AC49" i="28" s="1"/>
  <c r="AE49" i="28" s="1"/>
  <c r="Z58" i="28"/>
  <c r="AC58" i="28" s="1"/>
  <c r="AE58" i="28" s="1"/>
  <c r="Z85" i="28"/>
  <c r="AC85" i="28" s="1"/>
  <c r="AE85" i="28" s="1"/>
  <c r="Z92" i="28"/>
  <c r="AC92" i="28" s="1"/>
  <c r="AE92" i="28" s="1"/>
  <c r="Z7" i="29"/>
  <c r="AC7" i="29" s="1"/>
  <c r="AE7" i="29" s="1"/>
  <c r="Z25" i="29"/>
  <c r="AC25" i="29" s="1"/>
  <c r="AE25" i="29" s="1"/>
  <c r="Z34" i="29"/>
  <c r="AC34" i="29" s="1"/>
  <c r="AE34" i="29" s="1"/>
  <c r="Z52" i="29"/>
  <c r="AC52" i="29" s="1"/>
  <c r="AE52" i="29" s="1"/>
  <c r="Z56" i="29"/>
  <c r="AC56" i="29" s="1"/>
  <c r="AE56" i="29" s="1"/>
  <c r="Z67" i="29"/>
  <c r="AC67" i="29" s="1"/>
  <c r="AE67" i="29" s="1"/>
  <c r="Z97" i="29"/>
  <c r="AC97" i="29" s="1"/>
  <c r="AE97" i="29" s="1"/>
  <c r="Z12" i="30"/>
  <c r="AC12" i="30" s="1"/>
  <c r="AE12" i="30" s="1"/>
  <c r="Z16" i="30"/>
  <c r="AC16" i="30" s="1"/>
  <c r="AE16" i="30" s="1"/>
  <c r="Z23" i="30"/>
  <c r="AC23" i="30" s="1"/>
  <c r="AE23" i="30" s="1"/>
  <c r="Z50" i="30"/>
  <c r="AC50" i="30" s="1"/>
  <c r="AE50" i="30" s="1"/>
  <c r="Z72" i="30"/>
  <c r="AC72" i="30" s="1"/>
  <c r="AE72" i="30" s="1"/>
  <c r="Z13" i="32"/>
  <c r="AC13" i="32" s="1"/>
  <c r="AE13" i="32" s="1"/>
  <c r="Z20" i="32"/>
  <c r="AC20" i="32" s="1"/>
  <c r="AE20" i="32" s="1"/>
  <c r="Z29" i="32"/>
  <c r="AC29" i="32" s="1"/>
  <c r="AE29" i="32" s="1"/>
  <c r="Z36" i="32"/>
  <c r="AC36" i="32" s="1"/>
  <c r="AE36" i="32" s="1"/>
  <c r="Z12" i="33"/>
  <c r="AC12" i="33" s="1"/>
  <c r="AE12" i="33" s="1"/>
  <c r="Z98" i="33"/>
  <c r="AC98" i="33" s="1"/>
  <c r="AE98" i="33" s="1"/>
  <c r="Z4" i="34"/>
  <c r="AC4" i="34" s="1"/>
  <c r="Z81" i="34"/>
  <c r="AC81" i="34" s="1"/>
  <c r="AE81" i="34" s="1"/>
  <c r="Z22" i="36"/>
  <c r="AC22" i="36" s="1"/>
  <c r="AE22" i="36" s="1"/>
  <c r="Z46" i="38"/>
  <c r="AC46" i="38" s="1"/>
  <c r="AE46" i="38" s="1"/>
  <c r="Z92" i="42"/>
  <c r="AC92" i="42" s="1"/>
  <c r="AE92" i="42" s="1"/>
  <c r="Z94" i="42"/>
  <c r="AC94" i="42" s="1"/>
  <c r="AE94" i="42" s="1"/>
  <c r="Z5" i="28"/>
  <c r="AC5" i="28" s="1"/>
  <c r="AE5" i="28" s="1"/>
  <c r="Z4" i="28"/>
  <c r="Z12" i="31"/>
  <c r="AC12" i="31" s="1"/>
  <c r="AE12" i="31" s="1"/>
  <c r="Z89" i="26"/>
  <c r="AC89" i="26" s="1"/>
  <c r="AE89" i="26" s="1"/>
  <c r="Z4" i="27"/>
  <c r="Z11" i="29"/>
  <c r="AC11" i="29" s="1"/>
  <c r="AE11" i="29" s="1"/>
  <c r="Z61" i="29"/>
  <c r="AC61" i="29" s="1"/>
  <c r="AE61" i="29" s="1"/>
  <c r="Z79" i="29"/>
  <c r="AC79" i="29" s="1"/>
  <c r="AE79" i="29" s="1"/>
  <c r="Z27" i="30"/>
  <c r="AC27" i="30" s="1"/>
  <c r="AE27" i="30" s="1"/>
  <c r="Z30" i="30"/>
  <c r="AC30" i="30" s="1"/>
  <c r="AE30" i="30" s="1"/>
  <c r="Z39" i="30"/>
  <c r="AC39" i="30" s="1"/>
  <c r="AE39" i="30" s="1"/>
  <c r="Z77" i="30"/>
  <c r="AC77" i="30" s="1"/>
  <c r="AE77" i="30" s="1"/>
  <c r="Z75" i="31"/>
  <c r="AC75" i="31" s="1"/>
  <c r="AE75" i="31" s="1"/>
  <c r="Z52" i="32"/>
  <c r="AC52" i="32" s="1"/>
  <c r="AE52" i="32" s="1"/>
  <c r="Z56" i="32"/>
  <c r="AC56" i="32" s="1"/>
  <c r="AE56" i="32" s="1"/>
  <c r="Z67" i="32"/>
  <c r="AC67" i="32" s="1"/>
  <c r="AE67" i="32" s="1"/>
  <c r="Z70" i="32"/>
  <c r="AC70" i="32" s="1"/>
  <c r="AE70" i="32" s="1"/>
  <c r="Z28" i="33"/>
  <c r="AC28" i="33" s="1"/>
  <c r="AE28" i="33" s="1"/>
  <c r="Z32" i="33"/>
  <c r="AC32" i="33" s="1"/>
  <c r="AE32" i="33" s="1"/>
  <c r="Z75" i="30"/>
  <c r="AC75" i="30" s="1"/>
  <c r="AE75" i="30" s="1"/>
  <c r="Z23" i="26"/>
  <c r="AC23" i="26" s="1"/>
  <c r="AE23" i="26" s="1"/>
  <c r="Z66" i="26"/>
  <c r="AC66" i="26" s="1"/>
  <c r="AE66" i="26" s="1"/>
  <c r="Z89" i="27"/>
  <c r="AC89" i="27" s="1"/>
  <c r="AE89" i="27" s="1"/>
  <c r="Z41" i="30"/>
  <c r="AC41" i="30" s="1"/>
  <c r="AE41" i="30" s="1"/>
  <c r="Z97" i="30"/>
  <c r="AC97" i="30" s="1"/>
  <c r="AE97" i="30" s="1"/>
  <c r="Z12" i="26"/>
  <c r="AC12" i="26" s="1"/>
  <c r="AE12" i="26" s="1"/>
  <c r="Z98" i="26"/>
  <c r="AC98" i="26" s="1"/>
  <c r="AE98" i="26" s="1"/>
  <c r="Z19" i="27"/>
  <c r="AC19" i="27" s="1"/>
  <c r="AE19" i="27" s="1"/>
  <c r="Z69" i="27"/>
  <c r="AC69" i="27" s="1"/>
  <c r="AE69" i="27" s="1"/>
  <c r="Z87" i="27"/>
  <c r="AC87" i="27" s="1"/>
  <c r="AE87" i="27" s="1"/>
  <c r="Z24" i="28"/>
  <c r="AC24" i="28" s="1"/>
  <c r="AE24" i="28" s="1"/>
  <c r="Z74" i="28"/>
  <c r="AC74" i="28" s="1"/>
  <c r="AE74" i="28" s="1"/>
  <c r="Z32" i="26"/>
  <c r="AC32" i="26" s="1"/>
  <c r="AE32" i="26" s="1"/>
  <c r="Z71" i="26"/>
  <c r="AC71" i="26" s="1"/>
  <c r="AE71" i="26" s="1"/>
  <c r="Z13" i="27"/>
  <c r="AC13" i="27" s="1"/>
  <c r="AE13" i="27" s="1"/>
  <c r="Z31" i="27"/>
  <c r="AC31" i="27" s="1"/>
  <c r="AE31" i="27" s="1"/>
  <c r="Z49" i="27"/>
  <c r="AC49" i="27" s="1"/>
  <c r="AE49" i="27" s="1"/>
  <c r="Z58" i="27"/>
  <c r="AC58" i="27" s="1"/>
  <c r="AE58" i="27" s="1"/>
  <c r="Z76" i="27"/>
  <c r="AC76" i="27" s="1"/>
  <c r="AE76" i="27" s="1"/>
  <c r="Z80" i="27"/>
  <c r="AC80" i="27" s="1"/>
  <c r="AE80" i="27" s="1"/>
  <c r="Z91" i="27"/>
  <c r="AC91" i="27" s="1"/>
  <c r="AE91" i="27" s="1"/>
  <c r="Z29" i="28"/>
  <c r="AC29" i="28" s="1"/>
  <c r="AE29" i="28" s="1"/>
  <c r="Z47" i="28"/>
  <c r="AC47" i="28" s="1"/>
  <c r="AE47" i="28" s="1"/>
  <c r="Z65" i="28"/>
  <c r="AC65" i="28" s="1"/>
  <c r="AE65" i="28" s="1"/>
  <c r="Z90" i="28"/>
  <c r="AC90" i="28" s="1"/>
  <c r="AE90" i="28" s="1"/>
  <c r="Z5" i="29"/>
  <c r="AC5" i="29" s="1"/>
  <c r="AE5" i="29" s="1"/>
  <c r="Z23" i="29"/>
  <c r="AC23" i="29" s="1"/>
  <c r="AE23" i="29" s="1"/>
  <c r="Z41" i="29"/>
  <c r="AC41" i="29" s="1"/>
  <c r="AE41" i="29" s="1"/>
  <c r="Z50" i="29"/>
  <c r="AC50" i="29" s="1"/>
  <c r="AE50" i="29" s="1"/>
  <c r="Z68" i="29"/>
  <c r="AC68" i="29" s="1"/>
  <c r="AE68" i="29" s="1"/>
  <c r="Z72" i="29"/>
  <c r="AC72" i="29" s="1"/>
  <c r="AE72" i="29" s="1"/>
  <c r="Z83" i="29"/>
  <c r="AC83" i="29" s="1"/>
  <c r="AE83" i="29" s="1"/>
  <c r="Z86" i="29"/>
  <c r="AC86" i="29" s="1"/>
  <c r="AE86" i="29" s="1"/>
  <c r="Z95" i="29"/>
  <c r="AC95" i="29" s="1"/>
  <c r="AE95" i="29" s="1"/>
  <c r="Z10" i="30"/>
  <c r="AC10" i="30" s="1"/>
  <c r="AE10" i="30" s="1"/>
  <c r="Z21" i="30"/>
  <c r="AC21" i="30" s="1"/>
  <c r="AE21" i="30" s="1"/>
  <c r="Z43" i="30"/>
  <c r="AC43" i="30" s="1"/>
  <c r="AE43" i="30" s="1"/>
  <c r="Z57" i="30"/>
  <c r="AC57" i="30" s="1"/>
  <c r="AE57" i="30" s="1"/>
  <c r="Z60" i="31"/>
  <c r="AC60" i="31" s="1"/>
  <c r="AE60" i="31" s="1"/>
  <c r="Z64" i="31"/>
  <c r="AC64" i="31" s="1"/>
  <c r="AE64" i="31" s="1"/>
  <c r="Z87" i="31"/>
  <c r="AC87" i="31" s="1"/>
  <c r="AE87" i="31" s="1"/>
  <c r="Z18" i="32"/>
  <c r="AC18" i="32" s="1"/>
  <c r="AE18" i="32" s="1"/>
  <c r="Z34" i="32"/>
  <c r="AC34" i="32" s="1"/>
  <c r="AE34" i="32" s="1"/>
  <c r="Z83" i="32"/>
  <c r="AC83" i="32" s="1"/>
  <c r="AE83" i="32" s="1"/>
  <c r="Z86" i="32"/>
  <c r="AC86" i="32" s="1"/>
  <c r="AE86" i="32" s="1"/>
  <c r="Z62" i="33"/>
  <c r="AC62" i="33" s="1"/>
  <c r="AE62" i="33" s="1"/>
  <c r="AC75" i="33"/>
  <c r="AE75" i="33" s="1"/>
  <c r="Z71" i="27"/>
  <c r="AC71" i="27" s="1"/>
  <c r="AE71" i="27" s="1"/>
  <c r="Z98" i="27"/>
  <c r="AC98" i="27" s="1"/>
  <c r="AE98" i="27" s="1"/>
  <c r="Z76" i="28"/>
  <c r="AC76" i="28" s="1"/>
  <c r="AE76" i="28" s="1"/>
  <c r="Z81" i="29"/>
  <c r="AC81" i="29" s="1"/>
  <c r="AE81" i="29" s="1"/>
  <c r="Z21" i="26"/>
  <c r="AC21" i="26" s="1"/>
  <c r="AE21" i="26" s="1"/>
  <c r="Z39" i="26"/>
  <c r="AC39" i="26" s="1"/>
  <c r="AE39" i="26" s="1"/>
  <c r="Z20" i="28"/>
  <c r="AC20" i="28" s="1"/>
  <c r="AE20" i="28" s="1"/>
  <c r="Z35" i="28"/>
  <c r="AC35" i="28" s="1"/>
  <c r="AE35" i="28" s="1"/>
  <c r="Z28" i="26"/>
  <c r="AC28" i="26" s="1"/>
  <c r="AE28" i="26" s="1"/>
  <c r="Z78" i="26"/>
  <c r="AC78" i="26" s="1"/>
  <c r="AE78" i="26" s="1"/>
  <c r="Z20" i="27"/>
  <c r="AC20" i="27" s="1"/>
  <c r="AE20" i="27" s="1"/>
  <c r="Z24" i="27"/>
  <c r="AC24" i="27" s="1"/>
  <c r="AE24" i="27" s="1"/>
  <c r="Z35" i="27"/>
  <c r="AC35" i="27" s="1"/>
  <c r="AE35" i="27" s="1"/>
  <c r="Z85" i="27"/>
  <c r="AC85" i="27" s="1"/>
  <c r="AE85" i="27" s="1"/>
  <c r="Z18" i="28"/>
  <c r="AC18" i="28" s="1"/>
  <c r="AE18" i="28" s="1"/>
  <c r="Z36" i="28"/>
  <c r="AC36" i="28" s="1"/>
  <c r="AE36" i="28" s="1"/>
  <c r="Z40" i="28"/>
  <c r="AC40" i="28" s="1"/>
  <c r="AE40" i="28" s="1"/>
  <c r="Z51" i="28"/>
  <c r="AC51" i="28" s="1"/>
  <c r="AE51" i="28" s="1"/>
  <c r="Z81" i="28"/>
  <c r="AC81" i="28" s="1"/>
  <c r="AE81" i="28" s="1"/>
  <c r="Z97" i="28"/>
  <c r="AC97" i="28" s="1"/>
  <c r="AE97" i="28" s="1"/>
  <c r="Z12" i="29"/>
  <c r="AC12" i="29" s="1"/>
  <c r="AE12" i="29" s="1"/>
  <c r="Z16" i="29"/>
  <c r="AC16" i="29" s="1"/>
  <c r="AE16" i="29" s="1"/>
  <c r="Z27" i="29"/>
  <c r="AC27" i="29" s="1"/>
  <c r="AE27" i="29" s="1"/>
  <c r="Z77" i="29"/>
  <c r="AC77" i="29" s="1"/>
  <c r="AE77" i="29" s="1"/>
  <c r="Z37" i="30"/>
  <c r="AC37" i="30" s="1"/>
  <c r="AE37" i="30" s="1"/>
  <c r="Z66" i="30"/>
  <c r="AC66" i="30" s="1"/>
  <c r="AE66" i="30" s="1"/>
  <c r="Z33" i="31"/>
  <c r="AC33" i="31" s="1"/>
  <c r="AE33" i="31" s="1"/>
  <c r="Z42" i="31"/>
  <c r="AC42" i="31" s="1"/>
  <c r="AE42" i="31" s="1"/>
  <c r="Z69" i="31"/>
  <c r="AC69" i="31" s="1"/>
  <c r="AE69" i="31" s="1"/>
  <c r="Z76" i="31"/>
  <c r="AC76" i="31" s="1"/>
  <c r="AE76" i="31" s="1"/>
  <c r="Z80" i="31"/>
  <c r="AC80" i="31" s="1"/>
  <c r="AE80" i="31" s="1"/>
  <c r="Z91" i="31"/>
  <c r="AC91" i="31" s="1"/>
  <c r="AE91" i="31" s="1"/>
  <c r="Z9" i="32"/>
  <c r="AC9" i="32" s="1"/>
  <c r="AE9" i="32" s="1"/>
  <c r="Z25" i="32"/>
  <c r="AC25" i="32" s="1"/>
  <c r="AE25" i="32" s="1"/>
  <c r="Z41" i="32"/>
  <c r="AC41" i="32" s="1"/>
  <c r="AE41" i="32" s="1"/>
  <c r="Z50" i="32"/>
  <c r="AC50" i="32" s="1"/>
  <c r="AE50" i="32" s="1"/>
  <c r="Z68" i="32"/>
  <c r="AC68" i="32" s="1"/>
  <c r="AE68" i="32" s="1"/>
  <c r="Z88" i="32"/>
  <c r="AC88" i="32" s="1"/>
  <c r="AE88" i="32" s="1"/>
  <c r="Z17" i="33"/>
  <c r="AC17" i="33" s="1"/>
  <c r="AE17" i="33" s="1"/>
  <c r="Z60" i="33"/>
  <c r="AC60" i="33" s="1"/>
  <c r="AE60" i="33" s="1"/>
  <c r="Z87" i="33"/>
  <c r="AC87" i="33" s="1"/>
  <c r="AE87" i="33" s="1"/>
  <c r="Z86" i="34"/>
  <c r="AC86" i="34" s="1"/>
  <c r="AE86" i="34" s="1"/>
  <c r="Z96" i="35"/>
  <c r="AC96" i="35" s="1"/>
  <c r="AE96" i="35" s="1"/>
  <c r="Z32" i="38"/>
  <c r="AC32" i="38" s="1"/>
  <c r="AE32" i="38" s="1"/>
  <c r="Z51" i="38"/>
  <c r="AC51" i="38" s="1"/>
  <c r="AE51" i="38" s="1"/>
  <c r="Z64" i="38"/>
  <c r="AC64" i="38" s="1"/>
  <c r="AE64" i="38" s="1"/>
  <c r="Z41" i="26"/>
  <c r="AC41" i="26" s="1"/>
  <c r="AE41" i="26" s="1"/>
  <c r="Z37" i="26"/>
  <c r="AC37" i="26" s="1"/>
  <c r="AE37" i="26" s="1"/>
  <c r="Z46" i="26"/>
  <c r="AC46" i="26" s="1"/>
  <c r="AE46" i="26" s="1"/>
  <c r="Z48" i="26"/>
  <c r="AC48" i="26" s="1"/>
  <c r="AE48" i="26" s="1"/>
  <c r="Z87" i="26"/>
  <c r="AC87" i="26" s="1"/>
  <c r="AE87" i="26" s="1"/>
  <c r="Z17" i="26"/>
  <c r="AC17" i="26" s="1"/>
  <c r="AE17" i="26" s="1"/>
  <c r="Z44" i="26"/>
  <c r="AC44" i="26" s="1"/>
  <c r="AE44" i="26" s="1"/>
  <c r="Z60" i="26"/>
  <c r="AC60" i="26" s="1"/>
  <c r="AE60" i="26" s="1"/>
  <c r="Z64" i="26"/>
  <c r="AC64" i="26" s="1"/>
  <c r="AE64" i="26" s="1"/>
  <c r="Z80" i="26"/>
  <c r="AC80" i="26" s="1"/>
  <c r="AE80" i="26" s="1"/>
  <c r="Z91" i="26"/>
  <c r="AC91" i="26" s="1"/>
  <c r="AE91" i="26" s="1"/>
  <c r="Z29" i="27"/>
  <c r="AC29" i="27" s="1"/>
  <c r="AE29" i="27" s="1"/>
  <c r="Z47" i="27"/>
  <c r="AC47" i="27" s="1"/>
  <c r="AE47" i="27" s="1"/>
  <c r="Z65" i="27"/>
  <c r="AC65" i="27" s="1"/>
  <c r="AE65" i="27" s="1"/>
  <c r="Z74" i="27"/>
  <c r="AC74" i="27" s="1"/>
  <c r="AE74" i="27" s="1"/>
  <c r="Z92" i="27"/>
  <c r="AC92" i="27" s="1"/>
  <c r="AE92" i="27" s="1"/>
  <c r="Z96" i="27"/>
  <c r="AC96" i="27" s="1"/>
  <c r="AE96" i="27" s="1"/>
  <c r="Z9" i="28"/>
  <c r="AC9" i="28" s="1"/>
  <c r="AE9" i="28" s="1"/>
  <c r="Z45" i="28"/>
  <c r="AC45" i="28" s="1"/>
  <c r="AE45" i="28" s="1"/>
  <c r="Z63" i="28"/>
  <c r="AC63" i="28" s="1"/>
  <c r="AE63" i="28" s="1"/>
  <c r="Z93" i="29"/>
  <c r="AC93" i="29" s="1"/>
  <c r="AE93" i="29" s="1"/>
  <c r="Z17" i="30"/>
  <c r="AC17" i="30" s="1"/>
  <c r="AE17" i="30" s="1"/>
  <c r="Z44" i="30"/>
  <c r="AC44" i="30" s="1"/>
  <c r="AE44" i="30" s="1"/>
  <c r="Z48" i="30"/>
  <c r="AC48" i="30" s="1"/>
  <c r="AE48" i="30" s="1"/>
  <c r="Z55" i="30"/>
  <c r="AC55" i="30" s="1"/>
  <c r="AE55" i="30" s="1"/>
  <c r="Z15" i="31"/>
  <c r="AC15" i="31" s="1"/>
  <c r="AE15" i="31" s="1"/>
  <c r="Z58" i="31"/>
  <c r="AC58" i="31" s="1"/>
  <c r="AE58" i="31" s="1"/>
  <c r="Z85" i="31"/>
  <c r="AC85" i="31" s="1"/>
  <c r="AE85" i="31" s="1"/>
  <c r="Z84" i="32"/>
  <c r="AC84" i="32" s="1"/>
  <c r="AE84" i="32" s="1"/>
  <c r="Z42" i="33"/>
  <c r="AC42" i="33" s="1"/>
  <c r="AE42" i="33" s="1"/>
  <c r="Z94" i="33"/>
  <c r="AC94" i="33" s="1"/>
  <c r="AE94" i="33" s="1"/>
  <c r="Z68" i="34"/>
  <c r="AC68" i="34" s="1"/>
  <c r="AE68" i="34" s="1"/>
  <c r="Z92" i="35"/>
  <c r="AC92" i="35" s="1"/>
  <c r="AE92" i="35" s="1"/>
  <c r="Z83" i="37"/>
  <c r="AC83" i="37" s="1"/>
  <c r="AE83" i="37" s="1"/>
  <c r="Z86" i="37"/>
  <c r="AC86" i="37" s="1"/>
  <c r="AE86" i="37" s="1"/>
  <c r="Z95" i="37"/>
  <c r="AC95" i="37" s="1"/>
  <c r="AE95" i="37" s="1"/>
  <c r="Z69" i="26"/>
  <c r="AC69" i="26" s="1"/>
  <c r="AE69" i="26" s="1"/>
  <c r="Z85" i="26"/>
  <c r="AC85" i="26" s="1"/>
  <c r="AE85" i="26" s="1"/>
  <c r="Z9" i="27"/>
  <c r="AC9" i="27" s="1"/>
  <c r="AE9" i="27" s="1"/>
  <c r="Z18" i="27"/>
  <c r="AC18" i="27" s="1"/>
  <c r="AE18" i="27" s="1"/>
  <c r="Z36" i="27"/>
  <c r="AC36" i="27" s="1"/>
  <c r="AE36" i="27" s="1"/>
  <c r="Z40" i="27"/>
  <c r="AC40" i="27" s="1"/>
  <c r="AE40" i="27" s="1"/>
  <c r="Z51" i="27"/>
  <c r="AC51" i="27" s="1"/>
  <c r="AE51" i="27" s="1"/>
  <c r="Z7" i="28"/>
  <c r="AC7" i="28" s="1"/>
  <c r="AE7" i="28" s="1"/>
  <c r="Z34" i="28"/>
  <c r="AC34" i="28" s="1"/>
  <c r="AE34" i="28" s="1"/>
  <c r="Z52" i="28"/>
  <c r="AC52" i="28" s="1"/>
  <c r="AE52" i="28" s="1"/>
  <c r="Z56" i="28"/>
  <c r="AC56" i="28" s="1"/>
  <c r="AE56" i="28" s="1"/>
  <c r="Z67" i="28"/>
  <c r="AC67" i="28" s="1"/>
  <c r="AE67" i="28" s="1"/>
  <c r="Z70" i="28"/>
  <c r="AC70" i="28" s="1"/>
  <c r="AE70" i="28" s="1"/>
  <c r="Z95" i="28"/>
  <c r="AC95" i="28" s="1"/>
  <c r="AE95" i="28" s="1"/>
  <c r="Z10" i="29"/>
  <c r="AC10" i="29" s="1"/>
  <c r="AE10" i="29" s="1"/>
  <c r="Z28" i="29"/>
  <c r="AC28" i="29" s="1"/>
  <c r="AE28" i="29" s="1"/>
  <c r="Z32" i="29"/>
  <c r="AC32" i="29" s="1"/>
  <c r="AE32" i="29" s="1"/>
  <c r="Z43" i="29"/>
  <c r="AC43" i="29" s="1"/>
  <c r="AE43" i="29" s="1"/>
  <c r="Z26" i="30"/>
  <c r="AC26" i="30" s="1"/>
  <c r="AE26" i="30" s="1"/>
  <c r="Z89" i="30"/>
  <c r="AC89" i="30" s="1"/>
  <c r="AE89" i="30" s="1"/>
  <c r="Z19" i="31"/>
  <c r="AC19" i="31" s="1"/>
  <c r="AE19" i="31" s="1"/>
  <c r="Z22" i="31"/>
  <c r="AC22" i="31" s="1"/>
  <c r="AE22" i="31" s="1"/>
  <c r="Z31" i="31"/>
  <c r="AC31" i="31" s="1"/>
  <c r="AE31" i="31" s="1"/>
  <c r="Z49" i="31"/>
  <c r="AC49" i="31" s="1"/>
  <c r="AE49" i="31" s="1"/>
  <c r="Z7" i="32"/>
  <c r="AC7" i="32" s="1"/>
  <c r="AE7" i="32" s="1"/>
  <c r="Z23" i="32"/>
  <c r="AC23" i="32" s="1"/>
  <c r="AE23" i="32" s="1"/>
  <c r="Z39" i="32"/>
  <c r="AC39" i="32" s="1"/>
  <c r="AE39" i="32" s="1"/>
  <c r="Z57" i="32"/>
  <c r="AC57" i="32" s="1"/>
  <c r="AE57" i="32" s="1"/>
  <c r="Z66" i="32"/>
  <c r="AC66" i="32" s="1"/>
  <c r="AE66" i="32" s="1"/>
  <c r="Z54" i="34"/>
  <c r="AC54" i="34" s="1"/>
  <c r="AE54" i="34" s="1"/>
  <c r="Z78" i="35"/>
  <c r="AC78" i="35" s="1"/>
  <c r="AE78" i="35" s="1"/>
  <c r="Z30" i="36"/>
  <c r="AC30" i="36" s="1"/>
  <c r="AE30" i="36" s="1"/>
  <c r="Z72" i="37"/>
  <c r="AC72" i="37" s="1"/>
  <c r="AE72" i="37" s="1"/>
  <c r="Z50" i="41"/>
  <c r="AC50" i="41" s="1"/>
  <c r="AE50" i="41" s="1"/>
  <c r="Z66" i="46"/>
  <c r="AC66" i="46" s="1"/>
  <c r="AE66" i="46" s="1"/>
  <c r="Z66" i="37"/>
  <c r="AC66" i="37" s="1"/>
  <c r="AE66" i="37" s="1"/>
  <c r="Z84" i="37"/>
  <c r="AC84" i="37" s="1"/>
  <c r="AE84" i="37" s="1"/>
  <c r="Z88" i="37"/>
  <c r="AC88" i="37" s="1"/>
  <c r="AE88" i="37" s="1"/>
  <c r="Z63" i="39"/>
  <c r="AC63" i="39" s="1"/>
  <c r="AE63" i="39" s="1"/>
  <c r="Z27" i="41"/>
  <c r="AC27" i="41" s="1"/>
  <c r="AE27" i="41" s="1"/>
  <c r="Z57" i="41"/>
  <c r="AC57" i="41" s="1"/>
  <c r="AE57" i="41" s="1"/>
  <c r="Z35" i="42"/>
  <c r="AC35" i="42" s="1"/>
  <c r="AE35" i="42" s="1"/>
  <c r="Z38" i="42"/>
  <c r="AC38" i="42" s="1"/>
  <c r="AE38" i="42" s="1"/>
  <c r="Z98" i="43"/>
  <c r="AC98" i="43" s="1"/>
  <c r="AE98" i="43" s="1"/>
  <c r="Z4" i="44"/>
  <c r="Z13" i="44"/>
  <c r="AC13" i="44" s="1"/>
  <c r="AE13" i="44" s="1"/>
  <c r="Z20" i="44"/>
  <c r="AC20" i="44" s="1"/>
  <c r="AE20" i="44" s="1"/>
  <c r="Z29" i="44"/>
  <c r="AC29" i="44" s="1"/>
  <c r="AE29" i="44" s="1"/>
  <c r="Z40" i="44"/>
  <c r="AC40" i="44" s="1"/>
  <c r="AE40" i="44" s="1"/>
  <c r="Z51" i="44"/>
  <c r="AC51" i="44" s="1"/>
  <c r="AE51" i="44" s="1"/>
  <c r="Z57" i="46"/>
  <c r="AC57" i="46" s="1"/>
  <c r="AE57" i="46" s="1"/>
  <c r="Z85" i="30"/>
  <c r="AC85" i="30" s="1"/>
  <c r="AE85" i="30" s="1"/>
  <c r="Z91" i="30"/>
  <c r="AC91" i="30" s="1"/>
  <c r="AE91" i="30" s="1"/>
  <c r="Z29" i="31"/>
  <c r="AC29" i="31" s="1"/>
  <c r="AE29" i="31" s="1"/>
  <c r="Z47" i="31"/>
  <c r="AC47" i="31" s="1"/>
  <c r="AE47" i="31" s="1"/>
  <c r="Z65" i="31"/>
  <c r="AC65" i="31" s="1"/>
  <c r="AE65" i="31" s="1"/>
  <c r="Z74" i="31"/>
  <c r="AC74" i="31" s="1"/>
  <c r="AE74" i="31" s="1"/>
  <c r="Z92" i="31"/>
  <c r="AC92" i="31" s="1"/>
  <c r="AE92" i="31" s="1"/>
  <c r="Z96" i="31"/>
  <c r="AC96" i="31" s="1"/>
  <c r="AE96" i="31" s="1"/>
  <c r="Z45" i="32"/>
  <c r="AC45" i="32" s="1"/>
  <c r="AE45" i="32" s="1"/>
  <c r="Z63" i="32"/>
  <c r="AC63" i="32" s="1"/>
  <c r="AE63" i="32" s="1"/>
  <c r="Z81" i="32"/>
  <c r="AC81" i="32" s="1"/>
  <c r="AE81" i="32" s="1"/>
  <c r="Z90" i="32"/>
  <c r="AC90" i="32" s="1"/>
  <c r="AE90" i="32" s="1"/>
  <c r="Z5" i="33"/>
  <c r="AC5" i="33" s="1"/>
  <c r="AE5" i="33" s="1"/>
  <c r="Z47" i="33"/>
  <c r="AC47" i="33" s="1"/>
  <c r="AE47" i="33" s="1"/>
  <c r="Z76" i="33"/>
  <c r="AC76" i="33" s="1"/>
  <c r="AE76" i="33" s="1"/>
  <c r="Z80" i="33"/>
  <c r="AC80" i="33" s="1"/>
  <c r="AE80" i="33" s="1"/>
  <c r="Z79" i="34"/>
  <c r="AC79" i="34" s="1"/>
  <c r="AE79" i="34" s="1"/>
  <c r="Z97" i="34"/>
  <c r="AC97" i="34" s="1"/>
  <c r="AE97" i="34" s="1"/>
  <c r="Z11" i="35"/>
  <c r="AC11" i="35" s="1"/>
  <c r="AE11" i="35" s="1"/>
  <c r="Z23" i="35"/>
  <c r="AC23" i="35" s="1"/>
  <c r="AE23" i="35" s="1"/>
  <c r="Z34" i="35"/>
  <c r="AC34" i="35" s="1"/>
  <c r="AE34" i="35" s="1"/>
  <c r="Z45" i="35"/>
  <c r="AC45" i="35" s="1"/>
  <c r="AE45" i="35" s="1"/>
  <c r="Z52" i="35"/>
  <c r="AC52" i="35" s="1"/>
  <c r="AE52" i="35" s="1"/>
  <c r="Z56" i="35"/>
  <c r="AC56" i="35" s="1"/>
  <c r="AE56" i="35" s="1"/>
  <c r="Z81" i="35"/>
  <c r="AC81" i="35" s="1"/>
  <c r="AE81" i="35" s="1"/>
  <c r="Z7" i="36"/>
  <c r="AC7" i="36" s="1"/>
  <c r="AE7" i="36" s="1"/>
  <c r="Z25" i="36"/>
  <c r="AC25" i="36" s="1"/>
  <c r="AE25" i="36" s="1"/>
  <c r="Z34" i="36"/>
  <c r="AC34" i="36" s="1"/>
  <c r="AE34" i="36" s="1"/>
  <c r="Z61" i="36"/>
  <c r="AC61" i="36" s="1"/>
  <c r="AE61" i="36" s="1"/>
  <c r="Z79" i="36"/>
  <c r="AC79" i="36" s="1"/>
  <c r="AE79" i="36" s="1"/>
  <c r="Z21" i="37"/>
  <c r="AC21" i="37" s="1"/>
  <c r="AE21" i="37" s="1"/>
  <c r="Z32" i="37"/>
  <c r="AC32" i="37" s="1"/>
  <c r="AE32" i="37" s="1"/>
  <c r="Z43" i="37"/>
  <c r="AC43" i="37" s="1"/>
  <c r="AE43" i="37" s="1"/>
  <c r="Z58" i="38"/>
  <c r="AC58" i="38" s="1"/>
  <c r="AE58" i="38" s="1"/>
  <c r="Z45" i="39"/>
  <c r="AC45" i="39" s="1"/>
  <c r="AE45" i="39" s="1"/>
  <c r="Z52" i="39"/>
  <c r="AC52" i="39" s="1"/>
  <c r="AE52" i="39" s="1"/>
  <c r="Z56" i="39"/>
  <c r="AC56" i="39" s="1"/>
  <c r="AE56" i="39" s="1"/>
  <c r="Z72" i="39"/>
  <c r="AC72" i="39" s="1"/>
  <c r="AE72" i="39" s="1"/>
  <c r="Z83" i="39"/>
  <c r="AC83" i="39" s="1"/>
  <c r="AE83" i="39" s="1"/>
  <c r="Z86" i="39"/>
  <c r="AC86" i="39" s="1"/>
  <c r="AE86" i="39" s="1"/>
  <c r="Z95" i="39"/>
  <c r="AC95" i="39" s="1"/>
  <c r="AE95" i="39" s="1"/>
  <c r="Z17" i="40"/>
  <c r="AC17" i="40" s="1"/>
  <c r="AE17" i="40" s="1"/>
  <c r="Z33" i="40"/>
  <c r="AC33" i="40" s="1"/>
  <c r="AE33" i="40" s="1"/>
  <c r="Z49" i="40"/>
  <c r="AC49" i="40" s="1"/>
  <c r="AE49" i="40" s="1"/>
  <c r="Z65" i="40"/>
  <c r="AC65" i="40" s="1"/>
  <c r="AE65" i="40" s="1"/>
  <c r="Z81" i="40"/>
  <c r="AC81" i="40" s="1"/>
  <c r="AE81" i="40" s="1"/>
  <c r="Z97" i="40"/>
  <c r="AC97" i="40" s="1"/>
  <c r="AE97" i="40" s="1"/>
  <c r="Z12" i="41"/>
  <c r="AC12" i="41" s="1"/>
  <c r="AE12" i="41" s="1"/>
  <c r="Z21" i="41"/>
  <c r="AC21" i="41" s="1"/>
  <c r="AE21" i="41" s="1"/>
  <c r="Z28" i="41"/>
  <c r="AC28" i="41" s="1"/>
  <c r="AE28" i="41" s="1"/>
  <c r="Z32" i="41"/>
  <c r="AC32" i="41" s="1"/>
  <c r="AE32" i="41" s="1"/>
  <c r="Z43" i="41"/>
  <c r="AC43" i="41" s="1"/>
  <c r="AE43" i="41" s="1"/>
  <c r="Z46" i="41"/>
  <c r="AC46" i="41" s="1"/>
  <c r="AE46" i="41" s="1"/>
  <c r="Z55" i="41"/>
  <c r="AC55" i="41" s="1"/>
  <c r="AE55" i="41" s="1"/>
  <c r="Z87" i="41"/>
  <c r="AC87" i="41" s="1"/>
  <c r="AE87" i="41" s="1"/>
  <c r="Z29" i="42"/>
  <c r="AC29" i="42" s="1"/>
  <c r="AE29" i="42" s="1"/>
  <c r="Z46" i="43"/>
  <c r="AC46" i="43" s="1"/>
  <c r="AE46" i="43" s="1"/>
  <c r="Z75" i="43"/>
  <c r="AC75" i="43" s="1"/>
  <c r="AE75" i="43" s="1"/>
  <c r="Z83" i="44"/>
  <c r="AC83" i="44" s="1"/>
  <c r="AE83" i="44" s="1"/>
  <c r="Z86" i="44"/>
  <c r="AC86" i="44" s="1"/>
  <c r="AE86" i="44" s="1"/>
  <c r="Z16" i="46"/>
  <c r="AC16" i="46" s="1"/>
  <c r="AE16" i="46" s="1"/>
  <c r="Z32" i="46"/>
  <c r="AC32" i="46" s="1"/>
  <c r="AE32" i="46" s="1"/>
  <c r="Z43" i="46"/>
  <c r="AC43" i="46" s="1"/>
  <c r="AE43" i="46" s="1"/>
  <c r="Z46" i="46"/>
  <c r="AC46" i="46" s="1"/>
  <c r="AE46" i="46" s="1"/>
  <c r="Z70" i="47"/>
  <c r="AC70" i="47" s="1"/>
  <c r="AE70" i="47" s="1"/>
  <c r="Z25" i="33"/>
  <c r="AC25" i="33" s="1"/>
  <c r="AE25" i="33" s="1"/>
  <c r="Z36" i="33"/>
  <c r="AC36" i="33" s="1"/>
  <c r="AE36" i="33" s="1"/>
  <c r="Z40" i="33"/>
  <c r="AC40" i="33" s="1"/>
  <c r="AE40" i="33" s="1"/>
  <c r="Z45" i="33"/>
  <c r="AC45" i="33" s="1"/>
  <c r="AE45" i="33" s="1"/>
  <c r="Z65" i="33"/>
  <c r="AC65" i="33" s="1"/>
  <c r="AE65" i="33" s="1"/>
  <c r="Z91" i="33"/>
  <c r="AC91" i="33" s="1"/>
  <c r="AE91" i="33" s="1"/>
  <c r="Z19" i="34"/>
  <c r="AC19" i="34" s="1"/>
  <c r="AE19" i="34" s="1"/>
  <c r="Z33" i="34"/>
  <c r="AC33" i="34" s="1"/>
  <c r="AE33" i="34" s="1"/>
  <c r="Z44" i="34"/>
  <c r="AC44" i="34" s="1"/>
  <c r="AE44" i="34" s="1"/>
  <c r="Z48" i="34"/>
  <c r="AC48" i="34" s="1"/>
  <c r="AE48" i="34" s="1"/>
  <c r="Z66" i="34"/>
  <c r="AC66" i="34" s="1"/>
  <c r="AE66" i="34" s="1"/>
  <c r="Z83" i="34"/>
  <c r="AC83" i="34" s="1"/>
  <c r="AE83" i="34" s="1"/>
  <c r="Z12" i="35"/>
  <c r="AC12" i="35" s="1"/>
  <c r="AE12" i="35" s="1"/>
  <c r="Z16" i="35"/>
  <c r="AC16" i="35" s="1"/>
  <c r="AE16" i="35" s="1"/>
  <c r="Z27" i="35"/>
  <c r="AC27" i="35" s="1"/>
  <c r="AE27" i="35" s="1"/>
  <c r="Z61" i="35"/>
  <c r="AC61" i="35" s="1"/>
  <c r="AE61" i="35" s="1"/>
  <c r="Z90" i="35"/>
  <c r="AC90" i="35" s="1"/>
  <c r="AE90" i="35" s="1"/>
  <c r="Z11" i="36"/>
  <c r="AC11" i="36" s="1"/>
  <c r="AE11" i="36" s="1"/>
  <c r="Z50" i="36"/>
  <c r="AC50" i="36" s="1"/>
  <c r="AE50" i="36" s="1"/>
  <c r="Z68" i="36"/>
  <c r="AC68" i="36" s="1"/>
  <c r="AE68" i="36" s="1"/>
  <c r="Z72" i="36"/>
  <c r="AC72" i="36" s="1"/>
  <c r="AE72" i="36" s="1"/>
  <c r="Z83" i="36"/>
  <c r="AC83" i="36" s="1"/>
  <c r="AE83" i="36" s="1"/>
  <c r="Z86" i="36"/>
  <c r="AC86" i="36" s="1"/>
  <c r="AE86" i="36" s="1"/>
  <c r="Z95" i="36"/>
  <c r="AC95" i="36" s="1"/>
  <c r="AE95" i="36" s="1"/>
  <c r="Z10" i="37"/>
  <c r="AC10" i="37" s="1"/>
  <c r="AE10" i="37" s="1"/>
  <c r="Z28" i="37"/>
  <c r="AC28" i="37" s="1"/>
  <c r="AE28" i="37" s="1"/>
  <c r="Z15" i="38"/>
  <c r="AC15" i="38" s="1"/>
  <c r="AE15" i="38" s="1"/>
  <c r="Z92" i="38"/>
  <c r="AC92" i="38" s="1"/>
  <c r="AE92" i="38" s="1"/>
  <c r="Z25" i="39"/>
  <c r="AC25" i="39" s="1"/>
  <c r="AE25" i="39" s="1"/>
  <c r="Z34" i="39"/>
  <c r="AC34" i="39" s="1"/>
  <c r="AE34" i="39" s="1"/>
  <c r="Z68" i="39"/>
  <c r="AC68" i="39" s="1"/>
  <c r="AE68" i="39" s="1"/>
  <c r="Z77" i="39"/>
  <c r="AC77" i="39" s="1"/>
  <c r="AE77" i="39" s="1"/>
  <c r="Z88" i="39"/>
  <c r="AC88" i="39" s="1"/>
  <c r="AE88" i="39" s="1"/>
  <c r="Z14" i="40"/>
  <c r="AC14" i="40" s="1"/>
  <c r="AE14" i="40" s="1"/>
  <c r="Z30" i="40"/>
  <c r="AC30" i="40" s="1"/>
  <c r="AE30" i="40" s="1"/>
  <c r="Z46" i="40"/>
  <c r="AC46" i="40" s="1"/>
  <c r="AE46" i="40" s="1"/>
  <c r="Z62" i="40"/>
  <c r="AC62" i="40" s="1"/>
  <c r="AE62" i="40" s="1"/>
  <c r="Z78" i="40"/>
  <c r="AC78" i="40" s="1"/>
  <c r="AE78" i="40" s="1"/>
  <c r="Z94" i="40"/>
  <c r="AC94" i="40" s="1"/>
  <c r="AE94" i="40" s="1"/>
  <c r="Z37" i="41"/>
  <c r="AC37" i="41" s="1"/>
  <c r="AE37" i="41" s="1"/>
  <c r="Z62" i="41"/>
  <c r="AC62" i="41" s="1"/>
  <c r="AE62" i="41" s="1"/>
  <c r="Z91" i="41"/>
  <c r="AC91" i="41" s="1"/>
  <c r="AE91" i="41" s="1"/>
  <c r="Z83" i="42"/>
  <c r="AC83" i="42" s="1"/>
  <c r="AE83" i="42" s="1"/>
  <c r="Z21" i="43"/>
  <c r="AC21" i="43" s="1"/>
  <c r="AE21" i="43" s="1"/>
  <c r="Z62" i="43"/>
  <c r="AC62" i="43" s="1"/>
  <c r="AE62" i="43" s="1"/>
  <c r="Z64" i="43"/>
  <c r="AC64" i="43" s="1"/>
  <c r="AE64" i="43" s="1"/>
  <c r="Z87" i="43"/>
  <c r="AC87" i="43" s="1"/>
  <c r="AE87" i="43" s="1"/>
  <c r="Z9" i="44"/>
  <c r="AC9" i="44" s="1"/>
  <c r="AE9" i="44" s="1"/>
  <c r="Z68" i="44"/>
  <c r="AC68" i="44" s="1"/>
  <c r="AE68" i="44" s="1"/>
  <c r="Z12" i="46"/>
  <c r="AC12" i="46" s="1"/>
  <c r="AE12" i="46" s="1"/>
  <c r="Z21" i="46"/>
  <c r="AC21" i="46" s="1"/>
  <c r="AE21" i="46" s="1"/>
  <c r="Z82" i="47"/>
  <c r="AC82" i="47" s="1"/>
  <c r="AE82" i="47" s="1"/>
  <c r="Z45" i="31"/>
  <c r="AC45" i="31" s="1"/>
  <c r="AE45" i="31" s="1"/>
  <c r="Z63" i="31"/>
  <c r="AC63" i="31" s="1"/>
  <c r="AE63" i="31" s="1"/>
  <c r="Z81" i="31"/>
  <c r="AC81" i="31" s="1"/>
  <c r="AE81" i="31" s="1"/>
  <c r="Z90" i="31"/>
  <c r="AC90" i="31" s="1"/>
  <c r="AE90" i="31" s="1"/>
  <c r="Z11" i="32"/>
  <c r="AC11" i="32" s="1"/>
  <c r="AE11" i="32" s="1"/>
  <c r="Z61" i="32"/>
  <c r="AC61" i="32" s="1"/>
  <c r="AE61" i="32" s="1"/>
  <c r="Z79" i="32"/>
  <c r="AC79" i="32" s="1"/>
  <c r="AE79" i="32" s="1"/>
  <c r="Z97" i="32"/>
  <c r="AC97" i="32" s="1"/>
  <c r="AE97" i="32" s="1"/>
  <c r="Z51" i="33"/>
  <c r="AC51" i="33" s="1"/>
  <c r="AE51" i="33" s="1"/>
  <c r="Z74" i="33"/>
  <c r="AC74" i="33" s="1"/>
  <c r="AE74" i="33" s="1"/>
  <c r="Z77" i="34"/>
  <c r="AC77" i="34" s="1"/>
  <c r="AE77" i="34" s="1"/>
  <c r="Z95" i="34"/>
  <c r="AC95" i="34" s="1"/>
  <c r="AE95" i="34" s="1"/>
  <c r="Z21" i="35"/>
  <c r="AC21" i="35" s="1"/>
  <c r="AE21" i="35" s="1"/>
  <c r="Z41" i="35"/>
  <c r="AC41" i="35" s="1"/>
  <c r="AE41" i="35" s="1"/>
  <c r="Z50" i="35"/>
  <c r="AC50" i="35" s="1"/>
  <c r="AE50" i="35" s="1"/>
  <c r="Z79" i="35"/>
  <c r="AC79" i="35" s="1"/>
  <c r="AE79" i="35" s="1"/>
  <c r="Z23" i="36"/>
  <c r="AC23" i="36" s="1"/>
  <c r="AE23" i="36" s="1"/>
  <c r="Z41" i="36"/>
  <c r="AC41" i="36" s="1"/>
  <c r="AE41" i="36" s="1"/>
  <c r="Z77" i="36"/>
  <c r="AC77" i="36" s="1"/>
  <c r="AE77" i="36" s="1"/>
  <c r="Z44" i="37"/>
  <c r="AC44" i="37" s="1"/>
  <c r="AE44" i="37" s="1"/>
  <c r="Z48" i="37"/>
  <c r="AC48" i="37" s="1"/>
  <c r="AE48" i="37" s="1"/>
  <c r="Z59" i="37"/>
  <c r="AC59" i="37" s="1"/>
  <c r="AE59" i="37" s="1"/>
  <c r="Z62" i="37"/>
  <c r="AC62" i="37" s="1"/>
  <c r="AE62" i="37" s="1"/>
  <c r="Z71" i="37"/>
  <c r="AC71" i="37" s="1"/>
  <c r="AE71" i="37" s="1"/>
  <c r="Z89" i="37"/>
  <c r="AC89" i="37" s="1"/>
  <c r="AE89" i="37" s="1"/>
  <c r="Z98" i="37"/>
  <c r="AC98" i="37" s="1"/>
  <c r="AE98" i="37" s="1"/>
  <c r="Z7" i="39"/>
  <c r="AC7" i="39" s="1"/>
  <c r="AE7" i="39" s="1"/>
  <c r="Z50" i="39"/>
  <c r="AC50" i="39" s="1"/>
  <c r="AE50" i="39" s="1"/>
  <c r="Z84" i="39"/>
  <c r="AC84" i="39" s="1"/>
  <c r="AE84" i="39" s="1"/>
  <c r="Z93" i="39"/>
  <c r="AC93" i="39" s="1"/>
  <c r="AE93" i="39" s="1"/>
  <c r="Z15" i="40"/>
  <c r="AC15" i="40" s="1"/>
  <c r="AE15" i="40" s="1"/>
  <c r="Z19" i="40"/>
  <c r="AC19" i="40" s="1"/>
  <c r="AE19" i="40" s="1"/>
  <c r="Z31" i="40"/>
  <c r="AC31" i="40" s="1"/>
  <c r="AE31" i="40" s="1"/>
  <c r="Z35" i="40"/>
  <c r="AC35" i="40" s="1"/>
  <c r="AE35" i="40" s="1"/>
  <c r="Z47" i="40"/>
  <c r="AC47" i="40" s="1"/>
  <c r="AE47" i="40" s="1"/>
  <c r="Z51" i="40"/>
  <c r="AC51" i="40" s="1"/>
  <c r="AE51" i="40" s="1"/>
  <c r="Z63" i="40"/>
  <c r="AC63" i="40" s="1"/>
  <c r="AE63" i="40" s="1"/>
  <c r="Z67" i="40"/>
  <c r="AC67" i="40" s="1"/>
  <c r="AE67" i="40" s="1"/>
  <c r="Z79" i="40"/>
  <c r="AC79" i="40" s="1"/>
  <c r="AE79" i="40" s="1"/>
  <c r="Z83" i="40"/>
  <c r="AC83" i="40" s="1"/>
  <c r="AE83" i="40" s="1"/>
  <c r="Z95" i="40"/>
  <c r="AC95" i="40" s="1"/>
  <c r="AE95" i="40" s="1"/>
  <c r="Z10" i="41"/>
  <c r="AC10" i="41" s="1"/>
  <c r="AE10" i="41" s="1"/>
  <c r="Z78" i="41"/>
  <c r="AC78" i="41" s="1"/>
  <c r="AE78" i="41" s="1"/>
  <c r="Z80" i="41"/>
  <c r="AC80" i="41" s="1"/>
  <c r="AE80" i="41" s="1"/>
  <c r="Z68" i="42"/>
  <c r="AC68" i="42" s="1"/>
  <c r="AE68" i="42" s="1"/>
  <c r="Z53" i="43"/>
  <c r="AC53" i="43" s="1"/>
  <c r="AE53" i="43" s="1"/>
  <c r="Z60" i="43"/>
  <c r="AC60" i="43" s="1"/>
  <c r="AE60" i="43" s="1"/>
  <c r="Z69" i="43"/>
  <c r="AC69" i="43" s="1"/>
  <c r="AE69" i="43" s="1"/>
  <c r="Z76" i="43"/>
  <c r="AC76" i="43" s="1"/>
  <c r="AE76" i="43" s="1"/>
  <c r="Z80" i="43"/>
  <c r="AC80" i="43" s="1"/>
  <c r="AE80" i="43" s="1"/>
  <c r="Z91" i="43"/>
  <c r="AC91" i="43" s="1"/>
  <c r="AE91" i="43" s="1"/>
  <c r="Z94" i="43"/>
  <c r="AC94" i="43" s="1"/>
  <c r="AE94" i="43" s="1"/>
  <c r="Z41" i="44"/>
  <c r="AC41" i="44" s="1"/>
  <c r="AE41" i="44" s="1"/>
  <c r="Z50" i="44"/>
  <c r="AC50" i="44" s="1"/>
  <c r="AE50" i="44" s="1"/>
  <c r="Z94" i="46"/>
  <c r="AC94" i="46" s="1"/>
  <c r="AE94" i="46" s="1"/>
  <c r="Z73" i="47"/>
  <c r="AC73" i="47" s="1"/>
  <c r="AE73" i="47" s="1"/>
  <c r="Z63" i="33"/>
  <c r="AC63" i="33" s="1"/>
  <c r="AE63" i="33" s="1"/>
  <c r="Z92" i="33"/>
  <c r="AC92" i="33" s="1"/>
  <c r="AE92" i="33" s="1"/>
  <c r="Z9" i="34"/>
  <c r="AC9" i="34" s="1"/>
  <c r="AE9" i="34" s="1"/>
  <c r="Z20" i="34"/>
  <c r="AC20" i="34" s="1"/>
  <c r="AE20" i="34" s="1"/>
  <c r="Z24" i="34"/>
  <c r="AC24" i="34" s="1"/>
  <c r="AE24" i="34" s="1"/>
  <c r="Z59" i="34"/>
  <c r="AC59" i="34" s="1"/>
  <c r="AE59" i="34" s="1"/>
  <c r="Z73" i="34"/>
  <c r="AC73" i="34" s="1"/>
  <c r="AE73" i="34" s="1"/>
  <c r="Z84" i="34"/>
  <c r="AC84" i="34" s="1"/>
  <c r="AE84" i="34" s="1"/>
  <c r="Z88" i="34"/>
  <c r="AC88" i="34" s="1"/>
  <c r="AE88" i="34" s="1"/>
  <c r="Z10" i="35"/>
  <c r="AC10" i="35" s="1"/>
  <c r="AE10" i="35" s="1"/>
  <c r="Z28" i="35"/>
  <c r="AC28" i="35" s="1"/>
  <c r="AE28" i="35" s="1"/>
  <c r="Z68" i="35"/>
  <c r="AC68" i="35" s="1"/>
  <c r="AE68" i="35" s="1"/>
  <c r="Z72" i="35"/>
  <c r="AC72" i="35" s="1"/>
  <c r="AE72" i="35" s="1"/>
  <c r="Z83" i="35"/>
  <c r="AC83" i="35" s="1"/>
  <c r="AE83" i="35" s="1"/>
  <c r="Z97" i="35"/>
  <c r="AC97" i="35" s="1"/>
  <c r="AE97" i="35" s="1"/>
  <c r="Z12" i="36"/>
  <c r="AC12" i="36" s="1"/>
  <c r="AE12" i="36" s="1"/>
  <c r="Z16" i="36"/>
  <c r="AC16" i="36" s="1"/>
  <c r="AE16" i="36" s="1"/>
  <c r="Z27" i="36"/>
  <c r="AC27" i="36" s="1"/>
  <c r="AE27" i="36" s="1"/>
  <c r="Z57" i="36"/>
  <c r="AC57" i="36" s="1"/>
  <c r="AE57" i="36" s="1"/>
  <c r="Z66" i="36"/>
  <c r="AC66" i="36" s="1"/>
  <c r="AE66" i="36" s="1"/>
  <c r="Z84" i="36"/>
  <c r="AC84" i="36" s="1"/>
  <c r="AE84" i="36" s="1"/>
  <c r="Z93" i="36"/>
  <c r="AC93" i="36" s="1"/>
  <c r="AE93" i="36" s="1"/>
  <c r="Z17" i="37"/>
  <c r="AC17" i="37" s="1"/>
  <c r="AE17" i="37" s="1"/>
  <c r="Z26" i="37"/>
  <c r="AC26" i="37" s="1"/>
  <c r="AE26" i="37" s="1"/>
  <c r="Z53" i="37"/>
  <c r="AC53" i="37" s="1"/>
  <c r="AE53" i="37" s="1"/>
  <c r="Z75" i="37"/>
  <c r="AC75" i="37" s="1"/>
  <c r="AE75" i="37" s="1"/>
  <c r="Z81" i="38"/>
  <c r="AC81" i="38" s="1"/>
  <c r="AE81" i="38" s="1"/>
  <c r="Z23" i="39"/>
  <c r="AC23" i="39" s="1"/>
  <c r="AE23" i="39" s="1"/>
  <c r="Z41" i="39"/>
  <c r="AC41" i="39" s="1"/>
  <c r="AE41" i="39" s="1"/>
  <c r="Z66" i="39"/>
  <c r="AC66" i="39" s="1"/>
  <c r="AE66" i="39" s="1"/>
  <c r="Z8" i="40"/>
  <c r="AC8" i="40" s="1"/>
  <c r="AE8" i="40" s="1"/>
  <c r="Z24" i="40"/>
  <c r="AC24" i="40" s="1"/>
  <c r="AE24" i="40" s="1"/>
  <c r="Z40" i="40"/>
  <c r="AC40" i="40" s="1"/>
  <c r="AE40" i="40" s="1"/>
  <c r="Z56" i="40"/>
  <c r="AC56" i="40" s="1"/>
  <c r="AE56" i="40" s="1"/>
  <c r="Z72" i="40"/>
  <c r="AC72" i="40" s="1"/>
  <c r="AE72" i="40" s="1"/>
  <c r="Z88" i="40"/>
  <c r="AC88" i="40" s="1"/>
  <c r="AE88" i="40" s="1"/>
  <c r="Z76" i="41"/>
  <c r="AC76" i="41" s="1"/>
  <c r="AE76" i="41" s="1"/>
  <c r="Z79" i="45"/>
  <c r="AC79" i="45" s="1"/>
  <c r="AE79" i="45" s="1"/>
  <c r="Z50" i="28"/>
  <c r="AC50" i="28" s="1"/>
  <c r="AE50" i="28" s="1"/>
  <c r="Z68" i="28"/>
  <c r="AC68" i="28" s="1"/>
  <c r="AE68" i="28" s="1"/>
  <c r="Z72" i="28"/>
  <c r="AC72" i="28" s="1"/>
  <c r="AE72" i="28" s="1"/>
  <c r="Z83" i="28"/>
  <c r="AC83" i="28" s="1"/>
  <c r="AE83" i="28" s="1"/>
  <c r="Z21" i="29"/>
  <c r="AC21" i="29" s="1"/>
  <c r="AE21" i="29" s="1"/>
  <c r="Z39" i="29"/>
  <c r="AC39" i="29" s="1"/>
  <c r="AE39" i="29" s="1"/>
  <c r="Z57" i="29"/>
  <c r="AC57" i="29" s="1"/>
  <c r="AE57" i="29" s="1"/>
  <c r="Z66" i="29"/>
  <c r="AC66" i="29" s="1"/>
  <c r="AE66" i="29" s="1"/>
  <c r="Z84" i="29"/>
  <c r="AC84" i="29" s="1"/>
  <c r="AE84" i="29" s="1"/>
  <c r="Z88" i="29"/>
  <c r="AC88" i="29" s="1"/>
  <c r="AE88" i="29" s="1"/>
  <c r="Z28" i="30"/>
  <c r="AC28" i="30" s="1"/>
  <c r="AE28" i="30" s="1"/>
  <c r="Z90" i="30"/>
  <c r="AC90" i="30" s="1"/>
  <c r="AE90" i="30" s="1"/>
  <c r="Z11" i="31"/>
  <c r="AC11" i="31" s="1"/>
  <c r="AE11" i="31" s="1"/>
  <c r="Z61" i="31"/>
  <c r="AC61" i="31" s="1"/>
  <c r="AE61" i="31" s="1"/>
  <c r="Z79" i="31"/>
  <c r="AC79" i="31" s="1"/>
  <c r="AE79" i="31" s="1"/>
  <c r="Z97" i="31"/>
  <c r="AC97" i="31" s="1"/>
  <c r="AE97" i="31" s="1"/>
  <c r="Z12" i="32"/>
  <c r="AC12" i="32" s="1"/>
  <c r="AE12" i="32" s="1"/>
  <c r="Z16" i="32"/>
  <c r="AC16" i="32" s="1"/>
  <c r="AE16" i="32" s="1"/>
  <c r="Z27" i="32"/>
  <c r="AC27" i="32" s="1"/>
  <c r="AE27" i="32" s="1"/>
  <c r="Z77" i="32"/>
  <c r="AC77" i="32" s="1"/>
  <c r="AE77" i="32" s="1"/>
  <c r="Z95" i="32"/>
  <c r="AC95" i="32" s="1"/>
  <c r="AE95" i="32" s="1"/>
  <c r="Z10" i="33"/>
  <c r="AC10" i="33" s="1"/>
  <c r="AE10" i="33" s="1"/>
  <c r="Z56" i="33"/>
  <c r="AC56" i="33" s="1"/>
  <c r="AE56" i="33" s="1"/>
  <c r="Z61" i="33"/>
  <c r="AC61" i="33" s="1"/>
  <c r="AE61" i="33" s="1"/>
  <c r="Z81" i="33"/>
  <c r="AC81" i="33" s="1"/>
  <c r="AE81" i="33" s="1"/>
  <c r="Z96" i="33"/>
  <c r="AC96" i="33" s="1"/>
  <c r="AE96" i="33" s="1"/>
  <c r="Z32" i="35"/>
  <c r="AC32" i="35" s="1"/>
  <c r="AE32" i="35" s="1"/>
  <c r="Z39" i="35"/>
  <c r="AC39" i="35" s="1"/>
  <c r="AE39" i="35" s="1"/>
  <c r="Z57" i="35"/>
  <c r="AC57" i="35" s="1"/>
  <c r="AE57" i="35" s="1"/>
  <c r="Z77" i="35"/>
  <c r="AC77" i="35" s="1"/>
  <c r="AE77" i="35" s="1"/>
  <c r="Z21" i="36"/>
  <c r="AC21" i="36" s="1"/>
  <c r="AE21" i="36" s="1"/>
  <c r="Z39" i="36"/>
  <c r="AC39" i="36" s="1"/>
  <c r="AE39" i="36" s="1"/>
  <c r="Z33" i="37"/>
  <c r="AC33" i="37" s="1"/>
  <c r="AE33" i="37" s="1"/>
  <c r="Z42" i="37"/>
  <c r="AC42" i="37" s="1"/>
  <c r="AE42" i="37" s="1"/>
  <c r="Z60" i="37"/>
  <c r="AC60" i="37" s="1"/>
  <c r="AE60" i="37" s="1"/>
  <c r="Z96" i="38"/>
  <c r="AC96" i="38" s="1"/>
  <c r="AE96" i="38" s="1"/>
  <c r="Z5" i="39"/>
  <c r="AC5" i="39" s="1"/>
  <c r="AE5" i="39" s="1"/>
  <c r="Z27" i="39"/>
  <c r="AC27" i="39" s="1"/>
  <c r="AE27" i="39" s="1"/>
  <c r="Z57" i="39"/>
  <c r="AC57" i="39" s="1"/>
  <c r="AE57" i="39" s="1"/>
  <c r="Z73" i="39"/>
  <c r="AC73" i="39" s="1"/>
  <c r="AE73" i="39" s="1"/>
  <c r="Z82" i="39"/>
  <c r="AC82" i="39" s="1"/>
  <c r="AE82" i="39" s="1"/>
  <c r="Z11" i="42"/>
  <c r="AC11" i="42" s="1"/>
  <c r="AE11" i="42" s="1"/>
  <c r="Z42" i="43"/>
  <c r="AC42" i="43" s="1"/>
  <c r="AE42" i="43" s="1"/>
  <c r="Z98" i="44"/>
  <c r="AC98" i="44" s="1"/>
  <c r="AE98" i="44" s="1"/>
  <c r="Z19" i="45"/>
  <c r="AC19" i="45" s="1"/>
  <c r="AE19" i="45" s="1"/>
  <c r="Z51" i="45"/>
  <c r="AC51" i="45" s="1"/>
  <c r="AE51" i="45" s="1"/>
  <c r="Z70" i="45"/>
  <c r="AC70" i="45" s="1"/>
  <c r="AE70" i="45" s="1"/>
  <c r="Z86" i="45"/>
  <c r="AC86" i="45" s="1"/>
  <c r="AE86" i="45" s="1"/>
  <c r="Z95" i="45"/>
  <c r="AC95" i="45" s="1"/>
  <c r="AE95" i="45" s="1"/>
  <c r="Z30" i="47"/>
  <c r="AC30" i="47" s="1"/>
  <c r="AE30" i="47" s="1"/>
  <c r="Z55" i="47"/>
  <c r="AC55" i="47" s="1"/>
  <c r="AE55" i="47" s="1"/>
  <c r="Z71" i="47"/>
  <c r="AC71" i="47" s="1"/>
  <c r="AE71" i="47" s="1"/>
  <c r="Z70" i="49"/>
  <c r="AC70" i="49" s="1"/>
  <c r="AE70" i="49" s="1"/>
  <c r="Z93" i="32"/>
  <c r="AC93" i="32" s="1"/>
  <c r="AE93" i="32" s="1"/>
  <c r="Z79" i="33"/>
  <c r="AC79" i="33" s="1"/>
  <c r="AE79" i="33" s="1"/>
  <c r="Z37" i="35"/>
  <c r="AC37" i="35" s="1"/>
  <c r="AE37" i="35" s="1"/>
  <c r="Z43" i="35"/>
  <c r="AC43" i="35" s="1"/>
  <c r="AE43" i="35" s="1"/>
  <c r="Z46" i="35"/>
  <c r="AC46" i="35" s="1"/>
  <c r="AE46" i="35" s="1"/>
  <c r="Z55" i="35"/>
  <c r="AC55" i="35" s="1"/>
  <c r="AE55" i="35" s="1"/>
  <c r="Z37" i="36"/>
  <c r="AC37" i="36" s="1"/>
  <c r="AE37" i="36" s="1"/>
  <c r="Z48" i="36"/>
  <c r="AC48" i="36" s="1"/>
  <c r="AE48" i="36" s="1"/>
  <c r="Z59" i="36"/>
  <c r="AC59" i="36" s="1"/>
  <c r="AE59" i="36" s="1"/>
  <c r="Z85" i="37"/>
  <c r="AC85" i="37" s="1"/>
  <c r="AE85" i="37" s="1"/>
  <c r="Z9" i="38"/>
  <c r="AC9" i="38" s="1"/>
  <c r="AE9" i="38" s="1"/>
  <c r="Z18" i="38"/>
  <c r="AC18" i="38" s="1"/>
  <c r="AE18" i="38" s="1"/>
  <c r="Z45" i="38"/>
  <c r="AC45" i="38" s="1"/>
  <c r="AE45" i="38" s="1"/>
  <c r="Z83" i="38"/>
  <c r="AC83" i="38" s="1"/>
  <c r="AE83" i="38" s="1"/>
  <c r="Z86" i="38"/>
  <c r="AC86" i="38" s="1"/>
  <c r="AE86" i="38" s="1"/>
  <c r="Z21" i="39"/>
  <c r="AC21" i="39" s="1"/>
  <c r="AE21" i="39" s="1"/>
  <c r="Z28" i="39"/>
  <c r="AC28" i="39" s="1"/>
  <c r="AE28" i="39" s="1"/>
  <c r="Z32" i="39"/>
  <c r="AC32" i="39" s="1"/>
  <c r="AE32" i="39" s="1"/>
  <c r="Z43" i="39"/>
  <c r="AC43" i="39" s="1"/>
  <c r="AE43" i="39" s="1"/>
  <c r="Z46" i="39"/>
  <c r="AC46" i="39" s="1"/>
  <c r="AE46" i="39" s="1"/>
  <c r="Z19" i="41"/>
  <c r="AC19" i="41" s="1"/>
  <c r="AE19" i="41" s="1"/>
  <c r="Z22" i="41"/>
  <c r="AC22" i="41" s="1"/>
  <c r="AE22" i="41" s="1"/>
  <c r="Z81" i="41"/>
  <c r="AC81" i="41" s="1"/>
  <c r="AE81" i="41" s="1"/>
  <c r="Z55" i="42"/>
  <c r="AC55" i="42" s="1"/>
  <c r="AE55" i="42" s="1"/>
  <c r="Z73" i="42"/>
  <c r="AC73" i="42" s="1"/>
  <c r="AE73" i="42" s="1"/>
  <c r="Z15" i="43"/>
  <c r="AC15" i="43" s="1"/>
  <c r="AE15" i="43" s="1"/>
  <c r="Z45" i="45"/>
  <c r="AC45" i="45" s="1"/>
  <c r="AE45" i="45" s="1"/>
  <c r="Z68" i="45"/>
  <c r="AC68" i="45" s="1"/>
  <c r="AE68" i="45" s="1"/>
  <c r="Z88" i="45"/>
  <c r="AC88" i="45" s="1"/>
  <c r="AE88" i="45" s="1"/>
  <c r="Z97" i="46"/>
  <c r="AC97" i="46" s="1"/>
  <c r="AE97" i="46" s="1"/>
  <c r="Z64" i="47"/>
  <c r="AC64" i="47" s="1"/>
  <c r="AE64" i="47" s="1"/>
  <c r="Z11" i="34"/>
  <c r="AC11" i="34" s="1"/>
  <c r="AE11" i="34" s="1"/>
  <c r="Z25" i="34"/>
  <c r="AC25" i="34" s="1"/>
  <c r="AE25" i="34" s="1"/>
  <c r="Z36" i="34"/>
  <c r="AC36" i="34" s="1"/>
  <c r="AE36" i="34" s="1"/>
  <c r="Z40" i="34"/>
  <c r="AC40" i="34" s="1"/>
  <c r="AE40" i="34" s="1"/>
  <c r="Z69" i="34"/>
  <c r="AC69" i="34" s="1"/>
  <c r="AE69" i="34" s="1"/>
  <c r="Z89" i="34"/>
  <c r="AC89" i="34" s="1"/>
  <c r="AE89" i="34" s="1"/>
  <c r="Z98" i="34"/>
  <c r="AC98" i="34" s="1"/>
  <c r="AE98" i="34" s="1"/>
  <c r="Z4" i="35"/>
  <c r="AC4" i="35" s="1"/>
  <c r="Z8" i="35"/>
  <c r="AC8" i="35" s="1"/>
  <c r="AE8" i="35" s="1"/>
  <c r="Z15" i="35"/>
  <c r="AC15" i="35" s="1"/>
  <c r="AE15" i="35" s="1"/>
  <c r="Z48" i="35"/>
  <c r="AC48" i="35" s="1"/>
  <c r="AE48" i="35" s="1"/>
  <c r="Z59" i="35"/>
  <c r="AC59" i="35" s="1"/>
  <c r="AE59" i="35" s="1"/>
  <c r="Z73" i="35"/>
  <c r="AC73" i="35" s="1"/>
  <c r="AE73" i="35" s="1"/>
  <c r="Z82" i="35"/>
  <c r="AC82" i="35" s="1"/>
  <c r="AE82" i="35" s="1"/>
  <c r="Z17" i="36"/>
  <c r="AC17" i="36" s="1"/>
  <c r="AE17" i="36" s="1"/>
  <c r="Z26" i="36"/>
  <c r="AC26" i="36" s="1"/>
  <c r="AE26" i="36" s="1"/>
  <c r="Z44" i="36"/>
  <c r="AC44" i="36" s="1"/>
  <c r="AE44" i="36" s="1"/>
  <c r="Z65" i="37"/>
  <c r="AC65" i="37" s="1"/>
  <c r="AE65" i="37" s="1"/>
  <c r="Z74" i="37"/>
  <c r="AC74" i="37" s="1"/>
  <c r="AE74" i="37" s="1"/>
  <c r="Z92" i="37"/>
  <c r="AC92" i="37" s="1"/>
  <c r="AE92" i="37" s="1"/>
  <c r="Z68" i="38"/>
  <c r="AC68" i="38" s="1"/>
  <c r="AE68" i="38" s="1"/>
  <c r="Z77" i="38"/>
  <c r="AC77" i="38" s="1"/>
  <c r="AE77" i="38" s="1"/>
  <c r="Z95" i="38"/>
  <c r="AC95" i="38" s="1"/>
  <c r="AE95" i="38" s="1"/>
  <c r="Z10" i="39"/>
  <c r="AC10" i="39" s="1"/>
  <c r="AE10" i="39" s="1"/>
  <c r="Z37" i="39"/>
  <c r="AC37" i="39" s="1"/>
  <c r="AE37" i="39" s="1"/>
  <c r="Z87" i="39"/>
  <c r="AC87" i="39" s="1"/>
  <c r="AE87" i="39" s="1"/>
  <c r="Z18" i="40"/>
  <c r="AC18" i="40" s="1"/>
  <c r="AE18" i="40" s="1"/>
  <c r="Z34" i="40"/>
  <c r="AC34" i="40" s="1"/>
  <c r="AE34" i="40" s="1"/>
  <c r="Z50" i="40"/>
  <c r="AC50" i="40" s="1"/>
  <c r="AE50" i="40" s="1"/>
  <c r="Z66" i="40"/>
  <c r="AC66" i="40" s="1"/>
  <c r="AE66" i="40" s="1"/>
  <c r="Z82" i="40"/>
  <c r="AC82" i="40" s="1"/>
  <c r="AE82" i="40" s="1"/>
  <c r="Z98" i="40"/>
  <c r="AC98" i="40" s="1"/>
  <c r="AE98" i="40" s="1"/>
  <c r="Z89" i="42"/>
  <c r="AC89" i="42" s="1"/>
  <c r="AE89" i="42" s="1"/>
  <c r="Z98" i="42"/>
  <c r="AC98" i="42" s="1"/>
  <c r="AE98" i="42" s="1"/>
  <c r="Z4" i="43"/>
  <c r="Z19" i="43"/>
  <c r="AC19" i="43" s="1"/>
  <c r="AE19" i="43" s="1"/>
  <c r="Z22" i="43"/>
  <c r="AC22" i="43" s="1"/>
  <c r="AE22" i="43" s="1"/>
  <c r="Z63" i="43"/>
  <c r="AC63" i="43" s="1"/>
  <c r="AE63" i="43" s="1"/>
  <c r="Z44" i="44"/>
  <c r="AC44" i="44" s="1"/>
  <c r="AE44" i="44" s="1"/>
  <c r="Z50" i="45"/>
  <c r="AC50" i="45" s="1"/>
  <c r="AE50" i="45" s="1"/>
  <c r="Z66" i="45"/>
  <c r="AC66" i="45" s="1"/>
  <c r="AE66" i="45" s="1"/>
  <c r="Z71" i="29"/>
  <c r="AC71" i="29" s="1"/>
  <c r="AE71" i="29" s="1"/>
  <c r="Z89" i="29"/>
  <c r="AC89" i="29" s="1"/>
  <c r="AE89" i="29" s="1"/>
  <c r="Z98" i="29"/>
  <c r="AC98" i="29" s="1"/>
  <c r="AE98" i="29" s="1"/>
  <c r="Z8" i="30"/>
  <c r="AC8" i="30" s="1"/>
  <c r="AE8" i="30" s="1"/>
  <c r="Z33" i="30"/>
  <c r="AC33" i="30" s="1"/>
  <c r="AE33" i="30" s="1"/>
  <c r="Z59" i="30"/>
  <c r="AC59" i="30" s="1"/>
  <c r="AE59" i="30" s="1"/>
  <c r="Z84" i="30"/>
  <c r="AC84" i="30" s="1"/>
  <c r="AE84" i="30" s="1"/>
  <c r="Z88" i="30"/>
  <c r="AC88" i="30" s="1"/>
  <c r="AE88" i="30" s="1"/>
  <c r="Z95" i="30"/>
  <c r="AC95" i="30" s="1"/>
  <c r="AE95" i="30" s="1"/>
  <c r="Z10" i="31"/>
  <c r="AC10" i="31" s="1"/>
  <c r="AE10" i="31" s="1"/>
  <c r="Z28" i="31"/>
  <c r="AC28" i="31" s="1"/>
  <c r="AE28" i="31" s="1"/>
  <c r="Z32" i="31"/>
  <c r="AC32" i="31" s="1"/>
  <c r="AE32" i="31" s="1"/>
  <c r="Z43" i="31"/>
  <c r="AC43" i="31" s="1"/>
  <c r="AE43" i="31" s="1"/>
  <c r="Z93" i="31"/>
  <c r="AC93" i="31" s="1"/>
  <c r="AE93" i="31" s="1"/>
  <c r="Z17" i="32"/>
  <c r="AC17" i="32" s="1"/>
  <c r="AE17" i="32" s="1"/>
  <c r="Z26" i="32"/>
  <c r="AC26" i="32" s="1"/>
  <c r="AE26" i="32" s="1"/>
  <c r="Z44" i="32"/>
  <c r="AC44" i="32" s="1"/>
  <c r="AE44" i="32" s="1"/>
  <c r="Z48" i="32"/>
  <c r="AC48" i="32" s="1"/>
  <c r="AE48" i="32" s="1"/>
  <c r="Z59" i="32"/>
  <c r="AC59" i="32" s="1"/>
  <c r="AE59" i="32" s="1"/>
  <c r="Z43" i="33"/>
  <c r="AC43" i="33" s="1"/>
  <c r="AE43" i="33" s="1"/>
  <c r="Z57" i="33"/>
  <c r="AC57" i="33" s="1"/>
  <c r="AE57" i="33" s="1"/>
  <c r="Z97" i="33"/>
  <c r="AC97" i="33" s="1"/>
  <c r="AE97" i="33" s="1"/>
  <c r="Z19" i="35"/>
  <c r="AC19" i="35" s="1"/>
  <c r="AE19" i="35" s="1"/>
  <c r="Z33" i="35"/>
  <c r="AC33" i="35" s="1"/>
  <c r="AE33" i="35" s="1"/>
  <c r="Z44" i="35"/>
  <c r="AC44" i="35" s="1"/>
  <c r="AE44" i="35" s="1"/>
  <c r="Z53" i="35"/>
  <c r="AC53" i="35" s="1"/>
  <c r="AE53" i="35" s="1"/>
  <c r="Z87" i="36"/>
  <c r="AC87" i="36" s="1"/>
  <c r="AE87" i="36" s="1"/>
  <c r="Z20" i="37"/>
  <c r="AC20" i="37" s="1"/>
  <c r="AE20" i="37" s="1"/>
  <c r="Z24" i="37"/>
  <c r="AC24" i="37" s="1"/>
  <c r="AE24" i="37" s="1"/>
  <c r="Z47" i="37"/>
  <c r="AC47" i="37" s="1"/>
  <c r="AE47" i="37" s="1"/>
  <c r="Z7" i="38"/>
  <c r="AC7" i="38" s="1"/>
  <c r="AE7" i="38" s="1"/>
  <c r="Z40" i="38"/>
  <c r="AC40" i="38" s="1"/>
  <c r="AE40" i="38" s="1"/>
  <c r="Z50" i="38"/>
  <c r="AC50" i="38" s="1"/>
  <c r="AE50" i="38" s="1"/>
  <c r="Z84" i="38"/>
  <c r="AC84" i="38" s="1"/>
  <c r="AE84" i="38" s="1"/>
  <c r="Z91" i="39"/>
  <c r="AC91" i="39" s="1"/>
  <c r="AE91" i="39" s="1"/>
  <c r="Z9" i="40"/>
  <c r="AC9" i="40" s="1"/>
  <c r="AE9" i="40" s="1"/>
  <c r="Z25" i="40"/>
  <c r="AC25" i="40" s="1"/>
  <c r="AE25" i="40" s="1"/>
  <c r="Z41" i="40"/>
  <c r="AC41" i="40" s="1"/>
  <c r="AE41" i="40" s="1"/>
  <c r="Z57" i="40"/>
  <c r="AC57" i="40" s="1"/>
  <c r="AE57" i="40" s="1"/>
  <c r="Z73" i="40"/>
  <c r="AC73" i="40" s="1"/>
  <c r="AE73" i="40" s="1"/>
  <c r="Z89" i="40"/>
  <c r="AC89" i="40" s="1"/>
  <c r="AE89" i="40" s="1"/>
  <c r="Z13" i="41"/>
  <c r="AC13" i="41" s="1"/>
  <c r="AE13" i="41" s="1"/>
  <c r="Z63" i="41"/>
  <c r="AC63" i="41" s="1"/>
  <c r="AE63" i="41" s="1"/>
  <c r="Z10" i="42"/>
  <c r="AC10" i="42" s="1"/>
  <c r="AE10" i="42" s="1"/>
  <c r="Z28" i="42"/>
  <c r="AC28" i="42" s="1"/>
  <c r="AE28" i="42" s="1"/>
  <c r="Z37" i="42"/>
  <c r="AC37" i="42" s="1"/>
  <c r="AE37" i="42" s="1"/>
  <c r="Z44" i="42"/>
  <c r="AC44" i="42" s="1"/>
  <c r="AE44" i="42" s="1"/>
  <c r="Z48" i="42"/>
  <c r="AC48" i="42" s="1"/>
  <c r="AE48" i="42" s="1"/>
  <c r="Z71" i="42"/>
  <c r="AC71" i="42" s="1"/>
  <c r="AE71" i="42" s="1"/>
  <c r="Z13" i="43"/>
  <c r="AC13" i="43" s="1"/>
  <c r="AE13" i="43" s="1"/>
  <c r="Z38" i="43"/>
  <c r="AC38" i="43" s="1"/>
  <c r="AE38" i="43" s="1"/>
  <c r="Z26" i="44"/>
  <c r="AC26" i="44" s="1"/>
  <c r="AE26" i="44" s="1"/>
  <c r="Z91" i="44"/>
  <c r="AC91" i="44" s="1"/>
  <c r="AE91" i="44" s="1"/>
  <c r="Z94" i="44"/>
  <c r="AC94" i="44" s="1"/>
  <c r="AE94" i="44" s="1"/>
  <c r="Z9" i="45"/>
  <c r="AC9" i="45" s="1"/>
  <c r="AE9" i="45" s="1"/>
  <c r="Z25" i="45"/>
  <c r="AC25" i="45" s="1"/>
  <c r="AE25" i="45" s="1"/>
  <c r="Z41" i="45"/>
  <c r="AC41" i="45" s="1"/>
  <c r="AE41" i="45" s="1"/>
  <c r="Z79" i="46"/>
  <c r="AC79" i="46" s="1"/>
  <c r="AE79" i="46" s="1"/>
  <c r="Z50" i="49"/>
  <c r="AC50" i="49" s="1"/>
  <c r="AE50" i="49" s="1"/>
  <c r="Z48" i="28"/>
  <c r="AC48" i="28" s="1"/>
  <c r="AE48" i="28" s="1"/>
  <c r="Z59" i="28"/>
  <c r="AC59" i="28" s="1"/>
  <c r="AE59" i="28" s="1"/>
  <c r="Z15" i="29"/>
  <c r="AC15" i="29" s="1"/>
  <c r="AE15" i="29" s="1"/>
  <c r="Z33" i="29"/>
  <c r="AC33" i="29" s="1"/>
  <c r="AE33" i="29" s="1"/>
  <c r="Z42" i="29"/>
  <c r="AC42" i="29" s="1"/>
  <c r="AE42" i="29" s="1"/>
  <c r="Z60" i="29"/>
  <c r="AC60" i="29" s="1"/>
  <c r="AE60" i="29" s="1"/>
  <c r="Z64" i="29"/>
  <c r="AC64" i="29" s="1"/>
  <c r="AE64" i="29" s="1"/>
  <c r="Z75" i="29"/>
  <c r="AC75" i="29" s="1"/>
  <c r="AE75" i="29" s="1"/>
  <c r="Z13" i="30"/>
  <c r="AC13" i="30" s="1"/>
  <c r="AE13" i="30" s="1"/>
  <c r="Z19" i="30"/>
  <c r="AC19" i="30" s="1"/>
  <c r="AE19" i="30" s="1"/>
  <c r="Z42" i="30"/>
  <c r="AC42" i="30" s="1"/>
  <c r="AE42" i="30" s="1"/>
  <c r="Z53" i="30"/>
  <c r="AC53" i="30" s="1"/>
  <c r="AE53" i="30" s="1"/>
  <c r="Z73" i="30"/>
  <c r="AC73" i="30" s="1"/>
  <c r="AE73" i="30" s="1"/>
  <c r="Z37" i="31"/>
  <c r="AC37" i="31" s="1"/>
  <c r="AE37" i="31" s="1"/>
  <c r="Z55" i="31"/>
  <c r="AC55" i="31" s="1"/>
  <c r="AE55" i="31" s="1"/>
  <c r="Z73" i="31"/>
  <c r="AC73" i="31" s="1"/>
  <c r="AE73" i="31" s="1"/>
  <c r="Z82" i="31"/>
  <c r="AC82" i="31" s="1"/>
  <c r="AE82" i="31" s="1"/>
  <c r="Z53" i="32"/>
  <c r="AC53" i="32" s="1"/>
  <c r="AE53" i="32" s="1"/>
  <c r="Z71" i="32"/>
  <c r="AC71" i="32" s="1"/>
  <c r="AE71" i="32" s="1"/>
  <c r="Z89" i="32"/>
  <c r="AC89" i="32" s="1"/>
  <c r="AE89" i="32" s="1"/>
  <c r="Z98" i="32"/>
  <c r="AC98" i="32" s="1"/>
  <c r="AE98" i="32" s="1"/>
  <c r="Z4" i="33"/>
  <c r="AC4" i="33" s="1"/>
  <c r="Z15" i="33"/>
  <c r="AC15" i="33" s="1"/>
  <c r="AE15" i="33" s="1"/>
  <c r="Z26" i="33"/>
  <c r="AC26" i="33" s="1"/>
  <c r="AE26" i="33" s="1"/>
  <c r="Z66" i="33"/>
  <c r="AC66" i="33" s="1"/>
  <c r="AE66" i="33" s="1"/>
  <c r="Z84" i="33"/>
  <c r="AC84" i="33" s="1"/>
  <c r="AE84" i="33" s="1"/>
  <c r="Z88" i="33"/>
  <c r="AC88" i="33" s="1"/>
  <c r="AE88" i="33" s="1"/>
  <c r="Z12" i="34"/>
  <c r="AC12" i="34" s="1"/>
  <c r="AE12" i="34" s="1"/>
  <c r="Z16" i="34"/>
  <c r="AC16" i="34" s="1"/>
  <c r="AE16" i="34" s="1"/>
  <c r="Z51" i="34"/>
  <c r="AC51" i="34" s="1"/>
  <c r="AE51" i="34" s="1"/>
  <c r="Z65" i="34"/>
  <c r="AC65" i="34" s="1"/>
  <c r="AE65" i="34" s="1"/>
  <c r="Z87" i="34"/>
  <c r="AC87" i="34" s="1"/>
  <c r="AE87" i="34" s="1"/>
  <c r="Z13" i="35"/>
  <c r="AC13" i="35" s="1"/>
  <c r="AE13" i="35" s="1"/>
  <c r="Z60" i="35"/>
  <c r="AC60" i="35" s="1"/>
  <c r="AE60" i="35" s="1"/>
  <c r="Z64" i="35"/>
  <c r="AC64" i="35" s="1"/>
  <c r="AE64" i="35" s="1"/>
  <c r="Z71" i="35"/>
  <c r="AC71" i="35" s="1"/>
  <c r="AE71" i="35" s="1"/>
  <c r="Z89" i="35"/>
  <c r="AC89" i="35" s="1"/>
  <c r="AE89" i="35" s="1"/>
  <c r="Z15" i="36"/>
  <c r="AC15" i="36" s="1"/>
  <c r="AE15" i="36" s="1"/>
  <c r="Z33" i="36"/>
  <c r="AC33" i="36" s="1"/>
  <c r="AE33" i="36" s="1"/>
  <c r="Z69" i="36"/>
  <c r="AC69" i="36" s="1"/>
  <c r="AE69" i="36" s="1"/>
  <c r="Z91" i="36"/>
  <c r="AC91" i="36" s="1"/>
  <c r="AE91" i="36" s="1"/>
  <c r="Z29" i="37"/>
  <c r="AC29" i="37" s="1"/>
  <c r="AE29" i="37" s="1"/>
  <c r="Z63" i="37"/>
  <c r="AC63" i="37" s="1"/>
  <c r="AE63" i="37" s="1"/>
  <c r="Z81" i="37"/>
  <c r="AC81" i="37" s="1"/>
  <c r="AE81" i="37" s="1"/>
  <c r="Z90" i="37"/>
  <c r="AC90" i="37" s="1"/>
  <c r="AE90" i="37" s="1"/>
  <c r="Z41" i="38"/>
  <c r="AC41" i="38" s="1"/>
  <c r="AE41" i="38" s="1"/>
  <c r="Z61" i="38"/>
  <c r="AC61" i="38" s="1"/>
  <c r="AE61" i="38" s="1"/>
  <c r="Z69" i="39"/>
  <c r="AC69" i="39" s="1"/>
  <c r="AE69" i="39" s="1"/>
  <c r="Z76" i="39"/>
  <c r="AC76" i="39" s="1"/>
  <c r="AE76" i="39" s="1"/>
  <c r="Z80" i="39"/>
  <c r="AC80" i="39" s="1"/>
  <c r="AE80" i="39" s="1"/>
  <c r="Z70" i="41"/>
  <c r="AC70" i="41" s="1"/>
  <c r="AE70" i="41" s="1"/>
  <c r="Z83" i="41"/>
  <c r="AC83" i="41" s="1"/>
  <c r="AE83" i="41" s="1"/>
  <c r="Z86" i="41"/>
  <c r="AC86" i="41" s="1"/>
  <c r="AE86" i="41" s="1"/>
  <c r="Z95" i="41"/>
  <c r="AC95" i="41" s="1"/>
  <c r="AE95" i="41" s="1"/>
  <c r="Z53" i="42"/>
  <c r="AC53" i="42" s="1"/>
  <c r="AE53" i="42" s="1"/>
  <c r="Z60" i="42"/>
  <c r="AC60" i="42" s="1"/>
  <c r="AE60" i="42" s="1"/>
  <c r="Z64" i="42"/>
  <c r="AC64" i="42" s="1"/>
  <c r="AE64" i="42" s="1"/>
  <c r="Z75" i="42"/>
  <c r="AC75" i="42" s="1"/>
  <c r="AE75" i="42" s="1"/>
  <c r="Z78" i="42"/>
  <c r="AC78" i="42" s="1"/>
  <c r="AE78" i="42" s="1"/>
  <c r="Z54" i="43"/>
  <c r="AC54" i="43" s="1"/>
  <c r="AE54" i="43" s="1"/>
  <c r="Z17" i="44"/>
  <c r="AC17" i="44" s="1"/>
  <c r="AE17" i="44" s="1"/>
  <c r="Z69" i="44"/>
  <c r="AC69" i="44" s="1"/>
  <c r="AE69" i="44" s="1"/>
  <c r="Z78" i="44"/>
  <c r="AC78" i="44" s="1"/>
  <c r="AE78" i="44" s="1"/>
  <c r="Z80" i="44"/>
  <c r="AC80" i="44" s="1"/>
  <c r="AE80" i="44" s="1"/>
  <c r="Z96" i="44"/>
  <c r="AC96" i="44" s="1"/>
  <c r="AE96" i="44" s="1"/>
  <c r="Z86" i="46"/>
  <c r="AC86" i="46" s="1"/>
  <c r="AE86" i="46" s="1"/>
  <c r="Z69" i="29"/>
  <c r="AC69" i="29" s="1"/>
  <c r="AE69" i="29" s="1"/>
  <c r="Z87" i="29"/>
  <c r="AC87" i="29" s="1"/>
  <c r="AE87" i="29" s="1"/>
  <c r="Z31" i="30"/>
  <c r="AC31" i="30" s="1"/>
  <c r="AE31" i="30" s="1"/>
  <c r="Z60" i="30"/>
  <c r="AC60" i="30" s="1"/>
  <c r="AE60" i="30" s="1"/>
  <c r="Z82" i="30"/>
  <c r="AC82" i="30" s="1"/>
  <c r="AE82" i="30" s="1"/>
  <c r="Z93" i="30"/>
  <c r="AC93" i="30" s="1"/>
  <c r="AE93" i="30" s="1"/>
  <c r="Z17" i="31"/>
  <c r="AC17" i="31" s="1"/>
  <c r="AE17" i="31" s="1"/>
  <c r="Z26" i="31"/>
  <c r="AC26" i="31" s="1"/>
  <c r="AE26" i="31" s="1"/>
  <c r="Z44" i="31"/>
  <c r="AC44" i="31" s="1"/>
  <c r="AE44" i="31" s="1"/>
  <c r="Z48" i="31"/>
  <c r="AC48" i="31" s="1"/>
  <c r="AE48" i="31" s="1"/>
  <c r="Z59" i="31"/>
  <c r="AC59" i="31" s="1"/>
  <c r="AE59" i="31" s="1"/>
  <c r="Z15" i="32"/>
  <c r="AC15" i="32" s="1"/>
  <c r="AE15" i="32" s="1"/>
  <c r="Z33" i="32"/>
  <c r="AC33" i="32" s="1"/>
  <c r="AE33" i="32" s="1"/>
  <c r="Z42" i="32"/>
  <c r="AC42" i="32" s="1"/>
  <c r="AE42" i="32" s="1"/>
  <c r="Z60" i="32"/>
  <c r="AC60" i="32" s="1"/>
  <c r="AE60" i="32" s="1"/>
  <c r="Z64" i="32"/>
  <c r="AC64" i="32" s="1"/>
  <c r="AE64" i="32" s="1"/>
  <c r="Z75" i="32"/>
  <c r="AC75" i="32" s="1"/>
  <c r="AE75" i="32" s="1"/>
  <c r="Z13" i="33"/>
  <c r="AC13" i="33" s="1"/>
  <c r="AE13" i="33" s="1"/>
  <c r="Z44" i="33"/>
  <c r="AC44" i="33" s="1"/>
  <c r="AE44" i="33" s="1"/>
  <c r="AC53" i="33"/>
  <c r="AE53" i="33" s="1"/>
  <c r="Z55" i="33"/>
  <c r="AC55" i="33" s="1"/>
  <c r="AE55" i="33" s="1"/>
  <c r="Z95" i="33"/>
  <c r="AC95" i="33" s="1"/>
  <c r="AE95" i="33" s="1"/>
  <c r="Z76" i="34"/>
  <c r="AC76" i="34" s="1"/>
  <c r="AE76" i="34" s="1"/>
  <c r="Z80" i="34"/>
  <c r="AC80" i="34" s="1"/>
  <c r="AE80" i="34" s="1"/>
  <c r="Z91" i="34"/>
  <c r="AC91" i="34" s="1"/>
  <c r="AE91" i="34" s="1"/>
  <c r="Z20" i="35"/>
  <c r="AC20" i="35" s="1"/>
  <c r="AE20" i="35" s="1"/>
  <c r="Z24" i="35"/>
  <c r="AC24" i="35" s="1"/>
  <c r="AE24" i="35" s="1"/>
  <c r="Z31" i="35"/>
  <c r="AC31" i="35" s="1"/>
  <c r="AE31" i="35" s="1"/>
  <c r="Z42" i="35"/>
  <c r="AC42" i="35" s="1"/>
  <c r="AE42" i="35" s="1"/>
  <c r="Z75" i="35"/>
  <c r="AC75" i="35" s="1"/>
  <c r="AE75" i="35" s="1"/>
  <c r="Z98" i="35"/>
  <c r="AC98" i="35" s="1"/>
  <c r="AE98" i="35" s="1"/>
  <c r="Z4" i="36"/>
  <c r="AC4" i="36" s="1"/>
  <c r="Z19" i="36"/>
  <c r="AC19" i="36" s="1"/>
  <c r="AE19" i="36" s="1"/>
  <c r="Z49" i="36"/>
  <c r="AC49" i="36" s="1"/>
  <c r="AE49" i="36" s="1"/>
  <c r="Z58" i="36"/>
  <c r="AC58" i="36" s="1"/>
  <c r="AE58" i="36" s="1"/>
  <c r="Z76" i="36"/>
  <c r="AC76" i="36" s="1"/>
  <c r="AE76" i="36" s="1"/>
  <c r="Z80" i="36"/>
  <c r="AC80" i="36" s="1"/>
  <c r="AE80" i="36" s="1"/>
  <c r="Z45" i="37"/>
  <c r="AC45" i="37" s="1"/>
  <c r="AE45" i="37" s="1"/>
  <c r="Z67" i="37"/>
  <c r="AC67" i="37" s="1"/>
  <c r="AE67" i="37" s="1"/>
  <c r="Z5" i="38"/>
  <c r="AC5" i="38" s="1"/>
  <c r="AE5" i="38" s="1"/>
  <c r="Z27" i="38"/>
  <c r="AC27" i="38" s="1"/>
  <c r="AE27" i="38" s="1"/>
  <c r="Z73" i="38"/>
  <c r="AC73" i="38" s="1"/>
  <c r="AE73" i="38" s="1"/>
  <c r="Z45" i="41"/>
  <c r="AC45" i="41" s="1"/>
  <c r="AE45" i="41" s="1"/>
  <c r="Z72" i="41"/>
  <c r="AC72" i="41" s="1"/>
  <c r="AE72" i="41" s="1"/>
  <c r="Z88" i="41"/>
  <c r="AC88" i="41" s="1"/>
  <c r="AE88" i="41" s="1"/>
  <c r="Z17" i="42"/>
  <c r="AC17" i="42" s="1"/>
  <c r="AE17" i="42" s="1"/>
  <c r="Z26" i="42"/>
  <c r="AC26" i="42" s="1"/>
  <c r="AE26" i="42" s="1"/>
  <c r="Z45" i="43"/>
  <c r="AC45" i="43" s="1"/>
  <c r="AE45" i="43" s="1"/>
  <c r="Z58" i="44"/>
  <c r="AC58" i="44" s="1"/>
  <c r="AE58" i="44" s="1"/>
  <c r="Z76" i="44"/>
  <c r="AC76" i="44" s="1"/>
  <c r="AE76" i="44" s="1"/>
  <c r="Z85" i="44"/>
  <c r="AC85" i="44" s="1"/>
  <c r="AE85" i="44" s="1"/>
  <c r="Z92" i="44"/>
  <c r="AC92" i="44" s="1"/>
  <c r="AE92" i="44" s="1"/>
  <c r="Z7" i="45"/>
  <c r="AC7" i="45" s="1"/>
  <c r="AE7" i="45" s="1"/>
  <c r="Z23" i="45"/>
  <c r="AC23" i="45" s="1"/>
  <c r="AE23" i="45" s="1"/>
  <c r="Z88" i="46"/>
  <c r="AC88" i="46" s="1"/>
  <c r="AE88" i="46" s="1"/>
  <c r="Z42" i="28"/>
  <c r="AC42" i="28" s="1"/>
  <c r="AE42" i="28" s="1"/>
  <c r="Z60" i="28"/>
  <c r="AC60" i="28" s="1"/>
  <c r="AE60" i="28" s="1"/>
  <c r="Z64" i="28"/>
  <c r="AC64" i="28" s="1"/>
  <c r="AE64" i="28" s="1"/>
  <c r="Z75" i="28"/>
  <c r="AC75" i="28" s="1"/>
  <c r="AE75" i="28" s="1"/>
  <c r="Z13" i="29"/>
  <c r="AC13" i="29" s="1"/>
  <c r="AE13" i="29" s="1"/>
  <c r="Z31" i="29"/>
  <c r="AC31" i="29" s="1"/>
  <c r="AE31" i="29" s="1"/>
  <c r="Z49" i="29"/>
  <c r="AC49" i="29" s="1"/>
  <c r="AE49" i="29" s="1"/>
  <c r="Z58" i="29"/>
  <c r="AC58" i="29" s="1"/>
  <c r="AE58" i="29" s="1"/>
  <c r="Z76" i="29"/>
  <c r="AC76" i="29" s="1"/>
  <c r="AE76" i="29" s="1"/>
  <c r="Z80" i="29"/>
  <c r="AC80" i="29" s="1"/>
  <c r="AE80" i="29" s="1"/>
  <c r="Z91" i="29"/>
  <c r="AC91" i="29" s="1"/>
  <c r="AE91" i="29" s="1"/>
  <c r="Z20" i="30"/>
  <c r="AC20" i="30" s="1"/>
  <c r="AE20" i="30" s="1"/>
  <c r="Z24" i="30"/>
  <c r="AC24" i="30" s="1"/>
  <c r="AE24" i="30" s="1"/>
  <c r="Z35" i="30"/>
  <c r="AC35" i="30" s="1"/>
  <c r="AE35" i="30" s="1"/>
  <c r="Z49" i="30"/>
  <c r="AC49" i="30" s="1"/>
  <c r="AE49" i="30" s="1"/>
  <c r="Z64" i="30"/>
  <c r="AC64" i="30" s="1"/>
  <c r="AE64" i="30" s="1"/>
  <c r="Z71" i="30"/>
  <c r="AC71" i="30" s="1"/>
  <c r="AE71" i="30" s="1"/>
  <c r="Z53" i="31"/>
  <c r="AC53" i="31" s="1"/>
  <c r="AE53" i="31" s="1"/>
  <c r="Z71" i="31"/>
  <c r="AC71" i="31" s="1"/>
  <c r="AE71" i="31" s="1"/>
  <c r="Z89" i="31"/>
  <c r="AC89" i="31" s="1"/>
  <c r="AE89" i="31" s="1"/>
  <c r="Z98" i="31"/>
  <c r="AC98" i="31" s="1"/>
  <c r="AE98" i="31" s="1"/>
  <c r="Z4" i="32"/>
  <c r="AC4" i="32" s="1"/>
  <c r="Z19" i="32"/>
  <c r="AC19" i="32" s="1"/>
  <c r="AE19" i="32" s="1"/>
  <c r="Z69" i="32"/>
  <c r="AC69" i="32" s="1"/>
  <c r="AE69" i="32" s="1"/>
  <c r="Z87" i="32"/>
  <c r="AC87" i="32" s="1"/>
  <c r="AE87" i="32" s="1"/>
  <c r="Z19" i="33"/>
  <c r="AC19" i="33" s="1"/>
  <c r="AE19" i="33" s="1"/>
  <c r="Z33" i="33"/>
  <c r="AC33" i="33" s="1"/>
  <c r="AE33" i="33" s="1"/>
  <c r="Z59" i="33"/>
  <c r="AC59" i="33" s="1"/>
  <c r="AE59" i="33" s="1"/>
  <c r="Z73" i="33"/>
  <c r="AC73" i="33" s="1"/>
  <c r="AE73" i="33" s="1"/>
  <c r="Z82" i="33"/>
  <c r="AC82" i="33" s="1"/>
  <c r="AE82" i="33" s="1"/>
  <c r="Z93" i="33"/>
  <c r="AC93" i="33" s="1"/>
  <c r="AE93" i="33" s="1"/>
  <c r="Z27" i="34"/>
  <c r="AC27" i="34" s="1"/>
  <c r="AE27" i="34" s="1"/>
  <c r="Z41" i="34"/>
  <c r="AC41" i="34" s="1"/>
  <c r="AE41" i="34" s="1"/>
  <c r="Z52" i="34"/>
  <c r="AC52" i="34" s="1"/>
  <c r="AE52" i="34" s="1"/>
  <c r="Z56" i="34"/>
  <c r="AC56" i="34" s="1"/>
  <c r="AE56" i="34" s="1"/>
  <c r="Z63" i="34"/>
  <c r="AC63" i="34" s="1"/>
  <c r="AE63" i="34" s="1"/>
  <c r="Z74" i="34"/>
  <c r="AC74" i="34" s="1"/>
  <c r="AE74" i="34" s="1"/>
  <c r="Z9" i="35"/>
  <c r="AC9" i="35" s="1"/>
  <c r="AE9" i="35" s="1"/>
  <c r="Z29" i="35"/>
  <c r="AC29" i="35" s="1"/>
  <c r="AE29" i="35" s="1"/>
  <c r="Z49" i="35"/>
  <c r="AC49" i="35" s="1"/>
  <c r="AE49" i="35" s="1"/>
  <c r="Z58" i="35"/>
  <c r="AC58" i="35" s="1"/>
  <c r="AE58" i="35" s="1"/>
  <c r="Z69" i="35"/>
  <c r="AC69" i="35" s="1"/>
  <c r="AE69" i="35" s="1"/>
  <c r="Z87" i="35"/>
  <c r="AC87" i="35" s="1"/>
  <c r="AE87" i="35" s="1"/>
  <c r="Z13" i="36"/>
  <c r="AC13" i="36" s="1"/>
  <c r="AE13" i="36" s="1"/>
  <c r="Z31" i="36"/>
  <c r="AC31" i="36" s="1"/>
  <c r="AE31" i="36" s="1"/>
  <c r="Z92" i="36"/>
  <c r="AC92" i="36" s="1"/>
  <c r="AE92" i="36" s="1"/>
  <c r="Z96" i="36"/>
  <c r="AC96" i="36" s="1"/>
  <c r="AE96" i="36" s="1"/>
  <c r="Z34" i="37"/>
  <c r="AC34" i="37" s="1"/>
  <c r="AE34" i="37" s="1"/>
  <c r="Z52" i="37"/>
  <c r="AC52" i="37" s="1"/>
  <c r="AE52" i="37" s="1"/>
  <c r="Z56" i="37"/>
  <c r="AC56" i="37" s="1"/>
  <c r="AE56" i="37" s="1"/>
  <c r="Z79" i="37"/>
  <c r="AC79" i="37" s="1"/>
  <c r="AE79" i="37" s="1"/>
  <c r="Z97" i="37"/>
  <c r="AC97" i="37" s="1"/>
  <c r="AE97" i="37" s="1"/>
  <c r="Z16" i="38"/>
  <c r="AC16" i="38" s="1"/>
  <c r="AE16" i="38" s="1"/>
  <c r="Z39" i="38"/>
  <c r="AC39" i="38" s="1"/>
  <c r="AE39" i="38" s="1"/>
  <c r="Z49" i="39"/>
  <c r="AC49" i="39" s="1"/>
  <c r="AE49" i="39" s="1"/>
  <c r="Z58" i="39"/>
  <c r="AC58" i="39" s="1"/>
  <c r="AE58" i="39" s="1"/>
  <c r="Z68" i="41"/>
  <c r="AC68" i="41" s="1"/>
  <c r="AE68" i="41" s="1"/>
  <c r="Z77" i="41"/>
  <c r="AC77" i="41" s="1"/>
  <c r="AE77" i="41" s="1"/>
  <c r="Z84" i="41"/>
  <c r="AC84" i="41" s="1"/>
  <c r="AE84" i="41" s="1"/>
  <c r="Z93" i="41"/>
  <c r="AC93" i="41" s="1"/>
  <c r="AE93" i="41" s="1"/>
  <c r="Z49" i="44"/>
  <c r="AC49" i="44" s="1"/>
  <c r="AE49" i="44" s="1"/>
  <c r="Z14" i="45"/>
  <c r="AC14" i="45" s="1"/>
  <c r="AE14" i="45" s="1"/>
  <c r="Z30" i="45"/>
  <c r="AC30" i="45" s="1"/>
  <c r="AE30" i="45" s="1"/>
  <c r="Z77" i="46"/>
  <c r="AC77" i="46" s="1"/>
  <c r="AE77" i="46" s="1"/>
  <c r="Z84" i="46"/>
  <c r="AC84" i="46" s="1"/>
  <c r="AE84" i="46" s="1"/>
  <c r="Z93" i="46"/>
  <c r="AC93" i="46" s="1"/>
  <c r="AE93" i="46" s="1"/>
  <c r="Z6" i="47"/>
  <c r="AC6" i="47" s="1"/>
  <c r="AE6" i="47" s="1"/>
  <c r="Z30" i="48"/>
  <c r="AC30" i="48" s="1"/>
  <c r="AE30" i="48" s="1"/>
  <c r="Z35" i="51"/>
  <c r="AC35" i="51" s="1"/>
  <c r="AE35" i="51" s="1"/>
  <c r="Z17" i="47"/>
  <c r="AC17" i="47" s="1"/>
  <c r="AE17" i="47" s="1"/>
  <c r="Z26" i="47"/>
  <c r="AC26" i="47" s="1"/>
  <c r="AE26" i="47" s="1"/>
  <c r="Z44" i="47"/>
  <c r="AC44" i="47" s="1"/>
  <c r="AE44" i="47" s="1"/>
  <c r="Z48" i="47"/>
  <c r="AC48" i="47" s="1"/>
  <c r="AE48" i="47" s="1"/>
  <c r="Z59" i="47"/>
  <c r="AC59" i="47" s="1"/>
  <c r="AE59" i="47" s="1"/>
  <c r="Z98" i="47"/>
  <c r="AC98" i="47" s="1"/>
  <c r="AE98" i="47" s="1"/>
  <c r="Z8" i="48"/>
  <c r="AC8" i="48" s="1"/>
  <c r="AE8" i="48" s="1"/>
  <c r="Z19" i="48"/>
  <c r="AC19" i="48" s="1"/>
  <c r="AE19" i="48" s="1"/>
  <c r="Z7" i="49"/>
  <c r="AC7" i="49" s="1"/>
  <c r="AE7" i="49" s="1"/>
  <c r="Z28" i="50"/>
  <c r="AC28" i="50" s="1"/>
  <c r="AE28" i="50" s="1"/>
  <c r="Z46" i="50"/>
  <c r="AC46" i="50" s="1"/>
  <c r="AE46" i="50" s="1"/>
  <c r="Z59" i="52"/>
  <c r="AC59" i="52" s="1"/>
  <c r="AE59" i="52" s="1"/>
  <c r="Z24" i="53"/>
  <c r="AC24" i="53" s="1"/>
  <c r="AE24" i="53" s="1"/>
  <c r="Z71" i="54"/>
  <c r="AC71" i="54" s="1"/>
  <c r="AE71" i="54" s="1"/>
  <c r="F83" i="19"/>
  <c r="F67" i="19"/>
  <c r="F51" i="19"/>
  <c r="F19" i="19"/>
  <c r="X88" i="19"/>
  <c r="O86" i="19"/>
  <c r="U82" i="19"/>
  <c r="R76" i="19"/>
  <c r="X72" i="19"/>
  <c r="R60" i="19"/>
  <c r="I58" i="19"/>
  <c r="X56" i="19"/>
  <c r="O54" i="19"/>
  <c r="U50" i="19"/>
  <c r="L48" i="19"/>
  <c r="R44" i="19"/>
  <c r="L32" i="19"/>
  <c r="X24" i="19"/>
  <c r="U18" i="19"/>
  <c r="L16" i="19"/>
  <c r="R12" i="19"/>
  <c r="X8" i="19"/>
  <c r="Z57" i="45"/>
  <c r="AC57" i="45" s="1"/>
  <c r="AE57" i="45" s="1"/>
  <c r="Z77" i="45"/>
  <c r="AC77" i="45" s="1"/>
  <c r="AE77" i="45" s="1"/>
  <c r="Z17" i="46"/>
  <c r="AC17" i="46" s="1"/>
  <c r="AE17" i="46" s="1"/>
  <c r="Z26" i="46"/>
  <c r="AC26" i="46" s="1"/>
  <c r="AE26" i="46" s="1"/>
  <c r="Z44" i="46"/>
  <c r="AC44" i="46" s="1"/>
  <c r="AE44" i="46" s="1"/>
  <c r="Z48" i="46"/>
  <c r="AC48" i="46" s="1"/>
  <c r="AE48" i="46" s="1"/>
  <c r="Z59" i="46"/>
  <c r="AC59" i="46" s="1"/>
  <c r="AE59" i="46" s="1"/>
  <c r="Z89" i="46"/>
  <c r="AC89" i="46" s="1"/>
  <c r="AE89" i="46" s="1"/>
  <c r="Z98" i="46"/>
  <c r="AC98" i="46" s="1"/>
  <c r="AE98" i="46" s="1"/>
  <c r="Z4" i="47"/>
  <c r="Z19" i="47"/>
  <c r="AC19" i="47" s="1"/>
  <c r="AE19" i="47" s="1"/>
  <c r="Z69" i="47"/>
  <c r="AC69" i="47" s="1"/>
  <c r="AE69" i="47" s="1"/>
  <c r="Z87" i="47"/>
  <c r="AC87" i="47" s="1"/>
  <c r="AE87" i="47" s="1"/>
  <c r="Z29" i="48"/>
  <c r="AC29" i="48" s="1"/>
  <c r="AE29" i="48" s="1"/>
  <c r="Z51" i="48"/>
  <c r="AC51" i="48" s="1"/>
  <c r="AE51" i="48" s="1"/>
  <c r="Z54" i="48"/>
  <c r="AC54" i="48" s="1"/>
  <c r="AE54" i="48" s="1"/>
  <c r="Z63" i="48"/>
  <c r="AC63" i="48" s="1"/>
  <c r="AE63" i="48" s="1"/>
  <c r="Z94" i="54"/>
  <c r="AC94" i="54" s="1"/>
  <c r="AE94" i="54" s="1"/>
  <c r="Z59" i="38"/>
  <c r="AC59" i="38" s="1"/>
  <c r="AE59" i="38" s="1"/>
  <c r="Z93" i="38"/>
  <c r="AC93" i="38" s="1"/>
  <c r="AE93" i="38" s="1"/>
  <c r="Z17" i="39"/>
  <c r="AC17" i="39" s="1"/>
  <c r="AE17" i="39" s="1"/>
  <c r="Z26" i="39"/>
  <c r="AC26" i="39" s="1"/>
  <c r="AE26" i="39" s="1"/>
  <c r="Z44" i="39"/>
  <c r="AC44" i="39" s="1"/>
  <c r="AE44" i="39" s="1"/>
  <c r="Z48" i="39"/>
  <c r="AC48" i="39" s="1"/>
  <c r="AE48" i="39" s="1"/>
  <c r="Z59" i="39"/>
  <c r="AC59" i="39" s="1"/>
  <c r="AE59" i="39" s="1"/>
  <c r="Z13" i="40"/>
  <c r="AC13" i="40" s="1"/>
  <c r="AE13" i="40" s="1"/>
  <c r="Z29" i="40"/>
  <c r="AC29" i="40" s="1"/>
  <c r="AE29" i="40" s="1"/>
  <c r="Z45" i="40"/>
  <c r="AC45" i="40" s="1"/>
  <c r="AE45" i="40" s="1"/>
  <c r="Z61" i="40"/>
  <c r="AC61" i="40" s="1"/>
  <c r="AE61" i="40" s="1"/>
  <c r="Z77" i="40"/>
  <c r="AC77" i="40" s="1"/>
  <c r="AE77" i="40" s="1"/>
  <c r="Z93" i="40"/>
  <c r="AC93" i="40" s="1"/>
  <c r="AE93" i="40" s="1"/>
  <c r="Z17" i="41"/>
  <c r="AC17" i="41" s="1"/>
  <c r="AE17" i="41" s="1"/>
  <c r="Z26" i="41"/>
  <c r="AC26" i="41" s="1"/>
  <c r="AE26" i="41" s="1"/>
  <c r="Z44" i="41"/>
  <c r="AC44" i="41" s="1"/>
  <c r="AE44" i="41" s="1"/>
  <c r="Z48" i="41"/>
  <c r="AC48" i="41" s="1"/>
  <c r="AE48" i="41" s="1"/>
  <c r="Z59" i="41"/>
  <c r="AC59" i="41" s="1"/>
  <c r="AE59" i="41" s="1"/>
  <c r="Z15" i="42"/>
  <c r="AC15" i="42" s="1"/>
  <c r="AE15" i="42" s="1"/>
  <c r="Z33" i="42"/>
  <c r="AC33" i="42" s="1"/>
  <c r="AE33" i="42" s="1"/>
  <c r="Z42" i="42"/>
  <c r="AC42" i="42" s="1"/>
  <c r="AE42" i="42" s="1"/>
  <c r="Z69" i="42"/>
  <c r="AC69" i="42" s="1"/>
  <c r="AE69" i="42" s="1"/>
  <c r="Z87" i="42"/>
  <c r="AC87" i="42" s="1"/>
  <c r="AE87" i="42" s="1"/>
  <c r="Z20" i="43"/>
  <c r="AC20" i="43" s="1"/>
  <c r="AE20" i="43" s="1"/>
  <c r="Z24" i="43"/>
  <c r="AC24" i="43" s="1"/>
  <c r="AE24" i="43" s="1"/>
  <c r="Z35" i="43"/>
  <c r="AC35" i="43" s="1"/>
  <c r="AE35" i="43" s="1"/>
  <c r="Z74" i="43"/>
  <c r="AC74" i="43" s="1"/>
  <c r="AE74" i="43" s="1"/>
  <c r="Z92" i="43"/>
  <c r="AC92" i="43" s="1"/>
  <c r="AE92" i="43" s="1"/>
  <c r="Z96" i="43"/>
  <c r="AC96" i="43" s="1"/>
  <c r="AE96" i="43" s="1"/>
  <c r="Z45" i="44"/>
  <c r="AC45" i="44" s="1"/>
  <c r="AE45" i="44" s="1"/>
  <c r="Z63" i="44"/>
  <c r="AC63" i="44" s="1"/>
  <c r="AE63" i="44" s="1"/>
  <c r="Z81" i="44"/>
  <c r="AC81" i="44" s="1"/>
  <c r="AE81" i="44" s="1"/>
  <c r="Z11" i="45"/>
  <c r="AC11" i="45" s="1"/>
  <c r="AE11" i="45" s="1"/>
  <c r="Z27" i="45"/>
  <c r="AC27" i="45" s="1"/>
  <c r="AE27" i="45" s="1"/>
  <c r="Z82" i="45"/>
  <c r="AC82" i="45" s="1"/>
  <c r="AE82" i="45" s="1"/>
  <c r="Z53" i="46"/>
  <c r="AC53" i="46" s="1"/>
  <c r="AE53" i="46" s="1"/>
  <c r="AG63" i="46" s="1"/>
  <c r="Z71" i="46"/>
  <c r="AC71" i="46" s="1"/>
  <c r="AE71" i="46" s="1"/>
  <c r="Z13" i="47"/>
  <c r="AC13" i="47" s="1"/>
  <c r="AE13" i="47" s="1"/>
  <c r="Z31" i="47"/>
  <c r="AC31" i="47" s="1"/>
  <c r="AE31" i="47" s="1"/>
  <c r="Z49" i="47"/>
  <c r="AC49" i="47" s="1"/>
  <c r="AE49" i="47" s="1"/>
  <c r="Z58" i="47"/>
  <c r="AC58" i="47" s="1"/>
  <c r="AE58" i="47" s="1"/>
  <c r="Z76" i="47"/>
  <c r="AC76" i="47" s="1"/>
  <c r="AE76" i="47" s="1"/>
  <c r="Z80" i="47"/>
  <c r="AC80" i="47" s="1"/>
  <c r="AE80" i="47" s="1"/>
  <c r="Z91" i="47"/>
  <c r="AC91" i="47" s="1"/>
  <c r="AE91" i="47" s="1"/>
  <c r="Z94" i="47"/>
  <c r="AC94" i="47" s="1"/>
  <c r="AE94" i="47" s="1"/>
  <c r="Z9" i="48"/>
  <c r="AC9" i="48" s="1"/>
  <c r="AE9" i="48" s="1"/>
  <c r="Z18" i="48"/>
  <c r="AC18" i="48" s="1"/>
  <c r="AE18" i="48" s="1"/>
  <c r="Z36" i="48"/>
  <c r="AC36" i="48" s="1"/>
  <c r="AE36" i="48" s="1"/>
  <c r="Z40" i="48"/>
  <c r="AC40" i="48" s="1"/>
  <c r="AE40" i="48" s="1"/>
  <c r="Z79" i="48"/>
  <c r="AC79" i="48" s="1"/>
  <c r="AE79" i="48" s="1"/>
  <c r="Z97" i="48"/>
  <c r="AC97" i="48" s="1"/>
  <c r="AE97" i="48" s="1"/>
  <c r="Z32" i="49"/>
  <c r="AC32" i="49" s="1"/>
  <c r="AE32" i="49" s="1"/>
  <c r="Z59" i="49"/>
  <c r="AC59" i="49" s="1"/>
  <c r="AE59" i="49" s="1"/>
  <c r="Z71" i="49"/>
  <c r="AC71" i="49" s="1"/>
  <c r="AE71" i="49" s="1"/>
  <c r="Z9" i="51"/>
  <c r="AC9" i="51" s="1"/>
  <c r="AE9" i="51" s="1"/>
  <c r="Z36" i="51"/>
  <c r="AC36" i="51" s="1"/>
  <c r="AE36" i="51" s="1"/>
  <c r="Z56" i="51"/>
  <c r="AC56" i="51" s="1"/>
  <c r="AE56" i="51" s="1"/>
  <c r="Z67" i="51"/>
  <c r="AC67" i="51" s="1"/>
  <c r="AE67" i="51" s="1"/>
  <c r="Z92" i="52"/>
  <c r="AC92" i="52" s="1"/>
  <c r="AE92" i="52" s="1"/>
  <c r="Z54" i="53"/>
  <c r="AC54" i="53" s="1"/>
  <c r="AE54" i="53" s="1"/>
  <c r="Z53" i="41"/>
  <c r="AC53" i="41" s="1"/>
  <c r="AE53" i="41" s="1"/>
  <c r="Z71" i="41"/>
  <c r="AC71" i="41" s="1"/>
  <c r="AE71" i="41" s="1"/>
  <c r="Z89" i="41"/>
  <c r="AC89" i="41" s="1"/>
  <c r="AE89" i="41" s="1"/>
  <c r="Z98" i="41"/>
  <c r="AC98" i="41" s="1"/>
  <c r="AE98" i="41" s="1"/>
  <c r="Z4" i="42"/>
  <c r="Z8" i="42"/>
  <c r="AC8" i="42" s="1"/>
  <c r="AE8" i="42" s="1"/>
  <c r="Z19" i="42"/>
  <c r="AC19" i="42" s="1"/>
  <c r="AE19" i="42" s="1"/>
  <c r="Z58" i="42"/>
  <c r="AC58" i="42" s="1"/>
  <c r="AE58" i="42" s="1"/>
  <c r="Z76" i="42"/>
  <c r="AC76" i="42" s="1"/>
  <c r="AE76" i="42" s="1"/>
  <c r="Z80" i="42"/>
  <c r="AC80" i="42" s="1"/>
  <c r="AE80" i="42" s="1"/>
  <c r="Z91" i="42"/>
  <c r="AC91" i="42" s="1"/>
  <c r="AE91" i="42" s="1"/>
  <c r="Z29" i="43"/>
  <c r="AC29" i="43" s="1"/>
  <c r="AE29" i="43" s="1"/>
  <c r="Z47" i="43"/>
  <c r="AC47" i="43" s="1"/>
  <c r="AE47" i="43" s="1"/>
  <c r="Z65" i="43"/>
  <c r="AC65" i="43" s="1"/>
  <c r="AE65" i="43" s="1"/>
  <c r="Z7" i="44"/>
  <c r="AC7" i="44" s="1"/>
  <c r="AE7" i="44" s="1"/>
  <c r="Z25" i="44"/>
  <c r="AC25" i="44" s="1"/>
  <c r="AE25" i="44" s="1"/>
  <c r="Z34" i="44"/>
  <c r="AC34" i="44" s="1"/>
  <c r="AE34" i="44" s="1"/>
  <c r="Z52" i="44"/>
  <c r="AC52" i="44" s="1"/>
  <c r="AE52" i="44" s="1"/>
  <c r="Z56" i="44"/>
  <c r="AC56" i="44" s="1"/>
  <c r="AE56" i="44" s="1"/>
  <c r="Z67" i="44"/>
  <c r="AC67" i="44" s="1"/>
  <c r="AE67" i="44" s="1"/>
  <c r="Z97" i="44"/>
  <c r="AC97" i="44" s="1"/>
  <c r="AE97" i="44" s="1"/>
  <c r="Z12" i="45"/>
  <c r="AC12" i="45" s="1"/>
  <c r="AE12" i="45" s="1"/>
  <c r="Z16" i="45"/>
  <c r="AC16" i="45" s="1"/>
  <c r="AE16" i="45" s="1"/>
  <c r="Z28" i="45"/>
  <c r="AC28" i="45" s="1"/>
  <c r="AE28" i="45" s="1"/>
  <c r="Z39" i="45"/>
  <c r="AC39" i="45" s="1"/>
  <c r="AE39" i="45" s="1"/>
  <c r="Z55" i="45"/>
  <c r="AC55" i="45" s="1"/>
  <c r="AE55" i="45" s="1"/>
  <c r="Z73" i="45"/>
  <c r="AC73" i="45" s="1"/>
  <c r="AE73" i="45" s="1"/>
  <c r="Z89" i="45"/>
  <c r="AC89" i="45" s="1"/>
  <c r="AE89" i="45" s="1"/>
  <c r="Z98" i="45"/>
  <c r="AC98" i="45" s="1"/>
  <c r="AE98" i="45" s="1"/>
  <c r="Z15" i="46"/>
  <c r="AC15" i="46" s="1"/>
  <c r="AE15" i="46" s="1"/>
  <c r="Z33" i="46"/>
  <c r="AC33" i="46" s="1"/>
  <c r="AE33" i="46" s="1"/>
  <c r="Z42" i="46"/>
  <c r="AC42" i="46" s="1"/>
  <c r="AE42" i="46" s="1"/>
  <c r="Z60" i="46"/>
  <c r="AC60" i="46" s="1"/>
  <c r="AE60" i="46" s="1"/>
  <c r="Z64" i="46"/>
  <c r="AC64" i="46" s="1"/>
  <c r="AE64" i="46" s="1"/>
  <c r="Z75" i="46"/>
  <c r="AC75" i="46" s="1"/>
  <c r="AE75" i="46" s="1"/>
  <c r="Z78" i="46"/>
  <c r="AC78" i="46" s="1"/>
  <c r="AE78" i="46" s="1"/>
  <c r="Z87" i="46"/>
  <c r="AC87" i="46" s="1"/>
  <c r="AE87" i="46" s="1"/>
  <c r="Z20" i="47"/>
  <c r="AC20" i="47" s="1"/>
  <c r="AE20" i="47" s="1"/>
  <c r="Z24" i="47"/>
  <c r="AC24" i="47" s="1"/>
  <c r="AE24" i="47" s="1"/>
  <c r="Z35" i="47"/>
  <c r="AC35" i="47" s="1"/>
  <c r="AE35" i="47" s="1"/>
  <c r="Z85" i="47"/>
  <c r="AC85" i="47" s="1"/>
  <c r="AE85" i="47" s="1"/>
  <c r="Z96" i="47"/>
  <c r="AC96" i="47" s="1"/>
  <c r="AE96" i="47" s="1"/>
  <c r="Z45" i="48"/>
  <c r="AC45" i="48" s="1"/>
  <c r="AE45" i="48" s="1"/>
  <c r="Z61" i="48"/>
  <c r="AC61" i="48" s="1"/>
  <c r="AE61" i="48" s="1"/>
  <c r="Z83" i="48"/>
  <c r="AC83" i="48" s="1"/>
  <c r="AE83" i="48" s="1"/>
  <c r="Z28" i="49"/>
  <c r="AC28" i="49" s="1"/>
  <c r="AE28" i="49" s="1"/>
  <c r="Z60" i="49"/>
  <c r="AC60" i="49" s="1"/>
  <c r="AE60" i="49" s="1"/>
  <c r="Z75" i="49"/>
  <c r="AC75" i="49" s="1"/>
  <c r="AE75" i="49" s="1"/>
  <c r="Z78" i="49"/>
  <c r="AC78" i="49" s="1"/>
  <c r="AE78" i="49" s="1"/>
  <c r="Z31" i="50"/>
  <c r="AC31" i="50" s="1"/>
  <c r="AE31" i="50" s="1"/>
  <c r="Z52" i="51"/>
  <c r="AC52" i="51" s="1"/>
  <c r="AE52" i="51" s="1"/>
  <c r="Z86" i="51"/>
  <c r="AC86" i="51" s="1"/>
  <c r="AE86" i="51" s="1"/>
  <c r="Z88" i="51"/>
  <c r="AC88" i="51" s="1"/>
  <c r="AE88" i="51" s="1"/>
  <c r="Z65" i="52"/>
  <c r="AC65" i="52" s="1"/>
  <c r="AE65" i="52" s="1"/>
  <c r="Z74" i="52"/>
  <c r="AC74" i="52" s="1"/>
  <c r="AE74" i="52" s="1"/>
  <c r="Z11" i="53"/>
  <c r="AC11" i="53" s="1"/>
  <c r="AE11" i="53" s="1"/>
  <c r="Z50" i="53"/>
  <c r="AC50" i="53" s="1"/>
  <c r="AE50" i="53" s="1"/>
  <c r="Z19" i="54"/>
  <c r="AC19" i="54" s="1"/>
  <c r="AE19" i="54" s="1"/>
  <c r="Z88" i="36"/>
  <c r="AC88" i="36" s="1"/>
  <c r="AE88" i="36" s="1"/>
  <c r="Z37" i="37"/>
  <c r="AC37" i="37" s="1"/>
  <c r="AE37" i="37" s="1"/>
  <c r="Z55" i="37"/>
  <c r="AC55" i="37" s="1"/>
  <c r="AE55" i="37" s="1"/>
  <c r="Z73" i="37"/>
  <c r="AC73" i="37" s="1"/>
  <c r="AE73" i="37" s="1"/>
  <c r="Z82" i="37"/>
  <c r="AC82" i="37" s="1"/>
  <c r="AE82" i="37" s="1"/>
  <c r="Z33" i="38"/>
  <c r="AC33" i="38" s="1"/>
  <c r="AE33" i="38" s="1"/>
  <c r="Z53" i="38"/>
  <c r="AC53" i="38" s="1"/>
  <c r="AE53" i="38" s="1"/>
  <c r="Z60" i="38"/>
  <c r="AC60" i="38" s="1"/>
  <c r="AE60" i="38" s="1"/>
  <c r="Z62" i="38"/>
  <c r="AC62" i="38" s="1"/>
  <c r="AE62" i="38" s="1"/>
  <c r="Z75" i="38"/>
  <c r="AC75" i="38" s="1"/>
  <c r="AE75" i="38" s="1"/>
  <c r="Z15" i="39"/>
  <c r="AC15" i="39" s="1"/>
  <c r="AE15" i="39" s="1"/>
  <c r="Z33" i="39"/>
  <c r="AC33" i="39" s="1"/>
  <c r="AE33" i="39" s="1"/>
  <c r="Z42" i="39"/>
  <c r="AC42" i="39" s="1"/>
  <c r="AE42" i="39" s="1"/>
  <c r="Z60" i="39"/>
  <c r="AC60" i="39" s="1"/>
  <c r="AE60" i="39" s="1"/>
  <c r="Z64" i="39"/>
  <c r="AC64" i="39" s="1"/>
  <c r="AE64" i="39" s="1"/>
  <c r="Z75" i="39"/>
  <c r="AC75" i="39" s="1"/>
  <c r="AE75" i="39" s="1"/>
  <c r="Z15" i="41"/>
  <c r="AC15" i="41" s="1"/>
  <c r="AE15" i="41" s="1"/>
  <c r="Z33" i="41"/>
  <c r="AC33" i="41" s="1"/>
  <c r="AE33" i="41" s="1"/>
  <c r="Z42" i="41"/>
  <c r="AC42" i="41" s="1"/>
  <c r="AE42" i="41" s="1"/>
  <c r="Z60" i="41"/>
  <c r="AC60" i="41" s="1"/>
  <c r="AE60" i="41" s="1"/>
  <c r="Z64" i="41"/>
  <c r="AC64" i="41" s="1"/>
  <c r="AE64" i="41" s="1"/>
  <c r="Z75" i="41"/>
  <c r="AC75" i="41" s="1"/>
  <c r="AE75" i="41" s="1"/>
  <c r="Z13" i="42"/>
  <c r="AC13" i="42" s="1"/>
  <c r="AE13" i="42" s="1"/>
  <c r="Z31" i="42"/>
  <c r="AC31" i="42" s="1"/>
  <c r="AE31" i="42" s="1"/>
  <c r="Z49" i="42"/>
  <c r="AC49" i="42" s="1"/>
  <c r="AE49" i="42" s="1"/>
  <c r="Z85" i="42"/>
  <c r="AC85" i="42" s="1"/>
  <c r="AE85" i="42" s="1"/>
  <c r="Z9" i="43"/>
  <c r="AC9" i="43" s="1"/>
  <c r="AE9" i="43" s="1"/>
  <c r="Z18" i="43"/>
  <c r="AC18" i="43" s="1"/>
  <c r="AE18" i="43" s="1"/>
  <c r="Z36" i="43"/>
  <c r="AC36" i="43" s="1"/>
  <c r="AE36" i="43" s="1"/>
  <c r="Z40" i="43"/>
  <c r="AC40" i="43" s="1"/>
  <c r="AE40" i="43" s="1"/>
  <c r="Z51" i="43"/>
  <c r="AC51" i="43" s="1"/>
  <c r="AE51" i="43" s="1"/>
  <c r="Z81" i="43"/>
  <c r="AC81" i="43" s="1"/>
  <c r="AE81" i="43" s="1"/>
  <c r="Z90" i="43"/>
  <c r="AC90" i="43" s="1"/>
  <c r="AE90" i="43" s="1"/>
  <c r="Z11" i="44"/>
  <c r="AC11" i="44" s="1"/>
  <c r="AE11" i="44" s="1"/>
  <c r="Z61" i="44"/>
  <c r="AC61" i="44" s="1"/>
  <c r="AE61" i="44" s="1"/>
  <c r="Z79" i="44"/>
  <c r="AC79" i="44" s="1"/>
  <c r="AE79" i="44" s="1"/>
  <c r="Z32" i="45"/>
  <c r="AC32" i="45" s="1"/>
  <c r="AE32" i="45" s="1"/>
  <c r="Z46" i="45"/>
  <c r="AC46" i="45" s="1"/>
  <c r="AE46" i="45" s="1"/>
  <c r="Z62" i="45"/>
  <c r="AC62" i="45" s="1"/>
  <c r="AE62" i="45" s="1"/>
  <c r="Z4" i="46"/>
  <c r="Z19" i="46"/>
  <c r="AC19" i="46" s="1"/>
  <c r="AE19" i="46" s="1"/>
  <c r="Z69" i="46"/>
  <c r="AC69" i="46" s="1"/>
  <c r="AE69" i="46" s="1"/>
  <c r="Z80" i="46"/>
  <c r="AC80" i="46" s="1"/>
  <c r="AE80" i="46" s="1"/>
  <c r="Z91" i="46"/>
  <c r="AC91" i="46" s="1"/>
  <c r="AE91" i="46" s="1"/>
  <c r="Z29" i="47"/>
  <c r="AC29" i="47" s="1"/>
  <c r="AE29" i="47" s="1"/>
  <c r="Z47" i="47"/>
  <c r="AC47" i="47" s="1"/>
  <c r="AE47" i="47" s="1"/>
  <c r="Z65" i="47"/>
  <c r="AC65" i="47" s="1"/>
  <c r="AE65" i="47" s="1"/>
  <c r="Z74" i="47"/>
  <c r="AC74" i="47" s="1"/>
  <c r="AE74" i="47" s="1"/>
  <c r="Z92" i="47"/>
  <c r="AC92" i="47" s="1"/>
  <c r="AE92" i="47" s="1"/>
  <c r="Z7" i="48"/>
  <c r="AC7" i="48" s="1"/>
  <c r="AE7" i="48" s="1"/>
  <c r="Z25" i="48"/>
  <c r="AC25" i="48" s="1"/>
  <c r="AE25" i="48" s="1"/>
  <c r="Z34" i="48"/>
  <c r="AC34" i="48" s="1"/>
  <c r="AE34" i="48" s="1"/>
  <c r="Z68" i="48"/>
  <c r="AC68" i="48" s="1"/>
  <c r="AE68" i="48" s="1"/>
  <c r="Z72" i="48"/>
  <c r="AC72" i="48" s="1"/>
  <c r="AE72" i="48" s="1"/>
  <c r="Z95" i="48"/>
  <c r="AC95" i="48" s="1"/>
  <c r="AE95" i="48" s="1"/>
  <c r="Z10" i="49"/>
  <c r="AC10" i="49" s="1"/>
  <c r="AE10" i="49" s="1"/>
  <c r="Z19" i="49"/>
  <c r="AC19" i="49" s="1"/>
  <c r="AE19" i="49" s="1"/>
  <c r="Z98" i="49"/>
  <c r="AC98" i="49" s="1"/>
  <c r="AE98" i="49" s="1"/>
  <c r="Z47" i="50"/>
  <c r="AC47" i="50" s="1"/>
  <c r="AE47" i="50" s="1"/>
  <c r="Z58" i="50"/>
  <c r="AC58" i="50" s="1"/>
  <c r="AE58" i="50" s="1"/>
  <c r="Z77" i="51"/>
  <c r="AC77" i="51" s="1"/>
  <c r="AE77" i="51" s="1"/>
  <c r="Z84" i="51"/>
  <c r="AC84" i="51" s="1"/>
  <c r="AE84" i="51" s="1"/>
  <c r="Z90" i="52"/>
  <c r="AC90" i="52" s="1"/>
  <c r="AE90" i="52" s="1"/>
  <c r="Z5" i="53"/>
  <c r="AC5" i="53" s="1"/>
  <c r="AE5" i="53" s="1"/>
  <c r="Z57" i="53"/>
  <c r="AC57" i="53" s="1"/>
  <c r="AE57" i="53" s="1"/>
  <c r="Z85" i="46"/>
  <c r="AC85" i="46" s="1"/>
  <c r="AE85" i="46" s="1"/>
  <c r="Z9" i="47"/>
  <c r="AC9" i="47" s="1"/>
  <c r="AE9" i="47" s="1"/>
  <c r="Z18" i="47"/>
  <c r="AC18" i="47" s="1"/>
  <c r="AE18" i="47" s="1"/>
  <c r="Z36" i="47"/>
  <c r="AC36" i="47" s="1"/>
  <c r="AE36" i="47" s="1"/>
  <c r="Z51" i="47"/>
  <c r="AC51" i="47" s="1"/>
  <c r="AE51" i="47" s="1"/>
  <c r="Z50" i="48"/>
  <c r="AC50" i="48" s="1"/>
  <c r="AE50" i="48" s="1"/>
  <c r="Z77" i="48"/>
  <c r="AC77" i="48" s="1"/>
  <c r="AE77" i="48" s="1"/>
  <c r="Z84" i="48"/>
  <c r="AC84" i="48" s="1"/>
  <c r="AE84" i="48" s="1"/>
  <c r="Z87" i="49"/>
  <c r="AC87" i="49" s="1"/>
  <c r="AE87" i="49" s="1"/>
  <c r="Z63" i="52"/>
  <c r="AC63" i="52" s="1"/>
  <c r="AE63" i="52" s="1"/>
  <c r="Z81" i="52"/>
  <c r="AC81" i="52" s="1"/>
  <c r="AE81" i="52" s="1"/>
  <c r="Z27" i="53"/>
  <c r="AC27" i="53" s="1"/>
  <c r="AE27" i="53" s="1"/>
  <c r="Z7" i="43"/>
  <c r="AC7" i="43" s="1"/>
  <c r="AE7" i="43" s="1"/>
  <c r="Z25" i="43"/>
  <c r="AC25" i="43" s="1"/>
  <c r="AE25" i="43" s="1"/>
  <c r="Z34" i="43"/>
  <c r="AC34" i="43" s="1"/>
  <c r="AE34" i="43" s="1"/>
  <c r="Z52" i="43"/>
  <c r="AC52" i="43" s="1"/>
  <c r="AE52" i="43" s="1"/>
  <c r="Z56" i="43"/>
  <c r="AC56" i="43" s="1"/>
  <c r="AE56" i="43" s="1"/>
  <c r="Z67" i="43"/>
  <c r="AC67" i="43" s="1"/>
  <c r="AE67" i="43" s="1"/>
  <c r="Z70" i="43"/>
  <c r="AC70" i="43" s="1"/>
  <c r="AE70" i="43" s="1"/>
  <c r="Z79" i="43"/>
  <c r="AC79" i="43" s="1"/>
  <c r="AE79" i="43" s="1"/>
  <c r="Z97" i="43"/>
  <c r="AC97" i="43" s="1"/>
  <c r="AE97" i="43" s="1"/>
  <c r="Z12" i="44"/>
  <c r="AC12" i="44" s="1"/>
  <c r="AE12" i="44" s="1"/>
  <c r="Z16" i="44"/>
  <c r="AC16" i="44" s="1"/>
  <c r="AE16" i="44" s="1"/>
  <c r="Z27" i="44"/>
  <c r="AC27" i="44" s="1"/>
  <c r="AE27" i="44" s="1"/>
  <c r="Z77" i="44"/>
  <c r="AC77" i="44" s="1"/>
  <c r="AE77" i="44" s="1"/>
  <c r="Z88" i="44"/>
  <c r="AC88" i="44" s="1"/>
  <c r="AE88" i="44" s="1"/>
  <c r="Z17" i="45"/>
  <c r="AC17" i="45" s="1"/>
  <c r="AE17" i="45" s="1"/>
  <c r="Z37" i="45"/>
  <c r="AC37" i="45" s="1"/>
  <c r="AE37" i="45" s="1"/>
  <c r="Z44" i="45"/>
  <c r="AC44" i="45" s="1"/>
  <c r="AE44" i="45" s="1"/>
  <c r="Z48" i="45"/>
  <c r="AC48" i="45" s="1"/>
  <c r="AE48" i="45" s="1"/>
  <c r="Z60" i="45"/>
  <c r="AC60" i="45" s="1"/>
  <c r="AE60" i="45" s="1"/>
  <c r="Z64" i="45"/>
  <c r="AC64" i="45" s="1"/>
  <c r="AE64" i="45" s="1"/>
  <c r="Z24" i="46"/>
  <c r="AC24" i="46" s="1"/>
  <c r="AE24" i="46" s="1"/>
  <c r="Z35" i="46"/>
  <c r="AC35" i="46" s="1"/>
  <c r="AE35" i="46" s="1"/>
  <c r="Z92" i="46"/>
  <c r="AC92" i="46" s="1"/>
  <c r="AE92" i="46" s="1"/>
  <c r="Z96" i="46"/>
  <c r="AC96" i="46" s="1"/>
  <c r="AE96" i="46" s="1"/>
  <c r="Z45" i="47"/>
  <c r="AC45" i="47" s="1"/>
  <c r="AE45" i="47" s="1"/>
  <c r="Z63" i="47"/>
  <c r="AC63" i="47" s="1"/>
  <c r="AE63" i="47" s="1"/>
  <c r="Z81" i="47"/>
  <c r="AC81" i="47" s="1"/>
  <c r="AE81" i="47" s="1"/>
  <c r="Z90" i="47"/>
  <c r="AC90" i="47" s="1"/>
  <c r="AE90" i="47" s="1"/>
  <c r="Z5" i="48"/>
  <c r="AC5" i="48" s="1"/>
  <c r="AE5" i="48" s="1"/>
  <c r="Z23" i="48"/>
  <c r="AC23" i="48" s="1"/>
  <c r="AE23" i="48" s="1"/>
  <c r="Z41" i="48"/>
  <c r="AC41" i="48" s="1"/>
  <c r="AE41" i="48" s="1"/>
  <c r="Z57" i="48"/>
  <c r="AC57" i="48" s="1"/>
  <c r="AE57" i="48" s="1"/>
  <c r="Z66" i="48"/>
  <c r="AC66" i="48" s="1"/>
  <c r="AE66" i="48" s="1"/>
  <c r="Z49" i="49"/>
  <c r="AC49" i="49" s="1"/>
  <c r="AE49" i="49" s="1"/>
  <c r="Z36" i="50"/>
  <c r="AC36" i="50" s="1"/>
  <c r="AE36" i="50" s="1"/>
  <c r="Z40" i="50"/>
  <c r="AC40" i="50" s="1"/>
  <c r="AE40" i="50" s="1"/>
  <c r="Z98" i="51"/>
  <c r="AC98" i="51" s="1"/>
  <c r="AE98" i="51" s="1"/>
  <c r="Z38" i="52"/>
  <c r="AC38" i="52" s="1"/>
  <c r="AE38" i="52" s="1"/>
  <c r="Z67" i="52"/>
  <c r="AC67" i="52" s="1"/>
  <c r="AE67" i="52" s="1"/>
  <c r="Z70" i="54"/>
  <c r="AC70" i="54" s="1"/>
  <c r="AE70" i="54" s="1"/>
  <c r="Z97" i="54"/>
  <c r="AC97" i="54" s="1"/>
  <c r="AE97" i="54" s="1"/>
  <c r="Z35" i="38"/>
  <c r="AC35" i="38" s="1"/>
  <c r="AE35" i="38" s="1"/>
  <c r="Z65" i="38"/>
  <c r="AC65" i="38" s="1"/>
  <c r="AE65" i="38" s="1"/>
  <c r="Z85" i="38"/>
  <c r="AC85" i="38" s="1"/>
  <c r="AE85" i="38" s="1"/>
  <c r="Z20" i="39"/>
  <c r="AC20" i="39" s="1"/>
  <c r="AE20" i="39" s="1"/>
  <c r="Z24" i="39"/>
  <c r="AC24" i="39" s="1"/>
  <c r="AE24" i="39" s="1"/>
  <c r="Z35" i="39"/>
  <c r="AC35" i="39" s="1"/>
  <c r="AE35" i="39" s="1"/>
  <c r="Z85" i="39"/>
  <c r="AC85" i="39" s="1"/>
  <c r="AE85" i="39" s="1"/>
  <c r="Z6" i="40"/>
  <c r="AC6" i="40" s="1"/>
  <c r="AE6" i="40" s="1"/>
  <c r="Z22" i="40"/>
  <c r="AC22" i="40" s="1"/>
  <c r="AE22" i="40" s="1"/>
  <c r="Z38" i="40"/>
  <c r="AC38" i="40" s="1"/>
  <c r="AE38" i="40" s="1"/>
  <c r="Z54" i="40"/>
  <c r="AC54" i="40" s="1"/>
  <c r="AE54" i="40" s="1"/>
  <c r="Z70" i="40"/>
  <c r="AC70" i="40" s="1"/>
  <c r="AE70" i="40" s="1"/>
  <c r="Z86" i="40"/>
  <c r="AC86" i="40" s="1"/>
  <c r="AE86" i="40" s="1"/>
  <c r="Z20" i="41"/>
  <c r="AC20" i="41" s="1"/>
  <c r="AE20" i="41" s="1"/>
  <c r="Z24" i="41"/>
  <c r="AC24" i="41" s="1"/>
  <c r="AE24" i="41" s="1"/>
  <c r="Z35" i="41"/>
  <c r="AC35" i="41" s="1"/>
  <c r="AE35" i="41" s="1"/>
  <c r="Z85" i="41"/>
  <c r="AC85" i="41" s="1"/>
  <c r="AE85" i="41" s="1"/>
  <c r="Z9" i="42"/>
  <c r="AC9" i="42" s="1"/>
  <c r="AE9" i="42" s="1"/>
  <c r="Z18" i="42"/>
  <c r="AC18" i="42" s="1"/>
  <c r="AE18" i="42" s="1"/>
  <c r="Z36" i="42"/>
  <c r="AC36" i="42" s="1"/>
  <c r="AE36" i="42" s="1"/>
  <c r="Z40" i="42"/>
  <c r="AC40" i="42" s="1"/>
  <c r="AE40" i="42" s="1"/>
  <c r="Z51" i="42"/>
  <c r="AC51" i="42" s="1"/>
  <c r="AE51" i="42" s="1"/>
  <c r="Z54" i="42"/>
  <c r="AC54" i="42" s="1"/>
  <c r="AE54" i="42" s="1"/>
  <c r="Z63" i="42"/>
  <c r="AC63" i="42" s="1"/>
  <c r="AE63" i="42" s="1"/>
  <c r="Z81" i="42"/>
  <c r="AC81" i="42" s="1"/>
  <c r="AE81" i="42" s="1"/>
  <c r="Z90" i="42"/>
  <c r="AC90" i="42" s="1"/>
  <c r="AE90" i="42" s="1"/>
  <c r="Z5" i="43"/>
  <c r="AC5" i="43" s="1"/>
  <c r="AE5" i="43" s="1"/>
  <c r="Z11" i="43"/>
  <c r="AC11" i="43" s="1"/>
  <c r="AE11" i="43" s="1"/>
  <c r="Z61" i="43"/>
  <c r="AC61" i="43" s="1"/>
  <c r="AE61" i="43" s="1"/>
  <c r="Z72" i="43"/>
  <c r="AC72" i="43" s="1"/>
  <c r="AE72" i="43" s="1"/>
  <c r="Z83" i="43"/>
  <c r="AC83" i="43" s="1"/>
  <c r="AE83" i="43" s="1"/>
  <c r="Z21" i="44"/>
  <c r="AC21" i="44" s="1"/>
  <c r="AE21" i="44" s="1"/>
  <c r="Z39" i="44"/>
  <c r="AC39" i="44" s="1"/>
  <c r="AE39" i="44" s="1"/>
  <c r="Z57" i="44"/>
  <c r="AC57" i="44" s="1"/>
  <c r="AE57" i="44" s="1"/>
  <c r="Z66" i="44"/>
  <c r="AC66" i="44" s="1"/>
  <c r="AE66" i="44" s="1"/>
  <c r="Z84" i="44"/>
  <c r="AC84" i="44" s="1"/>
  <c r="AE84" i="44" s="1"/>
  <c r="Z93" i="44"/>
  <c r="AC93" i="44" s="1"/>
  <c r="AE93" i="44" s="1"/>
  <c r="Z33" i="45"/>
  <c r="AC33" i="45" s="1"/>
  <c r="AE33" i="45" s="1"/>
  <c r="Z75" i="45"/>
  <c r="AC75" i="45" s="1"/>
  <c r="AE75" i="45" s="1"/>
  <c r="Z91" i="45"/>
  <c r="AC91" i="45" s="1"/>
  <c r="AE91" i="45" s="1"/>
  <c r="Z29" i="46"/>
  <c r="AC29" i="46" s="1"/>
  <c r="AE29" i="46" s="1"/>
  <c r="Z47" i="46"/>
  <c r="AC47" i="46" s="1"/>
  <c r="AE47" i="46" s="1"/>
  <c r="Z65" i="46"/>
  <c r="AC65" i="46" s="1"/>
  <c r="AE65" i="46" s="1"/>
  <c r="Z74" i="46"/>
  <c r="AC74" i="46" s="1"/>
  <c r="AE74" i="46" s="1"/>
  <c r="Z7" i="47"/>
  <c r="AC7" i="47" s="1"/>
  <c r="AE7" i="47" s="1"/>
  <c r="Z25" i="47"/>
  <c r="AC25" i="47" s="1"/>
  <c r="AE25" i="47" s="1"/>
  <c r="Z34" i="47"/>
  <c r="AC34" i="47" s="1"/>
  <c r="AE34" i="47" s="1"/>
  <c r="Z52" i="47"/>
  <c r="AC52" i="47" s="1"/>
  <c r="AE52" i="47" s="1"/>
  <c r="Z56" i="47"/>
  <c r="AC56" i="47" s="1"/>
  <c r="AE56" i="47" s="1"/>
  <c r="Z67" i="47"/>
  <c r="AC67" i="47" s="1"/>
  <c r="AE67" i="47" s="1"/>
  <c r="Z97" i="47"/>
  <c r="AC97" i="47" s="1"/>
  <c r="AE97" i="47" s="1"/>
  <c r="Z12" i="48"/>
  <c r="AC12" i="48" s="1"/>
  <c r="AE12" i="48" s="1"/>
  <c r="Z16" i="48"/>
  <c r="AC16" i="48" s="1"/>
  <c r="AE16" i="48" s="1"/>
  <c r="Z27" i="48"/>
  <c r="AC27" i="48" s="1"/>
  <c r="AE27" i="48" s="1"/>
  <c r="Z6" i="49"/>
  <c r="AC6" i="49" s="1"/>
  <c r="AE6" i="49" s="1"/>
  <c r="Z94" i="49"/>
  <c r="AC94" i="49" s="1"/>
  <c r="AE94" i="49" s="1"/>
  <c r="Z63" i="50"/>
  <c r="AC63" i="50" s="1"/>
  <c r="AE63" i="50" s="1"/>
  <c r="Z81" i="50"/>
  <c r="AC81" i="50" s="1"/>
  <c r="AE81" i="50" s="1"/>
  <c r="Z89" i="51"/>
  <c r="AC89" i="51" s="1"/>
  <c r="AE89" i="51" s="1"/>
  <c r="Z53" i="36"/>
  <c r="AC53" i="36" s="1"/>
  <c r="AE53" i="36" s="1"/>
  <c r="Z71" i="36"/>
  <c r="AC71" i="36" s="1"/>
  <c r="AE71" i="36" s="1"/>
  <c r="Z89" i="36"/>
  <c r="AC89" i="36" s="1"/>
  <c r="AE89" i="36" s="1"/>
  <c r="Z98" i="36"/>
  <c r="AC98" i="36" s="1"/>
  <c r="AE98" i="36" s="1"/>
  <c r="Z4" i="37"/>
  <c r="AC4" i="37" s="1"/>
  <c r="Z8" i="37"/>
  <c r="AC8" i="37" s="1"/>
  <c r="AE8" i="37" s="1"/>
  <c r="Z19" i="37"/>
  <c r="AC19" i="37" s="1"/>
  <c r="AE19" i="37" s="1"/>
  <c r="Z69" i="37"/>
  <c r="AC69" i="37" s="1"/>
  <c r="AE69" i="37" s="1"/>
  <c r="Z87" i="37"/>
  <c r="AC87" i="37" s="1"/>
  <c r="AE87" i="37" s="1"/>
  <c r="Z13" i="38"/>
  <c r="AC13" i="38" s="1"/>
  <c r="AE13" i="38" s="1"/>
  <c r="Z24" i="38"/>
  <c r="AC24" i="38" s="1"/>
  <c r="AE24" i="38" s="1"/>
  <c r="Z91" i="38"/>
  <c r="AC91" i="38" s="1"/>
  <c r="AE91" i="38" s="1"/>
  <c r="Z29" i="39"/>
  <c r="AC29" i="39" s="1"/>
  <c r="AE29" i="39" s="1"/>
  <c r="Z47" i="39"/>
  <c r="AC47" i="39" s="1"/>
  <c r="AE47" i="39" s="1"/>
  <c r="Z65" i="39"/>
  <c r="AC65" i="39" s="1"/>
  <c r="AE65" i="39" s="1"/>
  <c r="Z74" i="39"/>
  <c r="AC74" i="39" s="1"/>
  <c r="AE74" i="39" s="1"/>
  <c r="Z92" i="39"/>
  <c r="AC92" i="39" s="1"/>
  <c r="AE92" i="39" s="1"/>
  <c r="Z96" i="39"/>
  <c r="AC96" i="39" s="1"/>
  <c r="AE96" i="39" s="1"/>
  <c r="Z7" i="40"/>
  <c r="AC7" i="40" s="1"/>
  <c r="AE7" i="40" s="1"/>
  <c r="Z11" i="40"/>
  <c r="AC11" i="40" s="1"/>
  <c r="AE11" i="40" s="1"/>
  <c r="Z23" i="40"/>
  <c r="AC23" i="40" s="1"/>
  <c r="AE23" i="40" s="1"/>
  <c r="Z27" i="40"/>
  <c r="AC27" i="40" s="1"/>
  <c r="AE27" i="40" s="1"/>
  <c r="Z39" i="40"/>
  <c r="AC39" i="40" s="1"/>
  <c r="AE39" i="40" s="1"/>
  <c r="Z43" i="40"/>
  <c r="AC43" i="40" s="1"/>
  <c r="AE43" i="40" s="1"/>
  <c r="Z55" i="40"/>
  <c r="AC55" i="40" s="1"/>
  <c r="AE55" i="40" s="1"/>
  <c r="Z59" i="40"/>
  <c r="AC59" i="40" s="1"/>
  <c r="AE59" i="40" s="1"/>
  <c r="Z71" i="40"/>
  <c r="AC71" i="40" s="1"/>
  <c r="AE71" i="40" s="1"/>
  <c r="Z75" i="40"/>
  <c r="AC75" i="40" s="1"/>
  <c r="AE75" i="40" s="1"/>
  <c r="Z87" i="40"/>
  <c r="AC87" i="40" s="1"/>
  <c r="AE87" i="40" s="1"/>
  <c r="Z91" i="40"/>
  <c r="AC91" i="40" s="1"/>
  <c r="AE91" i="40" s="1"/>
  <c r="Z29" i="41"/>
  <c r="AC29" i="41" s="1"/>
  <c r="AE29" i="41" s="1"/>
  <c r="Z47" i="41"/>
  <c r="AC47" i="41" s="1"/>
  <c r="AE47" i="41" s="1"/>
  <c r="Z65" i="41"/>
  <c r="AC65" i="41" s="1"/>
  <c r="AE65" i="41" s="1"/>
  <c r="Z74" i="41"/>
  <c r="AC74" i="41" s="1"/>
  <c r="AE74" i="41" s="1"/>
  <c r="Z92" i="41"/>
  <c r="AC92" i="41" s="1"/>
  <c r="AE92" i="41" s="1"/>
  <c r="Z96" i="41"/>
  <c r="AC96" i="41" s="1"/>
  <c r="AE96" i="41" s="1"/>
  <c r="Z45" i="42"/>
  <c r="AC45" i="42" s="1"/>
  <c r="AE45" i="42" s="1"/>
  <c r="Z56" i="42"/>
  <c r="AC56" i="42" s="1"/>
  <c r="AE56" i="42" s="1"/>
  <c r="Z67" i="42"/>
  <c r="AC67" i="42" s="1"/>
  <c r="AE67" i="42" s="1"/>
  <c r="Z23" i="43"/>
  <c r="AC23" i="43" s="1"/>
  <c r="AE23" i="43" s="1"/>
  <c r="Z41" i="43"/>
  <c r="AC41" i="43" s="1"/>
  <c r="AE41" i="43" s="1"/>
  <c r="Z50" i="43"/>
  <c r="AC50" i="43" s="1"/>
  <c r="AE50" i="43" s="1"/>
  <c r="Z68" i="43"/>
  <c r="AC68" i="43" s="1"/>
  <c r="AE68" i="43" s="1"/>
  <c r="Z77" i="43"/>
  <c r="AC77" i="43" s="1"/>
  <c r="AE77" i="43" s="1"/>
  <c r="Z95" i="43"/>
  <c r="AC95" i="43" s="1"/>
  <c r="AE95" i="43" s="1"/>
  <c r="Z10" i="44"/>
  <c r="AC10" i="44" s="1"/>
  <c r="AE10" i="44" s="1"/>
  <c r="Z28" i="44"/>
  <c r="AC28" i="44" s="1"/>
  <c r="AE28" i="44" s="1"/>
  <c r="Z32" i="44"/>
  <c r="AC32" i="44" s="1"/>
  <c r="AE32" i="44" s="1"/>
  <c r="Z43" i="44"/>
  <c r="AC43" i="44" s="1"/>
  <c r="AE43" i="44" s="1"/>
  <c r="Z6" i="45"/>
  <c r="AC6" i="45" s="1"/>
  <c r="AE6" i="45" s="1"/>
  <c r="Z15" i="45"/>
  <c r="AC15" i="45" s="1"/>
  <c r="AE15" i="45" s="1"/>
  <c r="Z58" i="45"/>
  <c r="AC58" i="45" s="1"/>
  <c r="AE58" i="45" s="1"/>
  <c r="Z69" i="45"/>
  <c r="AC69" i="45" s="1"/>
  <c r="AE69" i="45" s="1"/>
  <c r="Z76" i="45"/>
  <c r="AC76" i="45" s="1"/>
  <c r="AE76" i="45" s="1"/>
  <c r="Z80" i="45"/>
  <c r="AC80" i="45" s="1"/>
  <c r="AE80" i="45" s="1"/>
  <c r="Z92" i="45"/>
  <c r="AC92" i="45" s="1"/>
  <c r="AE92" i="45" s="1"/>
  <c r="Z9" i="46"/>
  <c r="AC9" i="46" s="1"/>
  <c r="AE9" i="46" s="1"/>
  <c r="Z18" i="46"/>
  <c r="AC18" i="46" s="1"/>
  <c r="AE18" i="46" s="1"/>
  <c r="Z36" i="46"/>
  <c r="AC36" i="46" s="1"/>
  <c r="AE36" i="46" s="1"/>
  <c r="Z40" i="46"/>
  <c r="AC40" i="46" s="1"/>
  <c r="AE40" i="46" s="1"/>
  <c r="Z51" i="46"/>
  <c r="AC51" i="46" s="1"/>
  <c r="AE51" i="46" s="1"/>
  <c r="Z81" i="46"/>
  <c r="AC81" i="46" s="1"/>
  <c r="AE81" i="46" s="1"/>
  <c r="Z90" i="46"/>
  <c r="AC90" i="46" s="1"/>
  <c r="AE90" i="46" s="1"/>
  <c r="Z11" i="47"/>
  <c r="AC11" i="47" s="1"/>
  <c r="AE11" i="47" s="1"/>
  <c r="Z61" i="47"/>
  <c r="AC61" i="47" s="1"/>
  <c r="AE61" i="47" s="1"/>
  <c r="Z79" i="47"/>
  <c r="AC79" i="47" s="1"/>
  <c r="AE79" i="47" s="1"/>
  <c r="Z52" i="50"/>
  <c r="AC52" i="50" s="1"/>
  <c r="AE52" i="50" s="1"/>
  <c r="Z67" i="50"/>
  <c r="AC67" i="50" s="1"/>
  <c r="AE67" i="50" s="1"/>
  <c r="Z70" i="50"/>
  <c r="AC70" i="50" s="1"/>
  <c r="AE70" i="50" s="1"/>
  <c r="Z97" i="50"/>
  <c r="AC97" i="50" s="1"/>
  <c r="AE97" i="50" s="1"/>
  <c r="Z28" i="51"/>
  <c r="AC28" i="51" s="1"/>
  <c r="AE28" i="51" s="1"/>
  <c r="Z32" i="51"/>
  <c r="AC32" i="51" s="1"/>
  <c r="AE32" i="51" s="1"/>
  <c r="Z78" i="53"/>
  <c r="AC78" i="53" s="1"/>
  <c r="AE78" i="53" s="1"/>
  <c r="Z72" i="54"/>
  <c r="AC72" i="54" s="1"/>
  <c r="AE72" i="54" s="1"/>
  <c r="Z42" i="36"/>
  <c r="AC42" i="36" s="1"/>
  <c r="AE42" i="36" s="1"/>
  <c r="Z60" i="36"/>
  <c r="AC60" i="36" s="1"/>
  <c r="AE60" i="36" s="1"/>
  <c r="Z64" i="36"/>
  <c r="AC64" i="36" s="1"/>
  <c r="AE64" i="36" s="1"/>
  <c r="Z75" i="36"/>
  <c r="AC75" i="36" s="1"/>
  <c r="AE75" i="36" s="1"/>
  <c r="Z13" i="37"/>
  <c r="AC13" i="37" s="1"/>
  <c r="AE13" i="37" s="1"/>
  <c r="Z31" i="37"/>
  <c r="AC31" i="37" s="1"/>
  <c r="AE31" i="37" s="1"/>
  <c r="Z49" i="37"/>
  <c r="AC49" i="37" s="1"/>
  <c r="AE49" i="37" s="1"/>
  <c r="Z58" i="37"/>
  <c r="AC58" i="37" s="1"/>
  <c r="AE58" i="37" s="1"/>
  <c r="Z76" i="37"/>
  <c r="AC76" i="37" s="1"/>
  <c r="AE76" i="37" s="1"/>
  <c r="Z80" i="37"/>
  <c r="AC80" i="37" s="1"/>
  <c r="AE80" i="37" s="1"/>
  <c r="Z91" i="37"/>
  <c r="AC91" i="37" s="1"/>
  <c r="AE91" i="37" s="1"/>
  <c r="Z11" i="38"/>
  <c r="AC11" i="38" s="1"/>
  <c r="AE11" i="38" s="1"/>
  <c r="Z20" i="38"/>
  <c r="AC20" i="38" s="1"/>
  <c r="AE20" i="38" s="1"/>
  <c r="Z22" i="38"/>
  <c r="AC22" i="38" s="1"/>
  <c r="AE22" i="38" s="1"/>
  <c r="Z36" i="38"/>
  <c r="AC36" i="38" s="1"/>
  <c r="AE36" i="38" s="1"/>
  <c r="Z47" i="38"/>
  <c r="AC47" i="38" s="1"/>
  <c r="AE47" i="38" s="1"/>
  <c r="Z9" i="39"/>
  <c r="AC9" i="39" s="1"/>
  <c r="AE9" i="39" s="1"/>
  <c r="Z18" i="39"/>
  <c r="AC18" i="39" s="1"/>
  <c r="AE18" i="39" s="1"/>
  <c r="Z36" i="39"/>
  <c r="AC36" i="39" s="1"/>
  <c r="AE36" i="39" s="1"/>
  <c r="Z40" i="39"/>
  <c r="AC40" i="39" s="1"/>
  <c r="AE40" i="39" s="1"/>
  <c r="Z51" i="39"/>
  <c r="AC51" i="39" s="1"/>
  <c r="AE51" i="39" s="1"/>
  <c r="Z16" i="40"/>
  <c r="AC16" i="40" s="1"/>
  <c r="AE16" i="40" s="1"/>
  <c r="Z32" i="40"/>
  <c r="AC32" i="40" s="1"/>
  <c r="AE32" i="40" s="1"/>
  <c r="Z48" i="40"/>
  <c r="AC48" i="40" s="1"/>
  <c r="AE48" i="40" s="1"/>
  <c r="Z64" i="40"/>
  <c r="AC64" i="40" s="1"/>
  <c r="AE64" i="40" s="1"/>
  <c r="Z80" i="40"/>
  <c r="AC80" i="40" s="1"/>
  <c r="AE80" i="40" s="1"/>
  <c r="Z96" i="40"/>
  <c r="AC96" i="40" s="1"/>
  <c r="AE96" i="40" s="1"/>
  <c r="Z9" i="41"/>
  <c r="AC9" i="41" s="1"/>
  <c r="AE9" i="41" s="1"/>
  <c r="Z18" i="41"/>
  <c r="AC18" i="41" s="1"/>
  <c r="AE18" i="41" s="1"/>
  <c r="Z36" i="41"/>
  <c r="AC36" i="41" s="1"/>
  <c r="AE36" i="41" s="1"/>
  <c r="Z40" i="41"/>
  <c r="AC40" i="41" s="1"/>
  <c r="AE40" i="41" s="1"/>
  <c r="Z51" i="41"/>
  <c r="AC51" i="41" s="1"/>
  <c r="AE51" i="41" s="1"/>
  <c r="Z7" i="42"/>
  <c r="AC7" i="42" s="1"/>
  <c r="AE7" i="42" s="1"/>
  <c r="Z25" i="42"/>
  <c r="AC25" i="42" s="1"/>
  <c r="AE25" i="42" s="1"/>
  <c r="Z34" i="42"/>
  <c r="AC34" i="42" s="1"/>
  <c r="AE34" i="42" s="1"/>
  <c r="Z52" i="42"/>
  <c r="AC52" i="42" s="1"/>
  <c r="AE52" i="42" s="1"/>
  <c r="Z61" i="42"/>
  <c r="AC61" i="42" s="1"/>
  <c r="AE61" i="42" s="1"/>
  <c r="Z79" i="42"/>
  <c r="AC79" i="42" s="1"/>
  <c r="AE79" i="42" s="1"/>
  <c r="Z97" i="42"/>
  <c r="AC97" i="42" s="1"/>
  <c r="AE97" i="42" s="1"/>
  <c r="Z12" i="43"/>
  <c r="AC12" i="43" s="1"/>
  <c r="AE12" i="43" s="1"/>
  <c r="Z16" i="43"/>
  <c r="AC16" i="43" s="1"/>
  <c r="AE16" i="43" s="1"/>
  <c r="Z27" i="43"/>
  <c r="AC27" i="43" s="1"/>
  <c r="AE27" i="43" s="1"/>
  <c r="Z84" i="43"/>
  <c r="AC84" i="43" s="1"/>
  <c r="AE84" i="43" s="1"/>
  <c r="Z88" i="43"/>
  <c r="AC88" i="43" s="1"/>
  <c r="AE88" i="43" s="1"/>
  <c r="Z37" i="44"/>
  <c r="AC37" i="44" s="1"/>
  <c r="AE37" i="44" s="1"/>
  <c r="Z55" i="44"/>
  <c r="AC55" i="44" s="1"/>
  <c r="AE55" i="44" s="1"/>
  <c r="Z73" i="44"/>
  <c r="AC73" i="44" s="1"/>
  <c r="AE73" i="44" s="1"/>
  <c r="Z82" i="44"/>
  <c r="AC82" i="44" s="1"/>
  <c r="AE82" i="44" s="1"/>
  <c r="Z22" i="45"/>
  <c r="AC22" i="45" s="1"/>
  <c r="AE22" i="45" s="1"/>
  <c r="Z31" i="45"/>
  <c r="AC31" i="45" s="1"/>
  <c r="AE31" i="45" s="1"/>
  <c r="Z49" i="45"/>
  <c r="AC49" i="45" s="1"/>
  <c r="AE49" i="45" s="1"/>
  <c r="Z65" i="45"/>
  <c r="AC65" i="45" s="1"/>
  <c r="AE65" i="45" s="1"/>
  <c r="Z96" i="45"/>
  <c r="AC96" i="45" s="1"/>
  <c r="AE96" i="45" s="1"/>
  <c r="Z45" i="46"/>
  <c r="AC45" i="46" s="1"/>
  <c r="AE45" i="46" s="1"/>
  <c r="Z63" i="46"/>
  <c r="AC63" i="46" s="1"/>
  <c r="AE63" i="46" s="1"/>
  <c r="Z95" i="47"/>
  <c r="AC95" i="47" s="1"/>
  <c r="AE95" i="47" s="1"/>
  <c r="Z46" i="48"/>
  <c r="AC46" i="48" s="1"/>
  <c r="AE46" i="48" s="1"/>
  <c r="Z59" i="48"/>
  <c r="AC59" i="48" s="1"/>
  <c r="AE59" i="48" s="1"/>
  <c r="Z38" i="49"/>
  <c r="AC38" i="49" s="1"/>
  <c r="AE38" i="49" s="1"/>
  <c r="Z51" i="49"/>
  <c r="AC51" i="49" s="1"/>
  <c r="AE51" i="49" s="1"/>
  <c r="Z54" i="49"/>
  <c r="AC54" i="49" s="1"/>
  <c r="AE54" i="49" s="1"/>
  <c r="Z56" i="50"/>
  <c r="AC56" i="50" s="1"/>
  <c r="AE56" i="50" s="1"/>
  <c r="Z79" i="50"/>
  <c r="AC79" i="50" s="1"/>
  <c r="AE79" i="50" s="1"/>
  <c r="Z88" i="52"/>
  <c r="AC88" i="52" s="1"/>
  <c r="AE88" i="52" s="1"/>
  <c r="Z80" i="53"/>
  <c r="AC80" i="53" s="1"/>
  <c r="AE80" i="53" s="1"/>
  <c r="Z12" i="47"/>
  <c r="AC12" i="47" s="1"/>
  <c r="AE12" i="47" s="1"/>
  <c r="Z16" i="47"/>
  <c r="AC16" i="47" s="1"/>
  <c r="AE16" i="47" s="1"/>
  <c r="Z77" i="47"/>
  <c r="AC77" i="47" s="1"/>
  <c r="AE77" i="47" s="1"/>
  <c r="Z37" i="48"/>
  <c r="AC37" i="48" s="1"/>
  <c r="AE37" i="48" s="1"/>
  <c r="Z48" i="48"/>
  <c r="AC48" i="48" s="1"/>
  <c r="AE48" i="48" s="1"/>
  <c r="Z71" i="48"/>
  <c r="AC71" i="48" s="1"/>
  <c r="AE71" i="48" s="1"/>
  <c r="Z13" i="49"/>
  <c r="AC13" i="49" s="1"/>
  <c r="AE13" i="49" s="1"/>
  <c r="Z40" i="49"/>
  <c r="AC40" i="49" s="1"/>
  <c r="AE40" i="49" s="1"/>
  <c r="Z41" i="50"/>
  <c r="AC41" i="50" s="1"/>
  <c r="AE41" i="50" s="1"/>
  <c r="Z68" i="50"/>
  <c r="AC68" i="50" s="1"/>
  <c r="AE68" i="50" s="1"/>
  <c r="Z86" i="50"/>
  <c r="AC86" i="50" s="1"/>
  <c r="AE86" i="50" s="1"/>
  <c r="Z78" i="51"/>
  <c r="AC78" i="51" s="1"/>
  <c r="AE78" i="51" s="1"/>
  <c r="Z34" i="52"/>
  <c r="AC34" i="52" s="1"/>
  <c r="AE34" i="52" s="1"/>
  <c r="Z66" i="52"/>
  <c r="AC66" i="52" s="1"/>
  <c r="AE66" i="52" s="1"/>
  <c r="Z84" i="52"/>
  <c r="AC84" i="52" s="1"/>
  <c r="AE84" i="52" s="1"/>
  <c r="Z86" i="52"/>
  <c r="AC86" i="52" s="1"/>
  <c r="AE86" i="52" s="1"/>
  <c r="Z76" i="53"/>
  <c r="AC76" i="53" s="1"/>
  <c r="AE76" i="53" s="1"/>
  <c r="Z85" i="53"/>
  <c r="AC85" i="53" s="1"/>
  <c r="AE85" i="53" s="1"/>
  <c r="Z12" i="40"/>
  <c r="AC12" i="40" s="1"/>
  <c r="AE12" i="40" s="1"/>
  <c r="Z28" i="40"/>
  <c r="AC28" i="40" s="1"/>
  <c r="AE28" i="40" s="1"/>
  <c r="Z44" i="40"/>
  <c r="AC44" i="40" s="1"/>
  <c r="AE44" i="40" s="1"/>
  <c r="Z60" i="40"/>
  <c r="AC60" i="40" s="1"/>
  <c r="AE60" i="40" s="1"/>
  <c r="Z76" i="40"/>
  <c r="AC76" i="40" s="1"/>
  <c r="AE76" i="40" s="1"/>
  <c r="Z92" i="40"/>
  <c r="AC92" i="40" s="1"/>
  <c r="AE92" i="40" s="1"/>
  <c r="Z7" i="41"/>
  <c r="AC7" i="41" s="1"/>
  <c r="AE7" i="41" s="1"/>
  <c r="Z25" i="41"/>
  <c r="AC25" i="41" s="1"/>
  <c r="AE25" i="41" s="1"/>
  <c r="Z34" i="41"/>
  <c r="AC34" i="41" s="1"/>
  <c r="AE34" i="41" s="1"/>
  <c r="Z52" i="41"/>
  <c r="AC52" i="41" s="1"/>
  <c r="AE52" i="41" s="1"/>
  <c r="Z56" i="41"/>
  <c r="AC56" i="41" s="1"/>
  <c r="AE56" i="41" s="1"/>
  <c r="Z67" i="41"/>
  <c r="AC67" i="41" s="1"/>
  <c r="AE67" i="41" s="1"/>
  <c r="Z5" i="42"/>
  <c r="AC5" i="42" s="1"/>
  <c r="AE5" i="42" s="1"/>
  <c r="Z23" i="42"/>
  <c r="AC23" i="42" s="1"/>
  <c r="AE23" i="42" s="1"/>
  <c r="Z41" i="42"/>
  <c r="AC41" i="42" s="1"/>
  <c r="AE41" i="42" s="1"/>
  <c r="Z50" i="42"/>
  <c r="AC50" i="42" s="1"/>
  <c r="AE50" i="42" s="1"/>
  <c r="Z77" i="42"/>
  <c r="AC77" i="42" s="1"/>
  <c r="AE77" i="42" s="1"/>
  <c r="Z95" i="42"/>
  <c r="AC95" i="42" s="1"/>
  <c r="AE95" i="42" s="1"/>
  <c r="Z10" i="43"/>
  <c r="AC10" i="43" s="1"/>
  <c r="AE10" i="43" s="1"/>
  <c r="Z28" i="43"/>
  <c r="AC28" i="43" s="1"/>
  <c r="AE28" i="43" s="1"/>
  <c r="Z32" i="43"/>
  <c r="AC32" i="43" s="1"/>
  <c r="AE32" i="43" s="1"/>
  <c r="Z43" i="43"/>
  <c r="AC43" i="43" s="1"/>
  <c r="AE43" i="43" s="1"/>
  <c r="Z73" i="43"/>
  <c r="AC73" i="43" s="1"/>
  <c r="AE73" i="43" s="1"/>
  <c r="Z82" i="43"/>
  <c r="AC82" i="43" s="1"/>
  <c r="AE82" i="43" s="1"/>
  <c r="Z53" i="44"/>
  <c r="AC53" i="44" s="1"/>
  <c r="AE53" i="44" s="1"/>
  <c r="Z71" i="44"/>
  <c r="AC71" i="44" s="1"/>
  <c r="AE71" i="44" s="1"/>
  <c r="Z63" i="45"/>
  <c r="AC63" i="45" s="1"/>
  <c r="AE63" i="45" s="1"/>
  <c r="Z81" i="45"/>
  <c r="AC81" i="45" s="1"/>
  <c r="AE81" i="45" s="1"/>
  <c r="Z11" i="46"/>
  <c r="AC11" i="46" s="1"/>
  <c r="AE11" i="46" s="1"/>
  <c r="Z61" i="46"/>
  <c r="AC61" i="46" s="1"/>
  <c r="AE61" i="46" s="1"/>
  <c r="Z83" i="46"/>
  <c r="AC83" i="46" s="1"/>
  <c r="AE83" i="46" s="1"/>
  <c r="Z21" i="47"/>
  <c r="AC21" i="47" s="1"/>
  <c r="AE21" i="47" s="1"/>
  <c r="Z39" i="47"/>
  <c r="AC39" i="47" s="1"/>
  <c r="AE39" i="47" s="1"/>
  <c r="Z57" i="47"/>
  <c r="AC57" i="47" s="1"/>
  <c r="AE57" i="47" s="1"/>
  <c r="Z66" i="47"/>
  <c r="AC66" i="47" s="1"/>
  <c r="AE66" i="47" s="1"/>
  <c r="Z84" i="47"/>
  <c r="AC84" i="47" s="1"/>
  <c r="AE84" i="47" s="1"/>
  <c r="Z88" i="47"/>
  <c r="AC88" i="47" s="1"/>
  <c r="AE88" i="47" s="1"/>
  <c r="Z17" i="48"/>
  <c r="AC17" i="48" s="1"/>
  <c r="AE17" i="48" s="1"/>
  <c r="Z26" i="48"/>
  <c r="AC26" i="48" s="1"/>
  <c r="AE26" i="48" s="1"/>
  <c r="Z44" i="48"/>
  <c r="AC44" i="48" s="1"/>
  <c r="AE44" i="48" s="1"/>
  <c r="Z53" i="48"/>
  <c r="AC53" i="48" s="1"/>
  <c r="AE53" i="48" s="1"/>
  <c r="Z60" i="48"/>
  <c r="AC60" i="48" s="1"/>
  <c r="AE60" i="48" s="1"/>
  <c r="Z64" i="48"/>
  <c r="AC64" i="48" s="1"/>
  <c r="AE64" i="48" s="1"/>
  <c r="Z75" i="48"/>
  <c r="AC75" i="48" s="1"/>
  <c r="AE75" i="48" s="1"/>
  <c r="Z78" i="48"/>
  <c r="AC78" i="48" s="1"/>
  <c r="AE78" i="48" s="1"/>
  <c r="Z87" i="48"/>
  <c r="AC87" i="48" s="1"/>
  <c r="AE87" i="48" s="1"/>
  <c r="Z36" i="49"/>
  <c r="AC36" i="49" s="1"/>
  <c r="AE36" i="49" s="1"/>
  <c r="Z45" i="49"/>
  <c r="AC45" i="49" s="1"/>
  <c r="AE45" i="49" s="1"/>
  <c r="Z61" i="49"/>
  <c r="AC61" i="49" s="1"/>
  <c r="AE61" i="49" s="1"/>
  <c r="Z79" i="49"/>
  <c r="AC79" i="49" s="1"/>
  <c r="AE79" i="49" s="1"/>
  <c r="Z90" i="49"/>
  <c r="AC90" i="49" s="1"/>
  <c r="AE90" i="49" s="1"/>
  <c r="Z23" i="50"/>
  <c r="AC23" i="50" s="1"/>
  <c r="AE23" i="50" s="1"/>
  <c r="Z60" i="51"/>
  <c r="AC60" i="51" s="1"/>
  <c r="AE60" i="51" s="1"/>
  <c r="Z69" i="51"/>
  <c r="AC69" i="51" s="1"/>
  <c r="AE69" i="51" s="1"/>
  <c r="Z25" i="52"/>
  <c r="AC25" i="52" s="1"/>
  <c r="AE25" i="52" s="1"/>
  <c r="Z49" i="53"/>
  <c r="AC49" i="53" s="1"/>
  <c r="AE49" i="53" s="1"/>
  <c r="F86" i="19"/>
  <c r="F70" i="19"/>
  <c r="F38" i="19"/>
  <c r="F22" i="19"/>
  <c r="F6" i="19"/>
  <c r="U97" i="19"/>
  <c r="L95" i="19"/>
  <c r="R91" i="19"/>
  <c r="I89" i="19"/>
  <c r="Z17" i="34"/>
  <c r="AC17" i="34" s="1"/>
  <c r="AE17" i="34" s="1"/>
  <c r="Z28" i="34"/>
  <c r="AC28" i="34" s="1"/>
  <c r="AE28" i="34" s="1"/>
  <c r="Z32" i="34"/>
  <c r="AC32" i="34" s="1"/>
  <c r="AE32" i="34" s="1"/>
  <c r="Z67" i="34"/>
  <c r="AC67" i="34" s="1"/>
  <c r="AE67" i="34" s="1"/>
  <c r="Z7" i="35"/>
  <c r="AC7" i="35" s="1"/>
  <c r="AE7" i="35" s="1"/>
  <c r="Z76" i="35"/>
  <c r="AC76" i="35" s="1"/>
  <c r="AE76" i="35" s="1"/>
  <c r="Z80" i="35"/>
  <c r="AC80" i="35" s="1"/>
  <c r="AE80" i="35" s="1"/>
  <c r="Z20" i="36"/>
  <c r="AC20" i="36" s="1"/>
  <c r="AE20" i="36" s="1"/>
  <c r="Z24" i="36"/>
  <c r="AC24" i="36" s="1"/>
  <c r="AE24" i="36" s="1"/>
  <c r="Z35" i="36"/>
  <c r="AC35" i="36" s="1"/>
  <c r="AE35" i="36" s="1"/>
  <c r="Z85" i="36"/>
  <c r="AC85" i="36" s="1"/>
  <c r="AE85" i="36" s="1"/>
  <c r="Z9" i="37"/>
  <c r="AC9" i="37" s="1"/>
  <c r="AE9" i="37" s="1"/>
  <c r="Z18" i="37"/>
  <c r="AC18" i="37" s="1"/>
  <c r="AE18" i="37" s="1"/>
  <c r="Z36" i="37"/>
  <c r="AC36" i="37" s="1"/>
  <c r="AE36" i="37" s="1"/>
  <c r="Z40" i="37"/>
  <c r="AC40" i="37" s="1"/>
  <c r="AE40" i="37" s="1"/>
  <c r="Z51" i="37"/>
  <c r="AC51" i="37" s="1"/>
  <c r="AE51" i="37" s="1"/>
  <c r="Z29" i="38"/>
  <c r="AC29" i="38" s="1"/>
  <c r="AE29" i="38" s="1"/>
  <c r="Z43" i="38"/>
  <c r="AC43" i="38" s="1"/>
  <c r="AE43" i="38" s="1"/>
  <c r="Z52" i="38"/>
  <c r="AC52" i="38" s="1"/>
  <c r="AE52" i="38" s="1"/>
  <c r="Z54" i="38"/>
  <c r="AC54" i="38" s="1"/>
  <c r="AE54" i="38" s="1"/>
  <c r="Z79" i="38"/>
  <c r="AC79" i="38" s="1"/>
  <c r="AE79" i="38" s="1"/>
  <c r="Z11" i="39"/>
  <c r="AC11" i="39" s="1"/>
  <c r="AE11" i="39" s="1"/>
  <c r="Z61" i="39"/>
  <c r="AC61" i="39" s="1"/>
  <c r="AE61" i="39" s="1"/>
  <c r="Z79" i="39"/>
  <c r="AC79" i="39" s="1"/>
  <c r="AE79" i="39" s="1"/>
  <c r="Z97" i="39"/>
  <c r="AC97" i="39" s="1"/>
  <c r="AE97" i="39" s="1"/>
  <c r="Z11" i="41"/>
  <c r="AC11" i="41" s="1"/>
  <c r="AE11" i="41" s="1"/>
  <c r="Z61" i="41"/>
  <c r="AC61" i="41" s="1"/>
  <c r="AE61" i="41" s="1"/>
  <c r="Z79" i="41"/>
  <c r="AC79" i="41" s="1"/>
  <c r="AE79" i="41" s="1"/>
  <c r="Z97" i="41"/>
  <c r="AC97" i="41" s="1"/>
  <c r="AE97" i="41" s="1"/>
  <c r="Z12" i="42"/>
  <c r="AC12" i="42" s="1"/>
  <c r="AE12" i="42" s="1"/>
  <c r="Z16" i="42"/>
  <c r="AC16" i="42" s="1"/>
  <c r="AE16" i="42" s="1"/>
  <c r="Z27" i="42"/>
  <c r="AC27" i="42" s="1"/>
  <c r="AE27" i="42" s="1"/>
  <c r="Z57" i="42"/>
  <c r="AC57" i="42" s="1"/>
  <c r="AE57" i="42" s="1"/>
  <c r="Z66" i="42"/>
  <c r="AC66" i="42" s="1"/>
  <c r="AE66" i="42" s="1"/>
  <c r="Z84" i="42"/>
  <c r="AC84" i="42" s="1"/>
  <c r="AE84" i="42" s="1"/>
  <c r="Z88" i="42"/>
  <c r="AC88" i="42" s="1"/>
  <c r="AE88" i="42" s="1"/>
  <c r="Z37" i="43"/>
  <c r="AC37" i="43" s="1"/>
  <c r="AE37" i="43" s="1"/>
  <c r="Z55" i="43"/>
  <c r="AC55" i="43" s="1"/>
  <c r="AE55" i="43" s="1"/>
  <c r="Z87" i="44"/>
  <c r="AC87" i="44" s="1"/>
  <c r="AE87" i="44" s="1"/>
  <c r="Z13" i="45"/>
  <c r="AC13" i="45" s="1"/>
  <c r="AE13" i="45" s="1"/>
  <c r="Z54" i="45"/>
  <c r="AC54" i="45" s="1"/>
  <c r="AE54" i="45" s="1"/>
  <c r="Z97" i="45"/>
  <c r="AC97" i="45" s="1"/>
  <c r="AE97" i="45" s="1"/>
  <c r="Z5" i="46"/>
  <c r="AC5" i="46" s="1"/>
  <c r="AE5" i="46" s="1"/>
  <c r="Z23" i="46"/>
  <c r="AC23" i="46" s="1"/>
  <c r="AE23" i="46" s="1"/>
  <c r="Z41" i="46"/>
  <c r="AC41" i="46" s="1"/>
  <c r="AE41" i="46" s="1"/>
  <c r="Z50" i="46"/>
  <c r="AC50" i="46" s="1"/>
  <c r="AE50" i="46" s="1"/>
  <c r="Z68" i="46"/>
  <c r="AC68" i="46" s="1"/>
  <c r="AE68" i="46" s="1"/>
  <c r="Z72" i="46"/>
  <c r="AC72" i="46" s="1"/>
  <c r="AE72" i="46" s="1"/>
  <c r="Z95" i="46"/>
  <c r="AC95" i="46" s="1"/>
  <c r="AE95" i="46" s="1"/>
  <c r="Z10" i="47"/>
  <c r="AC10" i="47" s="1"/>
  <c r="AE10" i="47" s="1"/>
  <c r="Z28" i="47"/>
  <c r="AC28" i="47" s="1"/>
  <c r="AE28" i="47" s="1"/>
  <c r="Z32" i="47"/>
  <c r="AC32" i="47" s="1"/>
  <c r="AE32" i="47" s="1"/>
  <c r="Z43" i="47"/>
  <c r="AC43" i="47" s="1"/>
  <c r="AE43" i="47" s="1"/>
  <c r="Z93" i="47"/>
  <c r="AC93" i="47" s="1"/>
  <c r="AE93" i="47" s="1"/>
  <c r="Z69" i="48"/>
  <c r="AC69" i="48" s="1"/>
  <c r="AE69" i="48" s="1"/>
  <c r="Z22" i="49"/>
  <c r="AC22" i="49" s="1"/>
  <c r="AE22" i="49" s="1"/>
  <c r="Z68" i="49"/>
  <c r="AC68" i="49" s="1"/>
  <c r="AE68" i="49" s="1"/>
  <c r="Z72" i="49"/>
  <c r="AC72" i="49" s="1"/>
  <c r="AE72" i="49" s="1"/>
  <c r="Z46" i="51"/>
  <c r="AC46" i="51" s="1"/>
  <c r="AE46" i="51" s="1"/>
  <c r="Z90" i="53"/>
  <c r="AC90" i="53" s="1"/>
  <c r="AE90" i="53" s="1"/>
  <c r="Z16" i="54"/>
  <c r="AC16" i="54" s="1"/>
  <c r="AE16" i="54" s="1"/>
  <c r="Z46" i="54"/>
  <c r="AC46" i="54" s="1"/>
  <c r="AE46" i="54" s="1"/>
  <c r="Z65" i="54"/>
  <c r="AC65" i="54" s="1"/>
  <c r="AE65" i="54" s="1"/>
  <c r="Z23" i="49"/>
  <c r="AC23" i="49" s="1"/>
  <c r="AE23" i="49" s="1"/>
  <c r="Z39" i="49"/>
  <c r="AC39" i="49" s="1"/>
  <c r="AE39" i="49" s="1"/>
  <c r="Z95" i="49"/>
  <c r="AC95" i="49" s="1"/>
  <c r="AE95" i="49" s="1"/>
  <c r="Z27" i="50"/>
  <c r="AC27" i="50" s="1"/>
  <c r="AE27" i="50" s="1"/>
  <c r="Z30" i="50"/>
  <c r="AC30" i="50" s="1"/>
  <c r="AE30" i="50" s="1"/>
  <c r="Z77" i="50"/>
  <c r="AC77" i="50" s="1"/>
  <c r="AE77" i="50" s="1"/>
  <c r="Z17" i="51"/>
  <c r="AC17" i="51" s="1"/>
  <c r="AE17" i="51" s="1"/>
  <c r="Z59" i="51"/>
  <c r="AC59" i="51" s="1"/>
  <c r="AE59" i="51" s="1"/>
  <c r="Z62" i="51"/>
  <c r="AC62" i="51" s="1"/>
  <c r="AE62" i="51" s="1"/>
  <c r="Z29" i="52"/>
  <c r="AC29" i="52" s="1"/>
  <c r="AE29" i="52" s="1"/>
  <c r="Z45" i="52"/>
  <c r="AC45" i="52" s="1"/>
  <c r="AE45" i="52" s="1"/>
  <c r="Z52" i="52"/>
  <c r="AC52" i="52" s="1"/>
  <c r="AE52" i="52" s="1"/>
  <c r="Z56" i="52"/>
  <c r="AC56" i="52" s="1"/>
  <c r="AE56" i="52" s="1"/>
  <c r="Z21" i="53"/>
  <c r="AC21" i="53" s="1"/>
  <c r="AE21" i="53" s="1"/>
  <c r="Z62" i="53"/>
  <c r="AC62" i="53" s="1"/>
  <c r="AE62" i="53" s="1"/>
  <c r="Z98" i="53"/>
  <c r="AC98" i="53" s="1"/>
  <c r="AE98" i="53" s="1"/>
  <c r="Z4" i="54"/>
  <c r="AC4" i="54" s="1"/>
  <c r="Z40" i="54"/>
  <c r="AC40" i="54" s="1"/>
  <c r="AE40" i="54" s="1"/>
  <c r="Z30" i="49"/>
  <c r="AC30" i="49" s="1"/>
  <c r="AE30" i="49" s="1"/>
  <c r="Z43" i="49"/>
  <c r="AC43" i="49" s="1"/>
  <c r="AE43" i="49" s="1"/>
  <c r="Z46" i="49"/>
  <c r="AC46" i="49" s="1"/>
  <c r="AE46" i="49" s="1"/>
  <c r="Z84" i="49"/>
  <c r="AC84" i="49" s="1"/>
  <c r="AE84" i="49" s="1"/>
  <c r="Z88" i="49"/>
  <c r="AC88" i="49" s="1"/>
  <c r="AE88" i="49" s="1"/>
  <c r="Z12" i="50"/>
  <c r="AC12" i="50" s="1"/>
  <c r="AE12" i="50" s="1"/>
  <c r="Z16" i="50"/>
  <c r="AC16" i="50" s="1"/>
  <c r="AE16" i="50" s="1"/>
  <c r="Z66" i="50"/>
  <c r="AC66" i="50" s="1"/>
  <c r="AE66" i="50" s="1"/>
  <c r="Z36" i="54"/>
  <c r="AC36" i="54" s="1"/>
  <c r="AE36" i="54" s="1"/>
  <c r="Z38" i="54"/>
  <c r="AC38" i="54" s="1"/>
  <c r="AE38" i="54" s="1"/>
  <c r="Z90" i="54"/>
  <c r="AC90" i="54" s="1"/>
  <c r="AE90" i="54" s="1"/>
  <c r="Z91" i="53"/>
  <c r="AC91" i="53" s="1"/>
  <c r="AE91" i="53" s="1"/>
  <c r="F74" i="19"/>
  <c r="Z17" i="50"/>
  <c r="AC17" i="50" s="1"/>
  <c r="AE17" i="50" s="1"/>
  <c r="Z62" i="50"/>
  <c r="AC62" i="50" s="1"/>
  <c r="AE62" i="50" s="1"/>
  <c r="Z20" i="51"/>
  <c r="AC20" i="51" s="1"/>
  <c r="AE20" i="51" s="1"/>
  <c r="Z24" i="51"/>
  <c r="AC24" i="51" s="1"/>
  <c r="AE24" i="51" s="1"/>
  <c r="Z49" i="51"/>
  <c r="AC49" i="51" s="1"/>
  <c r="AE49" i="51" s="1"/>
  <c r="Z7" i="52"/>
  <c r="AC7" i="52" s="1"/>
  <c r="AE7" i="52" s="1"/>
  <c r="Z39" i="52"/>
  <c r="AC39" i="52" s="1"/>
  <c r="AE39" i="52" s="1"/>
  <c r="Z65" i="53"/>
  <c r="AC65" i="53" s="1"/>
  <c r="AE65" i="53" s="1"/>
  <c r="Z7" i="54"/>
  <c r="AC7" i="54" s="1"/>
  <c r="AE7" i="54" s="1"/>
  <c r="Z23" i="54"/>
  <c r="AC23" i="54" s="1"/>
  <c r="AE23" i="54" s="1"/>
  <c r="Z66" i="54"/>
  <c r="AC66" i="54" s="1"/>
  <c r="AE66" i="54" s="1"/>
  <c r="X87" i="19"/>
  <c r="O85" i="19"/>
  <c r="U81" i="19"/>
  <c r="R75" i="19"/>
  <c r="I73" i="19"/>
  <c r="X71" i="19"/>
  <c r="O69" i="19"/>
  <c r="U65" i="19"/>
  <c r="L63" i="19"/>
  <c r="R59" i="19"/>
  <c r="I57" i="19"/>
  <c r="X55" i="19"/>
  <c r="O53" i="19"/>
  <c r="U49" i="19"/>
  <c r="L47" i="19"/>
  <c r="R43" i="19"/>
  <c r="I41" i="19"/>
  <c r="X39" i="19"/>
  <c r="O37" i="19"/>
  <c r="U33" i="19"/>
  <c r="L31" i="19"/>
  <c r="R27" i="19"/>
  <c r="I25" i="19"/>
  <c r="X23" i="19"/>
  <c r="O21" i="19"/>
  <c r="U17" i="19"/>
  <c r="L15" i="19"/>
  <c r="R11" i="19"/>
  <c r="I9" i="19"/>
  <c r="O5" i="19"/>
  <c r="Z43" i="42"/>
  <c r="AC43" i="42" s="1"/>
  <c r="AE43" i="42" s="1"/>
  <c r="Z93" i="42"/>
  <c r="AC93" i="42" s="1"/>
  <c r="AE93" i="42" s="1"/>
  <c r="Z17" i="43"/>
  <c r="AC17" i="43" s="1"/>
  <c r="AE17" i="43" s="1"/>
  <c r="Z26" i="43"/>
  <c r="AC26" i="43" s="1"/>
  <c r="AE26" i="43" s="1"/>
  <c r="Z44" i="43"/>
  <c r="AC44" i="43" s="1"/>
  <c r="AE44" i="43" s="1"/>
  <c r="Z48" i="43"/>
  <c r="AC48" i="43" s="1"/>
  <c r="AE48" i="43" s="1"/>
  <c r="Z59" i="43"/>
  <c r="AC59" i="43" s="1"/>
  <c r="AE59" i="43" s="1"/>
  <c r="Z15" i="44"/>
  <c r="AC15" i="44" s="1"/>
  <c r="AE15" i="44" s="1"/>
  <c r="Z33" i="44"/>
  <c r="AC33" i="44" s="1"/>
  <c r="AE33" i="44" s="1"/>
  <c r="Z42" i="44"/>
  <c r="AC42" i="44" s="1"/>
  <c r="AE42" i="44" s="1"/>
  <c r="Z60" i="44"/>
  <c r="AC60" i="44" s="1"/>
  <c r="AE60" i="44" s="1"/>
  <c r="Z64" i="44"/>
  <c r="AC64" i="44" s="1"/>
  <c r="AE64" i="44" s="1"/>
  <c r="Z75" i="44"/>
  <c r="AC75" i="44" s="1"/>
  <c r="AE75" i="44" s="1"/>
  <c r="Z20" i="45"/>
  <c r="AC20" i="45" s="1"/>
  <c r="AE20" i="45" s="1"/>
  <c r="Z24" i="45"/>
  <c r="AC24" i="45" s="1"/>
  <c r="AE24" i="45" s="1"/>
  <c r="Z38" i="45"/>
  <c r="AC38" i="45" s="1"/>
  <c r="AE38" i="45" s="1"/>
  <c r="Z47" i="45"/>
  <c r="AC47" i="45" s="1"/>
  <c r="AE47" i="45" s="1"/>
  <c r="Z90" i="45"/>
  <c r="AC90" i="45" s="1"/>
  <c r="AE90" i="45" s="1"/>
  <c r="Z7" i="46"/>
  <c r="AC7" i="46" s="1"/>
  <c r="AE7" i="46" s="1"/>
  <c r="Z25" i="46"/>
  <c r="AC25" i="46" s="1"/>
  <c r="AE25" i="46" s="1"/>
  <c r="Z34" i="46"/>
  <c r="AC34" i="46" s="1"/>
  <c r="AE34" i="46" s="1"/>
  <c r="Z52" i="46"/>
  <c r="AC52" i="46" s="1"/>
  <c r="AE52" i="46" s="1"/>
  <c r="Z56" i="46"/>
  <c r="AC56" i="46" s="1"/>
  <c r="AE56" i="46" s="1"/>
  <c r="Z67" i="46"/>
  <c r="AC67" i="46" s="1"/>
  <c r="AE67" i="46" s="1"/>
  <c r="Z5" i="47"/>
  <c r="AC5" i="47" s="1"/>
  <c r="AE5" i="47" s="1"/>
  <c r="Z23" i="47"/>
  <c r="AC23" i="47" s="1"/>
  <c r="AE23" i="47" s="1"/>
  <c r="Z41" i="47"/>
  <c r="AC41" i="47" s="1"/>
  <c r="AE41" i="47" s="1"/>
  <c r="Z50" i="47"/>
  <c r="AC50" i="47" s="1"/>
  <c r="AE50" i="47" s="1"/>
  <c r="Z68" i="47"/>
  <c r="AC68" i="47" s="1"/>
  <c r="AE68" i="47" s="1"/>
  <c r="Z72" i="47"/>
  <c r="AC72" i="47" s="1"/>
  <c r="AE72" i="47" s="1"/>
  <c r="Z83" i="47"/>
  <c r="AC83" i="47" s="1"/>
  <c r="AE83" i="47" s="1"/>
  <c r="Z21" i="48"/>
  <c r="AC21" i="48" s="1"/>
  <c r="AE21" i="48" s="1"/>
  <c r="Z39" i="48"/>
  <c r="AC39" i="48" s="1"/>
  <c r="AE39" i="48" s="1"/>
  <c r="Z47" i="49"/>
  <c r="AC47" i="49" s="1"/>
  <c r="AE47" i="49" s="1"/>
  <c r="Z65" i="49"/>
  <c r="AC65" i="49" s="1"/>
  <c r="AE65" i="49" s="1"/>
  <c r="Z22" i="50"/>
  <c r="AC22" i="50" s="1"/>
  <c r="AE22" i="50" s="1"/>
  <c r="Z94" i="50"/>
  <c r="AC94" i="50" s="1"/>
  <c r="AE94" i="50" s="1"/>
  <c r="Z40" i="51"/>
  <c r="AC40" i="51" s="1"/>
  <c r="AE40" i="51" s="1"/>
  <c r="Z54" i="51"/>
  <c r="AC54" i="51" s="1"/>
  <c r="AE54" i="51" s="1"/>
  <c r="Z70" i="51"/>
  <c r="AC70" i="51" s="1"/>
  <c r="AE70" i="51" s="1"/>
  <c r="Z21" i="52"/>
  <c r="AC21" i="52" s="1"/>
  <c r="AE21" i="52" s="1"/>
  <c r="Z28" i="52"/>
  <c r="AC28" i="52" s="1"/>
  <c r="AE28" i="52" s="1"/>
  <c r="Z44" i="52"/>
  <c r="AC44" i="52" s="1"/>
  <c r="AE44" i="52" s="1"/>
  <c r="Z36" i="53"/>
  <c r="AC36" i="53" s="1"/>
  <c r="AE36" i="53" s="1"/>
  <c r="Z40" i="53"/>
  <c r="AC40" i="53" s="1"/>
  <c r="AE40" i="53" s="1"/>
  <c r="Z5" i="54"/>
  <c r="AC5" i="54" s="1"/>
  <c r="AE5" i="54" s="1"/>
  <c r="Z12" i="54"/>
  <c r="AC12" i="54" s="1"/>
  <c r="AE12" i="54" s="1"/>
  <c r="Z59" i="54"/>
  <c r="AC59" i="54" s="1"/>
  <c r="AE59" i="54" s="1"/>
  <c r="Z91" i="54"/>
  <c r="AC91" i="54" s="1"/>
  <c r="AE91" i="54" s="1"/>
  <c r="F69" i="19"/>
  <c r="F37" i="19"/>
  <c r="F21" i="19"/>
  <c r="F5" i="19"/>
  <c r="O96" i="19"/>
  <c r="X82" i="19"/>
  <c r="U76" i="19"/>
  <c r="I68" i="19"/>
  <c r="O64" i="19"/>
  <c r="U60" i="19"/>
  <c r="L58" i="19"/>
  <c r="R54" i="19"/>
  <c r="I52" i="19"/>
  <c r="X50" i="19"/>
  <c r="O48" i="19"/>
  <c r="U44" i="19"/>
  <c r="L42" i="19"/>
  <c r="I36" i="19"/>
  <c r="X34" i="19"/>
  <c r="O32" i="19"/>
  <c r="U28" i="19"/>
  <c r="I20" i="19"/>
  <c r="X18" i="19"/>
  <c r="O16" i="19"/>
  <c r="U12" i="19"/>
  <c r="L10" i="19"/>
  <c r="Z12" i="49"/>
  <c r="AC12" i="49" s="1"/>
  <c r="AE12" i="49" s="1"/>
  <c r="Z89" i="49"/>
  <c r="AC89" i="49" s="1"/>
  <c r="AE89" i="49" s="1"/>
  <c r="Z37" i="50"/>
  <c r="AC37" i="50" s="1"/>
  <c r="AE37" i="50" s="1"/>
  <c r="Z43" i="50"/>
  <c r="AC43" i="50" s="1"/>
  <c r="AE43" i="50" s="1"/>
  <c r="Z90" i="50"/>
  <c r="AC90" i="50" s="1"/>
  <c r="AE90" i="50" s="1"/>
  <c r="Z71" i="51"/>
  <c r="AC71" i="51" s="1"/>
  <c r="AE71" i="51" s="1"/>
  <c r="Z53" i="52"/>
  <c r="AC53" i="52" s="1"/>
  <c r="AE53" i="52" s="1"/>
  <c r="Z71" i="52"/>
  <c r="AC71" i="52" s="1"/>
  <c r="AE71" i="52" s="1"/>
  <c r="Z89" i="52"/>
  <c r="AC89" i="52" s="1"/>
  <c r="AE89" i="52" s="1"/>
  <c r="Z98" i="52"/>
  <c r="AC98" i="52" s="1"/>
  <c r="AE98" i="52" s="1"/>
  <c r="Z4" i="53"/>
  <c r="Z8" i="53"/>
  <c r="AC8" i="53" s="1"/>
  <c r="AE8" i="53" s="1"/>
  <c r="Z15" i="53"/>
  <c r="AC15" i="53" s="1"/>
  <c r="AE15" i="53" s="1"/>
  <c r="Z26" i="53"/>
  <c r="AC26" i="53" s="1"/>
  <c r="AE26" i="53" s="1"/>
  <c r="Z66" i="53"/>
  <c r="AC66" i="53" s="1"/>
  <c r="AE66" i="53" s="1"/>
  <c r="Z84" i="53"/>
  <c r="AC84" i="53" s="1"/>
  <c r="AE84" i="53" s="1"/>
  <c r="Z88" i="53"/>
  <c r="AC88" i="53" s="1"/>
  <c r="AE88" i="53" s="1"/>
  <c r="Z95" i="53"/>
  <c r="AC95" i="53" s="1"/>
  <c r="AE95" i="53" s="1"/>
  <c r="Z52" i="54"/>
  <c r="AC52" i="54" s="1"/>
  <c r="AE52" i="54" s="1"/>
  <c r="Z76" i="54"/>
  <c r="AC76" i="54" s="1"/>
  <c r="AE76" i="54" s="1"/>
  <c r="Z80" i="54"/>
  <c r="AC80" i="54" s="1"/>
  <c r="AE80" i="54" s="1"/>
  <c r="Z87" i="54"/>
  <c r="AC87" i="54" s="1"/>
  <c r="AE87" i="54" s="1"/>
  <c r="F35" i="19"/>
  <c r="U98" i="19"/>
  <c r="L96" i="19"/>
  <c r="R92" i="19"/>
  <c r="I74" i="19"/>
  <c r="O70" i="19"/>
  <c r="U66" i="19"/>
  <c r="L64" i="19"/>
  <c r="I42" i="19"/>
  <c r="U34" i="19"/>
  <c r="I26" i="19"/>
  <c r="O22" i="19"/>
  <c r="I10" i="19"/>
  <c r="R7" i="19"/>
  <c r="O6" i="19"/>
  <c r="Z15" i="52"/>
  <c r="AC15" i="52" s="1"/>
  <c r="AE15" i="52" s="1"/>
  <c r="Z33" i="52"/>
  <c r="AC33" i="52" s="1"/>
  <c r="AE33" i="52" s="1"/>
  <c r="Z42" i="52"/>
  <c r="AC42" i="52" s="1"/>
  <c r="AE42" i="52" s="1"/>
  <c r="Z60" i="52"/>
  <c r="AC60" i="52" s="1"/>
  <c r="AE60" i="52" s="1"/>
  <c r="Z64" i="52"/>
  <c r="AC64" i="52" s="1"/>
  <c r="AE64" i="52" s="1"/>
  <c r="Z75" i="52"/>
  <c r="AC75" i="52" s="1"/>
  <c r="AE75" i="52" s="1"/>
  <c r="Z13" i="53"/>
  <c r="AC13" i="53" s="1"/>
  <c r="AE13" i="53" s="1"/>
  <c r="Z44" i="53"/>
  <c r="AC44" i="53" s="1"/>
  <c r="AE44" i="53" s="1"/>
  <c r="Z48" i="53"/>
  <c r="AC48" i="53" s="1"/>
  <c r="AE48" i="53" s="1"/>
  <c r="Z55" i="53"/>
  <c r="AC55" i="53" s="1"/>
  <c r="AE55" i="53" s="1"/>
  <c r="Z10" i="54"/>
  <c r="AC10" i="54" s="1"/>
  <c r="AE10" i="54" s="1"/>
  <c r="Z21" i="54"/>
  <c r="AC21" i="54" s="1"/>
  <c r="AE21" i="54" s="1"/>
  <c r="Z41" i="54"/>
  <c r="AC41" i="54" s="1"/>
  <c r="AE41" i="54" s="1"/>
  <c r="Z63" i="54"/>
  <c r="AC63" i="54" s="1"/>
  <c r="AE63" i="54" s="1"/>
  <c r="Z75" i="51"/>
  <c r="AC75" i="51" s="1"/>
  <c r="AE75" i="51" s="1"/>
  <c r="Z4" i="52"/>
  <c r="Z19" i="52"/>
  <c r="AC19" i="52" s="1"/>
  <c r="AE19" i="52" s="1"/>
  <c r="Z69" i="52"/>
  <c r="AC69" i="52" s="1"/>
  <c r="AE69" i="52" s="1"/>
  <c r="Z87" i="52"/>
  <c r="AC87" i="52" s="1"/>
  <c r="AE87" i="52" s="1"/>
  <c r="Z19" i="53"/>
  <c r="AC19" i="53" s="1"/>
  <c r="AE19" i="53" s="1"/>
  <c r="Z33" i="53"/>
  <c r="AC33" i="53" s="1"/>
  <c r="AE33" i="53" s="1"/>
  <c r="Z73" i="53"/>
  <c r="AC73" i="53" s="1"/>
  <c r="AE73" i="53" s="1"/>
  <c r="Z82" i="53"/>
  <c r="AC82" i="53" s="1"/>
  <c r="AE82" i="53" s="1"/>
  <c r="Z93" i="53"/>
  <c r="AC93" i="53" s="1"/>
  <c r="AE93" i="53" s="1"/>
  <c r="Z50" i="54"/>
  <c r="AC50" i="54" s="1"/>
  <c r="AE50" i="54" s="1"/>
  <c r="Z61" i="54"/>
  <c r="AC61" i="54" s="1"/>
  <c r="AE61" i="54" s="1"/>
  <c r="Z74" i="54"/>
  <c r="AC74" i="54" s="1"/>
  <c r="AE74" i="54" s="1"/>
  <c r="Z85" i="54"/>
  <c r="AC85" i="54" s="1"/>
  <c r="AE85" i="54" s="1"/>
  <c r="Z10" i="48"/>
  <c r="AC10" i="48" s="1"/>
  <c r="AE10" i="48" s="1"/>
  <c r="Z28" i="48"/>
  <c r="AC28" i="48" s="1"/>
  <c r="AE28" i="48" s="1"/>
  <c r="Z32" i="48"/>
  <c r="AC32" i="48" s="1"/>
  <c r="AE32" i="48" s="1"/>
  <c r="Z43" i="48"/>
  <c r="AC43" i="48" s="1"/>
  <c r="AE43" i="48" s="1"/>
  <c r="Z93" i="48"/>
  <c r="AC93" i="48" s="1"/>
  <c r="AE93" i="48" s="1"/>
  <c r="Z21" i="49"/>
  <c r="AC21" i="49" s="1"/>
  <c r="AE21" i="49" s="1"/>
  <c r="Z27" i="49"/>
  <c r="AC27" i="49" s="1"/>
  <c r="AE27" i="49" s="1"/>
  <c r="Z41" i="49"/>
  <c r="AC41" i="49" s="1"/>
  <c r="AE41" i="49" s="1"/>
  <c r="Z52" i="49"/>
  <c r="AC52" i="49" s="1"/>
  <c r="AE52" i="49" s="1"/>
  <c r="Z74" i="49"/>
  <c r="AC74" i="49" s="1"/>
  <c r="AE74" i="49" s="1"/>
  <c r="Z15" i="50"/>
  <c r="AC15" i="50" s="1"/>
  <c r="AE15" i="50" s="1"/>
  <c r="Z33" i="50"/>
  <c r="AC33" i="50" s="1"/>
  <c r="AE33" i="50" s="1"/>
  <c r="Z55" i="50"/>
  <c r="AC55" i="50" s="1"/>
  <c r="AE55" i="50" s="1"/>
  <c r="Z73" i="50"/>
  <c r="AC73" i="50" s="1"/>
  <c r="AE73" i="50" s="1"/>
  <c r="Z12" i="51"/>
  <c r="AC12" i="51" s="1"/>
  <c r="AE12" i="51" s="1"/>
  <c r="Z16" i="51"/>
  <c r="AC16" i="51" s="1"/>
  <c r="AE16" i="51" s="1"/>
  <c r="Z51" i="51"/>
  <c r="AC51" i="51" s="1"/>
  <c r="AE51" i="51" s="1"/>
  <c r="Z65" i="51"/>
  <c r="AC65" i="51" s="1"/>
  <c r="AE65" i="51" s="1"/>
  <c r="Z87" i="51"/>
  <c r="AC87" i="51" s="1"/>
  <c r="AE87" i="51" s="1"/>
  <c r="Z13" i="52"/>
  <c r="AC13" i="52" s="1"/>
  <c r="AE13" i="52" s="1"/>
  <c r="Z31" i="52"/>
  <c r="AC31" i="52" s="1"/>
  <c r="AE31" i="52" s="1"/>
  <c r="Z49" i="52"/>
  <c r="AC49" i="52" s="1"/>
  <c r="AE49" i="52" s="1"/>
  <c r="Z58" i="52"/>
  <c r="AC58" i="52" s="1"/>
  <c r="AE58" i="52" s="1"/>
  <c r="Z76" i="52"/>
  <c r="AC76" i="52" s="1"/>
  <c r="AE76" i="52" s="1"/>
  <c r="Z80" i="52"/>
  <c r="AC80" i="52" s="1"/>
  <c r="AE80" i="52" s="1"/>
  <c r="Z91" i="52"/>
  <c r="AC91" i="52" s="1"/>
  <c r="AE91" i="52" s="1"/>
  <c r="Z42" i="53"/>
  <c r="AC42" i="53" s="1"/>
  <c r="AE42" i="53" s="1"/>
  <c r="Z17" i="54"/>
  <c r="AC17" i="54" s="1"/>
  <c r="AE17" i="54" s="1"/>
  <c r="Z28" i="54"/>
  <c r="AC28" i="54" s="1"/>
  <c r="AE28" i="54" s="1"/>
  <c r="Z39" i="54"/>
  <c r="AC39" i="54" s="1"/>
  <c r="AE39" i="54" s="1"/>
  <c r="F96" i="19"/>
  <c r="F80" i="19"/>
  <c r="F32" i="19"/>
  <c r="L97" i="19"/>
  <c r="R93" i="19"/>
  <c r="O71" i="19"/>
  <c r="L65" i="19"/>
  <c r="I59" i="19"/>
  <c r="O55" i="19"/>
  <c r="I43" i="19"/>
  <c r="O39" i="19"/>
  <c r="L33" i="19"/>
  <c r="R29" i="19"/>
  <c r="I27" i="19"/>
  <c r="I22" i="19"/>
  <c r="I11" i="19"/>
  <c r="Z55" i="48"/>
  <c r="AC55" i="48" s="1"/>
  <c r="AE55" i="48" s="1"/>
  <c r="Z73" i="48"/>
  <c r="AC73" i="48" s="1"/>
  <c r="AE73" i="48" s="1"/>
  <c r="Z82" i="48"/>
  <c r="AC82" i="48" s="1"/>
  <c r="AE82" i="48" s="1"/>
  <c r="Z17" i="49"/>
  <c r="AC17" i="49" s="1"/>
  <c r="AE17" i="49" s="1"/>
  <c r="Z63" i="49"/>
  <c r="AC63" i="49" s="1"/>
  <c r="AE63" i="49" s="1"/>
  <c r="Z85" i="49"/>
  <c r="AC85" i="49" s="1"/>
  <c r="AE85" i="49" s="1"/>
  <c r="Z19" i="50"/>
  <c r="AC19" i="50" s="1"/>
  <c r="AE19" i="50" s="1"/>
  <c r="Z42" i="50"/>
  <c r="AC42" i="50" s="1"/>
  <c r="AE42" i="50" s="1"/>
  <c r="Z53" i="50"/>
  <c r="AC53" i="50" s="1"/>
  <c r="AE53" i="50" s="1"/>
  <c r="Z59" i="50"/>
  <c r="AC59" i="50" s="1"/>
  <c r="AE59" i="50" s="1"/>
  <c r="Z84" i="50"/>
  <c r="AC84" i="50" s="1"/>
  <c r="AE84" i="50" s="1"/>
  <c r="Z95" i="50"/>
  <c r="AC95" i="50" s="1"/>
  <c r="AE95" i="50" s="1"/>
  <c r="Z76" i="51"/>
  <c r="AC76" i="51" s="1"/>
  <c r="AE76" i="51" s="1"/>
  <c r="Z80" i="51"/>
  <c r="AC80" i="51" s="1"/>
  <c r="AE80" i="51" s="1"/>
  <c r="Z91" i="51"/>
  <c r="AC91" i="51" s="1"/>
  <c r="AE91" i="51" s="1"/>
  <c r="Z20" i="52"/>
  <c r="AC20" i="52" s="1"/>
  <c r="AE20" i="52" s="1"/>
  <c r="Z24" i="52"/>
  <c r="AC24" i="52" s="1"/>
  <c r="AE24" i="52" s="1"/>
  <c r="Z35" i="52"/>
  <c r="AC35" i="52" s="1"/>
  <c r="AE35" i="52" s="1"/>
  <c r="Z85" i="52"/>
  <c r="AC85" i="52" s="1"/>
  <c r="AE85" i="52" s="1"/>
  <c r="Z9" i="53"/>
  <c r="AC9" i="53" s="1"/>
  <c r="AE9" i="53" s="1"/>
  <c r="Z20" i="53"/>
  <c r="AC20" i="53" s="1"/>
  <c r="AE20" i="53" s="1"/>
  <c r="Z31" i="53"/>
  <c r="AC31" i="53" s="1"/>
  <c r="AE31" i="53" s="1"/>
  <c r="Z60" i="53"/>
  <c r="AC60" i="53" s="1"/>
  <c r="AE60" i="53" s="1"/>
  <c r="Z64" i="53"/>
  <c r="AC64" i="53" s="1"/>
  <c r="AE64" i="53" s="1"/>
  <c r="Z71" i="53"/>
  <c r="AC71" i="53" s="1"/>
  <c r="AE71" i="53" s="1"/>
  <c r="Z89" i="53"/>
  <c r="AC89" i="53" s="1"/>
  <c r="AE89" i="53" s="1"/>
  <c r="Z26" i="54"/>
  <c r="AC26" i="54" s="1"/>
  <c r="AE26" i="54" s="1"/>
  <c r="Z37" i="54"/>
  <c r="AC37" i="54" s="1"/>
  <c r="AE37" i="54" s="1"/>
  <c r="Z43" i="54"/>
  <c r="AC43" i="54" s="1"/>
  <c r="AE43" i="54" s="1"/>
  <c r="Z57" i="54"/>
  <c r="AC57" i="54" s="1"/>
  <c r="AE57" i="54" s="1"/>
  <c r="Z81" i="54"/>
  <c r="AC81" i="54" s="1"/>
  <c r="AE81" i="54" s="1"/>
  <c r="Z92" i="54"/>
  <c r="AC92" i="54" s="1"/>
  <c r="AE92" i="54" s="1"/>
  <c r="L39" i="19"/>
  <c r="L7" i="19"/>
  <c r="Z89" i="48"/>
  <c r="AC89" i="48" s="1"/>
  <c r="AE89" i="48" s="1"/>
  <c r="Z98" i="48"/>
  <c r="AC98" i="48" s="1"/>
  <c r="AE98" i="48" s="1"/>
  <c r="Z4" i="49"/>
  <c r="AC4" i="49" s="1"/>
  <c r="Z8" i="49"/>
  <c r="AC8" i="49" s="1"/>
  <c r="AE8" i="49" s="1"/>
  <c r="Z15" i="49"/>
  <c r="AC15" i="49" s="1"/>
  <c r="AE15" i="49" s="1"/>
  <c r="Z81" i="49"/>
  <c r="AC81" i="49" s="1"/>
  <c r="AE81" i="49" s="1"/>
  <c r="Z92" i="49"/>
  <c r="AC92" i="49" s="1"/>
  <c r="AE92" i="49" s="1"/>
  <c r="Z96" i="49"/>
  <c r="AC96" i="49" s="1"/>
  <c r="AE96" i="49" s="1"/>
  <c r="Z9" i="50"/>
  <c r="AC9" i="50" s="1"/>
  <c r="AE9" i="50" s="1"/>
  <c r="Z20" i="50"/>
  <c r="AC20" i="50" s="1"/>
  <c r="AE20" i="50" s="1"/>
  <c r="Z24" i="50"/>
  <c r="AC24" i="50" s="1"/>
  <c r="AE24" i="50" s="1"/>
  <c r="Z35" i="50"/>
  <c r="AC35" i="50" s="1"/>
  <c r="AE35" i="50" s="1"/>
  <c r="Z49" i="50"/>
  <c r="AC49" i="50" s="1"/>
  <c r="AE49" i="50" s="1"/>
  <c r="Z60" i="50"/>
  <c r="AC60" i="50" s="1"/>
  <c r="AE60" i="50" s="1"/>
  <c r="Z64" i="50"/>
  <c r="AC64" i="50" s="1"/>
  <c r="AE64" i="50" s="1"/>
  <c r="Z93" i="50"/>
  <c r="AC93" i="50" s="1"/>
  <c r="AE93" i="50" s="1"/>
  <c r="Z74" i="51"/>
  <c r="AC74" i="51" s="1"/>
  <c r="AE74" i="51" s="1"/>
  <c r="Z92" i="51"/>
  <c r="AC92" i="51" s="1"/>
  <c r="AE92" i="51" s="1"/>
  <c r="Z9" i="52"/>
  <c r="AC9" i="52" s="1"/>
  <c r="AE9" i="52" s="1"/>
  <c r="Z18" i="52"/>
  <c r="AC18" i="52" s="1"/>
  <c r="AE18" i="52" s="1"/>
  <c r="Z36" i="52"/>
  <c r="AC36" i="52" s="1"/>
  <c r="AE36" i="52" s="1"/>
  <c r="Z40" i="52"/>
  <c r="AC40" i="52" s="1"/>
  <c r="AE40" i="52" s="1"/>
  <c r="Z51" i="52"/>
  <c r="AC51" i="52" s="1"/>
  <c r="AE51" i="52" s="1"/>
  <c r="Z7" i="53"/>
  <c r="AC7" i="53" s="1"/>
  <c r="AE7" i="53" s="1"/>
  <c r="Z18" i="53"/>
  <c r="AC18" i="53" s="1"/>
  <c r="AE18" i="53" s="1"/>
  <c r="Z29" i="53"/>
  <c r="AC29" i="53" s="1"/>
  <c r="AE29" i="53" s="1"/>
  <c r="Z58" i="53"/>
  <c r="AC58" i="53" s="1"/>
  <c r="AE58" i="53" s="1"/>
  <c r="Z69" i="53"/>
  <c r="AC69" i="53" s="1"/>
  <c r="AE69" i="53" s="1"/>
  <c r="Z87" i="53"/>
  <c r="AC87" i="53" s="1"/>
  <c r="AE87" i="53" s="1"/>
  <c r="Z8" i="54"/>
  <c r="AC8" i="54" s="1"/>
  <c r="AE8" i="54" s="1"/>
  <c r="Z44" i="54"/>
  <c r="AC44" i="54" s="1"/>
  <c r="AE44" i="54" s="1"/>
  <c r="Z48" i="54"/>
  <c r="AC48" i="54" s="1"/>
  <c r="AE48" i="54" s="1"/>
  <c r="Z55" i="54"/>
  <c r="AC55" i="54" s="1"/>
  <c r="AE55" i="54" s="1"/>
  <c r="Z68" i="54"/>
  <c r="AC68" i="54" s="1"/>
  <c r="AE68" i="54" s="1"/>
  <c r="Z79" i="54"/>
  <c r="AC79" i="54" s="1"/>
  <c r="AE79" i="54" s="1"/>
  <c r="Z96" i="54"/>
  <c r="AC96" i="54" s="1"/>
  <c r="AE96" i="54" s="1"/>
  <c r="F93" i="19"/>
  <c r="F77" i="19"/>
  <c r="F61" i="19"/>
  <c r="F29" i="19"/>
  <c r="L98" i="19"/>
  <c r="R94" i="19"/>
  <c r="X90" i="19"/>
  <c r="O88" i="19"/>
  <c r="U84" i="19"/>
  <c r="L82" i="19"/>
  <c r="I76" i="19"/>
  <c r="O72" i="19"/>
  <c r="L66" i="19"/>
  <c r="O40" i="19"/>
  <c r="U36" i="19"/>
  <c r="O35" i="19"/>
  <c r="U31" i="19"/>
  <c r="R30" i="19"/>
  <c r="I28" i="19"/>
  <c r="I12" i="19"/>
  <c r="Z13" i="48"/>
  <c r="AC13" i="48" s="1"/>
  <c r="AE13" i="48" s="1"/>
  <c r="Z31" i="48"/>
  <c r="AC31" i="48" s="1"/>
  <c r="AE31" i="48" s="1"/>
  <c r="Z49" i="48"/>
  <c r="AC49" i="48" s="1"/>
  <c r="AE49" i="48" s="1"/>
  <c r="Z58" i="48"/>
  <c r="AC58" i="48" s="1"/>
  <c r="AE58" i="48" s="1"/>
  <c r="Z76" i="48"/>
  <c r="AC76" i="48" s="1"/>
  <c r="AE76" i="48" s="1"/>
  <c r="Z80" i="48"/>
  <c r="AC80" i="48" s="1"/>
  <c r="AE80" i="48" s="1"/>
  <c r="Z91" i="48"/>
  <c r="AC91" i="48" s="1"/>
  <c r="AE91" i="48" s="1"/>
  <c r="Z33" i="49"/>
  <c r="AC33" i="49" s="1"/>
  <c r="AE33" i="49" s="1"/>
  <c r="Z44" i="49"/>
  <c r="AC44" i="49" s="1"/>
  <c r="AE44" i="49" s="1"/>
  <c r="Z48" i="49"/>
  <c r="AC48" i="49" s="1"/>
  <c r="AE48" i="49" s="1"/>
  <c r="Z55" i="49"/>
  <c r="AC55" i="49" s="1"/>
  <c r="AE55" i="49" s="1"/>
  <c r="Z66" i="49"/>
  <c r="AC66" i="49" s="1"/>
  <c r="AE66" i="49" s="1"/>
  <c r="Z77" i="49"/>
  <c r="AC77" i="49" s="1"/>
  <c r="AE77" i="49" s="1"/>
  <c r="Z76" i="50"/>
  <c r="AC76" i="50" s="1"/>
  <c r="AE76" i="50" s="1"/>
  <c r="Z98" i="50"/>
  <c r="AC98" i="50" s="1"/>
  <c r="AE98" i="50" s="1"/>
  <c r="Z4" i="51"/>
  <c r="Z8" i="51"/>
  <c r="AC8" i="51" s="1"/>
  <c r="AE8" i="51" s="1"/>
  <c r="Z43" i="51"/>
  <c r="AC43" i="51" s="1"/>
  <c r="AE43" i="51" s="1"/>
  <c r="Z57" i="51"/>
  <c r="AC57" i="51" s="1"/>
  <c r="AE57" i="51" s="1"/>
  <c r="Z68" i="51"/>
  <c r="AC68" i="51" s="1"/>
  <c r="AE68" i="51" s="1"/>
  <c r="Z11" i="52"/>
  <c r="AC11" i="52" s="1"/>
  <c r="AE11" i="52" s="1"/>
  <c r="Z61" i="52"/>
  <c r="AC61" i="52" s="1"/>
  <c r="AE61" i="52" s="1"/>
  <c r="Z79" i="52"/>
  <c r="AC79" i="52" s="1"/>
  <c r="AE79" i="52" s="1"/>
  <c r="Z97" i="52"/>
  <c r="AC97" i="52" s="1"/>
  <c r="AE97" i="52" s="1"/>
  <c r="Z12" i="53"/>
  <c r="AC12" i="53" s="1"/>
  <c r="AE12" i="53" s="1"/>
  <c r="Z25" i="53"/>
  <c r="AC25" i="53" s="1"/>
  <c r="AE25" i="53" s="1"/>
  <c r="Z34" i="53"/>
  <c r="AC34" i="53" s="1"/>
  <c r="AE34" i="53" s="1"/>
  <c r="Z45" i="53"/>
  <c r="AC45" i="53" s="1"/>
  <c r="AE45" i="53" s="1"/>
  <c r="Z74" i="53"/>
  <c r="AC74" i="53" s="1"/>
  <c r="AE74" i="53" s="1"/>
  <c r="Z20" i="54"/>
  <c r="AC20" i="54" s="1"/>
  <c r="AE20" i="54" s="1"/>
  <c r="Z24" i="54"/>
  <c r="AC24" i="54" s="1"/>
  <c r="AE24" i="54" s="1"/>
  <c r="Z31" i="54"/>
  <c r="AC31" i="54" s="1"/>
  <c r="AE31" i="54" s="1"/>
  <c r="F90" i="19"/>
  <c r="R95" i="19"/>
  <c r="I93" i="19"/>
  <c r="X91" i="19"/>
  <c r="O89" i="19"/>
  <c r="O84" i="19"/>
  <c r="O73" i="19"/>
  <c r="I72" i="19"/>
  <c r="R63" i="19"/>
  <c r="I61" i="19"/>
  <c r="O57" i="19"/>
  <c r="I45" i="19"/>
  <c r="U37" i="19"/>
  <c r="L35" i="19"/>
  <c r="R31" i="19"/>
  <c r="I29" i="19"/>
  <c r="O25" i="19"/>
  <c r="I13" i="19"/>
  <c r="Z20" i="48"/>
  <c r="AC20" i="48" s="1"/>
  <c r="AE20" i="48" s="1"/>
  <c r="Z24" i="48"/>
  <c r="AC24" i="48" s="1"/>
  <c r="AE24" i="48" s="1"/>
  <c r="Z35" i="48"/>
  <c r="AC35" i="48" s="1"/>
  <c r="AE35" i="48" s="1"/>
  <c r="Z85" i="48"/>
  <c r="AC85" i="48" s="1"/>
  <c r="AE85" i="48" s="1"/>
  <c r="Z9" i="49"/>
  <c r="AC9" i="49" s="1"/>
  <c r="AE9" i="49" s="1"/>
  <c r="Z83" i="49"/>
  <c r="AC83" i="49" s="1"/>
  <c r="AE83" i="49" s="1"/>
  <c r="Z97" i="49"/>
  <c r="AC97" i="49" s="1"/>
  <c r="AE97" i="49" s="1"/>
  <c r="Z5" i="50"/>
  <c r="AC5" i="50" s="1"/>
  <c r="AE5" i="50" s="1"/>
  <c r="Z25" i="50"/>
  <c r="AC25" i="50" s="1"/>
  <c r="AE25" i="50" s="1"/>
  <c r="Z34" i="50"/>
  <c r="AC34" i="50" s="1"/>
  <c r="AE34" i="50" s="1"/>
  <c r="Z65" i="50"/>
  <c r="AC65" i="50" s="1"/>
  <c r="AE65" i="50" s="1"/>
  <c r="Z74" i="50"/>
  <c r="AC74" i="50" s="1"/>
  <c r="AE74" i="50" s="1"/>
  <c r="Z87" i="50"/>
  <c r="AC87" i="50" s="1"/>
  <c r="AE87" i="50" s="1"/>
  <c r="Z72" i="51"/>
  <c r="AC72" i="51" s="1"/>
  <c r="AE72" i="51" s="1"/>
  <c r="Z79" i="51"/>
  <c r="AC79" i="51" s="1"/>
  <c r="AE79" i="51" s="1"/>
  <c r="Z97" i="51"/>
  <c r="AC97" i="51" s="1"/>
  <c r="AE97" i="51" s="1"/>
  <c r="Z23" i="52"/>
  <c r="AC23" i="52" s="1"/>
  <c r="AE23" i="52" s="1"/>
  <c r="Z41" i="52"/>
  <c r="AC41" i="52" s="1"/>
  <c r="AE41" i="52" s="1"/>
  <c r="Z50" i="52"/>
  <c r="AC50" i="52" s="1"/>
  <c r="AE50" i="52" s="1"/>
  <c r="Z68" i="52"/>
  <c r="AC68" i="52" s="1"/>
  <c r="AE68" i="52" s="1"/>
  <c r="Z72" i="52"/>
  <c r="AC72" i="52" s="1"/>
  <c r="AE72" i="52" s="1"/>
  <c r="Z83" i="52"/>
  <c r="AC83" i="52" s="1"/>
  <c r="AE83" i="52" s="1"/>
  <c r="Z16" i="53"/>
  <c r="AC16" i="53" s="1"/>
  <c r="AE16" i="53" s="1"/>
  <c r="Z63" i="53"/>
  <c r="AC63" i="53" s="1"/>
  <c r="AE63" i="53" s="1"/>
  <c r="Z92" i="53"/>
  <c r="AC92" i="53" s="1"/>
  <c r="AE92" i="53" s="1"/>
  <c r="Z96" i="53"/>
  <c r="AC96" i="53" s="1"/>
  <c r="AE96" i="53" s="1"/>
  <c r="Z9" i="54"/>
  <c r="AC9" i="54" s="1"/>
  <c r="AE9" i="54" s="1"/>
  <c r="Z35" i="54"/>
  <c r="AC35" i="54" s="1"/>
  <c r="AE35" i="54" s="1"/>
  <c r="Z49" i="54"/>
  <c r="AC49" i="54" s="1"/>
  <c r="AE49" i="54" s="1"/>
  <c r="Z60" i="54"/>
  <c r="AC60" i="54" s="1"/>
  <c r="AE60" i="54" s="1"/>
  <c r="Z84" i="54"/>
  <c r="AC84" i="54" s="1"/>
  <c r="AE84" i="54" s="1"/>
  <c r="Z88" i="54"/>
  <c r="AC88" i="54" s="1"/>
  <c r="AE88" i="54" s="1"/>
  <c r="Z95" i="54"/>
  <c r="AC95" i="54" s="1"/>
  <c r="AE95" i="54" s="1"/>
  <c r="X38" i="19"/>
  <c r="O36" i="19"/>
  <c r="U32" i="19"/>
  <c r="Z47" i="48"/>
  <c r="AC47" i="48" s="1"/>
  <c r="AE47" i="48" s="1"/>
  <c r="Z65" i="48"/>
  <c r="AC65" i="48" s="1"/>
  <c r="AE65" i="48" s="1"/>
  <c r="Z74" i="48"/>
  <c r="AC74" i="48" s="1"/>
  <c r="AE74" i="48" s="1"/>
  <c r="Z92" i="48"/>
  <c r="AC92" i="48" s="1"/>
  <c r="AE92" i="48" s="1"/>
  <c r="Z96" i="48"/>
  <c r="AC96" i="48" s="1"/>
  <c r="AE96" i="48" s="1"/>
  <c r="Z20" i="49"/>
  <c r="AC20" i="49" s="1"/>
  <c r="AE20" i="49" s="1"/>
  <c r="Z24" i="49"/>
  <c r="AC24" i="49" s="1"/>
  <c r="AE24" i="49" s="1"/>
  <c r="Z31" i="49"/>
  <c r="AC31" i="49" s="1"/>
  <c r="AE31" i="49" s="1"/>
  <c r="Z42" i="49"/>
  <c r="AC42" i="49" s="1"/>
  <c r="AE42" i="49" s="1"/>
  <c r="Z53" i="49"/>
  <c r="AC53" i="49" s="1"/>
  <c r="AE53" i="49" s="1"/>
  <c r="Z73" i="49"/>
  <c r="AC73" i="49" s="1"/>
  <c r="AE73" i="49" s="1"/>
  <c r="Z51" i="50"/>
  <c r="AC51" i="50" s="1"/>
  <c r="AE51" i="50" s="1"/>
  <c r="Z80" i="50"/>
  <c r="AC80" i="50" s="1"/>
  <c r="AE80" i="50" s="1"/>
  <c r="Z19" i="51"/>
  <c r="AC19" i="51" s="1"/>
  <c r="AE19" i="51" s="1"/>
  <c r="Z33" i="51"/>
  <c r="AC33" i="51" s="1"/>
  <c r="AE33" i="51" s="1"/>
  <c r="Z44" i="51"/>
  <c r="AC44" i="51" s="1"/>
  <c r="AE44" i="51" s="1"/>
  <c r="Z48" i="51"/>
  <c r="AC48" i="51" s="1"/>
  <c r="AE48" i="51" s="1"/>
  <c r="Z66" i="51"/>
  <c r="AC66" i="51" s="1"/>
  <c r="AE66" i="51" s="1"/>
  <c r="Z83" i="51"/>
  <c r="AC83" i="51" s="1"/>
  <c r="AE83" i="51" s="1"/>
  <c r="Z12" i="52"/>
  <c r="AC12" i="52" s="1"/>
  <c r="AE12" i="52" s="1"/>
  <c r="Z16" i="52"/>
  <c r="AC16" i="52" s="1"/>
  <c r="AE16" i="52" s="1"/>
  <c r="Z27" i="52"/>
  <c r="AC27" i="52" s="1"/>
  <c r="AE27" i="52" s="1"/>
  <c r="Z77" i="52"/>
  <c r="AC77" i="52" s="1"/>
  <c r="AE77" i="52" s="1"/>
  <c r="Z95" i="52"/>
  <c r="AC95" i="52" s="1"/>
  <c r="AE95" i="52" s="1"/>
  <c r="Z10" i="53"/>
  <c r="AC10" i="53" s="1"/>
  <c r="AE10" i="53" s="1"/>
  <c r="Z23" i="53"/>
  <c r="AC23" i="53" s="1"/>
  <c r="AE23" i="53" s="1"/>
  <c r="Z41" i="53"/>
  <c r="AC41" i="53" s="1"/>
  <c r="AE41" i="53" s="1"/>
  <c r="Z52" i="53"/>
  <c r="AC52" i="53" s="1"/>
  <c r="AE52" i="53" s="1"/>
  <c r="Z56" i="53"/>
  <c r="AC56" i="53" s="1"/>
  <c r="AE56" i="53" s="1"/>
  <c r="Z81" i="53"/>
  <c r="AC81" i="53" s="1"/>
  <c r="AE81" i="53" s="1"/>
  <c r="Z29" i="54"/>
  <c r="AC29" i="54" s="1"/>
  <c r="AE29" i="54" s="1"/>
  <c r="Z64" i="54"/>
  <c r="AC64" i="54" s="1"/>
  <c r="AE64" i="54" s="1"/>
  <c r="Z73" i="54"/>
  <c r="AC73" i="54" s="1"/>
  <c r="AE73" i="54" s="1"/>
  <c r="F7" i="19"/>
  <c r="O95" i="19"/>
  <c r="O90" i="19"/>
  <c r="L89" i="19"/>
  <c r="U86" i="19"/>
  <c r="L84" i="19"/>
  <c r="X81" i="19"/>
  <c r="O79" i="19"/>
  <c r="O63" i="19"/>
  <c r="R53" i="19"/>
  <c r="I51" i="19"/>
  <c r="L41" i="19"/>
  <c r="R37" i="19"/>
  <c r="L36" i="19"/>
  <c r="I35" i="19"/>
  <c r="X33" i="19"/>
  <c r="Z52" i="48"/>
  <c r="AC52" i="48" s="1"/>
  <c r="AE52" i="48" s="1"/>
  <c r="Z56" i="48"/>
  <c r="AC56" i="48" s="1"/>
  <c r="AE56" i="48" s="1"/>
  <c r="Z67" i="48"/>
  <c r="AC67" i="48" s="1"/>
  <c r="AE67" i="48" s="1"/>
  <c r="Z11" i="49"/>
  <c r="AC11" i="49" s="1"/>
  <c r="AE11" i="49" s="1"/>
  <c r="Z64" i="49"/>
  <c r="AC64" i="49" s="1"/>
  <c r="AE64" i="49" s="1"/>
  <c r="Z82" i="49"/>
  <c r="AC82" i="49" s="1"/>
  <c r="AE82" i="49" s="1"/>
  <c r="Z93" i="49"/>
  <c r="AC93" i="49" s="1"/>
  <c r="AE93" i="49" s="1"/>
  <c r="Z10" i="50"/>
  <c r="AC10" i="50" s="1"/>
  <c r="AE10" i="50" s="1"/>
  <c r="Z39" i="50"/>
  <c r="AC39" i="50" s="1"/>
  <c r="AE39" i="50" s="1"/>
  <c r="Z50" i="50"/>
  <c r="AC50" i="50" s="1"/>
  <c r="AE50" i="50" s="1"/>
  <c r="Z92" i="50"/>
  <c r="AC92" i="50" s="1"/>
  <c r="AE92" i="50" s="1"/>
  <c r="Z96" i="50"/>
  <c r="AC96" i="50" s="1"/>
  <c r="AE96" i="50" s="1"/>
  <c r="Z73" i="51"/>
  <c r="AC73" i="51" s="1"/>
  <c r="AE73" i="51" s="1"/>
  <c r="Z93" i="51"/>
  <c r="AC93" i="51" s="1"/>
  <c r="AE93" i="51" s="1"/>
  <c r="Z37" i="52"/>
  <c r="AC37" i="52" s="1"/>
  <c r="AE37" i="52" s="1"/>
  <c r="Z55" i="52"/>
  <c r="AC55" i="52" s="1"/>
  <c r="AE55" i="52" s="1"/>
  <c r="Z73" i="52"/>
  <c r="AC73" i="52" s="1"/>
  <c r="AE73" i="52" s="1"/>
  <c r="Z82" i="52"/>
  <c r="AC82" i="52" s="1"/>
  <c r="AE82" i="52" s="1"/>
  <c r="Z17" i="53"/>
  <c r="AC17" i="53" s="1"/>
  <c r="AE17" i="53" s="1"/>
  <c r="Z28" i="53"/>
  <c r="AC28" i="53" s="1"/>
  <c r="AE28" i="53" s="1"/>
  <c r="Z68" i="53"/>
  <c r="AC68" i="53" s="1"/>
  <c r="AE68" i="53" s="1"/>
  <c r="Z72" i="53"/>
  <c r="AC72" i="53" s="1"/>
  <c r="AE72" i="53" s="1"/>
  <c r="Z83" i="53"/>
  <c r="AC83" i="53" s="1"/>
  <c r="AE83" i="53" s="1"/>
  <c r="Z97" i="53"/>
  <c r="AC97" i="53" s="1"/>
  <c r="AE97" i="53" s="1"/>
  <c r="Z34" i="54"/>
  <c r="AC34" i="54" s="1"/>
  <c r="AE34" i="54" s="1"/>
  <c r="Z45" i="54"/>
  <c r="AC45" i="54" s="1"/>
  <c r="AE45" i="54" s="1"/>
  <c r="Z51" i="54"/>
  <c r="AC51" i="54" s="1"/>
  <c r="AE51" i="54" s="1"/>
  <c r="Z69" i="54"/>
  <c r="AC69" i="54" s="1"/>
  <c r="AE69" i="54" s="1"/>
  <c r="Z75" i="54"/>
  <c r="AC75" i="54" s="1"/>
  <c r="AE75" i="54" s="1"/>
  <c r="Z89" i="54"/>
  <c r="AC89" i="54" s="1"/>
  <c r="AE89" i="54" s="1"/>
  <c r="F85" i="19"/>
  <c r="X98" i="19"/>
  <c r="U92" i="19"/>
  <c r="L90" i="19"/>
  <c r="R86" i="19"/>
  <c r="I84" i="19"/>
  <c r="O80" i="19"/>
  <c r="L74" i="19"/>
  <c r="R70" i="19"/>
  <c r="R38" i="19"/>
  <c r="L26" i="19"/>
  <c r="R22" i="19"/>
  <c r="R6" i="19"/>
  <c r="I4" i="19"/>
  <c r="Z19" i="26"/>
  <c r="AC19" i="26" s="1"/>
  <c r="AE19" i="26" s="1"/>
  <c r="Z4" i="26"/>
  <c r="Z63" i="26"/>
  <c r="AC63" i="26" s="1"/>
  <c r="AE63" i="26" s="1"/>
  <c r="Z61" i="26"/>
  <c r="AC61" i="26" s="1"/>
  <c r="AE61" i="26" s="1"/>
  <c r="Z82" i="26"/>
  <c r="AC82" i="26" s="1"/>
  <c r="AE82" i="26" s="1"/>
  <c r="Z70" i="26"/>
  <c r="AC70" i="26" s="1"/>
  <c r="AE70" i="26" s="1"/>
  <c r="Z68" i="26"/>
  <c r="AC68" i="26" s="1"/>
  <c r="AE68" i="26" s="1"/>
  <c r="Z76" i="26"/>
  <c r="AC76" i="26" s="1"/>
  <c r="AE76" i="26" s="1"/>
  <c r="Z5" i="26"/>
  <c r="AC5" i="26" s="1"/>
  <c r="AE5" i="26" s="1"/>
  <c r="Z77" i="26"/>
  <c r="AC77" i="26" s="1"/>
  <c r="AE77" i="26" s="1"/>
  <c r="F55" i="19"/>
  <c r="Z53" i="26"/>
  <c r="AC53" i="26" s="1"/>
  <c r="AE53" i="26" s="1"/>
  <c r="F53" i="19"/>
  <c r="Z83" i="26"/>
  <c r="AC83" i="26" s="1"/>
  <c r="AE83" i="26" s="1"/>
  <c r="Z43" i="26"/>
  <c r="AC43" i="26" s="1"/>
  <c r="AE43" i="26" s="1"/>
  <c r="Z47" i="26"/>
  <c r="AC47" i="26" s="1"/>
  <c r="AE47" i="26" s="1"/>
  <c r="Z50" i="26"/>
  <c r="AC50" i="26" s="1"/>
  <c r="AE50" i="26" s="1"/>
  <c r="Z51" i="26"/>
  <c r="AC51" i="26" s="1"/>
  <c r="AE51" i="26" s="1"/>
  <c r="Z42" i="26"/>
  <c r="AC42" i="26" s="1"/>
  <c r="AE42" i="26" s="1"/>
  <c r="Z67" i="26"/>
  <c r="AC67" i="26" s="1"/>
  <c r="AE67" i="26" s="1"/>
  <c r="Z75" i="26"/>
  <c r="AC75" i="26" s="1"/>
  <c r="AE75" i="26" s="1"/>
  <c r="Z10" i="26"/>
  <c r="AC10" i="26" s="1"/>
  <c r="AE10" i="26" s="1"/>
  <c r="Z11" i="26"/>
  <c r="AC11" i="26" s="1"/>
  <c r="AE11" i="26" s="1"/>
  <c r="Z15" i="26"/>
  <c r="AC15" i="26" s="1"/>
  <c r="AE15" i="26" s="1"/>
  <c r="Z9" i="26"/>
  <c r="AC9" i="26" s="1"/>
  <c r="AE9" i="26" s="1"/>
  <c r="Z59" i="26"/>
  <c r="AC59" i="26" s="1"/>
  <c r="AE59" i="26" s="1"/>
  <c r="Z57" i="26"/>
  <c r="AC57" i="26" s="1"/>
  <c r="AE57" i="26" s="1"/>
  <c r="Z55" i="26"/>
  <c r="AC55" i="26" s="1"/>
  <c r="AE55" i="26" s="1"/>
  <c r="Z26" i="26"/>
  <c r="AC26" i="26" s="1"/>
  <c r="AE26" i="26" s="1"/>
  <c r="Z25" i="26"/>
  <c r="AC25" i="26" s="1"/>
  <c r="AE25" i="26" s="1"/>
  <c r="X7" i="19"/>
  <c r="Z13" i="54"/>
  <c r="AC13" i="54" s="1"/>
  <c r="AE13" i="54" s="1"/>
  <c r="Z42" i="54"/>
  <c r="AC42" i="54" s="1"/>
  <c r="AE42" i="54" s="1"/>
  <c r="Z56" i="54"/>
  <c r="AC56" i="54" s="1"/>
  <c r="AE56" i="54" s="1"/>
  <c r="Z77" i="54"/>
  <c r="AC77" i="54" s="1"/>
  <c r="AE77" i="54" s="1"/>
  <c r="Z18" i="54"/>
  <c r="AC18" i="54" s="1"/>
  <c r="AE18" i="54" s="1"/>
  <c r="Z32" i="54"/>
  <c r="AC32" i="54" s="1"/>
  <c r="AE32" i="54" s="1"/>
  <c r="Z53" i="54"/>
  <c r="AC53" i="54" s="1"/>
  <c r="AE53" i="54" s="1"/>
  <c r="Z82" i="54"/>
  <c r="AC82" i="54" s="1"/>
  <c r="AE82" i="54" s="1"/>
  <c r="Z35" i="53"/>
  <c r="AC35" i="53" s="1"/>
  <c r="AE35" i="53" s="1"/>
  <c r="Z53" i="53"/>
  <c r="AC53" i="53" s="1"/>
  <c r="AE53" i="53" s="1"/>
  <c r="Z59" i="53"/>
  <c r="AC59" i="53" s="1"/>
  <c r="AE59" i="53" s="1"/>
  <c r="Z51" i="53"/>
  <c r="AC51" i="53" s="1"/>
  <c r="AE51" i="53" s="1"/>
  <c r="Z32" i="53"/>
  <c r="AC32" i="53" s="1"/>
  <c r="AE32" i="53" s="1"/>
  <c r="Z5" i="52"/>
  <c r="AC5" i="52" s="1"/>
  <c r="AE5" i="52" s="1"/>
  <c r="Z8" i="52"/>
  <c r="AC8" i="52" s="1"/>
  <c r="AE8" i="52" s="1"/>
  <c r="Z10" i="51"/>
  <c r="AC10" i="51" s="1"/>
  <c r="AE10" i="51" s="1"/>
  <c r="Z18" i="51"/>
  <c r="AC18" i="51" s="1"/>
  <c r="AE18" i="51" s="1"/>
  <c r="Z26" i="51"/>
  <c r="AC26" i="51" s="1"/>
  <c r="AE26" i="51" s="1"/>
  <c r="Z34" i="51"/>
  <c r="AC34" i="51" s="1"/>
  <c r="AE34" i="51" s="1"/>
  <c r="Z42" i="51"/>
  <c r="AC42" i="51" s="1"/>
  <c r="AE42" i="51" s="1"/>
  <c r="Z50" i="51"/>
  <c r="AC50" i="51" s="1"/>
  <c r="AE50" i="51" s="1"/>
  <c r="Z64" i="51"/>
  <c r="AC64" i="51" s="1"/>
  <c r="AE64" i="51" s="1"/>
  <c r="Z85" i="51"/>
  <c r="AC85" i="51" s="1"/>
  <c r="AE85" i="51" s="1"/>
  <c r="Z61" i="51"/>
  <c r="AC61" i="51" s="1"/>
  <c r="AE61" i="51" s="1"/>
  <c r="Z5" i="51"/>
  <c r="AC5" i="51" s="1"/>
  <c r="AE5" i="51" s="1"/>
  <c r="Z7" i="51"/>
  <c r="AC7" i="51" s="1"/>
  <c r="AE7" i="51" s="1"/>
  <c r="Z13" i="51"/>
  <c r="AC13" i="51" s="1"/>
  <c r="AE13" i="51" s="1"/>
  <c r="Z15" i="51"/>
  <c r="AC15" i="51" s="1"/>
  <c r="AE15" i="51" s="1"/>
  <c r="Z21" i="51"/>
  <c r="AC21" i="51" s="1"/>
  <c r="AE21" i="51" s="1"/>
  <c r="Z23" i="51"/>
  <c r="AC23" i="51" s="1"/>
  <c r="AE23" i="51" s="1"/>
  <c r="Z29" i="51"/>
  <c r="AC29" i="51" s="1"/>
  <c r="AE29" i="51" s="1"/>
  <c r="Z31" i="51"/>
  <c r="AC31" i="51" s="1"/>
  <c r="AE31" i="51" s="1"/>
  <c r="Z37" i="51"/>
  <c r="AC37" i="51" s="1"/>
  <c r="AE37" i="51" s="1"/>
  <c r="Z39" i="51"/>
  <c r="AC39" i="51" s="1"/>
  <c r="AE39" i="51" s="1"/>
  <c r="Z45" i="51"/>
  <c r="AC45" i="51" s="1"/>
  <c r="AE45" i="51" s="1"/>
  <c r="Z47" i="51"/>
  <c r="AC47" i="51" s="1"/>
  <c r="AE47" i="51" s="1"/>
  <c r="Z53" i="51"/>
  <c r="AC53" i="51" s="1"/>
  <c r="AE53" i="51" s="1"/>
  <c r="Z55" i="51"/>
  <c r="AC55" i="51" s="1"/>
  <c r="AE55" i="51" s="1"/>
  <c r="Z82" i="51"/>
  <c r="AC82" i="51" s="1"/>
  <c r="AE82" i="51" s="1"/>
  <c r="Z96" i="51"/>
  <c r="AC96" i="51" s="1"/>
  <c r="AE96" i="51" s="1"/>
  <c r="Z18" i="50"/>
  <c r="AC18" i="50" s="1"/>
  <c r="AE18" i="50" s="1"/>
  <c r="Z91" i="50"/>
  <c r="AC91" i="50" s="1"/>
  <c r="AE91" i="50" s="1"/>
  <c r="Z8" i="50"/>
  <c r="AC8" i="50" s="1"/>
  <c r="AE8" i="50" s="1"/>
  <c r="Z21" i="50"/>
  <c r="AC21" i="50" s="1"/>
  <c r="AE21" i="50" s="1"/>
  <c r="Z48" i="50"/>
  <c r="AC48" i="50" s="1"/>
  <c r="AE48" i="50" s="1"/>
  <c r="Z61" i="50"/>
  <c r="AC61" i="50" s="1"/>
  <c r="AE61" i="50" s="1"/>
  <c r="Z82" i="50"/>
  <c r="AC82" i="50" s="1"/>
  <c r="AE82" i="50" s="1"/>
  <c r="Z88" i="50"/>
  <c r="AC88" i="50" s="1"/>
  <c r="AE88" i="50" s="1"/>
  <c r="Z32" i="50"/>
  <c r="AC32" i="50" s="1"/>
  <c r="AE32" i="50" s="1"/>
  <c r="Z45" i="50"/>
  <c r="AC45" i="50" s="1"/>
  <c r="AE45" i="50" s="1"/>
  <c r="Z72" i="50"/>
  <c r="AC72" i="50" s="1"/>
  <c r="AE72" i="50" s="1"/>
  <c r="Z85" i="50"/>
  <c r="AC85" i="50" s="1"/>
  <c r="AE85" i="50" s="1"/>
  <c r="Z4" i="50"/>
  <c r="Z5" i="49"/>
  <c r="AC5" i="49" s="1"/>
  <c r="AE5" i="49" s="1"/>
  <c r="Z26" i="49"/>
  <c r="AC26" i="49" s="1"/>
  <c r="AE26" i="49" s="1"/>
  <c r="Z16" i="49"/>
  <c r="AC16" i="49" s="1"/>
  <c r="AE16" i="49" s="1"/>
  <c r="Z29" i="49"/>
  <c r="AC29" i="49" s="1"/>
  <c r="AE29" i="49" s="1"/>
  <c r="Z56" i="49"/>
  <c r="AC56" i="49" s="1"/>
  <c r="AE56" i="49" s="1"/>
  <c r="Z69" i="49"/>
  <c r="AC69" i="49" s="1"/>
  <c r="AE69" i="49" s="1"/>
  <c r="Z91" i="49"/>
  <c r="AC91" i="49" s="1"/>
  <c r="AE91" i="49" s="1"/>
  <c r="AC4" i="47"/>
  <c r="Z8" i="47"/>
  <c r="AC8" i="47" s="1"/>
  <c r="AE8" i="47" s="1"/>
  <c r="Z8" i="46"/>
  <c r="AC8" i="46" s="1"/>
  <c r="AE8" i="46" s="1"/>
  <c r="Z5" i="45"/>
  <c r="AC5" i="45" s="1"/>
  <c r="AE5" i="45" s="1"/>
  <c r="Z10" i="45"/>
  <c r="AC10" i="45" s="1"/>
  <c r="AE10" i="45" s="1"/>
  <c r="Z42" i="45"/>
  <c r="AC42" i="45" s="1"/>
  <c r="AE42" i="45" s="1"/>
  <c r="Z74" i="45"/>
  <c r="AC74" i="45" s="1"/>
  <c r="AE74" i="45" s="1"/>
  <c r="Z29" i="45"/>
  <c r="AC29" i="45" s="1"/>
  <c r="AE29" i="45" s="1"/>
  <c r="Z61" i="45"/>
  <c r="AC61" i="45" s="1"/>
  <c r="AE61" i="45" s="1"/>
  <c r="Z93" i="45"/>
  <c r="AC93" i="45" s="1"/>
  <c r="AE93" i="45" s="1"/>
  <c r="Z4" i="45"/>
  <c r="Z21" i="45"/>
  <c r="AC21" i="45" s="1"/>
  <c r="AE21" i="45" s="1"/>
  <c r="Z53" i="45"/>
  <c r="AC53" i="45" s="1"/>
  <c r="AE53" i="45" s="1"/>
  <c r="Z85" i="45"/>
  <c r="AC85" i="45" s="1"/>
  <c r="AE85" i="45" s="1"/>
  <c r="Z8" i="45"/>
  <c r="AC8" i="45" s="1"/>
  <c r="AE8" i="45" s="1"/>
  <c r="Z40" i="45"/>
  <c r="AC40" i="45" s="1"/>
  <c r="AE40" i="45" s="1"/>
  <c r="Z72" i="45"/>
  <c r="AC72" i="45" s="1"/>
  <c r="AE72" i="45" s="1"/>
  <c r="AC4" i="44"/>
  <c r="AC4" i="43"/>
  <c r="Z8" i="43"/>
  <c r="AC8" i="43" s="1"/>
  <c r="AE8" i="43" s="1"/>
  <c r="AC4" i="42"/>
  <c r="Z4" i="41"/>
  <c r="AC4" i="40"/>
  <c r="Z8" i="39"/>
  <c r="AC8" i="39" s="1"/>
  <c r="AE8" i="39" s="1"/>
  <c r="Z66" i="38"/>
  <c r="AC66" i="38" s="1"/>
  <c r="AE66" i="38" s="1"/>
  <c r="Z17" i="38"/>
  <c r="AC17" i="38" s="1"/>
  <c r="AE17" i="38" s="1"/>
  <c r="Z34" i="38"/>
  <c r="AC34" i="38" s="1"/>
  <c r="AE34" i="38" s="1"/>
  <c r="Z49" i="38"/>
  <c r="AC49" i="38" s="1"/>
  <c r="AE49" i="38" s="1"/>
  <c r="Z74" i="38"/>
  <c r="AC74" i="38" s="1"/>
  <c r="AE74" i="38" s="1"/>
  <c r="Z4" i="38"/>
  <c r="Z82" i="38"/>
  <c r="AC82" i="38" s="1"/>
  <c r="AE82" i="38" s="1"/>
  <c r="Z23" i="38"/>
  <c r="AC23" i="38" s="1"/>
  <c r="AE23" i="38" s="1"/>
  <c r="Z55" i="38"/>
  <c r="AC55" i="38" s="1"/>
  <c r="AE55" i="38" s="1"/>
  <c r="Z90" i="38"/>
  <c r="AC90" i="38" s="1"/>
  <c r="AE90" i="38" s="1"/>
  <c r="Z10" i="38"/>
  <c r="AC10" i="38" s="1"/>
  <c r="AE10" i="38" s="1"/>
  <c r="Z25" i="38"/>
  <c r="AC25" i="38" s="1"/>
  <c r="AE25" i="38" s="1"/>
  <c r="Z42" i="38"/>
  <c r="AC42" i="38" s="1"/>
  <c r="AE42" i="38" s="1"/>
  <c r="Z57" i="38"/>
  <c r="AC57" i="38" s="1"/>
  <c r="AE57" i="38" s="1"/>
  <c r="Z12" i="38"/>
  <c r="AC12" i="38" s="1"/>
  <c r="AE12" i="38" s="1"/>
  <c r="Z44" i="38"/>
  <c r="AC44" i="38" s="1"/>
  <c r="AE44" i="38" s="1"/>
  <c r="Z31" i="38"/>
  <c r="AC31" i="38" s="1"/>
  <c r="AE31" i="38" s="1"/>
  <c r="Z63" i="38"/>
  <c r="AC63" i="38" s="1"/>
  <c r="AE63" i="38" s="1"/>
  <c r="Z8" i="36"/>
  <c r="AC8" i="36" s="1"/>
  <c r="AE8" i="36" s="1"/>
  <c r="Z5" i="36"/>
  <c r="AC5" i="36" s="1"/>
  <c r="AE5" i="36" s="1"/>
  <c r="Z67" i="35"/>
  <c r="AC67" i="35" s="1"/>
  <c r="AE67" i="35" s="1"/>
  <c r="Z85" i="35"/>
  <c r="AC85" i="35" s="1"/>
  <c r="AE85" i="35" s="1"/>
  <c r="Z10" i="34"/>
  <c r="AC10" i="34" s="1"/>
  <c r="AE10" i="34" s="1"/>
  <c r="Z18" i="34"/>
  <c r="AC18" i="34" s="1"/>
  <c r="AE18" i="34" s="1"/>
  <c r="Z26" i="34"/>
  <c r="AC26" i="34" s="1"/>
  <c r="AE26" i="34" s="1"/>
  <c r="Z34" i="34"/>
  <c r="AC34" i="34" s="1"/>
  <c r="AE34" i="34" s="1"/>
  <c r="Z42" i="34"/>
  <c r="AC42" i="34" s="1"/>
  <c r="AE42" i="34" s="1"/>
  <c r="Z50" i="34"/>
  <c r="AC50" i="34" s="1"/>
  <c r="AE50" i="34" s="1"/>
  <c r="Z58" i="34"/>
  <c r="AC58" i="34" s="1"/>
  <c r="AE58" i="34" s="1"/>
  <c r="Z72" i="34"/>
  <c r="AC72" i="34" s="1"/>
  <c r="AE72" i="34" s="1"/>
  <c r="Z93" i="34"/>
  <c r="AC93" i="34" s="1"/>
  <c r="AE93" i="34" s="1"/>
  <c r="Z64" i="34"/>
  <c r="AC64" i="34" s="1"/>
  <c r="AE64" i="34" s="1"/>
  <c r="Z85" i="34"/>
  <c r="AC85" i="34" s="1"/>
  <c r="AE85" i="34" s="1"/>
  <c r="Z61" i="34"/>
  <c r="AC61" i="34" s="1"/>
  <c r="AE61" i="34" s="1"/>
  <c r="Z90" i="34"/>
  <c r="AC90" i="34" s="1"/>
  <c r="AE90" i="34" s="1"/>
  <c r="Z5" i="34"/>
  <c r="AC5" i="34" s="1"/>
  <c r="AE5" i="34" s="1"/>
  <c r="Z7" i="34"/>
  <c r="AC7" i="34" s="1"/>
  <c r="AE7" i="34" s="1"/>
  <c r="Z13" i="34"/>
  <c r="AC13" i="34" s="1"/>
  <c r="AE13" i="34" s="1"/>
  <c r="Z15" i="34"/>
  <c r="AC15" i="34" s="1"/>
  <c r="AE15" i="34" s="1"/>
  <c r="Z21" i="34"/>
  <c r="AC21" i="34" s="1"/>
  <c r="AE21" i="34" s="1"/>
  <c r="Z23" i="34"/>
  <c r="AC23" i="34" s="1"/>
  <c r="AE23" i="34" s="1"/>
  <c r="Z29" i="34"/>
  <c r="AC29" i="34" s="1"/>
  <c r="AE29" i="34" s="1"/>
  <c r="Z31" i="34"/>
  <c r="AC31" i="34" s="1"/>
  <c r="AE31" i="34" s="1"/>
  <c r="Z37" i="34"/>
  <c r="AC37" i="34" s="1"/>
  <c r="AE37" i="34" s="1"/>
  <c r="Z39" i="34"/>
  <c r="AC39" i="34" s="1"/>
  <c r="AE39" i="34" s="1"/>
  <c r="Z45" i="34"/>
  <c r="AC45" i="34" s="1"/>
  <c r="AE45" i="34" s="1"/>
  <c r="Z47" i="34"/>
  <c r="AC47" i="34" s="1"/>
  <c r="AE47" i="34" s="1"/>
  <c r="Z53" i="34"/>
  <c r="AC53" i="34" s="1"/>
  <c r="AE53" i="34" s="1"/>
  <c r="Z55" i="34"/>
  <c r="AC55" i="34" s="1"/>
  <c r="AE55" i="34" s="1"/>
  <c r="Z18" i="33"/>
  <c r="AC18" i="33" s="1"/>
  <c r="AE18" i="33" s="1"/>
  <c r="Z37" i="33"/>
  <c r="AC37" i="33" s="1"/>
  <c r="AE37" i="33" s="1"/>
  <c r="Z64" i="33"/>
  <c r="AC64" i="33" s="1"/>
  <c r="AE64" i="33" s="1"/>
  <c r="Z21" i="33"/>
  <c r="AC21" i="33" s="1"/>
  <c r="AE21" i="33" s="1"/>
  <c r="Z8" i="33"/>
  <c r="AC8" i="33" s="1"/>
  <c r="AE8" i="33" s="1"/>
  <c r="Z48" i="33"/>
  <c r="AC48" i="33" s="1"/>
  <c r="AE48" i="33" s="1"/>
  <c r="Z67" i="33"/>
  <c r="AC67" i="33" s="1"/>
  <c r="AE67" i="33" s="1"/>
  <c r="Z85" i="33"/>
  <c r="AC85" i="33" s="1"/>
  <c r="AE85" i="33" s="1"/>
  <c r="Z8" i="32"/>
  <c r="AC8" i="32" s="1"/>
  <c r="AE8" i="32" s="1"/>
  <c r="Z8" i="31"/>
  <c r="AC8" i="31" s="1"/>
  <c r="AE8" i="31" s="1"/>
  <c r="Z4" i="31"/>
  <c r="Z40" i="30"/>
  <c r="AC40" i="30" s="1"/>
  <c r="AE40" i="30" s="1"/>
  <c r="Z32" i="30"/>
  <c r="AC32" i="30" s="1"/>
  <c r="AE32" i="30" s="1"/>
  <c r="Z4" i="30"/>
  <c r="Z8" i="29"/>
  <c r="AC8" i="29" s="1"/>
  <c r="AE8" i="29" s="1"/>
  <c r="Z8" i="28"/>
  <c r="AC8" i="28" s="1"/>
  <c r="AE8" i="28" s="1"/>
  <c r="AC4" i="27"/>
  <c r="Z5" i="27"/>
  <c r="AC5" i="27" s="1"/>
  <c r="AE5" i="27" s="1"/>
  <c r="Z8" i="27"/>
  <c r="AC8" i="27" s="1"/>
  <c r="AE8" i="27" s="1"/>
  <c r="AG63" i="37" l="1"/>
  <c r="AC154" i="54"/>
  <c r="AC154" i="27"/>
  <c r="AC154" i="49"/>
  <c r="AC154" i="34"/>
  <c r="AC154" i="37"/>
  <c r="Z154" i="31"/>
  <c r="AC154" i="32"/>
  <c r="AC154" i="39"/>
  <c r="AC154" i="40"/>
  <c r="AC154" i="33"/>
  <c r="AC154" i="44"/>
  <c r="AC154" i="47"/>
  <c r="AC154" i="48"/>
  <c r="AC154" i="35"/>
  <c r="Z154" i="30"/>
  <c r="Z154" i="41"/>
  <c r="I154" i="19"/>
  <c r="AC4" i="53"/>
  <c r="AC154" i="53" s="1"/>
  <c r="Z154" i="53"/>
  <c r="Z154" i="33"/>
  <c r="Z154" i="39"/>
  <c r="Z154" i="42"/>
  <c r="L154" i="19"/>
  <c r="Z154" i="35"/>
  <c r="R154" i="19"/>
  <c r="AC154" i="36"/>
  <c r="X154" i="19"/>
  <c r="Z154" i="51"/>
  <c r="Z154" i="46"/>
  <c r="Z154" i="36"/>
  <c r="Z154" i="27"/>
  <c r="O154" i="19"/>
  <c r="Z154" i="48"/>
  <c r="Z154" i="38"/>
  <c r="Z154" i="45"/>
  <c r="Z154" i="52"/>
  <c r="Z154" i="37"/>
  <c r="U154" i="19"/>
  <c r="Z154" i="49"/>
  <c r="Z154" i="32"/>
  <c r="Z154" i="43"/>
  <c r="Z154" i="44"/>
  <c r="AC4" i="28"/>
  <c r="AC154" i="28" s="1"/>
  <c r="Z154" i="28"/>
  <c r="Z154" i="40"/>
  <c r="Z154" i="47"/>
  <c r="AC4" i="29"/>
  <c r="AC154" i="29" s="1"/>
  <c r="Z154" i="29"/>
  <c r="F154" i="19"/>
  <c r="Z154" i="50"/>
  <c r="AC154" i="43"/>
  <c r="Z154" i="26"/>
  <c r="Z154" i="54"/>
  <c r="AC154" i="42"/>
  <c r="AC4" i="46"/>
  <c r="AC154" i="46" s="1"/>
  <c r="Z154" i="34"/>
  <c r="AC4" i="52"/>
  <c r="AC154" i="52" s="1"/>
  <c r="AC4" i="51"/>
  <c r="AC154" i="51" s="1"/>
  <c r="AC4" i="26"/>
  <c r="AC154" i="26" s="1"/>
  <c r="Z17" i="19"/>
  <c r="Z9" i="19"/>
  <c r="Z83" i="19"/>
  <c r="Z68" i="19"/>
  <c r="Z23" i="19"/>
  <c r="Z19" i="19"/>
  <c r="Z76" i="19"/>
  <c r="Z7" i="19"/>
  <c r="Z57" i="19"/>
  <c r="Z64" i="19"/>
  <c r="Z78" i="19"/>
  <c r="Z45" i="19"/>
  <c r="Z15" i="19"/>
  <c r="Z72" i="19"/>
  <c r="Z77" i="19"/>
  <c r="Z73" i="19"/>
  <c r="Z67" i="19"/>
  <c r="Z14" i="19"/>
  <c r="Z80" i="19"/>
  <c r="Z8" i="19"/>
  <c r="Z79" i="19"/>
  <c r="Z60" i="19"/>
  <c r="Z40" i="19"/>
  <c r="Z48" i="19"/>
  <c r="Z52" i="19"/>
  <c r="Z58" i="19"/>
  <c r="Z66" i="19"/>
  <c r="Z46" i="19"/>
  <c r="Z13" i="19"/>
  <c r="Z69" i="19"/>
  <c r="Z62" i="19"/>
  <c r="Z4" i="19"/>
  <c r="Z84" i="19"/>
  <c r="Z51" i="19"/>
  <c r="Z89" i="19"/>
  <c r="Z65" i="19"/>
  <c r="Z10" i="19"/>
  <c r="Z42" i="19"/>
  <c r="Z44" i="19"/>
  <c r="Z75" i="19"/>
  <c r="Z16" i="19"/>
  <c r="Z56" i="19"/>
  <c r="Z70" i="19"/>
  <c r="Z82" i="19"/>
  <c r="Z27" i="19"/>
  <c r="Z71" i="19"/>
  <c r="Z18" i="19"/>
  <c r="Z47" i="19"/>
  <c r="Z74" i="19"/>
  <c r="Z63" i="19"/>
  <c r="Z20" i="19"/>
  <c r="Z50" i="19"/>
  <c r="Z49" i="19"/>
  <c r="Z24" i="19"/>
  <c r="Z12" i="19"/>
  <c r="Z11" i="19"/>
  <c r="Z34" i="19"/>
  <c r="Z32" i="19"/>
  <c r="Z81" i="19"/>
  <c r="Z55" i="19"/>
  <c r="Z96" i="19"/>
  <c r="Z59" i="19"/>
  <c r="Z87" i="19"/>
  <c r="Z88" i="19"/>
  <c r="Z35" i="19"/>
  <c r="Z33" i="19"/>
  <c r="Z31" i="19"/>
  <c r="Z6" i="19"/>
  <c r="Z61" i="19"/>
  <c r="Z39" i="19"/>
  <c r="Z43" i="19"/>
  <c r="Z30" i="19"/>
  <c r="Z91" i="19"/>
  <c r="Z93" i="19"/>
  <c r="Z97" i="19"/>
  <c r="Z98" i="19"/>
  <c r="Z85" i="19"/>
  <c r="Z94" i="19"/>
  <c r="Z25" i="19"/>
  <c r="Z21" i="19"/>
  <c r="Z29" i="19"/>
  <c r="Z28" i="19"/>
  <c r="Z22" i="19"/>
  <c r="Z38" i="19"/>
  <c r="Z37" i="19"/>
  <c r="Z36" i="19"/>
  <c r="Z90" i="19"/>
  <c r="Z95" i="19"/>
  <c r="Z86" i="19"/>
  <c r="Z92" i="19"/>
  <c r="Z54" i="19"/>
  <c r="Z53" i="19"/>
  <c r="Z41" i="19"/>
  <c r="Z26" i="19"/>
  <c r="Z5" i="19"/>
  <c r="AG63" i="26"/>
  <c r="AE4" i="54"/>
  <c r="AE154" i="54" s="1"/>
  <c r="AE4" i="52"/>
  <c r="AE154" i="52" s="1"/>
  <c r="AE4" i="51"/>
  <c r="AE154" i="51" s="1"/>
  <c r="AC4" i="50"/>
  <c r="AC154" i="50" s="1"/>
  <c r="AE4" i="49"/>
  <c r="AE154" i="49" s="1"/>
  <c r="AE4" i="48"/>
  <c r="AE154" i="48" s="1"/>
  <c r="AE4" i="47"/>
  <c r="AE154" i="47" s="1"/>
  <c r="AC4" i="45"/>
  <c r="AC154" i="45" s="1"/>
  <c r="AE4" i="44"/>
  <c r="AE154" i="44" s="1"/>
  <c r="AE4" i="43"/>
  <c r="AE154" i="43" s="1"/>
  <c r="AE4" i="42"/>
  <c r="AE154" i="42" s="1"/>
  <c r="AC4" i="41"/>
  <c r="AC154" i="41" s="1"/>
  <c r="AE4" i="40"/>
  <c r="AE154" i="40" s="1"/>
  <c r="AE4" i="39"/>
  <c r="AE154" i="39" s="1"/>
  <c r="AC4" i="38"/>
  <c r="AC154" i="38" s="1"/>
  <c r="AE4" i="37"/>
  <c r="AE154" i="37" s="1"/>
  <c r="AE4" i="36"/>
  <c r="AE154" i="36" s="1"/>
  <c r="AE4" i="35"/>
  <c r="AE154" i="35" s="1"/>
  <c r="AE4" i="34"/>
  <c r="AE154" i="34" s="1"/>
  <c r="AE4" i="33"/>
  <c r="AE154" i="33" s="1"/>
  <c r="AE4" i="32"/>
  <c r="AE154" i="32" s="1"/>
  <c r="AC4" i="31"/>
  <c r="AC154" i="31" s="1"/>
  <c r="AC4" i="30"/>
  <c r="AC154" i="30" s="1"/>
  <c r="AE4" i="27"/>
  <c r="AE154" i="27" s="1"/>
  <c r="AE4" i="28" l="1"/>
  <c r="AE154" i="28" s="1"/>
  <c r="AE4" i="53"/>
  <c r="AE154" i="53" s="1"/>
  <c r="AE4" i="29"/>
  <c r="AE154" i="29" s="1"/>
  <c r="AE4" i="46"/>
  <c r="AE154" i="46" s="1"/>
  <c r="Z154" i="19"/>
  <c r="AE4" i="26"/>
  <c r="AE154" i="26" s="1"/>
  <c r="AE4" i="50"/>
  <c r="AE154" i="50" s="1"/>
  <c r="AE4" i="45"/>
  <c r="AE154" i="45" s="1"/>
  <c r="AE4" i="41"/>
  <c r="AE154" i="41" s="1"/>
  <c r="AE4" i="38"/>
  <c r="AE154" i="38" s="1"/>
  <c r="AE4" i="31"/>
  <c r="AE154" i="31" s="1"/>
  <c r="AE4" i="30"/>
  <c r="AE154" i="30" s="1"/>
  <c r="X5" i="5" l="1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Z54" i="5" l="1"/>
  <c r="Z87" i="5"/>
  <c r="AC87" i="5" s="1"/>
  <c r="AE87" i="5" s="1"/>
  <c r="Z86" i="5"/>
  <c r="AC86" i="5" s="1"/>
  <c r="AE86" i="5" s="1"/>
  <c r="Z85" i="5"/>
  <c r="Z37" i="5"/>
  <c r="Z6" i="5"/>
  <c r="Z7" i="5"/>
  <c r="Z69" i="5"/>
  <c r="Z5" i="5"/>
  <c r="Z21" i="5"/>
  <c r="Z53" i="5"/>
  <c r="Z36" i="5"/>
  <c r="Z35" i="5"/>
  <c r="Z67" i="5"/>
  <c r="Z20" i="5"/>
  <c r="Z19" i="5"/>
  <c r="Z91" i="5"/>
  <c r="AC91" i="5" s="1"/>
  <c r="AE91" i="5" s="1"/>
  <c r="Z75" i="5"/>
  <c r="Z59" i="5"/>
  <c r="Z43" i="5"/>
  <c r="Z27" i="5"/>
  <c r="Z11" i="5"/>
  <c r="Z52" i="5"/>
  <c r="Z83" i="5"/>
  <c r="Z68" i="5"/>
  <c r="Z51" i="5"/>
  <c r="Z88" i="5"/>
  <c r="AC88" i="5" s="1"/>
  <c r="AE88" i="5" s="1"/>
  <c r="Z72" i="5"/>
  <c r="Z56" i="5"/>
  <c r="Z40" i="5"/>
  <c r="Z24" i="5"/>
  <c r="Z8" i="5"/>
  <c r="Z71" i="5"/>
  <c r="Z55" i="5"/>
  <c r="Z39" i="5"/>
  <c r="Z23" i="5"/>
  <c r="Z84" i="5"/>
  <c r="Z70" i="5"/>
  <c r="Z38" i="5"/>
  <c r="Z22" i="5"/>
  <c r="Z79" i="5"/>
  <c r="Z46" i="5"/>
  <c r="Z14" i="5"/>
  <c r="Z77" i="5"/>
  <c r="Z61" i="5"/>
  <c r="Z29" i="5"/>
  <c r="Z13" i="5"/>
  <c r="Z92" i="5"/>
  <c r="Z76" i="5"/>
  <c r="Z60" i="5"/>
  <c r="Z44" i="5"/>
  <c r="Z28" i="5"/>
  <c r="Z12" i="5"/>
  <c r="Z47" i="5"/>
  <c r="Z94" i="5"/>
  <c r="Z62" i="5"/>
  <c r="Z30" i="5"/>
  <c r="Z93" i="5"/>
  <c r="AC93" i="5" s="1"/>
  <c r="AE93" i="5" s="1"/>
  <c r="Z45" i="5"/>
  <c r="Z63" i="5"/>
  <c r="Z78" i="5"/>
  <c r="Z95" i="5"/>
  <c r="Z15" i="5"/>
  <c r="Z31" i="5"/>
  <c r="Z82" i="5"/>
  <c r="Z17" i="5"/>
  <c r="Z96" i="5"/>
  <c r="Z58" i="5"/>
  <c r="Z10" i="5"/>
  <c r="Z73" i="5"/>
  <c r="Z25" i="5"/>
  <c r="Z66" i="5"/>
  <c r="Z49" i="5"/>
  <c r="Z80" i="5"/>
  <c r="Z32" i="5"/>
  <c r="Z16" i="5"/>
  <c r="Z34" i="5"/>
  <c r="Z97" i="5"/>
  <c r="AC97" i="5" s="1"/>
  <c r="AE97" i="5" s="1"/>
  <c r="Z33" i="5"/>
  <c r="Z74" i="5"/>
  <c r="Z89" i="5"/>
  <c r="Z41" i="5"/>
  <c r="Z98" i="5"/>
  <c r="Z18" i="5"/>
  <c r="Z81" i="5"/>
  <c r="Z64" i="5"/>
  <c r="Z90" i="5"/>
  <c r="Z26" i="5"/>
  <c r="Z9" i="5"/>
  <c r="Z50" i="5"/>
  <c r="Z65" i="5"/>
  <c r="Z48" i="5"/>
  <c r="Z42" i="5"/>
  <c r="Z57" i="5"/>
  <c r="X4" i="5"/>
  <c r="X125" i="5" s="1"/>
  <c r="U4" i="5"/>
  <c r="U125" i="5" s="1"/>
  <c r="R4" i="5"/>
  <c r="R125" i="5" s="1"/>
  <c r="O4" i="5"/>
  <c r="O125" i="5" s="1"/>
  <c r="L4" i="5"/>
  <c r="L125" i="5" s="1"/>
  <c r="F4" i="5"/>
  <c r="F125" i="5" s="1"/>
  <c r="I4" i="5"/>
  <c r="I125" i="5" s="1"/>
  <c r="L151" i="6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1" i="4"/>
  <c r="L141" i="6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Z4" i="5" l="1"/>
  <c r="Z125" i="5" s="1"/>
  <c r="AC50" i="5"/>
  <c r="AE50" i="5" s="1"/>
  <c r="AC34" i="5"/>
  <c r="AE34" i="5" s="1"/>
  <c r="AC18" i="5"/>
  <c r="AE18" i="5" s="1"/>
  <c r="AC84" i="5"/>
  <c r="AE84" i="5" s="1"/>
  <c r="AC51" i="5"/>
  <c r="AE51" i="5" s="1"/>
  <c r="AC35" i="5"/>
  <c r="AE35" i="5" s="1"/>
  <c r="AC48" i="5"/>
  <c r="AE48" i="5" s="1"/>
  <c r="AC32" i="5"/>
  <c r="AE32" i="5" s="1"/>
  <c r="AC16" i="5"/>
  <c r="AE16" i="5" s="1"/>
  <c r="AC78" i="5"/>
  <c r="AE78" i="5" s="1"/>
  <c r="AC62" i="5"/>
  <c r="AE62" i="5" s="1"/>
  <c r="AC46" i="5"/>
  <c r="AE46" i="5" s="1"/>
  <c r="AC30" i="5"/>
  <c r="AE30" i="5" s="1"/>
  <c r="AC89" i="5"/>
  <c r="AE89" i="5" s="1"/>
  <c r="AC12" i="5"/>
  <c r="AE12" i="5" s="1"/>
  <c r="AC75" i="5"/>
  <c r="AE75" i="5" s="1"/>
  <c r="AC59" i="5"/>
  <c r="AE59" i="5" s="1"/>
  <c r="AC43" i="5"/>
  <c r="AE43" i="5" s="1"/>
  <c r="AC27" i="5"/>
  <c r="AE27" i="5" s="1"/>
  <c r="AC11" i="5"/>
  <c r="AE11" i="5" s="1"/>
  <c r="AC74" i="5"/>
  <c r="AE74" i="5" s="1"/>
  <c r="AC58" i="5"/>
  <c r="AE58" i="5" s="1"/>
  <c r="AC42" i="5"/>
  <c r="AE42" i="5" s="1"/>
  <c r="AC26" i="5"/>
  <c r="AE26" i="5" s="1"/>
  <c r="AC73" i="5"/>
  <c r="AE73" i="5" s="1"/>
  <c r="AC41" i="5"/>
  <c r="AE41" i="5" s="1"/>
  <c r="AC9" i="5"/>
  <c r="AE9" i="5" s="1"/>
  <c r="AC72" i="5"/>
  <c r="AE72" i="5" s="1"/>
  <c r="AC56" i="5"/>
  <c r="AE56" i="5" s="1"/>
  <c r="AC40" i="5"/>
  <c r="AE40" i="5" s="1"/>
  <c r="AC24" i="5"/>
  <c r="AE24" i="5" s="1"/>
  <c r="AC8" i="5"/>
  <c r="AE8" i="5" s="1"/>
  <c r="AC71" i="5"/>
  <c r="AE71" i="5" s="1"/>
  <c r="AC39" i="5"/>
  <c r="AE39" i="5" s="1"/>
  <c r="AC23" i="5"/>
  <c r="AE23" i="5" s="1"/>
  <c r="AC7" i="5"/>
  <c r="AE7" i="5" s="1"/>
  <c r="AC54" i="5"/>
  <c r="AE54" i="5" s="1"/>
  <c r="AC22" i="5"/>
  <c r="AE22" i="5" s="1"/>
  <c r="AC6" i="5"/>
  <c r="AE6" i="5" s="1"/>
  <c r="AC69" i="5"/>
  <c r="AE69" i="5" s="1"/>
  <c r="AC53" i="5"/>
  <c r="AE53" i="5" s="1"/>
  <c r="AC37" i="5"/>
  <c r="AE37" i="5" s="1"/>
  <c r="AC21" i="5"/>
  <c r="AE21" i="5" s="1"/>
  <c r="AC55" i="5"/>
  <c r="AE55" i="5" s="1"/>
  <c r="AC96" i="5"/>
  <c r="AE96" i="5" s="1"/>
  <c r="AC70" i="5"/>
  <c r="AE70" i="5" s="1"/>
  <c r="AC38" i="5"/>
  <c r="AE38" i="5" s="1"/>
  <c r="AC95" i="5"/>
  <c r="AE95" i="5" s="1"/>
  <c r="AC14" i="5"/>
  <c r="AE14" i="5" s="1"/>
  <c r="AC10" i="5"/>
  <c r="AE10" i="5" s="1"/>
  <c r="AC98" i="5"/>
  <c r="AE98" i="5" s="1"/>
  <c r="AC92" i="5"/>
  <c r="AE92" i="5" s="1"/>
  <c r="AC90" i="5"/>
  <c r="AE90" i="5" s="1"/>
  <c r="AC94" i="5"/>
  <c r="AE94" i="5" s="1"/>
  <c r="AC85" i="5"/>
  <c r="AE85" i="5" s="1"/>
  <c r="AC63" i="5"/>
  <c r="AE63" i="5" s="1"/>
  <c r="AC81" i="5"/>
  <c r="AE81" i="5" s="1"/>
  <c r="AC83" i="5"/>
  <c r="AE83" i="5" s="1"/>
  <c r="AC82" i="5"/>
  <c r="AE82" i="5" s="1"/>
  <c r="AC33" i="5"/>
  <c r="AE33" i="5" s="1"/>
  <c r="AC17" i="5"/>
  <c r="AE17" i="5" s="1"/>
  <c r="AC67" i="5"/>
  <c r="AE67" i="5" s="1"/>
  <c r="AC61" i="5"/>
  <c r="AE61" i="5" s="1"/>
  <c r="AC44" i="5"/>
  <c r="AE44" i="5" s="1"/>
  <c r="AC60" i="5"/>
  <c r="AE60" i="5" s="1"/>
  <c r="AC31" i="5"/>
  <c r="AE31" i="5" s="1"/>
  <c r="AC66" i="5"/>
  <c r="AE66" i="5" s="1"/>
  <c r="AC29" i="5"/>
  <c r="AE29" i="5" s="1"/>
  <c r="AC49" i="5"/>
  <c r="AE49" i="5" s="1"/>
  <c r="AC68" i="5"/>
  <c r="AE68" i="5" s="1"/>
  <c r="AC52" i="5"/>
  <c r="AE52" i="5" s="1"/>
  <c r="AC36" i="5"/>
  <c r="AE36" i="5" s="1"/>
  <c r="AC20" i="5"/>
  <c r="AE20" i="5" s="1"/>
  <c r="AC79" i="5"/>
  <c r="AE79" i="5" s="1"/>
  <c r="AC47" i="5"/>
  <c r="AE47" i="5" s="1"/>
  <c r="AC15" i="5"/>
  <c r="AE15" i="5" s="1"/>
  <c r="AC77" i="5"/>
  <c r="AE77" i="5" s="1"/>
  <c r="AC45" i="5"/>
  <c r="AE45" i="5" s="1"/>
  <c r="AC13" i="5"/>
  <c r="AE13" i="5" s="1"/>
  <c r="AC76" i="5"/>
  <c r="AE76" i="5" s="1"/>
  <c r="AC28" i="5"/>
  <c r="AE28" i="5" s="1"/>
  <c r="AC57" i="5"/>
  <c r="AE57" i="5" s="1"/>
  <c r="AC25" i="5"/>
  <c r="AE25" i="5" s="1"/>
  <c r="AC80" i="5"/>
  <c r="AE80" i="5" s="1"/>
  <c r="AC65" i="5"/>
  <c r="AE65" i="5" s="1"/>
  <c r="AC19" i="5"/>
  <c r="AE19" i="5" s="1"/>
  <c r="AC64" i="5"/>
  <c r="AE64" i="5" s="1"/>
  <c r="L100" i="4"/>
  <c r="L77" i="4"/>
  <c r="L88" i="4"/>
  <c r="L67" i="4"/>
  <c r="L112" i="4"/>
  <c r="L112" i="6"/>
  <c r="L77" i="6"/>
  <c r="L67" i="6"/>
  <c r="L100" i="6"/>
  <c r="L88" i="6"/>
  <c r="AC5" i="5" l="1"/>
  <c r="AE5" i="5" s="1"/>
  <c r="AC4" i="5" l="1"/>
  <c r="AC125" i="5" s="1"/>
  <c r="AE4" i="5" l="1"/>
  <c r="AE125" i="5" s="1"/>
</calcChain>
</file>

<file path=xl/sharedStrings.xml><?xml version="1.0" encoding="utf-8"?>
<sst xmlns="http://schemas.openxmlformats.org/spreadsheetml/2006/main" count="5163" uniqueCount="274">
  <si>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</si>
  <si>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</si>
  <si>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</si>
  <si>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</si>
  <si>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</si>
  <si>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</si>
  <si>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</si>
  <si>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</si>
  <si>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</si>
  <si>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</si>
  <si>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</si>
  <si>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</si>
  <si>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</si>
  <si>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</si>
  <si>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</si>
  <si>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</si>
  <si>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</si>
  <si>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</si>
  <si>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</si>
  <si>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</si>
  <si>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</si>
  <si>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</si>
  <si>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</si>
  <si>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</si>
  <si>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</si>
  <si>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</si>
  <si>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</si>
  <si>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</si>
  <si>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</si>
  <si>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</si>
  <si>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</si>
  <si>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</si>
  <si>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</si>
  <si>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</si>
  <si>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</si>
  <si>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</si>
  <si>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</si>
  <si>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</si>
  <si>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</si>
  <si>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</si>
  <si>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</si>
  <si>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</si>
  <si>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</si>
  <si>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</si>
  <si>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</si>
  <si>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</si>
  <si>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</si>
  <si>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</si>
  <si>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</si>
  <si>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</si>
  <si>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</si>
  <si>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</si>
  <si>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</si>
  <si>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</si>
  <si>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</si>
  <si>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</si>
  <si>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</si>
  <si>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</si>
  <si>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</si>
  <si>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</si>
  <si>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</si>
  <si>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</si>
  <si>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</si>
  <si>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</si>
  <si>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</si>
  <si>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</si>
  <si>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</si>
  <si>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</si>
  <si>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</si>
  <si>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</si>
  <si>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</si>
  <si>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</si>
  <si>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</si>
  <si>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</si>
  <si>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</si>
  <si>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</si>
  <si>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</si>
  <si>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</si>
  <si>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</si>
  <si>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</si>
  <si>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</si>
  <si>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</si>
  <si>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</si>
  <si>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</si>
  <si>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</si>
  <si>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</si>
  <si>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</si>
  <si>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</si>
  <si>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</si>
  <si>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</si>
  <si>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</si>
  <si>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</si>
  <si>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</si>
  <si>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</si>
  <si>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</si>
  <si>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</si>
  <si>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</si>
  <si>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</si>
  <si>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</si>
  <si>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</si>
  <si>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</si>
  <si>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</si>
  <si>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</si>
  <si>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</si>
  <si>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</si>
  <si>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</si>
  <si>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</si>
  <si>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</si>
  <si>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</si>
  <si>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</si>
  <si>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</si>
  <si>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</si>
  <si>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</si>
  <si>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</si>
  <si>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</si>
  <si>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</si>
  <si>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</si>
  <si>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</si>
  <si>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</si>
  <si>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</si>
  <si>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</si>
  <si>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</si>
  <si>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</si>
  <si>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</si>
  <si>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</si>
  <si>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</si>
  <si>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</si>
  <si>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ชิฟฟอนแยกชิ้น ทุเรียน</t>
  </si>
  <si>
    <t>ชิฟฟอนแยกชิ้น ตาล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</si>
  <si>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</si>
  <si>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</si>
  <si>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</si>
  <si>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</si>
  <si>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</si>
  <si>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</si>
  <si>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</si>
  <si>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</si>
  <si>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</si>
  <si>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</si>
  <si>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</si>
  <si>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</si>
  <si>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</si>
  <si>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หมี่กรอบโบราณ</t>
  </si>
  <si>
    <t>ชิฟฟ่อน 8 ชิ้น ขนุนล้วน</t>
  </si>
  <si>
    <t>ปังเนยนิ่ม 3 ชิ้น</t>
  </si>
  <si>
    <t>ยอดForcast</t>
  </si>
  <si>
    <t>ยอดStock</t>
  </si>
  <si>
    <t>ยอดMemo</t>
  </si>
  <si>
    <t>ยอดForcastวันพรุ่งนี้</t>
  </si>
  <si>
    <t>ชิฟฟ่อนเค้ก วรรณวนัช (รวมรส 4 ชิ้น)</t>
  </si>
  <si>
    <t>ชิฟฟ่อนเค้ก วรรณวนัช (รวมรส 8 ชิ้น)</t>
  </si>
  <si>
    <t>วรรณวนัช ชิฟฟ่อนรวมรส 8 ชิ้น</t>
  </si>
  <si>
    <t>ชิฟฟ่อนเค้ก รสกาแฟ (8 ชิ้น)</t>
  </si>
  <si>
    <t>ชิฟฟอนรสมะลิ 8 ชิ้น ห่อ ซีน</t>
  </si>
  <si>
    <t>ชิฟฟอนแยกชิ้น มะลิ</t>
  </si>
  <si>
    <t>ชิฟฟ่อนเค้กสอดไส้แยม (1 ชิ้น) แยมสับปะรด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</si>
  <si>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</si>
  <si>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</si>
  <si>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</si>
  <si>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</si>
  <si>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</si>
  <si>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</si>
  <si>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</si>
  <si>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ชิฟฟ่อนเค้กสอดไส้เนย รสมะพร้าว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</si>
  <si>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</si>
  <si>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</si>
  <si>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</si>
  <si>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</si>
  <si>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</si>
  <si>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</si>
  <si>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</si>
  <si>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</si>
  <si>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ชิฟฟอนรวมรสยอดฮิต 8 ชิ้น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</si>
  <si>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</si>
  <si>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</si>
  <si>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</si>
  <si>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</si>
  <si>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</si>
  <si>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</si>
  <si>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</si>
  <si>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</si>
  <si>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</si>
  <si>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</si>
  <si>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</si>
  <si>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</si>
  <si>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</si>
  <si>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เมอร์แรงค์ (กระปุก)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</si>
  <si>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</si>
  <si>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</si>
  <si>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</si>
  <si>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ขนมปังแถว 430 g</t>
  </si>
  <si>
    <t>ขนมปังกรอบคาราเมล</t>
  </si>
  <si>
    <t>พายสัปปะรด (1 ชิ้น)</t>
  </si>
  <si>
    <t>พายสัปปะรด (1 กล่อง)</t>
  </si>
  <si>
    <t>วรรณวนัชแซนวิซโบราณ 70g</t>
  </si>
  <si>
    <t>คอร์นเฟล็ค</t>
  </si>
  <si>
    <t>ท๊อฟฟี่ถั่ว (กล่อง)</t>
  </si>
  <si>
    <t>เศษขนมปังปลา 5กก.</t>
  </si>
  <si>
    <t>เศษขนมปังปลา 1 กก.</t>
  </si>
  <si>
    <t>มินบันไก่หยอง</t>
  </si>
  <si>
    <t>ชิฟฟ่อนขนุน</t>
  </si>
  <si>
    <t>ยอดรวม</t>
  </si>
  <si>
    <t>เช้า</t>
  </si>
  <si>
    <t>บ่าย</t>
  </si>
  <si>
    <t>ยอดรวมผลิต(กล่อง)</t>
  </si>
  <si>
    <t>ขนมปังเนยนิ่ม 3 ชิ้น</t>
  </si>
  <si>
    <t>ยอดจริง ออนไลน์ วันที่ 01/09/2568</t>
  </si>
  <si>
    <t>ยอดจริง ออนไลน์ วันที่ 02/09/2568</t>
  </si>
  <si>
    <t>ยอดจริง ออนไลน์ วันที่ 03/09/2568</t>
  </si>
  <si>
    <t>ยอดจริง ออนไลน์ วันที่ 04/09/2568</t>
  </si>
  <si>
    <t>ยอดจริง ออนไลน์ วันที่ 05/09/2568</t>
  </si>
  <si>
    <t>ยอดจริง ออนไลน์ วันที่ 06/09/2568</t>
  </si>
  <si>
    <t>สินค้าที่ขายได้</t>
  </si>
  <si>
    <t>ยอดจริง ออนไลน์ วันที่ 07/09/2568</t>
  </si>
  <si>
    <t>ยอดจริง ออนไลน์ วันที่ 08/09/2568</t>
  </si>
  <si>
    <t>ยอดจริง ออนไลน์ วันที่ 09/09/2568</t>
  </si>
  <si>
    <t>ยอดจริง ออนไลน์ วันที่ 10/09/2568</t>
  </si>
  <si>
    <t>ยอดจริง ออนไลน์ วันที่ 11/09/2568</t>
  </si>
  <si>
    <t>ยอดจริง ออนไลน์ วันที่ 12/09/2568</t>
  </si>
  <si>
    <t>ยอดจริง ออนไลน์ วันที่ 13/09/2568</t>
  </si>
  <si>
    <t>ยอดจริง ออนไลน์ วันที่ 14/09/2568</t>
  </si>
  <si>
    <t>ยอดจริง ออนไลน์ วันที่ 15/09/2568</t>
  </si>
  <si>
    <t>ยอดจริง ออนไลน์ วันที่ 16/09/2568</t>
  </si>
  <si>
    <t>ยอดจริง ออนไลน์ วันที่ 17/09/2568</t>
  </si>
  <si>
    <t>ยอดจริง ออนไลน์ วันที่ 18/09/2568</t>
  </si>
  <si>
    <t>ยอดจริง ออนไลน์ วันที่ 19/09/2568</t>
  </si>
  <si>
    <t>ยอดจริง ออนไลน์ วันที่ 20/09/2568</t>
  </si>
  <si>
    <t>ยอดจริง ออนไลน์ วันที่ 21/09/2568</t>
  </si>
  <si>
    <t>ยอดจริง ออนไลน์ วันที่ 22/09/2568</t>
  </si>
  <si>
    <t>ยอดจริง ออนไลน์ วันที่ 23/09/2568</t>
  </si>
  <si>
    <t>ยอดจริง ออนไลน์ วันที่ 24/09/2568</t>
  </si>
  <si>
    <t>ยอดจริง ออนไลน์ วันที่ 25/09/2568</t>
  </si>
  <si>
    <t>ยอดจริง ออนไลน์ วันที่ 26/09/2568</t>
  </si>
  <si>
    <t>ยอดจริง ออนไลน์ วันที่ 27/09/2568</t>
  </si>
  <si>
    <t>ยอดจริง ออนไลน์ วันที่ 28/09/2568</t>
  </si>
  <si>
    <t>ยอดจริง ออนไลน์ วันที่ 29/09/2568</t>
  </si>
  <si>
    <t>ยอดจริง ออนไลน์ วันที่ 30/09/2568</t>
  </si>
  <si>
    <t>ยอดจริง ออนไลน์ วันที่ 1-30 กันยายน 2568</t>
  </si>
  <si>
    <t>เค้กลาวา ฝอยทองทูโทน (เล็ก)</t>
  </si>
  <si>
    <t>ขนมปังสังขยา 6 ชิ้น</t>
  </si>
  <si>
    <t>ชิฟฟอนเค้ก สอดไส้ครีมมะพร้าว (5 ชิ้น)</t>
  </si>
  <si>
    <t xml:space="preserve">ชิฟฟอนเค้ก วรรณวนัช (สอดไส้วิปครีมรวมรส 8 ชิ้น)  </t>
  </si>
  <si>
    <t>เครปโรลฝอยทอง (วนิลา)</t>
  </si>
  <si>
    <t>เค้กลอดช่อง 85 กรัม</t>
  </si>
  <si>
    <t>ครีมฮอร์นไส้วิป ใบเตย</t>
  </si>
  <si>
    <t>ครีมฮอร์นไส้วิป วนิลา</t>
  </si>
  <si>
    <t>ครีมฮอร์นไส้วิป ช็อคโกแลต</t>
  </si>
  <si>
    <t>ขนมปังลาวาไข่เค็ม</t>
  </si>
  <si>
    <t>คัพเค้กมะพร้าวไส้ครีมเนยสด (4 ชิ้น)</t>
  </si>
  <si>
    <t>เอแคลร์นมสด (8 ชิ้น)</t>
  </si>
  <si>
    <t>ขนมปังไส้กรอกมินิ</t>
  </si>
  <si>
    <t>ขนมปังหิมะฮอกไกโด</t>
  </si>
  <si>
    <t xml:space="preserve"> </t>
  </si>
  <si>
    <t>เอแคลร์ชาไทย</t>
  </si>
  <si>
    <t>ซอฟท์เค้กช็อกโกแลต</t>
  </si>
  <si>
    <t>ซอฟท์เค้กมะพร้าว</t>
  </si>
  <si>
    <t>ชูครีมไส้นมฮอกไกโด</t>
  </si>
  <si>
    <t>แซนวิชทูน่า</t>
  </si>
  <si>
    <t>แซนวิชแฮมชีส</t>
  </si>
  <si>
    <t>แซนวิชปูอัด</t>
  </si>
  <si>
    <t>ขนมโมจิเนยนม</t>
  </si>
  <si>
    <t>ชิฟฟ่อนใบเตยล้วนสอดไส้ครีมมะพร้าว 8 ชิ้น</t>
  </si>
  <si>
    <t>ชิฟฟ่อนไส้วิป 2 ชิ้น</t>
  </si>
  <si>
    <t>แซนวิชโอลวีทแฮมชีส</t>
  </si>
  <si>
    <t>แซนวิชแฮมชีส ไร้ขอบ</t>
  </si>
  <si>
    <t>มัลเบอรี่ชีสพาย</t>
  </si>
  <si>
    <t>ชิฟฟ่อนไส้วิปครีม 4 ชิ้น</t>
  </si>
  <si>
    <t>ของเฮียอ้วน</t>
  </si>
  <si>
    <t>ลูกค้าคุณแม่ 3 กล่อง</t>
  </si>
  <si>
    <t>ลูกค้าคุณแม่</t>
  </si>
  <si>
    <t>แซนวิชโฮลวีทแฮมชีส</t>
  </si>
  <si>
    <t>ชิฟฟ่อนไส้วิป 4 ชิ้น</t>
  </si>
  <si>
    <t>ของคุณแม่ 10 กล่อง</t>
  </si>
  <si>
    <t>ของคุณแม่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</si>
</sst>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9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sz val="16"/>
      <color theme="1"/>
      <name val="Tahoma"/>
      <family val="2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48"/>
      <color theme="1"/>
      <name val="Angsana New"/>
      <family val="1"/>
    </font>
    <font>
      <b/>
      <sz val="36"/>
      <color theme="1"/>
      <name val="Angsana New"/>
      <family val="1"/>
    </font>
    <font>
      <b/>
      <sz val="28"/>
      <color theme="1"/>
      <name val="Angsana New"/>
      <family val="1"/>
    </font>
    <font>
      <b/>
      <sz val="28"/>
      <name val="Angsana New"/>
      <family val="1"/>
    </font>
    <font>
      <b/>
      <u/>
      <sz val="36"/>
      <color rgb="FFFF0000"/>
      <name val="Angsana New"/>
      <family val="1"/>
    </font>
    <font>
      <u/>
      <sz val="28"/>
      <color rgb="FFFF0000"/>
      <name val="Angsana New"/>
      <family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0" fillId="0" borderId="2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164" fontId="12" fillId="2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4" fillId="0" borderId="0" xfId="0" applyFont="1"/>
    <xf numFmtId="0" fontId="16" fillId="10" borderId="2" xfId="0" applyFont="1" applyFill="1" applyBorder="1" applyAlignment="1">
      <alignment horizontal="center" vertical="center"/>
    </xf>
    <xf numFmtId="164" fontId="10" fillId="5" borderId="2" xfId="0" applyNumberFormat="1" applyFont="1" applyFill="1" applyBorder="1" applyAlignment="1">
      <alignment horizontal="center" vertical="center"/>
    </xf>
    <xf numFmtId="164" fontId="17" fillId="5" borderId="2" xfId="0" applyNumberFormat="1" applyFont="1" applyFill="1" applyBorder="1" applyAlignment="1">
      <alignment horizontal="center" vertical="center"/>
    </xf>
    <xf numFmtId="164" fontId="18" fillId="5" borderId="3" xfId="0" applyNumberFormat="1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64" fontId="12" fillId="5" borderId="2" xfId="0" applyNumberFormat="1" applyFont="1" applyFill="1" applyBorder="1" applyAlignment="1">
      <alignment horizontal="center" vertical="center"/>
    </xf>
    <xf numFmtId="164" fontId="18" fillId="5" borderId="2" xfId="0" applyNumberFormat="1" applyFont="1" applyFill="1" applyBorder="1" applyAlignment="1">
      <alignment horizontal="center" vertical="center"/>
    </xf>
    <xf numFmtId="164" fontId="10" fillId="5" borderId="2" xfId="0" applyNumberFormat="1" applyFont="1" applyFill="1" applyBorder="1"/>
    <xf numFmtId="164" fontId="10" fillId="0" borderId="0" xfId="0" applyNumberFormat="1" applyFont="1"/>
    <xf numFmtId="164" fontId="12" fillId="11" borderId="2" xfId="0" applyNumberFormat="1" applyFont="1" applyFill="1" applyBorder="1" applyAlignment="1">
      <alignment horizontal="center" vertical="center"/>
    </xf>
    <xf numFmtId="164" fontId="12" fillId="0" borderId="2" xfId="0" applyNumberFormat="1" applyFont="1" applyBorder="1" applyAlignment="1">
      <alignment horizontal="center" vertical="center"/>
    </xf>
    <xf numFmtId="164" fontId="12" fillId="12" borderId="2" xfId="0" applyNumberFormat="1" applyFont="1" applyFill="1" applyBorder="1" applyAlignment="1">
      <alignment horizontal="center" vertical="center"/>
    </xf>
    <xf numFmtId="164" fontId="12" fillId="13" borderId="2" xfId="0" applyNumberFormat="1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14" fontId="13" fillId="9" borderId="8" xfId="0" applyNumberFormat="1" applyFont="1" applyFill="1" applyBorder="1" applyAlignment="1">
      <alignment horizontal="center" vertical="center"/>
    </xf>
    <xf numFmtId="14" fontId="13" fillId="9" borderId="1" xfId="0" applyNumberFormat="1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16" fillId="10" borderId="5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center" vertical="center"/>
    </xf>
    <xf numFmtId="0" fontId="16" fillId="10" borderId="12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0" fontId="15" fillId="10" borderId="11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  <xf numFmtId="14" fontId="13" fillId="9" borderId="2" xfId="0" applyNumberFormat="1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 codeName="Sheet1">
    <pageSetUpPr fitToPage="1"/>
  </sheetPr>
  <dimension ref="B1:L171"/>
  <sheetViews>
    <sheetView topLeftCell="A113"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28515625" style="16" customWidth="1"/>
    <col min="12" max="12" width="17.7109375" style="24" customWidth="1"/>
  </cols>
  <sheetData>
    <row r="1" spans="2:12">
      <c r="B1" s="75" t="s">
        <v>133</v>
      </c>
      <c r="C1" s="75"/>
      <c r="D1" s="75"/>
      <c r="E1" s="75"/>
      <c r="F1" s="75"/>
      <c r="G1" s="75"/>
      <c r="H1" s="75"/>
      <c r="I1" s="75"/>
      <c r="J1" s="75"/>
      <c r="K1" s="75"/>
      <c r="L1" s="75"/>
    </row>
    <row r="2" spans="2:12">
      <c r="B2" s="76"/>
      <c r="C2" s="77"/>
      <c r="D2" s="1"/>
      <c r="E2" s="78"/>
      <c r="F2" s="78"/>
      <c r="G2" s="2"/>
      <c r="H2" s="2"/>
      <c r="I2" s="2"/>
      <c r="J2" s="2"/>
      <c r="K2" s="2"/>
      <c r="L2" s="3" t="s">
        <v>0</v>
      </c>
    </row>
    <row r="3" spans="2:12">
      <c r="B3" s="76"/>
      <c r="C3" s="77"/>
      <c r="D3" s="4"/>
      <c r="E3" s="79"/>
      <c r="F3" s="79"/>
      <c r="G3" s="5"/>
      <c r="H3" s="5"/>
      <c r="I3" s="5"/>
      <c r="J3" s="34"/>
      <c r="K3" s="34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21">
      <c r="B6" s="73" t="s">
        <v>11</v>
      </c>
      <c r="C6" s="74"/>
      <c r="D6" s="74"/>
      <c r="E6" s="74"/>
      <c r="F6" s="74"/>
      <c r="G6" s="74"/>
      <c r="H6" s="74"/>
      <c r="I6" s="74"/>
      <c r="J6" s="74"/>
      <c r="K6" s="74"/>
      <c r="L6" s="74"/>
    </row>
    <row r="7" spans="2:1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21">
      <c r="B68" s="73" t="s">
        <v>55</v>
      </c>
      <c r="C68" s="74"/>
      <c r="D68" s="74"/>
      <c r="E68" s="74"/>
      <c r="F68" s="74"/>
      <c r="G68" s="74"/>
      <c r="H68" s="74"/>
      <c r="I68" s="74"/>
      <c r="J68" s="74"/>
      <c r="K68" s="74"/>
      <c r="L68" s="74"/>
    </row>
    <row r="69" spans="2:1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21">
      <c r="B78" s="73" t="s">
        <v>64</v>
      </c>
      <c r="C78" s="74"/>
      <c r="D78" s="74"/>
      <c r="E78" s="74"/>
      <c r="F78" s="74"/>
      <c r="G78" s="74"/>
      <c r="H78" s="74"/>
      <c r="I78" s="74"/>
      <c r="J78" s="74"/>
      <c r="K78" s="74"/>
      <c r="L78" s="74"/>
    </row>
    <row r="79" spans="2:1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21">
      <c r="B89" s="73" t="s">
        <v>74</v>
      </c>
      <c r="C89" s="74"/>
      <c r="D89" s="74"/>
      <c r="E89" s="74"/>
      <c r="F89" s="74"/>
      <c r="G89" s="74"/>
      <c r="H89" s="74"/>
      <c r="I89" s="74"/>
      <c r="J89" s="74"/>
      <c r="K89" s="74"/>
      <c r="L89" s="74"/>
    </row>
    <row r="90" spans="2:1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21">
      <c r="B101" s="73" t="s">
        <v>85</v>
      </c>
      <c r="C101" s="74"/>
      <c r="D101" s="74"/>
      <c r="E101" s="74"/>
      <c r="F101" s="74"/>
      <c r="G101" s="74"/>
      <c r="H101" s="74"/>
      <c r="I101" s="74"/>
      <c r="J101" s="74"/>
      <c r="K101" s="74"/>
      <c r="L101" s="74"/>
    </row>
    <row r="102" spans="2:1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21">
      <c r="B113" s="73" t="s">
        <v>86</v>
      </c>
      <c r="C113" s="74"/>
      <c r="D113" s="74"/>
      <c r="E113" s="74"/>
      <c r="F113" s="74"/>
      <c r="G113" s="74"/>
      <c r="H113" s="74"/>
      <c r="I113" s="74"/>
      <c r="J113" s="74"/>
      <c r="K113" s="74"/>
      <c r="L113" s="74"/>
    </row>
    <row r="114" spans="2:1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0" si="5">SUM(D114:K114)</f>
        <v>0</v>
      </c>
    </row>
    <row r="115" spans="2:1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ref="L141" si="6">SUM(D141:K141)</f>
        <v>0</v>
      </c>
    </row>
    <row r="142" spans="2:1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1" si="7">SUM(D142:K142)</f>
        <v>0</v>
      </c>
    </row>
    <row r="143" spans="2:1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7"/>
        <v>0</v>
      </c>
    </row>
    <row r="144" spans="2:1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7"/>
        <v>0</v>
      </c>
    </row>
    <row r="145" spans="2:1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7"/>
        <v>0</v>
      </c>
    </row>
    <row r="146" spans="2:1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7"/>
        <v>0</v>
      </c>
    </row>
    <row r="147" spans="2:1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7"/>
        <v>0</v>
      </c>
    </row>
    <row r="148" spans="2:1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7"/>
        <v>0</v>
      </c>
    </row>
    <row r="149" spans="2:1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7"/>
        <v>0</v>
      </c>
    </row>
    <row r="150" spans="2:1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7"/>
        <v>0</v>
      </c>
    </row>
    <row r="151" spans="2:1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si="7"/>
        <v>0</v>
      </c>
    </row>
    <row r="152" spans="2:12">
      <c r="B152" s="42"/>
      <c r="C152" s="43"/>
      <c r="D152" s="28"/>
      <c r="E152" s="28"/>
      <c r="F152" s="28"/>
      <c r="G152" s="25"/>
      <c r="L152" s="44"/>
    </row>
    <row r="153" spans="2:12">
      <c r="B153" s="81" t="s">
        <v>104</v>
      </c>
      <c r="C153" s="81"/>
      <c r="D153" s="29"/>
      <c r="E153" s="80"/>
      <c r="F153" s="80"/>
      <c r="G153" s="26"/>
      <c r="H153" s="25"/>
      <c r="I153" s="81" t="s">
        <v>104</v>
      </c>
      <c r="J153" s="81"/>
      <c r="K153" s="81"/>
      <c r="L153" s="81"/>
    </row>
    <row r="154" spans="2:12">
      <c r="B154" s="80" t="s">
        <v>105</v>
      </c>
      <c r="C154" s="80"/>
      <c r="D154" s="30"/>
      <c r="E154" s="30"/>
      <c r="F154" s="30"/>
      <c r="G154" s="30"/>
      <c r="H154" s="30"/>
      <c r="I154" s="80" t="s">
        <v>106</v>
      </c>
      <c r="J154" s="80"/>
      <c r="K154" s="80"/>
      <c r="L154" s="80"/>
    </row>
    <row r="155" spans="2:12">
      <c r="B155" s="28"/>
      <c r="C155" s="28"/>
      <c r="D155" s="30"/>
      <c r="E155" s="30"/>
      <c r="F155" s="30"/>
      <c r="G155" s="30"/>
      <c r="H155" s="30"/>
      <c r="I155" s="28"/>
      <c r="J155" s="28"/>
      <c r="K155" s="28"/>
      <c r="L155" s="31"/>
    </row>
    <row r="156" spans="2:12" ht="15"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31"/>
    </row>
    <row r="157" spans="2:12" ht="15"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31"/>
    </row>
    <row r="158" spans="2:12" ht="15"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31"/>
    </row>
    <row r="159" spans="2:12" ht="15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5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4:8">
      <c r="D161" s="28"/>
      <c r="E161" s="28"/>
      <c r="F161" s="28"/>
      <c r="G161" s="28"/>
      <c r="H161" s="28"/>
    </row>
    <row r="162" spans="4:8">
      <c r="D162" s="28"/>
      <c r="E162" s="28"/>
      <c r="F162" s="28"/>
      <c r="G162" s="28"/>
      <c r="H162" s="28"/>
    </row>
    <row r="163" spans="4:8">
      <c r="D163" s="28"/>
      <c r="E163" s="28"/>
      <c r="F163" s="28"/>
      <c r="G163" s="28"/>
      <c r="H163" s="28"/>
    </row>
    <row r="164" spans="4:8">
      <c r="D164" s="28"/>
      <c r="E164" s="28"/>
      <c r="F164" s="28"/>
      <c r="G164" s="28"/>
      <c r="H164" s="28"/>
    </row>
    <row r="165" spans="4:8">
      <c r="D165" s="28"/>
      <c r="E165" s="28"/>
      <c r="F165" s="28"/>
      <c r="G165" s="28"/>
      <c r="H165" s="28"/>
    </row>
    <row r="166" spans="4:8">
      <c r="D166" s="28"/>
      <c r="E166" s="28"/>
      <c r="F166" s="28"/>
      <c r="G166" s="28"/>
      <c r="H166" s="28"/>
    </row>
    <row r="167" spans="4:8">
      <c r="D167" s="28"/>
      <c r="E167" s="28"/>
      <c r="F167" s="28"/>
      <c r="G167" s="28"/>
      <c r="H167" s="28"/>
    </row>
    <row r="168" spans="4:8">
      <c r="D168" s="28"/>
      <c r="E168" s="28"/>
      <c r="F168" s="28"/>
      <c r="G168" s="28"/>
      <c r="H168" s="28"/>
    </row>
    <row r="169" spans="4:8">
      <c r="D169" s="28"/>
      <c r="E169" s="28"/>
      <c r="F169" s="28"/>
      <c r="G169" s="28"/>
      <c r="H169" s="28"/>
    </row>
    <row r="170" spans="4:8">
      <c r="D170" s="28"/>
      <c r="E170" s="28"/>
      <c r="F170" s="28"/>
      <c r="G170" s="28"/>
      <c r="H170" s="28"/>
    </row>
    <row r="171" spans="4:8">
      <c r="D171" s="28"/>
      <c r="E171" s="28"/>
      <c r="F171" s="28"/>
      <c r="G171" s="28"/>
      <c r="H171" s="28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sheetPr codeName="Sheet2"/>
  <dimension ref="B1:L174"/>
  <sheetViews>
    <sheetView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28515625" style="16" customWidth="1"/>
    <col min="12" max="12" width="17.7109375" style="24" customWidth="1"/>
  </cols>
  <sheetData>
    <row r="1" spans="2:12">
      <c r="B1" s="75" t="s">
        <v>135</v>
      </c>
      <c r="C1" s="75"/>
      <c r="D1" s="75"/>
      <c r="E1" s="75"/>
      <c r="F1" s="75"/>
      <c r="G1" s="75"/>
      <c r="H1" s="75"/>
      <c r="I1" s="75"/>
      <c r="J1" s="75"/>
      <c r="K1" s="75"/>
      <c r="L1" s="75"/>
    </row>
    <row r="2" spans="2:12">
      <c r="B2" s="76"/>
      <c r="C2" s="77"/>
      <c r="D2" s="1"/>
      <c r="E2" s="78"/>
      <c r="F2" s="78"/>
      <c r="G2" s="2"/>
      <c r="H2" s="2"/>
      <c r="I2" s="2"/>
      <c r="J2" s="2"/>
      <c r="K2" s="2"/>
      <c r="L2" s="3" t="s">
        <v>0</v>
      </c>
    </row>
    <row r="3" spans="2:12">
      <c r="B3" s="76"/>
      <c r="C3" s="77"/>
      <c r="D3" s="4"/>
      <c r="E3" s="79"/>
      <c r="F3" s="79"/>
      <c r="G3" s="5"/>
      <c r="H3" s="5"/>
      <c r="I3" s="5"/>
      <c r="J3" s="34"/>
      <c r="K3" s="34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21">
      <c r="B6" s="73" t="s">
        <v>11</v>
      </c>
      <c r="C6" s="74"/>
      <c r="D6" s="74"/>
      <c r="E6" s="74"/>
      <c r="F6" s="74"/>
      <c r="G6" s="74"/>
      <c r="H6" s="74"/>
      <c r="I6" s="74"/>
      <c r="J6" s="74"/>
      <c r="K6" s="74"/>
      <c r="L6" s="74"/>
    </row>
    <row r="7" spans="2:1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21">
      <c r="B68" s="73" t="s">
        <v>55</v>
      </c>
      <c r="C68" s="74"/>
      <c r="D68" s="74"/>
      <c r="E68" s="74"/>
      <c r="F68" s="74"/>
      <c r="G68" s="74"/>
      <c r="H68" s="74"/>
      <c r="I68" s="74"/>
      <c r="J68" s="74"/>
      <c r="K68" s="74"/>
      <c r="L68" s="74"/>
    </row>
    <row r="69" spans="2:1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21">
      <c r="B78" s="73" t="s">
        <v>64</v>
      </c>
      <c r="C78" s="74"/>
      <c r="D78" s="74"/>
      <c r="E78" s="74"/>
      <c r="F78" s="74"/>
      <c r="G78" s="74"/>
      <c r="H78" s="74"/>
      <c r="I78" s="74"/>
      <c r="J78" s="74"/>
      <c r="K78" s="74"/>
      <c r="L78" s="74"/>
    </row>
    <row r="79" spans="2:1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21">
      <c r="B89" s="73" t="s">
        <v>74</v>
      </c>
      <c r="C89" s="74"/>
      <c r="D89" s="74"/>
      <c r="E89" s="74"/>
      <c r="F89" s="74"/>
      <c r="G89" s="74"/>
      <c r="H89" s="74"/>
      <c r="I89" s="74"/>
      <c r="J89" s="74"/>
      <c r="K89" s="74"/>
      <c r="L89" s="74"/>
    </row>
    <row r="90" spans="2:1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21">
      <c r="B101" s="73" t="s">
        <v>85</v>
      </c>
      <c r="C101" s="74"/>
      <c r="D101" s="74"/>
      <c r="E101" s="74"/>
      <c r="F101" s="74"/>
      <c r="G101" s="74"/>
      <c r="H101" s="74"/>
      <c r="I101" s="74"/>
      <c r="J101" s="74"/>
      <c r="K101" s="74"/>
      <c r="L101" s="74"/>
    </row>
    <row r="102" spans="2:1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21">
      <c r="B113" s="73" t="s">
        <v>86</v>
      </c>
      <c r="C113" s="74"/>
      <c r="D113" s="74"/>
      <c r="E113" s="74"/>
      <c r="F113" s="74"/>
      <c r="G113" s="74"/>
      <c r="H113" s="74"/>
      <c r="I113" s="74"/>
      <c r="J113" s="74"/>
      <c r="K113" s="74"/>
      <c r="L113" s="74"/>
    </row>
    <row r="114" spans="2:1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1" si="5">SUM(D114:K114)</f>
        <v>0</v>
      </c>
    </row>
    <row r="115" spans="2:1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si="5"/>
        <v>0</v>
      </c>
    </row>
    <row r="142" spans="2:1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0" si="6">SUM(D142:K142)</f>
        <v>0</v>
      </c>
    </row>
    <row r="143" spans="2:1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6"/>
        <v>0</v>
      </c>
    </row>
    <row r="144" spans="2:1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6"/>
        <v>0</v>
      </c>
    </row>
    <row r="145" spans="2:1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6"/>
        <v>0</v>
      </c>
    </row>
    <row r="146" spans="2:1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6"/>
        <v>0</v>
      </c>
    </row>
    <row r="147" spans="2:1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6"/>
        <v>0</v>
      </c>
    </row>
    <row r="148" spans="2:1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6"/>
        <v>0</v>
      </c>
    </row>
    <row r="149" spans="2:1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6"/>
        <v>0</v>
      </c>
    </row>
    <row r="150" spans="2:1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6"/>
        <v>0</v>
      </c>
    </row>
    <row r="151" spans="2:1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ref="L151" si="7">SUM(D151:K151)</f>
        <v>0</v>
      </c>
    </row>
    <row r="152" spans="2:12">
      <c r="B152" s="42"/>
      <c r="C152" s="43"/>
      <c r="D152" s="28"/>
      <c r="E152" s="28"/>
      <c r="F152" s="28"/>
      <c r="G152" s="25"/>
      <c r="L152" s="33"/>
    </row>
    <row r="153" spans="2:12">
      <c r="B153" s="42"/>
      <c r="C153" s="43"/>
      <c r="D153" s="28"/>
      <c r="E153" s="28"/>
      <c r="F153" s="28"/>
      <c r="G153" s="25"/>
      <c r="L153" s="33"/>
    </row>
    <row r="154" spans="2:12">
      <c r="B154" s="42"/>
      <c r="C154" s="43"/>
      <c r="D154" s="28"/>
      <c r="E154" s="28"/>
      <c r="F154" s="28"/>
      <c r="G154" s="25"/>
      <c r="L154" s="33"/>
    </row>
    <row r="155" spans="2:12">
      <c r="B155" s="42"/>
      <c r="C155" s="43"/>
      <c r="D155" s="28"/>
      <c r="E155" s="28"/>
      <c r="F155" s="28"/>
      <c r="G155" s="25"/>
      <c r="L155" s="44"/>
    </row>
    <row r="156" spans="2:12">
      <c r="B156" s="81" t="s">
        <v>104</v>
      </c>
      <c r="C156" s="81"/>
      <c r="D156" s="29"/>
      <c r="E156" s="80"/>
      <c r="F156" s="80"/>
      <c r="G156" s="26"/>
      <c r="H156" s="25"/>
      <c r="I156" s="81" t="s">
        <v>104</v>
      </c>
      <c r="J156" s="81"/>
      <c r="K156" s="81"/>
      <c r="L156" s="81"/>
    </row>
    <row r="157" spans="2:12">
      <c r="B157" s="80" t="s">
        <v>105</v>
      </c>
      <c r="C157" s="80"/>
      <c r="D157" s="30"/>
      <c r="E157" s="30"/>
      <c r="F157" s="30"/>
      <c r="G157" s="30"/>
      <c r="H157" s="30"/>
      <c r="I157" s="80" t="s">
        <v>106</v>
      </c>
      <c r="J157" s="80"/>
      <c r="K157" s="80"/>
      <c r="L157" s="80"/>
    </row>
    <row r="158" spans="2:12">
      <c r="B158" s="28"/>
      <c r="C158" s="28"/>
      <c r="D158" s="30"/>
      <c r="E158" s="30"/>
      <c r="F158" s="30"/>
      <c r="G158" s="30"/>
      <c r="H158" s="30"/>
      <c r="I158" s="28"/>
      <c r="J158" s="28"/>
      <c r="K158" s="28"/>
      <c r="L158" s="31"/>
    </row>
    <row r="159" spans="2:12" ht="15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5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2:12" ht="15"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31"/>
    </row>
    <row r="162" spans="2:12" ht="15"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31"/>
    </row>
    <row r="163" spans="2:12" ht="15"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31"/>
    </row>
    <row r="164" spans="2:12">
      <c r="D164" s="28"/>
      <c r="E164" s="28"/>
      <c r="F164" s="28"/>
      <c r="G164" s="28"/>
      <c r="H164" s="28"/>
    </row>
    <row r="165" spans="2:12">
      <c r="D165" s="28"/>
      <c r="E165" s="28"/>
      <c r="F165" s="28"/>
      <c r="G165" s="28"/>
      <c r="H165" s="28"/>
    </row>
    <row r="166" spans="2:12">
      <c r="D166" s="28"/>
      <c r="E166" s="28"/>
      <c r="F166" s="28"/>
      <c r="G166" s="28"/>
      <c r="H166" s="28"/>
    </row>
    <row r="167" spans="2:12">
      <c r="D167" s="28"/>
      <c r="E167" s="28"/>
      <c r="F167" s="28"/>
      <c r="G167" s="28"/>
      <c r="H167" s="28"/>
    </row>
    <row r="168" spans="2:12">
      <c r="D168" s="28"/>
      <c r="E168" s="28"/>
      <c r="F168" s="28"/>
      <c r="G168" s="28"/>
      <c r="H168" s="28"/>
    </row>
    <row r="169" spans="2:12">
      <c r="D169" s="28"/>
      <c r="E169" s="28"/>
      <c r="F169" s="28"/>
      <c r="G169" s="28"/>
      <c r="H169" s="28"/>
    </row>
    <row r="170" spans="2:12">
      <c r="D170" s="28"/>
      <c r="E170" s="28"/>
      <c r="F170" s="28"/>
      <c r="G170" s="28"/>
      <c r="H170" s="28"/>
    </row>
    <row r="171" spans="2:12">
      <c r="D171" s="28"/>
      <c r="E171" s="28"/>
      <c r="F171" s="28"/>
      <c r="G171" s="28"/>
      <c r="H171" s="28"/>
    </row>
    <row r="172" spans="2:12">
      <c r="D172" s="28"/>
      <c r="E172" s="28"/>
      <c r="F172" s="28"/>
      <c r="G172" s="28"/>
      <c r="H172" s="28"/>
    </row>
    <row r="173" spans="2:12">
      <c r="D173" s="28"/>
      <c r="E173" s="28"/>
      <c r="F173" s="28"/>
      <c r="G173" s="28"/>
      <c r="H173" s="28"/>
    </row>
    <row r="174" spans="2:12">
      <c r="D174" s="28"/>
      <c r="E174" s="28"/>
      <c r="F174" s="28"/>
      <c r="G174" s="28"/>
      <c r="H174" s="28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 codeName="Sheet3">
    <pageSetUpPr fitToPage="1"/>
  </sheetPr>
  <dimension ref="B1:AE137"/>
  <sheetViews>
    <sheetView topLeftCell="A92" zoomScale="40" zoomScaleNormal="40" workbookViewId="0">
      <selection activeCell="A99" sqref="A99:XFD157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3" t="s">
        <v>206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</row>
    <row r="2" spans="2:31" ht="49.9" customHeight="1">
      <c r="B2" s="99" t="s">
        <v>3</v>
      </c>
      <c r="C2" s="99" t="s">
        <v>4</v>
      </c>
      <c r="D2" s="85" t="s">
        <v>5</v>
      </c>
      <c r="E2" s="86"/>
      <c r="F2" s="87"/>
      <c r="G2" s="85" t="s">
        <v>6</v>
      </c>
      <c r="H2" s="86"/>
      <c r="I2" s="87"/>
      <c r="J2" s="85" t="s">
        <v>7</v>
      </c>
      <c r="K2" s="86"/>
      <c r="L2" s="87"/>
      <c r="M2" s="85" t="s">
        <v>8</v>
      </c>
      <c r="N2" s="86"/>
      <c r="O2" s="87"/>
      <c r="P2" s="85" t="s">
        <v>132</v>
      </c>
      <c r="Q2" s="86"/>
      <c r="R2" s="87"/>
      <c r="S2" s="85" t="s">
        <v>9</v>
      </c>
      <c r="T2" s="86"/>
      <c r="U2" s="87"/>
      <c r="V2" s="88" t="s">
        <v>131</v>
      </c>
      <c r="W2" s="89"/>
      <c r="X2" s="90"/>
      <c r="Y2" s="101" t="s">
        <v>134</v>
      </c>
      <c r="Z2" s="103" t="s">
        <v>204</v>
      </c>
      <c r="AA2" s="91" t="s">
        <v>145</v>
      </c>
      <c r="AB2" s="91" t="s">
        <v>146</v>
      </c>
      <c r="AC2" s="95" t="s">
        <v>147</v>
      </c>
      <c r="AD2" s="93" t="s">
        <v>148</v>
      </c>
      <c r="AE2" s="82" t="s">
        <v>212</v>
      </c>
    </row>
    <row r="3" spans="2:31" ht="49.9" customHeight="1">
      <c r="B3" s="100"/>
      <c r="C3" s="100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102"/>
      <c r="Z3" s="104"/>
      <c r="AA3" s="92"/>
      <c r="AB3" s="92"/>
      <c r="AC3" s="96"/>
      <c r="AD3" s="94"/>
      <c r="AE3" s="82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>
        <v>6</v>
      </c>
      <c r="H4" s="52"/>
      <c r="I4" s="65">
        <f>SUM(G4:H4)</f>
        <v>6</v>
      </c>
      <c r="J4" s="52"/>
      <c r="K4" s="52"/>
      <c r="L4" s="65">
        <f>SUM(J4:K4)</f>
        <v>0</v>
      </c>
      <c r="M4" s="52">
        <v>51</v>
      </c>
      <c r="N4" s="52"/>
      <c r="O4" s="65">
        <f>SUM(M4:N4)</f>
        <v>51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57</v>
      </c>
      <c r="AA4" s="50">
        <v>50</v>
      </c>
      <c r="AB4" s="50"/>
      <c r="AC4" s="61">
        <f>+AA4+AB4-Z4</f>
        <v>-7</v>
      </c>
      <c r="AD4" s="50">
        <v>50</v>
      </c>
      <c r="AE4" s="67">
        <f>AC4+AD4</f>
        <v>43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42</v>
      </c>
      <c r="H5" s="52"/>
      <c r="I5" s="65">
        <f t="shared" ref="I5:I68" si="1">SUM(G5:H5)</f>
        <v>42</v>
      </c>
      <c r="J5" s="52">
        <v>4</v>
      </c>
      <c r="K5" s="52"/>
      <c r="L5" s="65">
        <f t="shared" ref="L5:L68" si="2">SUM(J5:K5)</f>
        <v>4</v>
      </c>
      <c r="M5" s="52">
        <v>13</v>
      </c>
      <c r="N5" s="52"/>
      <c r="O5" s="65">
        <f t="shared" ref="O5:O68" si="3">SUM(M5:N5)</f>
        <v>13</v>
      </c>
      <c r="P5" s="52">
        <v>6</v>
      </c>
      <c r="Q5" s="52"/>
      <c r="R5" s="65">
        <f t="shared" ref="R5:R68" si="4">SUM(P5:Q5)</f>
        <v>6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65</v>
      </c>
      <c r="AA5" s="58">
        <v>70</v>
      </c>
      <c r="AB5" s="58">
        <v>11</v>
      </c>
      <c r="AC5" s="61">
        <f t="shared" ref="AC5:AC68" si="8">+AA5+AB5-Z5</f>
        <v>16</v>
      </c>
      <c r="AD5" s="58">
        <v>70</v>
      </c>
      <c r="AE5" s="67">
        <f t="shared" ref="AE5:AE68" si="9">AC5+AD5</f>
        <v>86</v>
      </c>
    </row>
    <row r="6" spans="2:31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7">
        <f t="shared" si="9"/>
        <v>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7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7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7</v>
      </c>
      <c r="H9" s="52"/>
      <c r="I9" s="65">
        <f t="shared" si="1"/>
        <v>7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7</v>
      </c>
      <c r="AA9" s="50"/>
      <c r="AB9" s="50"/>
      <c r="AC9" s="61">
        <f t="shared" si="8"/>
        <v>-7</v>
      </c>
      <c r="AD9" s="50"/>
      <c r="AE9" s="67">
        <f t="shared" si="9"/>
        <v>-7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>
        <v>7</v>
      </c>
      <c r="H10" s="52"/>
      <c r="I10" s="65">
        <f t="shared" si="1"/>
        <v>7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7</v>
      </c>
      <c r="AA10" s="50"/>
      <c r="AB10" s="50"/>
      <c r="AC10" s="61">
        <f t="shared" si="8"/>
        <v>-7</v>
      </c>
      <c r="AD10" s="50"/>
      <c r="AE10" s="67">
        <f t="shared" si="9"/>
        <v>-7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7</v>
      </c>
      <c r="H11" s="52"/>
      <c r="I11" s="65">
        <f t="shared" si="1"/>
        <v>7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7</v>
      </c>
      <c r="AA11" s="50"/>
      <c r="AB11" s="50"/>
      <c r="AC11" s="61">
        <f t="shared" si="8"/>
        <v>-7</v>
      </c>
      <c r="AD11" s="50"/>
      <c r="AE11" s="67">
        <f t="shared" si="9"/>
        <v>-7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7</v>
      </c>
      <c r="H12" s="52"/>
      <c r="I12" s="65">
        <f t="shared" si="1"/>
        <v>7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7</v>
      </c>
      <c r="AA12" s="50"/>
      <c r="AB12" s="50"/>
      <c r="AC12" s="61">
        <f t="shared" si="8"/>
        <v>-7</v>
      </c>
      <c r="AD12" s="50"/>
      <c r="AE12" s="67">
        <f t="shared" si="9"/>
        <v>-7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7</v>
      </c>
      <c r="H13" s="52"/>
      <c r="I13" s="65">
        <f t="shared" si="1"/>
        <v>7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7</v>
      </c>
      <c r="AA13" s="50"/>
      <c r="AB13" s="50"/>
      <c r="AC13" s="61">
        <f t="shared" si="8"/>
        <v>-7</v>
      </c>
      <c r="AD13" s="50"/>
      <c r="AE13" s="67">
        <f t="shared" si="9"/>
        <v>-7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7</v>
      </c>
      <c r="H14" s="52"/>
      <c r="I14" s="65">
        <f t="shared" si="1"/>
        <v>7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7</v>
      </c>
      <c r="AA14" s="50"/>
      <c r="AB14" s="50"/>
      <c r="AC14" s="61">
        <f t="shared" si="8"/>
        <v>-7</v>
      </c>
      <c r="AD14" s="50"/>
      <c r="AE14" s="67">
        <f t="shared" si="9"/>
        <v>-7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7</v>
      </c>
      <c r="H15" s="52"/>
      <c r="I15" s="65">
        <f t="shared" si="1"/>
        <v>7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7</v>
      </c>
      <c r="AA15" s="50"/>
      <c r="AB15" s="50"/>
      <c r="AC15" s="61">
        <f t="shared" si="8"/>
        <v>-7</v>
      </c>
      <c r="AD15" s="50"/>
      <c r="AE15" s="67">
        <f t="shared" si="9"/>
        <v>-7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7</v>
      </c>
      <c r="H16" s="52"/>
      <c r="I16" s="65">
        <f t="shared" si="1"/>
        <v>7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7</v>
      </c>
      <c r="AA16" s="50"/>
      <c r="AB16" s="50"/>
      <c r="AC16" s="61">
        <f t="shared" si="8"/>
        <v>-7</v>
      </c>
      <c r="AD16" s="50"/>
      <c r="AE16" s="67">
        <f t="shared" si="9"/>
        <v>-7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7</v>
      </c>
      <c r="H17" s="52"/>
      <c r="I17" s="65">
        <f t="shared" si="1"/>
        <v>7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7</v>
      </c>
      <c r="AA17" s="50"/>
      <c r="AB17" s="50"/>
      <c r="AC17" s="61">
        <f t="shared" si="8"/>
        <v>-7</v>
      </c>
      <c r="AD17" s="50"/>
      <c r="AE17" s="67">
        <f t="shared" si="9"/>
        <v>-7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7</v>
      </c>
      <c r="H18" s="52"/>
      <c r="I18" s="65">
        <f t="shared" si="1"/>
        <v>7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7</v>
      </c>
      <c r="AA18" s="50"/>
      <c r="AB18" s="50"/>
      <c r="AC18" s="61">
        <f t="shared" si="8"/>
        <v>-7</v>
      </c>
      <c r="AD18" s="50"/>
      <c r="AE18" s="67">
        <f t="shared" si="9"/>
        <v>-7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7</v>
      </c>
      <c r="H19" s="52"/>
      <c r="I19" s="65">
        <f t="shared" si="1"/>
        <v>7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7</v>
      </c>
      <c r="AA19" s="50"/>
      <c r="AB19" s="50"/>
      <c r="AC19" s="61">
        <f t="shared" si="8"/>
        <v>-7</v>
      </c>
      <c r="AD19" s="50"/>
      <c r="AE19" s="67">
        <f t="shared" si="9"/>
        <v>-7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>
        <v>7</v>
      </c>
      <c r="H20" s="52"/>
      <c r="I20" s="65">
        <f t="shared" si="1"/>
        <v>7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7</v>
      </c>
      <c r="AA20" s="50"/>
      <c r="AB20" s="50"/>
      <c r="AC20" s="61">
        <f t="shared" si="8"/>
        <v>-7</v>
      </c>
      <c r="AD20" s="50"/>
      <c r="AE20" s="67">
        <f t="shared" si="9"/>
        <v>-7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>
        <v>6</v>
      </c>
      <c r="H21" s="52"/>
      <c r="I21" s="65">
        <f t="shared" si="1"/>
        <v>6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6</v>
      </c>
      <c r="AA21" s="50"/>
      <c r="AB21" s="50"/>
      <c r="AC21" s="61">
        <f t="shared" si="8"/>
        <v>-6</v>
      </c>
      <c r="AD21" s="50"/>
      <c r="AE21" s="67">
        <f t="shared" si="9"/>
        <v>-6</v>
      </c>
    </row>
    <row r="22" spans="2:3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7">
        <f t="shared" si="9"/>
        <v>0</v>
      </c>
    </row>
    <row r="23" spans="2:3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7">
        <f t="shared" si="9"/>
        <v>0</v>
      </c>
    </row>
    <row r="24" spans="2:3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7">
        <f t="shared" si="9"/>
        <v>0</v>
      </c>
    </row>
    <row r="25" spans="2:31">
      <c r="B25" s="50">
        <v>1111008</v>
      </c>
      <c r="C25" s="51" t="s">
        <v>156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52">
        <v>42</v>
      </c>
      <c r="N25" s="52"/>
      <c r="O25" s="65">
        <f t="shared" si="3"/>
        <v>42</v>
      </c>
      <c r="P25" s="52">
        <v>15</v>
      </c>
      <c r="Q25" s="52"/>
      <c r="R25" s="65">
        <f t="shared" si="4"/>
        <v>15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57</v>
      </c>
      <c r="AA25" s="50">
        <v>40</v>
      </c>
      <c r="AB25" s="50">
        <v>43</v>
      </c>
      <c r="AC25" s="61">
        <f t="shared" si="8"/>
        <v>26</v>
      </c>
      <c r="AD25" s="50">
        <v>40</v>
      </c>
      <c r="AE25" s="67">
        <f t="shared" si="9"/>
        <v>66</v>
      </c>
    </row>
    <row r="26" spans="2:31">
      <c r="B26" s="50">
        <v>1111009</v>
      </c>
      <c r="C26" s="51" t="s">
        <v>157</v>
      </c>
      <c r="D26" s="52"/>
      <c r="E26" s="52"/>
      <c r="F26" s="65">
        <f t="shared" si="0"/>
        <v>0</v>
      </c>
      <c r="G26" s="52">
        <v>3</v>
      </c>
      <c r="H26" s="52"/>
      <c r="I26" s="65">
        <f t="shared" si="1"/>
        <v>3</v>
      </c>
      <c r="J26" s="52">
        <v>4</v>
      </c>
      <c r="K26" s="52"/>
      <c r="L26" s="65">
        <f t="shared" si="2"/>
        <v>4</v>
      </c>
      <c r="M26" s="52">
        <v>6</v>
      </c>
      <c r="N26" s="52"/>
      <c r="O26" s="65">
        <f t="shared" si="3"/>
        <v>6</v>
      </c>
      <c r="P26" s="52">
        <v>4</v>
      </c>
      <c r="Q26" s="52"/>
      <c r="R26" s="65">
        <f t="shared" si="4"/>
        <v>4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17</v>
      </c>
      <c r="AA26" s="50">
        <v>20</v>
      </c>
      <c r="AB26" s="50">
        <v>66</v>
      </c>
      <c r="AC26" s="61">
        <f t="shared" si="8"/>
        <v>69</v>
      </c>
      <c r="AD26" s="50">
        <v>20</v>
      </c>
      <c r="AE26" s="67">
        <f t="shared" si="9"/>
        <v>89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7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7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7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7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7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7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7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7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7">
        <f t="shared" si="9"/>
        <v>0</v>
      </c>
    </row>
    <row r="36" spans="2:31" hidden="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7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7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7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7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7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5</v>
      </c>
      <c r="H41" s="52"/>
      <c r="I41" s="65">
        <f t="shared" si="1"/>
        <v>5</v>
      </c>
      <c r="J41" s="52"/>
      <c r="K41" s="52"/>
      <c r="L41" s="65">
        <f t="shared" si="2"/>
        <v>0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5</v>
      </c>
      <c r="AA41" s="50"/>
      <c r="AB41" s="50">
        <v>11</v>
      </c>
      <c r="AC41" s="61">
        <f t="shared" si="8"/>
        <v>6</v>
      </c>
      <c r="AD41" s="50">
        <v>10</v>
      </c>
      <c r="AE41" s="67">
        <f t="shared" si="9"/>
        <v>16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6</v>
      </c>
      <c r="H42" s="52"/>
      <c r="I42" s="65">
        <f t="shared" si="1"/>
        <v>6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6</v>
      </c>
      <c r="AA42" s="50"/>
      <c r="AB42" s="50"/>
      <c r="AC42" s="61">
        <f t="shared" si="8"/>
        <v>-6</v>
      </c>
      <c r="AD42" s="50"/>
      <c r="AE42" s="67">
        <f t="shared" si="9"/>
        <v>-6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6</v>
      </c>
      <c r="H43" s="52"/>
      <c r="I43" s="65">
        <f t="shared" si="1"/>
        <v>6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6</v>
      </c>
      <c r="AA43" s="50"/>
      <c r="AB43" s="50"/>
      <c r="AC43" s="61">
        <f t="shared" si="8"/>
        <v>-6</v>
      </c>
      <c r="AD43" s="50"/>
      <c r="AE43" s="67">
        <f t="shared" si="9"/>
        <v>-6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6</v>
      </c>
      <c r="H44" s="52"/>
      <c r="I44" s="65">
        <f t="shared" si="1"/>
        <v>6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6</v>
      </c>
      <c r="AA44" s="50"/>
      <c r="AB44" s="50"/>
      <c r="AC44" s="61">
        <f t="shared" si="8"/>
        <v>-6</v>
      </c>
      <c r="AD44" s="50"/>
      <c r="AE44" s="67">
        <f t="shared" si="9"/>
        <v>-6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6</v>
      </c>
      <c r="H45" s="52"/>
      <c r="I45" s="65">
        <f t="shared" si="1"/>
        <v>6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6</v>
      </c>
      <c r="AA45" s="50"/>
      <c r="AB45" s="50"/>
      <c r="AC45" s="61">
        <f t="shared" si="8"/>
        <v>-6</v>
      </c>
      <c r="AD45" s="50"/>
      <c r="AE45" s="67">
        <f t="shared" si="9"/>
        <v>-6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6</v>
      </c>
      <c r="H46" s="52"/>
      <c r="I46" s="65">
        <f t="shared" si="1"/>
        <v>6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6</v>
      </c>
      <c r="AA46" s="50"/>
      <c r="AB46" s="50"/>
      <c r="AC46" s="61">
        <f t="shared" si="8"/>
        <v>-6</v>
      </c>
      <c r="AD46" s="50"/>
      <c r="AE46" s="67">
        <f t="shared" si="9"/>
        <v>-6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6</v>
      </c>
      <c r="H47" s="52"/>
      <c r="I47" s="65">
        <f t="shared" si="1"/>
        <v>6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6</v>
      </c>
      <c r="AA47" s="50"/>
      <c r="AB47" s="50"/>
      <c r="AC47" s="61">
        <f t="shared" si="8"/>
        <v>-6</v>
      </c>
      <c r="AD47" s="50"/>
      <c r="AE47" s="67">
        <f t="shared" si="9"/>
        <v>-6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6</v>
      </c>
      <c r="H48" s="52"/>
      <c r="I48" s="65">
        <f t="shared" si="1"/>
        <v>6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6</v>
      </c>
      <c r="AA48" s="50"/>
      <c r="AB48" s="50"/>
      <c r="AC48" s="61">
        <f t="shared" si="8"/>
        <v>-6</v>
      </c>
      <c r="AD48" s="50"/>
      <c r="AE48" s="67">
        <f t="shared" si="9"/>
        <v>-6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6</v>
      </c>
      <c r="H49" s="52"/>
      <c r="I49" s="65">
        <f t="shared" si="1"/>
        <v>6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6</v>
      </c>
      <c r="AA49" s="50"/>
      <c r="AB49" s="50"/>
      <c r="AC49" s="61">
        <f t="shared" si="8"/>
        <v>-6</v>
      </c>
      <c r="AD49" s="50"/>
      <c r="AE49" s="67">
        <f t="shared" si="9"/>
        <v>-6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6</v>
      </c>
      <c r="H50" s="52"/>
      <c r="I50" s="65">
        <f t="shared" si="1"/>
        <v>6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6</v>
      </c>
      <c r="AA50" s="50"/>
      <c r="AB50" s="50"/>
      <c r="AC50" s="61">
        <f t="shared" si="8"/>
        <v>-6</v>
      </c>
      <c r="AD50" s="50"/>
      <c r="AE50" s="67">
        <f t="shared" si="9"/>
        <v>-6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6</v>
      </c>
      <c r="H51" s="52"/>
      <c r="I51" s="65">
        <f t="shared" si="1"/>
        <v>6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6</v>
      </c>
      <c r="AA51" s="50"/>
      <c r="AB51" s="50"/>
      <c r="AC51" s="61">
        <f t="shared" si="8"/>
        <v>-6</v>
      </c>
      <c r="AD51" s="50"/>
      <c r="AE51" s="67">
        <f t="shared" si="9"/>
        <v>-6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7">
        <f t="shared" si="9"/>
        <v>0</v>
      </c>
    </row>
    <row r="53" spans="2:31">
      <c r="B53" s="50">
        <v>1112003</v>
      </c>
      <c r="C53" s="51" t="s">
        <v>174</v>
      </c>
      <c r="D53" s="52">
        <v>2</v>
      </c>
      <c r="E53" s="52"/>
      <c r="F53" s="65">
        <f t="shared" si="0"/>
        <v>2</v>
      </c>
      <c r="G53" s="52">
        <v>3</v>
      </c>
      <c r="H53" s="52"/>
      <c r="I53" s="65">
        <f t="shared" si="1"/>
        <v>3</v>
      </c>
      <c r="J53" s="52">
        <v>1</v>
      </c>
      <c r="K53" s="52"/>
      <c r="L53" s="65">
        <f t="shared" si="2"/>
        <v>1</v>
      </c>
      <c r="M53" s="52">
        <v>64</v>
      </c>
      <c r="N53" s="52"/>
      <c r="O53" s="65">
        <f t="shared" si="3"/>
        <v>64</v>
      </c>
      <c r="P53" s="52">
        <v>14</v>
      </c>
      <c r="Q53" s="52"/>
      <c r="R53" s="65">
        <f t="shared" si="4"/>
        <v>14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84</v>
      </c>
      <c r="AA53" s="50">
        <v>69</v>
      </c>
      <c r="AB53" s="50">
        <v>33</v>
      </c>
      <c r="AC53" s="61">
        <f t="shared" si="8"/>
        <v>18</v>
      </c>
      <c r="AD53" s="50">
        <v>65</v>
      </c>
      <c r="AE53" s="67">
        <f t="shared" si="9"/>
        <v>83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7">
        <f t="shared" si="9"/>
        <v>0</v>
      </c>
    </row>
    <row r="55" spans="2:31">
      <c r="B55" s="50">
        <v>1112005</v>
      </c>
      <c r="C55" s="51" t="s">
        <v>176</v>
      </c>
      <c r="D55" s="52">
        <v>4</v>
      </c>
      <c r="E55" s="52"/>
      <c r="F55" s="65">
        <f t="shared" si="0"/>
        <v>4</v>
      </c>
      <c r="G55" s="52">
        <v>3</v>
      </c>
      <c r="H55" s="52"/>
      <c r="I55" s="65">
        <f t="shared" si="1"/>
        <v>3</v>
      </c>
      <c r="J55" s="52">
        <v>1</v>
      </c>
      <c r="K55" s="52"/>
      <c r="L55" s="65">
        <f t="shared" si="2"/>
        <v>1</v>
      </c>
      <c r="M55" s="52">
        <v>64</v>
      </c>
      <c r="N55" s="52"/>
      <c r="O55" s="65">
        <f t="shared" si="3"/>
        <v>64</v>
      </c>
      <c r="P55" s="52">
        <v>13</v>
      </c>
      <c r="Q55" s="52"/>
      <c r="R55" s="65">
        <f t="shared" si="4"/>
        <v>13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85</v>
      </c>
      <c r="AA55" s="50">
        <v>65</v>
      </c>
      <c r="AB55" s="50">
        <v>35</v>
      </c>
      <c r="AC55" s="61">
        <f t="shared" si="8"/>
        <v>15</v>
      </c>
      <c r="AD55" s="50">
        <v>65</v>
      </c>
      <c r="AE55" s="67">
        <f t="shared" si="9"/>
        <v>80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7">
        <f t="shared" si="9"/>
        <v>0</v>
      </c>
    </row>
    <row r="57" spans="2:31">
      <c r="B57" s="50">
        <v>1112009</v>
      </c>
      <c r="C57" s="51" t="s">
        <v>178</v>
      </c>
      <c r="D57" s="52"/>
      <c r="E57" s="52"/>
      <c r="F57" s="65">
        <f t="shared" si="0"/>
        <v>0</v>
      </c>
      <c r="G57" s="52">
        <v>4</v>
      </c>
      <c r="H57" s="52"/>
      <c r="I57" s="65">
        <f t="shared" si="1"/>
        <v>4</v>
      </c>
      <c r="J57" s="52">
        <v>1</v>
      </c>
      <c r="K57" s="52"/>
      <c r="L57" s="65">
        <f t="shared" si="2"/>
        <v>1</v>
      </c>
      <c r="M57" s="52">
        <v>65</v>
      </c>
      <c r="N57" s="52"/>
      <c r="O57" s="65">
        <f t="shared" si="3"/>
        <v>65</v>
      </c>
      <c r="P57" s="52">
        <v>14</v>
      </c>
      <c r="Q57" s="52"/>
      <c r="R57" s="65">
        <f t="shared" si="4"/>
        <v>14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84</v>
      </c>
      <c r="AA57" s="50">
        <v>67</v>
      </c>
      <c r="AB57" s="50">
        <v>35</v>
      </c>
      <c r="AC57" s="61">
        <f t="shared" si="8"/>
        <v>18</v>
      </c>
      <c r="AD57" s="50">
        <v>65</v>
      </c>
      <c r="AE57" s="67">
        <f t="shared" si="9"/>
        <v>83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7">
        <f t="shared" si="9"/>
        <v>0</v>
      </c>
    </row>
    <row r="59" spans="2:31">
      <c r="B59" s="50">
        <v>1112011</v>
      </c>
      <c r="C59" s="51" t="s">
        <v>180</v>
      </c>
      <c r="D59" s="52">
        <v>2</v>
      </c>
      <c r="E59" s="52"/>
      <c r="F59" s="65">
        <f t="shared" si="0"/>
        <v>2</v>
      </c>
      <c r="G59" s="52">
        <v>3</v>
      </c>
      <c r="H59" s="52"/>
      <c r="I59" s="65">
        <f t="shared" si="1"/>
        <v>3</v>
      </c>
      <c r="J59" s="52">
        <v>7</v>
      </c>
      <c r="K59" s="52"/>
      <c r="L59" s="65">
        <f t="shared" si="2"/>
        <v>7</v>
      </c>
      <c r="M59" s="52">
        <v>64</v>
      </c>
      <c r="N59" s="52"/>
      <c r="O59" s="65">
        <f t="shared" si="3"/>
        <v>64</v>
      </c>
      <c r="P59" s="52">
        <v>13</v>
      </c>
      <c r="Q59" s="52"/>
      <c r="R59" s="65">
        <f t="shared" si="4"/>
        <v>13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89</v>
      </c>
      <c r="AA59" s="50">
        <v>65</v>
      </c>
      <c r="AB59" s="50">
        <v>36</v>
      </c>
      <c r="AC59" s="61">
        <f t="shared" si="8"/>
        <v>12</v>
      </c>
      <c r="AD59" s="50">
        <v>65</v>
      </c>
      <c r="AE59" s="67">
        <f t="shared" si="9"/>
        <v>77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7">
        <f t="shared" si="9"/>
        <v>0</v>
      </c>
    </row>
    <row r="61" spans="2:31">
      <c r="B61" s="50">
        <v>1112013</v>
      </c>
      <c r="C61" s="51" t="s">
        <v>182</v>
      </c>
      <c r="D61" s="52">
        <v>4</v>
      </c>
      <c r="E61" s="52"/>
      <c r="F61" s="65">
        <f t="shared" si="0"/>
        <v>4</v>
      </c>
      <c r="G61" s="52">
        <v>3</v>
      </c>
      <c r="H61" s="52"/>
      <c r="I61" s="65">
        <f t="shared" si="1"/>
        <v>3</v>
      </c>
      <c r="J61" s="52">
        <v>1</v>
      </c>
      <c r="K61" s="52"/>
      <c r="L61" s="65">
        <f t="shared" si="2"/>
        <v>1</v>
      </c>
      <c r="M61" s="52">
        <v>64</v>
      </c>
      <c r="N61" s="52"/>
      <c r="O61" s="65">
        <f t="shared" si="3"/>
        <v>64</v>
      </c>
      <c r="P61" s="52">
        <v>13</v>
      </c>
      <c r="Q61" s="52"/>
      <c r="R61" s="65">
        <f t="shared" si="4"/>
        <v>13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85</v>
      </c>
      <c r="AA61" s="50">
        <v>65</v>
      </c>
      <c r="AB61" s="50">
        <v>37</v>
      </c>
      <c r="AC61" s="61">
        <f t="shared" si="8"/>
        <v>17</v>
      </c>
      <c r="AD61" s="50">
        <v>65</v>
      </c>
      <c r="AE61" s="67">
        <f t="shared" si="9"/>
        <v>82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7">
        <f t="shared" si="9"/>
        <v>0</v>
      </c>
    </row>
    <row r="63" spans="2:31">
      <c r="B63" s="50">
        <v>1112015</v>
      </c>
      <c r="C63" s="51" t="s">
        <v>184</v>
      </c>
      <c r="D63" s="52"/>
      <c r="E63" s="52"/>
      <c r="F63" s="65">
        <f t="shared" si="0"/>
        <v>0</v>
      </c>
      <c r="G63" s="52">
        <v>4</v>
      </c>
      <c r="H63" s="52"/>
      <c r="I63" s="65">
        <f t="shared" si="1"/>
        <v>4</v>
      </c>
      <c r="J63" s="52">
        <v>1</v>
      </c>
      <c r="K63" s="52"/>
      <c r="L63" s="65">
        <f t="shared" si="2"/>
        <v>1</v>
      </c>
      <c r="M63" s="52">
        <v>65</v>
      </c>
      <c r="N63" s="52"/>
      <c r="O63" s="65">
        <f t="shared" si="3"/>
        <v>65</v>
      </c>
      <c r="P63" s="52">
        <v>14</v>
      </c>
      <c r="Q63" s="52"/>
      <c r="R63" s="65">
        <f t="shared" si="4"/>
        <v>14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84</v>
      </c>
      <c r="AA63" s="50">
        <v>67</v>
      </c>
      <c r="AB63" s="50">
        <v>36</v>
      </c>
      <c r="AC63" s="61">
        <f t="shared" si="8"/>
        <v>19</v>
      </c>
      <c r="AD63" s="50">
        <v>65</v>
      </c>
      <c r="AE63" s="67">
        <f t="shared" si="9"/>
        <v>84</v>
      </c>
    </row>
    <row r="64" spans="2:31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7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7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7">
        <f t="shared" si="9"/>
        <v>0</v>
      </c>
    </row>
    <row r="67" spans="2:31">
      <c r="B67" s="50">
        <v>1114501</v>
      </c>
      <c r="C67" s="53" t="s">
        <v>187</v>
      </c>
      <c r="D67" s="52">
        <v>2</v>
      </c>
      <c r="E67" s="52"/>
      <c r="F67" s="65">
        <f t="shared" si="0"/>
        <v>2</v>
      </c>
      <c r="G67" s="52">
        <v>19</v>
      </c>
      <c r="H67" s="52"/>
      <c r="I67" s="65">
        <f t="shared" si="1"/>
        <v>19</v>
      </c>
      <c r="J67" s="52">
        <v>1</v>
      </c>
      <c r="K67" s="52"/>
      <c r="L67" s="65">
        <f t="shared" si="2"/>
        <v>1</v>
      </c>
      <c r="M67" s="52">
        <v>140</v>
      </c>
      <c r="N67" s="52"/>
      <c r="O67" s="65">
        <f t="shared" si="3"/>
        <v>140</v>
      </c>
      <c r="P67" s="52">
        <v>67</v>
      </c>
      <c r="Q67" s="52"/>
      <c r="R67" s="65">
        <f t="shared" si="4"/>
        <v>67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229</v>
      </c>
      <c r="AA67" s="50">
        <v>351</v>
      </c>
      <c r="AB67" s="50"/>
      <c r="AC67" s="61">
        <f t="shared" si="8"/>
        <v>122</v>
      </c>
      <c r="AD67" s="50"/>
      <c r="AE67" s="67">
        <f t="shared" si="9"/>
        <v>122</v>
      </c>
    </row>
    <row r="68" spans="2:31">
      <c r="B68" s="50">
        <v>1114502</v>
      </c>
      <c r="C68" s="53" t="s">
        <v>188</v>
      </c>
      <c r="D68" s="52">
        <v>5</v>
      </c>
      <c r="E68" s="52"/>
      <c r="F68" s="65">
        <f t="shared" si="0"/>
        <v>5</v>
      </c>
      <c r="G68" s="52">
        <v>2</v>
      </c>
      <c r="H68" s="52"/>
      <c r="I68" s="65">
        <f t="shared" si="1"/>
        <v>2</v>
      </c>
      <c r="J68" s="52">
        <v>1</v>
      </c>
      <c r="K68" s="52"/>
      <c r="L68" s="65">
        <f t="shared" si="2"/>
        <v>1</v>
      </c>
      <c r="M68" s="52">
        <v>137</v>
      </c>
      <c r="N68" s="52"/>
      <c r="O68" s="65">
        <f t="shared" si="3"/>
        <v>137</v>
      </c>
      <c r="P68" s="52">
        <v>61</v>
      </c>
      <c r="Q68" s="52"/>
      <c r="R68" s="65">
        <f t="shared" si="4"/>
        <v>61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206</v>
      </c>
      <c r="AA68" s="50">
        <v>299</v>
      </c>
      <c r="AB68" s="50"/>
      <c r="AC68" s="61">
        <f t="shared" si="8"/>
        <v>93</v>
      </c>
      <c r="AD68" s="50"/>
      <c r="AE68" s="67">
        <f t="shared" si="9"/>
        <v>93</v>
      </c>
    </row>
    <row r="69" spans="2:31">
      <c r="B69" s="50">
        <v>1114503</v>
      </c>
      <c r="C69" s="53" t="s">
        <v>189</v>
      </c>
      <c r="D69" s="52"/>
      <c r="E69" s="52"/>
      <c r="F69" s="65">
        <f t="shared" ref="F69:F99" si="10">SUM(D69:E69)</f>
        <v>0</v>
      </c>
      <c r="G69" s="52">
        <v>2</v>
      </c>
      <c r="H69" s="52"/>
      <c r="I69" s="65">
        <f t="shared" ref="I69:I99" si="11">SUM(G69:H69)</f>
        <v>2</v>
      </c>
      <c r="J69" s="52">
        <v>1</v>
      </c>
      <c r="K69" s="52"/>
      <c r="L69" s="65">
        <f t="shared" ref="L69:L99" si="12">SUM(J69:K69)</f>
        <v>1</v>
      </c>
      <c r="M69" s="52">
        <v>137</v>
      </c>
      <c r="N69" s="52"/>
      <c r="O69" s="65">
        <f t="shared" ref="O69:O99" si="13">SUM(M69:N69)</f>
        <v>137</v>
      </c>
      <c r="P69" s="52">
        <v>58</v>
      </c>
      <c r="Q69" s="52"/>
      <c r="R69" s="65">
        <f t="shared" ref="R69:R99" si="14">SUM(P69:Q69)</f>
        <v>58</v>
      </c>
      <c r="S69" s="52"/>
      <c r="T69" s="52"/>
      <c r="U69" s="65">
        <f t="shared" ref="U69:U99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99" si="17">+F69+I69+L69+O69+R69+U69+X69+Y69</f>
        <v>198</v>
      </c>
      <c r="AA69" s="50">
        <v>301</v>
      </c>
      <c r="AB69" s="50"/>
      <c r="AC69" s="61">
        <f t="shared" ref="AC69:AC99" si="18">+AA69+AB69-Z69</f>
        <v>103</v>
      </c>
      <c r="AD69" s="50"/>
      <c r="AE69" s="67">
        <f t="shared" ref="AE69:AE99" si="19">AC69+AD69</f>
        <v>103</v>
      </c>
    </row>
    <row r="70" spans="2:3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>
        <v>4</v>
      </c>
      <c r="H70" s="52"/>
      <c r="I70" s="65">
        <f t="shared" si="11"/>
        <v>4</v>
      </c>
      <c r="J70" s="52">
        <v>13</v>
      </c>
      <c r="K70" s="52"/>
      <c r="L70" s="65">
        <f t="shared" si="12"/>
        <v>13</v>
      </c>
      <c r="M70" s="52">
        <v>18</v>
      </c>
      <c r="N70" s="52"/>
      <c r="O70" s="65">
        <f t="shared" si="13"/>
        <v>18</v>
      </c>
      <c r="P70" s="52">
        <v>4</v>
      </c>
      <c r="Q70" s="52"/>
      <c r="R70" s="65">
        <f t="shared" si="14"/>
        <v>4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39</v>
      </c>
      <c r="AA70" s="50">
        <v>38</v>
      </c>
      <c r="AB70" s="50"/>
      <c r="AC70" s="61">
        <f t="shared" si="18"/>
        <v>-1</v>
      </c>
      <c r="AD70" s="50">
        <v>50</v>
      </c>
      <c r="AE70" s="67">
        <f t="shared" si="19"/>
        <v>49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7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7">
        <f t="shared" si="19"/>
        <v>0</v>
      </c>
    </row>
    <row r="73" spans="2:31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7">
        <f t="shared" si="19"/>
        <v>0</v>
      </c>
    </row>
    <row r="74" spans="2:31" hidden="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7">
        <f t="shared" si="19"/>
        <v>0</v>
      </c>
    </row>
    <row r="75" spans="2:31">
      <c r="B75" s="50">
        <v>1113170</v>
      </c>
      <c r="C75" s="53" t="s">
        <v>87</v>
      </c>
      <c r="D75" s="52">
        <v>28</v>
      </c>
      <c r="E75" s="52"/>
      <c r="F75" s="65">
        <f t="shared" si="10"/>
        <v>28</v>
      </c>
      <c r="G75" s="52"/>
      <c r="H75" s="52"/>
      <c r="I75" s="65">
        <f t="shared" si="11"/>
        <v>0</v>
      </c>
      <c r="J75" s="52">
        <v>3</v>
      </c>
      <c r="K75" s="52"/>
      <c r="L75" s="65">
        <f t="shared" si="12"/>
        <v>3</v>
      </c>
      <c r="M75" s="52"/>
      <c r="N75" s="52"/>
      <c r="O75" s="65">
        <f t="shared" si="13"/>
        <v>0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31</v>
      </c>
      <c r="AA75" s="50">
        <v>30</v>
      </c>
      <c r="AB75" s="50">
        <v>3</v>
      </c>
      <c r="AC75" s="61">
        <f t="shared" si="18"/>
        <v>2</v>
      </c>
      <c r="AD75" s="50">
        <v>50</v>
      </c>
      <c r="AE75" s="67">
        <f t="shared" si="19"/>
        <v>52</v>
      </c>
    </row>
    <row r="76" spans="2:31">
      <c r="B76" s="50">
        <v>1113171</v>
      </c>
      <c r="C76" s="53" t="s">
        <v>88</v>
      </c>
      <c r="D76" s="52">
        <v>8</v>
      </c>
      <c r="E76" s="52"/>
      <c r="F76" s="65">
        <f t="shared" si="10"/>
        <v>8</v>
      </c>
      <c r="G76" s="52"/>
      <c r="H76" s="52"/>
      <c r="I76" s="65">
        <f t="shared" si="11"/>
        <v>0</v>
      </c>
      <c r="J76" s="52">
        <v>3</v>
      </c>
      <c r="K76" s="52"/>
      <c r="L76" s="65">
        <f t="shared" si="12"/>
        <v>3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11</v>
      </c>
      <c r="AA76" s="50">
        <v>20</v>
      </c>
      <c r="AB76" s="50"/>
      <c r="AC76" s="61">
        <f t="shared" si="18"/>
        <v>9</v>
      </c>
      <c r="AD76" s="50">
        <v>50</v>
      </c>
      <c r="AE76" s="67">
        <f t="shared" si="19"/>
        <v>59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>
        <v>50</v>
      </c>
      <c r="AE77" s="67">
        <f t="shared" si="19"/>
        <v>50</v>
      </c>
    </row>
    <row r="78" spans="2:31">
      <c r="B78" s="50">
        <v>1113173</v>
      </c>
      <c r="C78" s="53" t="s">
        <v>90</v>
      </c>
      <c r="D78" s="52">
        <v>4</v>
      </c>
      <c r="E78" s="52"/>
      <c r="F78" s="65">
        <f t="shared" si="10"/>
        <v>4</v>
      </c>
      <c r="G78" s="52"/>
      <c r="H78" s="52"/>
      <c r="I78" s="65">
        <f t="shared" si="11"/>
        <v>0</v>
      </c>
      <c r="J78" s="52">
        <v>2</v>
      </c>
      <c r="K78" s="52"/>
      <c r="L78" s="65">
        <f t="shared" si="12"/>
        <v>2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6</v>
      </c>
      <c r="AA78" s="50">
        <v>10</v>
      </c>
      <c r="AB78" s="50"/>
      <c r="AC78" s="61">
        <f t="shared" si="18"/>
        <v>4</v>
      </c>
      <c r="AD78" s="50">
        <v>50</v>
      </c>
      <c r="AE78" s="67">
        <f t="shared" si="19"/>
        <v>54</v>
      </c>
    </row>
    <row r="79" spans="2:31" hidden="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7">
        <f t="shared" si="19"/>
        <v>0</v>
      </c>
    </row>
    <row r="80" spans="2:31" hidden="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7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7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1</v>
      </c>
      <c r="H82" s="52"/>
      <c r="I82" s="65">
        <f t="shared" si="11"/>
        <v>1</v>
      </c>
      <c r="J82" s="52">
        <v>3</v>
      </c>
      <c r="K82" s="52"/>
      <c r="L82" s="65">
        <f t="shared" si="12"/>
        <v>3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4</v>
      </c>
      <c r="AA82" s="50"/>
      <c r="AB82" s="50"/>
      <c r="AC82" s="61">
        <f t="shared" si="18"/>
        <v>-4</v>
      </c>
      <c r="AD82" s="50"/>
      <c r="AE82" s="67">
        <f t="shared" si="19"/>
        <v>-4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1</v>
      </c>
      <c r="H83" s="52"/>
      <c r="I83" s="65">
        <f t="shared" si="11"/>
        <v>1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1</v>
      </c>
      <c r="AA83" s="50"/>
      <c r="AB83" s="50"/>
      <c r="AC83" s="61">
        <f t="shared" si="18"/>
        <v>-1</v>
      </c>
      <c r="AD83" s="50"/>
      <c r="AE83" s="67">
        <f t="shared" si="19"/>
        <v>-1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7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7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7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7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7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7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7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7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7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7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7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7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7">
        <f t="shared" si="19"/>
        <v>0</v>
      </c>
    </row>
    <row r="97" spans="2:3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7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7">
        <f t="shared" si="19"/>
        <v>0</v>
      </c>
    </row>
    <row r="99" spans="2:3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7">
        <f t="shared" si="19"/>
        <v>0</v>
      </c>
    </row>
    <row r="100" spans="2:31">
      <c r="B100" s="50">
        <v>1004062</v>
      </c>
      <c r="C100" s="53" t="s">
        <v>238</v>
      </c>
      <c r="D100" s="52"/>
      <c r="E100" s="52"/>
      <c r="F100" s="65">
        <f t="shared" ref="F100:F108" si="21">SUM(D100:E100)</f>
        <v>0</v>
      </c>
      <c r="G100" s="52"/>
      <c r="H100" s="52"/>
      <c r="I100" s="65">
        <f t="shared" ref="I100:I108" si="22">SUM(G100:H100)</f>
        <v>0</v>
      </c>
      <c r="J100" s="52"/>
      <c r="K100" s="52"/>
      <c r="L100" s="65">
        <f t="shared" ref="L100:L108" si="23">SUM(J100:K100)</f>
        <v>0</v>
      </c>
      <c r="M100" s="52"/>
      <c r="N100" s="52"/>
      <c r="O100" s="65">
        <f t="shared" ref="O100:O108" si="24">SUM(M100:N100)</f>
        <v>0</v>
      </c>
      <c r="P100" s="52"/>
      <c r="Q100" s="52"/>
      <c r="R100" s="65">
        <f t="shared" ref="R100:R108" si="25">SUM(P100:Q100)</f>
        <v>0</v>
      </c>
      <c r="S100" s="52"/>
      <c r="T100" s="52"/>
      <c r="U100" s="65">
        <f t="shared" ref="U100:U108" si="26">SUM(S100:T100)</f>
        <v>0</v>
      </c>
      <c r="V100" s="52"/>
      <c r="W100" s="52"/>
      <c r="X100" s="65">
        <f t="shared" ref="X100:X108" si="27">SUM(V100:W100)</f>
        <v>0</v>
      </c>
      <c r="Y100" s="52"/>
      <c r="Z100" s="63">
        <f t="shared" ref="Z100:Z108" si="28">+F100+I100+L100+O100+R100+U100+X100+Y100</f>
        <v>0</v>
      </c>
      <c r="AA100" s="50"/>
      <c r="AB100" s="50"/>
      <c r="AC100" s="61">
        <f t="shared" ref="AC100:AC108" si="29">+AA100+AB100-Z100</f>
        <v>0</v>
      </c>
      <c r="AD100" s="50"/>
      <c r="AE100" s="67">
        <f t="shared" ref="AE100:AE108" si="30">AC100+AD100</f>
        <v>0</v>
      </c>
    </row>
    <row r="101" spans="2:31">
      <c r="B101" s="50">
        <v>1004051</v>
      </c>
      <c r="C101" s="53" t="s">
        <v>239</v>
      </c>
      <c r="D101" s="52"/>
      <c r="E101" s="52"/>
      <c r="F101" s="65">
        <f t="shared" si="21"/>
        <v>0</v>
      </c>
      <c r="G101" s="52"/>
      <c r="H101" s="52"/>
      <c r="I101" s="65">
        <f t="shared" si="22"/>
        <v>0</v>
      </c>
      <c r="J101" s="52"/>
      <c r="K101" s="52"/>
      <c r="L101" s="65">
        <f t="shared" si="23"/>
        <v>0</v>
      </c>
      <c r="M101" s="52"/>
      <c r="N101" s="52"/>
      <c r="O101" s="65">
        <f t="shared" si="24"/>
        <v>0</v>
      </c>
      <c r="P101" s="52"/>
      <c r="Q101" s="52"/>
      <c r="R101" s="65">
        <f t="shared" si="25"/>
        <v>0</v>
      </c>
      <c r="S101" s="52"/>
      <c r="T101" s="52"/>
      <c r="U101" s="65">
        <f t="shared" si="26"/>
        <v>0</v>
      </c>
      <c r="V101" s="52"/>
      <c r="W101" s="52"/>
      <c r="X101" s="65">
        <f t="shared" si="27"/>
        <v>0</v>
      </c>
      <c r="Y101" s="52"/>
      <c r="Z101" s="63">
        <f t="shared" si="28"/>
        <v>0</v>
      </c>
      <c r="AA101" s="50"/>
      <c r="AB101" s="50"/>
      <c r="AC101" s="61">
        <f t="shared" si="29"/>
        <v>0</v>
      </c>
      <c r="AD101" s="50"/>
      <c r="AE101" s="67">
        <f t="shared" si="30"/>
        <v>0</v>
      </c>
    </row>
    <row r="102" spans="2:31">
      <c r="B102" s="50">
        <v>1111005</v>
      </c>
      <c r="C102" s="53" t="s">
        <v>240</v>
      </c>
      <c r="D102" s="52"/>
      <c r="E102" s="52"/>
      <c r="F102" s="65">
        <f t="shared" si="21"/>
        <v>0</v>
      </c>
      <c r="G102" s="52"/>
      <c r="H102" s="52"/>
      <c r="I102" s="65">
        <f t="shared" si="22"/>
        <v>0</v>
      </c>
      <c r="J102" s="52"/>
      <c r="K102" s="52"/>
      <c r="L102" s="65">
        <f t="shared" si="23"/>
        <v>0</v>
      </c>
      <c r="M102" s="52"/>
      <c r="N102" s="52"/>
      <c r="O102" s="65">
        <f t="shared" si="24"/>
        <v>0</v>
      </c>
      <c r="P102" s="52"/>
      <c r="Q102" s="52"/>
      <c r="R102" s="65">
        <f t="shared" si="25"/>
        <v>0</v>
      </c>
      <c r="S102" s="52"/>
      <c r="T102" s="52"/>
      <c r="U102" s="65">
        <f t="shared" si="26"/>
        <v>0</v>
      </c>
      <c r="V102" s="52"/>
      <c r="W102" s="52"/>
      <c r="X102" s="65">
        <f t="shared" si="27"/>
        <v>0</v>
      </c>
      <c r="Y102" s="52"/>
      <c r="Z102" s="63">
        <f t="shared" si="28"/>
        <v>0</v>
      </c>
      <c r="AA102" s="50"/>
      <c r="AB102" s="50"/>
      <c r="AC102" s="61">
        <f t="shared" si="29"/>
        <v>0</v>
      </c>
      <c r="AD102" s="50"/>
      <c r="AE102" s="67">
        <f t="shared" si="30"/>
        <v>0</v>
      </c>
    </row>
    <row r="103" spans="2:31">
      <c r="B103" s="50">
        <v>1111006</v>
      </c>
      <c r="C103" s="53" t="s">
        <v>241</v>
      </c>
      <c r="D103" s="52"/>
      <c r="E103" s="52"/>
      <c r="F103" s="65">
        <f t="shared" si="21"/>
        <v>0</v>
      </c>
      <c r="G103" s="52"/>
      <c r="H103" s="52"/>
      <c r="I103" s="65">
        <f t="shared" si="22"/>
        <v>0</v>
      </c>
      <c r="J103" s="52"/>
      <c r="K103" s="52"/>
      <c r="L103" s="65">
        <f t="shared" si="23"/>
        <v>0</v>
      </c>
      <c r="M103" s="52"/>
      <c r="N103" s="52"/>
      <c r="O103" s="65">
        <f t="shared" si="24"/>
        <v>0</v>
      </c>
      <c r="P103" s="52"/>
      <c r="Q103" s="52"/>
      <c r="R103" s="65">
        <f t="shared" si="25"/>
        <v>0</v>
      </c>
      <c r="S103" s="52"/>
      <c r="T103" s="52"/>
      <c r="U103" s="65">
        <f t="shared" si="26"/>
        <v>0</v>
      </c>
      <c r="V103" s="52"/>
      <c r="W103" s="52"/>
      <c r="X103" s="65">
        <f t="shared" si="27"/>
        <v>0</v>
      </c>
      <c r="Y103" s="52"/>
      <c r="Z103" s="63">
        <f t="shared" si="28"/>
        <v>0</v>
      </c>
      <c r="AA103" s="50"/>
      <c r="AB103" s="50"/>
      <c r="AC103" s="61">
        <f t="shared" si="29"/>
        <v>0</v>
      </c>
      <c r="AD103" s="50"/>
      <c r="AE103" s="67">
        <f t="shared" si="30"/>
        <v>0</v>
      </c>
    </row>
    <row r="104" spans="2:31">
      <c r="B104" s="50">
        <v>1004048</v>
      </c>
      <c r="C104" s="53" t="s">
        <v>242</v>
      </c>
      <c r="D104" s="52"/>
      <c r="E104" s="52"/>
      <c r="F104" s="65">
        <f t="shared" si="21"/>
        <v>0</v>
      </c>
      <c r="G104" s="52"/>
      <c r="H104" s="52"/>
      <c r="I104" s="65">
        <f t="shared" si="22"/>
        <v>0</v>
      </c>
      <c r="J104" s="52"/>
      <c r="K104" s="52"/>
      <c r="L104" s="65">
        <f t="shared" si="23"/>
        <v>0</v>
      </c>
      <c r="M104" s="52"/>
      <c r="N104" s="52"/>
      <c r="O104" s="65">
        <f t="shared" si="24"/>
        <v>0</v>
      </c>
      <c r="P104" s="52"/>
      <c r="Q104" s="52"/>
      <c r="R104" s="65">
        <f t="shared" si="25"/>
        <v>0</v>
      </c>
      <c r="S104" s="52"/>
      <c r="T104" s="52"/>
      <c r="U104" s="65">
        <f t="shared" si="26"/>
        <v>0</v>
      </c>
      <c r="V104" s="52"/>
      <c r="W104" s="52"/>
      <c r="X104" s="65">
        <f t="shared" si="27"/>
        <v>0</v>
      </c>
      <c r="Y104" s="52"/>
      <c r="Z104" s="63">
        <f t="shared" si="28"/>
        <v>0</v>
      </c>
      <c r="AA104" s="50"/>
      <c r="AB104" s="50"/>
      <c r="AC104" s="61">
        <f t="shared" si="29"/>
        <v>0</v>
      </c>
      <c r="AD104" s="50"/>
      <c r="AE104" s="67">
        <f t="shared" si="30"/>
        <v>0</v>
      </c>
    </row>
    <row r="105" spans="2:31">
      <c r="B105" s="50">
        <v>1113157</v>
      </c>
      <c r="C105" s="53" t="s">
        <v>243</v>
      </c>
      <c r="D105" s="52"/>
      <c r="E105" s="52"/>
      <c r="F105" s="65">
        <f t="shared" si="21"/>
        <v>0</v>
      </c>
      <c r="G105" s="52"/>
      <c r="H105" s="52"/>
      <c r="I105" s="65">
        <f t="shared" si="22"/>
        <v>0</v>
      </c>
      <c r="J105" s="52"/>
      <c r="K105" s="52"/>
      <c r="L105" s="65">
        <f t="shared" si="23"/>
        <v>0</v>
      </c>
      <c r="M105" s="52"/>
      <c r="N105" s="52"/>
      <c r="O105" s="65">
        <f t="shared" si="24"/>
        <v>0</v>
      </c>
      <c r="P105" s="52"/>
      <c r="Q105" s="52"/>
      <c r="R105" s="65">
        <f t="shared" si="25"/>
        <v>0</v>
      </c>
      <c r="S105" s="52"/>
      <c r="T105" s="52"/>
      <c r="U105" s="65">
        <f t="shared" si="26"/>
        <v>0</v>
      </c>
      <c r="V105" s="52"/>
      <c r="W105" s="52"/>
      <c r="X105" s="65">
        <f t="shared" si="27"/>
        <v>0</v>
      </c>
      <c r="Y105" s="52"/>
      <c r="Z105" s="63">
        <f t="shared" si="28"/>
        <v>0</v>
      </c>
      <c r="AA105" s="50"/>
      <c r="AB105" s="50"/>
      <c r="AC105" s="61">
        <f t="shared" si="29"/>
        <v>0</v>
      </c>
      <c r="AD105" s="50"/>
      <c r="AE105" s="67">
        <f t="shared" si="30"/>
        <v>0</v>
      </c>
    </row>
    <row r="106" spans="2:31">
      <c r="B106" s="50">
        <v>1004080</v>
      </c>
      <c r="C106" s="53" t="s">
        <v>244</v>
      </c>
      <c r="D106" s="52"/>
      <c r="E106" s="52"/>
      <c r="F106" s="65">
        <f t="shared" si="21"/>
        <v>0</v>
      </c>
      <c r="G106" s="52"/>
      <c r="H106" s="52"/>
      <c r="I106" s="65">
        <f t="shared" si="22"/>
        <v>0</v>
      </c>
      <c r="J106" s="52"/>
      <c r="K106" s="52"/>
      <c r="L106" s="65">
        <f t="shared" si="23"/>
        <v>0</v>
      </c>
      <c r="M106" s="52"/>
      <c r="N106" s="52"/>
      <c r="O106" s="65">
        <f t="shared" si="24"/>
        <v>0</v>
      </c>
      <c r="P106" s="52"/>
      <c r="Q106" s="52"/>
      <c r="R106" s="65">
        <f t="shared" si="25"/>
        <v>0</v>
      </c>
      <c r="S106" s="52"/>
      <c r="T106" s="52"/>
      <c r="U106" s="65">
        <f t="shared" si="26"/>
        <v>0</v>
      </c>
      <c r="V106" s="52"/>
      <c r="W106" s="52"/>
      <c r="X106" s="65">
        <f t="shared" si="27"/>
        <v>0</v>
      </c>
      <c r="Y106" s="52"/>
      <c r="Z106" s="63">
        <f t="shared" si="28"/>
        <v>0</v>
      </c>
      <c r="AA106" s="50"/>
      <c r="AB106" s="50"/>
      <c r="AC106" s="61">
        <f t="shared" si="29"/>
        <v>0</v>
      </c>
      <c r="AD106" s="50"/>
      <c r="AE106" s="67">
        <f t="shared" si="30"/>
        <v>0</v>
      </c>
    </row>
    <row r="107" spans="2:31">
      <c r="B107" s="50">
        <v>1004081</v>
      </c>
      <c r="C107" s="53" t="s">
        <v>245</v>
      </c>
      <c r="D107" s="52"/>
      <c r="E107" s="52"/>
      <c r="F107" s="65">
        <f t="shared" si="21"/>
        <v>0</v>
      </c>
      <c r="G107" s="52"/>
      <c r="H107" s="52"/>
      <c r="I107" s="65">
        <f t="shared" si="22"/>
        <v>0</v>
      </c>
      <c r="J107" s="52"/>
      <c r="K107" s="52"/>
      <c r="L107" s="65">
        <f t="shared" si="23"/>
        <v>0</v>
      </c>
      <c r="M107" s="52"/>
      <c r="N107" s="52"/>
      <c r="O107" s="65">
        <f t="shared" si="24"/>
        <v>0</v>
      </c>
      <c r="P107" s="52"/>
      <c r="Q107" s="52"/>
      <c r="R107" s="65">
        <f t="shared" si="25"/>
        <v>0</v>
      </c>
      <c r="S107" s="52"/>
      <c r="T107" s="52"/>
      <c r="U107" s="65">
        <f t="shared" si="26"/>
        <v>0</v>
      </c>
      <c r="V107" s="52"/>
      <c r="W107" s="52"/>
      <c r="X107" s="65">
        <f t="shared" si="27"/>
        <v>0</v>
      </c>
      <c r="Y107" s="52"/>
      <c r="Z107" s="63">
        <f t="shared" si="28"/>
        <v>0</v>
      </c>
      <c r="AA107" s="50"/>
      <c r="AB107" s="50"/>
      <c r="AC107" s="61">
        <f t="shared" si="29"/>
        <v>0</v>
      </c>
      <c r="AD107" s="50"/>
      <c r="AE107" s="67">
        <f t="shared" si="30"/>
        <v>0</v>
      </c>
    </row>
    <row r="108" spans="2:31">
      <c r="B108" s="50">
        <v>3001200</v>
      </c>
      <c r="C108" s="53" t="s">
        <v>246</v>
      </c>
      <c r="D108" s="52"/>
      <c r="E108" s="52"/>
      <c r="F108" s="65">
        <f t="shared" si="21"/>
        <v>0</v>
      </c>
      <c r="G108" s="52"/>
      <c r="H108" s="52"/>
      <c r="I108" s="65">
        <f t="shared" si="22"/>
        <v>0</v>
      </c>
      <c r="J108" s="52"/>
      <c r="K108" s="52"/>
      <c r="L108" s="65">
        <f t="shared" si="23"/>
        <v>0</v>
      </c>
      <c r="M108" s="52"/>
      <c r="N108" s="52"/>
      <c r="O108" s="65">
        <f t="shared" si="24"/>
        <v>0</v>
      </c>
      <c r="P108" s="52"/>
      <c r="Q108" s="52"/>
      <c r="R108" s="65">
        <f t="shared" si="25"/>
        <v>0</v>
      </c>
      <c r="S108" s="52"/>
      <c r="T108" s="52"/>
      <c r="U108" s="65">
        <f t="shared" si="26"/>
        <v>0</v>
      </c>
      <c r="V108" s="52"/>
      <c r="W108" s="52"/>
      <c r="X108" s="65">
        <f t="shared" si="27"/>
        <v>0</v>
      </c>
      <c r="Y108" s="52"/>
      <c r="Z108" s="63">
        <f t="shared" si="28"/>
        <v>0</v>
      </c>
      <c r="AA108" s="50"/>
      <c r="AB108" s="50"/>
      <c r="AC108" s="61">
        <f t="shared" si="29"/>
        <v>0</v>
      </c>
      <c r="AD108" s="50"/>
      <c r="AE108" s="67">
        <f t="shared" si="30"/>
        <v>0</v>
      </c>
    </row>
    <row r="109" spans="2:31">
      <c r="B109" s="50">
        <v>1004047</v>
      </c>
      <c r="C109" s="53" t="s">
        <v>247</v>
      </c>
      <c r="D109" s="52"/>
      <c r="E109" s="52"/>
      <c r="F109" s="65">
        <f t="shared" ref="F109:F124" si="31">SUM(D109:E109)</f>
        <v>0</v>
      </c>
      <c r="G109" s="52"/>
      <c r="H109" s="52"/>
      <c r="I109" s="65">
        <f t="shared" ref="I109:I124" si="32">SUM(G109:H109)</f>
        <v>0</v>
      </c>
      <c r="J109" s="52"/>
      <c r="K109" s="52"/>
      <c r="L109" s="65">
        <f t="shared" ref="L109:L124" si="33">SUM(J109:K109)</f>
        <v>0</v>
      </c>
      <c r="M109" s="52"/>
      <c r="N109" s="52"/>
      <c r="O109" s="65">
        <f t="shared" ref="O109:O124" si="34">SUM(M109:N109)</f>
        <v>0</v>
      </c>
      <c r="P109" s="52"/>
      <c r="Q109" s="52"/>
      <c r="R109" s="65">
        <f t="shared" ref="R109:R124" si="35">SUM(P109:Q109)</f>
        <v>0</v>
      </c>
      <c r="S109" s="52"/>
      <c r="T109" s="52"/>
      <c r="U109" s="65">
        <f t="shared" ref="U109:U124" si="36">SUM(S109:T109)</f>
        <v>0</v>
      </c>
      <c r="V109" s="52"/>
      <c r="W109" s="52"/>
      <c r="X109" s="65">
        <f t="shared" ref="X109:X124" si="37">SUM(V109:W109)</f>
        <v>0</v>
      </c>
      <c r="Y109" s="52"/>
      <c r="Z109" s="63">
        <f t="shared" ref="Z109:Z124" si="38">+F109+I109+L109+O109+R109+U109+X109+Y109</f>
        <v>0</v>
      </c>
      <c r="AA109" s="50"/>
      <c r="AB109" s="50"/>
      <c r="AC109" s="61">
        <f t="shared" ref="AC109:AC124" si="39">+AA109+AB109-Z109</f>
        <v>0</v>
      </c>
      <c r="AD109" s="50"/>
      <c r="AE109" s="67">
        <f t="shared" ref="AE109:AE124" si="40">AC109+AD109</f>
        <v>0</v>
      </c>
    </row>
    <row r="110" spans="2:31">
      <c r="B110" s="50">
        <v>1004070</v>
      </c>
      <c r="C110" s="53" t="s">
        <v>248</v>
      </c>
      <c r="D110" s="52"/>
      <c r="E110" s="52"/>
      <c r="F110" s="65">
        <f t="shared" si="31"/>
        <v>0</v>
      </c>
      <c r="G110" s="52"/>
      <c r="H110" s="52"/>
      <c r="I110" s="65">
        <f t="shared" si="32"/>
        <v>0</v>
      </c>
      <c r="J110" s="52"/>
      <c r="K110" s="52"/>
      <c r="L110" s="65">
        <f t="shared" si="33"/>
        <v>0</v>
      </c>
      <c r="M110" s="52"/>
      <c r="N110" s="52"/>
      <c r="O110" s="65">
        <f t="shared" si="34"/>
        <v>0</v>
      </c>
      <c r="P110" s="52"/>
      <c r="Q110" s="52"/>
      <c r="R110" s="65">
        <f t="shared" si="35"/>
        <v>0</v>
      </c>
      <c r="S110" s="52"/>
      <c r="T110" s="52"/>
      <c r="U110" s="65">
        <f t="shared" si="36"/>
        <v>0</v>
      </c>
      <c r="V110" s="52"/>
      <c r="W110" s="52"/>
      <c r="X110" s="65">
        <f t="shared" si="37"/>
        <v>0</v>
      </c>
      <c r="Y110" s="52"/>
      <c r="Z110" s="63">
        <f t="shared" si="38"/>
        <v>0</v>
      </c>
      <c r="AA110" s="50"/>
      <c r="AB110" s="50"/>
      <c r="AC110" s="61">
        <f t="shared" si="39"/>
        <v>0</v>
      </c>
      <c r="AD110" s="50"/>
      <c r="AE110" s="67">
        <f t="shared" si="40"/>
        <v>0</v>
      </c>
    </row>
    <row r="111" spans="2:31">
      <c r="B111" s="50">
        <v>1004076</v>
      </c>
      <c r="C111" s="53" t="s">
        <v>249</v>
      </c>
      <c r="D111" s="52"/>
      <c r="E111" s="52"/>
      <c r="F111" s="65">
        <f t="shared" si="31"/>
        <v>0</v>
      </c>
      <c r="G111" s="52"/>
      <c r="H111" s="52"/>
      <c r="I111" s="65">
        <f t="shared" si="32"/>
        <v>0</v>
      </c>
      <c r="J111" s="52"/>
      <c r="K111" s="52"/>
      <c r="L111" s="65">
        <f t="shared" si="33"/>
        <v>0</v>
      </c>
      <c r="M111" s="52"/>
      <c r="N111" s="52"/>
      <c r="O111" s="65">
        <f t="shared" si="34"/>
        <v>0</v>
      </c>
      <c r="P111" s="52"/>
      <c r="Q111" s="52"/>
      <c r="R111" s="65">
        <f t="shared" si="35"/>
        <v>0</v>
      </c>
      <c r="S111" s="52"/>
      <c r="T111" s="52"/>
      <c r="U111" s="65">
        <f t="shared" si="36"/>
        <v>0</v>
      </c>
      <c r="V111" s="52"/>
      <c r="W111" s="52"/>
      <c r="X111" s="65">
        <f t="shared" si="37"/>
        <v>0</v>
      </c>
      <c r="Y111" s="52"/>
      <c r="Z111" s="63">
        <f t="shared" si="38"/>
        <v>0</v>
      </c>
      <c r="AA111" s="50"/>
      <c r="AB111" s="50"/>
      <c r="AC111" s="61">
        <f t="shared" si="39"/>
        <v>0</v>
      </c>
      <c r="AD111" s="50"/>
      <c r="AE111" s="67">
        <f t="shared" si="40"/>
        <v>0</v>
      </c>
    </row>
    <row r="112" spans="2:31">
      <c r="B112" s="50">
        <v>1004050</v>
      </c>
      <c r="C112" s="53" t="s">
        <v>250</v>
      </c>
      <c r="D112" s="52"/>
      <c r="E112" s="52"/>
      <c r="F112" s="65">
        <f t="shared" si="31"/>
        <v>0</v>
      </c>
      <c r="G112" s="52"/>
      <c r="H112" s="52"/>
      <c r="I112" s="65">
        <f t="shared" si="32"/>
        <v>0</v>
      </c>
      <c r="J112" s="52"/>
      <c r="K112" s="52"/>
      <c r="L112" s="65">
        <f t="shared" si="33"/>
        <v>0</v>
      </c>
      <c r="M112" s="52"/>
      <c r="N112" s="52"/>
      <c r="O112" s="65">
        <f t="shared" si="34"/>
        <v>0</v>
      </c>
      <c r="P112" s="52"/>
      <c r="Q112" s="52"/>
      <c r="R112" s="65">
        <f t="shared" si="35"/>
        <v>0</v>
      </c>
      <c r="S112" s="52"/>
      <c r="T112" s="52"/>
      <c r="U112" s="65">
        <f t="shared" si="36"/>
        <v>0</v>
      </c>
      <c r="V112" s="52"/>
      <c r="W112" s="52"/>
      <c r="X112" s="65">
        <f t="shared" si="37"/>
        <v>0</v>
      </c>
      <c r="Y112" s="52"/>
      <c r="Z112" s="63">
        <f t="shared" si="38"/>
        <v>0</v>
      </c>
      <c r="AA112" s="50"/>
      <c r="AB112" s="50"/>
      <c r="AC112" s="61">
        <f t="shared" si="39"/>
        <v>0</v>
      </c>
      <c r="AD112" s="50"/>
      <c r="AE112" s="67">
        <f t="shared" si="40"/>
        <v>0</v>
      </c>
    </row>
    <row r="113" spans="2:31">
      <c r="B113" s="50">
        <v>1004048</v>
      </c>
      <c r="C113" s="53" t="s">
        <v>251</v>
      </c>
      <c r="D113" s="52"/>
      <c r="E113" s="52"/>
      <c r="F113" s="65">
        <f t="shared" si="31"/>
        <v>0</v>
      </c>
      <c r="G113" s="52"/>
      <c r="H113" s="52"/>
      <c r="I113" s="65">
        <f t="shared" si="32"/>
        <v>0</v>
      </c>
      <c r="J113" s="52"/>
      <c r="K113" s="52"/>
      <c r="L113" s="65">
        <f t="shared" si="33"/>
        <v>0</v>
      </c>
      <c r="M113" s="52"/>
      <c r="N113" s="52"/>
      <c r="O113" s="65">
        <f t="shared" si="34"/>
        <v>0</v>
      </c>
      <c r="P113" s="52"/>
      <c r="Q113" s="52"/>
      <c r="R113" s="65">
        <f t="shared" si="35"/>
        <v>0</v>
      </c>
      <c r="S113" s="52"/>
      <c r="T113" s="52"/>
      <c r="U113" s="65">
        <f t="shared" si="36"/>
        <v>0</v>
      </c>
      <c r="V113" s="52"/>
      <c r="W113" s="52"/>
      <c r="X113" s="65">
        <f t="shared" si="37"/>
        <v>0</v>
      </c>
      <c r="Y113" s="52"/>
      <c r="Z113" s="63">
        <f t="shared" si="38"/>
        <v>0</v>
      </c>
      <c r="AA113" s="50"/>
      <c r="AB113" s="50"/>
      <c r="AC113" s="61">
        <f t="shared" si="39"/>
        <v>0</v>
      </c>
      <c r="AD113" s="50"/>
      <c r="AE113" s="67">
        <f t="shared" si="40"/>
        <v>0</v>
      </c>
    </row>
    <row r="114" spans="2:31" ht="39.75" hidden="1" customHeight="1">
      <c r="B114" s="50"/>
      <c r="C114" s="53"/>
      <c r="D114" s="52"/>
      <c r="E114" s="52"/>
      <c r="F114" s="65">
        <f t="shared" si="31"/>
        <v>0</v>
      </c>
      <c r="G114" s="52"/>
      <c r="H114" s="52"/>
      <c r="I114" s="65">
        <f t="shared" si="32"/>
        <v>0</v>
      </c>
      <c r="J114" s="52"/>
      <c r="K114" s="52"/>
      <c r="L114" s="65">
        <f t="shared" si="33"/>
        <v>0</v>
      </c>
      <c r="M114" s="52"/>
      <c r="N114" s="52"/>
      <c r="O114" s="65">
        <f t="shared" si="34"/>
        <v>0</v>
      </c>
      <c r="P114" s="52"/>
      <c r="Q114" s="52"/>
      <c r="R114" s="65">
        <f t="shared" si="35"/>
        <v>0</v>
      </c>
      <c r="S114" s="52"/>
      <c r="T114" s="52"/>
      <c r="U114" s="65">
        <f t="shared" si="36"/>
        <v>0</v>
      </c>
      <c r="V114" s="52"/>
      <c r="W114" s="52"/>
      <c r="X114" s="65">
        <f t="shared" si="37"/>
        <v>0</v>
      </c>
      <c r="Y114" s="52"/>
      <c r="Z114" s="63">
        <f t="shared" si="38"/>
        <v>0</v>
      </c>
      <c r="AA114" s="50"/>
      <c r="AB114" s="50"/>
      <c r="AC114" s="61">
        <f t="shared" si="39"/>
        <v>0</v>
      </c>
      <c r="AD114" s="50"/>
      <c r="AE114" s="67">
        <f t="shared" si="40"/>
        <v>0</v>
      </c>
    </row>
    <row r="115" spans="2:31" ht="39.75" hidden="1" customHeight="1">
      <c r="B115" s="50"/>
      <c r="C115" s="53"/>
      <c r="D115" s="52"/>
      <c r="E115" s="52"/>
      <c r="F115" s="65">
        <f t="shared" si="31"/>
        <v>0</v>
      </c>
      <c r="G115" s="52"/>
      <c r="H115" s="52"/>
      <c r="I115" s="65">
        <f t="shared" si="32"/>
        <v>0</v>
      </c>
      <c r="J115" s="52"/>
      <c r="K115" s="52"/>
      <c r="L115" s="65">
        <f t="shared" si="33"/>
        <v>0</v>
      </c>
      <c r="M115" s="52"/>
      <c r="N115" s="52"/>
      <c r="O115" s="65">
        <f t="shared" si="34"/>
        <v>0</v>
      </c>
      <c r="P115" s="52"/>
      <c r="Q115" s="52"/>
      <c r="R115" s="65">
        <f t="shared" si="35"/>
        <v>0</v>
      </c>
      <c r="S115" s="52"/>
      <c r="T115" s="52"/>
      <c r="U115" s="65">
        <f t="shared" si="36"/>
        <v>0</v>
      </c>
      <c r="V115" s="52"/>
      <c r="W115" s="52"/>
      <c r="X115" s="65">
        <f t="shared" si="37"/>
        <v>0</v>
      </c>
      <c r="Y115" s="52"/>
      <c r="Z115" s="63">
        <f t="shared" si="38"/>
        <v>0</v>
      </c>
      <c r="AA115" s="50"/>
      <c r="AB115" s="50"/>
      <c r="AC115" s="61">
        <f t="shared" si="39"/>
        <v>0</v>
      </c>
      <c r="AD115" s="50"/>
      <c r="AE115" s="67">
        <f t="shared" si="40"/>
        <v>0</v>
      </c>
    </row>
    <row r="116" spans="2:31" ht="39.75" hidden="1" customHeight="1">
      <c r="B116" s="50"/>
      <c r="C116" s="53"/>
      <c r="D116" s="52"/>
      <c r="E116" s="52"/>
      <c r="F116" s="65">
        <f t="shared" si="31"/>
        <v>0</v>
      </c>
      <c r="G116" s="52"/>
      <c r="H116" s="52"/>
      <c r="I116" s="65">
        <f t="shared" si="32"/>
        <v>0</v>
      </c>
      <c r="J116" s="52"/>
      <c r="K116" s="52"/>
      <c r="L116" s="65">
        <f t="shared" si="33"/>
        <v>0</v>
      </c>
      <c r="M116" s="52"/>
      <c r="N116" s="52"/>
      <c r="O116" s="65">
        <f t="shared" si="34"/>
        <v>0</v>
      </c>
      <c r="P116" s="52"/>
      <c r="Q116" s="52"/>
      <c r="R116" s="65">
        <f t="shared" si="35"/>
        <v>0</v>
      </c>
      <c r="S116" s="52"/>
      <c r="T116" s="52"/>
      <c r="U116" s="65">
        <f t="shared" si="36"/>
        <v>0</v>
      </c>
      <c r="V116" s="52"/>
      <c r="W116" s="52"/>
      <c r="X116" s="65">
        <f t="shared" si="37"/>
        <v>0</v>
      </c>
      <c r="Y116" s="52"/>
      <c r="Z116" s="63">
        <f t="shared" si="38"/>
        <v>0</v>
      </c>
      <c r="AA116" s="50"/>
      <c r="AB116" s="50"/>
      <c r="AC116" s="61">
        <f t="shared" si="39"/>
        <v>0</v>
      </c>
      <c r="AD116" s="50"/>
      <c r="AE116" s="67">
        <f t="shared" si="40"/>
        <v>0</v>
      </c>
    </row>
    <row r="117" spans="2:31" ht="39.75" hidden="1" customHeight="1">
      <c r="B117" s="50"/>
      <c r="C117" s="53"/>
      <c r="D117" s="52"/>
      <c r="E117" s="52"/>
      <c r="F117" s="65">
        <f t="shared" si="31"/>
        <v>0</v>
      </c>
      <c r="G117" s="52"/>
      <c r="H117" s="52"/>
      <c r="I117" s="65">
        <f t="shared" si="32"/>
        <v>0</v>
      </c>
      <c r="J117" s="52"/>
      <c r="K117" s="52"/>
      <c r="L117" s="65">
        <f t="shared" si="33"/>
        <v>0</v>
      </c>
      <c r="M117" s="52"/>
      <c r="N117" s="52"/>
      <c r="O117" s="65">
        <f t="shared" si="34"/>
        <v>0</v>
      </c>
      <c r="P117" s="52"/>
      <c r="Q117" s="52"/>
      <c r="R117" s="65">
        <f t="shared" si="35"/>
        <v>0</v>
      </c>
      <c r="S117" s="52"/>
      <c r="T117" s="52"/>
      <c r="U117" s="65">
        <f t="shared" si="36"/>
        <v>0</v>
      </c>
      <c r="V117" s="52"/>
      <c r="W117" s="52"/>
      <c r="X117" s="65">
        <f t="shared" si="37"/>
        <v>0</v>
      </c>
      <c r="Y117" s="52"/>
      <c r="Z117" s="63">
        <f t="shared" si="38"/>
        <v>0</v>
      </c>
      <c r="AA117" s="50"/>
      <c r="AB117" s="50"/>
      <c r="AC117" s="61">
        <f t="shared" si="39"/>
        <v>0</v>
      </c>
      <c r="AD117" s="50"/>
      <c r="AE117" s="67">
        <f t="shared" si="40"/>
        <v>0</v>
      </c>
    </row>
    <row r="118" spans="2:31" ht="39.75" hidden="1" customHeight="1">
      <c r="B118" s="50"/>
      <c r="C118" s="53"/>
      <c r="D118" s="52"/>
      <c r="E118" s="52"/>
      <c r="F118" s="65">
        <f t="shared" si="31"/>
        <v>0</v>
      </c>
      <c r="G118" s="52"/>
      <c r="H118" s="52"/>
      <c r="I118" s="65">
        <f t="shared" si="32"/>
        <v>0</v>
      </c>
      <c r="J118" s="52"/>
      <c r="K118" s="52"/>
      <c r="L118" s="65">
        <f t="shared" si="33"/>
        <v>0</v>
      </c>
      <c r="M118" s="52"/>
      <c r="N118" s="52"/>
      <c r="O118" s="65">
        <f t="shared" si="34"/>
        <v>0</v>
      </c>
      <c r="P118" s="52"/>
      <c r="Q118" s="52"/>
      <c r="R118" s="65">
        <f t="shared" si="35"/>
        <v>0</v>
      </c>
      <c r="S118" s="52"/>
      <c r="T118" s="52"/>
      <c r="U118" s="65">
        <f t="shared" si="36"/>
        <v>0</v>
      </c>
      <c r="V118" s="52"/>
      <c r="W118" s="52"/>
      <c r="X118" s="65">
        <f t="shared" si="37"/>
        <v>0</v>
      </c>
      <c r="Y118" s="52"/>
      <c r="Z118" s="63">
        <f t="shared" si="38"/>
        <v>0</v>
      </c>
      <c r="AA118" s="50"/>
      <c r="AB118" s="50"/>
      <c r="AC118" s="61">
        <f t="shared" si="39"/>
        <v>0</v>
      </c>
      <c r="AD118" s="50"/>
      <c r="AE118" s="67">
        <f t="shared" si="40"/>
        <v>0</v>
      </c>
    </row>
    <row r="119" spans="2:31" ht="39.75" hidden="1" customHeight="1">
      <c r="B119" s="50"/>
      <c r="C119" s="53"/>
      <c r="D119" s="52"/>
      <c r="E119" s="52"/>
      <c r="F119" s="65">
        <f t="shared" si="31"/>
        <v>0</v>
      </c>
      <c r="G119" s="52"/>
      <c r="H119" s="52"/>
      <c r="I119" s="65">
        <f t="shared" si="32"/>
        <v>0</v>
      </c>
      <c r="J119" s="52"/>
      <c r="K119" s="52"/>
      <c r="L119" s="65">
        <f t="shared" si="33"/>
        <v>0</v>
      </c>
      <c r="M119" s="52"/>
      <c r="N119" s="52"/>
      <c r="O119" s="65">
        <f t="shared" si="34"/>
        <v>0</v>
      </c>
      <c r="P119" s="52"/>
      <c r="Q119" s="52"/>
      <c r="R119" s="65">
        <f t="shared" si="35"/>
        <v>0</v>
      </c>
      <c r="S119" s="52"/>
      <c r="T119" s="52"/>
      <c r="U119" s="65">
        <f t="shared" si="36"/>
        <v>0</v>
      </c>
      <c r="V119" s="52"/>
      <c r="W119" s="52"/>
      <c r="X119" s="65">
        <f t="shared" si="37"/>
        <v>0</v>
      </c>
      <c r="Y119" s="52"/>
      <c r="Z119" s="63">
        <f t="shared" si="38"/>
        <v>0</v>
      </c>
      <c r="AA119" s="50"/>
      <c r="AB119" s="50"/>
      <c r="AC119" s="61">
        <f t="shared" si="39"/>
        <v>0</v>
      </c>
      <c r="AD119" s="50"/>
      <c r="AE119" s="67">
        <f t="shared" si="40"/>
        <v>0</v>
      </c>
    </row>
    <row r="120" spans="2:31" ht="39.75" hidden="1" customHeight="1">
      <c r="B120" s="50"/>
      <c r="C120" s="53"/>
      <c r="D120" s="52"/>
      <c r="E120" s="52"/>
      <c r="F120" s="65">
        <f t="shared" si="31"/>
        <v>0</v>
      </c>
      <c r="G120" s="52"/>
      <c r="H120" s="52"/>
      <c r="I120" s="65">
        <f t="shared" si="32"/>
        <v>0</v>
      </c>
      <c r="J120" s="52"/>
      <c r="K120" s="52"/>
      <c r="L120" s="65">
        <f t="shared" si="33"/>
        <v>0</v>
      </c>
      <c r="M120" s="52"/>
      <c r="N120" s="52"/>
      <c r="O120" s="65">
        <f t="shared" si="34"/>
        <v>0</v>
      </c>
      <c r="P120" s="52"/>
      <c r="Q120" s="52"/>
      <c r="R120" s="65">
        <f t="shared" si="35"/>
        <v>0</v>
      </c>
      <c r="S120" s="52"/>
      <c r="T120" s="52"/>
      <c r="U120" s="65">
        <f t="shared" si="36"/>
        <v>0</v>
      </c>
      <c r="V120" s="52"/>
      <c r="W120" s="52"/>
      <c r="X120" s="65">
        <f t="shared" si="37"/>
        <v>0</v>
      </c>
      <c r="Y120" s="52"/>
      <c r="Z120" s="63">
        <f t="shared" si="38"/>
        <v>0</v>
      </c>
      <c r="AA120" s="50"/>
      <c r="AB120" s="50"/>
      <c r="AC120" s="61">
        <f t="shared" si="39"/>
        <v>0</v>
      </c>
      <c r="AD120" s="50"/>
      <c r="AE120" s="67">
        <f t="shared" si="40"/>
        <v>0</v>
      </c>
    </row>
    <row r="121" spans="2:31" ht="39.75" hidden="1" customHeight="1">
      <c r="B121" s="50"/>
      <c r="C121" s="53"/>
      <c r="D121" s="52"/>
      <c r="E121" s="52"/>
      <c r="F121" s="65">
        <f t="shared" si="31"/>
        <v>0</v>
      </c>
      <c r="G121" s="52"/>
      <c r="H121" s="52"/>
      <c r="I121" s="65">
        <f t="shared" si="32"/>
        <v>0</v>
      </c>
      <c r="J121" s="52"/>
      <c r="K121" s="52"/>
      <c r="L121" s="65">
        <f t="shared" si="33"/>
        <v>0</v>
      </c>
      <c r="M121" s="52"/>
      <c r="N121" s="52"/>
      <c r="O121" s="65">
        <f t="shared" si="34"/>
        <v>0</v>
      </c>
      <c r="P121" s="52"/>
      <c r="Q121" s="52"/>
      <c r="R121" s="65">
        <f t="shared" si="35"/>
        <v>0</v>
      </c>
      <c r="S121" s="52"/>
      <c r="T121" s="52"/>
      <c r="U121" s="65">
        <f t="shared" si="36"/>
        <v>0</v>
      </c>
      <c r="V121" s="52"/>
      <c r="W121" s="52"/>
      <c r="X121" s="65">
        <f t="shared" si="37"/>
        <v>0</v>
      </c>
      <c r="Y121" s="52"/>
      <c r="Z121" s="63">
        <f t="shared" si="38"/>
        <v>0</v>
      </c>
      <c r="AA121" s="50"/>
      <c r="AB121" s="50"/>
      <c r="AC121" s="61">
        <f t="shared" si="39"/>
        <v>0</v>
      </c>
      <c r="AD121" s="50"/>
      <c r="AE121" s="67">
        <f t="shared" si="40"/>
        <v>0</v>
      </c>
    </row>
    <row r="122" spans="2:31" ht="39.75" hidden="1" customHeight="1">
      <c r="B122" s="50"/>
      <c r="C122" s="53"/>
      <c r="D122" s="52"/>
      <c r="E122" s="52"/>
      <c r="F122" s="65">
        <f t="shared" si="31"/>
        <v>0</v>
      </c>
      <c r="G122" s="52"/>
      <c r="H122" s="52"/>
      <c r="I122" s="65">
        <f t="shared" si="32"/>
        <v>0</v>
      </c>
      <c r="J122" s="52"/>
      <c r="K122" s="52"/>
      <c r="L122" s="65">
        <f t="shared" si="33"/>
        <v>0</v>
      </c>
      <c r="M122" s="52"/>
      <c r="N122" s="52"/>
      <c r="O122" s="65">
        <f t="shared" si="34"/>
        <v>0</v>
      </c>
      <c r="P122" s="52"/>
      <c r="Q122" s="52"/>
      <c r="R122" s="65">
        <f t="shared" si="35"/>
        <v>0</v>
      </c>
      <c r="S122" s="52"/>
      <c r="T122" s="52"/>
      <c r="U122" s="65">
        <f t="shared" si="36"/>
        <v>0</v>
      </c>
      <c r="V122" s="52"/>
      <c r="W122" s="52"/>
      <c r="X122" s="65">
        <f t="shared" si="37"/>
        <v>0</v>
      </c>
      <c r="Y122" s="52"/>
      <c r="Z122" s="63">
        <f t="shared" si="38"/>
        <v>0</v>
      </c>
      <c r="AA122" s="50"/>
      <c r="AB122" s="50"/>
      <c r="AC122" s="61">
        <f t="shared" si="39"/>
        <v>0</v>
      </c>
      <c r="AD122" s="50"/>
      <c r="AE122" s="67">
        <f t="shared" si="40"/>
        <v>0</v>
      </c>
    </row>
    <row r="123" spans="2:31" ht="39.75" hidden="1" customHeight="1">
      <c r="B123" s="50"/>
      <c r="C123" s="53"/>
      <c r="D123" s="52"/>
      <c r="E123" s="52"/>
      <c r="F123" s="65">
        <f t="shared" si="31"/>
        <v>0</v>
      </c>
      <c r="G123" s="52"/>
      <c r="H123" s="52"/>
      <c r="I123" s="65">
        <f t="shared" si="32"/>
        <v>0</v>
      </c>
      <c r="J123" s="52"/>
      <c r="K123" s="52"/>
      <c r="L123" s="65">
        <f t="shared" si="33"/>
        <v>0</v>
      </c>
      <c r="M123" s="52"/>
      <c r="N123" s="52"/>
      <c r="O123" s="65">
        <f t="shared" si="34"/>
        <v>0</v>
      </c>
      <c r="P123" s="52"/>
      <c r="Q123" s="52"/>
      <c r="R123" s="65">
        <f t="shared" si="35"/>
        <v>0</v>
      </c>
      <c r="S123" s="52"/>
      <c r="T123" s="52"/>
      <c r="U123" s="65">
        <f t="shared" si="36"/>
        <v>0</v>
      </c>
      <c r="V123" s="52"/>
      <c r="W123" s="52"/>
      <c r="X123" s="65">
        <f t="shared" si="37"/>
        <v>0</v>
      </c>
      <c r="Y123" s="52"/>
      <c r="Z123" s="63">
        <f t="shared" si="38"/>
        <v>0</v>
      </c>
      <c r="AA123" s="50"/>
      <c r="AB123" s="50"/>
      <c r="AC123" s="61">
        <f t="shared" si="39"/>
        <v>0</v>
      </c>
      <c r="AD123" s="50"/>
      <c r="AE123" s="67">
        <f t="shared" si="40"/>
        <v>0</v>
      </c>
    </row>
    <row r="124" spans="2:31" ht="39.75" hidden="1" customHeight="1">
      <c r="B124" s="50"/>
      <c r="C124" s="53"/>
      <c r="D124" s="52"/>
      <c r="E124" s="52"/>
      <c r="F124" s="65">
        <f t="shared" si="31"/>
        <v>0</v>
      </c>
      <c r="G124" s="52"/>
      <c r="H124" s="52"/>
      <c r="I124" s="65">
        <f t="shared" si="32"/>
        <v>0</v>
      </c>
      <c r="J124" s="52"/>
      <c r="K124" s="52"/>
      <c r="L124" s="65">
        <f t="shared" si="33"/>
        <v>0</v>
      </c>
      <c r="M124" s="52"/>
      <c r="N124" s="52"/>
      <c r="O124" s="65">
        <f t="shared" si="34"/>
        <v>0</v>
      </c>
      <c r="P124" s="52"/>
      <c r="Q124" s="52"/>
      <c r="R124" s="65">
        <f t="shared" si="35"/>
        <v>0</v>
      </c>
      <c r="S124" s="52"/>
      <c r="T124" s="52"/>
      <c r="U124" s="65">
        <f t="shared" si="36"/>
        <v>0</v>
      </c>
      <c r="V124" s="52"/>
      <c r="W124" s="52"/>
      <c r="X124" s="65">
        <f t="shared" si="37"/>
        <v>0</v>
      </c>
      <c r="Y124" s="52"/>
      <c r="Z124" s="63">
        <f t="shared" si="38"/>
        <v>0</v>
      </c>
      <c r="AA124" s="50"/>
      <c r="AB124" s="50"/>
      <c r="AC124" s="61">
        <f t="shared" si="39"/>
        <v>0</v>
      </c>
      <c r="AD124" s="50"/>
      <c r="AE124" s="67">
        <f t="shared" si="40"/>
        <v>0</v>
      </c>
    </row>
    <row r="125" spans="2:31" s="59" customFormat="1" ht="51.75">
      <c r="B125" s="97" t="s">
        <v>201</v>
      </c>
      <c r="C125" s="98"/>
      <c r="D125" s="62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122+D123+D124+D110+D111+D112+D113+D114+D115+D116+D117+D118+D119+D120+D121</f>
        <v>59</v>
      </c>
      <c r="E125" s="62">
        <f t="shared" ref="E125:AE125" si="41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+E100+E101+E102+E103+E104+E105+E106+E107+E108+E109+E122+E123+E124+E110+E111+E112+E113+E114+E115+E116+E117+E118+E119+E120+E121</f>
        <v>0</v>
      </c>
      <c r="F125" s="62">
        <f t="shared" si="41"/>
        <v>59</v>
      </c>
      <c r="G125" s="62">
        <f t="shared" si="41"/>
        <v>255</v>
      </c>
      <c r="H125" s="62">
        <f t="shared" si="41"/>
        <v>0</v>
      </c>
      <c r="I125" s="62">
        <f t="shared" si="41"/>
        <v>255</v>
      </c>
      <c r="J125" s="62">
        <f t="shared" si="41"/>
        <v>47</v>
      </c>
      <c r="K125" s="62">
        <f t="shared" si="41"/>
        <v>0</v>
      </c>
      <c r="L125" s="62">
        <f t="shared" si="41"/>
        <v>47</v>
      </c>
      <c r="M125" s="62">
        <f t="shared" si="41"/>
        <v>930</v>
      </c>
      <c r="N125" s="62">
        <f t="shared" si="41"/>
        <v>0</v>
      </c>
      <c r="O125" s="62">
        <f t="shared" si="41"/>
        <v>930</v>
      </c>
      <c r="P125" s="62">
        <f t="shared" si="41"/>
        <v>296</v>
      </c>
      <c r="Q125" s="62">
        <f t="shared" si="41"/>
        <v>0</v>
      </c>
      <c r="R125" s="62">
        <f t="shared" si="41"/>
        <v>296</v>
      </c>
      <c r="S125" s="62">
        <f t="shared" si="41"/>
        <v>0</v>
      </c>
      <c r="T125" s="62">
        <f t="shared" si="41"/>
        <v>0</v>
      </c>
      <c r="U125" s="62">
        <f t="shared" si="41"/>
        <v>0</v>
      </c>
      <c r="V125" s="62">
        <f t="shared" si="41"/>
        <v>0</v>
      </c>
      <c r="W125" s="62">
        <f t="shared" si="41"/>
        <v>0</v>
      </c>
      <c r="X125" s="62">
        <f t="shared" si="41"/>
        <v>0</v>
      </c>
      <c r="Y125" s="62">
        <f t="shared" si="41"/>
        <v>0</v>
      </c>
      <c r="Z125" s="62">
        <f t="shared" si="41"/>
        <v>1587</v>
      </c>
      <c r="AA125" s="62">
        <f t="shared" si="41"/>
        <v>1627</v>
      </c>
      <c r="AB125" s="62">
        <f t="shared" si="41"/>
        <v>346</v>
      </c>
      <c r="AC125" s="62">
        <f t="shared" si="41"/>
        <v>386</v>
      </c>
      <c r="AD125" s="62">
        <f t="shared" si="41"/>
        <v>830</v>
      </c>
      <c r="AE125" s="62">
        <f t="shared" si="41"/>
        <v>1216</v>
      </c>
    </row>
    <row r="126" spans="2:31">
      <c r="B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2:31"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</row>
    <row r="128" spans="2:31"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</row>
    <row r="129" spans="4:18"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</row>
    <row r="130" spans="4:18"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</row>
    <row r="131" spans="4:18"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</row>
    <row r="132" spans="4:18"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</row>
    <row r="133" spans="4:18"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</row>
    <row r="134" spans="4:18"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</row>
    <row r="135" spans="4:18"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</row>
    <row r="136" spans="4:18"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</row>
    <row r="137" spans="4:18"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</row>
  </sheetData>
  <autoFilter ref="B2:AE2" xr:uid="{3C47631F-A4FA-44D7-ADD8-57CE043BB388}"/>
  <mergeCells count="18">
    <mergeCell ref="B125:C125"/>
    <mergeCell ref="B2:B3"/>
    <mergeCell ref="C2:C3"/>
    <mergeCell ref="Y2:Y3"/>
    <mergeCell ref="Z2:Z3"/>
    <mergeCell ref="D2:F2"/>
    <mergeCell ref="G2:I2"/>
    <mergeCell ref="J2:L2"/>
    <mergeCell ref="M2:O2"/>
    <mergeCell ref="AE2:AE3"/>
    <mergeCell ref="B1:AE1"/>
    <mergeCell ref="P2:R2"/>
    <mergeCell ref="S2:U2"/>
    <mergeCell ref="V2:X2"/>
    <mergeCell ref="AA2:AA3"/>
    <mergeCell ref="AB2:AB3"/>
    <mergeCell ref="AD2:AD3"/>
    <mergeCell ref="AC2:AC3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1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0839E-CD07-411C-B2ED-3590A02B650E}">
  <sheetPr codeName="Sheet4">
    <pageSetUpPr fitToPage="1"/>
  </sheetPr>
  <dimension ref="B1:AG159"/>
  <sheetViews>
    <sheetView topLeftCell="A141" zoomScale="50" zoomScaleNormal="50" workbookViewId="0">
      <selection activeCell="A111" sqref="A111:XFD159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4" width="14.28515625" style="56" customWidth="1"/>
    <col min="5" max="6" width="14.28515625" style="56" hidden="1" customWidth="1"/>
    <col min="7" max="7" width="14.28515625" style="56" customWidth="1"/>
    <col min="8" max="9" width="14.28515625" style="56" hidden="1" customWidth="1"/>
    <col min="10" max="10" width="14.28515625" style="56" customWidth="1"/>
    <col min="11" max="12" width="14.28515625" style="56" hidden="1" customWidth="1"/>
    <col min="13" max="13" width="14.28515625" style="56" customWidth="1"/>
    <col min="14" max="24" width="14.28515625" style="56" hidden="1" customWidth="1"/>
    <col min="25" max="25" width="14.28515625" style="56" customWidth="1"/>
    <col min="26" max="26" width="19.5703125" style="57" bestFit="1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3" t="s">
        <v>207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</row>
    <row r="2" spans="2:31" ht="49.9" customHeight="1">
      <c r="B2" s="99" t="s">
        <v>3</v>
      </c>
      <c r="C2" s="99" t="s">
        <v>4</v>
      </c>
      <c r="D2" s="85" t="s">
        <v>5</v>
      </c>
      <c r="E2" s="86"/>
      <c r="F2" s="87"/>
      <c r="G2" s="85" t="s">
        <v>6</v>
      </c>
      <c r="H2" s="86"/>
      <c r="I2" s="87"/>
      <c r="J2" s="85" t="s">
        <v>7</v>
      </c>
      <c r="K2" s="86"/>
      <c r="L2" s="87"/>
      <c r="M2" s="85" t="s">
        <v>8</v>
      </c>
      <c r="N2" s="86"/>
      <c r="O2" s="87"/>
      <c r="P2" s="85" t="s">
        <v>132</v>
      </c>
      <c r="Q2" s="86"/>
      <c r="R2" s="87"/>
      <c r="S2" s="85" t="s">
        <v>9</v>
      </c>
      <c r="T2" s="86"/>
      <c r="U2" s="87"/>
      <c r="V2" s="88" t="s">
        <v>131</v>
      </c>
      <c r="W2" s="89"/>
      <c r="X2" s="90"/>
      <c r="Y2" s="101" t="s">
        <v>134</v>
      </c>
      <c r="Z2" s="103" t="s">
        <v>204</v>
      </c>
      <c r="AA2" s="91" t="s">
        <v>145</v>
      </c>
      <c r="AB2" s="91" t="s">
        <v>146</v>
      </c>
      <c r="AC2" s="95" t="s">
        <v>147</v>
      </c>
      <c r="AD2" s="93" t="s">
        <v>148</v>
      </c>
      <c r="AE2" s="82" t="s">
        <v>212</v>
      </c>
    </row>
    <row r="3" spans="2:31" ht="49.9" customHeight="1">
      <c r="B3" s="100"/>
      <c r="C3" s="100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102"/>
      <c r="Z3" s="104"/>
      <c r="AA3" s="92"/>
      <c r="AB3" s="92"/>
      <c r="AC3" s="96"/>
      <c r="AD3" s="94"/>
      <c r="AE3" s="82"/>
    </row>
    <row r="4" spans="2:31">
      <c r="B4" s="50">
        <v>1004055</v>
      </c>
      <c r="C4" s="51" t="s">
        <v>149</v>
      </c>
      <c r="D4" s="52">
        <v>2</v>
      </c>
      <c r="E4" s="52"/>
      <c r="F4" s="65">
        <f>SUM(D4:E4)</f>
        <v>2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52">
        <v>51</v>
      </c>
      <c r="N4" s="52"/>
      <c r="O4" s="65">
        <f>SUM(M4:N4)</f>
        <v>51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53</v>
      </c>
      <c r="AA4" s="50">
        <v>50</v>
      </c>
      <c r="AB4" s="50"/>
      <c r="AC4" s="61">
        <f>+AA4+AB4-Z4</f>
        <v>-3</v>
      </c>
      <c r="AD4" s="50">
        <v>50</v>
      </c>
      <c r="AE4" s="67">
        <f>AC4+AD4</f>
        <v>47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39</v>
      </c>
      <c r="H5" s="52"/>
      <c r="I5" s="65">
        <f t="shared" ref="I5:I68" si="1">SUM(G5:H5)</f>
        <v>39</v>
      </c>
      <c r="J5" s="52">
        <v>23</v>
      </c>
      <c r="K5" s="52"/>
      <c r="L5" s="65">
        <f t="shared" ref="L5:L68" si="2">SUM(J5:K5)</f>
        <v>23</v>
      </c>
      <c r="M5" s="52"/>
      <c r="N5" s="52"/>
      <c r="O5" s="65">
        <f t="shared" ref="O5:O68" si="3">SUM(M5:N5)</f>
        <v>0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62</v>
      </c>
      <c r="AA5" s="58">
        <v>70</v>
      </c>
      <c r="AB5" s="58">
        <v>3</v>
      </c>
      <c r="AC5" s="61">
        <f t="shared" ref="AC5:AC68" si="8">+AA5+AB5-Z5</f>
        <v>11</v>
      </c>
      <c r="AD5" s="58">
        <v>70</v>
      </c>
      <c r="AE5" s="67">
        <f t="shared" ref="AE5:AE68" si="9">AC5+AD5</f>
        <v>81</v>
      </c>
    </row>
    <row r="6" spans="2:3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7">
        <f t="shared" si="9"/>
        <v>0</v>
      </c>
    </row>
    <row r="7" spans="2:3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7">
        <f t="shared" si="9"/>
        <v>0</v>
      </c>
    </row>
    <row r="8" spans="2:3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7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8</v>
      </c>
      <c r="H9" s="52"/>
      <c r="I9" s="65">
        <f t="shared" si="1"/>
        <v>8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70"/>
      <c r="Z9" s="63">
        <f t="shared" si="7"/>
        <v>8</v>
      </c>
      <c r="AA9" s="50"/>
      <c r="AB9" s="50"/>
      <c r="AC9" s="61">
        <f t="shared" si="8"/>
        <v>-8</v>
      </c>
      <c r="AD9" s="50"/>
      <c r="AE9" s="67">
        <f t="shared" si="9"/>
        <v>-8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69"/>
      <c r="Z10" s="63">
        <f t="shared" si="7"/>
        <v>0</v>
      </c>
      <c r="AA10" s="50"/>
      <c r="AB10" s="50"/>
      <c r="AC10" s="61">
        <f t="shared" si="8"/>
        <v>0</v>
      </c>
      <c r="AD10" s="50"/>
      <c r="AE10" s="67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8</v>
      </c>
      <c r="H11" s="52"/>
      <c r="I11" s="65">
        <f t="shared" si="1"/>
        <v>8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69"/>
      <c r="Z11" s="63">
        <f t="shared" si="7"/>
        <v>8</v>
      </c>
      <c r="AA11" s="50"/>
      <c r="AB11" s="50"/>
      <c r="AC11" s="61">
        <f t="shared" si="8"/>
        <v>-8</v>
      </c>
      <c r="AD11" s="50"/>
      <c r="AE11" s="67">
        <f t="shared" si="9"/>
        <v>-8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8</v>
      </c>
      <c r="H12" s="52"/>
      <c r="I12" s="65">
        <f t="shared" si="1"/>
        <v>8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69"/>
      <c r="Z12" s="63">
        <f t="shared" si="7"/>
        <v>8</v>
      </c>
      <c r="AA12" s="50"/>
      <c r="AB12" s="50"/>
      <c r="AC12" s="61">
        <f t="shared" si="8"/>
        <v>-8</v>
      </c>
      <c r="AD12" s="50"/>
      <c r="AE12" s="67">
        <f t="shared" si="9"/>
        <v>-8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8</v>
      </c>
      <c r="H13" s="52"/>
      <c r="I13" s="65">
        <f t="shared" si="1"/>
        <v>8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69"/>
      <c r="Z13" s="63">
        <f t="shared" si="7"/>
        <v>8</v>
      </c>
      <c r="AA13" s="50"/>
      <c r="AB13" s="50"/>
      <c r="AC13" s="61">
        <f t="shared" si="8"/>
        <v>-8</v>
      </c>
      <c r="AD13" s="50"/>
      <c r="AE13" s="67">
        <f t="shared" si="9"/>
        <v>-8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8</v>
      </c>
      <c r="H14" s="52"/>
      <c r="I14" s="65">
        <f t="shared" si="1"/>
        <v>8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69"/>
      <c r="Z14" s="63">
        <f t="shared" si="7"/>
        <v>8</v>
      </c>
      <c r="AA14" s="50"/>
      <c r="AB14" s="50"/>
      <c r="AC14" s="61">
        <f t="shared" si="8"/>
        <v>-8</v>
      </c>
      <c r="AD14" s="50"/>
      <c r="AE14" s="67">
        <f t="shared" si="9"/>
        <v>-8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8</v>
      </c>
      <c r="H15" s="52"/>
      <c r="I15" s="65">
        <f t="shared" si="1"/>
        <v>8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69"/>
      <c r="Z15" s="63">
        <f t="shared" si="7"/>
        <v>8</v>
      </c>
      <c r="AA15" s="50"/>
      <c r="AB15" s="50"/>
      <c r="AC15" s="61">
        <f t="shared" si="8"/>
        <v>-8</v>
      </c>
      <c r="AD15" s="50"/>
      <c r="AE15" s="67">
        <f t="shared" si="9"/>
        <v>-8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8</v>
      </c>
      <c r="H16" s="52"/>
      <c r="I16" s="65">
        <f t="shared" si="1"/>
        <v>8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69"/>
      <c r="Z16" s="63">
        <f t="shared" si="7"/>
        <v>8</v>
      </c>
      <c r="AA16" s="50"/>
      <c r="AB16" s="50"/>
      <c r="AC16" s="61">
        <f t="shared" si="8"/>
        <v>-8</v>
      </c>
      <c r="AD16" s="50"/>
      <c r="AE16" s="67">
        <f t="shared" si="9"/>
        <v>-8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8</v>
      </c>
      <c r="H17" s="52"/>
      <c r="I17" s="65">
        <f t="shared" si="1"/>
        <v>8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69"/>
      <c r="Z17" s="63">
        <f t="shared" si="7"/>
        <v>8</v>
      </c>
      <c r="AA17" s="50"/>
      <c r="AB17" s="50"/>
      <c r="AC17" s="61">
        <f t="shared" si="8"/>
        <v>-8</v>
      </c>
      <c r="AD17" s="50"/>
      <c r="AE17" s="67">
        <f t="shared" si="9"/>
        <v>-8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8</v>
      </c>
      <c r="H18" s="52"/>
      <c r="I18" s="65">
        <f t="shared" si="1"/>
        <v>8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69"/>
      <c r="Z18" s="63">
        <f t="shared" si="7"/>
        <v>8</v>
      </c>
      <c r="AA18" s="50"/>
      <c r="AB18" s="50"/>
      <c r="AC18" s="61">
        <f t="shared" si="8"/>
        <v>-8</v>
      </c>
      <c r="AD18" s="50"/>
      <c r="AE18" s="67">
        <f t="shared" si="9"/>
        <v>-8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8</v>
      </c>
      <c r="H19" s="52"/>
      <c r="I19" s="65">
        <f t="shared" si="1"/>
        <v>8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69"/>
      <c r="Z19" s="63">
        <f t="shared" si="7"/>
        <v>8</v>
      </c>
      <c r="AA19" s="50"/>
      <c r="AB19" s="50"/>
      <c r="AC19" s="61">
        <f t="shared" si="8"/>
        <v>-8</v>
      </c>
      <c r="AD19" s="50"/>
      <c r="AE19" s="67">
        <f t="shared" si="9"/>
        <v>-8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7">
        <f t="shared" si="9"/>
        <v>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7">
        <f t="shared" si="9"/>
        <v>0</v>
      </c>
    </row>
    <row r="22" spans="2:3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7">
        <f t="shared" si="9"/>
        <v>0</v>
      </c>
    </row>
    <row r="23" spans="2:3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7">
        <f t="shared" si="9"/>
        <v>0</v>
      </c>
    </row>
    <row r="24" spans="2:3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7">
        <f t="shared" si="9"/>
        <v>0</v>
      </c>
    </row>
    <row r="25" spans="2:31">
      <c r="B25" s="50">
        <v>1111008</v>
      </c>
      <c r="C25" s="51" t="s">
        <v>156</v>
      </c>
      <c r="D25" s="52"/>
      <c r="E25" s="52"/>
      <c r="F25" s="65">
        <f t="shared" si="0"/>
        <v>0</v>
      </c>
      <c r="G25" s="52">
        <v>10</v>
      </c>
      <c r="H25" s="52"/>
      <c r="I25" s="65">
        <f t="shared" si="1"/>
        <v>10</v>
      </c>
      <c r="J25" s="52"/>
      <c r="K25" s="52"/>
      <c r="L25" s="65">
        <f t="shared" si="2"/>
        <v>0</v>
      </c>
      <c r="M25" s="52">
        <v>81</v>
      </c>
      <c r="N25" s="52"/>
      <c r="O25" s="65">
        <f t="shared" si="3"/>
        <v>81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91</v>
      </c>
      <c r="AA25" s="50">
        <v>40</v>
      </c>
      <c r="AB25" s="50">
        <v>25</v>
      </c>
      <c r="AC25" s="61">
        <f t="shared" si="8"/>
        <v>-26</v>
      </c>
      <c r="AD25" s="50">
        <v>40</v>
      </c>
      <c r="AE25" s="67">
        <f t="shared" si="9"/>
        <v>14</v>
      </c>
    </row>
    <row r="26" spans="2:31">
      <c r="B26" s="50">
        <v>1111009</v>
      </c>
      <c r="C26" s="51" t="s">
        <v>157</v>
      </c>
      <c r="D26" s="52"/>
      <c r="E26" s="52"/>
      <c r="F26" s="65">
        <f t="shared" si="0"/>
        <v>0</v>
      </c>
      <c r="G26" s="52">
        <v>10</v>
      </c>
      <c r="H26" s="52"/>
      <c r="I26" s="65">
        <f t="shared" si="1"/>
        <v>10</v>
      </c>
      <c r="J26" s="52">
        <v>15</v>
      </c>
      <c r="K26" s="52"/>
      <c r="L26" s="65">
        <f t="shared" si="2"/>
        <v>15</v>
      </c>
      <c r="M26" s="52"/>
      <c r="N26" s="52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25</v>
      </c>
      <c r="AA26" s="50">
        <v>20</v>
      </c>
      <c r="AB26" s="50">
        <v>61</v>
      </c>
      <c r="AC26" s="61">
        <f t="shared" si="8"/>
        <v>56</v>
      </c>
      <c r="AD26" s="50">
        <v>20</v>
      </c>
      <c r="AE26" s="67">
        <f t="shared" si="9"/>
        <v>76</v>
      </c>
    </row>
    <row r="27" spans="2:3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7">
        <f t="shared" si="9"/>
        <v>0</v>
      </c>
    </row>
    <row r="28" spans="2:3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7">
        <f t="shared" si="9"/>
        <v>0</v>
      </c>
    </row>
    <row r="29" spans="2:3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7">
        <f t="shared" si="9"/>
        <v>0</v>
      </c>
    </row>
    <row r="30" spans="2:3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7">
        <f t="shared" si="9"/>
        <v>0</v>
      </c>
    </row>
    <row r="31" spans="2:3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7">
        <f t="shared" si="9"/>
        <v>0</v>
      </c>
    </row>
    <row r="32" spans="2:3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7">
        <f t="shared" si="9"/>
        <v>0</v>
      </c>
    </row>
    <row r="33" spans="2:3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7">
        <f t="shared" si="9"/>
        <v>0</v>
      </c>
    </row>
    <row r="34" spans="2:3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7">
        <f t="shared" si="9"/>
        <v>0</v>
      </c>
    </row>
    <row r="35" spans="2:3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7">
        <f t="shared" si="9"/>
        <v>0</v>
      </c>
    </row>
    <row r="36" spans="2:3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7">
        <f t="shared" si="9"/>
        <v>0</v>
      </c>
    </row>
    <row r="37" spans="2:3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7">
        <f t="shared" si="9"/>
        <v>0</v>
      </c>
    </row>
    <row r="38" spans="2:3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7">
        <f t="shared" si="9"/>
        <v>0</v>
      </c>
    </row>
    <row r="39" spans="2:3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7">
        <f t="shared" si="9"/>
        <v>0</v>
      </c>
    </row>
    <row r="40" spans="2:3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7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8</v>
      </c>
      <c r="H41" s="52"/>
      <c r="I41" s="65">
        <f t="shared" si="1"/>
        <v>8</v>
      </c>
      <c r="J41" s="52">
        <v>4</v>
      </c>
      <c r="K41" s="52"/>
      <c r="L41" s="65">
        <f t="shared" si="2"/>
        <v>4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12</v>
      </c>
      <c r="AA41" s="50">
        <v>10</v>
      </c>
      <c r="AB41" s="50">
        <v>6</v>
      </c>
      <c r="AC41" s="61">
        <f t="shared" si="8"/>
        <v>4</v>
      </c>
      <c r="AD41" s="50"/>
      <c r="AE41" s="67">
        <f t="shared" si="9"/>
        <v>4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8</v>
      </c>
      <c r="H42" s="52"/>
      <c r="I42" s="65">
        <f t="shared" si="1"/>
        <v>8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8</v>
      </c>
      <c r="AA42" s="50"/>
      <c r="AB42" s="50"/>
      <c r="AC42" s="61">
        <f t="shared" si="8"/>
        <v>-8</v>
      </c>
      <c r="AD42" s="50"/>
      <c r="AE42" s="67">
        <f t="shared" si="9"/>
        <v>-8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8</v>
      </c>
      <c r="H43" s="52"/>
      <c r="I43" s="65">
        <f t="shared" si="1"/>
        <v>8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8</v>
      </c>
      <c r="AA43" s="50"/>
      <c r="AB43" s="50"/>
      <c r="AC43" s="61">
        <f t="shared" si="8"/>
        <v>-8</v>
      </c>
      <c r="AD43" s="50"/>
      <c r="AE43" s="67">
        <f t="shared" si="9"/>
        <v>-8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8</v>
      </c>
      <c r="H44" s="52"/>
      <c r="I44" s="65">
        <f t="shared" si="1"/>
        <v>8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8</v>
      </c>
      <c r="AA44" s="50"/>
      <c r="AB44" s="50"/>
      <c r="AC44" s="61">
        <f t="shared" si="8"/>
        <v>-8</v>
      </c>
      <c r="AD44" s="50"/>
      <c r="AE44" s="67">
        <f t="shared" si="9"/>
        <v>-8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8</v>
      </c>
      <c r="H45" s="52"/>
      <c r="I45" s="65">
        <f t="shared" si="1"/>
        <v>8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8</v>
      </c>
      <c r="AA45" s="50"/>
      <c r="AB45" s="50"/>
      <c r="AC45" s="61">
        <f t="shared" si="8"/>
        <v>-8</v>
      </c>
      <c r="AD45" s="50"/>
      <c r="AE45" s="67">
        <f t="shared" si="9"/>
        <v>-8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8</v>
      </c>
      <c r="H46" s="52"/>
      <c r="I46" s="65">
        <f t="shared" si="1"/>
        <v>8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8</v>
      </c>
      <c r="AA46" s="50"/>
      <c r="AB46" s="50"/>
      <c r="AC46" s="61">
        <f t="shared" si="8"/>
        <v>-8</v>
      </c>
      <c r="AD46" s="50"/>
      <c r="AE46" s="67">
        <f t="shared" si="9"/>
        <v>-8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8</v>
      </c>
      <c r="H47" s="52"/>
      <c r="I47" s="65">
        <f t="shared" si="1"/>
        <v>8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8</v>
      </c>
      <c r="AA47" s="50"/>
      <c r="AB47" s="50"/>
      <c r="AC47" s="61">
        <f t="shared" si="8"/>
        <v>-8</v>
      </c>
      <c r="AD47" s="50"/>
      <c r="AE47" s="67">
        <f t="shared" si="9"/>
        <v>-8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8</v>
      </c>
      <c r="H48" s="52"/>
      <c r="I48" s="65">
        <f t="shared" si="1"/>
        <v>8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8</v>
      </c>
      <c r="AA48" s="50"/>
      <c r="AB48" s="50"/>
      <c r="AC48" s="61">
        <f t="shared" si="8"/>
        <v>-8</v>
      </c>
      <c r="AD48" s="50"/>
      <c r="AE48" s="67">
        <f t="shared" si="9"/>
        <v>-8</v>
      </c>
    </row>
    <row r="49" spans="2:33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8</v>
      </c>
      <c r="H49" s="52"/>
      <c r="I49" s="65">
        <f t="shared" si="1"/>
        <v>8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8</v>
      </c>
      <c r="AA49" s="50"/>
      <c r="AB49" s="50"/>
      <c r="AC49" s="61">
        <f t="shared" si="8"/>
        <v>-8</v>
      </c>
      <c r="AD49" s="50"/>
      <c r="AE49" s="67">
        <f t="shared" si="9"/>
        <v>-8</v>
      </c>
    </row>
    <row r="50" spans="2:33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8</v>
      </c>
      <c r="H50" s="52"/>
      <c r="I50" s="65">
        <f t="shared" si="1"/>
        <v>8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8</v>
      </c>
      <c r="AA50" s="50"/>
      <c r="AB50" s="50"/>
      <c r="AC50" s="61">
        <f t="shared" si="8"/>
        <v>-8</v>
      </c>
      <c r="AD50" s="50"/>
      <c r="AE50" s="67">
        <f t="shared" si="9"/>
        <v>-8</v>
      </c>
    </row>
    <row r="51" spans="2:33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8</v>
      </c>
      <c r="H51" s="52"/>
      <c r="I51" s="65">
        <f t="shared" si="1"/>
        <v>8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8</v>
      </c>
      <c r="AA51" s="50"/>
      <c r="AB51" s="50"/>
      <c r="AC51" s="61">
        <f t="shared" si="8"/>
        <v>-8</v>
      </c>
      <c r="AD51" s="50"/>
      <c r="AE51" s="67">
        <f t="shared" si="9"/>
        <v>-8</v>
      </c>
    </row>
    <row r="52" spans="2:33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7">
        <f t="shared" si="9"/>
        <v>0</v>
      </c>
    </row>
    <row r="53" spans="2:33">
      <c r="B53" s="50">
        <v>1112003</v>
      </c>
      <c r="C53" s="51" t="s">
        <v>174</v>
      </c>
      <c r="D53" s="52">
        <v>1</v>
      </c>
      <c r="E53" s="52"/>
      <c r="F53" s="65">
        <f t="shared" si="0"/>
        <v>1</v>
      </c>
      <c r="G53" s="52">
        <v>4</v>
      </c>
      <c r="H53" s="52"/>
      <c r="I53" s="65">
        <f t="shared" si="1"/>
        <v>4</v>
      </c>
      <c r="J53" s="52"/>
      <c r="K53" s="52"/>
      <c r="L53" s="65">
        <f t="shared" si="2"/>
        <v>0</v>
      </c>
      <c r="M53" s="52">
        <v>55</v>
      </c>
      <c r="N53" s="52"/>
      <c r="O53" s="65">
        <f t="shared" si="3"/>
        <v>55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60</v>
      </c>
      <c r="AA53" s="50">
        <v>65</v>
      </c>
      <c r="AB53" s="50">
        <v>20</v>
      </c>
      <c r="AC53" s="61">
        <f t="shared" si="8"/>
        <v>25</v>
      </c>
      <c r="AD53" s="50">
        <v>65</v>
      </c>
      <c r="AE53" s="67">
        <f t="shared" si="9"/>
        <v>90</v>
      </c>
    </row>
    <row r="54" spans="2:33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7">
        <f t="shared" si="9"/>
        <v>0</v>
      </c>
    </row>
    <row r="55" spans="2:33">
      <c r="B55" s="50">
        <v>1112005</v>
      </c>
      <c r="C55" s="51" t="s">
        <v>176</v>
      </c>
      <c r="D55" s="52">
        <v>2</v>
      </c>
      <c r="E55" s="52"/>
      <c r="F55" s="65">
        <f t="shared" si="0"/>
        <v>2</v>
      </c>
      <c r="G55" s="52">
        <v>4</v>
      </c>
      <c r="H55" s="52"/>
      <c r="I55" s="65">
        <f t="shared" si="1"/>
        <v>4</v>
      </c>
      <c r="J55" s="52"/>
      <c r="K55" s="52"/>
      <c r="L55" s="65">
        <f t="shared" si="2"/>
        <v>0</v>
      </c>
      <c r="M55" s="52">
        <v>55</v>
      </c>
      <c r="N55" s="52"/>
      <c r="O55" s="65">
        <f t="shared" si="3"/>
        <v>55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61</v>
      </c>
      <c r="AA55" s="50">
        <v>65</v>
      </c>
      <c r="AB55" s="50">
        <v>15</v>
      </c>
      <c r="AC55" s="61">
        <f t="shared" si="8"/>
        <v>19</v>
      </c>
      <c r="AD55" s="50">
        <v>65</v>
      </c>
      <c r="AE55" s="67">
        <f t="shared" si="9"/>
        <v>84</v>
      </c>
    </row>
    <row r="56" spans="2:33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7">
        <f t="shared" si="9"/>
        <v>0</v>
      </c>
    </row>
    <row r="57" spans="2:33">
      <c r="B57" s="50">
        <v>1112009</v>
      </c>
      <c r="C57" s="51" t="s">
        <v>178</v>
      </c>
      <c r="D57" s="52">
        <v>3</v>
      </c>
      <c r="E57" s="52"/>
      <c r="F57" s="65">
        <f t="shared" si="0"/>
        <v>3</v>
      </c>
      <c r="G57" s="52">
        <v>4</v>
      </c>
      <c r="H57" s="52"/>
      <c r="I57" s="65">
        <f t="shared" si="1"/>
        <v>4</v>
      </c>
      <c r="J57" s="52"/>
      <c r="K57" s="52"/>
      <c r="L57" s="65">
        <f t="shared" si="2"/>
        <v>0</v>
      </c>
      <c r="M57" s="52">
        <v>55</v>
      </c>
      <c r="N57" s="52"/>
      <c r="O57" s="65">
        <f t="shared" si="3"/>
        <v>55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62</v>
      </c>
      <c r="AA57" s="50">
        <v>65</v>
      </c>
      <c r="AB57" s="50">
        <v>18</v>
      </c>
      <c r="AC57" s="61">
        <f t="shared" si="8"/>
        <v>21</v>
      </c>
      <c r="AD57" s="50">
        <v>65</v>
      </c>
      <c r="AE57" s="67">
        <f t="shared" si="9"/>
        <v>86</v>
      </c>
    </row>
    <row r="58" spans="2:33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7">
        <f t="shared" si="9"/>
        <v>0</v>
      </c>
    </row>
    <row r="59" spans="2:33">
      <c r="B59" s="50">
        <v>1112011</v>
      </c>
      <c r="C59" s="51" t="s">
        <v>180</v>
      </c>
      <c r="D59" s="52">
        <v>5</v>
      </c>
      <c r="E59" s="52"/>
      <c r="F59" s="65">
        <f t="shared" si="0"/>
        <v>5</v>
      </c>
      <c r="G59" s="52">
        <v>4</v>
      </c>
      <c r="H59" s="52"/>
      <c r="I59" s="65">
        <f t="shared" si="1"/>
        <v>4</v>
      </c>
      <c r="J59" s="52">
        <v>6</v>
      </c>
      <c r="K59" s="52"/>
      <c r="L59" s="65">
        <f t="shared" si="2"/>
        <v>6</v>
      </c>
      <c r="M59" s="52">
        <v>55</v>
      </c>
      <c r="N59" s="52"/>
      <c r="O59" s="65">
        <f t="shared" si="3"/>
        <v>55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70</v>
      </c>
      <c r="AA59" s="50">
        <v>65</v>
      </c>
      <c r="AB59" s="50">
        <v>16</v>
      </c>
      <c r="AC59" s="61">
        <f t="shared" si="8"/>
        <v>11</v>
      </c>
      <c r="AD59" s="50">
        <v>65</v>
      </c>
      <c r="AE59" s="67">
        <f t="shared" si="9"/>
        <v>76</v>
      </c>
    </row>
    <row r="60" spans="2:33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7">
        <f t="shared" si="9"/>
        <v>0</v>
      </c>
    </row>
    <row r="61" spans="2:33">
      <c r="B61" s="50">
        <v>1112013</v>
      </c>
      <c r="C61" s="51" t="s">
        <v>182</v>
      </c>
      <c r="D61" s="52">
        <v>4</v>
      </c>
      <c r="E61" s="52"/>
      <c r="F61" s="65">
        <f t="shared" si="0"/>
        <v>4</v>
      </c>
      <c r="G61" s="52">
        <v>3</v>
      </c>
      <c r="H61" s="52"/>
      <c r="I61" s="65">
        <f t="shared" si="1"/>
        <v>3</v>
      </c>
      <c r="J61" s="52"/>
      <c r="K61" s="52"/>
      <c r="L61" s="65">
        <f t="shared" si="2"/>
        <v>0</v>
      </c>
      <c r="M61" s="52">
        <v>55</v>
      </c>
      <c r="N61" s="52"/>
      <c r="O61" s="65">
        <f t="shared" si="3"/>
        <v>55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62</v>
      </c>
      <c r="AA61" s="50">
        <v>65</v>
      </c>
      <c r="AB61" s="50">
        <v>11</v>
      </c>
      <c r="AC61" s="61">
        <f t="shared" si="8"/>
        <v>14</v>
      </c>
      <c r="AD61" s="50">
        <v>65</v>
      </c>
      <c r="AE61" s="67">
        <f t="shared" si="9"/>
        <v>79</v>
      </c>
    </row>
    <row r="62" spans="2:33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7">
        <f t="shared" si="9"/>
        <v>0</v>
      </c>
    </row>
    <row r="63" spans="2:33">
      <c r="B63" s="50">
        <v>1112015</v>
      </c>
      <c r="C63" s="51" t="s">
        <v>184</v>
      </c>
      <c r="D63" s="52">
        <v>1</v>
      </c>
      <c r="E63" s="52"/>
      <c r="F63" s="65">
        <f t="shared" si="0"/>
        <v>1</v>
      </c>
      <c r="G63" s="52">
        <v>3</v>
      </c>
      <c r="H63" s="52"/>
      <c r="I63" s="65">
        <f t="shared" si="1"/>
        <v>3</v>
      </c>
      <c r="J63" s="52"/>
      <c r="K63" s="52"/>
      <c r="L63" s="65">
        <f t="shared" si="2"/>
        <v>0</v>
      </c>
      <c r="M63" s="52">
        <v>55</v>
      </c>
      <c r="N63" s="52"/>
      <c r="O63" s="65">
        <f t="shared" si="3"/>
        <v>55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59</v>
      </c>
      <c r="AA63" s="50">
        <v>65</v>
      </c>
      <c r="AB63" s="50">
        <v>18</v>
      </c>
      <c r="AC63" s="61">
        <f t="shared" si="8"/>
        <v>24</v>
      </c>
      <c r="AD63" s="50">
        <v>65</v>
      </c>
      <c r="AE63" s="67">
        <f t="shared" si="9"/>
        <v>89</v>
      </c>
      <c r="AG63" s="68">
        <f>SUM(AE53:AE63)</f>
        <v>504</v>
      </c>
    </row>
    <row r="64" spans="2:33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7">
        <f t="shared" si="9"/>
        <v>0</v>
      </c>
    </row>
    <row r="65" spans="2:3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7">
        <f t="shared" si="9"/>
        <v>0</v>
      </c>
    </row>
    <row r="66" spans="2:3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7">
        <f t="shared" si="9"/>
        <v>0</v>
      </c>
    </row>
    <row r="67" spans="2:31">
      <c r="B67" s="50">
        <v>1114501</v>
      </c>
      <c r="C67" s="53" t="s">
        <v>187</v>
      </c>
      <c r="D67" s="52"/>
      <c r="E67" s="52"/>
      <c r="F67" s="65">
        <f t="shared" si="0"/>
        <v>0</v>
      </c>
      <c r="G67" s="52">
        <v>3</v>
      </c>
      <c r="H67" s="52"/>
      <c r="I67" s="65">
        <f t="shared" si="1"/>
        <v>3</v>
      </c>
      <c r="J67" s="52">
        <v>4</v>
      </c>
      <c r="K67" s="52"/>
      <c r="L67" s="65">
        <f t="shared" si="2"/>
        <v>4</v>
      </c>
      <c r="M67" s="52">
        <v>107</v>
      </c>
      <c r="N67" s="52"/>
      <c r="O67" s="65">
        <f t="shared" si="3"/>
        <v>107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114</v>
      </c>
      <c r="AA67" s="50">
        <v>3</v>
      </c>
      <c r="AB67" s="50">
        <v>125</v>
      </c>
      <c r="AC67" s="61">
        <f t="shared" si="8"/>
        <v>14</v>
      </c>
      <c r="AD67" s="50">
        <v>350</v>
      </c>
      <c r="AE67" s="67">
        <f t="shared" si="9"/>
        <v>364</v>
      </c>
    </row>
    <row r="68" spans="2:31">
      <c r="B68" s="50">
        <v>1114502</v>
      </c>
      <c r="C68" s="53" t="s">
        <v>188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>
        <v>2</v>
      </c>
      <c r="K68" s="52"/>
      <c r="L68" s="65">
        <f t="shared" si="2"/>
        <v>2</v>
      </c>
      <c r="M68" s="52">
        <v>107</v>
      </c>
      <c r="N68" s="52"/>
      <c r="O68" s="65">
        <f t="shared" si="3"/>
        <v>107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109</v>
      </c>
      <c r="AA68" s="50"/>
      <c r="AB68" s="50">
        <v>102</v>
      </c>
      <c r="AC68" s="61">
        <f t="shared" si="8"/>
        <v>-7</v>
      </c>
      <c r="AD68" s="50">
        <v>300</v>
      </c>
      <c r="AE68" s="67">
        <f t="shared" si="9"/>
        <v>293</v>
      </c>
    </row>
    <row r="69" spans="2:31">
      <c r="B69" s="50">
        <v>1114503</v>
      </c>
      <c r="C69" s="53" t="s">
        <v>189</v>
      </c>
      <c r="D69" s="52"/>
      <c r="E69" s="52"/>
      <c r="F69" s="65">
        <f t="shared" ref="F69:F98" si="10">SUM(D69:E69)</f>
        <v>0</v>
      </c>
      <c r="G69" s="52"/>
      <c r="H69" s="52"/>
      <c r="I69" s="65">
        <f t="shared" ref="I69:I121" si="11">SUM(G69:H69)</f>
        <v>0</v>
      </c>
      <c r="J69" s="52">
        <v>6</v>
      </c>
      <c r="K69" s="52"/>
      <c r="L69" s="65">
        <f t="shared" ref="L69:L121" si="12">SUM(J69:K69)</f>
        <v>6</v>
      </c>
      <c r="M69" s="52">
        <v>110</v>
      </c>
      <c r="N69" s="52"/>
      <c r="O69" s="65">
        <f t="shared" ref="O69:O121" si="13">SUM(M69:N69)</f>
        <v>110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116</v>
      </c>
      <c r="AA69" s="50">
        <v>11</v>
      </c>
      <c r="AB69" s="50">
        <v>100</v>
      </c>
      <c r="AC69" s="61">
        <f t="shared" ref="AC69:AC121" si="18">+AA69+AB69-Z69</f>
        <v>-5</v>
      </c>
      <c r="AD69" s="50">
        <v>300</v>
      </c>
      <c r="AE69" s="67">
        <f t="shared" ref="AE69:AE121" si="19">AC69+AD69</f>
        <v>295</v>
      </c>
    </row>
    <row r="70" spans="2:3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>
        <v>11</v>
      </c>
      <c r="H70" s="52"/>
      <c r="I70" s="65">
        <f t="shared" si="11"/>
        <v>11</v>
      </c>
      <c r="J70" s="52">
        <v>30</v>
      </c>
      <c r="K70" s="52"/>
      <c r="L70" s="65">
        <f t="shared" si="12"/>
        <v>30</v>
      </c>
      <c r="M70" s="52">
        <v>30</v>
      </c>
      <c r="N70" s="52"/>
      <c r="O70" s="65">
        <f t="shared" si="13"/>
        <v>30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71</v>
      </c>
      <c r="AA70" s="50">
        <v>50</v>
      </c>
      <c r="AB70" s="50"/>
      <c r="AC70" s="61">
        <f t="shared" si="18"/>
        <v>-21</v>
      </c>
      <c r="AD70" s="50">
        <v>30</v>
      </c>
      <c r="AE70" s="67">
        <f t="shared" si="19"/>
        <v>9</v>
      </c>
    </row>
    <row r="71" spans="2:3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7">
        <f t="shared" si="19"/>
        <v>0</v>
      </c>
    </row>
    <row r="72" spans="2:3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7">
        <f t="shared" si="19"/>
        <v>0</v>
      </c>
    </row>
    <row r="73" spans="2:3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7">
        <f t="shared" si="19"/>
        <v>0</v>
      </c>
    </row>
    <row r="74" spans="2:3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7">
        <f t="shared" si="19"/>
        <v>0</v>
      </c>
    </row>
    <row r="75" spans="2:31">
      <c r="B75" s="50">
        <v>1113170</v>
      </c>
      <c r="C75" s="53" t="s">
        <v>87</v>
      </c>
      <c r="D75" s="52">
        <v>60</v>
      </c>
      <c r="E75" s="52"/>
      <c r="F75" s="65">
        <f t="shared" si="10"/>
        <v>60</v>
      </c>
      <c r="G75" s="52">
        <v>1</v>
      </c>
      <c r="H75" s="52"/>
      <c r="I75" s="65">
        <f t="shared" si="11"/>
        <v>1</v>
      </c>
      <c r="J75" s="52">
        <v>8</v>
      </c>
      <c r="K75" s="52"/>
      <c r="L75" s="65">
        <f t="shared" si="12"/>
        <v>8</v>
      </c>
      <c r="M75" s="52">
        <v>11</v>
      </c>
      <c r="N75" s="52"/>
      <c r="O75" s="65">
        <f t="shared" si="13"/>
        <v>11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>
        <v>9</v>
      </c>
      <c r="Z75" s="63">
        <f t="shared" si="17"/>
        <v>89</v>
      </c>
      <c r="AA75" s="50">
        <v>70</v>
      </c>
      <c r="AB75" s="50">
        <v>2</v>
      </c>
      <c r="AC75" s="61">
        <f t="shared" si="18"/>
        <v>-17</v>
      </c>
      <c r="AD75" s="50">
        <v>50</v>
      </c>
      <c r="AE75" s="67">
        <f t="shared" si="19"/>
        <v>33</v>
      </c>
    </row>
    <row r="76" spans="2:31">
      <c r="B76" s="50">
        <v>1113171</v>
      </c>
      <c r="C76" s="53" t="s">
        <v>88</v>
      </c>
      <c r="D76" s="52">
        <v>20</v>
      </c>
      <c r="E76" s="52"/>
      <c r="F76" s="65">
        <f t="shared" si="10"/>
        <v>20</v>
      </c>
      <c r="G76" s="52">
        <v>1</v>
      </c>
      <c r="H76" s="52"/>
      <c r="I76" s="65">
        <f t="shared" si="11"/>
        <v>1</v>
      </c>
      <c r="J76" s="52">
        <v>2</v>
      </c>
      <c r="K76" s="52"/>
      <c r="L76" s="65">
        <f t="shared" si="12"/>
        <v>2</v>
      </c>
      <c r="M76" s="52">
        <v>5</v>
      </c>
      <c r="N76" s="52"/>
      <c r="O76" s="65">
        <f t="shared" si="13"/>
        <v>5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>
        <v>19</v>
      </c>
      <c r="Z76" s="63">
        <f t="shared" si="17"/>
        <v>47</v>
      </c>
      <c r="AA76" s="50">
        <v>50</v>
      </c>
      <c r="AB76" s="50">
        <v>9</v>
      </c>
      <c r="AC76" s="61">
        <f t="shared" si="18"/>
        <v>12</v>
      </c>
      <c r="AD76" s="50"/>
      <c r="AE76" s="67">
        <f t="shared" si="19"/>
        <v>12</v>
      </c>
    </row>
    <row r="77" spans="2:31">
      <c r="B77" s="50">
        <v>1113172</v>
      </c>
      <c r="C77" s="53" t="s">
        <v>89</v>
      </c>
      <c r="D77" s="52">
        <v>2</v>
      </c>
      <c r="E77" s="52"/>
      <c r="F77" s="65">
        <f t="shared" si="10"/>
        <v>2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>
        <v>5</v>
      </c>
      <c r="N77" s="52"/>
      <c r="O77" s="65">
        <f t="shared" si="13"/>
        <v>5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7</v>
      </c>
      <c r="AA77" s="50">
        <v>50</v>
      </c>
      <c r="AB77" s="50"/>
      <c r="AC77" s="61">
        <f t="shared" si="18"/>
        <v>43</v>
      </c>
      <c r="AD77" s="50"/>
      <c r="AE77" s="67">
        <f t="shared" si="19"/>
        <v>43</v>
      </c>
    </row>
    <row r="78" spans="2:31">
      <c r="B78" s="50">
        <v>1113173</v>
      </c>
      <c r="C78" s="53" t="s">
        <v>90</v>
      </c>
      <c r="D78" s="52">
        <v>14</v>
      </c>
      <c r="E78" s="52"/>
      <c r="F78" s="65">
        <f t="shared" si="10"/>
        <v>14</v>
      </c>
      <c r="G78" s="52">
        <v>1</v>
      </c>
      <c r="H78" s="52"/>
      <c r="I78" s="65">
        <f t="shared" si="11"/>
        <v>1</v>
      </c>
      <c r="J78" s="52">
        <v>1</v>
      </c>
      <c r="K78" s="52"/>
      <c r="L78" s="65">
        <f t="shared" si="12"/>
        <v>1</v>
      </c>
      <c r="M78" s="52">
        <v>5</v>
      </c>
      <c r="N78" s="52"/>
      <c r="O78" s="65">
        <f t="shared" si="13"/>
        <v>5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>
        <v>8</v>
      </c>
      <c r="Z78" s="63">
        <f t="shared" si="17"/>
        <v>29</v>
      </c>
      <c r="AA78" s="50">
        <v>50</v>
      </c>
      <c r="AB78" s="50">
        <v>4</v>
      </c>
      <c r="AC78" s="61">
        <f t="shared" si="18"/>
        <v>25</v>
      </c>
      <c r="AD78" s="50"/>
      <c r="AE78" s="67">
        <f t="shared" si="19"/>
        <v>25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7">
        <f t="shared" si="19"/>
        <v>0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7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7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1</v>
      </c>
      <c r="H82" s="52"/>
      <c r="I82" s="65">
        <f t="shared" si="11"/>
        <v>1</v>
      </c>
      <c r="J82" s="52">
        <v>3</v>
      </c>
      <c r="K82" s="52"/>
      <c r="L82" s="65">
        <f t="shared" si="12"/>
        <v>3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4</v>
      </c>
      <c r="AA82" s="50"/>
      <c r="AB82" s="50"/>
      <c r="AC82" s="61">
        <f t="shared" si="18"/>
        <v>-4</v>
      </c>
      <c r="AD82" s="50"/>
      <c r="AE82" s="67">
        <f t="shared" si="19"/>
        <v>-4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8</v>
      </c>
      <c r="H83" s="52"/>
      <c r="I83" s="65">
        <f t="shared" si="11"/>
        <v>8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8</v>
      </c>
      <c r="AA83" s="50"/>
      <c r="AB83" s="50"/>
      <c r="AC83" s="61">
        <f t="shared" si="18"/>
        <v>-8</v>
      </c>
      <c r="AD83" s="50"/>
      <c r="AE83" s="67">
        <f t="shared" si="19"/>
        <v>-8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7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7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7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7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7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7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7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7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7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7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7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7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7">
        <f t="shared" si="19"/>
        <v>0</v>
      </c>
    </row>
    <row r="97" spans="2:3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7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7">
        <f t="shared" si="19"/>
        <v>0</v>
      </c>
    </row>
    <row r="99" spans="2:31">
      <c r="B99" s="50">
        <v>1100045</v>
      </c>
      <c r="C99" s="53" t="s">
        <v>200</v>
      </c>
      <c r="D99" s="52"/>
      <c r="E99" s="52"/>
      <c r="F99" s="65">
        <f t="shared" ref="F99:F153" si="20">SUM(D99:E99)</f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10" si="21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7">
        <f t="shared" si="19"/>
        <v>0</v>
      </c>
    </row>
    <row r="100" spans="2:31">
      <c r="B100" s="50">
        <v>1004062</v>
      </c>
      <c r="C100" s="53" t="s">
        <v>238</v>
      </c>
      <c r="D100" s="52"/>
      <c r="E100" s="52"/>
      <c r="F100" s="65">
        <f t="shared" si="2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1"/>
        <v>0</v>
      </c>
      <c r="Y100" s="52">
        <v>20</v>
      </c>
      <c r="Z100" s="63">
        <f t="shared" si="17"/>
        <v>20</v>
      </c>
      <c r="AA100" s="50"/>
      <c r="AB100" s="50"/>
      <c r="AC100" s="61">
        <f t="shared" si="18"/>
        <v>-20</v>
      </c>
      <c r="AD100" s="50"/>
      <c r="AE100" s="67">
        <f t="shared" si="19"/>
        <v>-20</v>
      </c>
    </row>
    <row r="101" spans="2:31">
      <c r="B101" s="50">
        <v>1004051</v>
      </c>
      <c r="C101" s="53" t="s">
        <v>239</v>
      </c>
      <c r="D101" s="52"/>
      <c r="E101" s="52"/>
      <c r="F101" s="65">
        <f t="shared" si="2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>
        <v>21</v>
      </c>
      <c r="Z101" s="63">
        <f t="shared" si="17"/>
        <v>21</v>
      </c>
      <c r="AA101" s="50"/>
      <c r="AB101" s="50"/>
      <c r="AC101" s="61">
        <f t="shared" si="18"/>
        <v>-21</v>
      </c>
      <c r="AD101" s="50"/>
      <c r="AE101" s="67">
        <f t="shared" si="19"/>
        <v>-21</v>
      </c>
    </row>
    <row r="102" spans="2:31">
      <c r="B102" s="50">
        <v>1111005</v>
      </c>
      <c r="C102" s="53" t="s">
        <v>240</v>
      </c>
      <c r="D102" s="52"/>
      <c r="E102" s="52"/>
      <c r="F102" s="65">
        <f t="shared" si="2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7">
        <f t="shared" si="19"/>
        <v>0</v>
      </c>
    </row>
    <row r="103" spans="2:31">
      <c r="B103" s="50">
        <v>1111006</v>
      </c>
      <c r="C103" s="53" t="s">
        <v>241</v>
      </c>
      <c r="D103" s="52"/>
      <c r="E103" s="52"/>
      <c r="F103" s="65">
        <f t="shared" si="2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>
        <v>12</v>
      </c>
      <c r="Z103" s="63">
        <f t="shared" si="17"/>
        <v>12</v>
      </c>
      <c r="AA103" s="50"/>
      <c r="AB103" s="50"/>
      <c r="AC103" s="61">
        <f t="shared" si="18"/>
        <v>-12</v>
      </c>
      <c r="AD103" s="50"/>
      <c r="AE103" s="67">
        <f t="shared" si="19"/>
        <v>-12</v>
      </c>
    </row>
    <row r="104" spans="2:31">
      <c r="B104" s="50">
        <v>1004048</v>
      </c>
      <c r="C104" s="53" t="s">
        <v>242</v>
      </c>
      <c r="D104" s="52"/>
      <c r="E104" s="52"/>
      <c r="F104" s="65">
        <f t="shared" si="2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7">
        <f t="shared" si="19"/>
        <v>0</v>
      </c>
    </row>
    <row r="105" spans="2:31">
      <c r="B105" s="50">
        <v>1113157</v>
      </c>
      <c r="C105" s="53" t="s">
        <v>243</v>
      </c>
      <c r="D105" s="52"/>
      <c r="E105" s="52"/>
      <c r="F105" s="65">
        <f t="shared" si="2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7">
        <f t="shared" si="19"/>
        <v>0</v>
      </c>
    </row>
    <row r="106" spans="2:31">
      <c r="B106" s="50">
        <v>1004080</v>
      </c>
      <c r="C106" s="53" t="s">
        <v>244</v>
      </c>
      <c r="D106" s="52"/>
      <c r="E106" s="52"/>
      <c r="F106" s="65">
        <f t="shared" si="2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7">
        <f t="shared" si="19"/>
        <v>0</v>
      </c>
    </row>
    <row r="107" spans="2:31">
      <c r="B107" s="50">
        <v>1004081</v>
      </c>
      <c r="C107" s="53" t="s">
        <v>245</v>
      </c>
      <c r="D107" s="52"/>
      <c r="E107" s="52"/>
      <c r="F107" s="65">
        <f t="shared" si="2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7">
        <f t="shared" si="19"/>
        <v>0</v>
      </c>
    </row>
    <row r="108" spans="2:31">
      <c r="B108" s="50">
        <v>3001200</v>
      </c>
      <c r="C108" s="53" t="s">
        <v>246</v>
      </c>
      <c r="D108" s="52"/>
      <c r="E108" s="52"/>
      <c r="F108" s="65">
        <f t="shared" si="2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7">
        <f t="shared" si="19"/>
        <v>0</v>
      </c>
    </row>
    <row r="109" spans="2:31">
      <c r="B109" s="50">
        <v>1004047</v>
      </c>
      <c r="C109" s="53" t="s">
        <v>247</v>
      </c>
      <c r="D109" s="52"/>
      <c r="E109" s="52"/>
      <c r="F109" s="65">
        <f t="shared" si="2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7">
        <f t="shared" si="19"/>
        <v>0</v>
      </c>
    </row>
    <row r="110" spans="2:31">
      <c r="B110" s="50">
        <v>1004070</v>
      </c>
      <c r="C110" s="53" t="s">
        <v>248</v>
      </c>
      <c r="D110" s="52"/>
      <c r="E110" s="52"/>
      <c r="F110" s="65">
        <f t="shared" si="2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7">
        <f t="shared" si="19"/>
        <v>0</v>
      </c>
    </row>
    <row r="111" spans="2:31">
      <c r="B111" s="50">
        <v>1004076</v>
      </c>
      <c r="C111" s="53" t="s">
        <v>249</v>
      </c>
      <c r="D111" s="52"/>
      <c r="E111" s="52"/>
      <c r="F111" s="65">
        <f t="shared" si="2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ref="X111:X153" si="22">SUM(V111:W111)</f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7">
        <f t="shared" si="19"/>
        <v>0</v>
      </c>
    </row>
    <row r="112" spans="2:31">
      <c r="B112" s="50">
        <v>1004050</v>
      </c>
      <c r="C112" s="53" t="s">
        <v>250</v>
      </c>
      <c r="D112" s="52"/>
      <c r="E112" s="52"/>
      <c r="F112" s="65">
        <f t="shared" si="2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2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7">
        <f t="shared" si="19"/>
        <v>0</v>
      </c>
    </row>
    <row r="113" spans="2:31">
      <c r="B113" s="50">
        <v>1004048</v>
      </c>
      <c r="C113" s="53" t="s">
        <v>251</v>
      </c>
      <c r="D113" s="52"/>
      <c r="E113" s="52"/>
      <c r="F113" s="65">
        <f t="shared" si="2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2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7">
        <f t="shared" si="19"/>
        <v>0</v>
      </c>
    </row>
    <row r="114" spans="2:31">
      <c r="B114" s="50">
        <v>1007020</v>
      </c>
      <c r="C114" s="53" t="s">
        <v>253</v>
      </c>
      <c r="D114" s="52"/>
      <c r="E114" s="52"/>
      <c r="F114" s="65">
        <f t="shared" si="2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2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7">
        <f t="shared" si="19"/>
        <v>0</v>
      </c>
    </row>
    <row r="115" spans="2:31">
      <c r="B115" s="50">
        <v>1004063</v>
      </c>
      <c r="C115" s="53" t="s">
        <v>254</v>
      </c>
      <c r="D115" s="52"/>
      <c r="E115" s="52"/>
      <c r="F115" s="65">
        <f t="shared" si="2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2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7">
        <f t="shared" si="19"/>
        <v>0</v>
      </c>
    </row>
    <row r="116" spans="2:31">
      <c r="B116" s="50">
        <v>1004065</v>
      </c>
      <c r="C116" s="53" t="s">
        <v>255</v>
      </c>
      <c r="D116" s="52"/>
      <c r="E116" s="52"/>
      <c r="F116" s="65">
        <f t="shared" si="2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2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7">
        <f t="shared" si="19"/>
        <v>0</v>
      </c>
    </row>
    <row r="117" spans="2:31">
      <c r="B117" s="50">
        <v>1006982</v>
      </c>
      <c r="C117" s="53" t="s">
        <v>256</v>
      </c>
      <c r="D117" s="52"/>
      <c r="E117" s="52"/>
      <c r="F117" s="65">
        <f t="shared" si="2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2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7">
        <f t="shared" si="19"/>
        <v>0</v>
      </c>
    </row>
    <row r="118" spans="2:31">
      <c r="B118" s="50">
        <v>1006000</v>
      </c>
      <c r="C118" s="53" t="s">
        <v>257</v>
      </c>
      <c r="D118" s="52"/>
      <c r="E118" s="52"/>
      <c r="F118" s="65">
        <f t="shared" si="2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2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7">
        <f t="shared" si="19"/>
        <v>0</v>
      </c>
    </row>
    <row r="119" spans="2:31">
      <c r="B119" s="50">
        <v>1005998</v>
      </c>
      <c r="C119" s="53" t="s">
        <v>258</v>
      </c>
      <c r="D119" s="52"/>
      <c r="E119" s="52"/>
      <c r="F119" s="65">
        <f t="shared" si="2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2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7">
        <f t="shared" si="19"/>
        <v>0</v>
      </c>
    </row>
    <row r="120" spans="2:31">
      <c r="B120" s="50">
        <v>1005995</v>
      </c>
      <c r="C120" s="53" t="s">
        <v>259</v>
      </c>
      <c r="D120" s="52"/>
      <c r="E120" s="52"/>
      <c r="F120" s="65">
        <f t="shared" si="2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2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7">
        <f t="shared" si="19"/>
        <v>0</v>
      </c>
    </row>
    <row r="121" spans="2:31">
      <c r="B121" s="50"/>
      <c r="C121" s="53"/>
      <c r="D121" s="52"/>
      <c r="E121" s="52"/>
      <c r="F121" s="65">
        <f t="shared" si="2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2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7">
        <f t="shared" si="19"/>
        <v>0</v>
      </c>
    </row>
    <row r="122" spans="2:31">
      <c r="B122" s="50"/>
      <c r="C122" s="53"/>
      <c r="D122" s="52"/>
      <c r="E122" s="52"/>
      <c r="F122" s="65">
        <f t="shared" si="2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7"/>
    </row>
    <row r="123" spans="2:31">
      <c r="B123" s="50"/>
      <c r="C123" s="53"/>
      <c r="D123" s="52"/>
      <c r="E123" s="52"/>
      <c r="F123" s="65">
        <f t="shared" si="2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7"/>
    </row>
    <row r="124" spans="2:31">
      <c r="B124" s="50"/>
      <c r="C124" s="53"/>
      <c r="D124" s="52"/>
      <c r="E124" s="52"/>
      <c r="F124" s="65">
        <f t="shared" si="2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7"/>
    </row>
    <row r="125" spans="2:31">
      <c r="B125" s="50"/>
      <c r="C125" s="53"/>
      <c r="D125" s="52"/>
      <c r="E125" s="52"/>
      <c r="F125" s="65">
        <f t="shared" si="2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7"/>
    </row>
    <row r="126" spans="2:31">
      <c r="B126" s="50"/>
      <c r="C126" s="53"/>
      <c r="D126" s="52"/>
      <c r="E126" s="52"/>
      <c r="F126" s="65">
        <f t="shared" si="2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7"/>
    </row>
    <row r="127" spans="2:31">
      <c r="B127" s="50"/>
      <c r="C127" s="53"/>
      <c r="D127" s="52"/>
      <c r="E127" s="52"/>
      <c r="F127" s="65">
        <f t="shared" si="2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7"/>
    </row>
    <row r="128" spans="2:31">
      <c r="B128" s="50"/>
      <c r="C128" s="53"/>
      <c r="D128" s="52"/>
      <c r="E128" s="52"/>
      <c r="F128" s="65">
        <f t="shared" si="2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7"/>
    </row>
    <row r="129" spans="2:31">
      <c r="B129" s="50"/>
      <c r="C129" s="53"/>
      <c r="D129" s="52"/>
      <c r="E129" s="52"/>
      <c r="F129" s="65">
        <f t="shared" si="2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7"/>
    </row>
    <row r="130" spans="2:31">
      <c r="B130" s="50"/>
      <c r="C130" s="53"/>
      <c r="D130" s="52"/>
      <c r="E130" s="52"/>
      <c r="F130" s="65">
        <f t="shared" si="2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7"/>
    </row>
    <row r="131" spans="2:31">
      <c r="B131" s="50"/>
      <c r="C131" s="53"/>
      <c r="D131" s="52"/>
      <c r="E131" s="52"/>
      <c r="F131" s="65">
        <f t="shared" si="2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7"/>
    </row>
    <row r="132" spans="2:31">
      <c r="B132" s="50"/>
      <c r="C132" s="53"/>
      <c r="D132" s="52"/>
      <c r="E132" s="52"/>
      <c r="F132" s="65">
        <f t="shared" si="2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7"/>
    </row>
    <row r="133" spans="2:31">
      <c r="B133" s="50"/>
      <c r="C133" s="53"/>
      <c r="D133" s="52"/>
      <c r="E133" s="52"/>
      <c r="F133" s="65">
        <f t="shared" si="20"/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7"/>
    </row>
    <row r="134" spans="2:31">
      <c r="B134" s="50"/>
      <c r="C134" s="53"/>
      <c r="D134" s="52"/>
      <c r="E134" s="52"/>
      <c r="F134" s="65">
        <f t="shared" si="20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7"/>
    </row>
    <row r="135" spans="2:31">
      <c r="B135" s="50"/>
      <c r="C135" s="53"/>
      <c r="D135" s="52"/>
      <c r="E135" s="52"/>
      <c r="F135" s="65">
        <f t="shared" si="20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7"/>
    </row>
    <row r="136" spans="2:31">
      <c r="B136" s="50"/>
      <c r="C136" s="53"/>
      <c r="D136" s="52"/>
      <c r="E136" s="52"/>
      <c r="F136" s="65">
        <f t="shared" si="20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7"/>
    </row>
    <row r="137" spans="2:31">
      <c r="B137" s="50"/>
      <c r="C137" s="53"/>
      <c r="D137" s="52"/>
      <c r="E137" s="52"/>
      <c r="F137" s="65">
        <f t="shared" si="20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7"/>
    </row>
    <row r="138" spans="2:31">
      <c r="B138" s="50"/>
      <c r="C138" s="53"/>
      <c r="D138" s="52"/>
      <c r="E138" s="52"/>
      <c r="F138" s="65">
        <f t="shared" si="20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7"/>
    </row>
    <row r="139" spans="2:31">
      <c r="B139" s="50"/>
      <c r="C139" s="53"/>
      <c r="D139" s="52"/>
      <c r="E139" s="52"/>
      <c r="F139" s="65">
        <f t="shared" si="20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7"/>
    </row>
    <row r="140" spans="2:31">
      <c r="B140" s="50"/>
      <c r="C140" s="53"/>
      <c r="D140" s="52"/>
      <c r="E140" s="52"/>
      <c r="F140" s="65">
        <f t="shared" si="20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7"/>
    </row>
    <row r="141" spans="2:31">
      <c r="B141" s="50"/>
      <c r="C141" s="53"/>
      <c r="D141" s="52"/>
      <c r="E141" s="52"/>
      <c r="F141" s="65">
        <f t="shared" si="20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7"/>
    </row>
    <row r="142" spans="2:31">
      <c r="B142" s="50"/>
      <c r="C142" s="53"/>
      <c r="D142" s="52"/>
      <c r="E142" s="52"/>
      <c r="F142" s="65">
        <f t="shared" si="20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7"/>
    </row>
    <row r="143" spans="2:31">
      <c r="B143" s="50"/>
      <c r="C143" s="53"/>
      <c r="D143" s="52"/>
      <c r="E143" s="52"/>
      <c r="F143" s="65">
        <f t="shared" si="20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7"/>
    </row>
    <row r="144" spans="2:31">
      <c r="B144" s="50"/>
      <c r="C144" s="53"/>
      <c r="D144" s="52"/>
      <c r="E144" s="52"/>
      <c r="F144" s="65">
        <f t="shared" si="20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7"/>
    </row>
    <row r="145" spans="2:31">
      <c r="B145" s="50"/>
      <c r="C145" s="53"/>
      <c r="D145" s="52"/>
      <c r="E145" s="52"/>
      <c r="F145" s="65">
        <f t="shared" si="20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7"/>
    </row>
    <row r="146" spans="2:31">
      <c r="B146" s="50"/>
      <c r="C146" s="53"/>
      <c r="D146" s="52"/>
      <c r="E146" s="52"/>
      <c r="F146" s="65">
        <f t="shared" si="20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7"/>
    </row>
    <row r="147" spans="2:31">
      <c r="B147" s="50"/>
      <c r="C147" s="53"/>
      <c r="D147" s="52"/>
      <c r="E147" s="52"/>
      <c r="F147" s="65">
        <f t="shared" si="20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7"/>
    </row>
    <row r="148" spans="2:31">
      <c r="B148" s="50"/>
      <c r="C148" s="53"/>
      <c r="D148" s="52"/>
      <c r="E148" s="52"/>
      <c r="F148" s="65">
        <f t="shared" si="20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7"/>
    </row>
    <row r="149" spans="2:31">
      <c r="B149" s="50"/>
      <c r="C149" s="53"/>
      <c r="D149" s="52"/>
      <c r="E149" s="52"/>
      <c r="F149" s="65">
        <f t="shared" si="20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7"/>
    </row>
    <row r="150" spans="2:31">
      <c r="B150" s="50"/>
      <c r="C150" s="53"/>
      <c r="D150" s="52"/>
      <c r="E150" s="52"/>
      <c r="F150" s="65">
        <f t="shared" si="20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7"/>
    </row>
    <row r="151" spans="2:31">
      <c r="B151" s="50"/>
      <c r="C151" s="53"/>
      <c r="D151" s="52"/>
      <c r="E151" s="52"/>
      <c r="F151" s="65">
        <f t="shared" si="20"/>
        <v>0</v>
      </c>
      <c r="G151" s="52"/>
      <c r="H151" s="52"/>
      <c r="I151" s="65">
        <f t="shared" ref="I151:I153" si="23">SUM(G151:H151)</f>
        <v>0</v>
      </c>
      <c r="J151" s="52"/>
      <c r="K151" s="52"/>
      <c r="L151" s="65">
        <f t="shared" ref="L151:L153" si="24">SUM(J151:K151)</f>
        <v>0</v>
      </c>
      <c r="M151" s="52"/>
      <c r="N151" s="52"/>
      <c r="O151" s="65">
        <f t="shared" ref="O151:O153" si="25">SUM(M151:N151)</f>
        <v>0</v>
      </c>
      <c r="P151" s="52"/>
      <c r="Q151" s="52"/>
      <c r="R151" s="65">
        <f t="shared" ref="R151:R153" si="26">SUM(P151:Q151)</f>
        <v>0</v>
      </c>
      <c r="S151" s="52"/>
      <c r="T151" s="52"/>
      <c r="U151" s="65">
        <f t="shared" ref="U151:U153" si="27">SUM(S151:T151)</f>
        <v>0</v>
      </c>
      <c r="V151" s="52"/>
      <c r="W151" s="52"/>
      <c r="X151" s="65">
        <f t="shared" si="22"/>
        <v>0</v>
      </c>
      <c r="Y151" s="52"/>
      <c r="Z151" s="63">
        <f t="shared" ref="Z151:Z153" si="28">+F151+I151+L151+O151+R151+U151+X151+Y151</f>
        <v>0</v>
      </c>
      <c r="AA151" s="50"/>
      <c r="AB151" s="50"/>
      <c r="AC151" s="61">
        <f t="shared" ref="AC151:AC153" si="29">+AA151+AB151-Z151</f>
        <v>0</v>
      </c>
      <c r="AD151" s="50"/>
      <c r="AE151" s="67">
        <f t="shared" ref="AE151:AE153" si="30">AC151+AD151</f>
        <v>0</v>
      </c>
    </row>
    <row r="152" spans="2:31">
      <c r="B152" s="50"/>
      <c r="C152" s="53"/>
      <c r="D152" s="52"/>
      <c r="E152" s="52"/>
      <c r="F152" s="65">
        <f t="shared" si="20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52"/>
      <c r="N152" s="52"/>
      <c r="O152" s="65">
        <f t="shared" si="25"/>
        <v>0</v>
      </c>
      <c r="P152" s="52"/>
      <c r="Q152" s="52"/>
      <c r="R152" s="65">
        <f t="shared" si="26"/>
        <v>0</v>
      </c>
      <c r="S152" s="52"/>
      <c r="T152" s="52"/>
      <c r="U152" s="65">
        <f t="shared" si="27"/>
        <v>0</v>
      </c>
      <c r="V152" s="52"/>
      <c r="W152" s="52"/>
      <c r="X152" s="65">
        <f t="shared" si="22"/>
        <v>0</v>
      </c>
      <c r="Y152" s="52"/>
      <c r="Z152" s="63">
        <f t="shared" si="28"/>
        <v>0</v>
      </c>
      <c r="AA152" s="50"/>
      <c r="AB152" s="50"/>
      <c r="AC152" s="61">
        <f t="shared" si="29"/>
        <v>0</v>
      </c>
      <c r="AD152" s="50"/>
      <c r="AE152" s="67">
        <f t="shared" si="30"/>
        <v>0</v>
      </c>
    </row>
    <row r="153" spans="2:31">
      <c r="B153" s="50"/>
      <c r="C153" s="53"/>
      <c r="D153" s="52"/>
      <c r="E153" s="52"/>
      <c r="F153" s="65">
        <f t="shared" si="20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52"/>
      <c r="N153" s="52"/>
      <c r="O153" s="65">
        <f t="shared" si="25"/>
        <v>0</v>
      </c>
      <c r="P153" s="52"/>
      <c r="Q153" s="52"/>
      <c r="R153" s="65">
        <f t="shared" si="26"/>
        <v>0</v>
      </c>
      <c r="S153" s="52"/>
      <c r="T153" s="52"/>
      <c r="U153" s="65">
        <f t="shared" si="27"/>
        <v>0</v>
      </c>
      <c r="V153" s="52"/>
      <c r="W153" s="52"/>
      <c r="X153" s="65">
        <f t="shared" si="22"/>
        <v>0</v>
      </c>
      <c r="Y153" s="52"/>
      <c r="Z153" s="63">
        <f t="shared" si="28"/>
        <v>0</v>
      </c>
      <c r="AA153" s="50"/>
      <c r="AB153" s="50"/>
      <c r="AC153" s="61">
        <f t="shared" si="29"/>
        <v>0</v>
      </c>
      <c r="AD153" s="50"/>
      <c r="AE153" s="67">
        <f t="shared" si="30"/>
        <v>0</v>
      </c>
    </row>
    <row r="154" spans="2:31" s="59" customFormat="1" ht="51.75">
      <c r="B154" s="97" t="s">
        <v>201</v>
      </c>
      <c r="C154" s="98"/>
      <c r="D154" s="62">
        <f t="shared" ref="D154:E154" si="31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114</v>
      </c>
      <c r="E154" s="62">
        <f t="shared" si="31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114</v>
      </c>
      <c r="G154" s="62">
        <f t="shared" ref="G154:AE154" si="32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275</v>
      </c>
      <c r="H154" s="62">
        <f t="shared" si="32"/>
        <v>0</v>
      </c>
      <c r="I154" s="62">
        <f t="shared" si="32"/>
        <v>275</v>
      </c>
      <c r="J154" s="62">
        <f t="shared" si="32"/>
        <v>104</v>
      </c>
      <c r="K154" s="62">
        <f t="shared" si="32"/>
        <v>0</v>
      </c>
      <c r="L154" s="62">
        <f t="shared" si="32"/>
        <v>104</v>
      </c>
      <c r="M154" s="62">
        <f t="shared" si="32"/>
        <v>842</v>
      </c>
      <c r="N154" s="62">
        <f t="shared" si="32"/>
        <v>0</v>
      </c>
      <c r="O154" s="62">
        <f t="shared" si="32"/>
        <v>842</v>
      </c>
      <c r="P154" s="62">
        <f t="shared" si="32"/>
        <v>0</v>
      </c>
      <c r="Q154" s="62">
        <f t="shared" si="32"/>
        <v>0</v>
      </c>
      <c r="R154" s="62">
        <f t="shared" si="32"/>
        <v>0</v>
      </c>
      <c r="S154" s="62">
        <f t="shared" si="32"/>
        <v>0</v>
      </c>
      <c r="T154" s="62">
        <f t="shared" si="32"/>
        <v>0</v>
      </c>
      <c r="U154" s="62">
        <f t="shared" si="32"/>
        <v>0</v>
      </c>
      <c r="V154" s="62">
        <f t="shared" si="32"/>
        <v>0</v>
      </c>
      <c r="W154" s="62">
        <f t="shared" si="32"/>
        <v>0</v>
      </c>
      <c r="X154" s="62">
        <f t="shared" si="32"/>
        <v>0</v>
      </c>
      <c r="Y154" s="62">
        <f t="shared" si="32"/>
        <v>89</v>
      </c>
      <c r="Z154" s="62">
        <f t="shared" si="32"/>
        <v>1424</v>
      </c>
      <c r="AA154" s="62">
        <f t="shared" si="32"/>
        <v>864</v>
      </c>
      <c r="AB154" s="62">
        <f t="shared" si="32"/>
        <v>535</v>
      </c>
      <c r="AC154" s="62">
        <f t="shared" si="32"/>
        <v>-25</v>
      </c>
      <c r="AD154" s="62">
        <f t="shared" si="32"/>
        <v>1600</v>
      </c>
      <c r="AE154" s="62">
        <f t="shared" si="32"/>
        <v>1575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Y2:Y3"/>
    <mergeCell ref="Z2:Z3"/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F232E-2D12-442F-A8F6-47D4594DEC12}">
  <sheetPr codeName="Sheet5">
    <pageSetUpPr fitToPage="1"/>
  </sheetPr>
  <dimension ref="B1:AE159"/>
  <sheetViews>
    <sheetView topLeftCell="A146" zoomScale="50" zoomScaleNormal="50" workbookViewId="0">
      <selection activeCell="A111" sqref="A111:XFD159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3" t="s">
        <v>208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</row>
    <row r="2" spans="2:31" ht="49.9" customHeight="1">
      <c r="B2" s="99" t="s">
        <v>3</v>
      </c>
      <c r="C2" s="99" t="s">
        <v>4</v>
      </c>
      <c r="D2" s="85" t="s">
        <v>5</v>
      </c>
      <c r="E2" s="86"/>
      <c r="F2" s="87"/>
      <c r="G2" s="85" t="s">
        <v>6</v>
      </c>
      <c r="H2" s="86"/>
      <c r="I2" s="87"/>
      <c r="J2" s="85" t="s">
        <v>7</v>
      </c>
      <c r="K2" s="86"/>
      <c r="L2" s="87"/>
      <c r="M2" s="85" t="s">
        <v>8</v>
      </c>
      <c r="N2" s="86"/>
      <c r="O2" s="87"/>
      <c r="P2" s="85" t="s">
        <v>132</v>
      </c>
      <c r="Q2" s="86"/>
      <c r="R2" s="87"/>
      <c r="S2" s="85" t="s">
        <v>9</v>
      </c>
      <c r="T2" s="86"/>
      <c r="U2" s="87"/>
      <c r="V2" s="88" t="s">
        <v>131</v>
      </c>
      <c r="W2" s="89"/>
      <c r="X2" s="90"/>
      <c r="Y2" s="101" t="s">
        <v>134</v>
      </c>
      <c r="Z2" s="103" t="s">
        <v>204</v>
      </c>
      <c r="AA2" s="91" t="s">
        <v>145</v>
      </c>
      <c r="AB2" s="91" t="s">
        <v>146</v>
      </c>
      <c r="AC2" s="95" t="s">
        <v>147</v>
      </c>
      <c r="AD2" s="93" t="s">
        <v>148</v>
      </c>
      <c r="AE2" s="82" t="s">
        <v>212</v>
      </c>
    </row>
    <row r="3" spans="2:31" ht="49.9" customHeight="1">
      <c r="B3" s="100"/>
      <c r="C3" s="100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102"/>
      <c r="Z3" s="104"/>
      <c r="AA3" s="92"/>
      <c r="AB3" s="92"/>
      <c r="AC3" s="96"/>
      <c r="AD3" s="94"/>
      <c r="AE3" s="82"/>
    </row>
    <row r="4" spans="2:31">
      <c r="B4" s="50">
        <v>1004055</v>
      </c>
      <c r="C4" s="51" t="s">
        <v>149</v>
      </c>
      <c r="D4" s="52">
        <v>10</v>
      </c>
      <c r="E4" s="52"/>
      <c r="F4" s="65">
        <f>SUM(D4:E4)</f>
        <v>10</v>
      </c>
      <c r="G4" s="52">
        <v>5</v>
      </c>
      <c r="H4" s="52"/>
      <c r="I4" s="65">
        <f>SUM(G4:H4)</f>
        <v>5</v>
      </c>
      <c r="J4" s="52"/>
      <c r="K4" s="52"/>
      <c r="L4" s="65">
        <f>SUM(J4:K4)</f>
        <v>0</v>
      </c>
      <c r="M4" s="52">
        <v>96</v>
      </c>
      <c r="N4" s="52"/>
      <c r="O4" s="65">
        <f>SUM(M4:N4)</f>
        <v>96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>
        <v>5</v>
      </c>
      <c r="Z4" s="63">
        <f>+F4+I4+L4+O4+R4+U4+X4+Y4</f>
        <v>116</v>
      </c>
      <c r="AA4" s="50">
        <v>100</v>
      </c>
      <c r="AB4" s="50">
        <v>1</v>
      </c>
      <c r="AC4" s="61">
        <f>+AA4+AB4-Z4</f>
        <v>-15</v>
      </c>
      <c r="AD4" s="50">
        <v>100</v>
      </c>
      <c r="AE4" s="67">
        <f>AC4+AD4</f>
        <v>85</v>
      </c>
    </row>
    <row r="5" spans="2:31">
      <c r="B5" s="50">
        <v>1111002</v>
      </c>
      <c r="C5" s="51" t="s">
        <v>150</v>
      </c>
      <c r="D5" s="52">
        <v>5</v>
      </c>
      <c r="E5" s="52"/>
      <c r="F5" s="65">
        <f t="shared" ref="F5:F68" si="0">SUM(D5:E5)</f>
        <v>5</v>
      </c>
      <c r="G5" s="52">
        <v>58</v>
      </c>
      <c r="H5" s="52"/>
      <c r="I5" s="65">
        <f t="shared" ref="I5:I68" si="1">SUM(G5:H5)</f>
        <v>58</v>
      </c>
      <c r="J5" s="52">
        <v>28</v>
      </c>
      <c r="K5" s="52"/>
      <c r="L5" s="65">
        <f t="shared" ref="L5:L68" si="2">SUM(J5:K5)</f>
        <v>28</v>
      </c>
      <c r="M5" s="52">
        <v>3</v>
      </c>
      <c r="N5" s="52"/>
      <c r="O5" s="65">
        <f t="shared" ref="O5:O68" si="3">SUM(M5:N5)</f>
        <v>3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10</v>
      </c>
      <c r="Z5" s="63">
        <f t="shared" ref="Z5:Z68" si="7">+F5+I5+L5+O5+R5+U5+X5+Y5</f>
        <v>104</v>
      </c>
      <c r="AA5" s="58">
        <v>90</v>
      </c>
      <c r="AB5" s="58">
        <v>19</v>
      </c>
      <c r="AC5" s="61">
        <f t="shared" ref="AC5:AC68" si="8">+AA5+AB5-Z5</f>
        <v>5</v>
      </c>
      <c r="AD5" s="58">
        <v>80</v>
      </c>
      <c r="AE5" s="67">
        <f t="shared" ref="AE5:AE68" si="9">AC5+AD5</f>
        <v>85</v>
      </c>
    </row>
    <row r="6" spans="2:31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7">
        <f t="shared" si="9"/>
        <v>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7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7">
        <f t="shared" si="9"/>
        <v>0</v>
      </c>
    </row>
    <row r="9" spans="2:31">
      <c r="B9" s="50">
        <v>1111057</v>
      </c>
      <c r="C9" s="51" t="s">
        <v>30</v>
      </c>
      <c r="D9" s="52">
        <v>4</v>
      </c>
      <c r="E9" s="52"/>
      <c r="F9" s="65">
        <f t="shared" si="0"/>
        <v>4</v>
      </c>
      <c r="G9" s="52">
        <v>5</v>
      </c>
      <c r="H9" s="52"/>
      <c r="I9" s="65">
        <f t="shared" si="1"/>
        <v>5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9</v>
      </c>
      <c r="AA9" s="50">
        <v>5</v>
      </c>
      <c r="AB9" s="50"/>
      <c r="AC9" s="61">
        <f t="shared" si="8"/>
        <v>-4</v>
      </c>
      <c r="AD9" s="50"/>
      <c r="AE9" s="67">
        <f t="shared" si="9"/>
        <v>-4</v>
      </c>
    </row>
    <row r="10" spans="2:31">
      <c r="B10" s="50">
        <v>1111058</v>
      </c>
      <c r="C10" s="51" t="s">
        <v>154</v>
      </c>
      <c r="D10" s="52">
        <v>4</v>
      </c>
      <c r="E10" s="52"/>
      <c r="F10" s="65">
        <f t="shared" si="0"/>
        <v>4</v>
      </c>
      <c r="G10" s="52">
        <v>5</v>
      </c>
      <c r="H10" s="52"/>
      <c r="I10" s="65">
        <f t="shared" si="1"/>
        <v>5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>
        <v>25</v>
      </c>
      <c r="Z10" s="63">
        <f t="shared" si="7"/>
        <v>34</v>
      </c>
      <c r="AA10" s="50">
        <v>5</v>
      </c>
      <c r="AB10" s="50"/>
      <c r="AC10" s="61">
        <f t="shared" si="8"/>
        <v>-29</v>
      </c>
      <c r="AD10" s="50"/>
      <c r="AE10" s="67">
        <f t="shared" si="9"/>
        <v>-29</v>
      </c>
    </row>
    <row r="11" spans="2:31">
      <c r="B11" s="50">
        <v>1111059</v>
      </c>
      <c r="C11" s="51" t="s">
        <v>32</v>
      </c>
      <c r="D11" s="52">
        <v>4</v>
      </c>
      <c r="E11" s="52"/>
      <c r="F11" s="65">
        <f t="shared" si="0"/>
        <v>4</v>
      </c>
      <c r="G11" s="52">
        <v>5</v>
      </c>
      <c r="H11" s="52"/>
      <c r="I11" s="65">
        <f t="shared" si="1"/>
        <v>5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>
        <v>25</v>
      </c>
      <c r="Z11" s="63">
        <f t="shared" si="7"/>
        <v>34</v>
      </c>
      <c r="AA11" s="50">
        <v>5</v>
      </c>
      <c r="AB11" s="50"/>
      <c r="AC11" s="61">
        <f t="shared" si="8"/>
        <v>-29</v>
      </c>
      <c r="AD11" s="50"/>
      <c r="AE11" s="67">
        <f t="shared" si="9"/>
        <v>-29</v>
      </c>
    </row>
    <row r="12" spans="2:31">
      <c r="B12" s="50">
        <v>1111060</v>
      </c>
      <c r="C12" s="51" t="s">
        <v>33</v>
      </c>
      <c r="D12" s="52">
        <v>4</v>
      </c>
      <c r="E12" s="52"/>
      <c r="F12" s="65">
        <f t="shared" si="0"/>
        <v>4</v>
      </c>
      <c r="G12" s="52">
        <v>5</v>
      </c>
      <c r="H12" s="52"/>
      <c r="I12" s="65">
        <f t="shared" si="1"/>
        <v>5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>
        <v>25</v>
      </c>
      <c r="Z12" s="63">
        <f t="shared" si="7"/>
        <v>34</v>
      </c>
      <c r="AA12" s="50">
        <v>5</v>
      </c>
      <c r="AB12" s="50"/>
      <c r="AC12" s="61">
        <f t="shared" si="8"/>
        <v>-29</v>
      </c>
      <c r="AD12" s="50"/>
      <c r="AE12" s="67">
        <f t="shared" si="9"/>
        <v>-29</v>
      </c>
    </row>
    <row r="13" spans="2:31">
      <c r="B13" s="50">
        <v>1111061</v>
      </c>
      <c r="C13" s="51" t="s">
        <v>34</v>
      </c>
      <c r="D13" s="52">
        <v>4</v>
      </c>
      <c r="E13" s="52"/>
      <c r="F13" s="65">
        <f t="shared" si="0"/>
        <v>4</v>
      </c>
      <c r="G13" s="52">
        <v>5</v>
      </c>
      <c r="H13" s="52"/>
      <c r="I13" s="65">
        <f t="shared" si="1"/>
        <v>5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>
        <v>25</v>
      </c>
      <c r="Z13" s="63">
        <f t="shared" si="7"/>
        <v>34</v>
      </c>
      <c r="AA13" s="50">
        <v>5</v>
      </c>
      <c r="AB13" s="50"/>
      <c r="AC13" s="61">
        <f t="shared" si="8"/>
        <v>-29</v>
      </c>
      <c r="AD13" s="50"/>
      <c r="AE13" s="67">
        <f t="shared" si="9"/>
        <v>-29</v>
      </c>
    </row>
    <row r="14" spans="2:31">
      <c r="B14" s="50">
        <v>1111062</v>
      </c>
      <c r="C14" s="51" t="s">
        <v>35</v>
      </c>
      <c r="D14" s="52">
        <v>4</v>
      </c>
      <c r="E14" s="52"/>
      <c r="F14" s="65">
        <f t="shared" si="0"/>
        <v>4</v>
      </c>
      <c r="G14" s="52">
        <v>5</v>
      </c>
      <c r="H14" s="52"/>
      <c r="I14" s="65">
        <f t="shared" si="1"/>
        <v>5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>
        <v>25</v>
      </c>
      <c r="Z14" s="63">
        <f t="shared" si="7"/>
        <v>34</v>
      </c>
      <c r="AA14" s="50">
        <v>5</v>
      </c>
      <c r="AB14" s="50"/>
      <c r="AC14" s="61">
        <f t="shared" si="8"/>
        <v>-29</v>
      </c>
      <c r="AD14" s="50"/>
      <c r="AE14" s="67">
        <f t="shared" si="9"/>
        <v>-29</v>
      </c>
    </row>
    <row r="15" spans="2:31">
      <c r="B15" s="50">
        <v>1111063</v>
      </c>
      <c r="C15" s="51" t="s">
        <v>36</v>
      </c>
      <c r="D15" s="52">
        <v>4</v>
      </c>
      <c r="E15" s="52"/>
      <c r="F15" s="65">
        <f t="shared" si="0"/>
        <v>4</v>
      </c>
      <c r="G15" s="52">
        <v>5</v>
      </c>
      <c r="H15" s="52"/>
      <c r="I15" s="65">
        <f t="shared" si="1"/>
        <v>5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>
        <v>25</v>
      </c>
      <c r="Z15" s="63">
        <f t="shared" si="7"/>
        <v>34</v>
      </c>
      <c r="AA15" s="50">
        <v>5</v>
      </c>
      <c r="AB15" s="50"/>
      <c r="AC15" s="61">
        <f t="shared" si="8"/>
        <v>-29</v>
      </c>
      <c r="AD15" s="50"/>
      <c r="AE15" s="67">
        <f t="shared" si="9"/>
        <v>-29</v>
      </c>
    </row>
    <row r="16" spans="2:31">
      <c r="B16" s="50">
        <v>1111064</v>
      </c>
      <c r="C16" s="51" t="s">
        <v>37</v>
      </c>
      <c r="D16" s="52">
        <v>4</v>
      </c>
      <c r="E16" s="52"/>
      <c r="F16" s="65">
        <f t="shared" si="0"/>
        <v>4</v>
      </c>
      <c r="G16" s="52">
        <v>5</v>
      </c>
      <c r="H16" s="52"/>
      <c r="I16" s="65">
        <f t="shared" si="1"/>
        <v>5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>
        <v>25</v>
      </c>
      <c r="Z16" s="63">
        <f t="shared" si="7"/>
        <v>34</v>
      </c>
      <c r="AA16" s="50">
        <v>5</v>
      </c>
      <c r="AB16" s="50"/>
      <c r="AC16" s="61">
        <f t="shared" si="8"/>
        <v>-29</v>
      </c>
      <c r="AD16" s="50"/>
      <c r="AE16" s="67">
        <f t="shared" si="9"/>
        <v>-29</v>
      </c>
    </row>
    <row r="17" spans="2:31">
      <c r="B17" s="50">
        <v>1111065</v>
      </c>
      <c r="C17" s="51" t="s">
        <v>38</v>
      </c>
      <c r="D17" s="52">
        <v>4</v>
      </c>
      <c r="E17" s="52"/>
      <c r="F17" s="65">
        <f t="shared" si="0"/>
        <v>4</v>
      </c>
      <c r="G17" s="52">
        <v>5</v>
      </c>
      <c r="H17" s="52"/>
      <c r="I17" s="65">
        <f t="shared" si="1"/>
        <v>5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>
        <v>25</v>
      </c>
      <c r="Z17" s="63">
        <f t="shared" si="7"/>
        <v>34</v>
      </c>
      <c r="AA17" s="50"/>
      <c r="AB17" s="50"/>
      <c r="AC17" s="61">
        <f t="shared" si="8"/>
        <v>-34</v>
      </c>
      <c r="AD17" s="50"/>
      <c r="AE17" s="67">
        <f t="shared" si="9"/>
        <v>-34</v>
      </c>
    </row>
    <row r="18" spans="2:31">
      <c r="B18" s="50">
        <v>1111066</v>
      </c>
      <c r="C18" s="51" t="s">
        <v>39</v>
      </c>
      <c r="D18" s="52">
        <v>4</v>
      </c>
      <c r="E18" s="52"/>
      <c r="F18" s="65">
        <f t="shared" si="0"/>
        <v>4</v>
      </c>
      <c r="G18" s="52">
        <v>5</v>
      </c>
      <c r="H18" s="52"/>
      <c r="I18" s="65">
        <f t="shared" si="1"/>
        <v>5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>
        <v>25</v>
      </c>
      <c r="Z18" s="63">
        <f t="shared" si="7"/>
        <v>34</v>
      </c>
      <c r="AA18" s="50"/>
      <c r="AB18" s="50"/>
      <c r="AC18" s="61">
        <f t="shared" si="8"/>
        <v>-34</v>
      </c>
      <c r="AD18" s="50"/>
      <c r="AE18" s="67">
        <f t="shared" si="9"/>
        <v>-34</v>
      </c>
    </row>
    <row r="19" spans="2:31">
      <c r="B19" s="50">
        <v>1111067</v>
      </c>
      <c r="C19" s="51" t="s">
        <v>40</v>
      </c>
      <c r="D19" s="52">
        <v>4</v>
      </c>
      <c r="E19" s="52">
        <v>1</v>
      </c>
      <c r="F19" s="65">
        <f t="shared" si="0"/>
        <v>5</v>
      </c>
      <c r="G19" s="52">
        <v>5</v>
      </c>
      <c r="H19" s="52"/>
      <c r="I19" s="65">
        <f t="shared" si="1"/>
        <v>5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>
        <v>25</v>
      </c>
      <c r="Z19" s="63">
        <f t="shared" si="7"/>
        <v>35</v>
      </c>
      <c r="AA19" s="50"/>
      <c r="AB19" s="50"/>
      <c r="AC19" s="61">
        <f t="shared" si="8"/>
        <v>-35</v>
      </c>
      <c r="AD19" s="50"/>
      <c r="AE19" s="67">
        <f t="shared" si="9"/>
        <v>-35</v>
      </c>
    </row>
    <row r="20" spans="2:31">
      <c r="B20" s="50">
        <v>1111068</v>
      </c>
      <c r="C20" s="51" t="s">
        <v>41</v>
      </c>
      <c r="D20" s="52">
        <v>3</v>
      </c>
      <c r="E20" s="52"/>
      <c r="F20" s="65">
        <f t="shared" si="0"/>
        <v>3</v>
      </c>
      <c r="G20" s="52">
        <v>5</v>
      </c>
      <c r="H20" s="52"/>
      <c r="I20" s="65">
        <f t="shared" si="1"/>
        <v>5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>
        <v>25</v>
      </c>
      <c r="Z20" s="63">
        <f t="shared" si="7"/>
        <v>33</v>
      </c>
      <c r="AA20" s="50"/>
      <c r="AB20" s="50"/>
      <c r="AC20" s="61">
        <f t="shared" si="8"/>
        <v>-33</v>
      </c>
      <c r="AD20" s="50"/>
      <c r="AE20" s="67">
        <f t="shared" si="9"/>
        <v>-33</v>
      </c>
    </row>
    <row r="21" spans="2:31">
      <c r="B21" s="50">
        <v>1111069</v>
      </c>
      <c r="C21" s="51" t="s">
        <v>42</v>
      </c>
      <c r="D21" s="52">
        <v>3</v>
      </c>
      <c r="E21" s="52"/>
      <c r="F21" s="65">
        <f t="shared" si="0"/>
        <v>3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>
        <v>25</v>
      </c>
      <c r="Z21" s="63">
        <f t="shared" si="7"/>
        <v>28</v>
      </c>
      <c r="AA21" s="50"/>
      <c r="AB21" s="50"/>
      <c r="AC21" s="61">
        <f t="shared" si="8"/>
        <v>-28</v>
      </c>
      <c r="AD21" s="50"/>
      <c r="AE21" s="67">
        <f t="shared" si="9"/>
        <v>-28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7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7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7">
        <f t="shared" si="9"/>
        <v>0</v>
      </c>
    </row>
    <row r="25" spans="2:31">
      <c r="B25" s="50">
        <v>1111008</v>
      </c>
      <c r="C25" s="51" t="s">
        <v>156</v>
      </c>
      <c r="D25" s="52"/>
      <c r="E25" s="52"/>
      <c r="F25" s="65">
        <f t="shared" si="0"/>
        <v>0</v>
      </c>
      <c r="G25" s="52">
        <v>9</v>
      </c>
      <c r="H25" s="52"/>
      <c r="I25" s="65">
        <f t="shared" si="1"/>
        <v>9</v>
      </c>
      <c r="J25" s="52"/>
      <c r="K25" s="52"/>
      <c r="L25" s="65">
        <f t="shared" si="2"/>
        <v>0</v>
      </c>
      <c r="M25" s="52">
        <v>39</v>
      </c>
      <c r="N25" s="52"/>
      <c r="O25" s="65">
        <f t="shared" si="3"/>
        <v>39</v>
      </c>
      <c r="P25" s="52">
        <v>3</v>
      </c>
      <c r="Q25" s="52"/>
      <c r="R25" s="65">
        <f t="shared" si="4"/>
        <v>3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51</v>
      </c>
      <c r="AA25" s="50">
        <v>45</v>
      </c>
      <c r="AB25" s="50"/>
      <c r="AC25" s="61">
        <f t="shared" si="8"/>
        <v>-6</v>
      </c>
      <c r="AD25" s="50">
        <v>45</v>
      </c>
      <c r="AE25" s="67">
        <f t="shared" si="9"/>
        <v>39</v>
      </c>
    </row>
    <row r="26" spans="2:31">
      <c r="B26" s="50">
        <v>1111009</v>
      </c>
      <c r="C26" s="51" t="s">
        <v>157</v>
      </c>
      <c r="D26" s="52">
        <v>2</v>
      </c>
      <c r="E26" s="52"/>
      <c r="F26" s="65">
        <f t="shared" si="0"/>
        <v>2</v>
      </c>
      <c r="G26" s="52">
        <v>11</v>
      </c>
      <c r="H26" s="52"/>
      <c r="I26" s="65">
        <f t="shared" si="1"/>
        <v>11</v>
      </c>
      <c r="J26" s="52">
        <v>6</v>
      </c>
      <c r="K26" s="52"/>
      <c r="L26" s="65">
        <f t="shared" si="2"/>
        <v>6</v>
      </c>
      <c r="M26" s="52">
        <v>3</v>
      </c>
      <c r="N26" s="52"/>
      <c r="O26" s="65">
        <f t="shared" si="3"/>
        <v>3</v>
      </c>
      <c r="P26" s="52">
        <v>1</v>
      </c>
      <c r="Q26" s="52"/>
      <c r="R26" s="65">
        <f t="shared" si="4"/>
        <v>1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23</v>
      </c>
      <c r="AA26" s="50">
        <v>20</v>
      </c>
      <c r="AB26" s="50">
        <v>21</v>
      </c>
      <c r="AC26" s="61">
        <f t="shared" si="8"/>
        <v>18</v>
      </c>
      <c r="AD26" s="50">
        <v>15</v>
      </c>
      <c r="AE26" s="67">
        <f t="shared" si="9"/>
        <v>33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7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7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7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7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7">
        <f t="shared" si="9"/>
        <v>0</v>
      </c>
    </row>
    <row r="32" spans="2:31">
      <c r="B32" s="50">
        <v>1111016</v>
      </c>
      <c r="C32" s="51" t="s">
        <v>163</v>
      </c>
      <c r="D32" s="52">
        <v>1</v>
      </c>
      <c r="E32" s="52"/>
      <c r="F32" s="65">
        <f t="shared" si="0"/>
        <v>1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1</v>
      </c>
      <c r="AA32" s="50">
        <v>1</v>
      </c>
      <c r="AB32" s="50"/>
      <c r="AC32" s="61">
        <f t="shared" si="8"/>
        <v>0</v>
      </c>
      <c r="AD32" s="50"/>
      <c r="AE32" s="67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7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7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7">
        <f t="shared" si="9"/>
        <v>0</v>
      </c>
    </row>
    <row r="36" spans="2:31" hidden="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7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7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7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7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7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12</v>
      </c>
      <c r="H41" s="52"/>
      <c r="I41" s="65">
        <f t="shared" si="1"/>
        <v>12</v>
      </c>
      <c r="J41" s="52">
        <v>2</v>
      </c>
      <c r="K41" s="52"/>
      <c r="L41" s="65">
        <f t="shared" si="2"/>
        <v>2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14</v>
      </c>
      <c r="AA41" s="50"/>
      <c r="AB41" s="50">
        <v>4</v>
      </c>
      <c r="AC41" s="61">
        <f t="shared" si="8"/>
        <v>-10</v>
      </c>
      <c r="AD41" s="50">
        <v>10</v>
      </c>
      <c r="AE41" s="67">
        <f t="shared" si="9"/>
        <v>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16</v>
      </c>
      <c r="H42" s="52"/>
      <c r="I42" s="65">
        <f t="shared" si="1"/>
        <v>16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16</v>
      </c>
      <c r="AA42" s="50">
        <v>5</v>
      </c>
      <c r="AB42" s="50"/>
      <c r="AC42" s="61">
        <f t="shared" si="8"/>
        <v>-11</v>
      </c>
      <c r="AD42" s="50"/>
      <c r="AE42" s="67">
        <f t="shared" si="9"/>
        <v>-11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15</v>
      </c>
      <c r="H43" s="52"/>
      <c r="I43" s="65">
        <f t="shared" si="1"/>
        <v>15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15</v>
      </c>
      <c r="AA43" s="50">
        <v>5</v>
      </c>
      <c r="AB43" s="50"/>
      <c r="AC43" s="61">
        <f t="shared" si="8"/>
        <v>-10</v>
      </c>
      <c r="AD43" s="50"/>
      <c r="AE43" s="67">
        <f t="shared" si="9"/>
        <v>-10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15</v>
      </c>
      <c r="H44" s="52"/>
      <c r="I44" s="65">
        <f t="shared" si="1"/>
        <v>15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15</v>
      </c>
      <c r="AA44" s="50">
        <v>5</v>
      </c>
      <c r="AB44" s="50"/>
      <c r="AC44" s="61">
        <f t="shared" si="8"/>
        <v>-10</v>
      </c>
      <c r="AD44" s="50"/>
      <c r="AE44" s="67">
        <f t="shared" si="9"/>
        <v>-10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15</v>
      </c>
      <c r="H45" s="52"/>
      <c r="I45" s="65">
        <f t="shared" si="1"/>
        <v>15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15</v>
      </c>
      <c r="AA45" s="50">
        <v>5</v>
      </c>
      <c r="AB45" s="50"/>
      <c r="AC45" s="61">
        <f t="shared" si="8"/>
        <v>-10</v>
      </c>
      <c r="AD45" s="50"/>
      <c r="AE45" s="67">
        <f t="shared" si="9"/>
        <v>-10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15</v>
      </c>
      <c r="H46" s="52"/>
      <c r="I46" s="65">
        <f t="shared" si="1"/>
        <v>15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15</v>
      </c>
      <c r="AA46" s="50">
        <v>5</v>
      </c>
      <c r="AB46" s="50"/>
      <c r="AC46" s="61">
        <f t="shared" si="8"/>
        <v>-10</v>
      </c>
      <c r="AD46" s="50"/>
      <c r="AE46" s="67">
        <f t="shared" si="9"/>
        <v>-10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15</v>
      </c>
      <c r="H47" s="52"/>
      <c r="I47" s="65">
        <f t="shared" si="1"/>
        <v>15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15</v>
      </c>
      <c r="AA47" s="50">
        <v>5</v>
      </c>
      <c r="AB47" s="50"/>
      <c r="AC47" s="61">
        <f t="shared" si="8"/>
        <v>-10</v>
      </c>
      <c r="AD47" s="50"/>
      <c r="AE47" s="67">
        <f t="shared" si="9"/>
        <v>-10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15</v>
      </c>
      <c r="H48" s="52"/>
      <c r="I48" s="65">
        <f t="shared" si="1"/>
        <v>15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15</v>
      </c>
      <c r="AA48" s="50">
        <v>5</v>
      </c>
      <c r="AB48" s="50"/>
      <c r="AC48" s="61">
        <f t="shared" si="8"/>
        <v>-10</v>
      </c>
      <c r="AD48" s="50"/>
      <c r="AE48" s="67">
        <f t="shared" si="9"/>
        <v>-10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15</v>
      </c>
      <c r="H49" s="52"/>
      <c r="I49" s="65">
        <f t="shared" si="1"/>
        <v>15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15</v>
      </c>
      <c r="AA49" s="50">
        <v>5</v>
      </c>
      <c r="AB49" s="50"/>
      <c r="AC49" s="61">
        <f t="shared" si="8"/>
        <v>-10</v>
      </c>
      <c r="AD49" s="50"/>
      <c r="AE49" s="67">
        <f t="shared" si="9"/>
        <v>-10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15</v>
      </c>
      <c r="H50" s="52"/>
      <c r="I50" s="65">
        <f t="shared" si="1"/>
        <v>15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15</v>
      </c>
      <c r="AA50" s="50">
        <v>5</v>
      </c>
      <c r="AB50" s="50"/>
      <c r="AC50" s="61">
        <f t="shared" si="8"/>
        <v>-10</v>
      </c>
      <c r="AD50" s="50"/>
      <c r="AE50" s="67">
        <f t="shared" si="9"/>
        <v>-10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15</v>
      </c>
      <c r="H51" s="52"/>
      <c r="I51" s="65">
        <f t="shared" si="1"/>
        <v>15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15</v>
      </c>
      <c r="AA51" s="50">
        <v>5</v>
      </c>
      <c r="AB51" s="50"/>
      <c r="AC51" s="61">
        <f t="shared" si="8"/>
        <v>-10</v>
      </c>
      <c r="AD51" s="50"/>
      <c r="AE51" s="67">
        <f t="shared" si="9"/>
        <v>-10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7">
        <f t="shared" si="9"/>
        <v>0</v>
      </c>
    </row>
    <row r="53" spans="2:31">
      <c r="B53" s="50">
        <v>1112003</v>
      </c>
      <c r="C53" s="51" t="s">
        <v>174</v>
      </c>
      <c r="D53" s="52">
        <v>3</v>
      </c>
      <c r="E53" s="52"/>
      <c r="F53" s="65">
        <f t="shared" si="0"/>
        <v>3</v>
      </c>
      <c r="G53" s="52">
        <v>1</v>
      </c>
      <c r="H53" s="52"/>
      <c r="I53" s="65">
        <f t="shared" si="1"/>
        <v>1</v>
      </c>
      <c r="J53" s="52"/>
      <c r="K53" s="52"/>
      <c r="L53" s="65">
        <f t="shared" si="2"/>
        <v>0</v>
      </c>
      <c r="M53" s="52">
        <v>54</v>
      </c>
      <c r="N53" s="52"/>
      <c r="O53" s="65">
        <f t="shared" si="3"/>
        <v>54</v>
      </c>
      <c r="P53" s="52">
        <v>4</v>
      </c>
      <c r="Q53" s="52"/>
      <c r="R53" s="65">
        <f t="shared" si="4"/>
        <v>4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62</v>
      </c>
      <c r="AA53" s="50">
        <v>65</v>
      </c>
      <c r="AB53" s="50">
        <v>20</v>
      </c>
      <c r="AC53" s="61">
        <f t="shared" si="8"/>
        <v>23</v>
      </c>
      <c r="AD53" s="50">
        <v>65</v>
      </c>
      <c r="AE53" s="67">
        <f t="shared" si="9"/>
        <v>88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>
        <v>100</v>
      </c>
      <c r="Z54" s="63">
        <f t="shared" si="7"/>
        <v>100</v>
      </c>
      <c r="AA54" s="50">
        <v>100</v>
      </c>
      <c r="AB54" s="50"/>
      <c r="AC54" s="61">
        <f t="shared" si="8"/>
        <v>0</v>
      </c>
      <c r="AD54" s="50"/>
      <c r="AE54" s="67">
        <f t="shared" si="9"/>
        <v>0</v>
      </c>
    </row>
    <row r="55" spans="2:31">
      <c r="B55" s="50">
        <v>1112005</v>
      </c>
      <c r="C55" s="51" t="s">
        <v>176</v>
      </c>
      <c r="D55" s="52"/>
      <c r="E55" s="52"/>
      <c r="F55" s="65">
        <f t="shared" si="0"/>
        <v>0</v>
      </c>
      <c r="G55" s="52">
        <v>1</v>
      </c>
      <c r="H55" s="52"/>
      <c r="I55" s="65">
        <f t="shared" si="1"/>
        <v>1</v>
      </c>
      <c r="J55" s="52"/>
      <c r="K55" s="52"/>
      <c r="L55" s="65">
        <f t="shared" si="2"/>
        <v>0</v>
      </c>
      <c r="M55" s="52">
        <v>54</v>
      </c>
      <c r="N55" s="52"/>
      <c r="O55" s="65">
        <f t="shared" si="3"/>
        <v>54</v>
      </c>
      <c r="P55" s="52">
        <v>4</v>
      </c>
      <c r="Q55" s="52"/>
      <c r="R55" s="65">
        <f t="shared" si="4"/>
        <v>4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59</v>
      </c>
      <c r="AA55" s="50">
        <v>65</v>
      </c>
      <c r="AB55" s="50">
        <v>19</v>
      </c>
      <c r="AC55" s="61">
        <f t="shared" si="8"/>
        <v>25</v>
      </c>
      <c r="AD55" s="50">
        <v>65</v>
      </c>
      <c r="AE55" s="67">
        <f t="shared" si="9"/>
        <v>90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7">
        <f t="shared" si="9"/>
        <v>0</v>
      </c>
    </row>
    <row r="57" spans="2:31">
      <c r="B57" s="50">
        <v>1112009</v>
      </c>
      <c r="C57" s="51" t="s">
        <v>178</v>
      </c>
      <c r="D57" s="52"/>
      <c r="E57" s="52"/>
      <c r="F57" s="65">
        <f t="shared" si="0"/>
        <v>0</v>
      </c>
      <c r="G57" s="52">
        <v>1</v>
      </c>
      <c r="H57" s="52"/>
      <c r="I57" s="65">
        <f t="shared" si="1"/>
        <v>1</v>
      </c>
      <c r="J57" s="52"/>
      <c r="K57" s="52"/>
      <c r="L57" s="65">
        <f t="shared" si="2"/>
        <v>0</v>
      </c>
      <c r="M57" s="52">
        <v>53</v>
      </c>
      <c r="N57" s="52"/>
      <c r="O57" s="65">
        <f t="shared" si="3"/>
        <v>53</v>
      </c>
      <c r="P57" s="52">
        <v>4</v>
      </c>
      <c r="Q57" s="52"/>
      <c r="R57" s="65">
        <f t="shared" si="4"/>
        <v>4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58</v>
      </c>
      <c r="AA57" s="50">
        <v>65</v>
      </c>
      <c r="AB57" s="50">
        <v>20</v>
      </c>
      <c r="AC57" s="61">
        <f t="shared" si="8"/>
        <v>27</v>
      </c>
      <c r="AD57" s="50">
        <v>65</v>
      </c>
      <c r="AE57" s="67">
        <f t="shared" si="9"/>
        <v>92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>
        <v>20</v>
      </c>
      <c r="Z58" s="63">
        <f t="shared" si="7"/>
        <v>20</v>
      </c>
      <c r="AA58" s="50">
        <v>20</v>
      </c>
      <c r="AB58" s="50"/>
      <c r="AC58" s="61">
        <f t="shared" si="8"/>
        <v>0</v>
      </c>
      <c r="AD58" s="50"/>
      <c r="AE58" s="67">
        <f t="shared" si="9"/>
        <v>0</v>
      </c>
    </row>
    <row r="59" spans="2:31">
      <c r="B59" s="50">
        <v>1112011</v>
      </c>
      <c r="C59" s="51" t="s">
        <v>180</v>
      </c>
      <c r="D59" s="52">
        <v>2</v>
      </c>
      <c r="E59" s="52"/>
      <c r="F59" s="65">
        <f t="shared" si="0"/>
        <v>2</v>
      </c>
      <c r="G59" s="52"/>
      <c r="H59" s="52"/>
      <c r="I59" s="65">
        <f t="shared" si="1"/>
        <v>0</v>
      </c>
      <c r="J59" s="52">
        <v>8</v>
      </c>
      <c r="K59" s="52"/>
      <c r="L59" s="65">
        <f t="shared" si="2"/>
        <v>8</v>
      </c>
      <c r="M59" s="52">
        <v>53</v>
      </c>
      <c r="N59" s="52"/>
      <c r="O59" s="65">
        <f t="shared" si="3"/>
        <v>53</v>
      </c>
      <c r="P59" s="52">
        <v>4</v>
      </c>
      <c r="Q59" s="52"/>
      <c r="R59" s="65">
        <f t="shared" si="4"/>
        <v>4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67</v>
      </c>
      <c r="AA59" s="50">
        <v>65</v>
      </c>
      <c r="AB59" s="50">
        <v>18</v>
      </c>
      <c r="AC59" s="61">
        <f t="shared" si="8"/>
        <v>16</v>
      </c>
      <c r="AD59" s="50">
        <v>65</v>
      </c>
      <c r="AE59" s="67">
        <f t="shared" si="9"/>
        <v>81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7">
        <f t="shared" si="9"/>
        <v>0</v>
      </c>
    </row>
    <row r="61" spans="2:31">
      <c r="B61" s="50">
        <v>1112013</v>
      </c>
      <c r="C61" s="51" t="s">
        <v>182</v>
      </c>
      <c r="D61" s="52">
        <v>1</v>
      </c>
      <c r="E61" s="52"/>
      <c r="F61" s="65">
        <f t="shared" si="0"/>
        <v>1</v>
      </c>
      <c r="G61" s="52">
        <v>1</v>
      </c>
      <c r="H61" s="52"/>
      <c r="I61" s="65">
        <f t="shared" si="1"/>
        <v>1</v>
      </c>
      <c r="J61" s="52"/>
      <c r="K61" s="52"/>
      <c r="L61" s="65">
        <f t="shared" si="2"/>
        <v>0</v>
      </c>
      <c r="M61" s="52">
        <v>53</v>
      </c>
      <c r="N61" s="52"/>
      <c r="O61" s="65">
        <f t="shared" si="3"/>
        <v>53</v>
      </c>
      <c r="P61" s="52">
        <v>4</v>
      </c>
      <c r="Q61" s="52"/>
      <c r="R61" s="65">
        <f t="shared" si="4"/>
        <v>4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59</v>
      </c>
      <c r="AA61" s="50">
        <v>65</v>
      </c>
      <c r="AB61" s="50">
        <v>17</v>
      </c>
      <c r="AC61" s="61">
        <f t="shared" si="8"/>
        <v>23</v>
      </c>
      <c r="AD61" s="50">
        <v>65</v>
      </c>
      <c r="AE61" s="67">
        <f t="shared" si="9"/>
        <v>88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7">
        <f t="shared" si="9"/>
        <v>0</v>
      </c>
    </row>
    <row r="63" spans="2:31">
      <c r="B63" s="50">
        <v>1112015</v>
      </c>
      <c r="C63" s="51" t="s">
        <v>184</v>
      </c>
      <c r="D63" s="52">
        <v>2</v>
      </c>
      <c r="E63" s="52"/>
      <c r="F63" s="65">
        <f t="shared" si="0"/>
        <v>2</v>
      </c>
      <c r="G63" s="52">
        <v>1</v>
      </c>
      <c r="H63" s="52"/>
      <c r="I63" s="65">
        <f t="shared" si="1"/>
        <v>1</v>
      </c>
      <c r="J63" s="52"/>
      <c r="K63" s="52"/>
      <c r="L63" s="65">
        <f t="shared" si="2"/>
        <v>0</v>
      </c>
      <c r="M63" s="52">
        <v>54</v>
      </c>
      <c r="N63" s="52"/>
      <c r="O63" s="65">
        <f t="shared" si="3"/>
        <v>54</v>
      </c>
      <c r="P63" s="52">
        <v>4</v>
      </c>
      <c r="Q63" s="52"/>
      <c r="R63" s="65">
        <f t="shared" si="4"/>
        <v>4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61</v>
      </c>
      <c r="AA63" s="50">
        <v>65</v>
      </c>
      <c r="AB63" s="50">
        <v>19</v>
      </c>
      <c r="AC63" s="61">
        <f t="shared" si="8"/>
        <v>23</v>
      </c>
      <c r="AD63" s="50">
        <v>65</v>
      </c>
      <c r="AE63" s="67">
        <f t="shared" si="9"/>
        <v>88</v>
      </c>
    </row>
    <row r="64" spans="2:3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7">
        <f t="shared" si="9"/>
        <v>0</v>
      </c>
    </row>
    <row r="65" spans="2:3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7">
        <f t="shared" si="9"/>
        <v>0</v>
      </c>
    </row>
    <row r="66" spans="2:3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7">
        <f t="shared" si="9"/>
        <v>0</v>
      </c>
    </row>
    <row r="67" spans="2:31">
      <c r="B67" s="50">
        <v>1114501</v>
      </c>
      <c r="C67" s="53" t="s">
        <v>187</v>
      </c>
      <c r="D67" s="52"/>
      <c r="E67" s="52"/>
      <c r="F67" s="65">
        <f t="shared" si="0"/>
        <v>0</v>
      </c>
      <c r="G67" s="52">
        <v>16</v>
      </c>
      <c r="H67" s="52"/>
      <c r="I67" s="65">
        <f t="shared" si="1"/>
        <v>16</v>
      </c>
      <c r="J67" s="52">
        <v>2</v>
      </c>
      <c r="K67" s="52"/>
      <c r="L67" s="65">
        <f t="shared" si="2"/>
        <v>2</v>
      </c>
      <c r="M67" s="52">
        <v>132</v>
      </c>
      <c r="N67" s="52"/>
      <c r="O67" s="65">
        <f t="shared" si="3"/>
        <v>132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150</v>
      </c>
      <c r="AA67" s="50">
        <v>338</v>
      </c>
      <c r="AB67" s="50">
        <v>26</v>
      </c>
      <c r="AC67" s="61">
        <f t="shared" si="8"/>
        <v>214</v>
      </c>
      <c r="AD67" s="50"/>
      <c r="AE67" s="67">
        <f t="shared" si="9"/>
        <v>214</v>
      </c>
    </row>
    <row r="68" spans="2:31">
      <c r="B68" s="50">
        <v>1114502</v>
      </c>
      <c r="C68" s="53" t="s">
        <v>188</v>
      </c>
      <c r="D68" s="52"/>
      <c r="E68" s="52"/>
      <c r="F68" s="65">
        <f t="shared" si="0"/>
        <v>0</v>
      </c>
      <c r="G68" s="52">
        <v>5</v>
      </c>
      <c r="H68" s="52"/>
      <c r="I68" s="65">
        <f t="shared" si="1"/>
        <v>5</v>
      </c>
      <c r="J68" s="52">
        <v>2</v>
      </c>
      <c r="K68" s="52"/>
      <c r="L68" s="65">
        <f t="shared" si="2"/>
        <v>2</v>
      </c>
      <c r="M68" s="52">
        <v>132</v>
      </c>
      <c r="N68" s="52"/>
      <c r="O68" s="65">
        <f t="shared" si="3"/>
        <v>132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139</v>
      </c>
      <c r="AA68" s="50">
        <v>228</v>
      </c>
      <c r="AB68" s="50">
        <v>63</v>
      </c>
      <c r="AC68" s="61">
        <f t="shared" si="8"/>
        <v>152</v>
      </c>
      <c r="AD68" s="50"/>
      <c r="AE68" s="67">
        <f t="shared" si="9"/>
        <v>152</v>
      </c>
    </row>
    <row r="69" spans="2:31">
      <c r="B69" s="50">
        <v>1114503</v>
      </c>
      <c r="C69" s="53" t="s">
        <v>189</v>
      </c>
      <c r="D69" s="52"/>
      <c r="E69" s="52"/>
      <c r="F69" s="65">
        <f t="shared" ref="F69:F132" si="10">SUM(D69:E69)</f>
        <v>0</v>
      </c>
      <c r="G69" s="52">
        <v>5</v>
      </c>
      <c r="H69" s="52"/>
      <c r="I69" s="65">
        <f t="shared" ref="I69:I121" si="11">SUM(G69:H69)</f>
        <v>5</v>
      </c>
      <c r="J69" s="52">
        <v>2</v>
      </c>
      <c r="K69" s="52"/>
      <c r="L69" s="65">
        <f t="shared" ref="L69:L121" si="12">SUM(J69:K69)</f>
        <v>2</v>
      </c>
      <c r="M69" s="52">
        <v>132</v>
      </c>
      <c r="N69" s="52"/>
      <c r="O69" s="65">
        <f t="shared" ref="O69:O121" si="13">SUM(M69:N69)</f>
        <v>132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139</v>
      </c>
      <c r="AA69" s="50">
        <v>290</v>
      </c>
      <c r="AB69" s="50">
        <v>5</v>
      </c>
      <c r="AC69" s="61">
        <f t="shared" ref="AC69:AC121" si="18">+AA69+AB69-Z69</f>
        <v>156</v>
      </c>
      <c r="AD69" s="50"/>
      <c r="AE69" s="67">
        <f t="shared" ref="AE69:AE121" si="19">AC69+AD69</f>
        <v>156</v>
      </c>
    </row>
    <row r="70" spans="2:3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>
        <v>12</v>
      </c>
      <c r="H70" s="52"/>
      <c r="I70" s="65">
        <f t="shared" si="11"/>
        <v>12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12</v>
      </c>
      <c r="AA70" s="50">
        <v>40</v>
      </c>
      <c r="AB70" s="50">
        <v>9</v>
      </c>
      <c r="AC70" s="61">
        <f t="shared" si="18"/>
        <v>37</v>
      </c>
      <c r="AD70" s="50">
        <v>50</v>
      </c>
      <c r="AE70" s="67">
        <f t="shared" si="19"/>
        <v>87</v>
      </c>
    </row>
    <row r="71" spans="2:3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7">
        <f t="shared" si="19"/>
        <v>0</v>
      </c>
    </row>
    <row r="72" spans="2:3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>
        <v>100</v>
      </c>
      <c r="Z72" s="63">
        <f t="shared" si="17"/>
        <v>100</v>
      </c>
      <c r="AA72" s="50">
        <v>100</v>
      </c>
      <c r="AB72" s="50"/>
      <c r="AC72" s="61">
        <f t="shared" si="18"/>
        <v>0</v>
      </c>
      <c r="AD72" s="50"/>
      <c r="AE72" s="67">
        <f t="shared" si="19"/>
        <v>0</v>
      </c>
    </row>
    <row r="73" spans="2:3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7">
        <f t="shared" si="19"/>
        <v>0</v>
      </c>
    </row>
    <row r="74" spans="2:3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7">
        <f t="shared" si="19"/>
        <v>0</v>
      </c>
    </row>
    <row r="75" spans="2:31">
      <c r="B75" s="50">
        <v>1113170</v>
      </c>
      <c r="C75" s="53" t="s">
        <v>87</v>
      </c>
      <c r="D75" s="52">
        <v>83</v>
      </c>
      <c r="E75" s="52"/>
      <c r="F75" s="65">
        <f t="shared" si="10"/>
        <v>83</v>
      </c>
      <c r="G75" s="52"/>
      <c r="H75" s="52"/>
      <c r="I75" s="65">
        <f t="shared" si="11"/>
        <v>0</v>
      </c>
      <c r="J75" s="52">
        <v>3</v>
      </c>
      <c r="K75" s="52"/>
      <c r="L75" s="65">
        <f t="shared" si="12"/>
        <v>3</v>
      </c>
      <c r="M75" s="52">
        <v>3</v>
      </c>
      <c r="N75" s="52"/>
      <c r="O75" s="65">
        <f t="shared" si="13"/>
        <v>3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89</v>
      </c>
      <c r="AA75" s="50">
        <v>90</v>
      </c>
      <c r="AB75" s="50"/>
      <c r="AC75" s="61">
        <f t="shared" si="18"/>
        <v>1</v>
      </c>
      <c r="AD75" s="50">
        <v>90</v>
      </c>
      <c r="AE75" s="67">
        <f t="shared" si="19"/>
        <v>91</v>
      </c>
    </row>
    <row r="76" spans="2:31">
      <c r="B76" s="50">
        <v>1113171</v>
      </c>
      <c r="C76" s="53" t="s">
        <v>88</v>
      </c>
      <c r="D76" s="52">
        <v>84</v>
      </c>
      <c r="E76" s="52"/>
      <c r="F76" s="65">
        <f t="shared" si="10"/>
        <v>84</v>
      </c>
      <c r="G76" s="52"/>
      <c r="H76" s="52"/>
      <c r="I76" s="65">
        <f t="shared" si="11"/>
        <v>0</v>
      </c>
      <c r="J76" s="52">
        <v>2</v>
      </c>
      <c r="K76" s="52"/>
      <c r="L76" s="65">
        <f t="shared" si="12"/>
        <v>2</v>
      </c>
      <c r="M76" s="52">
        <v>4</v>
      </c>
      <c r="N76" s="52"/>
      <c r="O76" s="65">
        <f t="shared" si="13"/>
        <v>4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90</v>
      </c>
      <c r="AA76" s="50">
        <v>70</v>
      </c>
      <c r="AB76" s="50">
        <v>34</v>
      </c>
      <c r="AC76" s="61">
        <f t="shared" si="18"/>
        <v>14</v>
      </c>
      <c r="AD76" s="50">
        <v>50</v>
      </c>
      <c r="AE76" s="67">
        <f t="shared" si="19"/>
        <v>64</v>
      </c>
    </row>
    <row r="77" spans="2:31">
      <c r="B77" s="50">
        <v>1113172</v>
      </c>
      <c r="C77" s="53" t="s">
        <v>89</v>
      </c>
      <c r="D77" s="52">
        <v>71</v>
      </c>
      <c r="E77" s="52"/>
      <c r="F77" s="65">
        <f t="shared" si="10"/>
        <v>71</v>
      </c>
      <c r="G77" s="52"/>
      <c r="H77" s="52"/>
      <c r="I77" s="65">
        <f t="shared" si="11"/>
        <v>0</v>
      </c>
      <c r="J77" s="52">
        <v>1</v>
      </c>
      <c r="K77" s="52"/>
      <c r="L77" s="65">
        <f t="shared" si="12"/>
        <v>1</v>
      </c>
      <c r="M77" s="52">
        <v>4</v>
      </c>
      <c r="N77" s="52"/>
      <c r="O77" s="65">
        <f t="shared" si="13"/>
        <v>4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76</v>
      </c>
      <c r="AA77" s="50">
        <v>70</v>
      </c>
      <c r="AB77" s="50">
        <v>46</v>
      </c>
      <c r="AC77" s="61">
        <f t="shared" si="18"/>
        <v>40</v>
      </c>
      <c r="AD77" s="50"/>
      <c r="AE77" s="67">
        <f t="shared" si="19"/>
        <v>40</v>
      </c>
    </row>
    <row r="78" spans="2:31">
      <c r="B78" s="50">
        <v>1113173</v>
      </c>
      <c r="C78" s="53" t="s">
        <v>90</v>
      </c>
      <c r="D78" s="52">
        <v>77</v>
      </c>
      <c r="E78" s="52"/>
      <c r="F78" s="65">
        <f t="shared" si="10"/>
        <v>77</v>
      </c>
      <c r="G78" s="52"/>
      <c r="H78" s="52"/>
      <c r="I78" s="65">
        <f t="shared" si="11"/>
        <v>0</v>
      </c>
      <c r="J78" s="52">
        <v>2</v>
      </c>
      <c r="K78" s="52"/>
      <c r="L78" s="65">
        <f t="shared" si="12"/>
        <v>2</v>
      </c>
      <c r="M78" s="52">
        <v>3</v>
      </c>
      <c r="N78" s="52"/>
      <c r="O78" s="65">
        <f t="shared" si="13"/>
        <v>3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82</v>
      </c>
      <c r="AA78" s="50">
        <v>70</v>
      </c>
      <c r="AB78" s="50">
        <v>36</v>
      </c>
      <c r="AC78" s="61">
        <f t="shared" si="18"/>
        <v>24</v>
      </c>
      <c r="AD78" s="50"/>
      <c r="AE78" s="67">
        <f t="shared" si="19"/>
        <v>24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7">
        <f t="shared" si="19"/>
        <v>0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7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7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3</v>
      </c>
      <c r="H82" s="52"/>
      <c r="I82" s="65">
        <f t="shared" si="11"/>
        <v>3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3</v>
      </c>
      <c r="AA82" s="50"/>
      <c r="AB82" s="50"/>
      <c r="AC82" s="61">
        <f t="shared" si="18"/>
        <v>-3</v>
      </c>
      <c r="AD82" s="50"/>
      <c r="AE82" s="67">
        <f t="shared" si="19"/>
        <v>-3</v>
      </c>
    </row>
    <row r="83" spans="2:31">
      <c r="B83" s="50">
        <v>200</v>
      </c>
      <c r="C83" s="53" t="s">
        <v>198</v>
      </c>
      <c r="D83" s="52">
        <v>15</v>
      </c>
      <c r="E83" s="52"/>
      <c r="F83" s="65">
        <f t="shared" si="10"/>
        <v>15</v>
      </c>
      <c r="G83" s="52"/>
      <c r="H83" s="52"/>
      <c r="I83" s="65">
        <f t="shared" si="11"/>
        <v>0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15</v>
      </c>
      <c r="AA83" s="50"/>
      <c r="AB83" s="50"/>
      <c r="AC83" s="61">
        <f t="shared" si="18"/>
        <v>-15</v>
      </c>
      <c r="AD83" s="50"/>
      <c r="AE83" s="67">
        <f t="shared" si="19"/>
        <v>-15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7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7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7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7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7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7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7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7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7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7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7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7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7">
        <f t="shared" si="19"/>
        <v>0</v>
      </c>
    </row>
    <row r="97" spans="2:3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7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7">
        <f t="shared" si="19"/>
        <v>0</v>
      </c>
    </row>
    <row r="99" spans="2:3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7">
        <f t="shared" si="19"/>
        <v>0</v>
      </c>
    </row>
    <row r="100" spans="2:31">
      <c r="B100" s="50">
        <v>1004062</v>
      </c>
      <c r="C100" s="53" t="s">
        <v>238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71">
        <v>14</v>
      </c>
      <c r="Z100" s="63">
        <f t="shared" si="17"/>
        <v>14</v>
      </c>
      <c r="AA100" s="50"/>
      <c r="AB100" s="50"/>
      <c r="AC100" s="61">
        <f t="shared" si="18"/>
        <v>-14</v>
      </c>
      <c r="AD100" s="50"/>
      <c r="AE100" s="67">
        <f t="shared" si="19"/>
        <v>-14</v>
      </c>
    </row>
    <row r="101" spans="2:31">
      <c r="B101" s="50">
        <v>1004051</v>
      </c>
      <c r="C101" s="53" t="s">
        <v>239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71">
        <v>28</v>
      </c>
      <c r="Z101" s="63">
        <f t="shared" si="17"/>
        <v>28</v>
      </c>
      <c r="AA101" s="50"/>
      <c r="AB101" s="50"/>
      <c r="AC101" s="61">
        <f t="shared" si="18"/>
        <v>-28</v>
      </c>
      <c r="AD101" s="50"/>
      <c r="AE101" s="67">
        <f t="shared" si="19"/>
        <v>-28</v>
      </c>
    </row>
    <row r="102" spans="2:31">
      <c r="B102" s="50">
        <v>1111005</v>
      </c>
      <c r="C102" s="53" t="s">
        <v>240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71">
        <v>2</v>
      </c>
      <c r="Z102" s="63">
        <f t="shared" si="17"/>
        <v>2</v>
      </c>
      <c r="AA102" s="50"/>
      <c r="AB102" s="50"/>
      <c r="AC102" s="61">
        <f t="shared" si="18"/>
        <v>-2</v>
      </c>
      <c r="AD102" s="50"/>
      <c r="AE102" s="67">
        <f t="shared" si="19"/>
        <v>-2</v>
      </c>
    </row>
    <row r="103" spans="2:31">
      <c r="B103" s="50">
        <v>1111006</v>
      </c>
      <c r="C103" s="53" t="s">
        <v>241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71">
        <v>23</v>
      </c>
      <c r="Z103" s="63">
        <f t="shared" si="17"/>
        <v>23</v>
      </c>
      <c r="AA103" s="50"/>
      <c r="AB103" s="50"/>
      <c r="AC103" s="61">
        <f t="shared" si="18"/>
        <v>-23</v>
      </c>
      <c r="AD103" s="50"/>
      <c r="AE103" s="67">
        <f t="shared" si="19"/>
        <v>-23</v>
      </c>
    </row>
    <row r="104" spans="2:31">
      <c r="B104" s="50">
        <v>1004048</v>
      </c>
      <c r="C104" s="53" t="s">
        <v>242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71">
        <v>1</v>
      </c>
      <c r="Z104" s="63">
        <f t="shared" si="17"/>
        <v>1</v>
      </c>
      <c r="AA104" s="50"/>
      <c r="AB104" s="50"/>
      <c r="AC104" s="61">
        <f t="shared" si="18"/>
        <v>-1</v>
      </c>
      <c r="AD104" s="50"/>
      <c r="AE104" s="67">
        <f t="shared" si="19"/>
        <v>-1</v>
      </c>
    </row>
    <row r="105" spans="2:31">
      <c r="B105" s="50">
        <v>1113157</v>
      </c>
      <c r="C105" s="53" t="s">
        <v>243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71">
        <v>1</v>
      </c>
      <c r="Z105" s="63">
        <f t="shared" si="17"/>
        <v>1</v>
      </c>
      <c r="AA105" s="50"/>
      <c r="AB105" s="50"/>
      <c r="AC105" s="61">
        <f t="shared" si="18"/>
        <v>-1</v>
      </c>
      <c r="AD105" s="50"/>
      <c r="AE105" s="67">
        <f t="shared" si="19"/>
        <v>-1</v>
      </c>
    </row>
    <row r="106" spans="2:31">
      <c r="B106" s="50">
        <v>1004080</v>
      </c>
      <c r="C106" s="53" t="s">
        <v>244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71">
        <v>45</v>
      </c>
      <c r="Z106" s="63">
        <f t="shared" si="17"/>
        <v>45</v>
      </c>
      <c r="AA106" s="50"/>
      <c r="AB106" s="50"/>
      <c r="AC106" s="61">
        <f t="shared" si="18"/>
        <v>-45</v>
      </c>
      <c r="AD106" s="50"/>
      <c r="AE106" s="67">
        <f t="shared" si="19"/>
        <v>-45</v>
      </c>
    </row>
    <row r="107" spans="2:31">
      <c r="B107" s="50">
        <v>1004081</v>
      </c>
      <c r="C107" s="53" t="s">
        <v>245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71">
        <v>45</v>
      </c>
      <c r="Z107" s="63">
        <f t="shared" si="17"/>
        <v>45</v>
      </c>
      <c r="AA107" s="50"/>
      <c r="AB107" s="50"/>
      <c r="AC107" s="61">
        <f t="shared" si="18"/>
        <v>-45</v>
      </c>
      <c r="AD107" s="50"/>
      <c r="AE107" s="67">
        <f t="shared" si="19"/>
        <v>-45</v>
      </c>
    </row>
    <row r="108" spans="2:31">
      <c r="B108" s="50">
        <v>3001200</v>
      </c>
      <c r="C108" s="53" t="s">
        <v>246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71">
        <v>30</v>
      </c>
      <c r="Z108" s="63">
        <f t="shared" si="17"/>
        <v>30</v>
      </c>
      <c r="AA108" s="50"/>
      <c r="AB108" s="50"/>
      <c r="AC108" s="61">
        <f t="shared" si="18"/>
        <v>-30</v>
      </c>
      <c r="AD108" s="50"/>
      <c r="AE108" s="67">
        <f t="shared" si="19"/>
        <v>-30</v>
      </c>
    </row>
    <row r="109" spans="2:31">
      <c r="B109" s="50">
        <v>1004047</v>
      </c>
      <c r="C109" s="53" t="s">
        <v>247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71">
        <v>25</v>
      </c>
      <c r="Z109" s="63">
        <f t="shared" si="17"/>
        <v>25</v>
      </c>
      <c r="AA109" s="50"/>
      <c r="AB109" s="50"/>
      <c r="AC109" s="61">
        <f t="shared" si="18"/>
        <v>-25</v>
      </c>
      <c r="AD109" s="50"/>
      <c r="AE109" s="67">
        <f t="shared" si="19"/>
        <v>-25</v>
      </c>
    </row>
    <row r="110" spans="2:31">
      <c r="B110" s="50">
        <v>1004070</v>
      </c>
      <c r="C110" s="53" t="s">
        <v>248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71">
        <v>10</v>
      </c>
      <c r="Z110" s="63">
        <f t="shared" si="17"/>
        <v>10</v>
      </c>
      <c r="AA110" s="50"/>
      <c r="AB110" s="50"/>
      <c r="AC110" s="61">
        <f t="shared" si="18"/>
        <v>-10</v>
      </c>
      <c r="AD110" s="50"/>
      <c r="AE110" s="67">
        <f t="shared" si="19"/>
        <v>-10</v>
      </c>
    </row>
    <row r="111" spans="2:31">
      <c r="B111" s="50">
        <v>1004076</v>
      </c>
      <c r="C111" s="53" t="s">
        <v>249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7">
        <f t="shared" si="19"/>
        <v>0</v>
      </c>
    </row>
    <row r="112" spans="2:31">
      <c r="B112" s="50">
        <v>1004050</v>
      </c>
      <c r="C112" s="53" t="s">
        <v>250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7">
        <f t="shared" si="19"/>
        <v>0</v>
      </c>
    </row>
    <row r="113" spans="2:31">
      <c r="B113" s="50">
        <v>1004048</v>
      </c>
      <c r="C113" s="53" t="s">
        <v>251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7">
        <f t="shared" si="19"/>
        <v>0</v>
      </c>
    </row>
    <row r="114" spans="2:31">
      <c r="B114" s="50">
        <v>1007020</v>
      </c>
      <c r="C114" s="53" t="s">
        <v>253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7">
        <f t="shared" si="19"/>
        <v>0</v>
      </c>
    </row>
    <row r="115" spans="2:31">
      <c r="B115" s="50">
        <v>1004063</v>
      </c>
      <c r="C115" s="53" t="s">
        <v>254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7">
        <f t="shared" si="19"/>
        <v>0</v>
      </c>
    </row>
    <row r="116" spans="2:31">
      <c r="B116" s="50">
        <v>1004065</v>
      </c>
      <c r="C116" s="53" t="s">
        <v>255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7">
        <f t="shared" si="19"/>
        <v>0</v>
      </c>
    </row>
    <row r="117" spans="2:31">
      <c r="B117" s="50">
        <v>1006982</v>
      </c>
      <c r="C117" s="53" t="s">
        <v>256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7">
        <f t="shared" si="19"/>
        <v>0</v>
      </c>
    </row>
    <row r="118" spans="2:31">
      <c r="B118" s="50">
        <v>1006000</v>
      </c>
      <c r="C118" s="53" t="s">
        <v>257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7">
        <f t="shared" si="19"/>
        <v>0</v>
      </c>
    </row>
    <row r="119" spans="2:31">
      <c r="B119" s="50">
        <v>1005998</v>
      </c>
      <c r="C119" s="53" t="s">
        <v>258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7">
        <f t="shared" si="19"/>
        <v>0</v>
      </c>
    </row>
    <row r="120" spans="2:31">
      <c r="B120" s="50">
        <v>1005995</v>
      </c>
      <c r="C120" s="53" t="s">
        <v>259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7">
        <f t="shared" si="19"/>
        <v>0</v>
      </c>
    </row>
    <row r="121" spans="2:3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7">
        <f t="shared" si="19"/>
        <v>0</v>
      </c>
    </row>
    <row r="122" spans="2:3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7"/>
    </row>
    <row r="123" spans="2:3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7"/>
    </row>
    <row r="124" spans="2:3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7"/>
    </row>
    <row r="125" spans="2:3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7"/>
    </row>
    <row r="126" spans="2:3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7"/>
    </row>
    <row r="127" spans="2:3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7"/>
    </row>
    <row r="128" spans="2:3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7"/>
    </row>
    <row r="129" spans="2:3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7"/>
    </row>
    <row r="130" spans="2:3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7"/>
    </row>
    <row r="131" spans="2:3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7"/>
    </row>
    <row r="132" spans="2:3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7"/>
    </row>
    <row r="133" spans="2:3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7"/>
    </row>
    <row r="134" spans="2:3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7"/>
    </row>
    <row r="135" spans="2:3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7"/>
    </row>
    <row r="136" spans="2:3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7"/>
    </row>
    <row r="137" spans="2:3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7"/>
    </row>
    <row r="138" spans="2:3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7"/>
    </row>
    <row r="139" spans="2:3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7"/>
    </row>
    <row r="140" spans="2:3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7"/>
    </row>
    <row r="141" spans="2:3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7"/>
    </row>
    <row r="142" spans="2:3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7"/>
    </row>
    <row r="143" spans="2:3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7"/>
    </row>
    <row r="144" spans="2:3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7"/>
    </row>
    <row r="145" spans="2:3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7"/>
    </row>
    <row r="146" spans="2:3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7"/>
    </row>
    <row r="147" spans="2:3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7"/>
    </row>
    <row r="148" spans="2:3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7"/>
    </row>
    <row r="149" spans="2:3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7"/>
    </row>
    <row r="150" spans="2:3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7"/>
    </row>
    <row r="151" spans="2:3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7">
        <f t="shared" ref="AE151:AE153" si="29">AC151+AD151</f>
        <v>0</v>
      </c>
    </row>
    <row r="152" spans="2:3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7">
        <f t="shared" si="29"/>
        <v>0</v>
      </c>
    </row>
    <row r="153" spans="2:3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7">
        <f t="shared" si="29"/>
        <v>0</v>
      </c>
    </row>
    <row r="154" spans="2:31" s="59" customFormat="1" ht="51.75">
      <c r="B154" s="97" t="s">
        <v>201</v>
      </c>
      <c r="C154" s="98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406</v>
      </c>
      <c r="E154" s="62">
        <f t="shared" si="30"/>
        <v>1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407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352</v>
      </c>
      <c r="H154" s="62">
        <f t="shared" si="31"/>
        <v>0</v>
      </c>
      <c r="I154" s="62">
        <f t="shared" si="31"/>
        <v>352</v>
      </c>
      <c r="J154" s="62">
        <f t="shared" si="31"/>
        <v>58</v>
      </c>
      <c r="K154" s="62">
        <f t="shared" si="31"/>
        <v>0</v>
      </c>
      <c r="L154" s="62">
        <f t="shared" si="31"/>
        <v>58</v>
      </c>
      <c r="M154" s="62">
        <f t="shared" si="31"/>
        <v>872</v>
      </c>
      <c r="N154" s="62">
        <f t="shared" si="31"/>
        <v>0</v>
      </c>
      <c r="O154" s="62">
        <f t="shared" si="31"/>
        <v>872</v>
      </c>
      <c r="P154" s="62">
        <f t="shared" si="31"/>
        <v>28</v>
      </c>
      <c r="Q154" s="62">
        <f t="shared" si="31"/>
        <v>0</v>
      </c>
      <c r="R154" s="62">
        <f t="shared" si="31"/>
        <v>28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759</v>
      </c>
      <c r="Z154" s="62">
        <f t="shared" si="31"/>
        <v>2476</v>
      </c>
      <c r="AA154" s="62">
        <f t="shared" si="31"/>
        <v>2152</v>
      </c>
      <c r="AB154" s="62">
        <f t="shared" si="31"/>
        <v>377</v>
      </c>
      <c r="AC154" s="62">
        <f t="shared" si="31"/>
        <v>53</v>
      </c>
      <c r="AD154" s="62">
        <f t="shared" si="31"/>
        <v>830</v>
      </c>
      <c r="AE154" s="62">
        <f t="shared" si="31"/>
        <v>883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Y2:Y3"/>
    <mergeCell ref="Z2:Z3"/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1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E779-EDA2-4A22-B92C-EA39DD969AF1}">
  <sheetPr codeName="Sheet6">
    <pageSetUpPr fitToPage="1"/>
  </sheetPr>
  <dimension ref="B1:AG159"/>
  <sheetViews>
    <sheetView topLeftCell="A44" zoomScale="50" zoomScaleNormal="50" workbookViewId="0">
      <selection activeCell="V48" sqref="V48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3" ht="68.25">
      <c r="B1" s="83" t="s">
        <v>209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</row>
    <row r="2" spans="2:33" ht="49.9" customHeight="1">
      <c r="B2" s="99" t="s">
        <v>3</v>
      </c>
      <c r="C2" s="99" t="s">
        <v>4</v>
      </c>
      <c r="D2" s="85" t="s">
        <v>5</v>
      </c>
      <c r="E2" s="86"/>
      <c r="F2" s="87"/>
      <c r="G2" s="85" t="s">
        <v>6</v>
      </c>
      <c r="H2" s="86"/>
      <c r="I2" s="87"/>
      <c r="J2" s="85" t="s">
        <v>7</v>
      </c>
      <c r="K2" s="86"/>
      <c r="L2" s="87"/>
      <c r="M2" s="85" t="s">
        <v>8</v>
      </c>
      <c r="N2" s="86"/>
      <c r="O2" s="87"/>
      <c r="P2" s="85" t="s">
        <v>132</v>
      </c>
      <c r="Q2" s="86"/>
      <c r="R2" s="87"/>
      <c r="S2" s="85" t="s">
        <v>9</v>
      </c>
      <c r="T2" s="86"/>
      <c r="U2" s="87"/>
      <c r="V2" s="88" t="s">
        <v>131</v>
      </c>
      <c r="W2" s="89"/>
      <c r="X2" s="90"/>
      <c r="Y2" s="101" t="s">
        <v>134</v>
      </c>
      <c r="Z2" s="103" t="s">
        <v>204</v>
      </c>
      <c r="AA2" s="91" t="s">
        <v>145</v>
      </c>
      <c r="AB2" s="91" t="s">
        <v>146</v>
      </c>
      <c r="AC2" s="95" t="s">
        <v>147</v>
      </c>
      <c r="AD2" s="93" t="s">
        <v>148</v>
      </c>
      <c r="AE2" s="82" t="s">
        <v>212</v>
      </c>
    </row>
    <row r="3" spans="2:33" ht="49.9" customHeight="1">
      <c r="B3" s="100"/>
      <c r="C3" s="100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102"/>
      <c r="Z3" s="104"/>
      <c r="AA3" s="92"/>
      <c r="AB3" s="92"/>
      <c r="AC3" s="96"/>
      <c r="AD3" s="94"/>
      <c r="AE3" s="82"/>
    </row>
    <row r="4" spans="2:33">
      <c r="B4" s="50">
        <v>1004055</v>
      </c>
      <c r="C4" s="51" t="s">
        <v>149</v>
      </c>
      <c r="D4" s="52">
        <v>1</v>
      </c>
      <c r="E4" s="52"/>
      <c r="F4" s="65">
        <f>SUM(D4:E4)</f>
        <v>1</v>
      </c>
      <c r="G4" s="52">
        <v>1</v>
      </c>
      <c r="H4" s="52"/>
      <c r="I4" s="65">
        <f>SUM(G4:H4)</f>
        <v>1</v>
      </c>
      <c r="J4" s="52">
        <v>2</v>
      </c>
      <c r="K4" s="52"/>
      <c r="L4" s="65">
        <f>SUM(J4:K4)</f>
        <v>2</v>
      </c>
      <c r="M4" s="52">
        <v>54</v>
      </c>
      <c r="N4" s="52"/>
      <c r="O4" s="65">
        <f>SUM(M4:N4)</f>
        <v>54</v>
      </c>
      <c r="P4" s="52">
        <v>12</v>
      </c>
      <c r="Q4" s="52"/>
      <c r="R4" s="65">
        <f>SUM(P4:Q4)</f>
        <v>12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71">
        <v>5</v>
      </c>
      <c r="Z4" s="63">
        <f>+F4+I4+L4+O4+R4+U4+X4+Y4</f>
        <v>75</v>
      </c>
      <c r="AA4" s="50">
        <v>100</v>
      </c>
      <c r="AB4" s="50">
        <v>6</v>
      </c>
      <c r="AC4" s="61">
        <f>+AA4+AB4-Z4</f>
        <v>31</v>
      </c>
      <c r="AD4" s="50">
        <v>100</v>
      </c>
      <c r="AE4" s="67">
        <f>AC4+AD4</f>
        <v>131</v>
      </c>
    </row>
    <row r="5" spans="2:33">
      <c r="B5" s="50">
        <v>1111002</v>
      </c>
      <c r="C5" s="51" t="s">
        <v>150</v>
      </c>
      <c r="D5" s="52">
        <v>2</v>
      </c>
      <c r="E5" s="52"/>
      <c r="F5" s="65">
        <f t="shared" ref="F5:F68" si="0">SUM(D5:E5)</f>
        <v>2</v>
      </c>
      <c r="G5" s="52">
        <v>16</v>
      </c>
      <c r="H5" s="52"/>
      <c r="I5" s="65">
        <f t="shared" ref="I5:I68" si="1">SUM(G5:H5)</f>
        <v>16</v>
      </c>
      <c r="J5" s="52">
        <v>23</v>
      </c>
      <c r="K5" s="52"/>
      <c r="L5" s="65">
        <f t="shared" ref="L5:L68" si="2">SUM(J5:K5)</f>
        <v>23</v>
      </c>
      <c r="M5" s="52">
        <v>2</v>
      </c>
      <c r="N5" s="52"/>
      <c r="O5" s="65">
        <f t="shared" ref="O5:O68" si="3">SUM(M5:N5)</f>
        <v>2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43</v>
      </c>
      <c r="AA5" s="58">
        <v>80</v>
      </c>
      <c r="AB5" s="58">
        <v>12</v>
      </c>
      <c r="AC5" s="61">
        <f t="shared" ref="AC5:AC68" si="8">+AA5+AB5-Z5</f>
        <v>49</v>
      </c>
      <c r="AD5" s="58">
        <v>80</v>
      </c>
      <c r="AE5" s="67">
        <f t="shared" ref="AE5:AE68" si="9">AC5+AD5</f>
        <v>129</v>
      </c>
    </row>
    <row r="6" spans="2:33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7">
        <f t="shared" si="9"/>
        <v>0</v>
      </c>
    </row>
    <row r="7" spans="2:33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7">
        <f t="shared" si="9"/>
        <v>0</v>
      </c>
    </row>
    <row r="8" spans="2:33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7">
        <f t="shared" si="9"/>
        <v>0</v>
      </c>
    </row>
    <row r="9" spans="2:33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10</v>
      </c>
      <c r="H9" s="52"/>
      <c r="I9" s="65">
        <f t="shared" si="1"/>
        <v>10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10</v>
      </c>
      <c r="AA9" s="50"/>
      <c r="AB9" s="50"/>
      <c r="AC9" s="61">
        <f t="shared" si="8"/>
        <v>-10</v>
      </c>
      <c r="AD9" s="50">
        <v>5</v>
      </c>
      <c r="AE9" s="67">
        <f t="shared" si="9"/>
        <v>-5</v>
      </c>
    </row>
    <row r="10" spans="2:33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>
        <v>10</v>
      </c>
      <c r="H10" s="52"/>
      <c r="I10" s="65">
        <f t="shared" si="1"/>
        <v>10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10</v>
      </c>
      <c r="AA10" s="50"/>
      <c r="AB10" s="50"/>
      <c r="AC10" s="61">
        <f t="shared" si="8"/>
        <v>-10</v>
      </c>
      <c r="AD10" s="50"/>
      <c r="AE10" s="67">
        <f t="shared" si="9"/>
        <v>-10</v>
      </c>
    </row>
    <row r="11" spans="2:33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10</v>
      </c>
      <c r="H11" s="52"/>
      <c r="I11" s="65">
        <f t="shared" si="1"/>
        <v>10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10</v>
      </c>
      <c r="AA11" s="50"/>
      <c r="AB11" s="50"/>
      <c r="AC11" s="61">
        <f t="shared" si="8"/>
        <v>-10</v>
      </c>
      <c r="AD11" s="50">
        <v>5</v>
      </c>
      <c r="AE11" s="67">
        <f t="shared" si="9"/>
        <v>-5</v>
      </c>
    </row>
    <row r="12" spans="2:33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9</v>
      </c>
      <c r="H12" s="52"/>
      <c r="I12" s="65">
        <f t="shared" si="1"/>
        <v>9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9</v>
      </c>
      <c r="AA12" s="50"/>
      <c r="AB12" s="50"/>
      <c r="AC12" s="61">
        <f t="shared" si="8"/>
        <v>-9</v>
      </c>
      <c r="AD12" s="50">
        <v>5</v>
      </c>
      <c r="AE12" s="67">
        <f t="shared" si="9"/>
        <v>-4</v>
      </c>
    </row>
    <row r="13" spans="2:33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9</v>
      </c>
      <c r="H13" s="52"/>
      <c r="I13" s="65">
        <f t="shared" si="1"/>
        <v>9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9</v>
      </c>
      <c r="AA13" s="50"/>
      <c r="AB13" s="50"/>
      <c r="AC13" s="61">
        <f t="shared" si="8"/>
        <v>-9</v>
      </c>
      <c r="AD13" s="50">
        <v>5</v>
      </c>
      <c r="AE13" s="67">
        <f t="shared" si="9"/>
        <v>-4</v>
      </c>
    </row>
    <row r="14" spans="2:33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9</v>
      </c>
      <c r="H14" s="52"/>
      <c r="I14" s="65">
        <f t="shared" si="1"/>
        <v>9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9</v>
      </c>
      <c r="AA14" s="50"/>
      <c r="AB14" s="50"/>
      <c r="AC14" s="61">
        <f t="shared" si="8"/>
        <v>-9</v>
      </c>
      <c r="AD14" s="50">
        <v>5</v>
      </c>
      <c r="AE14" s="67">
        <f t="shared" si="9"/>
        <v>-4</v>
      </c>
    </row>
    <row r="15" spans="2:33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9</v>
      </c>
      <c r="H15" s="52"/>
      <c r="I15" s="65">
        <f t="shared" si="1"/>
        <v>9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9</v>
      </c>
      <c r="AA15" s="50"/>
      <c r="AB15" s="50"/>
      <c r="AC15" s="61">
        <f t="shared" si="8"/>
        <v>-9</v>
      </c>
      <c r="AD15" s="50">
        <v>5</v>
      </c>
      <c r="AE15" s="67">
        <f t="shared" si="9"/>
        <v>-4</v>
      </c>
      <c r="AG15" s="49" t="s">
        <v>252</v>
      </c>
    </row>
    <row r="16" spans="2:33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9</v>
      </c>
      <c r="H16" s="52"/>
      <c r="I16" s="65">
        <f t="shared" si="1"/>
        <v>9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9</v>
      </c>
      <c r="AA16" s="50"/>
      <c r="AB16" s="50"/>
      <c r="AC16" s="61">
        <f t="shared" si="8"/>
        <v>-9</v>
      </c>
      <c r="AD16" s="50">
        <v>5</v>
      </c>
      <c r="AE16" s="67">
        <f t="shared" si="9"/>
        <v>-4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9</v>
      </c>
      <c r="H17" s="52"/>
      <c r="I17" s="65">
        <f t="shared" si="1"/>
        <v>9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9</v>
      </c>
      <c r="AA17" s="50"/>
      <c r="AB17" s="50"/>
      <c r="AC17" s="61">
        <f t="shared" si="8"/>
        <v>-9</v>
      </c>
      <c r="AD17" s="50"/>
      <c r="AE17" s="67">
        <f t="shared" si="9"/>
        <v>-9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9</v>
      </c>
      <c r="H18" s="52"/>
      <c r="I18" s="65">
        <f t="shared" si="1"/>
        <v>9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9</v>
      </c>
      <c r="AA18" s="50"/>
      <c r="AB18" s="50"/>
      <c r="AC18" s="61">
        <f t="shared" si="8"/>
        <v>-9</v>
      </c>
      <c r="AD18" s="50"/>
      <c r="AE18" s="67">
        <f t="shared" si="9"/>
        <v>-9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9</v>
      </c>
      <c r="H19" s="52"/>
      <c r="I19" s="65">
        <f t="shared" si="1"/>
        <v>9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9</v>
      </c>
      <c r="AA19" s="50"/>
      <c r="AB19" s="50"/>
      <c r="AC19" s="61">
        <f t="shared" si="8"/>
        <v>-9</v>
      </c>
      <c r="AD19" s="50"/>
      <c r="AE19" s="67">
        <f t="shared" si="9"/>
        <v>-9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>
        <v>9</v>
      </c>
      <c r="H20" s="52"/>
      <c r="I20" s="65">
        <f t="shared" si="1"/>
        <v>9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9</v>
      </c>
      <c r="AA20" s="50"/>
      <c r="AB20" s="50"/>
      <c r="AC20" s="61">
        <f t="shared" si="8"/>
        <v>-9</v>
      </c>
      <c r="AD20" s="50"/>
      <c r="AE20" s="67">
        <f t="shared" si="9"/>
        <v>-9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>
        <v>9</v>
      </c>
      <c r="H21" s="52"/>
      <c r="I21" s="65">
        <f t="shared" si="1"/>
        <v>9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9</v>
      </c>
      <c r="AA21" s="50"/>
      <c r="AB21" s="50"/>
      <c r="AC21" s="61">
        <f t="shared" si="8"/>
        <v>-9</v>
      </c>
      <c r="AD21" s="50"/>
      <c r="AE21" s="67">
        <f t="shared" si="9"/>
        <v>-9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7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7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7">
        <f t="shared" si="9"/>
        <v>0</v>
      </c>
    </row>
    <row r="25" spans="2:31">
      <c r="B25" s="50">
        <v>1111008</v>
      </c>
      <c r="C25" s="51" t="s">
        <v>156</v>
      </c>
      <c r="D25" s="52">
        <v>2</v>
      </c>
      <c r="E25" s="52"/>
      <c r="F25" s="65">
        <f t="shared" si="0"/>
        <v>2</v>
      </c>
      <c r="G25" s="52">
        <v>7</v>
      </c>
      <c r="H25" s="52"/>
      <c r="I25" s="65">
        <f t="shared" si="1"/>
        <v>7</v>
      </c>
      <c r="J25" s="52"/>
      <c r="K25" s="52"/>
      <c r="L25" s="65">
        <f t="shared" si="2"/>
        <v>0</v>
      </c>
      <c r="M25" s="52">
        <v>36</v>
      </c>
      <c r="N25" s="52"/>
      <c r="O25" s="65">
        <f t="shared" si="3"/>
        <v>36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45</v>
      </c>
      <c r="AA25" s="50">
        <v>45</v>
      </c>
      <c r="AB25" s="50">
        <v>3</v>
      </c>
      <c r="AC25" s="61">
        <f t="shared" si="8"/>
        <v>3</v>
      </c>
      <c r="AD25" s="50">
        <v>45</v>
      </c>
      <c r="AE25" s="67">
        <f t="shared" si="9"/>
        <v>48</v>
      </c>
    </row>
    <row r="26" spans="2:31">
      <c r="B26" s="50">
        <v>1111009</v>
      </c>
      <c r="C26" s="51" t="s">
        <v>157</v>
      </c>
      <c r="D26" s="52">
        <v>1</v>
      </c>
      <c r="E26" s="52"/>
      <c r="F26" s="65">
        <f t="shared" si="0"/>
        <v>1</v>
      </c>
      <c r="G26" s="52">
        <v>3</v>
      </c>
      <c r="H26" s="52"/>
      <c r="I26" s="65">
        <f t="shared" si="1"/>
        <v>3</v>
      </c>
      <c r="J26" s="52">
        <v>6</v>
      </c>
      <c r="K26" s="52"/>
      <c r="L26" s="65">
        <f t="shared" si="2"/>
        <v>6</v>
      </c>
      <c r="M26" s="52">
        <v>3</v>
      </c>
      <c r="N26" s="52"/>
      <c r="O26" s="65">
        <f t="shared" si="3"/>
        <v>3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71">
        <v>2</v>
      </c>
      <c r="Z26" s="63">
        <f t="shared" si="7"/>
        <v>15</v>
      </c>
      <c r="AA26" s="50"/>
      <c r="AB26" s="50">
        <v>17</v>
      </c>
      <c r="AC26" s="61">
        <f t="shared" si="8"/>
        <v>2</v>
      </c>
      <c r="AD26" s="50">
        <v>20</v>
      </c>
      <c r="AE26" s="67">
        <f t="shared" si="9"/>
        <v>22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7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7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7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7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7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7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7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7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7">
        <f t="shared" si="9"/>
        <v>0</v>
      </c>
    </row>
    <row r="36" spans="2:31" hidden="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7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7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7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7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7">
        <f t="shared" si="9"/>
        <v>0</v>
      </c>
    </row>
    <row r="41" spans="2:31">
      <c r="B41" s="50">
        <v>1111056</v>
      </c>
      <c r="C41" s="51" t="s">
        <v>172</v>
      </c>
      <c r="D41" s="52">
        <v>1</v>
      </c>
      <c r="E41" s="52"/>
      <c r="F41" s="65">
        <f t="shared" si="0"/>
        <v>1</v>
      </c>
      <c r="G41" s="52">
        <v>2</v>
      </c>
      <c r="H41" s="52"/>
      <c r="I41" s="65">
        <f t="shared" si="1"/>
        <v>2</v>
      </c>
      <c r="J41" s="52">
        <v>2</v>
      </c>
      <c r="K41" s="52"/>
      <c r="L41" s="65">
        <f t="shared" si="2"/>
        <v>2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5</v>
      </c>
      <c r="AA41" s="50">
        <v>10</v>
      </c>
      <c r="AB41" s="50"/>
      <c r="AC41" s="61">
        <f t="shared" si="8"/>
        <v>5</v>
      </c>
      <c r="AD41" s="50"/>
      <c r="AE41" s="67">
        <f t="shared" si="9"/>
        <v>5</v>
      </c>
    </row>
    <row r="42" spans="2:31">
      <c r="B42" s="50">
        <v>1111074</v>
      </c>
      <c r="C42" s="51" t="s">
        <v>44</v>
      </c>
      <c r="D42" s="52">
        <v>3</v>
      </c>
      <c r="E42" s="52"/>
      <c r="F42" s="65">
        <f t="shared" si="0"/>
        <v>3</v>
      </c>
      <c r="G42" s="52">
        <v>12</v>
      </c>
      <c r="H42" s="52"/>
      <c r="I42" s="65">
        <f t="shared" si="1"/>
        <v>12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15</v>
      </c>
      <c r="AA42" s="50"/>
      <c r="AB42" s="50"/>
      <c r="AC42" s="61">
        <f t="shared" si="8"/>
        <v>-15</v>
      </c>
      <c r="AD42" s="50">
        <v>5</v>
      </c>
      <c r="AE42" s="67">
        <f t="shared" si="9"/>
        <v>-10</v>
      </c>
    </row>
    <row r="43" spans="2:31">
      <c r="B43" s="50">
        <v>1111075</v>
      </c>
      <c r="C43" s="51" t="s">
        <v>45</v>
      </c>
      <c r="D43" s="52">
        <v>3</v>
      </c>
      <c r="E43" s="52"/>
      <c r="F43" s="65">
        <f t="shared" si="0"/>
        <v>3</v>
      </c>
      <c r="G43" s="52">
        <v>12</v>
      </c>
      <c r="H43" s="52"/>
      <c r="I43" s="65">
        <f t="shared" si="1"/>
        <v>12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15</v>
      </c>
      <c r="AA43" s="50"/>
      <c r="AB43" s="50"/>
      <c r="AC43" s="61">
        <f t="shared" si="8"/>
        <v>-15</v>
      </c>
      <c r="AD43" s="50">
        <v>5</v>
      </c>
      <c r="AE43" s="67">
        <f t="shared" si="9"/>
        <v>-10</v>
      </c>
    </row>
    <row r="44" spans="2:31">
      <c r="B44" s="50">
        <v>1111076</v>
      </c>
      <c r="C44" s="51" t="s">
        <v>46</v>
      </c>
      <c r="D44" s="52">
        <v>3</v>
      </c>
      <c r="E44" s="52"/>
      <c r="F44" s="65">
        <f t="shared" si="0"/>
        <v>3</v>
      </c>
      <c r="G44" s="52">
        <v>12</v>
      </c>
      <c r="H44" s="52"/>
      <c r="I44" s="65">
        <f t="shared" si="1"/>
        <v>12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15</v>
      </c>
      <c r="AA44" s="50"/>
      <c r="AB44" s="50"/>
      <c r="AC44" s="61">
        <f t="shared" si="8"/>
        <v>-15</v>
      </c>
      <c r="AD44" s="50">
        <v>5</v>
      </c>
      <c r="AE44" s="67">
        <f t="shared" si="9"/>
        <v>-10</v>
      </c>
    </row>
    <row r="45" spans="2:31">
      <c r="B45" s="50">
        <v>1111077</v>
      </c>
      <c r="C45" s="51" t="s">
        <v>47</v>
      </c>
      <c r="D45" s="52">
        <v>3</v>
      </c>
      <c r="E45" s="52"/>
      <c r="F45" s="65">
        <f t="shared" si="0"/>
        <v>3</v>
      </c>
      <c r="G45" s="52">
        <v>12</v>
      </c>
      <c r="H45" s="52"/>
      <c r="I45" s="65">
        <f t="shared" si="1"/>
        <v>12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15</v>
      </c>
      <c r="AA45" s="50"/>
      <c r="AB45" s="50"/>
      <c r="AC45" s="61">
        <f t="shared" si="8"/>
        <v>-15</v>
      </c>
      <c r="AD45" s="50">
        <v>5</v>
      </c>
      <c r="AE45" s="67">
        <f t="shared" si="9"/>
        <v>-10</v>
      </c>
    </row>
    <row r="46" spans="2:31">
      <c r="B46" s="50">
        <v>1111078</v>
      </c>
      <c r="C46" s="51" t="s">
        <v>48</v>
      </c>
      <c r="D46" s="52">
        <v>3</v>
      </c>
      <c r="E46" s="52"/>
      <c r="F46" s="65">
        <f t="shared" si="0"/>
        <v>3</v>
      </c>
      <c r="G46" s="52">
        <v>12</v>
      </c>
      <c r="H46" s="52"/>
      <c r="I46" s="65">
        <f t="shared" si="1"/>
        <v>12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15</v>
      </c>
      <c r="AA46" s="50"/>
      <c r="AB46" s="50"/>
      <c r="AC46" s="61">
        <f t="shared" si="8"/>
        <v>-15</v>
      </c>
      <c r="AD46" s="50">
        <v>5</v>
      </c>
      <c r="AE46" s="67">
        <f t="shared" si="9"/>
        <v>-10</v>
      </c>
    </row>
    <row r="47" spans="2:31">
      <c r="B47" s="50">
        <v>1111079</v>
      </c>
      <c r="C47" s="51" t="s">
        <v>49</v>
      </c>
      <c r="D47" s="52">
        <v>3</v>
      </c>
      <c r="E47" s="52"/>
      <c r="F47" s="65">
        <f t="shared" si="0"/>
        <v>3</v>
      </c>
      <c r="G47" s="52">
        <v>12</v>
      </c>
      <c r="H47" s="52"/>
      <c r="I47" s="65">
        <f t="shared" si="1"/>
        <v>12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15</v>
      </c>
      <c r="AA47" s="50"/>
      <c r="AB47" s="50"/>
      <c r="AC47" s="61">
        <f t="shared" si="8"/>
        <v>-15</v>
      </c>
      <c r="AD47" s="50">
        <v>5</v>
      </c>
      <c r="AE47" s="67">
        <f t="shared" si="9"/>
        <v>-10</v>
      </c>
    </row>
    <row r="48" spans="2:31">
      <c r="B48" s="50">
        <v>1111080</v>
      </c>
      <c r="C48" s="51" t="s">
        <v>50</v>
      </c>
      <c r="D48" s="52">
        <v>3</v>
      </c>
      <c r="E48" s="52"/>
      <c r="F48" s="65">
        <f t="shared" si="0"/>
        <v>3</v>
      </c>
      <c r="G48" s="52">
        <v>12</v>
      </c>
      <c r="H48" s="52"/>
      <c r="I48" s="65">
        <f t="shared" si="1"/>
        <v>12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15</v>
      </c>
      <c r="AA48" s="50"/>
      <c r="AB48" s="50"/>
      <c r="AC48" s="61">
        <f t="shared" si="8"/>
        <v>-15</v>
      </c>
      <c r="AD48" s="50">
        <v>5</v>
      </c>
      <c r="AE48" s="67">
        <f t="shared" si="9"/>
        <v>-10</v>
      </c>
    </row>
    <row r="49" spans="2:31">
      <c r="B49" s="50">
        <v>1111081</v>
      </c>
      <c r="C49" s="51" t="s">
        <v>51</v>
      </c>
      <c r="D49" s="52">
        <v>3</v>
      </c>
      <c r="E49" s="52"/>
      <c r="F49" s="65">
        <f t="shared" si="0"/>
        <v>3</v>
      </c>
      <c r="G49" s="52">
        <v>12</v>
      </c>
      <c r="H49" s="52"/>
      <c r="I49" s="65">
        <f t="shared" si="1"/>
        <v>12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15</v>
      </c>
      <c r="AA49" s="50"/>
      <c r="AB49" s="50"/>
      <c r="AC49" s="61">
        <f t="shared" si="8"/>
        <v>-15</v>
      </c>
      <c r="AD49" s="50">
        <v>5</v>
      </c>
      <c r="AE49" s="67">
        <f t="shared" si="9"/>
        <v>-10</v>
      </c>
    </row>
    <row r="50" spans="2:31">
      <c r="B50" s="50">
        <v>1111082</v>
      </c>
      <c r="C50" s="51" t="s">
        <v>52</v>
      </c>
      <c r="D50" s="52">
        <v>3</v>
      </c>
      <c r="E50" s="52"/>
      <c r="F50" s="65">
        <f t="shared" si="0"/>
        <v>3</v>
      </c>
      <c r="G50" s="52">
        <v>12</v>
      </c>
      <c r="H50" s="52"/>
      <c r="I50" s="65">
        <f t="shared" si="1"/>
        <v>12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15</v>
      </c>
      <c r="AA50" s="50"/>
      <c r="AB50" s="50"/>
      <c r="AC50" s="61">
        <f t="shared" si="8"/>
        <v>-15</v>
      </c>
      <c r="AD50" s="50">
        <v>5</v>
      </c>
      <c r="AE50" s="67">
        <f t="shared" si="9"/>
        <v>-10</v>
      </c>
    </row>
    <row r="51" spans="2:31">
      <c r="B51" s="50">
        <v>1111083</v>
      </c>
      <c r="C51" s="51" t="s">
        <v>53</v>
      </c>
      <c r="D51" s="52">
        <v>3</v>
      </c>
      <c r="E51" s="52"/>
      <c r="F51" s="65">
        <f t="shared" si="0"/>
        <v>3</v>
      </c>
      <c r="G51" s="52">
        <v>12</v>
      </c>
      <c r="H51" s="52"/>
      <c r="I51" s="65">
        <f t="shared" si="1"/>
        <v>12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15</v>
      </c>
      <c r="AA51" s="50"/>
      <c r="AB51" s="50"/>
      <c r="AC51" s="61">
        <f t="shared" si="8"/>
        <v>-15</v>
      </c>
      <c r="AD51" s="50">
        <v>5</v>
      </c>
      <c r="AE51" s="67">
        <f t="shared" si="9"/>
        <v>-10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7">
        <f t="shared" si="9"/>
        <v>0</v>
      </c>
    </row>
    <row r="53" spans="2:31">
      <c r="B53" s="50">
        <v>1112003</v>
      </c>
      <c r="C53" s="51" t="s">
        <v>174</v>
      </c>
      <c r="D53" s="52">
        <v>4</v>
      </c>
      <c r="E53" s="52"/>
      <c r="F53" s="65">
        <f t="shared" si="0"/>
        <v>4</v>
      </c>
      <c r="G53" s="52">
        <v>1</v>
      </c>
      <c r="H53" s="52"/>
      <c r="I53" s="65">
        <f t="shared" si="1"/>
        <v>1</v>
      </c>
      <c r="J53" s="52">
        <v>1</v>
      </c>
      <c r="K53" s="52"/>
      <c r="L53" s="65">
        <f t="shared" si="2"/>
        <v>1</v>
      </c>
      <c r="M53" s="52">
        <v>41</v>
      </c>
      <c r="N53" s="52"/>
      <c r="O53" s="65">
        <f t="shared" si="3"/>
        <v>41</v>
      </c>
      <c r="P53" s="52">
        <v>5</v>
      </c>
      <c r="Q53" s="52"/>
      <c r="R53" s="65">
        <f t="shared" si="4"/>
        <v>5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52</v>
      </c>
      <c r="AA53" s="50">
        <v>161</v>
      </c>
      <c r="AB53" s="50">
        <v>123</v>
      </c>
      <c r="AC53" s="61">
        <f t="shared" si="8"/>
        <v>232</v>
      </c>
      <c r="AD53" s="50">
        <v>65</v>
      </c>
      <c r="AE53" s="67">
        <f t="shared" si="9"/>
        <v>297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7">
        <f t="shared" si="9"/>
        <v>0</v>
      </c>
    </row>
    <row r="55" spans="2:31">
      <c r="B55" s="50">
        <v>1112005</v>
      </c>
      <c r="C55" s="51" t="s">
        <v>176</v>
      </c>
      <c r="D55" s="52">
        <v>6</v>
      </c>
      <c r="E55" s="52"/>
      <c r="F55" s="65">
        <f t="shared" si="0"/>
        <v>6</v>
      </c>
      <c r="G55" s="52">
        <v>1</v>
      </c>
      <c r="H55" s="52"/>
      <c r="I55" s="65">
        <f t="shared" si="1"/>
        <v>1</v>
      </c>
      <c r="J55" s="52"/>
      <c r="K55" s="52"/>
      <c r="L55" s="65">
        <f t="shared" si="2"/>
        <v>0</v>
      </c>
      <c r="M55" s="52">
        <v>41</v>
      </c>
      <c r="N55" s="52"/>
      <c r="O55" s="65">
        <f t="shared" si="3"/>
        <v>41</v>
      </c>
      <c r="P55" s="52">
        <v>8</v>
      </c>
      <c r="Q55" s="52"/>
      <c r="R55" s="65">
        <f t="shared" si="4"/>
        <v>8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56</v>
      </c>
      <c r="AA55" s="50">
        <v>165</v>
      </c>
      <c r="AB55" s="50">
        <v>126</v>
      </c>
      <c r="AC55" s="61">
        <f t="shared" si="8"/>
        <v>235</v>
      </c>
      <c r="AD55" s="50">
        <v>65</v>
      </c>
      <c r="AE55" s="67">
        <f t="shared" si="9"/>
        <v>300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7">
        <f t="shared" si="9"/>
        <v>0</v>
      </c>
    </row>
    <row r="57" spans="2:31">
      <c r="B57" s="50">
        <v>1112009</v>
      </c>
      <c r="C57" s="51" t="s">
        <v>178</v>
      </c>
      <c r="D57" s="52">
        <v>6</v>
      </c>
      <c r="E57" s="52"/>
      <c r="F57" s="65">
        <f t="shared" si="0"/>
        <v>6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52">
        <v>41</v>
      </c>
      <c r="N57" s="52"/>
      <c r="O57" s="65">
        <f t="shared" si="3"/>
        <v>41</v>
      </c>
      <c r="P57" s="52">
        <v>5</v>
      </c>
      <c r="Q57" s="52"/>
      <c r="R57" s="65">
        <f t="shared" si="4"/>
        <v>5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52</v>
      </c>
      <c r="AA57" s="50">
        <v>163</v>
      </c>
      <c r="AB57" s="50">
        <v>126</v>
      </c>
      <c r="AC57" s="61">
        <f t="shared" si="8"/>
        <v>237</v>
      </c>
      <c r="AD57" s="50">
        <v>65</v>
      </c>
      <c r="AE57" s="67">
        <f t="shared" si="9"/>
        <v>302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7">
        <f t="shared" si="9"/>
        <v>0</v>
      </c>
    </row>
    <row r="59" spans="2:31">
      <c r="B59" s="50">
        <v>1112011</v>
      </c>
      <c r="C59" s="51" t="s">
        <v>180</v>
      </c>
      <c r="D59" s="52">
        <v>6</v>
      </c>
      <c r="E59" s="52"/>
      <c r="F59" s="65">
        <f t="shared" si="0"/>
        <v>6</v>
      </c>
      <c r="G59" s="52"/>
      <c r="H59" s="52"/>
      <c r="I59" s="65">
        <f t="shared" si="1"/>
        <v>0</v>
      </c>
      <c r="J59" s="52">
        <v>10</v>
      </c>
      <c r="K59" s="52"/>
      <c r="L59" s="65">
        <f t="shared" si="2"/>
        <v>10</v>
      </c>
      <c r="M59" s="52">
        <v>40</v>
      </c>
      <c r="N59" s="52"/>
      <c r="O59" s="65">
        <f t="shared" si="3"/>
        <v>40</v>
      </c>
      <c r="P59" s="52">
        <v>5</v>
      </c>
      <c r="Q59" s="52"/>
      <c r="R59" s="65">
        <f t="shared" si="4"/>
        <v>5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61</v>
      </c>
      <c r="AA59" s="50">
        <v>165</v>
      </c>
      <c r="AB59" s="50">
        <v>117</v>
      </c>
      <c r="AC59" s="61">
        <f t="shared" si="8"/>
        <v>221</v>
      </c>
      <c r="AD59" s="50">
        <v>65</v>
      </c>
      <c r="AE59" s="67">
        <f t="shared" si="9"/>
        <v>286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7">
        <f t="shared" si="9"/>
        <v>0</v>
      </c>
    </row>
    <row r="61" spans="2:31">
      <c r="B61" s="50">
        <v>1112013</v>
      </c>
      <c r="C61" s="51" t="s">
        <v>182</v>
      </c>
      <c r="D61" s="52">
        <v>5</v>
      </c>
      <c r="E61" s="52"/>
      <c r="F61" s="65">
        <f t="shared" si="0"/>
        <v>5</v>
      </c>
      <c r="G61" s="52">
        <v>1</v>
      </c>
      <c r="H61" s="52"/>
      <c r="I61" s="65">
        <f t="shared" si="1"/>
        <v>1</v>
      </c>
      <c r="J61" s="52">
        <v>1</v>
      </c>
      <c r="K61" s="52"/>
      <c r="L61" s="65">
        <f t="shared" si="2"/>
        <v>1</v>
      </c>
      <c r="M61" s="52">
        <v>41</v>
      </c>
      <c r="N61" s="52"/>
      <c r="O61" s="65">
        <f t="shared" si="3"/>
        <v>41</v>
      </c>
      <c r="P61" s="52">
        <v>5</v>
      </c>
      <c r="Q61" s="52"/>
      <c r="R61" s="65">
        <f t="shared" si="4"/>
        <v>5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53</v>
      </c>
      <c r="AA61" s="50">
        <v>165</v>
      </c>
      <c r="AB61" s="50">
        <v>123</v>
      </c>
      <c r="AC61" s="61">
        <f t="shared" si="8"/>
        <v>235</v>
      </c>
      <c r="AD61" s="50">
        <v>65</v>
      </c>
      <c r="AE61" s="67">
        <f t="shared" si="9"/>
        <v>300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7">
        <f t="shared" si="9"/>
        <v>0</v>
      </c>
    </row>
    <row r="63" spans="2:31">
      <c r="B63" s="50">
        <v>1112015</v>
      </c>
      <c r="C63" s="51" t="s">
        <v>184</v>
      </c>
      <c r="D63" s="52">
        <v>4</v>
      </c>
      <c r="E63" s="52"/>
      <c r="F63" s="65">
        <f t="shared" si="0"/>
        <v>4</v>
      </c>
      <c r="G63" s="52">
        <v>1</v>
      </c>
      <c r="H63" s="52"/>
      <c r="I63" s="65">
        <f t="shared" si="1"/>
        <v>1</v>
      </c>
      <c r="J63" s="52">
        <v>1</v>
      </c>
      <c r="K63" s="52"/>
      <c r="L63" s="65">
        <f t="shared" si="2"/>
        <v>1</v>
      </c>
      <c r="M63" s="52">
        <v>41</v>
      </c>
      <c r="N63" s="52"/>
      <c r="O63" s="65">
        <f t="shared" si="3"/>
        <v>41</v>
      </c>
      <c r="P63" s="52">
        <v>5</v>
      </c>
      <c r="Q63" s="52"/>
      <c r="R63" s="65">
        <f t="shared" si="4"/>
        <v>5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52</v>
      </c>
      <c r="AA63" s="50">
        <v>163</v>
      </c>
      <c r="AB63" s="50">
        <v>123</v>
      </c>
      <c r="AC63" s="61">
        <f t="shared" si="8"/>
        <v>234</v>
      </c>
      <c r="AD63" s="50">
        <v>65</v>
      </c>
      <c r="AE63" s="67">
        <f t="shared" si="9"/>
        <v>299</v>
      </c>
    </row>
    <row r="64" spans="2:31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7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7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7">
        <f t="shared" si="9"/>
        <v>0</v>
      </c>
    </row>
    <row r="67" spans="2:31">
      <c r="B67" s="50">
        <v>1114501</v>
      </c>
      <c r="C67" s="53" t="s">
        <v>187</v>
      </c>
      <c r="D67" s="52"/>
      <c r="E67" s="52"/>
      <c r="F67" s="65">
        <f t="shared" si="0"/>
        <v>0</v>
      </c>
      <c r="G67" s="52">
        <v>17</v>
      </c>
      <c r="H67" s="52"/>
      <c r="I67" s="65">
        <f t="shared" si="1"/>
        <v>17</v>
      </c>
      <c r="J67" s="52">
        <v>8</v>
      </c>
      <c r="K67" s="52"/>
      <c r="L67" s="65">
        <f t="shared" si="2"/>
        <v>8</v>
      </c>
      <c r="M67" s="52">
        <v>143</v>
      </c>
      <c r="N67" s="52"/>
      <c r="O67" s="65">
        <f t="shared" si="3"/>
        <v>143</v>
      </c>
      <c r="P67" s="52">
        <v>4</v>
      </c>
      <c r="Q67" s="52"/>
      <c r="R67" s="65">
        <f t="shared" si="4"/>
        <v>4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172</v>
      </c>
      <c r="AA67" s="50">
        <v>2</v>
      </c>
      <c r="AB67" s="50">
        <v>216</v>
      </c>
      <c r="AC67" s="61">
        <f t="shared" si="8"/>
        <v>46</v>
      </c>
      <c r="AD67" s="50">
        <v>200</v>
      </c>
      <c r="AE67" s="67">
        <f t="shared" si="9"/>
        <v>246</v>
      </c>
    </row>
    <row r="68" spans="2:31">
      <c r="B68" s="50">
        <v>1114502</v>
      </c>
      <c r="C68" s="53" t="s">
        <v>188</v>
      </c>
      <c r="D68" s="52"/>
      <c r="E68" s="52"/>
      <c r="F68" s="65">
        <f t="shared" si="0"/>
        <v>0</v>
      </c>
      <c r="G68" s="52">
        <v>2</v>
      </c>
      <c r="H68" s="52"/>
      <c r="I68" s="65">
        <f t="shared" si="1"/>
        <v>2</v>
      </c>
      <c r="J68" s="52">
        <v>3</v>
      </c>
      <c r="K68" s="52"/>
      <c r="L68" s="65">
        <f t="shared" si="2"/>
        <v>3</v>
      </c>
      <c r="M68" s="52">
        <v>143</v>
      </c>
      <c r="N68" s="52"/>
      <c r="O68" s="65">
        <f t="shared" si="3"/>
        <v>143</v>
      </c>
      <c r="P68" s="52">
        <v>4</v>
      </c>
      <c r="Q68" s="52"/>
      <c r="R68" s="65">
        <f t="shared" si="4"/>
        <v>4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152</v>
      </c>
      <c r="AA68" s="50">
        <v>2</v>
      </c>
      <c r="AB68" s="50">
        <v>155</v>
      </c>
      <c r="AC68" s="61">
        <f t="shared" si="8"/>
        <v>5</v>
      </c>
      <c r="AD68" s="50">
        <v>150</v>
      </c>
      <c r="AE68" s="67">
        <f t="shared" si="9"/>
        <v>155</v>
      </c>
    </row>
    <row r="69" spans="2:31">
      <c r="B69" s="50">
        <v>1114503</v>
      </c>
      <c r="C69" s="53" t="s">
        <v>189</v>
      </c>
      <c r="D69" s="52"/>
      <c r="E69" s="52"/>
      <c r="F69" s="65">
        <f t="shared" ref="F69:F132" si="10">SUM(D69:E69)</f>
        <v>0</v>
      </c>
      <c r="G69" s="52">
        <v>2</v>
      </c>
      <c r="H69" s="52"/>
      <c r="I69" s="65">
        <f t="shared" ref="I69:I121" si="11">SUM(G69:H69)</f>
        <v>2</v>
      </c>
      <c r="J69" s="52">
        <v>4</v>
      </c>
      <c r="K69" s="52"/>
      <c r="L69" s="65">
        <f t="shared" ref="L69:L121" si="12">SUM(J69:K69)</f>
        <v>4</v>
      </c>
      <c r="M69" s="52">
        <v>143</v>
      </c>
      <c r="N69" s="52"/>
      <c r="O69" s="65">
        <f t="shared" ref="O69:O121" si="13">SUM(M69:N69)</f>
        <v>143</v>
      </c>
      <c r="P69" s="52">
        <v>4</v>
      </c>
      <c r="Q69" s="52"/>
      <c r="R69" s="65">
        <f t="shared" ref="R69:R121" si="14">SUM(P69:Q69)</f>
        <v>4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153</v>
      </c>
      <c r="AA69" s="50">
        <v>70</v>
      </c>
      <c r="AB69" s="50">
        <v>90</v>
      </c>
      <c r="AC69" s="61">
        <f t="shared" ref="AC69:AC121" si="18">+AA69+AB69-Z69</f>
        <v>7</v>
      </c>
      <c r="AD69" s="50">
        <v>150</v>
      </c>
      <c r="AE69" s="67">
        <f t="shared" ref="AE69:AE121" si="19">AC69+AD69</f>
        <v>157</v>
      </c>
    </row>
    <row r="70" spans="2:3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>
        <v>3</v>
      </c>
      <c r="H70" s="52"/>
      <c r="I70" s="65">
        <f t="shared" si="11"/>
        <v>3</v>
      </c>
      <c r="J70" s="52">
        <v>12</v>
      </c>
      <c r="K70" s="52"/>
      <c r="L70" s="65">
        <f t="shared" si="12"/>
        <v>12</v>
      </c>
      <c r="M70" s="52">
        <v>58</v>
      </c>
      <c r="N70" s="52"/>
      <c r="O70" s="65">
        <f t="shared" si="13"/>
        <v>58</v>
      </c>
      <c r="P70" s="52">
        <v>4</v>
      </c>
      <c r="Q70" s="52"/>
      <c r="R70" s="65">
        <f t="shared" si="14"/>
        <v>4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77</v>
      </c>
      <c r="AA70" s="50">
        <v>50</v>
      </c>
      <c r="AB70" s="50">
        <v>37</v>
      </c>
      <c r="AC70" s="61">
        <f t="shared" si="18"/>
        <v>10</v>
      </c>
      <c r="AD70" s="50">
        <v>40</v>
      </c>
      <c r="AE70" s="67">
        <f t="shared" si="19"/>
        <v>50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7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7">
        <f t="shared" si="19"/>
        <v>0</v>
      </c>
    </row>
    <row r="73" spans="2:31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7">
        <f t="shared" si="19"/>
        <v>0</v>
      </c>
    </row>
    <row r="74" spans="2:31" hidden="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7">
        <f t="shared" si="19"/>
        <v>0</v>
      </c>
    </row>
    <row r="75" spans="2:31">
      <c r="B75" s="50">
        <v>1113170</v>
      </c>
      <c r="C75" s="53" t="s">
        <v>87</v>
      </c>
      <c r="D75" s="52">
        <v>12</v>
      </c>
      <c r="E75" s="52"/>
      <c r="F75" s="65">
        <f t="shared" si="10"/>
        <v>12</v>
      </c>
      <c r="G75" s="52">
        <v>1</v>
      </c>
      <c r="H75" s="52"/>
      <c r="I75" s="65">
        <f t="shared" si="11"/>
        <v>1</v>
      </c>
      <c r="J75" s="52">
        <v>1</v>
      </c>
      <c r="K75" s="52"/>
      <c r="L75" s="65">
        <f t="shared" si="12"/>
        <v>1</v>
      </c>
      <c r="M75" s="52">
        <v>1</v>
      </c>
      <c r="N75" s="52"/>
      <c r="O75" s="65">
        <f t="shared" si="13"/>
        <v>1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71">
        <v>34</v>
      </c>
      <c r="Z75" s="63">
        <f t="shared" si="17"/>
        <v>49</v>
      </c>
      <c r="AA75" s="50">
        <v>100</v>
      </c>
      <c r="AB75" s="50">
        <v>24</v>
      </c>
      <c r="AC75" s="61">
        <f t="shared" si="18"/>
        <v>75</v>
      </c>
      <c r="AD75" s="50"/>
      <c r="AE75" s="67">
        <f t="shared" si="19"/>
        <v>75</v>
      </c>
    </row>
    <row r="76" spans="2:31">
      <c r="B76" s="50">
        <v>1113171</v>
      </c>
      <c r="C76" s="53" t="s">
        <v>88</v>
      </c>
      <c r="D76" s="52">
        <v>13</v>
      </c>
      <c r="E76" s="52"/>
      <c r="F76" s="65">
        <f t="shared" si="10"/>
        <v>13</v>
      </c>
      <c r="G76" s="52"/>
      <c r="H76" s="52"/>
      <c r="I76" s="65">
        <f t="shared" si="11"/>
        <v>0</v>
      </c>
      <c r="J76" s="52">
        <v>4</v>
      </c>
      <c r="K76" s="52"/>
      <c r="L76" s="65">
        <f t="shared" si="12"/>
        <v>4</v>
      </c>
      <c r="M76" s="52">
        <v>1</v>
      </c>
      <c r="N76" s="52"/>
      <c r="O76" s="65">
        <f t="shared" si="13"/>
        <v>1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71">
        <v>16</v>
      </c>
      <c r="Z76" s="63">
        <f t="shared" si="17"/>
        <v>34</v>
      </c>
      <c r="AA76" s="50">
        <v>59</v>
      </c>
      <c r="AB76" s="50">
        <v>5</v>
      </c>
      <c r="AC76" s="61">
        <f t="shared" si="18"/>
        <v>30</v>
      </c>
      <c r="AD76" s="50"/>
      <c r="AE76" s="67">
        <f t="shared" si="19"/>
        <v>30</v>
      </c>
    </row>
    <row r="77" spans="2:31">
      <c r="B77" s="50">
        <v>1113172</v>
      </c>
      <c r="C77" s="53" t="s">
        <v>89</v>
      </c>
      <c r="D77" s="52">
        <v>10</v>
      </c>
      <c r="E77" s="52"/>
      <c r="F77" s="65">
        <f t="shared" si="10"/>
        <v>10</v>
      </c>
      <c r="G77" s="52"/>
      <c r="H77" s="52"/>
      <c r="I77" s="65">
        <f t="shared" si="11"/>
        <v>0</v>
      </c>
      <c r="J77" s="52">
        <v>2</v>
      </c>
      <c r="K77" s="52"/>
      <c r="L77" s="65">
        <f t="shared" si="12"/>
        <v>2</v>
      </c>
      <c r="M77" s="52">
        <v>1</v>
      </c>
      <c r="N77" s="52"/>
      <c r="O77" s="65">
        <f t="shared" si="13"/>
        <v>1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13</v>
      </c>
      <c r="AA77" s="50"/>
      <c r="AB77" s="50">
        <v>38</v>
      </c>
      <c r="AC77" s="61">
        <f t="shared" si="18"/>
        <v>25</v>
      </c>
      <c r="AD77" s="50"/>
      <c r="AE77" s="67">
        <f t="shared" si="19"/>
        <v>25</v>
      </c>
    </row>
    <row r="78" spans="2:31">
      <c r="B78" s="50">
        <v>1113173</v>
      </c>
      <c r="C78" s="53" t="s">
        <v>90</v>
      </c>
      <c r="D78" s="52">
        <v>13</v>
      </c>
      <c r="E78" s="52"/>
      <c r="F78" s="65">
        <f t="shared" si="10"/>
        <v>13</v>
      </c>
      <c r="G78" s="52"/>
      <c r="H78" s="52"/>
      <c r="I78" s="65">
        <f t="shared" si="11"/>
        <v>0</v>
      </c>
      <c r="J78" s="52">
        <v>3</v>
      </c>
      <c r="K78" s="52"/>
      <c r="L78" s="65">
        <f t="shared" si="12"/>
        <v>3</v>
      </c>
      <c r="M78" s="52">
        <v>1</v>
      </c>
      <c r="N78" s="52"/>
      <c r="O78" s="65">
        <f t="shared" si="13"/>
        <v>1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17</v>
      </c>
      <c r="AA78" s="50"/>
      <c r="AB78" s="50">
        <v>19</v>
      </c>
      <c r="AC78" s="61">
        <f t="shared" si="18"/>
        <v>2</v>
      </c>
      <c r="AD78" s="50"/>
      <c r="AE78" s="67">
        <f t="shared" si="19"/>
        <v>2</v>
      </c>
    </row>
    <row r="79" spans="2:31">
      <c r="B79" s="50">
        <v>1200001</v>
      </c>
      <c r="C79" s="53" t="s">
        <v>195</v>
      </c>
      <c r="D79" s="52">
        <v>50</v>
      </c>
      <c r="E79" s="52"/>
      <c r="F79" s="65">
        <f t="shared" si="10"/>
        <v>50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50</v>
      </c>
      <c r="AA79" s="50"/>
      <c r="AB79" s="50"/>
      <c r="AC79" s="61">
        <f t="shared" si="18"/>
        <v>-50</v>
      </c>
      <c r="AD79" s="50"/>
      <c r="AE79" s="67">
        <f t="shared" si="19"/>
        <v>-50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7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7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0</v>
      </c>
      <c r="AA82" s="50"/>
      <c r="AB82" s="50"/>
      <c r="AC82" s="61">
        <f t="shared" si="18"/>
        <v>0</v>
      </c>
      <c r="AD82" s="50"/>
      <c r="AE82" s="67">
        <f t="shared" si="19"/>
        <v>0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/>
      <c r="H83" s="52"/>
      <c r="I83" s="65">
        <f t="shared" si="11"/>
        <v>0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0</v>
      </c>
      <c r="AA83" s="50"/>
      <c r="AB83" s="50"/>
      <c r="AC83" s="61">
        <f t="shared" si="18"/>
        <v>0</v>
      </c>
      <c r="AD83" s="50"/>
      <c r="AE83" s="67">
        <f t="shared" si="19"/>
        <v>0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7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7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7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7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7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7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7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7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7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7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7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7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7">
        <f t="shared" si="19"/>
        <v>0</v>
      </c>
    </row>
    <row r="97" spans="2:3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7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7">
        <f t="shared" si="19"/>
        <v>0</v>
      </c>
    </row>
    <row r="99" spans="2:3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7">
        <f t="shared" si="19"/>
        <v>0</v>
      </c>
    </row>
    <row r="100" spans="2:31">
      <c r="B100" s="50">
        <v>1004062</v>
      </c>
      <c r="C100" s="53" t="s">
        <v>238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71">
        <v>4</v>
      </c>
      <c r="Z100" s="63">
        <f t="shared" si="17"/>
        <v>4</v>
      </c>
      <c r="AA100" s="50"/>
      <c r="AB100" s="50"/>
      <c r="AC100" s="61">
        <f t="shared" si="18"/>
        <v>-4</v>
      </c>
      <c r="AD100" s="50"/>
      <c r="AE100" s="67">
        <f t="shared" si="19"/>
        <v>-4</v>
      </c>
    </row>
    <row r="101" spans="2:31">
      <c r="B101" s="50">
        <v>1004051</v>
      </c>
      <c r="C101" s="53" t="s">
        <v>239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71">
        <v>3</v>
      </c>
      <c r="Z101" s="63">
        <f t="shared" si="17"/>
        <v>3</v>
      </c>
      <c r="AA101" s="50"/>
      <c r="AB101" s="50"/>
      <c r="AC101" s="61">
        <f t="shared" si="18"/>
        <v>-3</v>
      </c>
      <c r="AD101" s="50"/>
      <c r="AE101" s="67">
        <f t="shared" si="19"/>
        <v>-3</v>
      </c>
    </row>
    <row r="102" spans="2:31">
      <c r="B102" s="50">
        <v>1111005</v>
      </c>
      <c r="C102" s="53" t="s">
        <v>240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71">
        <v>2</v>
      </c>
      <c r="Z102" s="63">
        <f t="shared" si="17"/>
        <v>2</v>
      </c>
      <c r="AA102" s="50"/>
      <c r="AB102" s="50"/>
      <c r="AC102" s="61">
        <f t="shared" si="18"/>
        <v>-2</v>
      </c>
      <c r="AD102" s="50"/>
      <c r="AE102" s="67">
        <f t="shared" si="19"/>
        <v>-2</v>
      </c>
    </row>
    <row r="103" spans="2:31">
      <c r="B103" s="50">
        <v>1111006</v>
      </c>
      <c r="C103" s="53" t="s">
        <v>241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71">
        <v>18</v>
      </c>
      <c r="Z103" s="63">
        <f t="shared" si="17"/>
        <v>18</v>
      </c>
      <c r="AA103" s="50"/>
      <c r="AB103" s="50"/>
      <c r="AC103" s="61">
        <f t="shared" si="18"/>
        <v>-18</v>
      </c>
      <c r="AD103" s="50"/>
      <c r="AE103" s="67">
        <f t="shared" si="19"/>
        <v>-18</v>
      </c>
    </row>
    <row r="104" spans="2:31">
      <c r="B104" s="50">
        <v>1004048</v>
      </c>
      <c r="C104" s="53" t="s">
        <v>242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71">
        <v>1</v>
      </c>
      <c r="Z104" s="63">
        <f t="shared" si="17"/>
        <v>1</v>
      </c>
      <c r="AA104" s="50"/>
      <c r="AB104" s="50"/>
      <c r="AC104" s="61">
        <f t="shared" si="18"/>
        <v>-1</v>
      </c>
      <c r="AD104" s="50"/>
      <c r="AE104" s="67">
        <f t="shared" si="19"/>
        <v>-1</v>
      </c>
    </row>
    <row r="105" spans="2:31">
      <c r="B105" s="50">
        <v>1113157</v>
      </c>
      <c r="C105" s="53" t="s">
        <v>243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71">
        <v>1</v>
      </c>
      <c r="Z105" s="63">
        <f t="shared" si="17"/>
        <v>1</v>
      </c>
      <c r="AA105" s="50"/>
      <c r="AB105" s="50"/>
      <c r="AC105" s="61">
        <f t="shared" si="18"/>
        <v>-1</v>
      </c>
      <c r="AD105" s="50"/>
      <c r="AE105" s="67">
        <f t="shared" si="19"/>
        <v>-1</v>
      </c>
    </row>
    <row r="106" spans="2:31">
      <c r="B106" s="50">
        <v>1004080</v>
      </c>
      <c r="C106" s="53" t="s">
        <v>244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7">
        <f t="shared" si="19"/>
        <v>0</v>
      </c>
    </row>
    <row r="107" spans="2:31">
      <c r="B107" s="50">
        <v>1004081</v>
      </c>
      <c r="C107" s="53" t="s">
        <v>245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7">
        <f t="shared" si="19"/>
        <v>0</v>
      </c>
    </row>
    <row r="108" spans="2:31">
      <c r="B108" s="50">
        <v>3001200</v>
      </c>
      <c r="C108" s="53" t="s">
        <v>246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7">
        <f t="shared" si="19"/>
        <v>0</v>
      </c>
    </row>
    <row r="109" spans="2:31">
      <c r="B109" s="50">
        <v>1004047</v>
      </c>
      <c r="C109" s="53" t="s">
        <v>247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7">
        <f t="shared" si="19"/>
        <v>0</v>
      </c>
    </row>
    <row r="110" spans="2:31">
      <c r="B110" s="50">
        <v>1004070</v>
      </c>
      <c r="C110" s="53" t="s">
        <v>248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7">
        <f t="shared" si="19"/>
        <v>0</v>
      </c>
    </row>
    <row r="111" spans="2:31">
      <c r="B111" s="50">
        <v>1004076</v>
      </c>
      <c r="C111" s="53" t="s">
        <v>249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7">
        <f t="shared" si="19"/>
        <v>0</v>
      </c>
    </row>
    <row r="112" spans="2:31">
      <c r="B112" s="50">
        <v>1004050</v>
      </c>
      <c r="C112" s="53" t="s">
        <v>250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7">
        <f t="shared" si="19"/>
        <v>0</v>
      </c>
    </row>
    <row r="113" spans="2:31">
      <c r="B113" s="50">
        <v>1004048</v>
      </c>
      <c r="C113" s="53" t="s">
        <v>251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7">
        <f t="shared" si="19"/>
        <v>0</v>
      </c>
    </row>
    <row r="114" spans="2:31">
      <c r="B114" s="50">
        <v>1007020</v>
      </c>
      <c r="C114" s="53" t="s">
        <v>253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7">
        <f t="shared" si="19"/>
        <v>0</v>
      </c>
    </row>
    <row r="115" spans="2:31">
      <c r="B115" s="50">
        <v>1004063</v>
      </c>
      <c r="C115" s="53" t="s">
        <v>254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7">
        <f t="shared" si="19"/>
        <v>0</v>
      </c>
    </row>
    <row r="116" spans="2:31">
      <c r="B116" s="50">
        <v>1004065</v>
      </c>
      <c r="C116" s="53" t="s">
        <v>255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7">
        <f t="shared" si="19"/>
        <v>0</v>
      </c>
    </row>
    <row r="117" spans="2:31">
      <c r="B117" s="50">
        <v>1006982</v>
      </c>
      <c r="C117" s="53" t="s">
        <v>256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7">
        <f t="shared" si="19"/>
        <v>0</v>
      </c>
    </row>
    <row r="118" spans="2:31">
      <c r="B118" s="50">
        <v>1006000</v>
      </c>
      <c r="C118" s="53" t="s">
        <v>257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7">
        <f t="shared" si="19"/>
        <v>0</v>
      </c>
    </row>
    <row r="119" spans="2:31">
      <c r="B119" s="50">
        <v>1005998</v>
      </c>
      <c r="C119" s="53" t="s">
        <v>258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7">
        <f t="shared" si="19"/>
        <v>0</v>
      </c>
    </row>
    <row r="120" spans="2:31">
      <c r="B120" s="50">
        <v>1005995</v>
      </c>
      <c r="C120" s="53" t="s">
        <v>259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7">
        <f t="shared" si="19"/>
        <v>0</v>
      </c>
    </row>
    <row r="121" spans="2:3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7">
        <f t="shared" si="19"/>
        <v>0</v>
      </c>
    </row>
    <row r="122" spans="2:3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7"/>
    </row>
    <row r="123" spans="2:3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7"/>
    </row>
    <row r="124" spans="2:3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7"/>
    </row>
    <row r="125" spans="2:3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7"/>
    </row>
    <row r="126" spans="2:3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7"/>
    </row>
    <row r="127" spans="2:3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7"/>
    </row>
    <row r="128" spans="2:3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7"/>
    </row>
    <row r="129" spans="2:3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7"/>
    </row>
    <row r="130" spans="2:3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7"/>
    </row>
    <row r="131" spans="2:3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7"/>
    </row>
    <row r="132" spans="2:3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7"/>
    </row>
    <row r="133" spans="2:3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7"/>
    </row>
    <row r="134" spans="2:3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7"/>
    </row>
    <row r="135" spans="2:3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7"/>
    </row>
    <row r="136" spans="2:3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7"/>
    </row>
    <row r="137" spans="2:3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7"/>
    </row>
    <row r="138" spans="2:3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7"/>
    </row>
    <row r="139" spans="2:3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7"/>
    </row>
    <row r="140" spans="2:3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7"/>
    </row>
    <row r="141" spans="2:3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7"/>
    </row>
    <row r="142" spans="2:3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7"/>
    </row>
    <row r="143" spans="2:3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7"/>
    </row>
    <row r="144" spans="2:3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7"/>
    </row>
    <row r="145" spans="2:3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7"/>
    </row>
    <row r="146" spans="2:3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7"/>
    </row>
    <row r="147" spans="2:3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7"/>
    </row>
    <row r="148" spans="2:3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7"/>
    </row>
    <row r="149" spans="2:3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7"/>
    </row>
    <row r="150" spans="2:3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7"/>
    </row>
    <row r="151" spans="2:3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7">
        <f t="shared" ref="AE151:AE153" si="29">AC151+AD151</f>
        <v>0</v>
      </c>
    </row>
    <row r="152" spans="2:3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7">
        <f t="shared" si="29"/>
        <v>0</v>
      </c>
    </row>
    <row r="153" spans="2:3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7">
        <f t="shared" si="29"/>
        <v>0</v>
      </c>
    </row>
    <row r="154" spans="2:31" s="59" customFormat="1" ht="51.75">
      <c r="B154" s="97" t="s">
        <v>201</v>
      </c>
      <c r="C154" s="98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166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166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298</v>
      </c>
      <c r="H154" s="62">
        <f t="shared" si="31"/>
        <v>0</v>
      </c>
      <c r="I154" s="62">
        <f t="shared" si="31"/>
        <v>298</v>
      </c>
      <c r="J154" s="62">
        <f t="shared" si="31"/>
        <v>83</v>
      </c>
      <c r="K154" s="62">
        <f t="shared" si="31"/>
        <v>0</v>
      </c>
      <c r="L154" s="62">
        <f t="shared" si="31"/>
        <v>83</v>
      </c>
      <c r="M154" s="62">
        <f t="shared" si="31"/>
        <v>831</v>
      </c>
      <c r="N154" s="62">
        <f t="shared" si="31"/>
        <v>0</v>
      </c>
      <c r="O154" s="62">
        <f t="shared" si="31"/>
        <v>831</v>
      </c>
      <c r="P154" s="62">
        <f t="shared" si="31"/>
        <v>61</v>
      </c>
      <c r="Q154" s="62">
        <f t="shared" si="31"/>
        <v>0</v>
      </c>
      <c r="R154" s="62">
        <f t="shared" si="31"/>
        <v>61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86</v>
      </c>
      <c r="Z154" s="62">
        <f t="shared" si="31"/>
        <v>1525</v>
      </c>
      <c r="AA154" s="62">
        <f t="shared" si="31"/>
        <v>1500</v>
      </c>
      <c r="AB154" s="62">
        <f t="shared" si="31"/>
        <v>1360</v>
      </c>
      <c r="AC154" s="62">
        <f t="shared" si="31"/>
        <v>1335</v>
      </c>
      <c r="AD154" s="62">
        <f t="shared" si="31"/>
        <v>1260</v>
      </c>
      <c r="AE154" s="62">
        <f t="shared" si="31"/>
        <v>2595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Y2:Y3"/>
    <mergeCell ref="Z2:Z3"/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2EA57-B8AD-4290-A1DC-5E4B597630C2}">
  <sheetPr codeName="Sheet7">
    <pageSetUpPr fitToPage="1"/>
  </sheetPr>
  <dimension ref="B1:AE160"/>
  <sheetViews>
    <sheetView topLeftCell="A52" zoomScale="50" zoomScaleNormal="50" workbookViewId="0">
      <selection activeCell="Z19" sqref="Z19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bestFit="1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3" t="s">
        <v>210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</row>
    <row r="2" spans="2:31" ht="49.9" customHeight="1">
      <c r="B2" s="99" t="s">
        <v>3</v>
      </c>
      <c r="C2" s="99" t="s">
        <v>4</v>
      </c>
      <c r="D2" s="85" t="s">
        <v>5</v>
      </c>
      <c r="E2" s="86"/>
      <c r="F2" s="87"/>
      <c r="G2" s="85" t="s">
        <v>6</v>
      </c>
      <c r="H2" s="86"/>
      <c r="I2" s="87"/>
      <c r="J2" s="85" t="s">
        <v>7</v>
      </c>
      <c r="K2" s="86"/>
      <c r="L2" s="87"/>
      <c r="M2" s="85" t="s">
        <v>8</v>
      </c>
      <c r="N2" s="86"/>
      <c r="O2" s="87"/>
      <c r="P2" s="85" t="s">
        <v>132</v>
      </c>
      <c r="Q2" s="86"/>
      <c r="R2" s="87"/>
      <c r="S2" s="85" t="s">
        <v>9</v>
      </c>
      <c r="T2" s="86"/>
      <c r="U2" s="87"/>
      <c r="V2" s="88" t="s">
        <v>131</v>
      </c>
      <c r="W2" s="89"/>
      <c r="X2" s="90"/>
      <c r="Y2" s="101" t="s">
        <v>134</v>
      </c>
      <c r="Z2" s="103" t="s">
        <v>204</v>
      </c>
      <c r="AA2" s="91" t="s">
        <v>145</v>
      </c>
      <c r="AB2" s="91" t="s">
        <v>146</v>
      </c>
      <c r="AC2" s="95" t="s">
        <v>147</v>
      </c>
      <c r="AD2" s="93" t="s">
        <v>148</v>
      </c>
      <c r="AE2" s="82" t="s">
        <v>212</v>
      </c>
    </row>
    <row r="3" spans="2:31" ht="49.9" customHeight="1">
      <c r="B3" s="100"/>
      <c r="C3" s="100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102"/>
      <c r="Z3" s="104"/>
      <c r="AA3" s="92"/>
      <c r="AB3" s="92"/>
      <c r="AC3" s="96"/>
      <c r="AD3" s="94"/>
      <c r="AE3" s="82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>
        <v>1</v>
      </c>
      <c r="K4" s="52"/>
      <c r="L4" s="65">
        <f>SUM(J4:K4)</f>
        <v>1</v>
      </c>
      <c r="M4" s="52">
        <v>60</v>
      </c>
      <c r="N4" s="52"/>
      <c r="O4" s="65">
        <f>SUM(M4:N4)</f>
        <v>60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>
        <v>30</v>
      </c>
      <c r="Z4" s="63">
        <f>+F4+I4+L4+O4+R4+U4+X4+Y4</f>
        <v>91</v>
      </c>
      <c r="AA4" s="50">
        <v>100</v>
      </c>
      <c r="AB4" s="50">
        <v>35</v>
      </c>
      <c r="AC4" s="61">
        <f>+AA4+AB4-Z4</f>
        <v>44</v>
      </c>
      <c r="AD4" s="50">
        <v>100</v>
      </c>
      <c r="AE4" s="67">
        <f>AC4+AD4</f>
        <v>144</v>
      </c>
    </row>
    <row r="5" spans="2:31">
      <c r="B5" s="50">
        <v>1111002</v>
      </c>
      <c r="C5" s="51" t="s">
        <v>150</v>
      </c>
      <c r="D5" s="52">
        <v>3</v>
      </c>
      <c r="E5" s="52"/>
      <c r="F5" s="65">
        <f t="shared" ref="F5:F68" si="0">SUM(D5:E5)</f>
        <v>3</v>
      </c>
      <c r="G5" s="52">
        <v>27</v>
      </c>
      <c r="H5" s="52"/>
      <c r="I5" s="65">
        <f t="shared" ref="I5:I68" si="1">SUM(G5:H5)</f>
        <v>27</v>
      </c>
      <c r="J5" s="52">
        <v>29</v>
      </c>
      <c r="K5" s="52"/>
      <c r="L5" s="65">
        <f t="shared" ref="L5:L68" si="2">SUM(J5:K5)</f>
        <v>29</v>
      </c>
      <c r="M5" s="52">
        <v>3</v>
      </c>
      <c r="N5" s="52"/>
      <c r="O5" s="65">
        <f t="shared" ref="O5:O68" si="3">SUM(M5:N5)</f>
        <v>3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62</v>
      </c>
      <c r="AA5" s="58">
        <v>80</v>
      </c>
      <c r="AB5" s="58">
        <v>33</v>
      </c>
      <c r="AC5" s="61">
        <f t="shared" ref="AC5:AC68" si="8">+AA5+AB5-Z5</f>
        <v>51</v>
      </c>
      <c r="AD5" s="58">
        <v>80</v>
      </c>
      <c r="AE5" s="67">
        <f t="shared" ref="AE5:AE68" si="9">AC5+AD5</f>
        <v>131</v>
      </c>
    </row>
    <row r="6" spans="2:31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7">
        <f t="shared" si="9"/>
        <v>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7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7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10</v>
      </c>
      <c r="H9" s="52"/>
      <c r="I9" s="65">
        <f t="shared" si="1"/>
        <v>10</v>
      </c>
      <c r="J9" s="52">
        <v>1</v>
      </c>
      <c r="K9" s="52"/>
      <c r="L9" s="65">
        <f t="shared" si="2"/>
        <v>1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11</v>
      </c>
      <c r="AA9" s="50">
        <v>5</v>
      </c>
      <c r="AB9" s="50"/>
      <c r="AC9" s="61">
        <f t="shared" si="8"/>
        <v>-6</v>
      </c>
      <c r="AD9" s="50"/>
      <c r="AE9" s="67">
        <f t="shared" si="9"/>
        <v>-6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>
        <v>10</v>
      </c>
      <c r="H10" s="52"/>
      <c r="I10" s="65">
        <f t="shared" si="1"/>
        <v>10</v>
      </c>
      <c r="J10" s="52">
        <v>1</v>
      </c>
      <c r="K10" s="52"/>
      <c r="L10" s="65">
        <f t="shared" si="2"/>
        <v>1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11</v>
      </c>
      <c r="AA10" s="50">
        <v>5</v>
      </c>
      <c r="AB10" s="50"/>
      <c r="AC10" s="61">
        <f t="shared" si="8"/>
        <v>-6</v>
      </c>
      <c r="AD10" s="50"/>
      <c r="AE10" s="67">
        <f t="shared" si="9"/>
        <v>-6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10</v>
      </c>
      <c r="H11" s="52"/>
      <c r="I11" s="65">
        <f t="shared" si="1"/>
        <v>10</v>
      </c>
      <c r="J11" s="52">
        <v>1</v>
      </c>
      <c r="K11" s="52"/>
      <c r="L11" s="65">
        <f t="shared" si="2"/>
        <v>1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11</v>
      </c>
      <c r="AA11" s="50">
        <v>5</v>
      </c>
      <c r="AB11" s="50"/>
      <c r="AC11" s="61">
        <f t="shared" si="8"/>
        <v>-6</v>
      </c>
      <c r="AD11" s="50"/>
      <c r="AE11" s="67">
        <f t="shared" si="9"/>
        <v>-6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9</v>
      </c>
      <c r="H12" s="52"/>
      <c r="I12" s="65">
        <f t="shared" si="1"/>
        <v>9</v>
      </c>
      <c r="J12" s="52">
        <v>2</v>
      </c>
      <c r="K12" s="52"/>
      <c r="L12" s="65">
        <f t="shared" si="2"/>
        <v>2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11</v>
      </c>
      <c r="AA12" s="50">
        <v>5</v>
      </c>
      <c r="AB12" s="50"/>
      <c r="AC12" s="61">
        <f t="shared" si="8"/>
        <v>-6</v>
      </c>
      <c r="AD12" s="50"/>
      <c r="AE12" s="67">
        <f t="shared" si="9"/>
        <v>-6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9</v>
      </c>
      <c r="H13" s="52"/>
      <c r="I13" s="65">
        <f t="shared" si="1"/>
        <v>9</v>
      </c>
      <c r="J13" s="52">
        <v>2</v>
      </c>
      <c r="K13" s="52"/>
      <c r="L13" s="65">
        <f t="shared" si="2"/>
        <v>2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11</v>
      </c>
      <c r="AA13" s="50">
        <v>5</v>
      </c>
      <c r="AB13" s="50"/>
      <c r="AC13" s="61">
        <f t="shared" si="8"/>
        <v>-6</v>
      </c>
      <c r="AD13" s="50"/>
      <c r="AE13" s="67">
        <f t="shared" si="9"/>
        <v>-6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9</v>
      </c>
      <c r="H14" s="52"/>
      <c r="I14" s="65">
        <f t="shared" si="1"/>
        <v>9</v>
      </c>
      <c r="J14" s="52">
        <v>2</v>
      </c>
      <c r="K14" s="52"/>
      <c r="L14" s="65">
        <f t="shared" si="2"/>
        <v>2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11</v>
      </c>
      <c r="AA14" s="50">
        <v>5</v>
      </c>
      <c r="AB14" s="50"/>
      <c r="AC14" s="61">
        <f t="shared" si="8"/>
        <v>-6</v>
      </c>
      <c r="AD14" s="50"/>
      <c r="AE14" s="67">
        <f t="shared" si="9"/>
        <v>-6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9</v>
      </c>
      <c r="H15" s="52"/>
      <c r="I15" s="65">
        <f t="shared" si="1"/>
        <v>9</v>
      </c>
      <c r="J15" s="52">
        <v>2</v>
      </c>
      <c r="K15" s="52"/>
      <c r="L15" s="65">
        <f t="shared" si="2"/>
        <v>2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11</v>
      </c>
      <c r="AA15" s="50">
        <v>5</v>
      </c>
      <c r="AB15" s="50"/>
      <c r="AC15" s="61">
        <f t="shared" si="8"/>
        <v>-6</v>
      </c>
      <c r="AD15" s="50"/>
      <c r="AE15" s="67">
        <f t="shared" si="9"/>
        <v>-6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9</v>
      </c>
      <c r="H16" s="52"/>
      <c r="I16" s="65">
        <f t="shared" si="1"/>
        <v>9</v>
      </c>
      <c r="J16" s="52">
        <v>2</v>
      </c>
      <c r="K16" s="52"/>
      <c r="L16" s="65">
        <f t="shared" si="2"/>
        <v>2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11</v>
      </c>
      <c r="AA16" s="50">
        <v>5</v>
      </c>
      <c r="AB16" s="50"/>
      <c r="AC16" s="61">
        <f t="shared" si="8"/>
        <v>-6</v>
      </c>
      <c r="AD16" s="50"/>
      <c r="AE16" s="67">
        <f t="shared" si="9"/>
        <v>-6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9</v>
      </c>
      <c r="H17" s="52"/>
      <c r="I17" s="65">
        <f t="shared" si="1"/>
        <v>9</v>
      </c>
      <c r="J17" s="52">
        <v>2</v>
      </c>
      <c r="K17" s="52"/>
      <c r="L17" s="65">
        <f t="shared" si="2"/>
        <v>2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11</v>
      </c>
      <c r="AA17" s="50"/>
      <c r="AB17" s="50"/>
      <c r="AC17" s="61">
        <f t="shared" si="8"/>
        <v>-11</v>
      </c>
      <c r="AD17" s="50"/>
      <c r="AE17" s="67">
        <f t="shared" si="9"/>
        <v>-11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9</v>
      </c>
      <c r="H18" s="52"/>
      <c r="I18" s="65">
        <f t="shared" si="1"/>
        <v>9</v>
      </c>
      <c r="J18" s="52">
        <v>2</v>
      </c>
      <c r="K18" s="52"/>
      <c r="L18" s="65">
        <f t="shared" si="2"/>
        <v>2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11</v>
      </c>
      <c r="AA18" s="50"/>
      <c r="AB18" s="50"/>
      <c r="AC18" s="61">
        <f t="shared" si="8"/>
        <v>-11</v>
      </c>
      <c r="AD18" s="50"/>
      <c r="AE18" s="67">
        <f t="shared" si="9"/>
        <v>-11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9</v>
      </c>
      <c r="H19" s="52"/>
      <c r="I19" s="65">
        <f t="shared" si="1"/>
        <v>9</v>
      </c>
      <c r="J19" s="52">
        <v>1</v>
      </c>
      <c r="K19" s="52"/>
      <c r="L19" s="65">
        <f t="shared" si="2"/>
        <v>1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10</v>
      </c>
      <c r="AA19" s="50"/>
      <c r="AB19" s="50"/>
      <c r="AC19" s="61">
        <f t="shared" si="8"/>
        <v>-10</v>
      </c>
      <c r="AD19" s="50"/>
      <c r="AE19" s="67">
        <f t="shared" si="9"/>
        <v>-10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>
        <v>9</v>
      </c>
      <c r="H20" s="52"/>
      <c r="I20" s="65">
        <f t="shared" si="1"/>
        <v>9</v>
      </c>
      <c r="J20" s="52">
        <v>1</v>
      </c>
      <c r="K20" s="52"/>
      <c r="L20" s="65">
        <f t="shared" si="2"/>
        <v>1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10</v>
      </c>
      <c r="AA20" s="50"/>
      <c r="AB20" s="50"/>
      <c r="AC20" s="61">
        <f t="shared" si="8"/>
        <v>-10</v>
      </c>
      <c r="AD20" s="50"/>
      <c r="AE20" s="67">
        <f t="shared" si="9"/>
        <v>-10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>
        <v>9</v>
      </c>
      <c r="H21" s="52"/>
      <c r="I21" s="65">
        <f t="shared" si="1"/>
        <v>9</v>
      </c>
      <c r="J21" s="52">
        <v>1</v>
      </c>
      <c r="K21" s="52"/>
      <c r="L21" s="65">
        <f t="shared" si="2"/>
        <v>1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10</v>
      </c>
      <c r="AA21" s="50"/>
      <c r="AB21" s="50"/>
      <c r="AC21" s="61">
        <f t="shared" si="8"/>
        <v>-10</v>
      </c>
      <c r="AD21" s="50"/>
      <c r="AE21" s="67">
        <f t="shared" si="9"/>
        <v>-10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7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7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7">
        <f t="shared" si="9"/>
        <v>0</v>
      </c>
    </row>
    <row r="25" spans="2:31">
      <c r="B25" s="50">
        <v>1111008</v>
      </c>
      <c r="C25" s="51" t="s">
        <v>156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>
        <v>3</v>
      </c>
      <c r="K25" s="52"/>
      <c r="L25" s="65">
        <f t="shared" si="2"/>
        <v>3</v>
      </c>
      <c r="M25" s="52">
        <v>33</v>
      </c>
      <c r="N25" s="52"/>
      <c r="O25" s="65">
        <f t="shared" si="3"/>
        <v>33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36</v>
      </c>
      <c r="AA25" s="50">
        <v>45</v>
      </c>
      <c r="AB25" s="50">
        <v>4</v>
      </c>
      <c r="AC25" s="61">
        <f t="shared" si="8"/>
        <v>13</v>
      </c>
      <c r="AD25" s="50">
        <v>45</v>
      </c>
      <c r="AE25" s="67">
        <f t="shared" si="9"/>
        <v>58</v>
      </c>
    </row>
    <row r="26" spans="2:31">
      <c r="B26" s="50">
        <v>1111009</v>
      </c>
      <c r="C26" s="51" t="s">
        <v>157</v>
      </c>
      <c r="D26" s="52"/>
      <c r="E26" s="52"/>
      <c r="F26" s="65">
        <f t="shared" si="0"/>
        <v>0</v>
      </c>
      <c r="G26" s="52">
        <v>5</v>
      </c>
      <c r="H26" s="52"/>
      <c r="I26" s="65">
        <f t="shared" si="1"/>
        <v>5</v>
      </c>
      <c r="J26" s="52">
        <v>2</v>
      </c>
      <c r="K26" s="52"/>
      <c r="L26" s="65">
        <f t="shared" si="2"/>
        <v>2</v>
      </c>
      <c r="M26" s="52"/>
      <c r="N26" s="52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7</v>
      </c>
      <c r="AA26" s="50">
        <v>40</v>
      </c>
      <c r="AB26" s="50">
        <v>8</v>
      </c>
      <c r="AC26" s="61">
        <f t="shared" si="8"/>
        <v>41</v>
      </c>
      <c r="AD26" s="50">
        <v>20</v>
      </c>
      <c r="AE26" s="67">
        <f t="shared" si="9"/>
        <v>61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7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7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7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7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7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7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7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7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7">
        <f t="shared" si="9"/>
        <v>0</v>
      </c>
    </row>
    <row r="36" spans="2:31" hidden="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7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7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7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7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7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2</v>
      </c>
      <c r="H41" s="52"/>
      <c r="I41" s="65">
        <f t="shared" si="1"/>
        <v>2</v>
      </c>
      <c r="J41" s="52"/>
      <c r="K41" s="52"/>
      <c r="L41" s="65">
        <f t="shared" si="2"/>
        <v>0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2</v>
      </c>
      <c r="AA41" s="50"/>
      <c r="AB41" s="50">
        <v>5</v>
      </c>
      <c r="AC41" s="61">
        <f t="shared" si="8"/>
        <v>3</v>
      </c>
      <c r="AD41" s="50">
        <v>10</v>
      </c>
      <c r="AE41" s="67">
        <f t="shared" si="9"/>
        <v>13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11</v>
      </c>
      <c r="H42" s="52"/>
      <c r="I42" s="65">
        <f t="shared" si="1"/>
        <v>11</v>
      </c>
      <c r="J42" s="52">
        <v>1</v>
      </c>
      <c r="K42" s="52"/>
      <c r="L42" s="65">
        <f t="shared" si="2"/>
        <v>1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12</v>
      </c>
      <c r="AA42" s="50">
        <v>5</v>
      </c>
      <c r="AB42" s="50"/>
      <c r="AC42" s="61">
        <f t="shared" si="8"/>
        <v>-7</v>
      </c>
      <c r="AD42" s="50"/>
      <c r="AE42" s="67">
        <f t="shared" si="9"/>
        <v>-7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11</v>
      </c>
      <c r="H43" s="52"/>
      <c r="I43" s="65">
        <f t="shared" si="1"/>
        <v>11</v>
      </c>
      <c r="J43" s="52">
        <v>1</v>
      </c>
      <c r="K43" s="52"/>
      <c r="L43" s="65">
        <f t="shared" si="2"/>
        <v>1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12</v>
      </c>
      <c r="AA43" s="50">
        <v>5</v>
      </c>
      <c r="AB43" s="50"/>
      <c r="AC43" s="61">
        <f t="shared" si="8"/>
        <v>-7</v>
      </c>
      <c r="AD43" s="50"/>
      <c r="AE43" s="67">
        <f t="shared" si="9"/>
        <v>-7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11</v>
      </c>
      <c r="H44" s="52"/>
      <c r="I44" s="65">
        <f t="shared" si="1"/>
        <v>11</v>
      </c>
      <c r="J44" s="52">
        <v>1</v>
      </c>
      <c r="K44" s="52"/>
      <c r="L44" s="65">
        <f t="shared" si="2"/>
        <v>1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12</v>
      </c>
      <c r="AA44" s="50">
        <v>5</v>
      </c>
      <c r="AB44" s="50"/>
      <c r="AC44" s="61">
        <f t="shared" si="8"/>
        <v>-7</v>
      </c>
      <c r="AD44" s="50"/>
      <c r="AE44" s="67">
        <f t="shared" si="9"/>
        <v>-7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11</v>
      </c>
      <c r="H45" s="52"/>
      <c r="I45" s="65">
        <f t="shared" si="1"/>
        <v>11</v>
      </c>
      <c r="J45" s="52">
        <v>1</v>
      </c>
      <c r="K45" s="52"/>
      <c r="L45" s="65">
        <f t="shared" si="2"/>
        <v>1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12</v>
      </c>
      <c r="AA45" s="50">
        <v>5</v>
      </c>
      <c r="AB45" s="50"/>
      <c r="AC45" s="61">
        <f t="shared" si="8"/>
        <v>-7</v>
      </c>
      <c r="AD45" s="50"/>
      <c r="AE45" s="67">
        <f t="shared" si="9"/>
        <v>-7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11</v>
      </c>
      <c r="H46" s="52"/>
      <c r="I46" s="65">
        <f t="shared" si="1"/>
        <v>11</v>
      </c>
      <c r="J46" s="52">
        <v>1</v>
      </c>
      <c r="K46" s="52"/>
      <c r="L46" s="65">
        <f t="shared" si="2"/>
        <v>1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12</v>
      </c>
      <c r="AA46" s="50">
        <v>5</v>
      </c>
      <c r="AB46" s="50"/>
      <c r="AC46" s="61">
        <f t="shared" si="8"/>
        <v>-7</v>
      </c>
      <c r="AD46" s="50"/>
      <c r="AE46" s="67">
        <f t="shared" si="9"/>
        <v>-7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11</v>
      </c>
      <c r="H47" s="52"/>
      <c r="I47" s="65">
        <f t="shared" si="1"/>
        <v>11</v>
      </c>
      <c r="J47" s="52">
        <v>1</v>
      </c>
      <c r="K47" s="52"/>
      <c r="L47" s="65">
        <f t="shared" si="2"/>
        <v>1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12</v>
      </c>
      <c r="AA47" s="50">
        <v>5</v>
      </c>
      <c r="AB47" s="50"/>
      <c r="AC47" s="61">
        <f t="shared" si="8"/>
        <v>-7</v>
      </c>
      <c r="AD47" s="50"/>
      <c r="AE47" s="67">
        <f t="shared" si="9"/>
        <v>-7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11</v>
      </c>
      <c r="H48" s="52"/>
      <c r="I48" s="65">
        <f t="shared" si="1"/>
        <v>11</v>
      </c>
      <c r="J48" s="52">
        <v>1</v>
      </c>
      <c r="K48" s="52"/>
      <c r="L48" s="65">
        <f t="shared" si="2"/>
        <v>1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12</v>
      </c>
      <c r="AA48" s="50">
        <v>5</v>
      </c>
      <c r="AB48" s="50"/>
      <c r="AC48" s="61">
        <f t="shared" si="8"/>
        <v>-7</v>
      </c>
      <c r="AD48" s="50"/>
      <c r="AE48" s="67">
        <f t="shared" si="9"/>
        <v>-7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11</v>
      </c>
      <c r="H49" s="52"/>
      <c r="I49" s="65">
        <f t="shared" si="1"/>
        <v>11</v>
      </c>
      <c r="J49" s="52">
        <v>1</v>
      </c>
      <c r="K49" s="52"/>
      <c r="L49" s="65">
        <f t="shared" si="2"/>
        <v>1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12</v>
      </c>
      <c r="AA49" s="50">
        <v>5</v>
      </c>
      <c r="AB49" s="50"/>
      <c r="AC49" s="61">
        <f t="shared" si="8"/>
        <v>-7</v>
      </c>
      <c r="AD49" s="50"/>
      <c r="AE49" s="67">
        <f t="shared" si="9"/>
        <v>-7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11</v>
      </c>
      <c r="H50" s="52"/>
      <c r="I50" s="65">
        <f t="shared" si="1"/>
        <v>11</v>
      </c>
      <c r="J50" s="52">
        <v>1</v>
      </c>
      <c r="K50" s="52"/>
      <c r="L50" s="65">
        <f t="shared" si="2"/>
        <v>1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12</v>
      </c>
      <c r="AA50" s="50">
        <v>5</v>
      </c>
      <c r="AB50" s="50"/>
      <c r="AC50" s="61">
        <f t="shared" si="8"/>
        <v>-7</v>
      </c>
      <c r="AD50" s="50"/>
      <c r="AE50" s="67">
        <f t="shared" si="9"/>
        <v>-7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11</v>
      </c>
      <c r="H51" s="52"/>
      <c r="I51" s="65">
        <f t="shared" si="1"/>
        <v>11</v>
      </c>
      <c r="J51" s="52">
        <v>1</v>
      </c>
      <c r="K51" s="52"/>
      <c r="L51" s="65">
        <f t="shared" si="2"/>
        <v>1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12</v>
      </c>
      <c r="AA51" s="50">
        <v>5</v>
      </c>
      <c r="AB51" s="50"/>
      <c r="AC51" s="61">
        <f t="shared" si="8"/>
        <v>-7</v>
      </c>
      <c r="AD51" s="50"/>
      <c r="AE51" s="67">
        <f t="shared" si="9"/>
        <v>-7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7">
        <f t="shared" si="9"/>
        <v>0</v>
      </c>
    </row>
    <row r="53" spans="2:31">
      <c r="B53" s="50">
        <v>1112003</v>
      </c>
      <c r="C53" s="51" t="s">
        <v>174</v>
      </c>
      <c r="D53" s="52">
        <v>6</v>
      </c>
      <c r="E53" s="52"/>
      <c r="F53" s="65">
        <f t="shared" si="0"/>
        <v>6</v>
      </c>
      <c r="G53" s="52">
        <v>1</v>
      </c>
      <c r="H53" s="52"/>
      <c r="I53" s="65">
        <f t="shared" si="1"/>
        <v>1</v>
      </c>
      <c r="J53" s="52"/>
      <c r="K53" s="52"/>
      <c r="L53" s="65">
        <f t="shared" si="2"/>
        <v>0</v>
      </c>
      <c r="M53" s="52">
        <v>45</v>
      </c>
      <c r="N53" s="52"/>
      <c r="O53" s="65">
        <f t="shared" si="3"/>
        <v>45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52</v>
      </c>
      <c r="AA53" s="50">
        <v>65</v>
      </c>
      <c r="AB53" s="50">
        <v>235</v>
      </c>
      <c r="AC53" s="61">
        <f t="shared" si="8"/>
        <v>248</v>
      </c>
      <c r="AD53" s="50">
        <v>65</v>
      </c>
      <c r="AE53" s="67">
        <f t="shared" si="9"/>
        <v>313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7">
        <f t="shared" si="9"/>
        <v>0</v>
      </c>
    </row>
    <row r="55" spans="2:31">
      <c r="B55" s="50">
        <v>1112005</v>
      </c>
      <c r="C55" s="51" t="s">
        <v>176</v>
      </c>
      <c r="D55" s="52">
        <v>7</v>
      </c>
      <c r="E55" s="52"/>
      <c r="F55" s="65">
        <f t="shared" si="0"/>
        <v>7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52">
        <v>45</v>
      </c>
      <c r="N55" s="52"/>
      <c r="O55" s="65">
        <f t="shared" si="3"/>
        <v>45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52</v>
      </c>
      <c r="AA55" s="50">
        <v>65</v>
      </c>
      <c r="AB55" s="50">
        <v>239</v>
      </c>
      <c r="AC55" s="61">
        <f t="shared" si="8"/>
        <v>252</v>
      </c>
      <c r="AD55" s="50">
        <v>65</v>
      </c>
      <c r="AE55" s="67">
        <f t="shared" si="9"/>
        <v>317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7">
        <f t="shared" si="9"/>
        <v>0</v>
      </c>
    </row>
    <row r="57" spans="2:31">
      <c r="B57" s="50">
        <v>1112009</v>
      </c>
      <c r="C57" s="51" t="s">
        <v>178</v>
      </c>
      <c r="D57" s="52">
        <v>6</v>
      </c>
      <c r="E57" s="52"/>
      <c r="F57" s="65">
        <f t="shared" si="0"/>
        <v>6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52">
        <v>45</v>
      </c>
      <c r="N57" s="52"/>
      <c r="O57" s="65">
        <f t="shared" si="3"/>
        <v>45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51</v>
      </c>
      <c r="AA57" s="50">
        <v>65</v>
      </c>
      <c r="AB57" s="50">
        <v>229</v>
      </c>
      <c r="AC57" s="61">
        <f t="shared" si="8"/>
        <v>243</v>
      </c>
      <c r="AD57" s="50">
        <v>65</v>
      </c>
      <c r="AE57" s="67">
        <f t="shared" si="9"/>
        <v>308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7">
        <f t="shared" si="9"/>
        <v>0</v>
      </c>
    </row>
    <row r="59" spans="2:31">
      <c r="B59" s="50">
        <v>1112011</v>
      </c>
      <c r="C59" s="51" t="s">
        <v>180</v>
      </c>
      <c r="D59" s="52">
        <v>7</v>
      </c>
      <c r="E59" s="52"/>
      <c r="F59" s="65">
        <f t="shared" si="0"/>
        <v>7</v>
      </c>
      <c r="G59" s="52"/>
      <c r="H59" s="52"/>
      <c r="I59" s="65">
        <f t="shared" si="1"/>
        <v>0</v>
      </c>
      <c r="J59" s="52">
        <v>4</v>
      </c>
      <c r="K59" s="52"/>
      <c r="L59" s="65">
        <f t="shared" si="2"/>
        <v>4</v>
      </c>
      <c r="M59" s="52">
        <v>45</v>
      </c>
      <c r="N59" s="52"/>
      <c r="O59" s="65">
        <f t="shared" si="3"/>
        <v>45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56</v>
      </c>
      <c r="AA59" s="50">
        <v>83</v>
      </c>
      <c r="AB59" s="50">
        <v>209</v>
      </c>
      <c r="AC59" s="61">
        <f t="shared" si="8"/>
        <v>236</v>
      </c>
      <c r="AD59" s="50">
        <v>65</v>
      </c>
      <c r="AE59" s="67">
        <f t="shared" si="9"/>
        <v>301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7">
        <f t="shared" si="9"/>
        <v>0</v>
      </c>
    </row>
    <row r="61" spans="2:31">
      <c r="B61" s="50">
        <v>1112013</v>
      </c>
      <c r="C61" s="51" t="s">
        <v>182</v>
      </c>
      <c r="D61" s="52">
        <v>6</v>
      </c>
      <c r="E61" s="52"/>
      <c r="F61" s="65">
        <f t="shared" si="0"/>
        <v>6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52">
        <v>45</v>
      </c>
      <c r="N61" s="52"/>
      <c r="O61" s="65">
        <f t="shared" si="3"/>
        <v>45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51</v>
      </c>
      <c r="AA61" s="50">
        <v>65</v>
      </c>
      <c r="AB61" s="50">
        <v>227</v>
      </c>
      <c r="AC61" s="61">
        <f t="shared" si="8"/>
        <v>241</v>
      </c>
      <c r="AD61" s="50">
        <v>65</v>
      </c>
      <c r="AE61" s="67">
        <f t="shared" si="9"/>
        <v>306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7">
        <f t="shared" si="9"/>
        <v>0</v>
      </c>
    </row>
    <row r="63" spans="2:31">
      <c r="B63" s="50">
        <v>1112015</v>
      </c>
      <c r="C63" s="51" t="s">
        <v>184</v>
      </c>
      <c r="D63" s="52">
        <v>6</v>
      </c>
      <c r="E63" s="52"/>
      <c r="F63" s="65">
        <f t="shared" si="0"/>
        <v>6</v>
      </c>
      <c r="G63" s="52">
        <v>1</v>
      </c>
      <c r="H63" s="52"/>
      <c r="I63" s="65">
        <f t="shared" si="1"/>
        <v>1</v>
      </c>
      <c r="J63" s="52"/>
      <c r="K63" s="52"/>
      <c r="L63" s="65">
        <f t="shared" si="2"/>
        <v>0</v>
      </c>
      <c r="M63" s="52">
        <v>45</v>
      </c>
      <c r="N63" s="52"/>
      <c r="O63" s="65">
        <f t="shared" si="3"/>
        <v>45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52</v>
      </c>
      <c r="AA63" s="50">
        <v>65</v>
      </c>
      <c r="AB63" s="50">
        <v>236</v>
      </c>
      <c r="AC63" s="61">
        <f t="shared" si="8"/>
        <v>249</v>
      </c>
      <c r="AD63" s="50">
        <v>65</v>
      </c>
      <c r="AE63" s="67">
        <f t="shared" si="9"/>
        <v>314</v>
      </c>
    </row>
    <row r="64" spans="2:31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7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7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7">
        <f t="shared" si="9"/>
        <v>0</v>
      </c>
    </row>
    <row r="67" spans="2:31">
      <c r="B67" s="50">
        <v>1114501</v>
      </c>
      <c r="C67" s="53" t="s">
        <v>187</v>
      </c>
      <c r="D67" s="52"/>
      <c r="E67" s="52"/>
      <c r="F67" s="65">
        <f t="shared" si="0"/>
        <v>0</v>
      </c>
      <c r="G67" s="52">
        <v>2</v>
      </c>
      <c r="H67" s="52"/>
      <c r="I67" s="65">
        <f t="shared" si="1"/>
        <v>2</v>
      </c>
      <c r="J67" s="52">
        <v>2</v>
      </c>
      <c r="K67" s="52"/>
      <c r="L67" s="65">
        <f t="shared" si="2"/>
        <v>2</v>
      </c>
      <c r="M67" s="52">
        <v>139</v>
      </c>
      <c r="N67" s="52"/>
      <c r="O67" s="65">
        <f t="shared" si="3"/>
        <v>139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143</v>
      </c>
      <c r="AA67" s="50">
        <v>199</v>
      </c>
      <c r="AB67" s="50">
        <v>50</v>
      </c>
      <c r="AC67" s="61">
        <f t="shared" si="8"/>
        <v>106</v>
      </c>
      <c r="AD67" s="50"/>
      <c r="AE67" s="67">
        <f t="shared" si="9"/>
        <v>106</v>
      </c>
    </row>
    <row r="68" spans="2:31">
      <c r="B68" s="50">
        <v>1114502</v>
      </c>
      <c r="C68" s="53" t="s">
        <v>188</v>
      </c>
      <c r="D68" s="52">
        <v>2</v>
      </c>
      <c r="E68" s="52"/>
      <c r="F68" s="65">
        <f t="shared" si="0"/>
        <v>2</v>
      </c>
      <c r="G68" s="52"/>
      <c r="H68" s="52"/>
      <c r="I68" s="65">
        <f t="shared" si="1"/>
        <v>0</v>
      </c>
      <c r="J68" s="52">
        <v>1</v>
      </c>
      <c r="K68" s="52"/>
      <c r="L68" s="65">
        <f t="shared" si="2"/>
        <v>1</v>
      </c>
      <c r="M68" s="52">
        <v>139</v>
      </c>
      <c r="N68" s="52"/>
      <c r="O68" s="65">
        <f t="shared" si="3"/>
        <v>139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142</v>
      </c>
      <c r="AA68" s="50">
        <v>150</v>
      </c>
      <c r="AB68" s="50">
        <v>8</v>
      </c>
      <c r="AC68" s="61">
        <f t="shared" si="8"/>
        <v>16</v>
      </c>
      <c r="AD68" s="50"/>
      <c r="AE68" s="67">
        <f t="shared" si="9"/>
        <v>16</v>
      </c>
    </row>
    <row r="69" spans="2:31">
      <c r="B69" s="50">
        <v>1114503</v>
      </c>
      <c r="C69" s="53" t="s">
        <v>189</v>
      </c>
      <c r="D69" s="52">
        <v>1</v>
      </c>
      <c r="E69" s="52"/>
      <c r="F69" s="65">
        <f t="shared" ref="F69:F153" si="10">SUM(D69:E69)</f>
        <v>1</v>
      </c>
      <c r="G69" s="52"/>
      <c r="H69" s="52"/>
      <c r="I69" s="65">
        <f t="shared" ref="I69:I153" si="11">SUM(G69:H69)</f>
        <v>0</v>
      </c>
      <c r="J69" s="52">
        <v>1</v>
      </c>
      <c r="K69" s="52"/>
      <c r="L69" s="65">
        <f t="shared" ref="L69:L153" si="12">SUM(J69:K69)</f>
        <v>1</v>
      </c>
      <c r="M69" s="52">
        <v>139</v>
      </c>
      <c r="N69" s="52"/>
      <c r="O69" s="65">
        <f t="shared" ref="O69:O153" si="13">SUM(M69:N69)</f>
        <v>139</v>
      </c>
      <c r="P69" s="52"/>
      <c r="Q69" s="52"/>
      <c r="R69" s="65">
        <f t="shared" ref="R69:R153" si="14">SUM(P69:Q69)</f>
        <v>0</v>
      </c>
      <c r="S69" s="52"/>
      <c r="T69" s="52"/>
      <c r="U69" s="65">
        <f t="shared" ref="U69:U153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53" si="17">+F69+I69+L69+O69+R69+U69+X69+Y69</f>
        <v>141</v>
      </c>
      <c r="AA69" s="50">
        <v>149</v>
      </c>
      <c r="AB69" s="50">
        <v>11</v>
      </c>
      <c r="AC69" s="61">
        <f t="shared" ref="AC69:AC153" si="18">+AA69+AB69-Z69</f>
        <v>19</v>
      </c>
      <c r="AD69" s="50"/>
      <c r="AE69" s="67">
        <f t="shared" ref="AE69:AE153" si="19">AC69+AD69</f>
        <v>19</v>
      </c>
    </row>
    <row r="70" spans="2:3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>
        <v>8</v>
      </c>
      <c r="H70" s="52"/>
      <c r="I70" s="65">
        <f t="shared" si="11"/>
        <v>8</v>
      </c>
      <c r="J70" s="52">
        <v>8</v>
      </c>
      <c r="K70" s="52"/>
      <c r="L70" s="65">
        <f t="shared" si="12"/>
        <v>8</v>
      </c>
      <c r="M70" s="52">
        <v>21</v>
      </c>
      <c r="N70" s="52"/>
      <c r="O70" s="65">
        <f t="shared" si="13"/>
        <v>21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37</v>
      </c>
      <c r="AA70" s="50">
        <v>40</v>
      </c>
      <c r="AB70" s="50">
        <v>10</v>
      </c>
      <c r="AC70" s="61">
        <f t="shared" si="18"/>
        <v>13</v>
      </c>
      <c r="AD70" s="50">
        <v>50</v>
      </c>
      <c r="AE70" s="67">
        <f t="shared" si="19"/>
        <v>63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7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7">
        <f t="shared" si="19"/>
        <v>0</v>
      </c>
    </row>
    <row r="73" spans="2:31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7">
        <f t="shared" si="19"/>
        <v>0</v>
      </c>
    </row>
    <row r="74" spans="2:3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>
        <v>10</v>
      </c>
      <c r="Z74" s="63">
        <f t="shared" si="17"/>
        <v>10</v>
      </c>
      <c r="AA74" s="58">
        <v>10</v>
      </c>
      <c r="AB74" s="58"/>
      <c r="AC74" s="61">
        <f t="shared" si="18"/>
        <v>0</v>
      </c>
      <c r="AD74" s="58"/>
      <c r="AE74" s="67">
        <f t="shared" si="19"/>
        <v>0</v>
      </c>
    </row>
    <row r="75" spans="2:31">
      <c r="B75" s="50">
        <v>1113170</v>
      </c>
      <c r="C75" s="53" t="s">
        <v>87</v>
      </c>
      <c r="D75" s="52">
        <v>9</v>
      </c>
      <c r="E75" s="52"/>
      <c r="F75" s="65">
        <f t="shared" si="10"/>
        <v>9</v>
      </c>
      <c r="G75" s="52"/>
      <c r="H75" s="52"/>
      <c r="I75" s="65">
        <f t="shared" si="11"/>
        <v>0</v>
      </c>
      <c r="J75" s="52">
        <v>1</v>
      </c>
      <c r="K75" s="52"/>
      <c r="L75" s="65">
        <f t="shared" si="12"/>
        <v>1</v>
      </c>
      <c r="M75" s="52">
        <v>1</v>
      </c>
      <c r="N75" s="52"/>
      <c r="O75" s="65">
        <f t="shared" si="13"/>
        <v>1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11</v>
      </c>
      <c r="AA75" s="50"/>
      <c r="AB75" s="50">
        <v>75</v>
      </c>
      <c r="AC75" s="61">
        <f t="shared" si="18"/>
        <v>64</v>
      </c>
      <c r="AD75" s="50"/>
      <c r="AE75" s="67">
        <f t="shared" si="19"/>
        <v>64</v>
      </c>
    </row>
    <row r="76" spans="2:31">
      <c r="B76" s="50">
        <v>1113171</v>
      </c>
      <c r="C76" s="53" t="s">
        <v>88</v>
      </c>
      <c r="D76" s="52">
        <v>13</v>
      </c>
      <c r="E76" s="52"/>
      <c r="F76" s="65">
        <f t="shared" si="10"/>
        <v>13</v>
      </c>
      <c r="G76" s="52"/>
      <c r="H76" s="52"/>
      <c r="I76" s="65">
        <f t="shared" si="11"/>
        <v>0</v>
      </c>
      <c r="J76" s="52">
        <v>4</v>
      </c>
      <c r="K76" s="52"/>
      <c r="L76" s="65">
        <f t="shared" si="12"/>
        <v>4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17</v>
      </c>
      <c r="AA76" s="50">
        <v>30</v>
      </c>
      <c r="AB76" s="50"/>
      <c r="AC76" s="61">
        <f t="shared" si="18"/>
        <v>13</v>
      </c>
      <c r="AD76" s="50"/>
      <c r="AE76" s="67">
        <f t="shared" si="19"/>
        <v>13</v>
      </c>
    </row>
    <row r="77" spans="2:31">
      <c r="B77" s="50">
        <v>1113172</v>
      </c>
      <c r="C77" s="53" t="s">
        <v>89</v>
      </c>
      <c r="D77" s="52">
        <v>7</v>
      </c>
      <c r="E77" s="52"/>
      <c r="F77" s="65">
        <f t="shared" si="10"/>
        <v>7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7</v>
      </c>
      <c r="AA77" s="50"/>
      <c r="AB77" s="50">
        <v>25</v>
      </c>
      <c r="AC77" s="61">
        <f t="shared" si="18"/>
        <v>18</v>
      </c>
      <c r="AD77" s="50"/>
      <c r="AE77" s="67">
        <f t="shared" si="19"/>
        <v>18</v>
      </c>
    </row>
    <row r="78" spans="2:31">
      <c r="B78" s="50">
        <v>1113173</v>
      </c>
      <c r="C78" s="53" t="s">
        <v>90</v>
      </c>
      <c r="D78" s="52">
        <v>2</v>
      </c>
      <c r="E78" s="52"/>
      <c r="F78" s="65">
        <f t="shared" si="10"/>
        <v>2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2</v>
      </c>
      <c r="AA78" s="50"/>
      <c r="AB78" s="50">
        <v>2</v>
      </c>
      <c r="AC78" s="61">
        <f t="shared" si="18"/>
        <v>0</v>
      </c>
      <c r="AD78" s="50"/>
      <c r="AE78" s="67">
        <f t="shared" si="19"/>
        <v>0</v>
      </c>
    </row>
    <row r="79" spans="2:31" hidden="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7">
        <f t="shared" si="19"/>
        <v>0</v>
      </c>
    </row>
    <row r="80" spans="2:31" hidden="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7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7">
        <f t="shared" si="19"/>
        <v>0</v>
      </c>
    </row>
    <row r="82" spans="2:31" hidden="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0</v>
      </c>
      <c r="AA82" s="50"/>
      <c r="AB82" s="50"/>
      <c r="AC82" s="61">
        <f t="shared" si="18"/>
        <v>0</v>
      </c>
      <c r="AD82" s="50"/>
      <c r="AE82" s="67">
        <f t="shared" si="19"/>
        <v>0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4</v>
      </c>
      <c r="H83" s="52"/>
      <c r="I83" s="65">
        <f t="shared" si="11"/>
        <v>4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4</v>
      </c>
      <c r="AA83" s="50"/>
      <c r="AB83" s="50"/>
      <c r="AC83" s="61">
        <f t="shared" si="18"/>
        <v>-4</v>
      </c>
      <c r="AD83" s="50"/>
      <c r="AE83" s="67">
        <f t="shared" si="19"/>
        <v>-4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7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7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7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7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7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7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7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7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7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7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7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7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7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7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7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7">
        <f t="shared" si="19"/>
        <v>0</v>
      </c>
    </row>
    <row r="100" spans="2:31" hidden="1">
      <c r="B100" s="50">
        <v>1004062</v>
      </c>
      <c r="C100" s="53" t="s">
        <v>238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7">
        <f t="shared" si="19"/>
        <v>0</v>
      </c>
    </row>
    <row r="101" spans="2:31" hidden="1">
      <c r="B101" s="50">
        <v>1004051</v>
      </c>
      <c r="C101" s="53" t="s">
        <v>239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7">
        <f t="shared" si="19"/>
        <v>0</v>
      </c>
    </row>
    <row r="102" spans="2:31" hidden="1">
      <c r="B102" s="50">
        <v>1111005</v>
      </c>
      <c r="C102" s="53" t="s">
        <v>240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7">
        <f t="shared" si="19"/>
        <v>0</v>
      </c>
    </row>
    <row r="103" spans="2:31" hidden="1">
      <c r="B103" s="50">
        <v>1111006</v>
      </c>
      <c r="C103" s="53" t="s">
        <v>241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7">
        <f t="shared" si="19"/>
        <v>0</v>
      </c>
    </row>
    <row r="104" spans="2:31" hidden="1">
      <c r="B104" s="50">
        <v>1004078</v>
      </c>
      <c r="C104" s="53" t="s">
        <v>242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7">
        <f t="shared" si="19"/>
        <v>0</v>
      </c>
    </row>
    <row r="105" spans="2:31" hidden="1">
      <c r="B105" s="50">
        <v>1113157</v>
      </c>
      <c r="C105" s="53" t="s">
        <v>243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7">
        <f t="shared" si="19"/>
        <v>0</v>
      </c>
    </row>
    <row r="106" spans="2:31" hidden="1">
      <c r="B106" s="50">
        <v>1004080</v>
      </c>
      <c r="C106" s="53" t="s">
        <v>244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7">
        <f t="shared" si="19"/>
        <v>0</v>
      </c>
    </row>
    <row r="107" spans="2:31" hidden="1">
      <c r="B107" s="50">
        <v>1004081</v>
      </c>
      <c r="C107" s="53" t="s">
        <v>245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7">
        <f t="shared" si="19"/>
        <v>0</v>
      </c>
    </row>
    <row r="108" spans="2:31" hidden="1">
      <c r="B108" s="50">
        <v>3001200</v>
      </c>
      <c r="C108" s="53" t="s">
        <v>246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7">
        <f t="shared" si="19"/>
        <v>0</v>
      </c>
    </row>
    <row r="109" spans="2:31" hidden="1">
      <c r="B109" s="50">
        <v>1004047</v>
      </c>
      <c r="C109" s="53" t="s">
        <v>247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7">
        <f t="shared" si="19"/>
        <v>0</v>
      </c>
    </row>
    <row r="110" spans="2:31" hidden="1">
      <c r="B110" s="50">
        <v>1004070</v>
      </c>
      <c r="C110" s="53" t="s">
        <v>248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7">
        <f t="shared" si="19"/>
        <v>0</v>
      </c>
    </row>
    <row r="111" spans="2:31" hidden="1">
      <c r="B111" s="50">
        <v>1004076</v>
      </c>
      <c r="C111" s="53" t="s">
        <v>249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7">
        <f t="shared" si="19"/>
        <v>0</v>
      </c>
    </row>
    <row r="112" spans="2:31" hidden="1">
      <c r="B112" s="50">
        <v>1004050</v>
      </c>
      <c r="C112" s="53" t="s">
        <v>250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7">
        <f t="shared" si="19"/>
        <v>0</v>
      </c>
    </row>
    <row r="113" spans="2:31" hidden="1">
      <c r="B113" s="50">
        <v>1004048</v>
      </c>
      <c r="C113" s="53" t="s">
        <v>251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7">
        <f t="shared" si="19"/>
        <v>0</v>
      </c>
    </row>
    <row r="114" spans="2:31" hidden="1">
      <c r="B114" s="50">
        <v>1007020</v>
      </c>
      <c r="C114" s="53" t="s">
        <v>253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7">
        <f t="shared" si="19"/>
        <v>0</v>
      </c>
    </row>
    <row r="115" spans="2:31" hidden="1">
      <c r="B115" s="50">
        <v>1004063</v>
      </c>
      <c r="C115" s="53" t="s">
        <v>254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7">
        <f t="shared" si="19"/>
        <v>0</v>
      </c>
    </row>
    <row r="116" spans="2:31" hidden="1">
      <c r="B116" s="50">
        <v>1004065</v>
      </c>
      <c r="C116" s="53" t="s">
        <v>255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7">
        <f t="shared" si="19"/>
        <v>0</v>
      </c>
    </row>
    <row r="117" spans="2:31" hidden="1">
      <c r="B117" s="50">
        <v>1006982</v>
      </c>
      <c r="C117" s="53" t="s">
        <v>256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7">
        <f t="shared" si="19"/>
        <v>0</v>
      </c>
    </row>
    <row r="118" spans="2:31">
      <c r="B118" s="50">
        <v>1006000</v>
      </c>
      <c r="C118" s="53" t="s">
        <v>257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>
        <v>10</v>
      </c>
      <c r="Z118" s="63">
        <f t="shared" si="17"/>
        <v>10</v>
      </c>
      <c r="AA118" s="50">
        <v>10</v>
      </c>
      <c r="AB118" s="50"/>
      <c r="AC118" s="61">
        <f t="shared" si="18"/>
        <v>0</v>
      </c>
      <c r="AD118" s="50"/>
      <c r="AE118" s="67">
        <f t="shared" si="19"/>
        <v>0</v>
      </c>
    </row>
    <row r="119" spans="2:31">
      <c r="B119" s="50">
        <v>1005998</v>
      </c>
      <c r="C119" s="53" t="s">
        <v>258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>
        <v>10</v>
      </c>
      <c r="Z119" s="63">
        <f t="shared" si="17"/>
        <v>10</v>
      </c>
      <c r="AA119" s="50">
        <v>10</v>
      </c>
      <c r="AB119" s="50"/>
      <c r="AC119" s="61">
        <f t="shared" si="18"/>
        <v>0</v>
      </c>
      <c r="AD119" s="50"/>
      <c r="AE119" s="67">
        <f t="shared" si="19"/>
        <v>0</v>
      </c>
    </row>
    <row r="120" spans="2:31" hidden="1">
      <c r="B120" s="50">
        <v>1005995</v>
      </c>
      <c r="C120" s="53" t="s">
        <v>259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7">
        <f t="shared" si="19"/>
        <v>0</v>
      </c>
    </row>
    <row r="121" spans="2:31" hidden="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7">
        <f t="shared" si="19"/>
        <v>0</v>
      </c>
    </row>
    <row r="122" spans="2:31" hidden="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7"/>
    </row>
    <row r="123" spans="2:31" hidden="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7"/>
    </row>
    <row r="124" spans="2:31" hidden="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7"/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7"/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7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7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7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7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7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7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7"/>
    </row>
    <row r="133" spans="2:31" hidden="1">
      <c r="B133" s="50"/>
      <c r="C133" s="53"/>
      <c r="D133" s="52"/>
      <c r="E133" s="52"/>
      <c r="F133" s="65">
        <f t="shared" si="10"/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7"/>
    </row>
    <row r="134" spans="2:31" hidden="1">
      <c r="B134" s="50"/>
      <c r="C134" s="53"/>
      <c r="D134" s="52"/>
      <c r="E134" s="52"/>
      <c r="F134" s="65">
        <f t="shared" si="10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7"/>
    </row>
    <row r="135" spans="2:31" hidden="1">
      <c r="B135" s="50"/>
      <c r="C135" s="53"/>
      <c r="D135" s="52"/>
      <c r="E135" s="52"/>
      <c r="F135" s="65">
        <f t="shared" si="10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7"/>
    </row>
    <row r="136" spans="2:31" hidden="1">
      <c r="B136" s="50"/>
      <c r="C136" s="53"/>
      <c r="D136" s="52"/>
      <c r="E136" s="52"/>
      <c r="F136" s="65">
        <f t="shared" si="10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7"/>
    </row>
    <row r="137" spans="2:31" hidden="1">
      <c r="B137" s="50"/>
      <c r="C137" s="53"/>
      <c r="D137" s="52"/>
      <c r="E137" s="52"/>
      <c r="F137" s="65">
        <f t="shared" si="10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7"/>
    </row>
    <row r="138" spans="2:31" hidden="1">
      <c r="B138" s="50"/>
      <c r="C138" s="53"/>
      <c r="D138" s="52"/>
      <c r="E138" s="52"/>
      <c r="F138" s="65">
        <f t="shared" si="10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7"/>
    </row>
    <row r="139" spans="2:31" hidden="1">
      <c r="B139" s="50"/>
      <c r="C139" s="53"/>
      <c r="D139" s="52"/>
      <c r="E139" s="52"/>
      <c r="F139" s="65">
        <f t="shared" si="10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7"/>
    </row>
    <row r="140" spans="2:31" hidden="1">
      <c r="B140" s="50"/>
      <c r="C140" s="53"/>
      <c r="D140" s="52"/>
      <c r="E140" s="52"/>
      <c r="F140" s="65">
        <f t="shared" si="10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7"/>
    </row>
    <row r="141" spans="2:31" hidden="1">
      <c r="B141" s="50"/>
      <c r="C141" s="53"/>
      <c r="D141" s="52"/>
      <c r="E141" s="52"/>
      <c r="F141" s="65">
        <f t="shared" si="10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7"/>
    </row>
    <row r="142" spans="2:31" hidden="1">
      <c r="B142" s="50"/>
      <c r="C142" s="53"/>
      <c r="D142" s="52"/>
      <c r="E142" s="52"/>
      <c r="F142" s="65">
        <f t="shared" si="10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7"/>
    </row>
    <row r="143" spans="2:31" hidden="1">
      <c r="B143" s="50"/>
      <c r="C143" s="53"/>
      <c r="D143" s="52"/>
      <c r="E143" s="52"/>
      <c r="F143" s="65">
        <f t="shared" si="10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7"/>
    </row>
    <row r="144" spans="2:31" hidden="1">
      <c r="B144" s="50"/>
      <c r="C144" s="53"/>
      <c r="D144" s="52"/>
      <c r="E144" s="52"/>
      <c r="F144" s="65">
        <f t="shared" si="10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7"/>
    </row>
    <row r="145" spans="2:31" hidden="1">
      <c r="B145" s="50"/>
      <c r="C145" s="53"/>
      <c r="D145" s="52"/>
      <c r="E145" s="52"/>
      <c r="F145" s="65">
        <f t="shared" si="10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7"/>
    </row>
    <row r="146" spans="2:31" hidden="1">
      <c r="B146" s="50"/>
      <c r="C146" s="53"/>
      <c r="D146" s="52"/>
      <c r="E146" s="52"/>
      <c r="F146" s="65">
        <f t="shared" si="10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7"/>
    </row>
    <row r="147" spans="2:31" hidden="1">
      <c r="B147" s="50"/>
      <c r="C147" s="53"/>
      <c r="D147" s="52"/>
      <c r="E147" s="52"/>
      <c r="F147" s="65">
        <f t="shared" si="10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7"/>
    </row>
    <row r="148" spans="2:31" hidden="1">
      <c r="B148" s="50"/>
      <c r="C148" s="53"/>
      <c r="D148" s="52"/>
      <c r="E148" s="52"/>
      <c r="F148" s="65">
        <f t="shared" si="10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7"/>
    </row>
    <row r="149" spans="2:31" hidden="1">
      <c r="B149" s="50"/>
      <c r="C149" s="53"/>
      <c r="D149" s="52"/>
      <c r="E149" s="52"/>
      <c r="F149" s="65">
        <f t="shared" si="10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7"/>
    </row>
    <row r="150" spans="2:31" hidden="1">
      <c r="B150" s="50"/>
      <c r="C150" s="53"/>
      <c r="D150" s="52"/>
      <c r="E150" s="52"/>
      <c r="F150" s="65">
        <f t="shared" si="10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7"/>
    </row>
    <row r="151" spans="2:31" hidden="1">
      <c r="B151" s="50"/>
      <c r="C151" s="53"/>
      <c r="D151" s="52"/>
      <c r="E151" s="52"/>
      <c r="F151" s="65">
        <f t="shared" si="10"/>
        <v>0</v>
      </c>
      <c r="G151" s="52"/>
      <c r="H151" s="52"/>
      <c r="I151" s="65">
        <f t="shared" si="11"/>
        <v>0</v>
      </c>
      <c r="J151" s="52"/>
      <c r="K151" s="52"/>
      <c r="L151" s="65">
        <f t="shared" si="12"/>
        <v>0</v>
      </c>
      <c r="M151" s="52"/>
      <c r="N151" s="52"/>
      <c r="O151" s="65">
        <f t="shared" si="13"/>
        <v>0</v>
      </c>
      <c r="P151" s="52"/>
      <c r="Q151" s="52"/>
      <c r="R151" s="65">
        <f t="shared" si="14"/>
        <v>0</v>
      </c>
      <c r="S151" s="52"/>
      <c r="T151" s="52"/>
      <c r="U151" s="65">
        <f t="shared" si="15"/>
        <v>0</v>
      </c>
      <c r="V151" s="52"/>
      <c r="W151" s="52"/>
      <c r="X151" s="65">
        <f t="shared" si="20"/>
        <v>0</v>
      </c>
      <c r="Y151" s="52"/>
      <c r="Z151" s="63">
        <f t="shared" si="17"/>
        <v>0</v>
      </c>
      <c r="AA151" s="50"/>
      <c r="AB151" s="50"/>
      <c r="AC151" s="61">
        <f t="shared" si="18"/>
        <v>0</v>
      </c>
      <c r="AD151" s="50"/>
      <c r="AE151" s="67">
        <f t="shared" si="19"/>
        <v>0</v>
      </c>
    </row>
    <row r="152" spans="2:31" hidden="1">
      <c r="B152" s="50"/>
      <c r="C152" s="53"/>
      <c r="D152" s="52"/>
      <c r="E152" s="52"/>
      <c r="F152" s="65">
        <f t="shared" si="10"/>
        <v>0</v>
      </c>
      <c r="G152" s="52"/>
      <c r="H152" s="52"/>
      <c r="I152" s="65">
        <f t="shared" si="11"/>
        <v>0</v>
      </c>
      <c r="J152" s="52"/>
      <c r="K152" s="52"/>
      <c r="L152" s="65">
        <f t="shared" si="12"/>
        <v>0</v>
      </c>
      <c r="M152" s="52"/>
      <c r="N152" s="52"/>
      <c r="O152" s="65">
        <f t="shared" si="13"/>
        <v>0</v>
      </c>
      <c r="P152" s="52"/>
      <c r="Q152" s="52"/>
      <c r="R152" s="65">
        <f t="shared" si="14"/>
        <v>0</v>
      </c>
      <c r="S152" s="52"/>
      <c r="T152" s="52"/>
      <c r="U152" s="65">
        <f t="shared" si="15"/>
        <v>0</v>
      </c>
      <c r="V152" s="52"/>
      <c r="W152" s="52"/>
      <c r="X152" s="65">
        <f t="shared" si="20"/>
        <v>0</v>
      </c>
      <c r="Y152" s="52"/>
      <c r="Z152" s="63">
        <f t="shared" si="17"/>
        <v>0</v>
      </c>
      <c r="AA152" s="50"/>
      <c r="AB152" s="50"/>
      <c r="AC152" s="61">
        <f t="shared" si="18"/>
        <v>0</v>
      </c>
      <c r="AD152" s="50"/>
      <c r="AE152" s="67">
        <f t="shared" si="19"/>
        <v>0</v>
      </c>
    </row>
    <row r="153" spans="2:31" hidden="1">
      <c r="B153" s="50"/>
      <c r="C153" s="53"/>
      <c r="D153" s="52"/>
      <c r="E153" s="52"/>
      <c r="F153" s="65">
        <f t="shared" si="10"/>
        <v>0</v>
      </c>
      <c r="G153" s="52"/>
      <c r="H153" s="52"/>
      <c r="I153" s="65">
        <f t="shared" si="11"/>
        <v>0</v>
      </c>
      <c r="J153" s="52"/>
      <c r="K153" s="52"/>
      <c r="L153" s="65">
        <f t="shared" si="12"/>
        <v>0</v>
      </c>
      <c r="M153" s="52"/>
      <c r="N153" s="52"/>
      <c r="O153" s="65">
        <f t="shared" si="13"/>
        <v>0</v>
      </c>
      <c r="P153" s="52"/>
      <c r="Q153" s="52"/>
      <c r="R153" s="65">
        <f t="shared" si="14"/>
        <v>0</v>
      </c>
      <c r="S153" s="52"/>
      <c r="T153" s="52"/>
      <c r="U153" s="65">
        <f t="shared" si="15"/>
        <v>0</v>
      </c>
      <c r="V153" s="52"/>
      <c r="W153" s="52"/>
      <c r="X153" s="65">
        <f t="shared" si="20"/>
        <v>0</v>
      </c>
      <c r="Y153" s="52"/>
      <c r="Z153" s="63">
        <f t="shared" si="17"/>
        <v>0</v>
      </c>
      <c r="AA153" s="50"/>
      <c r="AB153" s="50"/>
      <c r="AC153" s="61">
        <f t="shared" si="18"/>
        <v>0</v>
      </c>
      <c r="AD153" s="50"/>
      <c r="AE153" s="67">
        <f t="shared" si="19"/>
        <v>0</v>
      </c>
    </row>
    <row r="154" spans="2:31" s="59" customFormat="1" ht="51.75">
      <c r="B154" s="97" t="s">
        <v>201</v>
      </c>
      <c r="C154" s="98"/>
      <c r="D154" s="62">
        <f t="shared" ref="D154:E154" si="21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75</v>
      </c>
      <c r="E154" s="62">
        <f t="shared" si="21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75</v>
      </c>
      <c r="G154" s="62">
        <f t="shared" ref="G154" si="22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280</v>
      </c>
      <c r="H154" s="62">
        <f t="shared" ref="H154:I154" si="23">+H4+H5+H6+H7+H8+H9+H10+H11+H12+H13+H14+H15+H16+H17+H18+H19+H20+H21+H22+H23+H24+H25+H26+H27+H28+H29+H30+H31+H32+H33+H34+H35+H36+H37+H38+H39+H40+H41+H42+H43+H44+H45+H46+H47+H48+H49+H50+H51+H52+H53+H54+H55+H56+H57+H58+H59+H60+H61+H62+H63+H64+H65+H66+H67+H68+H69+H70+H71+H72+H73+H74+H75+H76+H77+H78+H79+H80+H81+H82+H83+H84+H85+H86+H87+H88+H89+H90+H91+H92+H93+H94+H95+H96+H97+H98+H99+H100+H101+H102+H103+H104+H105+H106+H107+H108+H109+H151+H152+H153+H110+H111+H112+H113+H114+H115+H116+H117+H118+H119+H120+H121+H122+H123+H124+H125+H126+H127+H128+H129+H130+H131+H132+H133+H134+H135+H136+H137+H138+H139+H140+H141+H142+H143+H144+H145+H146+H147+H148+H149+H150</f>
        <v>0</v>
      </c>
      <c r="I154" s="62">
        <f t="shared" si="23"/>
        <v>280</v>
      </c>
      <c r="J154" s="62">
        <f t="shared" ref="J154" si="24">+J4+J5+J6+J7+J8+J9+J10+J11+J12+J13+J14+J15+J16+J17+J18+J19+J20+J21+J22+J23+J24+J25+J26+J27+J28+J29+J30+J31+J32+J33+J34+J35+J36+J37+J38+J39+J40+J41+J42+J43+J44+J45+J46+J47+J48+J49+J50+J51+J52+J53+J54+J55+J56+J57+J58+J59+J60+J61+J62+J63+J64+J65+J66+J67+J68+J69+J70+J71+J72+J73+J74+J75+J76+J77+J78+J79+J80+J81+J82+J83+J84+J85+J86+J87+J88+J89+J90+J91+J92+J93+J94+J95+J96+J97+J98+J99+J100+J101+J102+J103+J104+J105+J106+J107+J108+J109+J151+J152+J153+J110+J111+J112+J113+J114+J115+J116+J117+J118+J119+J120+J121+J122+J123+J124+J125+J126+J127+J128+J129+J130+J131+J132+J133+J134+J135+J136+J137+J138+J139+J140+J141+J142+J143+J144+J145+J146+J147+J148+J149+J150</f>
        <v>86</v>
      </c>
      <c r="K154" s="62">
        <f t="shared" ref="K154:L154" si="25">+K4+K5+K6+K7+K8+K9+K10+K11+K12+K13+K14+K15+K16+K17+K18+K19+K20+K21+K22+K23+K24+K25+K26+K27+K28+K29+K30+K31+K32+K33+K34+K35+K36+K37+K38+K39+K40+K41+K42+K43+K44+K45+K46+K47+K48+K49+K50+K51+K52+K53+K54+K55+K56+K57+K58+K59+K60+K61+K62+K63+K64+K65+K66+K67+K68+K69+K70+K71+K72+K73+K74+K75+K76+K77+K78+K79+K80+K81+K82+K83+K84+K85+K86+K87+K88+K89+K90+K91+K92+K93+K94+K95+K96+K97+K98+K99+K100+K101+K102+K103+K104+K105+K106+K107+K108+K109+K151+K152+K153+K110+K111+K112+K113+K114+K115+K116+K117+K118+K119+K120+K121+K122+K123+K124+K125+K126+K127+K128+K129+K130+K131+K132+K133+K134+K135+K136+K137+K138+K139+K140+K141+K142+K143+K144+K145+K146+K147+K148+K149+K150</f>
        <v>0</v>
      </c>
      <c r="L154" s="62">
        <f t="shared" si="25"/>
        <v>86</v>
      </c>
      <c r="M154" s="62">
        <f t="shared" ref="M154" si="26">+M4+M5+M6+M7+M8+M9+M10+M11+M12+M13+M14+M15+M16+M17+M18+M19+M20+M21+M22+M23+M24+M25+M26+M27+M28+M29+M30+M31+M32+M33+M34+M35+M36+M37+M38+M39+M40+M41+M42+M43+M44+M45+M46+M47+M48+M49+M50+M51+M52+M53+M54+M55+M56+M57+M58+M59+M60+M61+M62+M63+M64+M65+M66+M67+M68+M69+M70+M71+M72+M73+M74+M75+M76+M77+M78+M79+M80+M81+M82+M83+M84+M85+M86+M87+M88+M89+M90+M91+M92+M93+M94+M95+M96+M97+M98+M99+M100+M101+M102+M103+M104+M105+M106+M107+M108+M109+M151+M152+M153+M110+M111+M112+M113+M114+M115+M116+M117+M118+M119+M120+M121+M122+M123+M124+M125+M126+M127+M128+M129+M130+M131+M132+M133+M134+M135+M136+M137+M138+M139+M140+M141+M142+M143+M144+M145+M146+M147+M148+M149+M150</f>
        <v>805</v>
      </c>
      <c r="N154" s="62">
        <f t="shared" ref="N154:O154" si="27">+N4+N5+N6+N7+N8+N9+N10+N11+N12+N13+N14+N15+N16+N17+N18+N19+N20+N21+N22+N23+N24+N25+N26+N27+N28+N29+N30+N31+N32+N33+N34+N35+N36+N37+N38+N39+N40+N41+N42+N43+N44+N45+N46+N47+N48+N49+N50+N51+N52+N53+N54+N55+N56+N57+N58+N59+N60+N61+N62+N63+N64+N65+N66+N67+N68+N69+N70+N71+N72+N73+N74+N75+N76+N77+N78+N79+N80+N81+N82+N83+N84+N85+N86+N87+N88+N89+N90+N91+N92+N93+N94+N95+N96+N97+N98+N99+N100+N101+N102+N103+N104+N105+N106+N107+N108+N109+N151+N152+N153+N110+N111+N112+N113+N114+N115+N116+N117+N118+N119+N120+N121+N122+N123+N124+N125+N126+N127+N128+N129+N130+N131+N132+N133+N134+N135+N136+N137+N138+N139+N140+N141+N142+N143+N144+N145+N146+N147+N148+N149+N150</f>
        <v>0</v>
      </c>
      <c r="O154" s="62">
        <f t="shared" si="27"/>
        <v>805</v>
      </c>
      <c r="P154" s="62">
        <f t="shared" ref="P154" si="28">+P4+P5+P6+P7+P8+P9+P10+P11+P12+P13+P14+P15+P16+P17+P18+P19+P20+P21+P22+P23+P24+P25+P26+P27+P28+P29+P30+P31+P32+P33+P34+P35+P36+P37+P38+P39+P40+P41+P42+P43+P44+P45+P46+P47+P48+P49+P50+P51+P52+P53+P54+P55+P56+P57+P58+P59+P60+P61+P62+P63+P64+P65+P66+P67+P68+P69+P70+P71+P72+P73+P74+P75+P76+P77+P78+P79+P80+P81+P82+P83+P84+P85+P86+P87+P88+P89+P90+P91+P92+P93+P94+P95+P96+P97+P98+P99+P100+P101+P102+P103+P104+P105+P106+P107+P108+P109+P151+P152+P153+P110+P111+P112+P113+P114+P115+P116+P117+P118+P119+P120+P121+P122+P123+P124+P125+P126+P127+P128+P129+P130+P131+P132+P133+P134+P135+P136+P137+P138+P139+P140+P141+P142+P143+P144+P145+P146+P147+P148+P149+P150</f>
        <v>0</v>
      </c>
      <c r="Q154" s="62">
        <f t="shared" ref="Q154:R154" si="29">+Q4+Q5+Q6+Q7+Q8+Q9+Q10+Q11+Q12+Q13+Q14+Q15+Q16+Q17+Q18+Q19+Q20+Q21+Q22+Q23+Q24+Q25+Q26+Q27+Q28+Q29+Q30+Q31+Q32+Q33+Q34+Q35+Q36+Q37+Q38+Q39+Q40+Q41+Q42+Q43+Q44+Q45+Q46+Q47+Q48+Q49+Q50+Q51+Q52+Q53+Q54+Q55+Q56+Q57+Q58+Q59+Q60+Q61+Q62+Q63+Q64+Q65+Q66+Q67+Q68+Q69+Q70+Q71+Q72+Q73+Q74+Q75+Q76+Q77+Q78+Q79+Q80+Q81+Q82+Q83+Q84+Q85+Q86+Q87+Q88+Q89+Q90+Q91+Q92+Q93+Q94+Q95+Q96+Q97+Q98+Q99+Q100+Q101+Q102+Q103+Q104+Q105+Q106+Q107+Q108+Q109+Q151+Q152+Q153+Q110+Q111+Q112+Q113+Q114+Q115+Q116+Q117+Q118+Q119+Q120+Q121+Q122+Q123+Q124+Q125+Q126+Q127+Q128+Q129+Q130+Q131+Q132+Q133+Q134+Q135+Q136+Q137+Q138+Q139+Q140+Q141+Q142+Q143+Q144+Q145+Q146+Q147+Q148+Q149+Q150</f>
        <v>0</v>
      </c>
      <c r="R154" s="62">
        <f t="shared" si="29"/>
        <v>0</v>
      </c>
      <c r="S154" s="62">
        <f t="shared" ref="S154" si="30">+S4+S5+S6+S7+S8+S9+S10+S11+S12+S13+S14+S15+S16+S17+S18+S19+S20+S21+S22+S23+S24+S25+S26+S27+S28+S29+S30+S31+S32+S33+S34+S35+S36+S37+S38+S39+S40+S41+S42+S43+S44+S45+S46+S47+S48+S49+S50+S51+S52+S53+S54+S55+S56+S57+S58+S59+S60+S61+S62+S63+S64+S65+S66+S67+S68+S69+S70+S71+S72+S73+S74+S75+S76+S77+S78+S79+S80+S81+S82+S83+S84+S85+S86+S87+S88+S89+S90+S91+S92+S93+S94+S95+S96+S97+S98+S99+S100+S101+S102+S103+S104+S105+S106+S107+S108+S109+S151+S152+S153+S110+S111+S112+S113+S114+S115+S116+S117+S118+S119+S120+S121+S122+S123+S124+S125+S126+S127+S128+S129+S130+S131+S132+S133+S134+S135+S136+S137+S138+S139+S140+S141+S142+S143+S144+S145+S146+S147+S148+S149+S150</f>
        <v>0</v>
      </c>
      <c r="T154" s="62">
        <f t="shared" ref="T154:U154" si="31">+T4+T5+T6+T7+T8+T9+T10+T11+T12+T13+T14+T15+T16+T17+T18+T19+T20+T21+T22+T23+T24+T25+T26+T27+T28+T29+T30+T31+T32+T33+T34+T35+T36+T37+T38+T39+T40+T41+T42+T43+T44+T45+T46+T47+T48+T49+T50+T51+T52+T53+T54+T55+T56+T57+T58+T59+T60+T61+T62+T63+T64+T65+T66+T67+T68+T69+T70+T71+T72+T73+T74+T75+T76+T77+T78+T79+T80+T81+T82+T83+T84+T85+T86+T87+T88+T89+T90+T91+T92+T93+T94+T95+T96+T97+T98+T99+T100+T101+T102+T103+T104+T105+T106+T107+T108+T109+T151+T152+T153+T110+T111+T112+T113+T114+T115+T116+T117+T118+T119+T120+T121+T122+T123+T124+T125+T126+T127+T128+T129+T130+T131+T132+T133+T134+T135+T136+T137+T138+T139+T140+T141+T142+T143+T144+T145+T146+T147+T148+T149+T150</f>
        <v>0</v>
      </c>
      <c r="U154" s="62">
        <f t="shared" si="31"/>
        <v>0</v>
      </c>
      <c r="V154" s="62">
        <f t="shared" ref="V154" si="32">+V4+V5+V6+V7+V8+V9+V10+V11+V12+V13+V14+V15+V16+V17+V18+V19+V20+V21+V22+V23+V24+V25+V26+V27+V28+V29+V30+V31+V32+V33+V34+V35+V36+V37+V38+V39+V40+V41+V42+V43+V44+V45+V46+V47+V48+V49+V50+V51+V52+V53+V54+V55+V56+V57+V58+V59+V60+V61+V62+V63+V64+V65+V66+V67+V68+V69+V70+V71+V72+V73+V74+V75+V76+V77+V78+V79+V80+V81+V82+V83+V84+V85+V86+V87+V88+V89+V90+V91+V92+V93+V94+V95+V96+V97+V98+V99+V100+V101+V102+V103+V104+V105+V106+V107+V108+V109+V151+V152+V153+V110+V111+V112+V113+V114+V115+V116+V117+V118+V119+V120+V121+V122+V123+V124+V125+V126+V127+V128+V129+V130+V131+V132+V133+V134+V135+V136+V137+V138+V139+V140+V141+V142+V143+V144+V145+V146+V147+V148+V149+V150</f>
        <v>0</v>
      </c>
      <c r="W154" s="62">
        <f t="shared" ref="W154:X154" si="33">+W4+W5+W6+W7+W8+W9+W10+W11+W12+W13+W14+W15+W16+W17+W18+W19+W20+W21+W22+W23+W24+W25+W26+W27+W28+W29+W30+W31+W32+W33+W34+W35+W36+W37+W38+W39+W40+W41+W42+W43+W44+W45+W46+W47+W48+W49+W50+W51+W52+W53+W54+W55+W56+W57+W58+W59+W60+W61+W62+W63+W64+W65+W66+W67+W68+W69+W70+W71+W72+W73+W74+W75+W76+W77+W78+W79+W80+W81+W82+W83+W84+W85+W86+W87+W88+W89+W90+W91+W92+W93+W94+W95+W96+W97+W98+W99+W100+W101+W102+W103+W104+W105+W106+W107+W108+W109+W151+W152+W153+W110+W111+W112+W113+W114+W115+W116+W117+W118+W119+W120+W121+W122+W123+W124+W125+W126+W127+W128+W129+W130+W131+W132+W133+W134+W135+W136+W137+W138+W139+W140+W141+W142+W143+W144+W145+W146+W147+W148+W149+W150</f>
        <v>0</v>
      </c>
      <c r="X154" s="62">
        <f t="shared" si="33"/>
        <v>0</v>
      </c>
      <c r="Y154" s="62">
        <f t="shared" ref="Y154" si="34">+Y4+Y5+Y6+Y7+Y8+Y9+Y10+Y11+Y12+Y13+Y14+Y15+Y16+Y17+Y18+Y19+Y20+Y21+Y22+Y23+Y24+Y25+Y26+Y27+Y28+Y29+Y30+Y31+Y32+Y33+Y34+Y35+Y36+Y37+Y38+Y39+Y40+Y41+Y42+Y43+Y44+Y45+Y46+Y47+Y48+Y49+Y50+Y51+Y52+Y53+Y54+Y55+Y56+Y57+Y58+Y59+Y60+Y61+Y62+Y63+Y64+Y65+Y66+Y67+Y68+Y69+Y70+Y71+Y72+Y73+Y74+Y75+Y76+Y77+Y78+Y79+Y80+Y81+Y82+Y83+Y84+Y85+Y86+Y87+Y88+Y89+Y90+Y91+Y92+Y93+Y94+Y95+Y96+Y97+Y98+Y99+Y100+Y101+Y102+Y103+Y104+Y105+Y106+Y107+Y108+Y109+Y151+Y152+Y153+Y110+Y111+Y112+Y113+Y114+Y115+Y116+Y117+Y118+Y119+Y120+Y121+Y122+Y123+Y124+Y125+Y126+Y127+Y128+Y129+Y130+Y131+Y132+Y133+Y134+Y135+Y136+Y137+Y138+Y139+Y140+Y141+Y142+Y143+Y144+Y145+Y146+Y147+Y148+Y149+Y150</f>
        <v>60</v>
      </c>
      <c r="Z154" s="62">
        <f t="shared" ref="Z154:AA154" si="35">+Z4+Z5+Z6+Z7+Z8+Z9+Z10+Z11+Z12+Z13+Z14+Z15+Z16+Z17+Z18+Z19+Z20+Z21+Z22+Z23+Z24+Z25+Z26+Z27+Z28+Z29+Z30+Z31+Z32+Z33+Z34+Z35+Z36+Z37+Z38+Z39+Z40+Z41+Z42+Z43+Z44+Z45+Z46+Z47+Z48+Z49+Z50+Z51+Z52+Z53+Z54+Z55+Z56+Z57+Z58+Z59+Z60+Z61+Z62+Z63+Z64+Z65+Z66+Z67+Z68+Z69+Z70+Z71+Z72+Z73+Z74+Z75+Z76+Z77+Z78+Z79+Z80+Z81+Z82+Z83+Z84+Z85+Z86+Z87+Z88+Z89+Z90+Z91+Z92+Z93+Z94+Z95+Z96+Z97+Z98+Z99+Z100+Z101+Z102+Z103+Z104+Z105+Z106+Z107+Z108+Z109+Z151+Z152+Z153+Z110+Z111+Z112+Z113+Z114+Z115+Z116+Z117+Z118+Z119+Z120+Z121+Z122+Z123+Z124+Z125+Z126+Z127+Z128+Z129+Z130+Z131+Z132+Z133+Z134+Z135+Z136+Z137+Z138+Z139+Z140+Z141+Z142+Z143+Z144+Z145+Z146+Z147+Z148+Z149+Z150</f>
        <v>1306</v>
      </c>
      <c r="AA154" s="62">
        <f t="shared" si="35"/>
        <v>1361</v>
      </c>
      <c r="AB154" s="62">
        <f t="shared" ref="AB154" si="36">+AB4+AB5+AB6+AB7+AB8+AB9+AB10+AB11+AB12+AB13+AB14+AB15+AB16+AB17+AB18+AB19+AB20+AB21+AB22+AB23+AB24+AB25+AB26+AB27+AB28+AB29+AB30+AB31+AB32+AB33+AB34+AB35+AB36+AB37+AB38+AB39+AB40+AB41+AB42+AB43+AB44+AB45+AB46+AB47+AB48+AB49+AB50+AB51+AB52+AB53+AB54+AB55+AB56+AB57+AB58+AB59+AB60+AB61+AB62+AB63+AB64+AB65+AB66+AB67+AB68+AB69+AB70+AB71+AB72+AB73+AB74+AB75+AB76+AB77+AB78+AB79+AB80+AB81+AB82+AB83+AB84+AB85+AB86+AB87+AB88+AB89+AB90+AB91+AB92+AB93+AB94+AB95+AB96+AB97+AB98+AB99+AB100+AB101+AB102+AB103+AB104+AB105+AB106+AB107+AB108+AB109+AB151+AB152+AB153+AB110+AB111+AB112+AB113+AB114+AB115+AB116+AB117+AB118+AB119+AB120+AB121+AB122+AB123+AB124+AB125+AB126+AB127+AB128+AB129+AB130+AB131+AB132+AB133+AB134+AB135+AB136+AB137+AB138+AB139+AB140+AB141+AB142+AB143+AB144+AB145+AB146+AB147+AB148+AB149+AB150</f>
        <v>1641</v>
      </c>
      <c r="AC154" s="62">
        <f t="shared" ref="AC154:AD154" si="37">+AC4+AC5+AC6+AC7+AC8+AC9+AC10+AC11+AC12+AC13+AC14+AC15+AC16+AC17+AC18+AC19+AC20+AC21+AC22+AC23+AC24+AC25+AC26+AC27+AC28+AC29+AC30+AC31+AC32+AC33+AC34+AC35+AC36+AC37+AC38+AC39+AC40+AC41+AC42+AC43+AC44+AC45+AC46+AC47+AC48+AC49+AC50+AC51+AC52+AC53+AC54+AC55+AC56+AC57+AC58+AC59+AC60+AC61+AC62+AC63+AC64+AC65+AC66+AC67+AC68+AC69+AC70+AC71+AC72+AC73+AC74+AC75+AC76+AC77+AC78+AC79+AC80+AC81+AC82+AC83+AC84+AC85+AC86+AC87+AC88+AC89+AC90+AC91+AC92+AC93+AC94+AC95+AC96+AC97+AC98+AC99+AC100+AC101+AC102+AC103+AC104+AC105+AC106+AC107+AC108+AC109+AC151+AC152+AC153+AC110+AC111+AC112+AC113+AC114+AC115+AC116+AC117+AC118+AC119+AC120+AC121+AC122+AC123+AC124+AC125+AC126+AC127+AC128+AC129+AC130+AC131+AC132+AC133+AC134+AC135+AC136+AC137+AC138+AC139+AC140+AC141+AC142+AC143+AC144+AC145+AC146+AC147+AC148+AC149+AC150</f>
        <v>1696</v>
      </c>
      <c r="AD154" s="62">
        <f t="shared" si="37"/>
        <v>695</v>
      </c>
      <c r="AE154" s="62">
        <f t="shared" ref="AE154" si="38">+AE4+AE5+AE6+AE7+AE8+AE9+AE10+AE11+AE12+AE13+AE14+AE15+AE16+AE17+AE18+AE19+AE20+AE21+AE22+AE23+AE24+AE25+AE26+AE27+AE28+AE29+AE30+AE31+AE32+AE33+AE34+AE35+AE36+AE37+AE38+AE39+AE40+AE41+AE42+AE43+AE44+AE45+AE46+AE47+AE48+AE49+AE50+AE51+AE52+AE53+AE54+AE55+AE56+AE57+AE58+AE59+AE60+AE61+AE62+AE63+AE64+AE65+AE66+AE67+AE68+AE69+AE70+AE71+AE72+AE73+AE74+AE75+AE76+AE77+AE78+AE79+AE80+AE81+AE82+AE83+AE84+AE85+AE86+AE87+AE88+AE89+AE90+AE91+AE92+AE93+AE94+AE95+AE96+AE97+AE98+AE99+AE100+AE101+AE102+AE103+AE104+AE105+AE106+AE107+AE108+AE109+AE151+AE152+AE153+AE110+AE111+AE112+AE113+AE114+AE115+AE116+AE117+AE118+AE119+AE120+AE121+AE122+AE123+AE124+AE125+AE126+AE127+AE128+AE129+AE130+AE131+AE132+AE133+AE134+AE135+AE136+AE137+AE138+AE139+AE140+AE141+AE142+AE143+AE144+AE145+AE146+AE147+AE148+AE149+AE150</f>
        <v>2391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</sheetData>
  <autoFilter ref="B2:AE2" xr:uid="{3C47631F-A4FA-44D7-ADD8-57CE043BB388}"/>
  <mergeCells count="18"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B154:C154"/>
    <mergeCell ref="Y2:Y3"/>
    <mergeCell ref="Z2:Z3"/>
    <mergeCell ref="AA2:AA3"/>
    <mergeCell ref="AB2:A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F3CE5-C929-4125-A39D-769FB4BD9E91}">
  <sheetPr codeName="Sheet8">
    <pageSetUpPr fitToPage="1"/>
  </sheetPr>
  <dimension ref="B1:AG159"/>
  <sheetViews>
    <sheetView topLeftCell="C41" zoomScale="50" zoomScaleNormal="50" workbookViewId="0">
      <selection activeCell="AL69" sqref="AL69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4" width="14.28515625" style="56" customWidth="1"/>
    <col min="5" max="6" width="14.28515625" style="56" hidden="1" customWidth="1"/>
    <col min="7" max="7" width="14.28515625" style="56" customWidth="1"/>
    <col min="8" max="9" width="14.28515625" style="56" hidden="1" customWidth="1"/>
    <col min="10" max="10" width="14.28515625" style="56" customWidth="1"/>
    <col min="11" max="12" width="14.28515625" style="56" hidden="1" customWidth="1"/>
    <col min="13" max="13" width="14.28515625" style="56" customWidth="1"/>
    <col min="14" max="24" width="14.28515625" style="56" hidden="1" customWidth="1"/>
    <col min="25" max="25" width="14.28515625" style="56" customWidth="1"/>
    <col min="26" max="26" width="19.5703125" style="57" bestFit="1" customWidth="1"/>
    <col min="27" max="30" width="20.7109375" style="48" customWidth="1"/>
    <col min="31" max="31" width="23.85546875" style="49" customWidth="1"/>
    <col min="32" max="32" width="22.7109375" style="49" customWidth="1"/>
    <col min="33" max="33" width="8.85546875" style="49" customWidth="1"/>
    <col min="34" max="16384" width="8.85546875" style="49"/>
  </cols>
  <sheetData>
    <row r="1" spans="2:31" ht="68.25">
      <c r="B1" s="83" t="s">
        <v>211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</row>
    <row r="2" spans="2:31" ht="49.9" customHeight="1">
      <c r="B2" s="99" t="s">
        <v>3</v>
      </c>
      <c r="C2" s="99" t="s">
        <v>4</v>
      </c>
      <c r="D2" s="85" t="s">
        <v>5</v>
      </c>
      <c r="E2" s="86"/>
      <c r="F2" s="87"/>
      <c r="G2" s="85" t="s">
        <v>6</v>
      </c>
      <c r="H2" s="86"/>
      <c r="I2" s="87"/>
      <c r="J2" s="85" t="s">
        <v>7</v>
      </c>
      <c r="K2" s="86"/>
      <c r="L2" s="87"/>
      <c r="M2" s="85" t="s">
        <v>8</v>
      </c>
      <c r="N2" s="86"/>
      <c r="O2" s="87"/>
      <c r="P2" s="85" t="s">
        <v>132</v>
      </c>
      <c r="Q2" s="86"/>
      <c r="R2" s="87"/>
      <c r="S2" s="85" t="s">
        <v>9</v>
      </c>
      <c r="T2" s="86"/>
      <c r="U2" s="87"/>
      <c r="V2" s="88" t="s">
        <v>131</v>
      </c>
      <c r="W2" s="89"/>
      <c r="X2" s="90"/>
      <c r="Y2" s="101" t="s">
        <v>134</v>
      </c>
      <c r="Z2" s="103" t="s">
        <v>204</v>
      </c>
      <c r="AA2" s="91" t="s">
        <v>145</v>
      </c>
      <c r="AB2" s="91" t="s">
        <v>146</v>
      </c>
      <c r="AC2" s="95" t="s">
        <v>147</v>
      </c>
      <c r="AD2" s="93" t="s">
        <v>148</v>
      </c>
      <c r="AE2" s="82" t="s">
        <v>212</v>
      </c>
    </row>
    <row r="3" spans="2:31" ht="49.9" customHeight="1">
      <c r="B3" s="100"/>
      <c r="C3" s="100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102"/>
      <c r="Z3" s="104"/>
      <c r="AA3" s="92"/>
      <c r="AB3" s="92"/>
      <c r="AC3" s="96"/>
      <c r="AD3" s="94"/>
      <c r="AE3" s="82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52">
        <v>75</v>
      </c>
      <c r="N4" s="52"/>
      <c r="O4" s="65">
        <f>SUM(M4:N4)</f>
        <v>75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75</v>
      </c>
      <c r="AA4" s="50">
        <v>100</v>
      </c>
      <c r="AB4" s="50">
        <v>43</v>
      </c>
      <c r="AC4" s="61">
        <f>+AA4+AB4-Z4</f>
        <v>68</v>
      </c>
      <c r="AD4" s="50">
        <v>60</v>
      </c>
      <c r="AE4" s="67">
        <f>AC4+AD4</f>
        <v>128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31</v>
      </c>
      <c r="H5" s="52"/>
      <c r="I5" s="65">
        <f t="shared" ref="I5:I68" si="1">SUM(G5:H5)</f>
        <v>31</v>
      </c>
      <c r="J5" s="52">
        <v>7</v>
      </c>
      <c r="K5" s="52"/>
      <c r="L5" s="65">
        <f t="shared" ref="L5:L68" si="2">SUM(J5:K5)</f>
        <v>7</v>
      </c>
      <c r="M5" s="52">
        <v>3</v>
      </c>
      <c r="N5" s="52"/>
      <c r="O5" s="65">
        <f t="shared" ref="O5:O68" si="3">SUM(M5:N5)</f>
        <v>3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41</v>
      </c>
      <c r="AA5" s="58">
        <v>80</v>
      </c>
      <c r="AB5" s="58">
        <v>38</v>
      </c>
      <c r="AC5" s="61">
        <f t="shared" ref="AC5:AC68" si="8">+AA5+AB5-Z5</f>
        <v>77</v>
      </c>
      <c r="AD5" s="58">
        <v>85</v>
      </c>
      <c r="AE5" s="67">
        <f t="shared" ref="AE5:AE68" si="9">AC5+AD5</f>
        <v>162</v>
      </c>
    </row>
    <row r="6" spans="2:31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7">
        <f t="shared" si="9"/>
        <v>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7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7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10</v>
      </c>
      <c r="H9" s="52"/>
      <c r="I9" s="65">
        <f t="shared" si="1"/>
        <v>10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10</v>
      </c>
      <c r="AA9" s="50"/>
      <c r="AB9" s="50"/>
      <c r="AC9" s="61">
        <f t="shared" si="8"/>
        <v>-10</v>
      </c>
      <c r="AD9" s="50"/>
      <c r="AE9" s="67">
        <f t="shared" si="9"/>
        <v>-10</v>
      </c>
    </row>
    <row r="10" spans="2:31" hidden="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7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10</v>
      </c>
      <c r="H11" s="52"/>
      <c r="I11" s="65">
        <f t="shared" si="1"/>
        <v>10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10</v>
      </c>
      <c r="AA11" s="50"/>
      <c r="AB11" s="50"/>
      <c r="AC11" s="61">
        <f t="shared" si="8"/>
        <v>-10</v>
      </c>
      <c r="AD11" s="50"/>
      <c r="AE11" s="67">
        <f t="shared" si="9"/>
        <v>-10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10</v>
      </c>
      <c r="H12" s="52"/>
      <c r="I12" s="65">
        <f t="shared" si="1"/>
        <v>10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10</v>
      </c>
      <c r="AA12" s="50"/>
      <c r="AB12" s="50"/>
      <c r="AC12" s="61">
        <f t="shared" si="8"/>
        <v>-10</v>
      </c>
      <c r="AD12" s="50"/>
      <c r="AE12" s="67">
        <f t="shared" si="9"/>
        <v>-10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10</v>
      </c>
      <c r="H13" s="52"/>
      <c r="I13" s="65">
        <f t="shared" si="1"/>
        <v>10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10</v>
      </c>
      <c r="AA13" s="50"/>
      <c r="AB13" s="50"/>
      <c r="AC13" s="61">
        <f t="shared" si="8"/>
        <v>-10</v>
      </c>
      <c r="AD13" s="50"/>
      <c r="AE13" s="67">
        <f t="shared" si="9"/>
        <v>-10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10</v>
      </c>
      <c r="H14" s="52"/>
      <c r="I14" s="65">
        <f t="shared" si="1"/>
        <v>10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10</v>
      </c>
      <c r="AA14" s="50"/>
      <c r="AB14" s="50"/>
      <c r="AC14" s="61">
        <f t="shared" si="8"/>
        <v>-10</v>
      </c>
      <c r="AD14" s="50"/>
      <c r="AE14" s="67">
        <f t="shared" si="9"/>
        <v>-10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10</v>
      </c>
      <c r="H15" s="52"/>
      <c r="I15" s="65">
        <f t="shared" si="1"/>
        <v>10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10</v>
      </c>
      <c r="AA15" s="50"/>
      <c r="AB15" s="50"/>
      <c r="AC15" s="61">
        <f t="shared" si="8"/>
        <v>-10</v>
      </c>
      <c r="AD15" s="50"/>
      <c r="AE15" s="67">
        <f t="shared" si="9"/>
        <v>-10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10</v>
      </c>
      <c r="H16" s="52"/>
      <c r="I16" s="65">
        <f t="shared" si="1"/>
        <v>10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10</v>
      </c>
      <c r="AA16" s="50"/>
      <c r="AB16" s="50"/>
      <c r="AC16" s="61">
        <f t="shared" si="8"/>
        <v>-10</v>
      </c>
      <c r="AD16" s="50"/>
      <c r="AE16" s="67">
        <f t="shared" si="9"/>
        <v>-10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10</v>
      </c>
      <c r="H17" s="52"/>
      <c r="I17" s="65">
        <f t="shared" si="1"/>
        <v>10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10</v>
      </c>
      <c r="AA17" s="50"/>
      <c r="AB17" s="50"/>
      <c r="AC17" s="61">
        <f t="shared" si="8"/>
        <v>-10</v>
      </c>
      <c r="AD17" s="50"/>
      <c r="AE17" s="67">
        <f t="shared" si="9"/>
        <v>-10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10</v>
      </c>
      <c r="H18" s="52"/>
      <c r="I18" s="65">
        <f t="shared" si="1"/>
        <v>10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10</v>
      </c>
      <c r="AA18" s="50"/>
      <c r="AB18" s="50"/>
      <c r="AC18" s="61">
        <f t="shared" si="8"/>
        <v>-10</v>
      </c>
      <c r="AD18" s="50"/>
      <c r="AE18" s="67">
        <f t="shared" si="9"/>
        <v>-10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10</v>
      </c>
      <c r="H19" s="52"/>
      <c r="I19" s="65">
        <f t="shared" si="1"/>
        <v>10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10</v>
      </c>
      <c r="AA19" s="50"/>
      <c r="AB19" s="50"/>
      <c r="AC19" s="61">
        <f t="shared" si="8"/>
        <v>-10</v>
      </c>
      <c r="AD19" s="50"/>
      <c r="AE19" s="67">
        <f t="shared" si="9"/>
        <v>-10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7">
        <f t="shared" si="9"/>
        <v>0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7">
        <f t="shared" si="9"/>
        <v>0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7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7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7">
        <f t="shared" si="9"/>
        <v>0</v>
      </c>
    </row>
    <row r="25" spans="2:31">
      <c r="B25" s="50">
        <v>1111008</v>
      </c>
      <c r="C25" s="51" t="s">
        <v>156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52">
        <v>6</v>
      </c>
      <c r="N25" s="52"/>
      <c r="O25" s="65">
        <f t="shared" si="3"/>
        <v>6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6</v>
      </c>
      <c r="AA25" s="50">
        <v>45</v>
      </c>
      <c r="AB25" s="50">
        <v>13</v>
      </c>
      <c r="AC25" s="61">
        <f t="shared" si="8"/>
        <v>52</v>
      </c>
      <c r="AD25" s="50">
        <v>50</v>
      </c>
      <c r="AE25" s="67">
        <f t="shared" si="9"/>
        <v>102</v>
      </c>
    </row>
    <row r="26" spans="2:31">
      <c r="B26" s="50">
        <v>1111009</v>
      </c>
      <c r="C26" s="51" t="s">
        <v>157</v>
      </c>
      <c r="D26" s="52"/>
      <c r="E26" s="52"/>
      <c r="F26" s="65">
        <f t="shared" si="0"/>
        <v>0</v>
      </c>
      <c r="G26" s="52">
        <v>5</v>
      </c>
      <c r="H26" s="52"/>
      <c r="I26" s="65">
        <f t="shared" si="1"/>
        <v>5</v>
      </c>
      <c r="J26" s="52">
        <v>2</v>
      </c>
      <c r="K26" s="52"/>
      <c r="L26" s="65">
        <f t="shared" si="2"/>
        <v>2</v>
      </c>
      <c r="M26" s="52">
        <v>4</v>
      </c>
      <c r="N26" s="52"/>
      <c r="O26" s="65">
        <f t="shared" si="3"/>
        <v>4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11</v>
      </c>
      <c r="AA26" s="50">
        <v>20</v>
      </c>
      <c r="AB26" s="50">
        <v>29</v>
      </c>
      <c r="AC26" s="61">
        <f t="shared" si="8"/>
        <v>38</v>
      </c>
      <c r="AD26" s="50">
        <v>30</v>
      </c>
      <c r="AE26" s="67">
        <f t="shared" si="9"/>
        <v>68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7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7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7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7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7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7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7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7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7">
        <f t="shared" si="9"/>
        <v>0</v>
      </c>
    </row>
    <row r="36" spans="2:31" hidden="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7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7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7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7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7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3</v>
      </c>
      <c r="H41" s="52"/>
      <c r="I41" s="65">
        <f t="shared" si="1"/>
        <v>3</v>
      </c>
      <c r="J41" s="52">
        <v>3</v>
      </c>
      <c r="K41" s="52"/>
      <c r="L41" s="65">
        <f t="shared" si="2"/>
        <v>3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6</v>
      </c>
      <c r="AA41" s="50">
        <v>10</v>
      </c>
      <c r="AB41" s="50">
        <v>3</v>
      </c>
      <c r="AC41" s="61">
        <f t="shared" si="8"/>
        <v>7</v>
      </c>
      <c r="AD41" s="50"/>
      <c r="AE41" s="67">
        <f t="shared" si="9"/>
        <v>7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22</v>
      </c>
      <c r="H42" s="52"/>
      <c r="I42" s="65">
        <f t="shared" si="1"/>
        <v>22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22</v>
      </c>
      <c r="AA42" s="50"/>
      <c r="AB42" s="50"/>
      <c r="AC42" s="61">
        <f t="shared" si="8"/>
        <v>-22</v>
      </c>
      <c r="AD42" s="50"/>
      <c r="AE42" s="67">
        <f t="shared" si="9"/>
        <v>-22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22</v>
      </c>
      <c r="H43" s="52"/>
      <c r="I43" s="65">
        <f t="shared" si="1"/>
        <v>22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22</v>
      </c>
      <c r="AA43" s="50"/>
      <c r="AB43" s="50"/>
      <c r="AC43" s="61">
        <f t="shared" si="8"/>
        <v>-22</v>
      </c>
      <c r="AD43" s="50"/>
      <c r="AE43" s="67">
        <f t="shared" si="9"/>
        <v>-22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22</v>
      </c>
      <c r="H44" s="52"/>
      <c r="I44" s="65">
        <f t="shared" si="1"/>
        <v>22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22</v>
      </c>
      <c r="AA44" s="50"/>
      <c r="AB44" s="50"/>
      <c r="AC44" s="61">
        <f t="shared" si="8"/>
        <v>-22</v>
      </c>
      <c r="AD44" s="50"/>
      <c r="AE44" s="67">
        <f t="shared" si="9"/>
        <v>-22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22</v>
      </c>
      <c r="H45" s="52"/>
      <c r="I45" s="65">
        <f t="shared" si="1"/>
        <v>22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22</v>
      </c>
      <c r="AA45" s="50"/>
      <c r="AB45" s="50"/>
      <c r="AC45" s="61">
        <f t="shared" si="8"/>
        <v>-22</v>
      </c>
      <c r="AD45" s="50"/>
      <c r="AE45" s="67">
        <f t="shared" si="9"/>
        <v>-22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22</v>
      </c>
      <c r="H46" s="52"/>
      <c r="I46" s="65">
        <f t="shared" si="1"/>
        <v>22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22</v>
      </c>
      <c r="AA46" s="50"/>
      <c r="AB46" s="50"/>
      <c r="AC46" s="61">
        <f t="shared" si="8"/>
        <v>-22</v>
      </c>
      <c r="AD46" s="50"/>
      <c r="AE46" s="67">
        <f t="shared" si="9"/>
        <v>-22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22</v>
      </c>
      <c r="H47" s="52"/>
      <c r="I47" s="65">
        <f t="shared" si="1"/>
        <v>22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22</v>
      </c>
      <c r="AA47" s="50"/>
      <c r="AB47" s="50"/>
      <c r="AC47" s="61">
        <f t="shared" si="8"/>
        <v>-22</v>
      </c>
      <c r="AD47" s="50"/>
      <c r="AE47" s="67">
        <f t="shared" si="9"/>
        <v>-22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22</v>
      </c>
      <c r="H48" s="52"/>
      <c r="I48" s="65">
        <f t="shared" si="1"/>
        <v>22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22</v>
      </c>
      <c r="AA48" s="50"/>
      <c r="AB48" s="50"/>
      <c r="AC48" s="61">
        <f t="shared" si="8"/>
        <v>-22</v>
      </c>
      <c r="AD48" s="50"/>
      <c r="AE48" s="67">
        <f t="shared" si="9"/>
        <v>-22</v>
      </c>
    </row>
    <row r="49" spans="2:33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22</v>
      </c>
      <c r="H49" s="52"/>
      <c r="I49" s="65">
        <f t="shared" si="1"/>
        <v>22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22</v>
      </c>
      <c r="AA49" s="50"/>
      <c r="AB49" s="50"/>
      <c r="AC49" s="61">
        <f t="shared" si="8"/>
        <v>-22</v>
      </c>
      <c r="AD49" s="50"/>
      <c r="AE49" s="67">
        <f t="shared" si="9"/>
        <v>-22</v>
      </c>
    </row>
    <row r="50" spans="2:33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22</v>
      </c>
      <c r="H50" s="52"/>
      <c r="I50" s="65">
        <f t="shared" si="1"/>
        <v>22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22</v>
      </c>
      <c r="AA50" s="50"/>
      <c r="AB50" s="50"/>
      <c r="AC50" s="61">
        <f t="shared" si="8"/>
        <v>-22</v>
      </c>
      <c r="AD50" s="50"/>
      <c r="AE50" s="67">
        <f t="shared" si="9"/>
        <v>-22</v>
      </c>
    </row>
    <row r="51" spans="2:33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22</v>
      </c>
      <c r="H51" s="52"/>
      <c r="I51" s="65">
        <f t="shared" si="1"/>
        <v>22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22</v>
      </c>
      <c r="AA51" s="50"/>
      <c r="AB51" s="50"/>
      <c r="AC51" s="61">
        <f t="shared" si="8"/>
        <v>-22</v>
      </c>
      <c r="AD51" s="50"/>
      <c r="AE51" s="67">
        <f t="shared" si="9"/>
        <v>-22</v>
      </c>
    </row>
    <row r="52" spans="2:33" hidden="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7">
        <f t="shared" si="9"/>
        <v>0</v>
      </c>
    </row>
    <row r="53" spans="2:33">
      <c r="B53" s="50">
        <v>1112003</v>
      </c>
      <c r="C53" s="51" t="s">
        <v>174</v>
      </c>
      <c r="D53" s="52">
        <v>4</v>
      </c>
      <c r="E53" s="52"/>
      <c r="F53" s="65">
        <f t="shared" si="0"/>
        <v>4</v>
      </c>
      <c r="G53" s="52">
        <v>1</v>
      </c>
      <c r="H53" s="52"/>
      <c r="I53" s="65">
        <f t="shared" si="1"/>
        <v>1</v>
      </c>
      <c r="J53" s="52"/>
      <c r="K53" s="52"/>
      <c r="L53" s="65">
        <f t="shared" si="2"/>
        <v>0</v>
      </c>
      <c r="M53" s="52">
        <v>48</v>
      </c>
      <c r="N53" s="52"/>
      <c r="O53" s="65">
        <f t="shared" si="3"/>
        <v>48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53</v>
      </c>
      <c r="AA53" s="50">
        <v>65</v>
      </c>
      <c r="AB53" s="50">
        <v>248</v>
      </c>
      <c r="AC53" s="61">
        <f t="shared" si="8"/>
        <v>260</v>
      </c>
      <c r="AD53" s="50"/>
      <c r="AE53" s="67">
        <f t="shared" si="9"/>
        <v>260</v>
      </c>
    </row>
    <row r="54" spans="2:33" hidden="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7">
        <f t="shared" si="9"/>
        <v>0</v>
      </c>
    </row>
    <row r="55" spans="2:33">
      <c r="B55" s="50">
        <v>1112005</v>
      </c>
      <c r="C55" s="51" t="s">
        <v>176</v>
      </c>
      <c r="D55" s="52">
        <v>5</v>
      </c>
      <c r="E55" s="52"/>
      <c r="F55" s="65">
        <f t="shared" si="0"/>
        <v>5</v>
      </c>
      <c r="G55" s="52">
        <v>1</v>
      </c>
      <c r="H55" s="52"/>
      <c r="I55" s="65">
        <f t="shared" si="1"/>
        <v>1</v>
      </c>
      <c r="J55" s="52"/>
      <c r="K55" s="52"/>
      <c r="L55" s="65">
        <f t="shared" si="2"/>
        <v>0</v>
      </c>
      <c r="M55" s="52">
        <v>48</v>
      </c>
      <c r="N55" s="52"/>
      <c r="O55" s="65">
        <f t="shared" si="3"/>
        <v>48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54</v>
      </c>
      <c r="AA55" s="50">
        <v>65</v>
      </c>
      <c r="AB55" s="50">
        <v>253</v>
      </c>
      <c r="AC55" s="61">
        <f t="shared" si="8"/>
        <v>264</v>
      </c>
      <c r="AD55" s="50"/>
      <c r="AE55" s="67">
        <f t="shared" si="9"/>
        <v>264</v>
      </c>
    </row>
    <row r="56" spans="2:33" hidden="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7">
        <f t="shared" si="9"/>
        <v>0</v>
      </c>
    </row>
    <row r="57" spans="2:33">
      <c r="B57" s="50">
        <v>1112009</v>
      </c>
      <c r="C57" s="51" t="s">
        <v>178</v>
      </c>
      <c r="D57" s="52">
        <v>7</v>
      </c>
      <c r="E57" s="52"/>
      <c r="F57" s="65">
        <f t="shared" si="0"/>
        <v>7</v>
      </c>
      <c r="G57" s="52">
        <v>1</v>
      </c>
      <c r="H57" s="52"/>
      <c r="I57" s="65">
        <f t="shared" si="1"/>
        <v>1</v>
      </c>
      <c r="J57" s="52"/>
      <c r="K57" s="52"/>
      <c r="L57" s="65">
        <f t="shared" si="2"/>
        <v>0</v>
      </c>
      <c r="M57" s="52">
        <v>48</v>
      </c>
      <c r="N57" s="52"/>
      <c r="O57" s="65">
        <f t="shared" si="3"/>
        <v>48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56</v>
      </c>
      <c r="AA57" s="50">
        <v>65</v>
      </c>
      <c r="AB57" s="50">
        <v>248</v>
      </c>
      <c r="AC57" s="61">
        <f t="shared" si="8"/>
        <v>257</v>
      </c>
      <c r="AD57" s="50"/>
      <c r="AE57" s="67">
        <f t="shared" si="9"/>
        <v>257</v>
      </c>
    </row>
    <row r="58" spans="2:33" hidden="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7">
        <f t="shared" si="9"/>
        <v>0</v>
      </c>
    </row>
    <row r="59" spans="2:33">
      <c r="B59" s="50">
        <v>1112011</v>
      </c>
      <c r="C59" s="51" t="s">
        <v>180</v>
      </c>
      <c r="D59" s="52">
        <v>4</v>
      </c>
      <c r="E59" s="52"/>
      <c r="F59" s="65">
        <f t="shared" si="0"/>
        <v>4</v>
      </c>
      <c r="G59" s="52">
        <v>1</v>
      </c>
      <c r="H59" s="52"/>
      <c r="I59" s="65">
        <f t="shared" si="1"/>
        <v>1</v>
      </c>
      <c r="J59" s="52"/>
      <c r="K59" s="52"/>
      <c r="L59" s="65">
        <f t="shared" si="2"/>
        <v>0</v>
      </c>
      <c r="M59" s="52">
        <v>47</v>
      </c>
      <c r="N59" s="52"/>
      <c r="O59" s="65">
        <f t="shared" si="3"/>
        <v>47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52</v>
      </c>
      <c r="AA59" s="50">
        <v>65</v>
      </c>
      <c r="AB59" s="50">
        <v>242</v>
      </c>
      <c r="AC59" s="61">
        <f t="shared" si="8"/>
        <v>255</v>
      </c>
      <c r="AD59" s="50"/>
      <c r="AE59" s="67">
        <f t="shared" si="9"/>
        <v>255</v>
      </c>
    </row>
    <row r="60" spans="2:33" hidden="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7">
        <f t="shared" si="9"/>
        <v>0</v>
      </c>
    </row>
    <row r="61" spans="2:33">
      <c r="B61" s="50">
        <v>1112013</v>
      </c>
      <c r="C61" s="51" t="s">
        <v>182</v>
      </c>
      <c r="D61" s="52">
        <v>10</v>
      </c>
      <c r="E61" s="52"/>
      <c r="F61" s="65">
        <f t="shared" si="0"/>
        <v>10</v>
      </c>
      <c r="G61" s="52">
        <v>1</v>
      </c>
      <c r="H61" s="52"/>
      <c r="I61" s="65">
        <f t="shared" si="1"/>
        <v>1</v>
      </c>
      <c r="J61" s="52"/>
      <c r="K61" s="52"/>
      <c r="L61" s="65">
        <f t="shared" si="2"/>
        <v>0</v>
      </c>
      <c r="M61" s="52">
        <v>47</v>
      </c>
      <c r="N61" s="52"/>
      <c r="O61" s="65">
        <f t="shared" si="3"/>
        <v>47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58</v>
      </c>
      <c r="AA61" s="50">
        <v>65</v>
      </c>
      <c r="AB61" s="50">
        <v>201</v>
      </c>
      <c r="AC61" s="61">
        <f t="shared" si="8"/>
        <v>208</v>
      </c>
      <c r="AD61" s="50"/>
      <c r="AE61" s="67">
        <f t="shared" si="9"/>
        <v>208</v>
      </c>
    </row>
    <row r="62" spans="2:33" hidden="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7">
        <f t="shared" si="9"/>
        <v>0</v>
      </c>
    </row>
    <row r="63" spans="2:33">
      <c r="B63" s="50">
        <v>1112015</v>
      </c>
      <c r="C63" s="51" t="s">
        <v>184</v>
      </c>
      <c r="D63" s="52">
        <v>6</v>
      </c>
      <c r="E63" s="52"/>
      <c r="F63" s="65">
        <f t="shared" si="0"/>
        <v>6</v>
      </c>
      <c r="G63" s="52">
        <v>1</v>
      </c>
      <c r="H63" s="52"/>
      <c r="I63" s="65">
        <f t="shared" si="1"/>
        <v>1</v>
      </c>
      <c r="J63" s="52"/>
      <c r="K63" s="52"/>
      <c r="L63" s="65">
        <f t="shared" si="2"/>
        <v>0</v>
      </c>
      <c r="M63" s="52">
        <v>47</v>
      </c>
      <c r="N63" s="52"/>
      <c r="O63" s="65">
        <f t="shared" si="3"/>
        <v>47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54</v>
      </c>
      <c r="AA63" s="50">
        <v>65</v>
      </c>
      <c r="AB63" s="50">
        <v>244</v>
      </c>
      <c r="AC63" s="61">
        <f t="shared" si="8"/>
        <v>255</v>
      </c>
      <c r="AD63" s="50"/>
      <c r="AE63" s="67">
        <f t="shared" si="9"/>
        <v>255</v>
      </c>
      <c r="AG63" s="68"/>
    </row>
    <row r="64" spans="2:33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7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7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7">
        <f t="shared" si="9"/>
        <v>0</v>
      </c>
    </row>
    <row r="67" spans="2:31">
      <c r="B67" s="50">
        <v>1114501</v>
      </c>
      <c r="C67" s="53" t="s">
        <v>187</v>
      </c>
      <c r="D67" s="52"/>
      <c r="E67" s="52"/>
      <c r="F67" s="65">
        <f t="shared" si="0"/>
        <v>0</v>
      </c>
      <c r="G67" s="52">
        <v>5</v>
      </c>
      <c r="H67" s="52"/>
      <c r="I67" s="65">
        <f t="shared" si="1"/>
        <v>5</v>
      </c>
      <c r="J67" s="52">
        <v>4</v>
      </c>
      <c r="K67" s="52"/>
      <c r="L67" s="65">
        <f t="shared" si="2"/>
        <v>4</v>
      </c>
      <c r="M67" s="52">
        <v>18</v>
      </c>
      <c r="N67" s="52"/>
      <c r="O67" s="65">
        <f t="shared" si="3"/>
        <v>18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27</v>
      </c>
      <c r="AA67" s="50">
        <v>3</v>
      </c>
      <c r="AB67" s="50">
        <v>103</v>
      </c>
      <c r="AC67" s="61">
        <f t="shared" si="8"/>
        <v>79</v>
      </c>
      <c r="AD67" s="50">
        <v>200</v>
      </c>
      <c r="AE67" s="67">
        <f t="shared" si="9"/>
        <v>279</v>
      </c>
    </row>
    <row r="68" spans="2:31">
      <c r="B68" s="50">
        <v>1114502</v>
      </c>
      <c r="C68" s="53" t="s">
        <v>188</v>
      </c>
      <c r="D68" s="52"/>
      <c r="E68" s="52"/>
      <c r="F68" s="65">
        <f t="shared" si="0"/>
        <v>0</v>
      </c>
      <c r="G68" s="52">
        <v>1</v>
      </c>
      <c r="H68" s="52"/>
      <c r="I68" s="65">
        <f t="shared" si="1"/>
        <v>1</v>
      </c>
      <c r="J68" s="52"/>
      <c r="K68" s="52"/>
      <c r="L68" s="65">
        <f t="shared" si="2"/>
        <v>0</v>
      </c>
      <c r="M68" s="52">
        <v>18</v>
      </c>
      <c r="N68" s="52"/>
      <c r="O68" s="65">
        <f t="shared" si="3"/>
        <v>18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19</v>
      </c>
      <c r="AA68" s="50"/>
      <c r="AB68" s="50">
        <v>25</v>
      </c>
      <c r="AC68" s="61">
        <f t="shared" si="8"/>
        <v>6</v>
      </c>
      <c r="AD68" s="50">
        <v>180</v>
      </c>
      <c r="AE68" s="67">
        <f t="shared" si="9"/>
        <v>186</v>
      </c>
    </row>
    <row r="69" spans="2:31">
      <c r="B69" s="50">
        <v>1114503</v>
      </c>
      <c r="C69" s="53" t="s">
        <v>189</v>
      </c>
      <c r="D69" s="52"/>
      <c r="E69" s="52"/>
      <c r="F69" s="65">
        <f t="shared" ref="F69:F132" si="10">SUM(D69:E69)</f>
        <v>0</v>
      </c>
      <c r="G69" s="52">
        <v>1</v>
      </c>
      <c r="H69" s="52"/>
      <c r="I69" s="65">
        <f t="shared" ref="I69:I121" si="11">SUM(G69:H69)</f>
        <v>1</v>
      </c>
      <c r="J69" s="52">
        <v>2</v>
      </c>
      <c r="K69" s="52"/>
      <c r="L69" s="65">
        <f t="shared" ref="L69:L121" si="12">SUM(J69:K69)</f>
        <v>2</v>
      </c>
      <c r="M69" s="52">
        <v>18</v>
      </c>
      <c r="N69" s="52"/>
      <c r="O69" s="65">
        <f t="shared" ref="O69:O121" si="13">SUM(M69:N69)</f>
        <v>18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21</v>
      </c>
      <c r="AA69" s="50">
        <v>2</v>
      </c>
      <c r="AB69" s="50">
        <v>25</v>
      </c>
      <c r="AC69" s="61">
        <f t="shared" ref="AC69:AC121" si="18">+AA69+AB69-Z69</f>
        <v>6</v>
      </c>
      <c r="AD69" s="50">
        <v>180</v>
      </c>
      <c r="AE69" s="67">
        <f t="shared" ref="AE69:AE121" si="19">AC69+AD69</f>
        <v>186</v>
      </c>
    </row>
    <row r="70" spans="2:3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>
        <v>17</v>
      </c>
      <c r="H70" s="52"/>
      <c r="I70" s="65">
        <f t="shared" si="11"/>
        <v>17</v>
      </c>
      <c r="J70" s="52"/>
      <c r="K70" s="52"/>
      <c r="L70" s="65">
        <f t="shared" si="12"/>
        <v>0</v>
      </c>
      <c r="M70" s="52">
        <v>49</v>
      </c>
      <c r="N70" s="52"/>
      <c r="O70" s="65">
        <f t="shared" si="13"/>
        <v>49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66</v>
      </c>
      <c r="AA70" s="50">
        <v>50</v>
      </c>
      <c r="AB70" s="50">
        <v>13</v>
      </c>
      <c r="AC70" s="61">
        <f t="shared" si="18"/>
        <v>-3</v>
      </c>
      <c r="AD70" s="50">
        <v>70</v>
      </c>
      <c r="AE70" s="67">
        <f t="shared" si="19"/>
        <v>67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7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7">
        <f t="shared" si="19"/>
        <v>0</v>
      </c>
    </row>
    <row r="73" spans="2:31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7">
        <f t="shared" si="19"/>
        <v>0</v>
      </c>
    </row>
    <row r="74" spans="2:31" hidden="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7">
        <f t="shared" si="19"/>
        <v>0</v>
      </c>
    </row>
    <row r="75" spans="2:31">
      <c r="B75" s="50">
        <v>1113170</v>
      </c>
      <c r="C75" s="53" t="s">
        <v>87</v>
      </c>
      <c r="D75" s="52">
        <v>5</v>
      </c>
      <c r="E75" s="52"/>
      <c r="F75" s="65">
        <f t="shared" si="10"/>
        <v>5</v>
      </c>
      <c r="G75" s="52"/>
      <c r="H75" s="52"/>
      <c r="I75" s="65">
        <f t="shared" si="11"/>
        <v>0</v>
      </c>
      <c r="J75" s="52">
        <v>2</v>
      </c>
      <c r="K75" s="52"/>
      <c r="L75" s="65">
        <f t="shared" si="12"/>
        <v>2</v>
      </c>
      <c r="M75" s="52">
        <v>5</v>
      </c>
      <c r="N75" s="52"/>
      <c r="O75" s="65">
        <f t="shared" si="13"/>
        <v>5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12</v>
      </c>
      <c r="AA75" s="50"/>
      <c r="AB75" s="50">
        <v>93</v>
      </c>
      <c r="AC75" s="61">
        <f t="shared" si="18"/>
        <v>81</v>
      </c>
      <c r="AD75" s="50"/>
      <c r="AE75" s="67">
        <f t="shared" si="19"/>
        <v>81</v>
      </c>
    </row>
    <row r="76" spans="2:31">
      <c r="B76" s="50">
        <v>1113171</v>
      </c>
      <c r="C76" s="53" t="s">
        <v>88</v>
      </c>
      <c r="D76" s="52">
        <v>7</v>
      </c>
      <c r="E76" s="52"/>
      <c r="F76" s="65">
        <f t="shared" si="10"/>
        <v>7</v>
      </c>
      <c r="G76" s="52"/>
      <c r="H76" s="52"/>
      <c r="I76" s="65">
        <f t="shared" si="11"/>
        <v>0</v>
      </c>
      <c r="J76" s="52">
        <v>3</v>
      </c>
      <c r="K76" s="52"/>
      <c r="L76" s="65">
        <f t="shared" si="12"/>
        <v>3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10</v>
      </c>
      <c r="AA76" s="50"/>
      <c r="AB76" s="50">
        <v>27</v>
      </c>
      <c r="AC76" s="61">
        <f t="shared" si="18"/>
        <v>17</v>
      </c>
      <c r="AD76" s="50"/>
      <c r="AE76" s="67">
        <f t="shared" si="19"/>
        <v>17</v>
      </c>
    </row>
    <row r="77" spans="2:31">
      <c r="B77" s="50">
        <v>1113172</v>
      </c>
      <c r="C77" s="53" t="s">
        <v>89</v>
      </c>
      <c r="D77" s="52">
        <v>4</v>
      </c>
      <c r="E77" s="52"/>
      <c r="F77" s="65">
        <f t="shared" si="10"/>
        <v>4</v>
      </c>
      <c r="G77" s="52"/>
      <c r="H77" s="52"/>
      <c r="I77" s="65">
        <f t="shared" si="11"/>
        <v>0</v>
      </c>
      <c r="J77" s="52">
        <v>5</v>
      </c>
      <c r="K77" s="52"/>
      <c r="L77" s="65">
        <f t="shared" si="12"/>
        <v>5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9</v>
      </c>
      <c r="AA77" s="50"/>
      <c r="AB77" s="50">
        <v>14</v>
      </c>
      <c r="AC77" s="61">
        <f t="shared" si="18"/>
        <v>5</v>
      </c>
      <c r="AD77" s="50"/>
      <c r="AE77" s="67">
        <f t="shared" si="19"/>
        <v>5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>
        <v>10</v>
      </c>
      <c r="AE78" s="67">
        <f t="shared" si="19"/>
        <v>10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7">
        <f t="shared" si="19"/>
        <v>0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7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7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1</v>
      </c>
      <c r="H82" s="52"/>
      <c r="I82" s="65">
        <f t="shared" si="11"/>
        <v>1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1</v>
      </c>
      <c r="AA82" s="50"/>
      <c r="AB82" s="50"/>
      <c r="AC82" s="61">
        <f t="shared" si="18"/>
        <v>-1</v>
      </c>
      <c r="AD82" s="50"/>
      <c r="AE82" s="67">
        <f t="shared" si="19"/>
        <v>-1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6</v>
      </c>
      <c r="H83" s="52"/>
      <c r="I83" s="65">
        <f t="shared" si="11"/>
        <v>6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6</v>
      </c>
      <c r="AA83" s="50"/>
      <c r="AB83" s="50"/>
      <c r="AC83" s="61">
        <f t="shared" si="18"/>
        <v>-6</v>
      </c>
      <c r="AD83" s="50"/>
      <c r="AE83" s="67">
        <f t="shared" si="19"/>
        <v>-6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7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7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7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7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7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7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7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7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7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7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7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7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7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7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7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7">
        <f t="shared" si="19"/>
        <v>0</v>
      </c>
    </row>
    <row r="100" spans="2:31" hidden="1">
      <c r="B100" s="50">
        <v>1004062</v>
      </c>
      <c r="C100" s="53" t="s">
        <v>238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7">
        <f t="shared" si="19"/>
        <v>0</v>
      </c>
    </row>
    <row r="101" spans="2:31" hidden="1">
      <c r="B101" s="50">
        <v>1004051</v>
      </c>
      <c r="C101" s="53" t="s">
        <v>239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7">
        <f t="shared" si="19"/>
        <v>0</v>
      </c>
    </row>
    <row r="102" spans="2:31" hidden="1">
      <c r="B102" s="50">
        <v>1111005</v>
      </c>
      <c r="C102" s="53" t="s">
        <v>240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7">
        <f t="shared" si="19"/>
        <v>0</v>
      </c>
    </row>
    <row r="103" spans="2:31" hidden="1">
      <c r="B103" s="50">
        <v>1111006</v>
      </c>
      <c r="C103" s="53" t="s">
        <v>241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7">
        <f t="shared" si="19"/>
        <v>0</v>
      </c>
    </row>
    <row r="104" spans="2:31" hidden="1">
      <c r="B104" s="50">
        <v>1004048</v>
      </c>
      <c r="C104" s="53" t="s">
        <v>242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7">
        <f t="shared" si="19"/>
        <v>0</v>
      </c>
    </row>
    <row r="105" spans="2:31" hidden="1">
      <c r="B105" s="50">
        <v>1113157</v>
      </c>
      <c r="C105" s="53" t="s">
        <v>243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7">
        <f t="shared" si="19"/>
        <v>0</v>
      </c>
    </row>
    <row r="106" spans="2:31" hidden="1">
      <c r="B106" s="50">
        <v>1004080</v>
      </c>
      <c r="C106" s="53" t="s">
        <v>244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7">
        <f t="shared" si="19"/>
        <v>0</v>
      </c>
    </row>
    <row r="107" spans="2:31" hidden="1">
      <c r="B107" s="50">
        <v>1004081</v>
      </c>
      <c r="C107" s="53" t="s">
        <v>245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7">
        <f t="shared" si="19"/>
        <v>0</v>
      </c>
    </row>
    <row r="108" spans="2:31" hidden="1">
      <c r="B108" s="50">
        <v>3001200</v>
      </c>
      <c r="C108" s="53" t="s">
        <v>246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7">
        <f t="shared" si="19"/>
        <v>0</v>
      </c>
    </row>
    <row r="109" spans="2:31" hidden="1">
      <c r="B109" s="50">
        <v>1004047</v>
      </c>
      <c r="C109" s="53" t="s">
        <v>247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7">
        <f t="shared" si="19"/>
        <v>0</v>
      </c>
    </row>
    <row r="110" spans="2:31" hidden="1">
      <c r="B110" s="50">
        <v>1004070</v>
      </c>
      <c r="C110" s="53" t="s">
        <v>248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7">
        <f t="shared" si="19"/>
        <v>0</v>
      </c>
    </row>
    <row r="111" spans="2:31" hidden="1">
      <c r="B111" s="50">
        <v>1004076</v>
      </c>
      <c r="C111" s="53" t="s">
        <v>249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7">
        <f t="shared" si="19"/>
        <v>0</v>
      </c>
    </row>
    <row r="112" spans="2:31" hidden="1">
      <c r="B112" s="50">
        <v>1004050</v>
      </c>
      <c r="C112" s="53" t="s">
        <v>250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7">
        <f t="shared" si="19"/>
        <v>0</v>
      </c>
    </row>
    <row r="113" spans="2:31" hidden="1">
      <c r="B113" s="50">
        <v>1004048</v>
      </c>
      <c r="C113" s="53" t="s">
        <v>251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7">
        <f t="shared" si="19"/>
        <v>0</v>
      </c>
    </row>
    <row r="114" spans="2:31" hidden="1">
      <c r="B114" s="50">
        <v>1007020</v>
      </c>
      <c r="C114" s="53" t="s">
        <v>253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7">
        <f t="shared" si="19"/>
        <v>0</v>
      </c>
    </row>
    <row r="115" spans="2:31" hidden="1">
      <c r="B115" s="50">
        <v>1004063</v>
      </c>
      <c r="C115" s="53" t="s">
        <v>254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7">
        <f t="shared" si="19"/>
        <v>0</v>
      </c>
    </row>
    <row r="116" spans="2:31" hidden="1">
      <c r="B116" s="50">
        <v>1004065</v>
      </c>
      <c r="C116" s="53" t="s">
        <v>255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7">
        <f t="shared" si="19"/>
        <v>0</v>
      </c>
    </row>
    <row r="117" spans="2:31" hidden="1">
      <c r="B117" s="50">
        <v>1006982</v>
      </c>
      <c r="C117" s="53" t="s">
        <v>256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7">
        <f t="shared" si="19"/>
        <v>0</v>
      </c>
    </row>
    <row r="118" spans="2:31" hidden="1">
      <c r="B118" s="50">
        <v>1006000</v>
      </c>
      <c r="C118" s="53" t="s">
        <v>257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7">
        <f t="shared" si="19"/>
        <v>0</v>
      </c>
    </row>
    <row r="119" spans="2:31" hidden="1">
      <c r="B119" s="50">
        <v>1005998</v>
      </c>
      <c r="C119" s="53" t="s">
        <v>258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7">
        <f t="shared" si="19"/>
        <v>0</v>
      </c>
    </row>
    <row r="120" spans="2:31" hidden="1">
      <c r="B120" s="50">
        <v>1005995</v>
      </c>
      <c r="C120" s="53" t="s">
        <v>259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7">
        <f t="shared" si="19"/>
        <v>0</v>
      </c>
    </row>
    <row r="121" spans="2:31" hidden="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7">
        <f t="shared" si="19"/>
        <v>0</v>
      </c>
    </row>
    <row r="122" spans="2:31" hidden="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7"/>
    </row>
    <row r="123" spans="2:31" hidden="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7"/>
    </row>
    <row r="124" spans="2:31" hidden="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7"/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7"/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7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7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7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7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7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7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7"/>
    </row>
    <row r="133" spans="2:31" hidden="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7"/>
    </row>
    <row r="134" spans="2:31" hidden="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7"/>
    </row>
    <row r="135" spans="2:31" hidden="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7"/>
    </row>
    <row r="136" spans="2:31" hidden="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7"/>
    </row>
    <row r="137" spans="2:31" hidden="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7"/>
    </row>
    <row r="138" spans="2:31" hidden="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7"/>
    </row>
    <row r="139" spans="2:31" hidden="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7"/>
    </row>
    <row r="140" spans="2:31" hidden="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7"/>
    </row>
    <row r="141" spans="2:31" hidden="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7"/>
    </row>
    <row r="142" spans="2:31" hidden="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7"/>
    </row>
    <row r="143" spans="2:31" hidden="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7"/>
    </row>
    <row r="144" spans="2:31" hidden="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7"/>
    </row>
    <row r="145" spans="2:31" hidden="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7"/>
    </row>
    <row r="146" spans="2:31" hidden="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7"/>
    </row>
    <row r="147" spans="2:31" hidden="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7"/>
    </row>
    <row r="148" spans="2:31" hidden="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7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7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7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7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7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7">
        <f t="shared" si="29"/>
        <v>0</v>
      </c>
    </row>
    <row r="154" spans="2:31" s="59" customFormat="1" ht="51.75">
      <c r="B154" s="97" t="s">
        <v>201</v>
      </c>
      <c r="C154" s="98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52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52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396</v>
      </c>
      <c r="H154" s="62">
        <f t="shared" si="31"/>
        <v>0</v>
      </c>
      <c r="I154" s="62">
        <f t="shared" si="31"/>
        <v>396</v>
      </c>
      <c r="J154" s="62">
        <f t="shared" si="31"/>
        <v>28</v>
      </c>
      <c r="K154" s="62">
        <f t="shared" si="31"/>
        <v>0</v>
      </c>
      <c r="L154" s="62">
        <f t="shared" si="31"/>
        <v>28</v>
      </c>
      <c r="M154" s="62">
        <f t="shared" si="31"/>
        <v>481</v>
      </c>
      <c r="N154" s="62">
        <f t="shared" si="31"/>
        <v>0</v>
      </c>
      <c r="O154" s="62">
        <f t="shared" si="31"/>
        <v>481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0</v>
      </c>
      <c r="Z154" s="62">
        <f t="shared" si="31"/>
        <v>957</v>
      </c>
      <c r="AA154" s="62">
        <f t="shared" si="31"/>
        <v>700</v>
      </c>
      <c r="AB154" s="62">
        <f t="shared" si="31"/>
        <v>1862</v>
      </c>
      <c r="AC154" s="62">
        <f t="shared" si="31"/>
        <v>1605</v>
      </c>
      <c r="AD154" s="62">
        <f t="shared" si="31"/>
        <v>865</v>
      </c>
      <c r="AE154" s="62">
        <f t="shared" si="31"/>
        <v>2470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Y2:Y3"/>
    <mergeCell ref="Z2:Z3"/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10A8-7B04-4FFB-A1C1-D8FDEFB00228}">
  <sheetPr codeName="Sheet9">
    <pageSetUpPr fitToPage="1"/>
  </sheetPr>
  <dimension ref="B1:AE159"/>
  <sheetViews>
    <sheetView topLeftCell="B51" zoomScale="50" zoomScaleNormal="50" workbookViewId="0">
      <selection activeCell="N69" sqref="N69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bestFit="1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3" t="s">
        <v>213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</row>
    <row r="2" spans="2:31" ht="49.9" customHeight="1">
      <c r="B2" s="99" t="s">
        <v>3</v>
      </c>
      <c r="C2" s="99" t="s">
        <v>4</v>
      </c>
      <c r="D2" s="85" t="s">
        <v>5</v>
      </c>
      <c r="E2" s="86"/>
      <c r="F2" s="87"/>
      <c r="G2" s="85" t="s">
        <v>6</v>
      </c>
      <c r="H2" s="86"/>
      <c r="I2" s="87"/>
      <c r="J2" s="85" t="s">
        <v>7</v>
      </c>
      <c r="K2" s="86"/>
      <c r="L2" s="87"/>
      <c r="M2" s="85" t="s">
        <v>8</v>
      </c>
      <c r="N2" s="86"/>
      <c r="O2" s="87"/>
      <c r="P2" s="85" t="s">
        <v>132</v>
      </c>
      <c r="Q2" s="86"/>
      <c r="R2" s="87"/>
      <c r="S2" s="85" t="s">
        <v>9</v>
      </c>
      <c r="T2" s="86"/>
      <c r="U2" s="87"/>
      <c r="V2" s="88" t="s">
        <v>131</v>
      </c>
      <c r="W2" s="89"/>
      <c r="X2" s="90"/>
      <c r="Y2" s="101" t="s">
        <v>134</v>
      </c>
      <c r="Z2" s="103" t="s">
        <v>204</v>
      </c>
      <c r="AA2" s="91" t="s">
        <v>145</v>
      </c>
      <c r="AB2" s="91" t="s">
        <v>146</v>
      </c>
      <c r="AC2" s="95" t="s">
        <v>147</v>
      </c>
      <c r="AD2" s="93" t="s">
        <v>148</v>
      </c>
      <c r="AE2" s="82" t="s">
        <v>212</v>
      </c>
    </row>
    <row r="3" spans="2:31" ht="49.9" customHeight="1">
      <c r="B3" s="100"/>
      <c r="C3" s="100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102"/>
      <c r="Z3" s="104"/>
      <c r="AA3" s="92"/>
      <c r="AB3" s="92"/>
      <c r="AC3" s="96"/>
      <c r="AD3" s="94"/>
      <c r="AE3" s="82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>
        <v>15</v>
      </c>
      <c r="H4" s="52"/>
      <c r="I4" s="65">
        <f>SUM(G4:H4)</f>
        <v>15</v>
      </c>
      <c r="J4" s="52"/>
      <c r="K4" s="52"/>
      <c r="L4" s="65">
        <f>SUM(J4:K4)</f>
        <v>0</v>
      </c>
      <c r="M4" s="52">
        <v>33</v>
      </c>
      <c r="N4" s="52"/>
      <c r="O4" s="65">
        <f>SUM(M4:N4)</f>
        <v>33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48</v>
      </c>
      <c r="AA4" s="50">
        <v>60</v>
      </c>
      <c r="AB4" s="50">
        <v>67</v>
      </c>
      <c r="AC4" s="61">
        <f>+AA4+AB4-Z4</f>
        <v>79</v>
      </c>
      <c r="AD4" s="50">
        <v>60</v>
      </c>
      <c r="AE4" s="67">
        <f>AC4+AD4</f>
        <v>139</v>
      </c>
    </row>
    <row r="5" spans="2:31">
      <c r="B5" s="50">
        <v>1111002</v>
      </c>
      <c r="C5" s="51" t="s">
        <v>150</v>
      </c>
      <c r="D5" s="52">
        <v>2</v>
      </c>
      <c r="E5" s="52"/>
      <c r="F5" s="65">
        <f t="shared" ref="F5:F68" si="0">SUM(D5:E5)</f>
        <v>2</v>
      </c>
      <c r="G5" s="52">
        <v>54</v>
      </c>
      <c r="H5" s="52"/>
      <c r="I5" s="65">
        <f t="shared" ref="I5:I68" si="1">SUM(G5:H5)</f>
        <v>54</v>
      </c>
      <c r="J5" s="52">
        <v>12</v>
      </c>
      <c r="K5" s="52"/>
      <c r="L5" s="65">
        <f t="shared" ref="L5:L68" si="2">SUM(J5:K5)</f>
        <v>12</v>
      </c>
      <c r="M5" s="52">
        <v>3</v>
      </c>
      <c r="N5" s="52"/>
      <c r="O5" s="65">
        <f t="shared" ref="O5:O68" si="3">SUM(M5:N5)</f>
        <v>3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5</v>
      </c>
      <c r="Z5" s="63">
        <f t="shared" ref="Z5:Z68" si="7">+F5+I5+L5+O5+R5+U5+X5+Y5</f>
        <v>76</v>
      </c>
      <c r="AA5" s="58">
        <v>85</v>
      </c>
      <c r="AB5" s="58">
        <v>60</v>
      </c>
      <c r="AC5" s="61">
        <f t="shared" ref="AC5:AC68" si="8">+AA5+AB5-Z5</f>
        <v>69</v>
      </c>
      <c r="AD5" s="58">
        <v>80</v>
      </c>
      <c r="AE5" s="67">
        <f t="shared" ref="AE5:AE68" si="9">AC5+AD5</f>
        <v>149</v>
      </c>
    </row>
    <row r="6" spans="2:31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7">
        <f t="shared" si="9"/>
        <v>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7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7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11</v>
      </c>
      <c r="H9" s="52"/>
      <c r="I9" s="65">
        <f t="shared" si="1"/>
        <v>11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11</v>
      </c>
      <c r="AA9" s="50"/>
      <c r="AB9" s="50"/>
      <c r="AC9" s="61">
        <f t="shared" si="8"/>
        <v>-11</v>
      </c>
      <c r="AD9" s="50"/>
      <c r="AE9" s="67">
        <f t="shared" si="9"/>
        <v>-11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>
        <v>11</v>
      </c>
      <c r="H10" s="52"/>
      <c r="I10" s="65">
        <f t="shared" si="1"/>
        <v>11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11</v>
      </c>
      <c r="AA10" s="50"/>
      <c r="AB10" s="50"/>
      <c r="AC10" s="61">
        <f t="shared" si="8"/>
        <v>-11</v>
      </c>
      <c r="AD10" s="50"/>
      <c r="AE10" s="67">
        <f t="shared" si="9"/>
        <v>-11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11</v>
      </c>
      <c r="H11" s="52"/>
      <c r="I11" s="65">
        <f t="shared" si="1"/>
        <v>11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11</v>
      </c>
      <c r="AA11" s="50"/>
      <c r="AB11" s="50"/>
      <c r="AC11" s="61">
        <f t="shared" si="8"/>
        <v>-11</v>
      </c>
      <c r="AD11" s="50"/>
      <c r="AE11" s="67">
        <f t="shared" si="9"/>
        <v>-11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11</v>
      </c>
      <c r="H12" s="52"/>
      <c r="I12" s="65">
        <f t="shared" si="1"/>
        <v>11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11</v>
      </c>
      <c r="AA12" s="50"/>
      <c r="AB12" s="50"/>
      <c r="AC12" s="61">
        <f t="shared" si="8"/>
        <v>-11</v>
      </c>
      <c r="AD12" s="50"/>
      <c r="AE12" s="67">
        <f t="shared" si="9"/>
        <v>-11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11</v>
      </c>
      <c r="H13" s="52"/>
      <c r="I13" s="65">
        <f t="shared" si="1"/>
        <v>11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11</v>
      </c>
      <c r="AA13" s="50"/>
      <c r="AB13" s="50"/>
      <c r="AC13" s="61">
        <f t="shared" si="8"/>
        <v>-11</v>
      </c>
      <c r="AD13" s="50"/>
      <c r="AE13" s="67">
        <f t="shared" si="9"/>
        <v>-11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11</v>
      </c>
      <c r="H14" s="52"/>
      <c r="I14" s="65">
        <f t="shared" si="1"/>
        <v>11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11</v>
      </c>
      <c r="AA14" s="50"/>
      <c r="AB14" s="50"/>
      <c r="AC14" s="61">
        <f t="shared" si="8"/>
        <v>-11</v>
      </c>
      <c r="AD14" s="50"/>
      <c r="AE14" s="67">
        <f t="shared" si="9"/>
        <v>-11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11</v>
      </c>
      <c r="H15" s="52"/>
      <c r="I15" s="65">
        <f t="shared" si="1"/>
        <v>11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11</v>
      </c>
      <c r="AA15" s="50"/>
      <c r="AB15" s="50"/>
      <c r="AC15" s="61">
        <f t="shared" si="8"/>
        <v>-11</v>
      </c>
      <c r="AD15" s="50"/>
      <c r="AE15" s="67">
        <f t="shared" si="9"/>
        <v>-11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11</v>
      </c>
      <c r="H16" s="52"/>
      <c r="I16" s="65">
        <f t="shared" si="1"/>
        <v>11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11</v>
      </c>
      <c r="AA16" s="50"/>
      <c r="AB16" s="50"/>
      <c r="AC16" s="61">
        <f t="shared" si="8"/>
        <v>-11</v>
      </c>
      <c r="AD16" s="50"/>
      <c r="AE16" s="67">
        <f t="shared" si="9"/>
        <v>-11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11</v>
      </c>
      <c r="H17" s="52"/>
      <c r="I17" s="65">
        <f t="shared" si="1"/>
        <v>11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11</v>
      </c>
      <c r="AA17" s="50"/>
      <c r="AB17" s="50"/>
      <c r="AC17" s="61">
        <f t="shared" si="8"/>
        <v>-11</v>
      </c>
      <c r="AD17" s="50"/>
      <c r="AE17" s="67">
        <f t="shared" si="9"/>
        <v>-11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11</v>
      </c>
      <c r="H18" s="52"/>
      <c r="I18" s="65">
        <f t="shared" si="1"/>
        <v>11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11</v>
      </c>
      <c r="AA18" s="50"/>
      <c r="AB18" s="50"/>
      <c r="AC18" s="61">
        <f t="shared" si="8"/>
        <v>-11</v>
      </c>
      <c r="AD18" s="50"/>
      <c r="AE18" s="67">
        <f t="shared" si="9"/>
        <v>-11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10</v>
      </c>
      <c r="H19" s="52"/>
      <c r="I19" s="65">
        <f t="shared" si="1"/>
        <v>10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10</v>
      </c>
      <c r="AA19" s="50"/>
      <c r="AB19" s="50"/>
      <c r="AC19" s="61">
        <f t="shared" si="8"/>
        <v>-10</v>
      </c>
      <c r="AD19" s="50"/>
      <c r="AE19" s="67">
        <f t="shared" si="9"/>
        <v>-10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>
        <v>10</v>
      </c>
      <c r="H20" s="52"/>
      <c r="I20" s="65">
        <f t="shared" si="1"/>
        <v>10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10</v>
      </c>
      <c r="AA20" s="50"/>
      <c r="AB20" s="50"/>
      <c r="AC20" s="61">
        <f t="shared" si="8"/>
        <v>-10</v>
      </c>
      <c r="AD20" s="50"/>
      <c r="AE20" s="67">
        <f t="shared" si="9"/>
        <v>-10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>
        <v>10</v>
      </c>
      <c r="H21" s="52"/>
      <c r="I21" s="65">
        <f t="shared" si="1"/>
        <v>10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10</v>
      </c>
      <c r="AA21" s="50"/>
      <c r="AB21" s="50"/>
      <c r="AC21" s="61">
        <f t="shared" si="8"/>
        <v>-10</v>
      </c>
      <c r="AD21" s="50"/>
      <c r="AE21" s="67">
        <f t="shared" si="9"/>
        <v>-10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7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7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7">
        <f t="shared" si="9"/>
        <v>0</v>
      </c>
    </row>
    <row r="25" spans="2:31">
      <c r="B25" s="50">
        <v>1111008</v>
      </c>
      <c r="C25" s="51" t="s">
        <v>156</v>
      </c>
      <c r="D25" s="52"/>
      <c r="E25" s="52"/>
      <c r="F25" s="65">
        <f t="shared" si="0"/>
        <v>0</v>
      </c>
      <c r="G25" s="52">
        <v>12</v>
      </c>
      <c r="H25" s="52"/>
      <c r="I25" s="65">
        <f t="shared" si="1"/>
        <v>12</v>
      </c>
      <c r="J25" s="52"/>
      <c r="K25" s="52"/>
      <c r="L25" s="65">
        <f t="shared" si="2"/>
        <v>0</v>
      </c>
      <c r="M25" s="52">
        <v>39</v>
      </c>
      <c r="N25" s="52"/>
      <c r="O25" s="65">
        <f t="shared" si="3"/>
        <v>39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51</v>
      </c>
      <c r="AA25" s="50">
        <v>50</v>
      </c>
      <c r="AB25" s="50">
        <v>50</v>
      </c>
      <c r="AC25" s="61">
        <f t="shared" si="8"/>
        <v>49</v>
      </c>
      <c r="AD25" s="50">
        <v>50</v>
      </c>
      <c r="AE25" s="67">
        <f t="shared" si="9"/>
        <v>99</v>
      </c>
    </row>
    <row r="26" spans="2:31">
      <c r="B26" s="50">
        <v>1111009</v>
      </c>
      <c r="C26" s="51" t="s">
        <v>157</v>
      </c>
      <c r="D26" s="52">
        <v>2</v>
      </c>
      <c r="E26" s="52"/>
      <c r="F26" s="65">
        <f t="shared" si="0"/>
        <v>2</v>
      </c>
      <c r="G26" s="52">
        <v>5</v>
      </c>
      <c r="H26" s="52"/>
      <c r="I26" s="65">
        <f t="shared" si="1"/>
        <v>5</v>
      </c>
      <c r="J26" s="52">
        <v>4</v>
      </c>
      <c r="K26" s="52"/>
      <c r="L26" s="65">
        <f t="shared" si="2"/>
        <v>4</v>
      </c>
      <c r="M26" s="52">
        <v>8</v>
      </c>
      <c r="N26" s="52"/>
      <c r="O26" s="65">
        <f t="shared" si="3"/>
        <v>8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19</v>
      </c>
      <c r="AA26" s="50">
        <v>30</v>
      </c>
      <c r="AB26" s="50">
        <v>27</v>
      </c>
      <c r="AC26" s="61">
        <f t="shared" si="8"/>
        <v>38</v>
      </c>
      <c r="AD26" s="50">
        <v>30</v>
      </c>
      <c r="AE26" s="67">
        <f t="shared" si="9"/>
        <v>68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7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7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7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7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7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7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7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7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7">
        <f t="shared" si="9"/>
        <v>0</v>
      </c>
    </row>
    <row r="36" spans="2:31" hidden="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7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7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7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7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7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3</v>
      </c>
      <c r="H41" s="52"/>
      <c r="I41" s="65">
        <f t="shared" si="1"/>
        <v>3</v>
      </c>
      <c r="J41" s="52">
        <v>2</v>
      </c>
      <c r="K41" s="52"/>
      <c r="L41" s="65">
        <f t="shared" si="2"/>
        <v>2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5</v>
      </c>
      <c r="AA41" s="50"/>
      <c r="AB41" s="50">
        <v>7</v>
      </c>
      <c r="AC41" s="61">
        <f t="shared" si="8"/>
        <v>2</v>
      </c>
      <c r="AD41" s="50">
        <v>10</v>
      </c>
      <c r="AE41" s="67">
        <f t="shared" si="9"/>
        <v>12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29</v>
      </c>
      <c r="H42" s="52"/>
      <c r="I42" s="65">
        <f t="shared" si="1"/>
        <v>29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29</v>
      </c>
      <c r="AA42" s="50"/>
      <c r="AB42" s="50"/>
      <c r="AC42" s="61">
        <f t="shared" si="8"/>
        <v>-29</v>
      </c>
      <c r="AD42" s="50"/>
      <c r="AE42" s="67">
        <f t="shared" si="9"/>
        <v>-29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29</v>
      </c>
      <c r="H43" s="52"/>
      <c r="I43" s="65">
        <f t="shared" si="1"/>
        <v>29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29</v>
      </c>
      <c r="AA43" s="50"/>
      <c r="AB43" s="50"/>
      <c r="AC43" s="61">
        <f t="shared" si="8"/>
        <v>-29</v>
      </c>
      <c r="AD43" s="50"/>
      <c r="AE43" s="67">
        <f t="shared" si="9"/>
        <v>-29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29</v>
      </c>
      <c r="H44" s="52"/>
      <c r="I44" s="65">
        <f t="shared" si="1"/>
        <v>29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29</v>
      </c>
      <c r="AA44" s="50"/>
      <c r="AB44" s="50"/>
      <c r="AC44" s="61">
        <f t="shared" si="8"/>
        <v>-29</v>
      </c>
      <c r="AD44" s="50"/>
      <c r="AE44" s="67">
        <f t="shared" si="9"/>
        <v>-29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29</v>
      </c>
      <c r="H45" s="52"/>
      <c r="I45" s="65">
        <f t="shared" si="1"/>
        <v>29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29</v>
      </c>
      <c r="AA45" s="50"/>
      <c r="AB45" s="50"/>
      <c r="AC45" s="61">
        <f t="shared" si="8"/>
        <v>-29</v>
      </c>
      <c r="AD45" s="50"/>
      <c r="AE45" s="67">
        <f t="shared" si="9"/>
        <v>-29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29</v>
      </c>
      <c r="H46" s="52"/>
      <c r="I46" s="65">
        <f t="shared" si="1"/>
        <v>29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29</v>
      </c>
      <c r="AA46" s="50"/>
      <c r="AB46" s="50"/>
      <c r="AC46" s="61">
        <f t="shared" si="8"/>
        <v>-29</v>
      </c>
      <c r="AD46" s="50"/>
      <c r="AE46" s="67">
        <f t="shared" si="9"/>
        <v>-29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29</v>
      </c>
      <c r="H47" s="52"/>
      <c r="I47" s="65">
        <f t="shared" si="1"/>
        <v>29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29</v>
      </c>
      <c r="AA47" s="50"/>
      <c r="AB47" s="50"/>
      <c r="AC47" s="61">
        <f t="shared" si="8"/>
        <v>-29</v>
      </c>
      <c r="AD47" s="50"/>
      <c r="AE47" s="67">
        <f t="shared" si="9"/>
        <v>-29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29</v>
      </c>
      <c r="H48" s="52"/>
      <c r="I48" s="65">
        <f t="shared" si="1"/>
        <v>29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29</v>
      </c>
      <c r="AA48" s="50"/>
      <c r="AB48" s="50"/>
      <c r="AC48" s="61">
        <f t="shared" si="8"/>
        <v>-29</v>
      </c>
      <c r="AD48" s="50"/>
      <c r="AE48" s="67">
        <f t="shared" si="9"/>
        <v>-29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29</v>
      </c>
      <c r="H49" s="52"/>
      <c r="I49" s="65">
        <f t="shared" si="1"/>
        <v>29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29</v>
      </c>
      <c r="AA49" s="50"/>
      <c r="AB49" s="50"/>
      <c r="AC49" s="61">
        <f t="shared" si="8"/>
        <v>-29</v>
      </c>
      <c r="AD49" s="50"/>
      <c r="AE49" s="67">
        <f t="shared" si="9"/>
        <v>-29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29</v>
      </c>
      <c r="H50" s="52"/>
      <c r="I50" s="65">
        <f t="shared" si="1"/>
        <v>29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29</v>
      </c>
      <c r="AA50" s="50"/>
      <c r="AB50" s="50"/>
      <c r="AC50" s="61">
        <f t="shared" si="8"/>
        <v>-29</v>
      </c>
      <c r="AD50" s="50"/>
      <c r="AE50" s="67">
        <f t="shared" si="9"/>
        <v>-29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29</v>
      </c>
      <c r="H51" s="52"/>
      <c r="I51" s="65">
        <f t="shared" si="1"/>
        <v>29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29</v>
      </c>
      <c r="AA51" s="50"/>
      <c r="AB51" s="50"/>
      <c r="AC51" s="61">
        <f t="shared" si="8"/>
        <v>-29</v>
      </c>
      <c r="AD51" s="50"/>
      <c r="AE51" s="67">
        <f t="shared" si="9"/>
        <v>-29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7">
        <f t="shared" si="9"/>
        <v>0</v>
      </c>
    </row>
    <row r="53" spans="2:31">
      <c r="B53" s="50">
        <v>1112003</v>
      </c>
      <c r="C53" s="51" t="s">
        <v>174</v>
      </c>
      <c r="D53" s="52">
        <v>14</v>
      </c>
      <c r="E53" s="71">
        <v>21</v>
      </c>
      <c r="F53" s="65">
        <f t="shared" si="0"/>
        <v>35</v>
      </c>
      <c r="G53" s="52">
        <v>3</v>
      </c>
      <c r="H53" s="52"/>
      <c r="I53" s="65">
        <f t="shared" si="1"/>
        <v>3</v>
      </c>
      <c r="J53" s="52"/>
      <c r="K53" s="52"/>
      <c r="L53" s="65">
        <f t="shared" si="2"/>
        <v>0</v>
      </c>
      <c r="M53" s="52">
        <v>46</v>
      </c>
      <c r="N53" s="52"/>
      <c r="O53" s="65">
        <f t="shared" si="3"/>
        <v>46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84</v>
      </c>
      <c r="AA53" s="50"/>
      <c r="AB53" s="50">
        <v>256</v>
      </c>
      <c r="AC53" s="61">
        <f t="shared" si="8"/>
        <v>172</v>
      </c>
      <c r="AD53" s="50"/>
      <c r="AE53" s="67">
        <f t="shared" si="9"/>
        <v>172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7">
        <f t="shared" si="9"/>
        <v>0</v>
      </c>
    </row>
    <row r="55" spans="2:31">
      <c r="B55" s="50">
        <v>1112005</v>
      </c>
      <c r="C55" s="51" t="s">
        <v>176</v>
      </c>
      <c r="D55" s="52">
        <v>11</v>
      </c>
      <c r="E55" s="71">
        <v>24</v>
      </c>
      <c r="F55" s="65">
        <f t="shared" si="0"/>
        <v>35</v>
      </c>
      <c r="G55" s="52">
        <v>4</v>
      </c>
      <c r="H55" s="52"/>
      <c r="I55" s="65">
        <f t="shared" si="1"/>
        <v>4</v>
      </c>
      <c r="J55" s="52"/>
      <c r="K55" s="52"/>
      <c r="L55" s="65">
        <f t="shared" si="2"/>
        <v>0</v>
      </c>
      <c r="M55" s="52">
        <v>47</v>
      </c>
      <c r="N55" s="52"/>
      <c r="O55" s="65">
        <f t="shared" si="3"/>
        <v>47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86</v>
      </c>
      <c r="AA55" s="50"/>
      <c r="AB55" s="50">
        <v>263</v>
      </c>
      <c r="AC55" s="61">
        <f t="shared" si="8"/>
        <v>177</v>
      </c>
      <c r="AD55" s="50"/>
      <c r="AE55" s="67">
        <f t="shared" si="9"/>
        <v>177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7">
        <f t="shared" si="9"/>
        <v>0</v>
      </c>
    </row>
    <row r="57" spans="2:31">
      <c r="B57" s="50">
        <v>1112009</v>
      </c>
      <c r="C57" s="51" t="s">
        <v>178</v>
      </c>
      <c r="D57" s="52">
        <v>14</v>
      </c>
      <c r="E57" s="71">
        <v>22</v>
      </c>
      <c r="F57" s="65">
        <f t="shared" si="0"/>
        <v>36</v>
      </c>
      <c r="G57" s="52">
        <v>3</v>
      </c>
      <c r="H57" s="52"/>
      <c r="I57" s="65">
        <f t="shared" si="1"/>
        <v>3</v>
      </c>
      <c r="J57" s="52"/>
      <c r="K57" s="52"/>
      <c r="L57" s="65">
        <f t="shared" si="2"/>
        <v>0</v>
      </c>
      <c r="M57" s="52">
        <v>45</v>
      </c>
      <c r="N57" s="52"/>
      <c r="O57" s="65">
        <f t="shared" si="3"/>
        <v>45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84</v>
      </c>
      <c r="AA57" s="50"/>
      <c r="AB57" s="50">
        <v>272</v>
      </c>
      <c r="AC57" s="61">
        <f t="shared" si="8"/>
        <v>188</v>
      </c>
      <c r="AD57" s="50"/>
      <c r="AE57" s="67">
        <f t="shared" si="9"/>
        <v>188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7">
        <f t="shared" si="9"/>
        <v>0</v>
      </c>
    </row>
    <row r="59" spans="2:31">
      <c r="B59" s="50">
        <v>1112011</v>
      </c>
      <c r="C59" s="51" t="s">
        <v>180</v>
      </c>
      <c r="D59" s="52">
        <v>16</v>
      </c>
      <c r="E59" s="71">
        <v>24</v>
      </c>
      <c r="F59" s="65">
        <f t="shared" si="0"/>
        <v>40</v>
      </c>
      <c r="G59" s="52">
        <v>2</v>
      </c>
      <c r="H59" s="52"/>
      <c r="I59" s="65">
        <f t="shared" si="1"/>
        <v>2</v>
      </c>
      <c r="J59" s="52">
        <v>4</v>
      </c>
      <c r="K59" s="52"/>
      <c r="L59" s="65">
        <f t="shared" si="2"/>
        <v>4</v>
      </c>
      <c r="M59" s="52">
        <v>45</v>
      </c>
      <c r="N59" s="52"/>
      <c r="O59" s="65">
        <f t="shared" si="3"/>
        <v>45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91</v>
      </c>
      <c r="AA59" s="50"/>
      <c r="AB59" s="50">
        <v>263</v>
      </c>
      <c r="AC59" s="61">
        <f t="shared" si="8"/>
        <v>172</v>
      </c>
      <c r="AD59" s="50"/>
      <c r="AE59" s="67">
        <f t="shared" si="9"/>
        <v>172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7">
        <f t="shared" si="9"/>
        <v>0</v>
      </c>
    </row>
    <row r="61" spans="2:31">
      <c r="B61" s="50">
        <v>1112013</v>
      </c>
      <c r="C61" s="51" t="s">
        <v>182</v>
      </c>
      <c r="D61" s="52">
        <v>15</v>
      </c>
      <c r="E61" s="71">
        <v>21</v>
      </c>
      <c r="F61" s="65">
        <f t="shared" si="0"/>
        <v>36</v>
      </c>
      <c r="G61" s="52">
        <v>3</v>
      </c>
      <c r="H61" s="52"/>
      <c r="I61" s="65">
        <f t="shared" si="1"/>
        <v>3</v>
      </c>
      <c r="J61" s="52"/>
      <c r="K61" s="52"/>
      <c r="L61" s="65">
        <f t="shared" si="2"/>
        <v>0</v>
      </c>
      <c r="M61" s="52">
        <v>45</v>
      </c>
      <c r="N61" s="52"/>
      <c r="O61" s="65">
        <f t="shared" si="3"/>
        <v>45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84</v>
      </c>
      <c r="AA61" s="50"/>
      <c r="AB61" s="50">
        <v>240</v>
      </c>
      <c r="AC61" s="61">
        <f t="shared" si="8"/>
        <v>156</v>
      </c>
      <c r="AD61" s="50"/>
      <c r="AE61" s="67">
        <f t="shared" si="9"/>
        <v>156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7">
        <f t="shared" si="9"/>
        <v>0</v>
      </c>
    </row>
    <row r="63" spans="2:31">
      <c r="B63" s="50">
        <v>1112015</v>
      </c>
      <c r="C63" s="51" t="s">
        <v>184</v>
      </c>
      <c r="D63" s="52">
        <v>20</v>
      </c>
      <c r="E63" s="71">
        <v>22</v>
      </c>
      <c r="F63" s="65">
        <f t="shared" si="0"/>
        <v>42</v>
      </c>
      <c r="G63" s="52">
        <v>2</v>
      </c>
      <c r="H63" s="52"/>
      <c r="I63" s="65">
        <f t="shared" si="1"/>
        <v>2</v>
      </c>
      <c r="J63" s="52"/>
      <c r="K63" s="52"/>
      <c r="L63" s="65">
        <f t="shared" si="2"/>
        <v>0</v>
      </c>
      <c r="M63" s="52">
        <v>45</v>
      </c>
      <c r="N63" s="52"/>
      <c r="O63" s="65">
        <f t="shared" si="3"/>
        <v>45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89</v>
      </c>
      <c r="AA63" s="50"/>
      <c r="AB63" s="50">
        <v>252</v>
      </c>
      <c r="AC63" s="61">
        <f t="shared" si="8"/>
        <v>163</v>
      </c>
      <c r="AD63" s="50"/>
      <c r="AE63" s="67">
        <f t="shared" si="9"/>
        <v>163</v>
      </c>
    </row>
    <row r="64" spans="2:31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7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7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7">
        <f t="shared" si="9"/>
        <v>0</v>
      </c>
    </row>
    <row r="67" spans="2:31">
      <c r="B67" s="50">
        <v>1114501</v>
      </c>
      <c r="C67" s="53" t="s">
        <v>187</v>
      </c>
      <c r="D67" s="52">
        <v>3</v>
      </c>
      <c r="E67" s="71">
        <v>1</v>
      </c>
      <c r="F67" s="65">
        <f t="shared" si="0"/>
        <v>4</v>
      </c>
      <c r="G67" s="52">
        <v>7</v>
      </c>
      <c r="H67" s="52"/>
      <c r="I67" s="65">
        <f t="shared" si="1"/>
        <v>7</v>
      </c>
      <c r="J67" s="52">
        <v>6</v>
      </c>
      <c r="K67" s="52"/>
      <c r="L67" s="65">
        <f t="shared" si="2"/>
        <v>6</v>
      </c>
      <c r="M67" s="69">
        <v>163</v>
      </c>
      <c r="N67" s="52"/>
      <c r="O67" s="65">
        <f t="shared" si="3"/>
        <v>163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180</v>
      </c>
      <c r="AA67" s="50">
        <v>3</v>
      </c>
      <c r="AB67" s="50">
        <v>276</v>
      </c>
      <c r="AC67" s="61">
        <f t="shared" si="8"/>
        <v>99</v>
      </c>
      <c r="AD67" s="50">
        <v>200</v>
      </c>
      <c r="AE67" s="67">
        <f t="shared" si="9"/>
        <v>299</v>
      </c>
    </row>
    <row r="68" spans="2:31">
      <c r="B68" s="50">
        <v>1114502</v>
      </c>
      <c r="C68" s="53" t="s">
        <v>188</v>
      </c>
      <c r="D68" s="52"/>
      <c r="E68" s="71">
        <v>1</v>
      </c>
      <c r="F68" s="65">
        <f t="shared" si="0"/>
        <v>1</v>
      </c>
      <c r="G68" s="52">
        <v>1</v>
      </c>
      <c r="H68" s="52"/>
      <c r="I68" s="65">
        <f t="shared" si="1"/>
        <v>1</v>
      </c>
      <c r="J68" s="52">
        <v>4</v>
      </c>
      <c r="K68" s="52"/>
      <c r="L68" s="65">
        <f t="shared" si="2"/>
        <v>4</v>
      </c>
      <c r="M68" s="52">
        <v>156</v>
      </c>
      <c r="N68" s="52"/>
      <c r="O68" s="65">
        <f t="shared" si="3"/>
        <v>156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162</v>
      </c>
      <c r="AA68" s="50">
        <v>32</v>
      </c>
      <c r="AB68" s="50">
        <v>149</v>
      </c>
      <c r="AC68" s="61">
        <f t="shared" si="8"/>
        <v>19</v>
      </c>
      <c r="AD68" s="50">
        <v>180</v>
      </c>
      <c r="AE68" s="67">
        <f t="shared" si="9"/>
        <v>199</v>
      </c>
    </row>
    <row r="69" spans="2:31">
      <c r="B69" s="50">
        <v>1114503</v>
      </c>
      <c r="C69" s="53" t="s">
        <v>189</v>
      </c>
      <c r="D69" s="52"/>
      <c r="E69" s="71">
        <v>1</v>
      </c>
      <c r="F69" s="65">
        <f t="shared" ref="F69:F132" si="10">SUM(D69:E69)</f>
        <v>1</v>
      </c>
      <c r="G69" s="52">
        <v>1</v>
      </c>
      <c r="H69" s="52"/>
      <c r="I69" s="65">
        <f t="shared" ref="I69:I121" si="11">SUM(G69:H69)</f>
        <v>1</v>
      </c>
      <c r="J69" s="52">
        <v>4</v>
      </c>
      <c r="K69" s="52"/>
      <c r="L69" s="65">
        <f t="shared" ref="L69:L121" si="12">SUM(J69:K69)</f>
        <v>4</v>
      </c>
      <c r="M69" s="69">
        <v>152</v>
      </c>
      <c r="N69" s="52"/>
      <c r="O69" s="65">
        <f t="shared" ref="O69:O121" si="13">SUM(M69:N69)</f>
        <v>152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158</v>
      </c>
      <c r="AA69" s="50">
        <v>32</v>
      </c>
      <c r="AB69" s="50">
        <v>149</v>
      </c>
      <c r="AC69" s="61">
        <f t="shared" ref="AC69:AC121" si="18">+AA69+AB69-Z69</f>
        <v>23</v>
      </c>
      <c r="AD69" s="50">
        <v>180</v>
      </c>
      <c r="AE69" s="67">
        <f t="shared" ref="AE69:AE121" si="19">AC69+AD69</f>
        <v>203</v>
      </c>
    </row>
    <row r="70" spans="2:31">
      <c r="B70" s="50">
        <v>1124021</v>
      </c>
      <c r="C70" s="53" t="s">
        <v>190</v>
      </c>
      <c r="D70" s="52">
        <v>5</v>
      </c>
      <c r="E70" s="52"/>
      <c r="F70" s="65">
        <f t="shared" si="10"/>
        <v>5</v>
      </c>
      <c r="G70" s="52">
        <v>4</v>
      </c>
      <c r="H70" s="52"/>
      <c r="I70" s="65">
        <f t="shared" si="11"/>
        <v>4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9</v>
      </c>
      <c r="AA70" s="50">
        <v>70</v>
      </c>
      <c r="AB70" s="50"/>
      <c r="AC70" s="61">
        <f t="shared" si="18"/>
        <v>61</v>
      </c>
      <c r="AD70" s="50">
        <v>70</v>
      </c>
      <c r="AE70" s="67">
        <f t="shared" si="19"/>
        <v>131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7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7">
        <f t="shared" si="19"/>
        <v>0</v>
      </c>
    </row>
    <row r="73" spans="2:31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7">
        <f t="shared" si="19"/>
        <v>0</v>
      </c>
    </row>
    <row r="74" spans="2:31" hidden="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7">
        <f t="shared" si="19"/>
        <v>0</v>
      </c>
    </row>
    <row r="75" spans="2:31">
      <c r="B75" s="50">
        <v>1113170</v>
      </c>
      <c r="C75" s="53" t="s">
        <v>87</v>
      </c>
      <c r="D75" s="69">
        <v>6</v>
      </c>
      <c r="E75" s="71">
        <v>1</v>
      </c>
      <c r="F75" s="65">
        <f t="shared" si="10"/>
        <v>7</v>
      </c>
      <c r="G75" s="52"/>
      <c r="H75" s="52"/>
      <c r="I75" s="65">
        <f t="shared" si="11"/>
        <v>0</v>
      </c>
      <c r="J75" s="52">
        <v>2</v>
      </c>
      <c r="K75" s="52"/>
      <c r="L75" s="65">
        <f t="shared" si="12"/>
        <v>2</v>
      </c>
      <c r="M75" s="52">
        <v>1</v>
      </c>
      <c r="N75" s="52"/>
      <c r="O75" s="65">
        <f t="shared" si="13"/>
        <v>1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10</v>
      </c>
      <c r="AA75" s="50"/>
      <c r="AB75" s="50">
        <v>82</v>
      </c>
      <c r="AC75" s="61">
        <f t="shared" si="18"/>
        <v>72</v>
      </c>
      <c r="AD75" s="50"/>
      <c r="AE75" s="67">
        <f t="shared" si="19"/>
        <v>72</v>
      </c>
    </row>
    <row r="76" spans="2:31">
      <c r="B76" s="50">
        <v>1113171</v>
      </c>
      <c r="C76" s="53" t="s">
        <v>88</v>
      </c>
      <c r="D76" s="69">
        <v>9</v>
      </c>
      <c r="E76" s="71">
        <v>1</v>
      </c>
      <c r="F76" s="65">
        <f t="shared" si="10"/>
        <v>10</v>
      </c>
      <c r="G76" s="52"/>
      <c r="H76" s="52"/>
      <c r="I76" s="65">
        <f t="shared" si="11"/>
        <v>0</v>
      </c>
      <c r="J76" s="52">
        <v>1</v>
      </c>
      <c r="K76" s="52"/>
      <c r="L76" s="65">
        <f t="shared" si="12"/>
        <v>1</v>
      </c>
      <c r="M76" s="52">
        <v>2</v>
      </c>
      <c r="N76" s="52"/>
      <c r="O76" s="65">
        <f t="shared" si="13"/>
        <v>2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13</v>
      </c>
      <c r="AA76" s="50"/>
      <c r="AB76" s="50">
        <v>17</v>
      </c>
      <c r="AC76" s="61">
        <f t="shared" si="18"/>
        <v>4</v>
      </c>
      <c r="AD76" s="50"/>
      <c r="AE76" s="67">
        <f t="shared" si="19"/>
        <v>4</v>
      </c>
    </row>
    <row r="77" spans="2:31">
      <c r="B77" s="50">
        <v>1113172</v>
      </c>
      <c r="C77" s="53" t="s">
        <v>89</v>
      </c>
      <c r="D77" s="69">
        <v>2</v>
      </c>
      <c r="E77" s="52"/>
      <c r="F77" s="65">
        <f t="shared" si="10"/>
        <v>2</v>
      </c>
      <c r="G77" s="52"/>
      <c r="H77" s="52"/>
      <c r="I77" s="65">
        <f t="shared" si="11"/>
        <v>0</v>
      </c>
      <c r="J77" s="52">
        <v>2</v>
      </c>
      <c r="K77" s="52"/>
      <c r="L77" s="65">
        <f t="shared" si="12"/>
        <v>2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4</v>
      </c>
      <c r="AA77" s="50"/>
      <c r="AB77" s="50">
        <v>4</v>
      </c>
      <c r="AC77" s="61">
        <f t="shared" si="18"/>
        <v>0</v>
      </c>
      <c r="AD77" s="50"/>
      <c r="AE77" s="67">
        <f t="shared" si="19"/>
        <v>0</v>
      </c>
    </row>
    <row r="78" spans="2:31">
      <c r="B78" s="50">
        <v>1113173</v>
      </c>
      <c r="C78" s="53" t="s">
        <v>90</v>
      </c>
      <c r="D78" s="52">
        <v>6</v>
      </c>
      <c r="E78" s="52"/>
      <c r="F78" s="65">
        <f t="shared" si="10"/>
        <v>6</v>
      </c>
      <c r="G78" s="52"/>
      <c r="H78" s="52"/>
      <c r="I78" s="65">
        <f t="shared" si="11"/>
        <v>0</v>
      </c>
      <c r="J78" s="52">
        <v>1</v>
      </c>
      <c r="K78" s="52"/>
      <c r="L78" s="65">
        <f t="shared" si="12"/>
        <v>1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7</v>
      </c>
      <c r="AA78" s="50">
        <v>10</v>
      </c>
      <c r="AB78" s="50"/>
      <c r="AC78" s="61">
        <f t="shared" si="18"/>
        <v>3</v>
      </c>
      <c r="AD78" s="50"/>
      <c r="AE78" s="67">
        <f t="shared" si="19"/>
        <v>3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7">
        <f t="shared" si="19"/>
        <v>0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7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7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3</v>
      </c>
      <c r="H82" s="52"/>
      <c r="I82" s="65">
        <f t="shared" si="11"/>
        <v>3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3</v>
      </c>
      <c r="AA82" s="50"/>
      <c r="AB82" s="50"/>
      <c r="AC82" s="61">
        <f t="shared" si="18"/>
        <v>-3</v>
      </c>
      <c r="AD82" s="50"/>
      <c r="AE82" s="67">
        <f t="shared" si="19"/>
        <v>-3</v>
      </c>
    </row>
    <row r="83" spans="2:31" hidden="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/>
      <c r="H83" s="52"/>
      <c r="I83" s="65">
        <f t="shared" si="11"/>
        <v>0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0</v>
      </c>
      <c r="AA83" s="50"/>
      <c r="AB83" s="50"/>
      <c r="AC83" s="61">
        <f t="shared" si="18"/>
        <v>0</v>
      </c>
      <c r="AD83" s="50"/>
      <c r="AE83" s="67">
        <f t="shared" si="19"/>
        <v>0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7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7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7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7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7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7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7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7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7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7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7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7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7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7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7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7">
        <f t="shared" si="19"/>
        <v>0</v>
      </c>
    </row>
    <row r="100" spans="2:31" hidden="1">
      <c r="B100" s="50">
        <v>1004062</v>
      </c>
      <c r="C100" s="53" t="s">
        <v>238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7">
        <f t="shared" si="19"/>
        <v>0</v>
      </c>
    </row>
    <row r="101" spans="2:31" hidden="1">
      <c r="B101" s="50">
        <v>1004051</v>
      </c>
      <c r="C101" s="53" t="s">
        <v>239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>
        <v>16</v>
      </c>
      <c r="Z101" s="63">
        <f t="shared" si="17"/>
        <v>16</v>
      </c>
      <c r="AA101" s="50">
        <v>16</v>
      </c>
      <c r="AB101" s="50"/>
      <c r="AC101" s="61">
        <f t="shared" si="18"/>
        <v>0</v>
      </c>
      <c r="AD101" s="50"/>
      <c r="AE101" s="67">
        <f t="shared" si="19"/>
        <v>0</v>
      </c>
    </row>
    <row r="102" spans="2:31" hidden="1">
      <c r="B102" s="50">
        <v>1111005</v>
      </c>
      <c r="C102" s="53" t="s">
        <v>240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7">
        <f t="shared" si="19"/>
        <v>0</v>
      </c>
    </row>
    <row r="103" spans="2:31" hidden="1">
      <c r="B103" s="50">
        <v>1111006</v>
      </c>
      <c r="C103" s="53" t="s">
        <v>241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>
        <v>10</v>
      </c>
      <c r="Z103" s="63">
        <f t="shared" si="17"/>
        <v>10</v>
      </c>
      <c r="AA103" s="50">
        <v>10</v>
      </c>
      <c r="AB103" s="50"/>
      <c r="AC103" s="61">
        <f t="shared" si="18"/>
        <v>0</v>
      </c>
      <c r="AD103" s="50"/>
      <c r="AE103" s="67">
        <f t="shared" si="19"/>
        <v>0</v>
      </c>
    </row>
    <row r="104" spans="2:31" hidden="1">
      <c r="B104" s="50">
        <v>1004078</v>
      </c>
      <c r="C104" s="53" t="s">
        <v>242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>
        <v>10</v>
      </c>
      <c r="Z104" s="63">
        <f t="shared" si="17"/>
        <v>10</v>
      </c>
      <c r="AA104" s="50">
        <v>10</v>
      </c>
      <c r="AB104" s="50"/>
      <c r="AC104" s="61">
        <f t="shared" si="18"/>
        <v>0</v>
      </c>
      <c r="AD104" s="50"/>
      <c r="AE104" s="67">
        <f t="shared" si="19"/>
        <v>0</v>
      </c>
    </row>
    <row r="105" spans="2:31" hidden="1">
      <c r="B105" s="50">
        <v>1113157</v>
      </c>
      <c r="C105" s="53" t="s">
        <v>243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>
        <v>14</v>
      </c>
      <c r="Z105" s="63">
        <f t="shared" si="17"/>
        <v>14</v>
      </c>
      <c r="AA105" s="50">
        <v>14</v>
      </c>
      <c r="AB105" s="50"/>
      <c r="AC105" s="61">
        <f t="shared" si="18"/>
        <v>0</v>
      </c>
      <c r="AD105" s="50"/>
      <c r="AE105" s="67">
        <f t="shared" si="19"/>
        <v>0</v>
      </c>
    </row>
    <row r="106" spans="2:31" hidden="1">
      <c r="B106" s="50">
        <v>1004080</v>
      </c>
      <c r="C106" s="53" t="s">
        <v>244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7">
        <f t="shared" si="19"/>
        <v>0</v>
      </c>
    </row>
    <row r="107" spans="2:31" hidden="1">
      <c r="B107" s="50">
        <v>1004081</v>
      </c>
      <c r="C107" s="53" t="s">
        <v>245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7">
        <f t="shared" si="19"/>
        <v>0</v>
      </c>
    </row>
    <row r="108" spans="2:31" hidden="1">
      <c r="B108" s="50">
        <v>3001200</v>
      </c>
      <c r="C108" s="53" t="s">
        <v>246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7">
        <f t="shared" si="19"/>
        <v>0</v>
      </c>
    </row>
    <row r="109" spans="2:31" hidden="1">
      <c r="B109" s="50">
        <v>1004047</v>
      </c>
      <c r="C109" s="53" t="s">
        <v>247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7">
        <f t="shared" si="19"/>
        <v>0</v>
      </c>
    </row>
    <row r="110" spans="2:31" hidden="1">
      <c r="B110" s="50">
        <v>1004070</v>
      </c>
      <c r="C110" s="53" t="s">
        <v>248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7">
        <f t="shared" si="19"/>
        <v>0</v>
      </c>
    </row>
    <row r="111" spans="2:31" hidden="1">
      <c r="B111" s="50">
        <v>1004076</v>
      </c>
      <c r="C111" s="53" t="s">
        <v>249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>
        <v>14</v>
      </c>
      <c r="Z111" s="63">
        <f t="shared" si="17"/>
        <v>14</v>
      </c>
      <c r="AA111" s="50">
        <v>14</v>
      </c>
      <c r="AB111" s="50"/>
      <c r="AC111" s="61">
        <f t="shared" si="18"/>
        <v>0</v>
      </c>
      <c r="AD111" s="50"/>
      <c r="AE111" s="67">
        <f t="shared" si="19"/>
        <v>0</v>
      </c>
    </row>
    <row r="112" spans="2:31" hidden="1">
      <c r="B112" s="50">
        <v>1004050</v>
      </c>
      <c r="C112" s="53" t="s">
        <v>250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7">
        <f t="shared" si="19"/>
        <v>0</v>
      </c>
    </row>
    <row r="113" spans="2:31" hidden="1">
      <c r="B113" s="50">
        <v>1004048</v>
      </c>
      <c r="C113" s="53" t="s">
        <v>251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>
        <v>3</v>
      </c>
      <c r="Z113" s="63">
        <f t="shared" si="17"/>
        <v>3</v>
      </c>
      <c r="AA113" s="50">
        <v>3</v>
      </c>
      <c r="AB113" s="50"/>
      <c r="AC113" s="61">
        <f t="shared" si="18"/>
        <v>0</v>
      </c>
      <c r="AD113" s="50"/>
      <c r="AE113" s="67">
        <f t="shared" si="19"/>
        <v>0</v>
      </c>
    </row>
    <row r="114" spans="2:31" hidden="1">
      <c r="B114" s="50">
        <v>1007020</v>
      </c>
      <c r="C114" s="53" t="s">
        <v>253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>
        <v>10</v>
      </c>
      <c r="Z114" s="63">
        <f t="shared" si="17"/>
        <v>10</v>
      </c>
      <c r="AA114" s="50">
        <v>10</v>
      </c>
      <c r="AB114" s="50"/>
      <c r="AC114" s="61">
        <f t="shared" si="18"/>
        <v>0</v>
      </c>
      <c r="AD114" s="50"/>
      <c r="AE114" s="67">
        <f t="shared" si="19"/>
        <v>0</v>
      </c>
    </row>
    <row r="115" spans="2:31" hidden="1">
      <c r="B115" s="50">
        <v>1004063</v>
      </c>
      <c r="C115" s="53" t="s">
        <v>254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>
        <v>14</v>
      </c>
      <c r="Z115" s="63">
        <f t="shared" si="17"/>
        <v>14</v>
      </c>
      <c r="AA115" s="50">
        <v>14</v>
      </c>
      <c r="AB115" s="50"/>
      <c r="AC115" s="61">
        <f t="shared" si="18"/>
        <v>0</v>
      </c>
      <c r="AD115" s="50"/>
      <c r="AE115" s="67">
        <f t="shared" si="19"/>
        <v>0</v>
      </c>
    </row>
    <row r="116" spans="2:31" hidden="1">
      <c r="B116" s="50">
        <v>1004065</v>
      </c>
      <c r="C116" s="53" t="s">
        <v>255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>
        <v>14</v>
      </c>
      <c r="Z116" s="63">
        <f t="shared" si="17"/>
        <v>14</v>
      </c>
      <c r="AA116" s="50">
        <v>14</v>
      </c>
      <c r="AB116" s="50"/>
      <c r="AC116" s="61">
        <f t="shared" si="18"/>
        <v>0</v>
      </c>
      <c r="AD116" s="50"/>
      <c r="AE116" s="67">
        <f t="shared" si="19"/>
        <v>0</v>
      </c>
    </row>
    <row r="117" spans="2:31" hidden="1">
      <c r="B117" s="50">
        <v>1006982</v>
      </c>
      <c r="C117" s="53" t="s">
        <v>256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>
        <v>10</v>
      </c>
      <c r="Z117" s="63">
        <f t="shared" si="17"/>
        <v>10</v>
      </c>
      <c r="AA117" s="50">
        <v>10</v>
      </c>
      <c r="AB117" s="50"/>
      <c r="AC117" s="61">
        <f t="shared" si="18"/>
        <v>0</v>
      </c>
      <c r="AD117" s="50"/>
      <c r="AE117" s="67">
        <f t="shared" si="19"/>
        <v>0</v>
      </c>
    </row>
    <row r="118" spans="2:31" hidden="1">
      <c r="B118" s="50">
        <v>1006000</v>
      </c>
      <c r="C118" s="53" t="s">
        <v>257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7">
        <f t="shared" si="19"/>
        <v>0</v>
      </c>
    </row>
    <row r="119" spans="2:31" hidden="1">
      <c r="B119" s="50">
        <v>1005998</v>
      </c>
      <c r="C119" s="53" t="s">
        <v>258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7">
        <f t="shared" si="19"/>
        <v>0</v>
      </c>
    </row>
    <row r="120" spans="2:31" hidden="1">
      <c r="B120" s="50">
        <v>1005995</v>
      </c>
      <c r="C120" s="53" t="s">
        <v>259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>
        <v>3</v>
      </c>
      <c r="Z120" s="63">
        <f t="shared" si="17"/>
        <v>3</v>
      </c>
      <c r="AA120" s="50">
        <v>3</v>
      </c>
      <c r="AB120" s="50"/>
      <c r="AC120" s="61">
        <f t="shared" si="18"/>
        <v>0</v>
      </c>
      <c r="AD120" s="50"/>
      <c r="AE120" s="67">
        <f t="shared" si="19"/>
        <v>0</v>
      </c>
    </row>
    <row r="121" spans="2:31" hidden="1">
      <c r="B121" s="50">
        <v>1100047</v>
      </c>
      <c r="C121" s="53" t="s">
        <v>260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>
        <v>1</v>
      </c>
      <c r="N121" s="52"/>
      <c r="O121" s="65">
        <f t="shared" si="13"/>
        <v>1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1</v>
      </c>
      <c r="AA121" s="50"/>
      <c r="AB121" s="50"/>
      <c r="AC121" s="61">
        <f t="shared" si="18"/>
        <v>-1</v>
      </c>
      <c r="AD121" s="50"/>
      <c r="AE121" s="67">
        <f t="shared" si="19"/>
        <v>-1</v>
      </c>
    </row>
    <row r="122" spans="2:31" hidden="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7"/>
    </row>
    <row r="123" spans="2:31" hidden="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7"/>
    </row>
    <row r="124" spans="2:31" hidden="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7"/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7"/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7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7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7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7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7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7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7"/>
    </row>
    <row r="133" spans="2:31" hidden="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7"/>
    </row>
    <row r="134" spans="2:31" hidden="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7"/>
    </row>
    <row r="135" spans="2:31" hidden="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7"/>
    </row>
    <row r="136" spans="2:31" hidden="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7"/>
    </row>
    <row r="137" spans="2:31" hidden="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7"/>
    </row>
    <row r="138" spans="2:31" hidden="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7"/>
    </row>
    <row r="139" spans="2:31" hidden="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7"/>
    </row>
    <row r="140" spans="2:31" hidden="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7"/>
    </row>
    <row r="141" spans="2:31" hidden="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7"/>
    </row>
    <row r="142" spans="2:31" hidden="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7"/>
    </row>
    <row r="143" spans="2:31" hidden="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7"/>
    </row>
    <row r="144" spans="2:31" hidden="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7"/>
    </row>
    <row r="145" spans="2:31" hidden="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7"/>
    </row>
    <row r="146" spans="2:31" hidden="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7"/>
    </row>
    <row r="147" spans="2:31" hidden="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7"/>
    </row>
    <row r="148" spans="2:31" hidden="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7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7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7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7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7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7">
        <f t="shared" si="29"/>
        <v>0</v>
      </c>
    </row>
    <row r="154" spans="2:31" s="59" customFormat="1" ht="51.75">
      <c r="B154" s="97" t="s">
        <v>201</v>
      </c>
      <c r="C154" s="98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125</v>
      </c>
      <c r="E154" s="62">
        <f t="shared" si="30"/>
        <v>139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264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552</v>
      </c>
      <c r="H154" s="62">
        <f t="shared" si="31"/>
        <v>0</v>
      </c>
      <c r="I154" s="62">
        <f t="shared" si="31"/>
        <v>552</v>
      </c>
      <c r="J154" s="62">
        <f t="shared" si="31"/>
        <v>42</v>
      </c>
      <c r="K154" s="62">
        <f t="shared" si="31"/>
        <v>0</v>
      </c>
      <c r="L154" s="62">
        <f t="shared" si="31"/>
        <v>42</v>
      </c>
      <c r="M154" s="62">
        <f t="shared" si="31"/>
        <v>831</v>
      </c>
      <c r="N154" s="62">
        <f t="shared" si="31"/>
        <v>0</v>
      </c>
      <c r="O154" s="62">
        <f t="shared" si="31"/>
        <v>831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123</v>
      </c>
      <c r="Z154" s="62">
        <f t="shared" si="31"/>
        <v>1812</v>
      </c>
      <c r="AA154" s="62">
        <f t="shared" si="31"/>
        <v>490</v>
      </c>
      <c r="AB154" s="62">
        <f t="shared" si="31"/>
        <v>2434</v>
      </c>
      <c r="AC154" s="62">
        <f t="shared" si="31"/>
        <v>1112</v>
      </c>
      <c r="AD154" s="62">
        <f t="shared" si="31"/>
        <v>860</v>
      </c>
      <c r="AE154" s="62">
        <f t="shared" si="31"/>
        <v>1972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Y2:Y3"/>
    <mergeCell ref="Z2:Z3"/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3C60-96F3-44F0-9B32-6C4D88494F92}">
  <sheetPr codeName="Sheet10">
    <pageSetUpPr fitToPage="1"/>
  </sheetPr>
  <dimension ref="B1:AE159"/>
  <sheetViews>
    <sheetView zoomScale="50" zoomScaleNormal="50" workbookViewId="0">
      <selection activeCell="U76" sqref="U7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3" t="s">
        <v>214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</row>
    <row r="2" spans="2:31" ht="49.9" customHeight="1">
      <c r="B2" s="99" t="s">
        <v>3</v>
      </c>
      <c r="C2" s="99" t="s">
        <v>4</v>
      </c>
      <c r="D2" s="85" t="s">
        <v>5</v>
      </c>
      <c r="E2" s="86"/>
      <c r="F2" s="87"/>
      <c r="G2" s="85" t="s">
        <v>6</v>
      </c>
      <c r="H2" s="86"/>
      <c r="I2" s="87"/>
      <c r="J2" s="85" t="s">
        <v>7</v>
      </c>
      <c r="K2" s="86"/>
      <c r="L2" s="87"/>
      <c r="M2" s="85" t="s">
        <v>8</v>
      </c>
      <c r="N2" s="86"/>
      <c r="O2" s="87"/>
      <c r="P2" s="85" t="s">
        <v>132</v>
      </c>
      <c r="Q2" s="86"/>
      <c r="R2" s="87"/>
      <c r="S2" s="85" t="s">
        <v>9</v>
      </c>
      <c r="T2" s="86"/>
      <c r="U2" s="87"/>
      <c r="V2" s="88" t="s">
        <v>131</v>
      </c>
      <c r="W2" s="89"/>
      <c r="X2" s="90"/>
      <c r="Y2" s="101" t="s">
        <v>134</v>
      </c>
      <c r="Z2" s="103" t="s">
        <v>204</v>
      </c>
      <c r="AA2" s="91" t="s">
        <v>145</v>
      </c>
      <c r="AB2" s="91" t="s">
        <v>146</v>
      </c>
      <c r="AC2" s="95" t="s">
        <v>147</v>
      </c>
      <c r="AD2" s="93" t="s">
        <v>148</v>
      </c>
      <c r="AE2" s="82" t="s">
        <v>212</v>
      </c>
    </row>
    <row r="3" spans="2:31" ht="49.9" customHeight="1">
      <c r="B3" s="100"/>
      <c r="C3" s="100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102"/>
      <c r="Z3" s="104"/>
      <c r="AA3" s="92"/>
      <c r="AB3" s="92"/>
      <c r="AC3" s="96"/>
      <c r="AD3" s="94"/>
      <c r="AE3" s="82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>
        <v>2</v>
      </c>
      <c r="H4" s="52"/>
      <c r="I4" s="65">
        <f>SUM(G4:H4)</f>
        <v>2</v>
      </c>
      <c r="J4" s="52">
        <v>3</v>
      </c>
      <c r="K4" s="52"/>
      <c r="L4" s="65">
        <f>SUM(J4:K4)</f>
        <v>3</v>
      </c>
      <c r="M4" s="52">
        <v>27</v>
      </c>
      <c r="N4" s="52"/>
      <c r="O4" s="65">
        <f>SUM(M4:N4)</f>
        <v>27</v>
      </c>
      <c r="P4" s="52">
        <v>39</v>
      </c>
      <c r="Q4" s="52"/>
      <c r="R4" s="65">
        <f>SUM(P4:Q4)</f>
        <v>39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71</v>
      </c>
      <c r="AA4" s="50">
        <v>60</v>
      </c>
      <c r="AB4" s="50">
        <v>76</v>
      </c>
      <c r="AC4" s="61">
        <f>+AA4+AB4-Z4</f>
        <v>65</v>
      </c>
      <c r="AD4" s="50">
        <v>60</v>
      </c>
      <c r="AE4" s="67">
        <f>AC4+AD4</f>
        <v>125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52</v>
      </c>
      <c r="H5" s="52"/>
      <c r="I5" s="65">
        <f t="shared" ref="I5:I68" si="1">SUM(G5:H5)</f>
        <v>52</v>
      </c>
      <c r="J5" s="52">
        <v>12</v>
      </c>
      <c r="K5" s="52"/>
      <c r="L5" s="65">
        <f t="shared" ref="L5:L68" si="2">SUM(J5:K5)</f>
        <v>12</v>
      </c>
      <c r="M5" s="52"/>
      <c r="N5" s="52"/>
      <c r="O5" s="65">
        <f t="shared" ref="O5:O68" si="3">SUM(M5:N5)</f>
        <v>0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64</v>
      </c>
      <c r="AA5" s="58">
        <v>80</v>
      </c>
      <c r="AB5" s="58">
        <v>57</v>
      </c>
      <c r="AC5" s="61">
        <f t="shared" ref="AC5:AC68" si="8">+AA5+AB5-Z5</f>
        <v>73</v>
      </c>
      <c r="AD5" s="58">
        <v>80</v>
      </c>
      <c r="AE5" s="67">
        <f t="shared" ref="AE5:AE68" si="9">AC5+AD5</f>
        <v>153</v>
      </c>
    </row>
    <row r="6" spans="2:31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7">
        <f t="shared" si="9"/>
        <v>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7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7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21</v>
      </c>
      <c r="H9" s="52"/>
      <c r="I9" s="65">
        <f t="shared" si="1"/>
        <v>21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21</v>
      </c>
      <c r="AA9" s="50"/>
      <c r="AB9" s="50"/>
      <c r="AC9" s="61">
        <f t="shared" si="8"/>
        <v>-21</v>
      </c>
      <c r="AD9" s="50"/>
      <c r="AE9" s="67">
        <f t="shared" si="9"/>
        <v>-21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>
        <v>21</v>
      </c>
      <c r="H10" s="52"/>
      <c r="I10" s="65">
        <f t="shared" si="1"/>
        <v>21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21</v>
      </c>
      <c r="AA10" s="50"/>
      <c r="AB10" s="50"/>
      <c r="AC10" s="61">
        <f t="shared" si="8"/>
        <v>-21</v>
      </c>
      <c r="AD10" s="50"/>
      <c r="AE10" s="67">
        <f t="shared" si="9"/>
        <v>-21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21</v>
      </c>
      <c r="H11" s="52"/>
      <c r="I11" s="65">
        <f t="shared" si="1"/>
        <v>21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21</v>
      </c>
      <c r="AA11" s="50"/>
      <c r="AB11" s="50"/>
      <c r="AC11" s="61">
        <f t="shared" si="8"/>
        <v>-21</v>
      </c>
      <c r="AD11" s="50"/>
      <c r="AE11" s="67">
        <f t="shared" si="9"/>
        <v>-21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21</v>
      </c>
      <c r="H12" s="52"/>
      <c r="I12" s="65">
        <f t="shared" si="1"/>
        <v>21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21</v>
      </c>
      <c r="AA12" s="50"/>
      <c r="AB12" s="50"/>
      <c r="AC12" s="61">
        <f t="shared" si="8"/>
        <v>-21</v>
      </c>
      <c r="AD12" s="50"/>
      <c r="AE12" s="67">
        <f t="shared" si="9"/>
        <v>-21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21</v>
      </c>
      <c r="H13" s="52"/>
      <c r="I13" s="65">
        <f t="shared" si="1"/>
        <v>21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21</v>
      </c>
      <c r="AA13" s="50"/>
      <c r="AB13" s="50"/>
      <c r="AC13" s="61">
        <f t="shared" si="8"/>
        <v>-21</v>
      </c>
      <c r="AD13" s="50"/>
      <c r="AE13" s="67">
        <f t="shared" si="9"/>
        <v>-21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21</v>
      </c>
      <c r="H14" s="52"/>
      <c r="I14" s="65">
        <f t="shared" si="1"/>
        <v>21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21</v>
      </c>
      <c r="AA14" s="50"/>
      <c r="AB14" s="50"/>
      <c r="AC14" s="61">
        <f t="shared" si="8"/>
        <v>-21</v>
      </c>
      <c r="AD14" s="50"/>
      <c r="AE14" s="67">
        <f t="shared" si="9"/>
        <v>-21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21</v>
      </c>
      <c r="H15" s="52"/>
      <c r="I15" s="65">
        <f t="shared" si="1"/>
        <v>21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21</v>
      </c>
      <c r="AA15" s="50"/>
      <c r="AB15" s="50"/>
      <c r="AC15" s="61">
        <f t="shared" si="8"/>
        <v>-21</v>
      </c>
      <c r="AD15" s="50"/>
      <c r="AE15" s="67">
        <f t="shared" si="9"/>
        <v>-21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21</v>
      </c>
      <c r="H16" s="52"/>
      <c r="I16" s="65">
        <f t="shared" si="1"/>
        <v>21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21</v>
      </c>
      <c r="AA16" s="50"/>
      <c r="AB16" s="50"/>
      <c r="AC16" s="61">
        <f t="shared" si="8"/>
        <v>-21</v>
      </c>
      <c r="AD16" s="50"/>
      <c r="AE16" s="67">
        <f t="shared" si="9"/>
        <v>-21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21</v>
      </c>
      <c r="H17" s="52"/>
      <c r="I17" s="65">
        <f t="shared" si="1"/>
        <v>21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21</v>
      </c>
      <c r="AA17" s="50"/>
      <c r="AB17" s="50"/>
      <c r="AC17" s="61">
        <f t="shared" si="8"/>
        <v>-21</v>
      </c>
      <c r="AD17" s="50"/>
      <c r="AE17" s="67">
        <f t="shared" si="9"/>
        <v>-21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21</v>
      </c>
      <c r="H18" s="52"/>
      <c r="I18" s="65">
        <f t="shared" si="1"/>
        <v>21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21</v>
      </c>
      <c r="AA18" s="50"/>
      <c r="AB18" s="50"/>
      <c r="AC18" s="61">
        <f t="shared" si="8"/>
        <v>-21</v>
      </c>
      <c r="AD18" s="50"/>
      <c r="AE18" s="67">
        <f t="shared" si="9"/>
        <v>-21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20</v>
      </c>
      <c r="H19" s="52"/>
      <c r="I19" s="65">
        <f t="shared" si="1"/>
        <v>20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20</v>
      </c>
      <c r="AA19" s="50"/>
      <c r="AB19" s="50"/>
      <c r="AC19" s="61">
        <f t="shared" si="8"/>
        <v>-20</v>
      </c>
      <c r="AD19" s="50"/>
      <c r="AE19" s="67">
        <f t="shared" si="9"/>
        <v>-20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>
        <v>20</v>
      </c>
      <c r="H20" s="52"/>
      <c r="I20" s="65">
        <f t="shared" si="1"/>
        <v>20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20</v>
      </c>
      <c r="AA20" s="50"/>
      <c r="AB20" s="50"/>
      <c r="AC20" s="61">
        <f t="shared" si="8"/>
        <v>-20</v>
      </c>
      <c r="AD20" s="50"/>
      <c r="AE20" s="67">
        <f t="shared" si="9"/>
        <v>-20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>
        <v>20</v>
      </c>
      <c r="H21" s="52"/>
      <c r="I21" s="65">
        <f t="shared" si="1"/>
        <v>20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20</v>
      </c>
      <c r="AA21" s="50"/>
      <c r="AB21" s="50"/>
      <c r="AC21" s="61">
        <f t="shared" si="8"/>
        <v>-20</v>
      </c>
      <c r="AD21" s="50"/>
      <c r="AE21" s="67">
        <f t="shared" si="9"/>
        <v>-20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7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7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7">
        <f t="shared" si="9"/>
        <v>0</v>
      </c>
    </row>
    <row r="25" spans="2:31">
      <c r="B25" s="50">
        <v>1111008</v>
      </c>
      <c r="C25" s="51" t="s">
        <v>156</v>
      </c>
      <c r="D25" s="52"/>
      <c r="E25" s="52"/>
      <c r="F25" s="65">
        <f t="shared" si="0"/>
        <v>0</v>
      </c>
      <c r="G25" s="52">
        <v>5</v>
      </c>
      <c r="H25" s="52"/>
      <c r="I25" s="65">
        <f t="shared" si="1"/>
        <v>5</v>
      </c>
      <c r="J25" s="52"/>
      <c r="K25" s="52"/>
      <c r="L25" s="65">
        <f t="shared" si="2"/>
        <v>0</v>
      </c>
      <c r="M25" s="52">
        <v>39</v>
      </c>
      <c r="N25" s="52"/>
      <c r="O25" s="65">
        <f t="shared" si="3"/>
        <v>39</v>
      </c>
      <c r="P25" s="52">
        <v>9</v>
      </c>
      <c r="Q25" s="52"/>
      <c r="R25" s="65">
        <f t="shared" si="4"/>
        <v>9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53</v>
      </c>
      <c r="AA25" s="50">
        <v>100</v>
      </c>
      <c r="AB25" s="50"/>
      <c r="AC25" s="61">
        <f t="shared" si="8"/>
        <v>47</v>
      </c>
      <c r="AD25" s="50">
        <v>50</v>
      </c>
      <c r="AE25" s="67">
        <f t="shared" si="9"/>
        <v>97</v>
      </c>
    </row>
    <row r="26" spans="2:31">
      <c r="B26" s="50">
        <v>1111009</v>
      </c>
      <c r="C26" s="51" t="s">
        <v>157</v>
      </c>
      <c r="D26" s="52">
        <v>2</v>
      </c>
      <c r="E26" s="52"/>
      <c r="F26" s="65">
        <f t="shared" si="0"/>
        <v>2</v>
      </c>
      <c r="G26" s="52">
        <v>9</v>
      </c>
      <c r="H26" s="52"/>
      <c r="I26" s="65">
        <f t="shared" si="1"/>
        <v>9</v>
      </c>
      <c r="J26" s="52">
        <v>2</v>
      </c>
      <c r="K26" s="52"/>
      <c r="L26" s="65">
        <f t="shared" si="2"/>
        <v>2</v>
      </c>
      <c r="M26" s="52">
        <v>2</v>
      </c>
      <c r="N26" s="52"/>
      <c r="O26" s="65">
        <f t="shared" si="3"/>
        <v>2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15</v>
      </c>
      <c r="AA26" s="50">
        <v>60</v>
      </c>
      <c r="AB26" s="50">
        <v>1</v>
      </c>
      <c r="AC26" s="61">
        <f t="shared" si="8"/>
        <v>46</v>
      </c>
      <c r="AD26" s="50">
        <v>30</v>
      </c>
      <c r="AE26" s="67">
        <f t="shared" si="9"/>
        <v>76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7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7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7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7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7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7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7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7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7">
        <f t="shared" si="9"/>
        <v>0</v>
      </c>
    </row>
    <row r="36" spans="2:31" hidden="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7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7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7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7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7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10</v>
      </c>
      <c r="H41" s="52"/>
      <c r="I41" s="65">
        <f t="shared" si="1"/>
        <v>10</v>
      </c>
      <c r="J41" s="52">
        <v>3</v>
      </c>
      <c r="K41" s="52"/>
      <c r="L41" s="65">
        <f t="shared" si="2"/>
        <v>3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13</v>
      </c>
      <c r="AA41" s="50">
        <v>10</v>
      </c>
      <c r="AB41" s="50">
        <v>2</v>
      </c>
      <c r="AC41" s="61">
        <f t="shared" si="8"/>
        <v>-1</v>
      </c>
      <c r="AD41" s="50">
        <v>10</v>
      </c>
      <c r="AE41" s="67">
        <f t="shared" si="9"/>
        <v>9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10</v>
      </c>
      <c r="H42" s="52"/>
      <c r="I42" s="65">
        <f t="shared" si="1"/>
        <v>10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10</v>
      </c>
      <c r="AA42" s="50"/>
      <c r="AB42" s="50"/>
      <c r="AC42" s="61">
        <f t="shared" si="8"/>
        <v>-10</v>
      </c>
      <c r="AD42" s="50"/>
      <c r="AE42" s="67">
        <f t="shared" si="9"/>
        <v>-10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10</v>
      </c>
      <c r="H43" s="52"/>
      <c r="I43" s="65">
        <f t="shared" si="1"/>
        <v>10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10</v>
      </c>
      <c r="AA43" s="50"/>
      <c r="AB43" s="50"/>
      <c r="AC43" s="61">
        <f t="shared" si="8"/>
        <v>-10</v>
      </c>
      <c r="AD43" s="50"/>
      <c r="AE43" s="67">
        <f t="shared" si="9"/>
        <v>-10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10</v>
      </c>
      <c r="H44" s="52"/>
      <c r="I44" s="65">
        <f t="shared" si="1"/>
        <v>10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10</v>
      </c>
      <c r="AA44" s="50"/>
      <c r="AB44" s="50"/>
      <c r="AC44" s="61">
        <f t="shared" si="8"/>
        <v>-10</v>
      </c>
      <c r="AD44" s="50"/>
      <c r="AE44" s="67">
        <f t="shared" si="9"/>
        <v>-10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10</v>
      </c>
      <c r="H45" s="52"/>
      <c r="I45" s="65">
        <f t="shared" si="1"/>
        <v>10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10</v>
      </c>
      <c r="AA45" s="50"/>
      <c r="AB45" s="50"/>
      <c r="AC45" s="61">
        <f t="shared" si="8"/>
        <v>-10</v>
      </c>
      <c r="AD45" s="50"/>
      <c r="AE45" s="67">
        <f t="shared" si="9"/>
        <v>-10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10</v>
      </c>
      <c r="H46" s="52"/>
      <c r="I46" s="65">
        <f t="shared" si="1"/>
        <v>10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10</v>
      </c>
      <c r="AA46" s="50"/>
      <c r="AB46" s="50"/>
      <c r="AC46" s="61">
        <f t="shared" si="8"/>
        <v>-10</v>
      </c>
      <c r="AD46" s="50"/>
      <c r="AE46" s="67">
        <f t="shared" si="9"/>
        <v>-10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10</v>
      </c>
      <c r="H47" s="52"/>
      <c r="I47" s="65">
        <f t="shared" si="1"/>
        <v>10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10</v>
      </c>
      <c r="AA47" s="50"/>
      <c r="AB47" s="50"/>
      <c r="AC47" s="61">
        <f t="shared" si="8"/>
        <v>-10</v>
      </c>
      <c r="AD47" s="50"/>
      <c r="AE47" s="67">
        <f t="shared" si="9"/>
        <v>-10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10</v>
      </c>
      <c r="H48" s="52"/>
      <c r="I48" s="65">
        <f t="shared" si="1"/>
        <v>10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10</v>
      </c>
      <c r="AA48" s="50"/>
      <c r="AB48" s="50"/>
      <c r="AC48" s="61">
        <f t="shared" si="8"/>
        <v>-10</v>
      </c>
      <c r="AD48" s="50"/>
      <c r="AE48" s="67">
        <f t="shared" si="9"/>
        <v>-10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10</v>
      </c>
      <c r="H49" s="52"/>
      <c r="I49" s="65">
        <f t="shared" si="1"/>
        <v>10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10</v>
      </c>
      <c r="AA49" s="50"/>
      <c r="AB49" s="50"/>
      <c r="AC49" s="61">
        <f t="shared" si="8"/>
        <v>-10</v>
      </c>
      <c r="AD49" s="50"/>
      <c r="AE49" s="67">
        <f t="shared" si="9"/>
        <v>-10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10</v>
      </c>
      <c r="H50" s="52"/>
      <c r="I50" s="65">
        <f t="shared" si="1"/>
        <v>10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10</v>
      </c>
      <c r="AA50" s="50"/>
      <c r="AB50" s="50"/>
      <c r="AC50" s="61">
        <f t="shared" si="8"/>
        <v>-10</v>
      </c>
      <c r="AD50" s="50"/>
      <c r="AE50" s="67">
        <f t="shared" si="9"/>
        <v>-10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10</v>
      </c>
      <c r="H51" s="52"/>
      <c r="I51" s="65">
        <f t="shared" si="1"/>
        <v>10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10</v>
      </c>
      <c r="AA51" s="50"/>
      <c r="AB51" s="50"/>
      <c r="AC51" s="61">
        <f t="shared" si="8"/>
        <v>-10</v>
      </c>
      <c r="AD51" s="50"/>
      <c r="AE51" s="67">
        <f t="shared" si="9"/>
        <v>-10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7">
        <f t="shared" si="9"/>
        <v>0</v>
      </c>
    </row>
    <row r="53" spans="2:31">
      <c r="B53" s="50">
        <v>1112003</v>
      </c>
      <c r="C53" s="51" t="s">
        <v>174</v>
      </c>
      <c r="D53" s="52">
        <v>7</v>
      </c>
      <c r="E53" s="52"/>
      <c r="F53" s="65">
        <f t="shared" si="0"/>
        <v>7</v>
      </c>
      <c r="G53" s="52">
        <v>2</v>
      </c>
      <c r="H53" s="52"/>
      <c r="I53" s="65">
        <f t="shared" si="1"/>
        <v>2</v>
      </c>
      <c r="J53" s="52">
        <v>1</v>
      </c>
      <c r="K53" s="52"/>
      <c r="L53" s="65">
        <f t="shared" si="2"/>
        <v>1</v>
      </c>
      <c r="M53" s="52">
        <v>20</v>
      </c>
      <c r="N53" s="52"/>
      <c r="O53" s="65">
        <f t="shared" si="3"/>
        <v>20</v>
      </c>
      <c r="P53" s="52">
        <v>36</v>
      </c>
      <c r="Q53" s="52"/>
      <c r="R53" s="65">
        <f t="shared" si="4"/>
        <v>36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66</v>
      </c>
      <c r="AA53" s="50"/>
      <c r="AB53" s="50">
        <v>170</v>
      </c>
      <c r="AC53" s="61">
        <f t="shared" si="8"/>
        <v>104</v>
      </c>
      <c r="AD53" s="50">
        <v>50</v>
      </c>
      <c r="AE53" s="67">
        <f t="shared" si="9"/>
        <v>154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7">
        <f t="shared" si="9"/>
        <v>0</v>
      </c>
    </row>
    <row r="55" spans="2:31">
      <c r="B55" s="50">
        <v>1112005</v>
      </c>
      <c r="C55" s="51" t="s">
        <v>176</v>
      </c>
      <c r="D55" s="52">
        <v>2</v>
      </c>
      <c r="E55" s="52"/>
      <c r="F55" s="65">
        <f t="shared" si="0"/>
        <v>2</v>
      </c>
      <c r="G55" s="52">
        <v>2</v>
      </c>
      <c r="H55" s="52"/>
      <c r="I55" s="65">
        <f t="shared" si="1"/>
        <v>2</v>
      </c>
      <c r="J55" s="52">
        <v>1</v>
      </c>
      <c r="K55" s="52"/>
      <c r="L55" s="65">
        <f t="shared" si="2"/>
        <v>1</v>
      </c>
      <c r="M55" s="52">
        <v>21</v>
      </c>
      <c r="N55" s="52"/>
      <c r="O55" s="65">
        <f t="shared" si="3"/>
        <v>21</v>
      </c>
      <c r="P55" s="52">
        <v>39</v>
      </c>
      <c r="Q55" s="52"/>
      <c r="R55" s="65">
        <f t="shared" si="4"/>
        <v>39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65</v>
      </c>
      <c r="AA55" s="50"/>
      <c r="AB55" s="50">
        <v>178</v>
      </c>
      <c r="AC55" s="61">
        <f t="shared" si="8"/>
        <v>113</v>
      </c>
      <c r="AD55" s="50">
        <v>50</v>
      </c>
      <c r="AE55" s="67">
        <f t="shared" si="9"/>
        <v>163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7">
        <f t="shared" si="9"/>
        <v>0</v>
      </c>
    </row>
    <row r="57" spans="2:31">
      <c r="B57" s="50">
        <v>1112009</v>
      </c>
      <c r="C57" s="51" t="s">
        <v>178</v>
      </c>
      <c r="D57" s="52">
        <v>5</v>
      </c>
      <c r="E57" s="52"/>
      <c r="F57" s="65">
        <f t="shared" si="0"/>
        <v>5</v>
      </c>
      <c r="G57" s="52">
        <v>2</v>
      </c>
      <c r="H57" s="52"/>
      <c r="I57" s="65">
        <f t="shared" si="1"/>
        <v>2</v>
      </c>
      <c r="J57" s="52">
        <v>5</v>
      </c>
      <c r="K57" s="52"/>
      <c r="L57" s="65">
        <f t="shared" si="2"/>
        <v>5</v>
      </c>
      <c r="M57" s="52">
        <v>19</v>
      </c>
      <c r="N57" s="52"/>
      <c r="O57" s="65">
        <f t="shared" si="3"/>
        <v>19</v>
      </c>
      <c r="P57" s="52">
        <v>36</v>
      </c>
      <c r="Q57" s="52"/>
      <c r="R57" s="65">
        <f t="shared" si="4"/>
        <v>36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67</v>
      </c>
      <c r="AA57" s="50"/>
      <c r="AB57" s="50">
        <v>188</v>
      </c>
      <c r="AC57" s="61">
        <f t="shared" si="8"/>
        <v>121</v>
      </c>
      <c r="AD57" s="50">
        <v>50</v>
      </c>
      <c r="AE57" s="67">
        <f t="shared" si="9"/>
        <v>171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>SUM(G58:H58)</f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7">
        <f t="shared" si="9"/>
        <v>0</v>
      </c>
    </row>
    <row r="59" spans="2:31">
      <c r="B59" s="50">
        <v>1112011</v>
      </c>
      <c r="C59" s="51" t="s">
        <v>180</v>
      </c>
      <c r="D59" s="52">
        <v>4</v>
      </c>
      <c r="E59" s="52"/>
      <c r="F59" s="65">
        <f t="shared" si="0"/>
        <v>4</v>
      </c>
      <c r="G59" s="52">
        <v>2</v>
      </c>
      <c r="H59" s="52"/>
      <c r="I59" s="65">
        <f t="shared" si="1"/>
        <v>2</v>
      </c>
      <c r="J59" s="52">
        <v>5</v>
      </c>
      <c r="K59" s="52"/>
      <c r="L59" s="65">
        <f t="shared" si="2"/>
        <v>5</v>
      </c>
      <c r="M59" s="52">
        <v>19</v>
      </c>
      <c r="N59" s="52"/>
      <c r="O59" s="65">
        <f t="shared" si="3"/>
        <v>19</v>
      </c>
      <c r="P59" s="52">
        <v>36</v>
      </c>
      <c r="Q59" s="52"/>
      <c r="R59" s="65">
        <f t="shared" si="4"/>
        <v>36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66</v>
      </c>
      <c r="AA59" s="50"/>
      <c r="AB59" s="50">
        <v>176</v>
      </c>
      <c r="AC59" s="61">
        <f t="shared" si="8"/>
        <v>110</v>
      </c>
      <c r="AD59" s="50">
        <v>50</v>
      </c>
      <c r="AE59" s="67">
        <f t="shared" si="9"/>
        <v>160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7">
        <f t="shared" si="9"/>
        <v>0</v>
      </c>
    </row>
    <row r="61" spans="2:31">
      <c r="B61" s="50">
        <v>1112013</v>
      </c>
      <c r="C61" s="51" t="s">
        <v>182</v>
      </c>
      <c r="D61" s="52">
        <v>4</v>
      </c>
      <c r="E61" s="52"/>
      <c r="F61" s="65">
        <f t="shared" si="0"/>
        <v>4</v>
      </c>
      <c r="G61" s="52">
        <v>2</v>
      </c>
      <c r="H61" s="52"/>
      <c r="I61" s="65">
        <f t="shared" si="1"/>
        <v>2</v>
      </c>
      <c r="J61" s="52">
        <v>1</v>
      </c>
      <c r="K61" s="52"/>
      <c r="L61" s="65">
        <f t="shared" si="2"/>
        <v>1</v>
      </c>
      <c r="M61" s="52">
        <v>19</v>
      </c>
      <c r="N61" s="52"/>
      <c r="O61" s="65">
        <f t="shared" si="3"/>
        <v>19</v>
      </c>
      <c r="P61" s="52">
        <v>36</v>
      </c>
      <c r="Q61" s="52"/>
      <c r="R61" s="65">
        <f t="shared" si="4"/>
        <v>36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62</v>
      </c>
      <c r="AA61" s="50"/>
      <c r="AB61" s="50">
        <v>159</v>
      </c>
      <c r="AC61" s="61">
        <f t="shared" si="8"/>
        <v>97</v>
      </c>
      <c r="AD61" s="50">
        <v>50</v>
      </c>
      <c r="AE61" s="67">
        <f t="shared" si="9"/>
        <v>147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7">
        <f t="shared" si="9"/>
        <v>0</v>
      </c>
    </row>
    <row r="63" spans="2:31">
      <c r="B63" s="50">
        <v>1112015</v>
      </c>
      <c r="C63" s="51" t="s">
        <v>184</v>
      </c>
      <c r="D63" s="52">
        <v>5</v>
      </c>
      <c r="E63" s="52"/>
      <c r="F63" s="65">
        <f t="shared" si="0"/>
        <v>5</v>
      </c>
      <c r="G63" s="52">
        <v>2</v>
      </c>
      <c r="H63" s="52"/>
      <c r="I63" s="65">
        <f t="shared" si="1"/>
        <v>2</v>
      </c>
      <c r="J63" s="52">
        <v>1</v>
      </c>
      <c r="K63" s="52"/>
      <c r="L63" s="65">
        <f t="shared" si="2"/>
        <v>1</v>
      </c>
      <c r="M63" s="52">
        <v>19</v>
      </c>
      <c r="N63" s="52"/>
      <c r="O63" s="65">
        <f t="shared" si="3"/>
        <v>19</v>
      </c>
      <c r="P63" s="52">
        <v>36</v>
      </c>
      <c r="Q63" s="52"/>
      <c r="R63" s="65">
        <f t="shared" si="4"/>
        <v>36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63</v>
      </c>
      <c r="AA63" s="50"/>
      <c r="AB63" s="50">
        <v>164</v>
      </c>
      <c r="AC63" s="61">
        <f t="shared" si="8"/>
        <v>101</v>
      </c>
      <c r="AD63" s="50">
        <v>50</v>
      </c>
      <c r="AE63" s="67">
        <f t="shared" si="9"/>
        <v>151</v>
      </c>
    </row>
    <row r="64" spans="2:31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7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7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7">
        <f t="shared" si="9"/>
        <v>0</v>
      </c>
    </row>
    <row r="67" spans="2:31">
      <c r="B67" s="50">
        <v>1114501</v>
      </c>
      <c r="C67" s="53" t="s">
        <v>187</v>
      </c>
      <c r="D67" s="52">
        <v>3</v>
      </c>
      <c r="E67" s="52"/>
      <c r="F67" s="65">
        <f t="shared" si="0"/>
        <v>3</v>
      </c>
      <c r="G67" s="52">
        <v>27</v>
      </c>
      <c r="H67" s="52"/>
      <c r="I67" s="65">
        <f t="shared" si="1"/>
        <v>27</v>
      </c>
      <c r="J67" s="52">
        <v>4</v>
      </c>
      <c r="K67" s="52"/>
      <c r="L67" s="65">
        <f t="shared" si="2"/>
        <v>4</v>
      </c>
      <c r="M67" s="52">
        <v>195</v>
      </c>
      <c r="N67" s="52"/>
      <c r="O67" s="65">
        <f t="shared" si="3"/>
        <v>195</v>
      </c>
      <c r="P67" s="52">
        <v>19</v>
      </c>
      <c r="Q67" s="52"/>
      <c r="R67" s="65">
        <f t="shared" si="4"/>
        <v>19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248</v>
      </c>
      <c r="AA67" s="50">
        <v>152</v>
      </c>
      <c r="AB67" s="50">
        <v>153</v>
      </c>
      <c r="AC67" s="61">
        <f t="shared" si="8"/>
        <v>57</v>
      </c>
      <c r="AD67" s="50">
        <v>200</v>
      </c>
      <c r="AE67" s="67">
        <f t="shared" si="9"/>
        <v>257</v>
      </c>
    </row>
    <row r="68" spans="2:31">
      <c r="B68" s="50">
        <v>1114502</v>
      </c>
      <c r="C68" s="53" t="s">
        <v>188</v>
      </c>
      <c r="D68" s="52">
        <v>3</v>
      </c>
      <c r="E68" s="52"/>
      <c r="F68" s="65">
        <f t="shared" si="0"/>
        <v>3</v>
      </c>
      <c r="G68" s="52">
        <v>4</v>
      </c>
      <c r="H68" s="52"/>
      <c r="I68" s="65">
        <f t="shared" si="1"/>
        <v>4</v>
      </c>
      <c r="J68" s="52"/>
      <c r="K68" s="52"/>
      <c r="L68" s="65">
        <f t="shared" si="2"/>
        <v>0</v>
      </c>
      <c r="M68" s="52">
        <v>192</v>
      </c>
      <c r="N68" s="52"/>
      <c r="O68" s="65">
        <f t="shared" si="3"/>
        <v>192</v>
      </c>
      <c r="P68" s="52">
        <v>19</v>
      </c>
      <c r="Q68" s="52"/>
      <c r="R68" s="65">
        <f t="shared" si="4"/>
        <v>19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218</v>
      </c>
      <c r="AA68" s="50">
        <v>186</v>
      </c>
      <c r="AB68" s="50">
        <v>21</v>
      </c>
      <c r="AC68" s="61">
        <f t="shared" si="8"/>
        <v>-11</v>
      </c>
      <c r="AD68" s="50">
        <v>180</v>
      </c>
      <c r="AE68" s="67">
        <f t="shared" si="9"/>
        <v>169</v>
      </c>
    </row>
    <row r="69" spans="2:31">
      <c r="B69" s="50">
        <v>1114503</v>
      </c>
      <c r="C69" s="53" t="s">
        <v>189</v>
      </c>
      <c r="D69" s="52">
        <v>3</v>
      </c>
      <c r="E69" s="52"/>
      <c r="F69" s="65">
        <f t="shared" ref="F69:F132" si="10">SUM(D69:E69)</f>
        <v>3</v>
      </c>
      <c r="G69" s="52">
        <v>3</v>
      </c>
      <c r="H69" s="52"/>
      <c r="I69" s="65">
        <f t="shared" ref="I69:I121" si="11">SUM(G69:H69)</f>
        <v>3</v>
      </c>
      <c r="J69" s="52"/>
      <c r="K69" s="52"/>
      <c r="L69" s="65">
        <f t="shared" ref="L69:L121" si="12">SUM(J69:K69)</f>
        <v>0</v>
      </c>
      <c r="M69" s="52">
        <v>192</v>
      </c>
      <c r="N69" s="52"/>
      <c r="O69" s="65">
        <f t="shared" ref="O69:O121" si="13">SUM(M69:N69)</f>
        <v>192</v>
      </c>
      <c r="P69" s="52">
        <v>19</v>
      </c>
      <c r="Q69" s="52"/>
      <c r="R69" s="65">
        <f t="shared" ref="R69:R121" si="14">SUM(P69:Q69)</f>
        <v>19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217</v>
      </c>
      <c r="AA69" s="50">
        <v>212</v>
      </c>
      <c r="AB69" s="50"/>
      <c r="AC69" s="61">
        <f t="shared" ref="AC69:AC121" si="18">+AA69+AB69-Z69</f>
        <v>-5</v>
      </c>
      <c r="AD69" s="50">
        <v>180</v>
      </c>
      <c r="AE69" s="67">
        <f t="shared" ref="AE69:AE121" si="19">AC69+AD69</f>
        <v>175</v>
      </c>
    </row>
    <row r="70" spans="2:3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>
        <v>14</v>
      </c>
      <c r="H70" s="52"/>
      <c r="I70" s="65">
        <f t="shared" si="11"/>
        <v>14</v>
      </c>
      <c r="J70" s="52"/>
      <c r="K70" s="52"/>
      <c r="L70" s="65">
        <f t="shared" si="12"/>
        <v>0</v>
      </c>
      <c r="M70" s="52">
        <v>39</v>
      </c>
      <c r="N70" s="52"/>
      <c r="O70" s="65">
        <f t="shared" si="13"/>
        <v>39</v>
      </c>
      <c r="P70" s="52">
        <v>52</v>
      </c>
      <c r="Q70" s="52"/>
      <c r="R70" s="65">
        <f t="shared" si="14"/>
        <v>52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105</v>
      </c>
      <c r="AA70" s="50">
        <v>70</v>
      </c>
      <c r="AB70" s="50">
        <v>58</v>
      </c>
      <c r="AC70" s="61">
        <f t="shared" si="18"/>
        <v>23</v>
      </c>
      <c r="AD70" s="50">
        <v>70</v>
      </c>
      <c r="AE70" s="67">
        <f t="shared" si="19"/>
        <v>93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7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7">
        <f t="shared" si="19"/>
        <v>0</v>
      </c>
    </row>
    <row r="73" spans="2:31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7">
        <f t="shared" si="19"/>
        <v>0</v>
      </c>
    </row>
    <row r="74" spans="2:31" hidden="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7">
        <f t="shared" si="19"/>
        <v>0</v>
      </c>
    </row>
    <row r="75" spans="2:31">
      <c r="B75" s="50">
        <v>1113170</v>
      </c>
      <c r="C75" s="53" t="s">
        <v>87</v>
      </c>
      <c r="D75" s="52">
        <v>6</v>
      </c>
      <c r="E75" s="52"/>
      <c r="F75" s="65">
        <f t="shared" si="10"/>
        <v>6</v>
      </c>
      <c r="G75" s="52">
        <v>1</v>
      </c>
      <c r="H75" s="52"/>
      <c r="I75" s="65">
        <f t="shared" si="11"/>
        <v>1</v>
      </c>
      <c r="J75" s="52">
        <v>6</v>
      </c>
      <c r="K75" s="52"/>
      <c r="L75" s="65">
        <f t="shared" si="12"/>
        <v>6</v>
      </c>
      <c r="M75" s="52">
        <v>1</v>
      </c>
      <c r="N75" s="52"/>
      <c r="O75" s="65">
        <f t="shared" si="13"/>
        <v>1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14</v>
      </c>
      <c r="AA75" s="50"/>
      <c r="AB75" s="50">
        <v>75</v>
      </c>
      <c r="AC75" s="61">
        <f t="shared" si="18"/>
        <v>61</v>
      </c>
      <c r="AD75" s="50"/>
      <c r="AE75" s="67">
        <f t="shared" si="19"/>
        <v>61</v>
      </c>
    </row>
    <row r="76" spans="2:31">
      <c r="B76" s="50">
        <v>1113171</v>
      </c>
      <c r="C76" s="53" t="s">
        <v>88</v>
      </c>
      <c r="D76" s="52">
        <v>2</v>
      </c>
      <c r="E76" s="52"/>
      <c r="F76" s="65">
        <f t="shared" si="10"/>
        <v>2</v>
      </c>
      <c r="G76" s="52"/>
      <c r="H76" s="52"/>
      <c r="I76" s="65">
        <f t="shared" si="11"/>
        <v>0</v>
      </c>
      <c r="J76" s="52">
        <v>2</v>
      </c>
      <c r="K76" s="52"/>
      <c r="L76" s="65">
        <f t="shared" si="12"/>
        <v>2</v>
      </c>
      <c r="M76" s="52">
        <v>1</v>
      </c>
      <c r="N76" s="52"/>
      <c r="O76" s="65">
        <f t="shared" si="13"/>
        <v>1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5</v>
      </c>
      <c r="AA76" s="50"/>
      <c r="AB76" s="50">
        <v>11</v>
      </c>
      <c r="AC76" s="61">
        <f t="shared" si="18"/>
        <v>6</v>
      </c>
      <c r="AD76" s="50"/>
      <c r="AE76" s="67">
        <f t="shared" si="19"/>
        <v>6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>
        <v>1</v>
      </c>
      <c r="AC77" s="61">
        <f t="shared" si="18"/>
        <v>1</v>
      </c>
      <c r="AD77" s="50"/>
      <c r="AE77" s="67">
        <f t="shared" si="19"/>
        <v>1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>
        <v>3</v>
      </c>
      <c r="K78" s="52"/>
      <c r="L78" s="65">
        <f t="shared" si="12"/>
        <v>3</v>
      </c>
      <c r="M78" s="52">
        <v>1</v>
      </c>
      <c r="N78" s="52"/>
      <c r="O78" s="65">
        <f t="shared" si="13"/>
        <v>1</v>
      </c>
      <c r="P78" s="52">
        <v>2</v>
      </c>
      <c r="Q78" s="52"/>
      <c r="R78" s="65">
        <f t="shared" si="14"/>
        <v>2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6</v>
      </c>
      <c r="AA78" s="50">
        <v>10</v>
      </c>
      <c r="AB78" s="50"/>
      <c r="AC78" s="61">
        <f t="shared" si="18"/>
        <v>4</v>
      </c>
      <c r="AD78" s="50"/>
      <c r="AE78" s="67">
        <f t="shared" si="19"/>
        <v>4</v>
      </c>
    </row>
    <row r="79" spans="2:31" hidden="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7">
        <f t="shared" si="19"/>
        <v>0</v>
      </c>
    </row>
    <row r="80" spans="2:31" hidden="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7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7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1</v>
      </c>
      <c r="H82" s="52"/>
      <c r="I82" s="65">
        <f t="shared" si="11"/>
        <v>1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1</v>
      </c>
      <c r="AA82" s="50"/>
      <c r="AB82" s="50"/>
      <c r="AC82" s="61">
        <f t="shared" si="18"/>
        <v>-1</v>
      </c>
      <c r="AD82" s="50"/>
      <c r="AE82" s="67">
        <f t="shared" si="19"/>
        <v>-1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5</v>
      </c>
      <c r="H83" s="52"/>
      <c r="I83" s="65">
        <f t="shared" si="11"/>
        <v>5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5</v>
      </c>
      <c r="AA83" s="50"/>
      <c r="AB83" s="50"/>
      <c r="AC83" s="61">
        <f t="shared" si="18"/>
        <v>-5</v>
      </c>
      <c r="AD83" s="50"/>
      <c r="AE83" s="67">
        <f t="shared" si="19"/>
        <v>-5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7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7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7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7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7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7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7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7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7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7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7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7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7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7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7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7">
        <f t="shared" si="19"/>
        <v>0</v>
      </c>
    </row>
    <row r="100" spans="2:31" hidden="1">
      <c r="B100" s="50">
        <v>1004062</v>
      </c>
      <c r="C100" s="53" t="s">
        <v>238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7">
        <f t="shared" si="19"/>
        <v>0</v>
      </c>
    </row>
    <row r="101" spans="2:31" hidden="1">
      <c r="B101" s="50">
        <v>1004051</v>
      </c>
      <c r="C101" s="53" t="s">
        <v>239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7">
        <f t="shared" si="19"/>
        <v>0</v>
      </c>
    </row>
    <row r="102" spans="2:31" hidden="1">
      <c r="B102" s="50">
        <v>1111005</v>
      </c>
      <c r="C102" s="53" t="s">
        <v>240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7">
        <f t="shared" si="19"/>
        <v>0</v>
      </c>
    </row>
    <row r="103" spans="2:31" hidden="1">
      <c r="B103" s="50">
        <v>1111006</v>
      </c>
      <c r="C103" s="53" t="s">
        <v>241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7">
        <f t="shared" si="19"/>
        <v>0</v>
      </c>
    </row>
    <row r="104" spans="2:31" hidden="1">
      <c r="B104" s="50">
        <v>1004048</v>
      </c>
      <c r="C104" s="53" t="s">
        <v>242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7">
        <f t="shared" si="19"/>
        <v>0</v>
      </c>
    </row>
    <row r="105" spans="2:31" hidden="1">
      <c r="B105" s="50">
        <v>1113157</v>
      </c>
      <c r="C105" s="53" t="s">
        <v>243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7">
        <f t="shared" si="19"/>
        <v>0</v>
      </c>
    </row>
    <row r="106" spans="2:31" hidden="1">
      <c r="B106" s="50">
        <v>1004080</v>
      </c>
      <c r="C106" s="53" t="s">
        <v>244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7">
        <f t="shared" si="19"/>
        <v>0</v>
      </c>
    </row>
    <row r="107" spans="2:31" hidden="1">
      <c r="B107" s="50">
        <v>1004081</v>
      </c>
      <c r="C107" s="53" t="s">
        <v>245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7">
        <f t="shared" si="19"/>
        <v>0</v>
      </c>
    </row>
    <row r="108" spans="2:31" hidden="1">
      <c r="B108" s="50">
        <v>3001200</v>
      </c>
      <c r="C108" s="53" t="s">
        <v>246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7">
        <f t="shared" si="19"/>
        <v>0</v>
      </c>
    </row>
    <row r="109" spans="2:31" hidden="1">
      <c r="B109" s="50">
        <v>1004047</v>
      </c>
      <c r="C109" s="53" t="s">
        <v>247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7">
        <f t="shared" si="19"/>
        <v>0</v>
      </c>
    </row>
    <row r="110" spans="2:31" hidden="1">
      <c r="B110" s="50">
        <v>1004070</v>
      </c>
      <c r="C110" s="53" t="s">
        <v>248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7">
        <f t="shared" si="19"/>
        <v>0</v>
      </c>
    </row>
    <row r="111" spans="2:31" hidden="1">
      <c r="B111" s="50">
        <v>1004076</v>
      </c>
      <c r="C111" s="53" t="s">
        <v>249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7">
        <f t="shared" si="19"/>
        <v>0</v>
      </c>
    </row>
    <row r="112" spans="2:31" hidden="1">
      <c r="B112" s="50">
        <v>1004050</v>
      </c>
      <c r="C112" s="53" t="s">
        <v>250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7">
        <f t="shared" si="19"/>
        <v>0</v>
      </c>
    </row>
    <row r="113" spans="2:31" hidden="1">
      <c r="B113" s="50">
        <v>1004048</v>
      </c>
      <c r="C113" s="53" t="s">
        <v>251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7">
        <f t="shared" si="19"/>
        <v>0</v>
      </c>
    </row>
    <row r="114" spans="2:31" hidden="1">
      <c r="B114" s="50">
        <v>1007020</v>
      </c>
      <c r="C114" s="53" t="s">
        <v>253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7">
        <f t="shared" si="19"/>
        <v>0</v>
      </c>
    </row>
    <row r="115" spans="2:31" hidden="1">
      <c r="B115" s="50">
        <v>1004063</v>
      </c>
      <c r="C115" s="53" t="s">
        <v>254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7">
        <f t="shared" si="19"/>
        <v>0</v>
      </c>
    </row>
    <row r="116" spans="2:31" hidden="1">
      <c r="B116" s="50">
        <v>1004065</v>
      </c>
      <c r="C116" s="53" t="s">
        <v>255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7">
        <f t="shared" si="19"/>
        <v>0</v>
      </c>
    </row>
    <row r="117" spans="2:31" hidden="1">
      <c r="B117" s="50">
        <v>1006982</v>
      </c>
      <c r="C117" s="53" t="s">
        <v>256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7">
        <f t="shared" si="19"/>
        <v>0</v>
      </c>
    </row>
    <row r="118" spans="2:31" hidden="1">
      <c r="B118" s="50">
        <v>1006000</v>
      </c>
      <c r="C118" s="53" t="s">
        <v>257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7">
        <f t="shared" si="19"/>
        <v>0</v>
      </c>
    </row>
    <row r="119" spans="2:31" hidden="1">
      <c r="B119" s="50">
        <v>1005998</v>
      </c>
      <c r="C119" s="53" t="s">
        <v>258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7">
        <f t="shared" si="19"/>
        <v>0</v>
      </c>
    </row>
    <row r="120" spans="2:31" hidden="1">
      <c r="B120" s="50">
        <v>1005995</v>
      </c>
      <c r="C120" s="53" t="s">
        <v>259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7">
        <f t="shared" si="19"/>
        <v>0</v>
      </c>
    </row>
    <row r="121" spans="2:31" hidden="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7">
        <f t="shared" si="19"/>
        <v>0</v>
      </c>
    </row>
    <row r="122" spans="2:31" hidden="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7"/>
    </row>
    <row r="123" spans="2:31" hidden="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7"/>
    </row>
    <row r="124" spans="2:31" hidden="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7"/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7"/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7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7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7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7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7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7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7"/>
    </row>
    <row r="133" spans="2:31" hidden="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7"/>
    </row>
    <row r="134" spans="2:31" hidden="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7"/>
    </row>
    <row r="135" spans="2:31" hidden="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7"/>
    </row>
    <row r="136" spans="2:31" hidden="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7"/>
    </row>
    <row r="137" spans="2:31" hidden="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7"/>
    </row>
    <row r="138" spans="2:31" hidden="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7"/>
    </row>
    <row r="139" spans="2:31" hidden="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7"/>
    </row>
    <row r="140" spans="2:31" hidden="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7"/>
    </row>
    <row r="141" spans="2:31" hidden="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7"/>
    </row>
    <row r="142" spans="2:31" hidden="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7"/>
    </row>
    <row r="143" spans="2:31" hidden="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7"/>
    </row>
    <row r="144" spans="2:31" hidden="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7"/>
    </row>
    <row r="145" spans="2:31" hidden="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7"/>
    </row>
    <row r="146" spans="2:31" hidden="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7"/>
    </row>
    <row r="147" spans="2:31" hidden="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7"/>
    </row>
    <row r="148" spans="2:31" hidden="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7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7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7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7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7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7">
        <f t="shared" si="29"/>
        <v>0</v>
      </c>
    </row>
    <row r="154" spans="2:31" s="59" customFormat="1" ht="51.75">
      <c r="B154" s="97" t="s">
        <v>201</v>
      </c>
      <c r="C154" s="98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46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46</v>
      </c>
      <c r="G154" s="62">
        <f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515</v>
      </c>
      <c r="H154" s="62">
        <f t="shared" ref="H154:AE154" si="31">+H4+H5+H6+H7+H8+H9+H10+H11+H12+H13+H14+H15+H16+H17+H18+H19+H20+H21+H22+H23+H24+H25+H26+H27+H28+H29+H30+H31+H32+H33+H34+H35+H36+H37+H38+H39+H40+H41+H42+H43+H44+H45+H46+H47+H48+H49+H50+H51+H52+H53+H54+H55+H56+H57+H58+H59+H60+H61+H62+H63+H64+H65+H66+H67+H68+H69+H70+H71+H72+H73+H74+H75+H76+H77+H78+H79+H80+H81+H82+H83+H84+H85+H86+H87+H88+H89+H90+H91+H92+H93+H94+H95+H96+H97+H98+H99+H100+H101+H102+H103+H104+H105+H106+H107+H108+H109+H151+H152+H153+H110+H111+H112+H113+H114+H115+H116+H117+H118+H119+H120+H121+H122+H123+H124+H125+H126+H127+H128+H129+H130+H131+H132+H133+H134+H135+H136+H137+H138+H139+H140+H141+H142+H143+H144+H145+H146+H147+H148+H149+H150</f>
        <v>0</v>
      </c>
      <c r="I154" s="62">
        <f t="shared" si="31"/>
        <v>515</v>
      </c>
      <c r="J154" s="62">
        <f t="shared" si="31"/>
        <v>49</v>
      </c>
      <c r="K154" s="62">
        <f t="shared" si="31"/>
        <v>0</v>
      </c>
      <c r="L154" s="62">
        <f t="shared" si="31"/>
        <v>49</v>
      </c>
      <c r="M154" s="62">
        <f t="shared" si="31"/>
        <v>806</v>
      </c>
      <c r="N154" s="62">
        <f t="shared" si="31"/>
        <v>0</v>
      </c>
      <c r="O154" s="62">
        <f t="shared" si="31"/>
        <v>806</v>
      </c>
      <c r="P154" s="62">
        <f t="shared" si="31"/>
        <v>378</v>
      </c>
      <c r="Q154" s="62">
        <f t="shared" si="31"/>
        <v>0</v>
      </c>
      <c r="R154" s="62">
        <f t="shared" si="31"/>
        <v>378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0</v>
      </c>
      <c r="Z154" s="62">
        <f t="shared" si="31"/>
        <v>1794</v>
      </c>
      <c r="AA154" s="62">
        <f t="shared" si="31"/>
        <v>940</v>
      </c>
      <c r="AB154" s="62">
        <f t="shared" si="31"/>
        <v>1490</v>
      </c>
      <c r="AC154" s="62">
        <f t="shared" si="31"/>
        <v>636</v>
      </c>
      <c r="AD154" s="62">
        <f t="shared" si="31"/>
        <v>1160</v>
      </c>
      <c r="AE154" s="62">
        <f t="shared" si="31"/>
        <v>1796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Y2:Y3"/>
    <mergeCell ref="Z2:Z3"/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8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C2C5-61D4-4FC0-A6AF-B0C77934E4DD}">
  <sheetPr codeName="Sheet11">
    <pageSetUpPr fitToPage="1"/>
  </sheetPr>
  <dimension ref="B1:AE159"/>
  <sheetViews>
    <sheetView topLeftCell="C16" zoomScale="50" zoomScaleNormal="50" workbookViewId="0">
      <selection activeCell="L15" sqref="L15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5" width="14.28515625" style="56" customWidth="1"/>
    <col min="26" max="26" width="19.5703125" style="57" bestFit="1" customWidth="1"/>
    <col min="27" max="30" width="20.7109375" style="48" hidden="1" customWidth="1"/>
    <col min="31" max="31" width="23.85546875" style="49" hidden="1" customWidth="1"/>
    <col min="32" max="32" width="22.7109375" style="49" customWidth="1"/>
    <col min="33" max="33" width="8.85546875" style="49" customWidth="1"/>
    <col min="34" max="16384" width="8.85546875" style="49"/>
  </cols>
  <sheetData>
    <row r="1" spans="2:31" ht="68.25">
      <c r="B1" s="83" t="s">
        <v>215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</row>
    <row r="2" spans="2:31" ht="49.9" customHeight="1">
      <c r="B2" s="99" t="s">
        <v>3</v>
      </c>
      <c r="C2" s="99" t="s">
        <v>4</v>
      </c>
      <c r="D2" s="85" t="s">
        <v>5</v>
      </c>
      <c r="E2" s="86"/>
      <c r="F2" s="87"/>
      <c r="G2" s="85" t="s">
        <v>6</v>
      </c>
      <c r="H2" s="86"/>
      <c r="I2" s="87"/>
      <c r="J2" s="85" t="s">
        <v>7</v>
      </c>
      <c r="K2" s="86"/>
      <c r="L2" s="87"/>
      <c r="M2" s="85" t="s">
        <v>8</v>
      </c>
      <c r="N2" s="86"/>
      <c r="O2" s="87"/>
      <c r="P2" s="85" t="s">
        <v>132</v>
      </c>
      <c r="Q2" s="86"/>
      <c r="R2" s="87"/>
      <c r="S2" s="85" t="s">
        <v>9</v>
      </c>
      <c r="T2" s="86"/>
      <c r="U2" s="87"/>
      <c r="V2" s="88" t="s">
        <v>131</v>
      </c>
      <c r="W2" s="89"/>
      <c r="X2" s="90"/>
      <c r="Y2" s="101" t="s">
        <v>134</v>
      </c>
      <c r="Z2" s="103" t="s">
        <v>204</v>
      </c>
      <c r="AA2" s="91" t="s">
        <v>145</v>
      </c>
      <c r="AB2" s="91" t="s">
        <v>146</v>
      </c>
      <c r="AC2" s="95" t="s">
        <v>147</v>
      </c>
      <c r="AD2" s="93" t="s">
        <v>148</v>
      </c>
      <c r="AE2" s="82" t="s">
        <v>212</v>
      </c>
    </row>
    <row r="3" spans="2:31" ht="49.9" customHeight="1">
      <c r="B3" s="100"/>
      <c r="C3" s="100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102"/>
      <c r="Z3" s="104"/>
      <c r="AA3" s="92"/>
      <c r="AB3" s="92"/>
      <c r="AC3" s="96"/>
      <c r="AD3" s="94"/>
      <c r="AE3" s="82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>
        <v>1</v>
      </c>
      <c r="H4" s="52"/>
      <c r="I4" s="65">
        <f>SUM(G4:H4)</f>
        <v>1</v>
      </c>
      <c r="J4" s="52"/>
      <c r="K4" s="52"/>
      <c r="L4" s="65">
        <f>SUM(J4:K4)</f>
        <v>0</v>
      </c>
      <c r="M4" s="52">
        <v>63</v>
      </c>
      <c r="N4" s="52"/>
      <c r="O4" s="65">
        <f>SUM(M4:N4)</f>
        <v>63</v>
      </c>
      <c r="P4" s="52">
        <v>18</v>
      </c>
      <c r="Q4" s="52"/>
      <c r="R4" s="65">
        <f>SUM(P4:Q4)</f>
        <v>18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82</v>
      </c>
      <c r="AA4" s="50"/>
      <c r="AB4" s="50"/>
      <c r="AC4" s="61">
        <f>+AA4+AB4-Z4</f>
        <v>-82</v>
      </c>
      <c r="AD4" s="50"/>
      <c r="AE4" s="67">
        <f>AC4+AD4</f>
        <v>-82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61</v>
      </c>
      <c r="H5" s="52"/>
      <c r="I5" s="65">
        <f t="shared" ref="I5:I68" si="1">SUM(G5:H5)</f>
        <v>61</v>
      </c>
      <c r="J5" s="52">
        <v>41</v>
      </c>
      <c r="K5" s="52"/>
      <c r="L5" s="65">
        <f t="shared" ref="L5:L68" si="2">SUM(J5:K5)</f>
        <v>41</v>
      </c>
      <c r="M5" s="52">
        <v>1</v>
      </c>
      <c r="N5" s="52"/>
      <c r="O5" s="65">
        <f t="shared" ref="O5:O68" si="3">SUM(M5:N5)</f>
        <v>1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103</v>
      </c>
      <c r="AA5" s="58"/>
      <c r="AB5" s="58"/>
      <c r="AC5" s="61">
        <f t="shared" ref="AC5:AC68" si="8">+AA5+AB5-Z5</f>
        <v>-103</v>
      </c>
      <c r="AD5" s="58"/>
      <c r="AE5" s="67">
        <f t="shared" ref="AE5:AE68" si="9">AC5+AD5</f>
        <v>-103</v>
      </c>
    </row>
    <row r="6" spans="2:3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7">
        <f t="shared" si="9"/>
        <v>0</v>
      </c>
    </row>
    <row r="7" spans="2:3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7">
        <f t="shared" si="9"/>
        <v>0</v>
      </c>
    </row>
    <row r="8" spans="2:3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7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31</v>
      </c>
      <c r="H9" s="52"/>
      <c r="I9" s="65">
        <f t="shared" si="1"/>
        <v>31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31</v>
      </c>
      <c r="AA9" s="50"/>
      <c r="AB9" s="50"/>
      <c r="AC9" s="61">
        <f t="shared" si="8"/>
        <v>-31</v>
      </c>
      <c r="AD9" s="50"/>
      <c r="AE9" s="67">
        <f t="shared" si="9"/>
        <v>-31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7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31</v>
      </c>
      <c r="H11" s="52"/>
      <c r="I11" s="65">
        <f t="shared" si="1"/>
        <v>31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31</v>
      </c>
      <c r="AA11" s="50"/>
      <c r="AB11" s="50"/>
      <c r="AC11" s="61">
        <f t="shared" si="8"/>
        <v>-31</v>
      </c>
      <c r="AD11" s="50"/>
      <c r="AE11" s="67">
        <f t="shared" si="9"/>
        <v>-31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31</v>
      </c>
      <c r="H12" s="52"/>
      <c r="I12" s="65">
        <f t="shared" si="1"/>
        <v>31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31</v>
      </c>
      <c r="AA12" s="50"/>
      <c r="AB12" s="50"/>
      <c r="AC12" s="61">
        <f t="shared" si="8"/>
        <v>-31</v>
      </c>
      <c r="AD12" s="50"/>
      <c r="AE12" s="67">
        <f t="shared" si="9"/>
        <v>-31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31</v>
      </c>
      <c r="H13" s="52"/>
      <c r="I13" s="65">
        <f t="shared" si="1"/>
        <v>31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31</v>
      </c>
      <c r="AA13" s="50"/>
      <c r="AB13" s="50"/>
      <c r="AC13" s="61">
        <f t="shared" si="8"/>
        <v>-31</v>
      </c>
      <c r="AD13" s="50"/>
      <c r="AE13" s="67">
        <f t="shared" si="9"/>
        <v>-31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31</v>
      </c>
      <c r="H14" s="52"/>
      <c r="I14" s="65">
        <f t="shared" si="1"/>
        <v>31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31</v>
      </c>
      <c r="AA14" s="50"/>
      <c r="AB14" s="50"/>
      <c r="AC14" s="61">
        <f t="shared" si="8"/>
        <v>-31</v>
      </c>
      <c r="AD14" s="50"/>
      <c r="AE14" s="67">
        <f t="shared" si="9"/>
        <v>-31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31</v>
      </c>
      <c r="H15" s="52"/>
      <c r="I15" s="65">
        <f t="shared" si="1"/>
        <v>31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31</v>
      </c>
      <c r="AA15" s="50"/>
      <c r="AB15" s="50"/>
      <c r="AC15" s="61">
        <f t="shared" si="8"/>
        <v>-31</v>
      </c>
      <c r="AD15" s="50"/>
      <c r="AE15" s="67">
        <f t="shared" si="9"/>
        <v>-31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31</v>
      </c>
      <c r="H16" s="52"/>
      <c r="I16" s="65">
        <f t="shared" si="1"/>
        <v>31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31</v>
      </c>
      <c r="AA16" s="50"/>
      <c r="AB16" s="50"/>
      <c r="AC16" s="61">
        <f t="shared" si="8"/>
        <v>-31</v>
      </c>
      <c r="AD16" s="50"/>
      <c r="AE16" s="67">
        <f t="shared" si="9"/>
        <v>-31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31</v>
      </c>
      <c r="H17" s="52"/>
      <c r="I17" s="65">
        <f t="shared" si="1"/>
        <v>31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31</v>
      </c>
      <c r="AA17" s="50"/>
      <c r="AB17" s="50"/>
      <c r="AC17" s="61">
        <f t="shared" si="8"/>
        <v>-31</v>
      </c>
      <c r="AD17" s="50"/>
      <c r="AE17" s="67">
        <f t="shared" si="9"/>
        <v>-31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31</v>
      </c>
      <c r="H18" s="52"/>
      <c r="I18" s="65">
        <f t="shared" si="1"/>
        <v>31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31</v>
      </c>
      <c r="AA18" s="50"/>
      <c r="AB18" s="50"/>
      <c r="AC18" s="61">
        <f t="shared" si="8"/>
        <v>-31</v>
      </c>
      <c r="AD18" s="50"/>
      <c r="AE18" s="67">
        <f t="shared" si="9"/>
        <v>-31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31</v>
      </c>
      <c r="H19" s="52"/>
      <c r="I19" s="65">
        <f t="shared" si="1"/>
        <v>31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31</v>
      </c>
      <c r="AA19" s="50"/>
      <c r="AB19" s="50"/>
      <c r="AC19" s="61">
        <f t="shared" si="8"/>
        <v>-31</v>
      </c>
      <c r="AD19" s="50"/>
      <c r="AE19" s="67">
        <f t="shared" si="9"/>
        <v>-31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7">
        <f t="shared" si="9"/>
        <v>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7">
        <f t="shared" si="9"/>
        <v>0</v>
      </c>
    </row>
    <row r="22" spans="2:3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7">
        <f t="shared" si="9"/>
        <v>0</v>
      </c>
    </row>
    <row r="23" spans="2:3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7">
        <f t="shared" si="9"/>
        <v>0</v>
      </c>
    </row>
    <row r="24" spans="2:3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7">
        <f t="shared" si="9"/>
        <v>0</v>
      </c>
    </row>
    <row r="25" spans="2:31">
      <c r="B25" s="50">
        <v>1111008</v>
      </c>
      <c r="C25" s="51" t="s">
        <v>156</v>
      </c>
      <c r="D25" s="52">
        <v>3</v>
      </c>
      <c r="E25" s="52"/>
      <c r="F25" s="65">
        <f t="shared" si="0"/>
        <v>3</v>
      </c>
      <c r="G25" s="52">
        <v>4</v>
      </c>
      <c r="H25" s="52"/>
      <c r="I25" s="65">
        <f t="shared" si="1"/>
        <v>4</v>
      </c>
      <c r="J25" s="52">
        <v>6</v>
      </c>
      <c r="K25" s="52"/>
      <c r="L25" s="65">
        <f t="shared" si="2"/>
        <v>6</v>
      </c>
      <c r="M25" s="52">
        <v>39</v>
      </c>
      <c r="N25" s="52"/>
      <c r="O25" s="65">
        <f t="shared" si="3"/>
        <v>39</v>
      </c>
      <c r="P25" s="52">
        <v>3</v>
      </c>
      <c r="Q25" s="52"/>
      <c r="R25" s="65">
        <f t="shared" si="4"/>
        <v>3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55</v>
      </c>
      <c r="AA25" s="50"/>
      <c r="AB25" s="50"/>
      <c r="AC25" s="61">
        <f t="shared" si="8"/>
        <v>-55</v>
      </c>
      <c r="AD25" s="50"/>
      <c r="AE25" s="67">
        <f t="shared" si="9"/>
        <v>-55</v>
      </c>
    </row>
    <row r="26" spans="2:31">
      <c r="B26" s="50">
        <v>1111009</v>
      </c>
      <c r="C26" s="51" t="s">
        <v>157</v>
      </c>
      <c r="D26" s="52"/>
      <c r="E26" s="52"/>
      <c r="F26" s="65">
        <f t="shared" si="0"/>
        <v>0</v>
      </c>
      <c r="G26" s="52">
        <v>8</v>
      </c>
      <c r="H26" s="52"/>
      <c r="I26" s="65">
        <f t="shared" si="1"/>
        <v>8</v>
      </c>
      <c r="J26" s="52">
        <v>2</v>
      </c>
      <c r="K26" s="52"/>
      <c r="L26" s="65">
        <f t="shared" si="2"/>
        <v>2</v>
      </c>
      <c r="M26" s="52">
        <v>1</v>
      </c>
      <c r="N26" s="52"/>
      <c r="O26" s="65">
        <f t="shared" si="3"/>
        <v>1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11</v>
      </c>
      <c r="AA26" s="50"/>
      <c r="AB26" s="50"/>
      <c r="AC26" s="61">
        <f t="shared" si="8"/>
        <v>-11</v>
      </c>
      <c r="AD26" s="50"/>
      <c r="AE26" s="67">
        <f t="shared" si="9"/>
        <v>-11</v>
      </c>
    </row>
    <row r="27" spans="2:3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7">
        <f t="shared" si="9"/>
        <v>0</v>
      </c>
    </row>
    <row r="28" spans="2:3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7">
        <f t="shared" si="9"/>
        <v>0</v>
      </c>
    </row>
    <row r="29" spans="2:3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7">
        <f t="shared" si="9"/>
        <v>0</v>
      </c>
    </row>
    <row r="30" spans="2:3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7">
        <f t="shared" si="9"/>
        <v>0</v>
      </c>
    </row>
    <row r="31" spans="2:3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7">
        <f t="shared" si="9"/>
        <v>0</v>
      </c>
    </row>
    <row r="32" spans="2:3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7">
        <f t="shared" si="9"/>
        <v>0</v>
      </c>
    </row>
    <row r="33" spans="2:3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7">
        <f t="shared" si="9"/>
        <v>0</v>
      </c>
    </row>
    <row r="34" spans="2:3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7">
        <f t="shared" si="9"/>
        <v>0</v>
      </c>
    </row>
    <row r="35" spans="2:3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7">
        <f t="shared" si="9"/>
        <v>0</v>
      </c>
    </row>
    <row r="36" spans="2:3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7">
        <f t="shared" si="9"/>
        <v>0</v>
      </c>
    </row>
    <row r="37" spans="2:3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7">
        <f t="shared" si="9"/>
        <v>0</v>
      </c>
    </row>
    <row r="38" spans="2:3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7">
        <f t="shared" si="9"/>
        <v>0</v>
      </c>
    </row>
    <row r="39" spans="2:3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7">
        <f t="shared" si="9"/>
        <v>0</v>
      </c>
    </row>
    <row r="40" spans="2:3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7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5</v>
      </c>
      <c r="H41" s="52"/>
      <c r="I41" s="65">
        <f t="shared" si="1"/>
        <v>5</v>
      </c>
      <c r="J41" s="52"/>
      <c r="K41" s="52"/>
      <c r="L41" s="65">
        <f t="shared" si="2"/>
        <v>0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5</v>
      </c>
      <c r="AA41" s="50"/>
      <c r="AB41" s="50"/>
      <c r="AC41" s="61">
        <f t="shared" si="8"/>
        <v>-5</v>
      </c>
      <c r="AD41" s="50"/>
      <c r="AE41" s="67">
        <f t="shared" si="9"/>
        <v>-5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26</v>
      </c>
      <c r="H42" s="52"/>
      <c r="I42" s="65">
        <f t="shared" si="1"/>
        <v>26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26</v>
      </c>
      <c r="AA42" s="50"/>
      <c r="AB42" s="50"/>
      <c r="AC42" s="61">
        <f t="shared" si="8"/>
        <v>-26</v>
      </c>
      <c r="AD42" s="50"/>
      <c r="AE42" s="67">
        <f t="shared" si="9"/>
        <v>-26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26</v>
      </c>
      <c r="H43" s="52"/>
      <c r="I43" s="65">
        <f t="shared" si="1"/>
        <v>26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26</v>
      </c>
      <c r="AA43" s="50"/>
      <c r="AB43" s="50"/>
      <c r="AC43" s="61">
        <f t="shared" si="8"/>
        <v>-26</v>
      </c>
      <c r="AD43" s="50"/>
      <c r="AE43" s="67">
        <f t="shared" si="9"/>
        <v>-26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26</v>
      </c>
      <c r="H44" s="52"/>
      <c r="I44" s="65">
        <f t="shared" si="1"/>
        <v>26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26</v>
      </c>
      <c r="AA44" s="50"/>
      <c r="AB44" s="50"/>
      <c r="AC44" s="61">
        <f t="shared" si="8"/>
        <v>-26</v>
      </c>
      <c r="AD44" s="50"/>
      <c r="AE44" s="67">
        <f t="shared" si="9"/>
        <v>-26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26</v>
      </c>
      <c r="H45" s="52"/>
      <c r="I45" s="65">
        <f t="shared" si="1"/>
        <v>26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26</v>
      </c>
      <c r="AA45" s="50"/>
      <c r="AB45" s="50"/>
      <c r="AC45" s="61">
        <f t="shared" si="8"/>
        <v>-26</v>
      </c>
      <c r="AD45" s="50"/>
      <c r="AE45" s="67">
        <f t="shared" si="9"/>
        <v>-26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26</v>
      </c>
      <c r="H46" s="52"/>
      <c r="I46" s="65">
        <f t="shared" si="1"/>
        <v>26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26</v>
      </c>
      <c r="AA46" s="50"/>
      <c r="AB46" s="50"/>
      <c r="AC46" s="61">
        <f t="shared" si="8"/>
        <v>-26</v>
      </c>
      <c r="AD46" s="50"/>
      <c r="AE46" s="67">
        <f t="shared" si="9"/>
        <v>-26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26</v>
      </c>
      <c r="H47" s="52"/>
      <c r="I47" s="65">
        <f t="shared" si="1"/>
        <v>26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26</v>
      </c>
      <c r="AA47" s="50"/>
      <c r="AB47" s="50"/>
      <c r="AC47" s="61">
        <f t="shared" si="8"/>
        <v>-26</v>
      </c>
      <c r="AD47" s="50"/>
      <c r="AE47" s="67">
        <f t="shared" si="9"/>
        <v>-26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26</v>
      </c>
      <c r="H48" s="52"/>
      <c r="I48" s="65">
        <f t="shared" si="1"/>
        <v>26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26</v>
      </c>
      <c r="AA48" s="50"/>
      <c r="AB48" s="50"/>
      <c r="AC48" s="61">
        <f t="shared" si="8"/>
        <v>-26</v>
      </c>
      <c r="AD48" s="50"/>
      <c r="AE48" s="67">
        <f t="shared" si="9"/>
        <v>-26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26</v>
      </c>
      <c r="H49" s="52"/>
      <c r="I49" s="65">
        <f t="shared" si="1"/>
        <v>26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26</v>
      </c>
      <c r="AA49" s="50"/>
      <c r="AB49" s="50"/>
      <c r="AC49" s="61">
        <f t="shared" si="8"/>
        <v>-26</v>
      </c>
      <c r="AD49" s="50"/>
      <c r="AE49" s="67">
        <f t="shared" si="9"/>
        <v>-26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26</v>
      </c>
      <c r="H50" s="52"/>
      <c r="I50" s="65">
        <f t="shared" si="1"/>
        <v>26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26</v>
      </c>
      <c r="AA50" s="50"/>
      <c r="AB50" s="50"/>
      <c r="AC50" s="61">
        <f t="shared" si="8"/>
        <v>-26</v>
      </c>
      <c r="AD50" s="50"/>
      <c r="AE50" s="67">
        <f t="shared" si="9"/>
        <v>-26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26</v>
      </c>
      <c r="H51" s="52"/>
      <c r="I51" s="65">
        <f t="shared" si="1"/>
        <v>26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26</v>
      </c>
      <c r="AA51" s="50"/>
      <c r="AB51" s="50"/>
      <c r="AC51" s="61">
        <f t="shared" si="8"/>
        <v>-26</v>
      </c>
      <c r="AD51" s="50"/>
      <c r="AE51" s="67">
        <f t="shared" si="9"/>
        <v>-26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7">
        <f t="shared" si="9"/>
        <v>0</v>
      </c>
    </row>
    <row r="53" spans="2:31">
      <c r="B53" s="50">
        <v>1112003</v>
      </c>
      <c r="C53" s="51" t="s">
        <v>174</v>
      </c>
      <c r="D53" s="52">
        <v>108</v>
      </c>
      <c r="E53" s="52"/>
      <c r="F53" s="65">
        <f t="shared" si="0"/>
        <v>108</v>
      </c>
      <c r="G53" s="52">
        <v>4</v>
      </c>
      <c r="H53" s="52"/>
      <c r="I53" s="65">
        <f t="shared" si="1"/>
        <v>4</v>
      </c>
      <c r="J53" s="52"/>
      <c r="K53" s="52"/>
      <c r="L53" s="65">
        <f t="shared" si="2"/>
        <v>0</v>
      </c>
      <c r="M53" s="52">
        <v>28</v>
      </c>
      <c r="N53" s="52"/>
      <c r="O53" s="65">
        <f t="shared" si="3"/>
        <v>28</v>
      </c>
      <c r="P53" s="52">
        <v>6</v>
      </c>
      <c r="Q53" s="52"/>
      <c r="R53" s="65">
        <f t="shared" si="4"/>
        <v>6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146</v>
      </c>
      <c r="AA53" s="50"/>
      <c r="AB53" s="50"/>
      <c r="AC53" s="61">
        <f t="shared" si="8"/>
        <v>-146</v>
      </c>
      <c r="AD53" s="50"/>
      <c r="AE53" s="67">
        <f t="shared" si="9"/>
        <v>-146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7">
        <f t="shared" si="9"/>
        <v>0</v>
      </c>
    </row>
    <row r="55" spans="2:31">
      <c r="B55" s="50">
        <v>1112005</v>
      </c>
      <c r="C55" s="51" t="s">
        <v>176</v>
      </c>
      <c r="D55" s="52">
        <v>114</v>
      </c>
      <c r="E55" s="52"/>
      <c r="F55" s="65">
        <f t="shared" si="0"/>
        <v>114</v>
      </c>
      <c r="G55" s="52">
        <v>4</v>
      </c>
      <c r="H55" s="52"/>
      <c r="I55" s="65">
        <f t="shared" si="1"/>
        <v>4</v>
      </c>
      <c r="J55" s="52"/>
      <c r="K55" s="52"/>
      <c r="L55" s="65">
        <f t="shared" si="2"/>
        <v>0</v>
      </c>
      <c r="M55" s="52">
        <v>28</v>
      </c>
      <c r="N55" s="52"/>
      <c r="O55" s="65">
        <f t="shared" si="3"/>
        <v>28</v>
      </c>
      <c r="P55" s="52">
        <v>6</v>
      </c>
      <c r="Q55" s="52"/>
      <c r="R55" s="65">
        <f t="shared" si="4"/>
        <v>6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152</v>
      </c>
      <c r="AA55" s="50"/>
      <c r="AB55" s="50"/>
      <c r="AC55" s="61">
        <f t="shared" si="8"/>
        <v>-152</v>
      </c>
      <c r="AD55" s="50"/>
      <c r="AE55" s="67">
        <f t="shared" si="9"/>
        <v>-152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7">
        <f t="shared" si="9"/>
        <v>0</v>
      </c>
    </row>
    <row r="57" spans="2:31">
      <c r="B57" s="50">
        <v>1112009</v>
      </c>
      <c r="C57" s="51" t="s">
        <v>178</v>
      </c>
      <c r="D57" s="52">
        <v>113</v>
      </c>
      <c r="E57" s="52"/>
      <c r="F57" s="65">
        <f t="shared" si="0"/>
        <v>113</v>
      </c>
      <c r="G57" s="52">
        <v>4</v>
      </c>
      <c r="H57" s="52"/>
      <c r="I57" s="65">
        <f t="shared" si="1"/>
        <v>4</v>
      </c>
      <c r="J57" s="52"/>
      <c r="K57" s="52"/>
      <c r="L57" s="65">
        <f t="shared" si="2"/>
        <v>0</v>
      </c>
      <c r="M57" s="52">
        <v>28</v>
      </c>
      <c r="N57" s="52"/>
      <c r="O57" s="65">
        <f t="shared" si="3"/>
        <v>28</v>
      </c>
      <c r="P57" s="52">
        <v>6</v>
      </c>
      <c r="Q57" s="52"/>
      <c r="R57" s="65">
        <f t="shared" si="4"/>
        <v>6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151</v>
      </c>
      <c r="AA57" s="50"/>
      <c r="AB57" s="50"/>
      <c r="AC57" s="61">
        <f t="shared" si="8"/>
        <v>-151</v>
      </c>
      <c r="AD57" s="50"/>
      <c r="AE57" s="67">
        <f t="shared" si="9"/>
        <v>-151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7">
        <f t="shared" si="9"/>
        <v>0</v>
      </c>
    </row>
    <row r="59" spans="2:31">
      <c r="B59" s="50">
        <v>1112011</v>
      </c>
      <c r="C59" s="51" t="s">
        <v>180</v>
      </c>
      <c r="D59" s="52">
        <v>126</v>
      </c>
      <c r="E59" s="52"/>
      <c r="F59" s="65">
        <f t="shared" si="0"/>
        <v>126</v>
      </c>
      <c r="G59" s="52">
        <v>3</v>
      </c>
      <c r="H59" s="52"/>
      <c r="I59" s="65">
        <f t="shared" si="1"/>
        <v>3</v>
      </c>
      <c r="J59" s="52">
        <v>4</v>
      </c>
      <c r="K59" s="52"/>
      <c r="L59" s="65">
        <f t="shared" si="2"/>
        <v>4</v>
      </c>
      <c r="M59" s="52">
        <v>28</v>
      </c>
      <c r="N59" s="52"/>
      <c r="O59" s="65">
        <f t="shared" si="3"/>
        <v>28</v>
      </c>
      <c r="P59" s="52">
        <v>6</v>
      </c>
      <c r="Q59" s="52"/>
      <c r="R59" s="65">
        <f t="shared" si="4"/>
        <v>6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167</v>
      </c>
      <c r="AA59" s="50"/>
      <c r="AB59" s="50"/>
      <c r="AC59" s="61">
        <f t="shared" si="8"/>
        <v>-167</v>
      </c>
      <c r="AD59" s="50"/>
      <c r="AE59" s="67">
        <f t="shared" si="9"/>
        <v>-167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7">
        <f t="shared" si="9"/>
        <v>0</v>
      </c>
    </row>
    <row r="61" spans="2:31">
      <c r="B61" s="50">
        <v>1112013</v>
      </c>
      <c r="C61" s="51" t="s">
        <v>182</v>
      </c>
      <c r="D61" s="52">
        <v>99</v>
      </c>
      <c r="E61" s="52"/>
      <c r="F61" s="65">
        <f t="shared" si="0"/>
        <v>99</v>
      </c>
      <c r="G61" s="52">
        <v>4</v>
      </c>
      <c r="H61" s="52"/>
      <c r="I61" s="65">
        <f t="shared" si="1"/>
        <v>4</v>
      </c>
      <c r="J61" s="52"/>
      <c r="K61" s="52"/>
      <c r="L61" s="65">
        <f t="shared" si="2"/>
        <v>0</v>
      </c>
      <c r="M61" s="52">
        <v>28</v>
      </c>
      <c r="N61" s="52"/>
      <c r="O61" s="65">
        <f t="shared" si="3"/>
        <v>28</v>
      </c>
      <c r="P61" s="52">
        <v>6</v>
      </c>
      <c r="Q61" s="52"/>
      <c r="R61" s="65">
        <f t="shared" si="4"/>
        <v>6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137</v>
      </c>
      <c r="AA61" s="50"/>
      <c r="AB61" s="50"/>
      <c r="AC61" s="61">
        <f t="shared" si="8"/>
        <v>-137</v>
      </c>
      <c r="AD61" s="50"/>
      <c r="AE61" s="67">
        <f t="shared" si="9"/>
        <v>-137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7">
        <f t="shared" si="9"/>
        <v>0</v>
      </c>
    </row>
    <row r="63" spans="2:31">
      <c r="B63" s="50">
        <v>1112015</v>
      </c>
      <c r="C63" s="51" t="s">
        <v>184</v>
      </c>
      <c r="D63" s="52">
        <v>88</v>
      </c>
      <c r="E63" s="52"/>
      <c r="F63" s="65">
        <f t="shared" si="0"/>
        <v>88</v>
      </c>
      <c r="G63" s="52">
        <v>4</v>
      </c>
      <c r="H63" s="52"/>
      <c r="I63" s="65">
        <f t="shared" si="1"/>
        <v>4</v>
      </c>
      <c r="J63" s="52"/>
      <c r="K63" s="52"/>
      <c r="L63" s="65">
        <f t="shared" si="2"/>
        <v>0</v>
      </c>
      <c r="M63" s="52">
        <v>28</v>
      </c>
      <c r="N63" s="52"/>
      <c r="O63" s="65">
        <f t="shared" si="3"/>
        <v>28</v>
      </c>
      <c r="P63" s="52">
        <v>6</v>
      </c>
      <c r="Q63" s="52"/>
      <c r="R63" s="65">
        <f t="shared" si="4"/>
        <v>6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126</v>
      </c>
      <c r="AA63" s="50"/>
      <c r="AB63" s="50"/>
      <c r="AC63" s="61">
        <f t="shared" si="8"/>
        <v>-126</v>
      </c>
      <c r="AD63" s="50"/>
      <c r="AE63" s="67">
        <f t="shared" si="9"/>
        <v>-126</v>
      </c>
    </row>
    <row r="64" spans="2:3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7">
        <f t="shared" si="9"/>
        <v>0</v>
      </c>
    </row>
    <row r="65" spans="2:3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7">
        <f t="shared" si="9"/>
        <v>0</v>
      </c>
    </row>
    <row r="66" spans="2:3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7">
        <f t="shared" si="9"/>
        <v>0</v>
      </c>
    </row>
    <row r="67" spans="2:31">
      <c r="B67" s="50">
        <v>1114501</v>
      </c>
      <c r="C67" s="53" t="s">
        <v>187</v>
      </c>
      <c r="D67" s="52">
        <v>4</v>
      </c>
      <c r="E67" s="52"/>
      <c r="F67" s="65">
        <f t="shared" si="0"/>
        <v>4</v>
      </c>
      <c r="G67" s="52">
        <v>22</v>
      </c>
      <c r="H67" s="52"/>
      <c r="I67" s="65">
        <f t="shared" si="1"/>
        <v>22</v>
      </c>
      <c r="J67" s="52">
        <v>16</v>
      </c>
      <c r="K67" s="52"/>
      <c r="L67" s="65">
        <f t="shared" si="2"/>
        <v>16</v>
      </c>
      <c r="M67" s="52">
        <v>181</v>
      </c>
      <c r="N67" s="52"/>
      <c r="O67" s="65">
        <f t="shared" si="3"/>
        <v>181</v>
      </c>
      <c r="P67" s="52">
        <v>20</v>
      </c>
      <c r="Q67" s="52"/>
      <c r="R67" s="65">
        <f t="shared" si="4"/>
        <v>20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243</v>
      </c>
      <c r="AA67" s="50"/>
      <c r="AB67" s="50"/>
      <c r="AC67" s="61">
        <f t="shared" si="8"/>
        <v>-243</v>
      </c>
      <c r="AD67" s="50"/>
      <c r="AE67" s="67">
        <f t="shared" si="9"/>
        <v>-243</v>
      </c>
    </row>
    <row r="68" spans="2:31">
      <c r="B68" s="50">
        <v>1114502</v>
      </c>
      <c r="C68" s="53" t="s">
        <v>188</v>
      </c>
      <c r="D68" s="52">
        <v>6</v>
      </c>
      <c r="E68" s="52"/>
      <c r="F68" s="65">
        <f t="shared" si="0"/>
        <v>6</v>
      </c>
      <c r="G68" s="52">
        <v>1</v>
      </c>
      <c r="H68" s="52"/>
      <c r="I68" s="65">
        <f t="shared" si="1"/>
        <v>1</v>
      </c>
      <c r="J68" s="52"/>
      <c r="K68" s="52"/>
      <c r="L68" s="65">
        <f t="shared" si="2"/>
        <v>0</v>
      </c>
      <c r="M68" s="52">
        <v>178</v>
      </c>
      <c r="N68" s="52"/>
      <c r="O68" s="65">
        <f t="shared" si="3"/>
        <v>178</v>
      </c>
      <c r="P68" s="52">
        <v>20</v>
      </c>
      <c r="Q68" s="52"/>
      <c r="R68" s="65">
        <f t="shared" si="4"/>
        <v>20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205</v>
      </c>
      <c r="AA68" s="50"/>
      <c r="AB68" s="50"/>
      <c r="AC68" s="61">
        <f t="shared" si="8"/>
        <v>-205</v>
      </c>
      <c r="AD68" s="50"/>
      <c r="AE68" s="67">
        <f t="shared" si="9"/>
        <v>-205</v>
      </c>
    </row>
    <row r="69" spans="2:31">
      <c r="B69" s="50">
        <v>1114503</v>
      </c>
      <c r="C69" s="53" t="s">
        <v>189</v>
      </c>
      <c r="D69" s="52">
        <v>2</v>
      </c>
      <c r="E69" s="52"/>
      <c r="F69" s="65">
        <f t="shared" ref="F69:F132" si="10">SUM(D69:E69)</f>
        <v>2</v>
      </c>
      <c r="G69" s="52">
        <v>1</v>
      </c>
      <c r="H69" s="52"/>
      <c r="I69" s="65">
        <f t="shared" ref="I69:I121" si="11">SUM(G69:H69)</f>
        <v>1</v>
      </c>
      <c r="J69" s="52">
        <v>1</v>
      </c>
      <c r="K69" s="52"/>
      <c r="L69" s="65">
        <f t="shared" ref="L69:L121" si="12">SUM(J69:K69)</f>
        <v>1</v>
      </c>
      <c r="M69" s="52">
        <v>178</v>
      </c>
      <c r="N69" s="52"/>
      <c r="O69" s="65">
        <f t="shared" ref="O69:O121" si="13">SUM(M69:N69)</f>
        <v>178</v>
      </c>
      <c r="P69" s="52">
        <v>20</v>
      </c>
      <c r="Q69" s="52"/>
      <c r="R69" s="65">
        <f t="shared" ref="R69:R121" si="14">SUM(P69:Q69)</f>
        <v>20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202</v>
      </c>
      <c r="AA69" s="50"/>
      <c r="AB69" s="50"/>
      <c r="AC69" s="61">
        <f t="shared" ref="AC69:AC121" si="18">+AA69+AB69-Z69</f>
        <v>-202</v>
      </c>
      <c r="AD69" s="50"/>
      <c r="AE69" s="67">
        <f t="shared" ref="AE69:AE121" si="19">AC69+AD69</f>
        <v>-202</v>
      </c>
    </row>
    <row r="70" spans="2:3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>
        <v>18</v>
      </c>
      <c r="H70" s="52"/>
      <c r="I70" s="65">
        <f t="shared" si="11"/>
        <v>18</v>
      </c>
      <c r="J70" s="52">
        <v>20</v>
      </c>
      <c r="K70" s="52"/>
      <c r="L70" s="65">
        <f t="shared" si="12"/>
        <v>20</v>
      </c>
      <c r="M70" s="52">
        <v>23</v>
      </c>
      <c r="N70" s="52"/>
      <c r="O70" s="65">
        <f t="shared" si="13"/>
        <v>23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61</v>
      </c>
      <c r="AA70" s="50"/>
      <c r="AB70" s="50"/>
      <c r="AC70" s="61">
        <f t="shared" si="18"/>
        <v>-61</v>
      </c>
      <c r="AD70" s="50"/>
      <c r="AE70" s="67">
        <f t="shared" si="19"/>
        <v>-61</v>
      </c>
    </row>
    <row r="71" spans="2:3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7">
        <f t="shared" si="19"/>
        <v>0</v>
      </c>
    </row>
    <row r="72" spans="2:3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7">
        <f t="shared" si="19"/>
        <v>0</v>
      </c>
    </row>
    <row r="73" spans="2:3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7">
        <f t="shared" si="19"/>
        <v>0</v>
      </c>
    </row>
    <row r="74" spans="2:3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7">
        <f t="shared" si="19"/>
        <v>0</v>
      </c>
    </row>
    <row r="75" spans="2:31">
      <c r="B75" s="50">
        <v>1113170</v>
      </c>
      <c r="C75" s="53" t="s">
        <v>87</v>
      </c>
      <c r="D75" s="52">
        <v>17</v>
      </c>
      <c r="E75" s="52"/>
      <c r="F75" s="65">
        <f t="shared" si="10"/>
        <v>17</v>
      </c>
      <c r="G75" s="52">
        <v>1</v>
      </c>
      <c r="H75" s="52"/>
      <c r="I75" s="65">
        <f t="shared" si="11"/>
        <v>1</v>
      </c>
      <c r="J75" s="52">
        <v>8</v>
      </c>
      <c r="K75" s="52"/>
      <c r="L75" s="65">
        <f t="shared" si="12"/>
        <v>8</v>
      </c>
      <c r="M75" s="52">
        <v>1</v>
      </c>
      <c r="N75" s="52"/>
      <c r="O75" s="65">
        <f t="shared" si="13"/>
        <v>1</v>
      </c>
      <c r="P75" s="52">
        <v>1</v>
      </c>
      <c r="Q75" s="52"/>
      <c r="R75" s="65">
        <f t="shared" si="14"/>
        <v>1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28</v>
      </c>
      <c r="AA75" s="50"/>
      <c r="AB75" s="50"/>
      <c r="AC75" s="61">
        <f t="shared" si="18"/>
        <v>-28</v>
      </c>
      <c r="AD75" s="50"/>
      <c r="AE75" s="67">
        <f t="shared" si="19"/>
        <v>-28</v>
      </c>
    </row>
    <row r="76" spans="2:31">
      <c r="B76" s="50">
        <v>1113171</v>
      </c>
      <c r="C76" s="53" t="s">
        <v>88</v>
      </c>
      <c r="D76" s="52">
        <v>1</v>
      </c>
      <c r="E76" s="52"/>
      <c r="F76" s="65">
        <f t="shared" si="10"/>
        <v>1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1</v>
      </c>
      <c r="AA76" s="50"/>
      <c r="AB76" s="50"/>
      <c r="AC76" s="61">
        <f t="shared" si="18"/>
        <v>-1</v>
      </c>
      <c r="AD76" s="50"/>
      <c r="AE76" s="67">
        <f t="shared" si="19"/>
        <v>-1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7">
        <f t="shared" si="19"/>
        <v>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7">
        <f t="shared" si="19"/>
        <v>0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7">
        <f t="shared" si="19"/>
        <v>0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7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7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1</v>
      </c>
      <c r="H82" s="52"/>
      <c r="I82" s="65">
        <f t="shared" si="11"/>
        <v>1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1</v>
      </c>
      <c r="AA82" s="50"/>
      <c r="AB82" s="50"/>
      <c r="AC82" s="61">
        <f t="shared" si="18"/>
        <v>-1</v>
      </c>
      <c r="AD82" s="50"/>
      <c r="AE82" s="67">
        <f t="shared" si="19"/>
        <v>-1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5</v>
      </c>
      <c r="H83" s="52"/>
      <c r="I83" s="65">
        <f t="shared" si="11"/>
        <v>5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5</v>
      </c>
      <c r="AA83" s="50"/>
      <c r="AB83" s="50"/>
      <c r="AC83" s="61">
        <f t="shared" si="18"/>
        <v>-5</v>
      </c>
      <c r="AD83" s="50"/>
      <c r="AE83" s="67">
        <f t="shared" si="19"/>
        <v>-5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7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7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7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7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7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7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7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7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7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7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7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7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7">
        <f t="shared" si="19"/>
        <v>0</v>
      </c>
    </row>
    <row r="97" spans="2:3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7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7">
        <f t="shared" si="19"/>
        <v>0</v>
      </c>
    </row>
    <row r="99" spans="2:3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7">
        <f t="shared" si="19"/>
        <v>0</v>
      </c>
    </row>
    <row r="100" spans="2:31">
      <c r="B100" s="50">
        <v>1004062</v>
      </c>
      <c r="C100" s="53" t="s">
        <v>238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7">
        <f t="shared" si="19"/>
        <v>0</v>
      </c>
    </row>
    <row r="101" spans="2:31">
      <c r="B101" s="50">
        <v>1004051</v>
      </c>
      <c r="C101" s="53" t="s">
        <v>239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7">
        <f t="shared" si="19"/>
        <v>0</v>
      </c>
    </row>
    <row r="102" spans="2:31">
      <c r="B102" s="50">
        <v>1111005</v>
      </c>
      <c r="C102" s="53" t="s">
        <v>240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7">
        <f t="shared" si="19"/>
        <v>0</v>
      </c>
    </row>
    <row r="103" spans="2:31">
      <c r="B103" s="50">
        <v>1111006</v>
      </c>
      <c r="C103" s="53" t="s">
        <v>241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7">
        <f t="shared" si="19"/>
        <v>0</v>
      </c>
    </row>
    <row r="104" spans="2:31">
      <c r="B104" s="50">
        <v>1004048</v>
      </c>
      <c r="C104" s="53" t="s">
        <v>242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7">
        <f t="shared" si="19"/>
        <v>0</v>
      </c>
    </row>
    <row r="105" spans="2:31">
      <c r="B105" s="50">
        <v>1113157</v>
      </c>
      <c r="C105" s="53" t="s">
        <v>243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7">
        <f t="shared" si="19"/>
        <v>0</v>
      </c>
    </row>
    <row r="106" spans="2:31">
      <c r="B106" s="50">
        <v>1004080</v>
      </c>
      <c r="C106" s="53" t="s">
        <v>244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7">
        <f t="shared" si="19"/>
        <v>0</v>
      </c>
    </row>
    <row r="107" spans="2:31">
      <c r="B107" s="50">
        <v>1004081</v>
      </c>
      <c r="C107" s="53" t="s">
        <v>245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7">
        <f t="shared" si="19"/>
        <v>0</v>
      </c>
    </row>
    <row r="108" spans="2:31">
      <c r="B108" s="50">
        <v>3001200</v>
      </c>
      <c r="C108" s="53" t="s">
        <v>246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7">
        <f t="shared" si="19"/>
        <v>0</v>
      </c>
    </row>
    <row r="109" spans="2:31">
      <c r="B109" s="50">
        <v>1004047</v>
      </c>
      <c r="C109" s="53" t="s">
        <v>247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7">
        <f t="shared" si="19"/>
        <v>0</v>
      </c>
    </row>
    <row r="110" spans="2:31">
      <c r="B110" s="50">
        <v>1004070</v>
      </c>
      <c r="C110" s="53" t="s">
        <v>248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7">
        <f t="shared" si="19"/>
        <v>0</v>
      </c>
    </row>
    <row r="111" spans="2:31">
      <c r="B111" s="50">
        <v>1004076</v>
      </c>
      <c r="C111" s="53" t="s">
        <v>249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7">
        <f t="shared" si="19"/>
        <v>0</v>
      </c>
    </row>
    <row r="112" spans="2:31">
      <c r="B112" s="50">
        <v>1004050</v>
      </c>
      <c r="C112" s="53" t="s">
        <v>250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7">
        <f t="shared" si="19"/>
        <v>0</v>
      </c>
    </row>
    <row r="113" spans="2:31">
      <c r="B113" s="50">
        <v>1004048</v>
      </c>
      <c r="C113" s="53" t="s">
        <v>251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7">
        <f t="shared" si="19"/>
        <v>0</v>
      </c>
    </row>
    <row r="114" spans="2:31">
      <c r="B114" s="50">
        <v>1007020</v>
      </c>
      <c r="C114" s="53" t="s">
        <v>253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7">
        <f t="shared" si="19"/>
        <v>0</v>
      </c>
    </row>
    <row r="115" spans="2:31">
      <c r="B115" s="50">
        <v>1004063</v>
      </c>
      <c r="C115" s="53" t="s">
        <v>254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7">
        <f t="shared" si="19"/>
        <v>0</v>
      </c>
    </row>
    <row r="116" spans="2:31">
      <c r="B116" s="50">
        <v>1004065</v>
      </c>
      <c r="C116" s="53" t="s">
        <v>255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7">
        <f t="shared" si="19"/>
        <v>0</v>
      </c>
    </row>
    <row r="117" spans="2:31">
      <c r="B117" s="50">
        <v>1006982</v>
      </c>
      <c r="C117" s="53" t="s">
        <v>256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7">
        <f t="shared" si="19"/>
        <v>0</v>
      </c>
    </row>
    <row r="118" spans="2:31">
      <c r="B118" s="50">
        <v>1006000</v>
      </c>
      <c r="C118" s="53" t="s">
        <v>257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7">
        <f t="shared" si="19"/>
        <v>0</v>
      </c>
    </row>
    <row r="119" spans="2:31">
      <c r="B119" s="50">
        <v>1005998</v>
      </c>
      <c r="C119" s="53" t="s">
        <v>258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7">
        <f t="shared" si="19"/>
        <v>0</v>
      </c>
    </row>
    <row r="120" spans="2:31">
      <c r="B120" s="50">
        <v>1005995</v>
      </c>
      <c r="C120" s="53" t="s">
        <v>259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7">
        <f t="shared" si="19"/>
        <v>0</v>
      </c>
    </row>
    <row r="121" spans="2:3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7">
        <f t="shared" si="19"/>
        <v>0</v>
      </c>
    </row>
    <row r="122" spans="2:3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7"/>
    </row>
    <row r="123" spans="2:3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7"/>
    </row>
    <row r="124" spans="2:3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7"/>
    </row>
    <row r="125" spans="2:3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7"/>
    </row>
    <row r="126" spans="2:3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7"/>
    </row>
    <row r="127" spans="2:3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7"/>
    </row>
    <row r="128" spans="2:3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7"/>
    </row>
    <row r="129" spans="2:3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7"/>
    </row>
    <row r="130" spans="2:3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7"/>
    </row>
    <row r="131" spans="2:3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7"/>
    </row>
    <row r="132" spans="2:3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7"/>
    </row>
    <row r="133" spans="2:3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7"/>
    </row>
    <row r="134" spans="2:3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7"/>
    </row>
    <row r="135" spans="2:3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7"/>
    </row>
    <row r="136" spans="2:3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7"/>
    </row>
    <row r="137" spans="2:3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7"/>
    </row>
    <row r="138" spans="2:3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7"/>
    </row>
    <row r="139" spans="2:3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7"/>
    </row>
    <row r="140" spans="2:3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7"/>
    </row>
    <row r="141" spans="2:3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7"/>
    </row>
    <row r="142" spans="2:3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7"/>
    </row>
    <row r="143" spans="2:3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7"/>
    </row>
    <row r="144" spans="2:3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7"/>
    </row>
    <row r="145" spans="2:3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7"/>
    </row>
    <row r="146" spans="2:3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7"/>
    </row>
    <row r="147" spans="2:3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7"/>
    </row>
    <row r="148" spans="2:3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7"/>
    </row>
    <row r="149" spans="2:3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7"/>
    </row>
    <row r="150" spans="2:3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7"/>
    </row>
    <row r="151" spans="2:3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7">
        <f t="shared" ref="AE151:AE153" si="29">AC151+AD151</f>
        <v>0</v>
      </c>
    </row>
    <row r="152" spans="2:3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7">
        <f t="shared" si="29"/>
        <v>0</v>
      </c>
    </row>
    <row r="153" spans="2:3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7">
        <f t="shared" si="29"/>
        <v>0</v>
      </c>
    </row>
    <row r="154" spans="2:31" s="59" customFormat="1" ht="51.75">
      <c r="B154" s="97" t="s">
        <v>201</v>
      </c>
      <c r="C154" s="98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681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681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721</v>
      </c>
      <c r="H154" s="62">
        <f t="shared" si="31"/>
        <v>0</v>
      </c>
      <c r="I154" s="62">
        <f t="shared" si="31"/>
        <v>721</v>
      </c>
      <c r="J154" s="62">
        <f t="shared" si="31"/>
        <v>98</v>
      </c>
      <c r="K154" s="62">
        <f t="shared" si="31"/>
        <v>0</v>
      </c>
      <c r="L154" s="62">
        <f t="shared" si="31"/>
        <v>98</v>
      </c>
      <c r="M154" s="62">
        <f t="shared" si="31"/>
        <v>833</v>
      </c>
      <c r="N154" s="62">
        <f t="shared" si="31"/>
        <v>0</v>
      </c>
      <c r="O154" s="62">
        <f t="shared" si="31"/>
        <v>833</v>
      </c>
      <c r="P154" s="62">
        <f t="shared" si="31"/>
        <v>118</v>
      </c>
      <c r="Q154" s="62">
        <f t="shared" si="31"/>
        <v>0</v>
      </c>
      <c r="R154" s="62">
        <f t="shared" si="31"/>
        <v>118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0</v>
      </c>
      <c r="Z154" s="62">
        <f t="shared" si="31"/>
        <v>2451</v>
      </c>
      <c r="AA154" s="62">
        <f t="shared" si="31"/>
        <v>0</v>
      </c>
      <c r="AB154" s="62">
        <f t="shared" si="31"/>
        <v>0</v>
      </c>
      <c r="AC154" s="62">
        <f t="shared" si="31"/>
        <v>-2451</v>
      </c>
      <c r="AD154" s="62">
        <f t="shared" si="31"/>
        <v>0</v>
      </c>
      <c r="AE154" s="62">
        <f t="shared" si="31"/>
        <v>-2451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Y2:Y3"/>
    <mergeCell ref="Z2:Z3"/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2C5DA-AAD4-47F2-827D-3DE94529714F}">
  <sheetPr codeName="Sheet12">
    <pageSetUpPr fitToPage="1"/>
  </sheetPr>
  <dimension ref="B1:AE159"/>
  <sheetViews>
    <sheetView topLeftCell="B1" zoomScale="50" zoomScaleNormal="50" workbookViewId="0">
      <selection activeCell="N25" sqref="N25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5" width="14.28515625" style="56" customWidth="1"/>
    <col min="26" max="26" width="19.5703125" style="57" customWidth="1"/>
    <col min="27" max="30" width="20.7109375" style="48" hidden="1" customWidth="1"/>
    <col min="31" max="31" width="23.85546875" style="49" hidden="1" customWidth="1"/>
    <col min="32" max="32" width="22.7109375" style="49" customWidth="1"/>
    <col min="33" max="16384" width="8.85546875" style="49"/>
  </cols>
  <sheetData>
    <row r="1" spans="2:31" ht="68.25">
      <c r="B1" s="83" t="s">
        <v>216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</row>
    <row r="2" spans="2:31" ht="49.9" customHeight="1">
      <c r="B2" s="99" t="s">
        <v>3</v>
      </c>
      <c r="C2" s="99" t="s">
        <v>4</v>
      </c>
      <c r="D2" s="85" t="s">
        <v>5</v>
      </c>
      <c r="E2" s="86"/>
      <c r="F2" s="87"/>
      <c r="G2" s="85" t="s">
        <v>6</v>
      </c>
      <c r="H2" s="86"/>
      <c r="I2" s="87"/>
      <c r="J2" s="85" t="s">
        <v>7</v>
      </c>
      <c r="K2" s="86"/>
      <c r="L2" s="87"/>
      <c r="M2" s="85" t="s">
        <v>8</v>
      </c>
      <c r="N2" s="86"/>
      <c r="O2" s="87"/>
      <c r="P2" s="85" t="s">
        <v>132</v>
      </c>
      <c r="Q2" s="86"/>
      <c r="R2" s="87"/>
      <c r="S2" s="85" t="s">
        <v>9</v>
      </c>
      <c r="T2" s="86"/>
      <c r="U2" s="87"/>
      <c r="V2" s="88" t="s">
        <v>131</v>
      </c>
      <c r="W2" s="89"/>
      <c r="X2" s="90"/>
      <c r="Y2" s="101" t="s">
        <v>134</v>
      </c>
      <c r="Z2" s="103" t="s">
        <v>204</v>
      </c>
      <c r="AA2" s="91" t="s">
        <v>145</v>
      </c>
      <c r="AB2" s="91" t="s">
        <v>146</v>
      </c>
      <c r="AC2" s="95" t="s">
        <v>147</v>
      </c>
      <c r="AD2" s="93" t="s">
        <v>148</v>
      </c>
      <c r="AE2" s="82" t="s">
        <v>212</v>
      </c>
    </row>
    <row r="3" spans="2:31" ht="49.9" customHeight="1">
      <c r="B3" s="100"/>
      <c r="C3" s="100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102"/>
      <c r="Z3" s="104"/>
      <c r="AA3" s="92"/>
      <c r="AB3" s="92"/>
      <c r="AC3" s="96"/>
      <c r="AD3" s="94"/>
      <c r="AE3" s="82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>
        <v>6</v>
      </c>
      <c r="H4" s="52"/>
      <c r="I4" s="65">
        <f>SUM(G4:H4)</f>
        <v>6</v>
      </c>
      <c r="J4" s="52"/>
      <c r="K4" s="52"/>
      <c r="L4" s="65">
        <f>SUM(J4:K4)</f>
        <v>0</v>
      </c>
      <c r="M4" s="52">
        <v>54</v>
      </c>
      <c r="N4" s="52"/>
      <c r="O4" s="65">
        <f>SUM(M4:N4)</f>
        <v>54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>
        <v>10</v>
      </c>
      <c r="Z4" s="63">
        <f>+F4+I4+L4+O4+R4+U4+X4+Y4</f>
        <v>70</v>
      </c>
      <c r="AA4" s="50">
        <v>70</v>
      </c>
      <c r="AB4" s="50">
        <v>43</v>
      </c>
      <c r="AC4" s="61">
        <f>+AA4+AB4-Z4</f>
        <v>43</v>
      </c>
      <c r="AD4" s="50">
        <v>60</v>
      </c>
      <c r="AE4" s="67">
        <f>AC4+AD4</f>
        <v>103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72</v>
      </c>
      <c r="H5" s="52"/>
      <c r="I5" s="65">
        <f t="shared" ref="I5:I68" si="1">SUM(G5:H5)</f>
        <v>72</v>
      </c>
      <c r="J5" s="52">
        <v>22</v>
      </c>
      <c r="K5" s="52"/>
      <c r="L5" s="65">
        <f t="shared" ref="L5:L68" si="2">SUM(J5:K5)</f>
        <v>22</v>
      </c>
      <c r="M5" s="52">
        <v>7</v>
      </c>
      <c r="N5" s="52"/>
      <c r="O5" s="65">
        <f t="shared" ref="O5:O68" si="3">SUM(M5:N5)</f>
        <v>7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15</v>
      </c>
      <c r="Z5" s="63">
        <f t="shared" ref="Z5:Z68" si="7">+F5+I5+L5+O5+R5+U5+X5+Y5</f>
        <v>116</v>
      </c>
      <c r="AA5" s="58">
        <v>95</v>
      </c>
      <c r="AB5" s="58">
        <v>12</v>
      </c>
      <c r="AC5" s="61">
        <f t="shared" ref="AC5:AC68" si="8">+AA5+AB5-Z5</f>
        <v>-9</v>
      </c>
      <c r="AD5" s="58">
        <v>80</v>
      </c>
      <c r="AE5" s="67">
        <f t="shared" ref="AE5:AE68" si="9">AC5+AD5</f>
        <v>71</v>
      </c>
    </row>
    <row r="6" spans="2:31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7">
        <f t="shared" si="9"/>
        <v>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7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7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32</v>
      </c>
      <c r="H9" s="52"/>
      <c r="I9" s="65">
        <f t="shared" si="1"/>
        <v>32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32</v>
      </c>
      <c r="AA9" s="50"/>
      <c r="AB9" s="50"/>
      <c r="AC9" s="61">
        <f t="shared" si="8"/>
        <v>-32</v>
      </c>
      <c r="AD9" s="50"/>
      <c r="AE9" s="67">
        <f t="shared" si="9"/>
        <v>-32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>
        <v>32</v>
      </c>
      <c r="H10" s="52"/>
      <c r="I10" s="65">
        <f t="shared" si="1"/>
        <v>32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32</v>
      </c>
      <c r="AA10" s="50"/>
      <c r="AB10" s="50"/>
      <c r="AC10" s="61">
        <f t="shared" si="8"/>
        <v>-32</v>
      </c>
      <c r="AD10" s="50"/>
      <c r="AE10" s="67">
        <f t="shared" si="9"/>
        <v>-32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32</v>
      </c>
      <c r="H11" s="52"/>
      <c r="I11" s="65">
        <f t="shared" si="1"/>
        <v>32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32</v>
      </c>
      <c r="AA11" s="50"/>
      <c r="AB11" s="50"/>
      <c r="AC11" s="61">
        <f t="shared" si="8"/>
        <v>-32</v>
      </c>
      <c r="AD11" s="50"/>
      <c r="AE11" s="67">
        <f t="shared" si="9"/>
        <v>-32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32</v>
      </c>
      <c r="H12" s="52"/>
      <c r="I12" s="65">
        <f t="shared" si="1"/>
        <v>32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32</v>
      </c>
      <c r="AA12" s="50"/>
      <c r="AB12" s="50"/>
      <c r="AC12" s="61">
        <f t="shared" si="8"/>
        <v>-32</v>
      </c>
      <c r="AD12" s="50"/>
      <c r="AE12" s="67">
        <f t="shared" si="9"/>
        <v>-32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32</v>
      </c>
      <c r="H13" s="52"/>
      <c r="I13" s="65">
        <f t="shared" si="1"/>
        <v>32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32</v>
      </c>
      <c r="AA13" s="50"/>
      <c r="AB13" s="50"/>
      <c r="AC13" s="61">
        <f t="shared" si="8"/>
        <v>-32</v>
      </c>
      <c r="AD13" s="50"/>
      <c r="AE13" s="67">
        <f t="shared" si="9"/>
        <v>-32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32</v>
      </c>
      <c r="H14" s="52"/>
      <c r="I14" s="65">
        <f t="shared" si="1"/>
        <v>32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32</v>
      </c>
      <c r="AA14" s="50"/>
      <c r="AB14" s="50"/>
      <c r="AC14" s="61">
        <f t="shared" si="8"/>
        <v>-32</v>
      </c>
      <c r="AD14" s="50"/>
      <c r="AE14" s="67">
        <f t="shared" si="9"/>
        <v>-32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32</v>
      </c>
      <c r="H15" s="52"/>
      <c r="I15" s="65">
        <f t="shared" si="1"/>
        <v>32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32</v>
      </c>
      <c r="AA15" s="50"/>
      <c r="AB15" s="50"/>
      <c r="AC15" s="61">
        <f t="shared" si="8"/>
        <v>-32</v>
      </c>
      <c r="AD15" s="50"/>
      <c r="AE15" s="67">
        <f t="shared" si="9"/>
        <v>-32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31</v>
      </c>
      <c r="H16" s="52"/>
      <c r="I16" s="65">
        <f t="shared" si="1"/>
        <v>31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31</v>
      </c>
      <c r="AA16" s="50"/>
      <c r="AB16" s="50"/>
      <c r="AC16" s="61">
        <f t="shared" si="8"/>
        <v>-31</v>
      </c>
      <c r="AD16" s="50"/>
      <c r="AE16" s="67">
        <f t="shared" si="9"/>
        <v>-31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31</v>
      </c>
      <c r="H17" s="52"/>
      <c r="I17" s="65">
        <f t="shared" si="1"/>
        <v>31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31</v>
      </c>
      <c r="AA17" s="50"/>
      <c r="AB17" s="50"/>
      <c r="AC17" s="61">
        <f t="shared" si="8"/>
        <v>-31</v>
      </c>
      <c r="AD17" s="50"/>
      <c r="AE17" s="67">
        <f t="shared" si="9"/>
        <v>-31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31</v>
      </c>
      <c r="H18" s="52"/>
      <c r="I18" s="65">
        <f t="shared" si="1"/>
        <v>31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31</v>
      </c>
      <c r="AA18" s="50"/>
      <c r="AB18" s="50"/>
      <c r="AC18" s="61">
        <f t="shared" si="8"/>
        <v>-31</v>
      </c>
      <c r="AD18" s="50"/>
      <c r="AE18" s="67">
        <f t="shared" si="9"/>
        <v>-31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31</v>
      </c>
      <c r="H19" s="52"/>
      <c r="I19" s="65">
        <f t="shared" si="1"/>
        <v>31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31</v>
      </c>
      <c r="AA19" s="50"/>
      <c r="AB19" s="50"/>
      <c r="AC19" s="61">
        <f t="shared" si="8"/>
        <v>-31</v>
      </c>
      <c r="AD19" s="50"/>
      <c r="AE19" s="67">
        <f t="shared" si="9"/>
        <v>-31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>
        <v>31</v>
      </c>
      <c r="H20" s="52"/>
      <c r="I20" s="65">
        <f t="shared" si="1"/>
        <v>31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31</v>
      </c>
      <c r="AA20" s="50"/>
      <c r="AB20" s="50"/>
      <c r="AC20" s="61">
        <f t="shared" si="8"/>
        <v>-31</v>
      </c>
      <c r="AD20" s="50"/>
      <c r="AE20" s="67">
        <f t="shared" si="9"/>
        <v>-31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>
        <v>31</v>
      </c>
      <c r="H21" s="52"/>
      <c r="I21" s="65">
        <f t="shared" si="1"/>
        <v>31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31</v>
      </c>
      <c r="AA21" s="50"/>
      <c r="AB21" s="50"/>
      <c r="AC21" s="61">
        <f t="shared" si="8"/>
        <v>-31</v>
      </c>
      <c r="AD21" s="50"/>
      <c r="AE21" s="67">
        <f t="shared" si="9"/>
        <v>-31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7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7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7">
        <f t="shared" si="9"/>
        <v>0</v>
      </c>
    </row>
    <row r="25" spans="2:31">
      <c r="B25" s="50">
        <v>1111008</v>
      </c>
      <c r="C25" s="51" t="s">
        <v>156</v>
      </c>
      <c r="D25" s="52"/>
      <c r="E25" s="52"/>
      <c r="F25" s="65">
        <f t="shared" si="0"/>
        <v>0</v>
      </c>
      <c r="G25" s="52">
        <v>9</v>
      </c>
      <c r="H25" s="52"/>
      <c r="I25" s="65">
        <f t="shared" si="1"/>
        <v>9</v>
      </c>
      <c r="J25" s="52"/>
      <c r="K25" s="52"/>
      <c r="L25" s="65">
        <f t="shared" si="2"/>
        <v>0</v>
      </c>
      <c r="M25" s="52">
        <v>24</v>
      </c>
      <c r="N25" s="52"/>
      <c r="O25" s="65">
        <f t="shared" si="3"/>
        <v>24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33</v>
      </c>
      <c r="AA25" s="50">
        <v>73</v>
      </c>
      <c r="AB25" s="50"/>
      <c r="AC25" s="61">
        <f t="shared" si="8"/>
        <v>40</v>
      </c>
      <c r="AD25" s="50">
        <v>50</v>
      </c>
      <c r="AE25" s="67">
        <f t="shared" si="9"/>
        <v>90</v>
      </c>
    </row>
    <row r="26" spans="2:31">
      <c r="B26" s="50">
        <v>1111009</v>
      </c>
      <c r="C26" s="51" t="s">
        <v>157</v>
      </c>
      <c r="D26" s="52"/>
      <c r="E26" s="52"/>
      <c r="F26" s="65">
        <f t="shared" si="0"/>
        <v>0</v>
      </c>
      <c r="G26" s="52">
        <v>16</v>
      </c>
      <c r="H26" s="52"/>
      <c r="I26" s="65">
        <f t="shared" si="1"/>
        <v>16</v>
      </c>
      <c r="J26" s="52">
        <v>10</v>
      </c>
      <c r="K26" s="52"/>
      <c r="L26" s="65">
        <f t="shared" si="2"/>
        <v>10</v>
      </c>
      <c r="M26" s="52">
        <v>1</v>
      </c>
      <c r="N26" s="52"/>
      <c r="O26" s="65">
        <f t="shared" si="3"/>
        <v>1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27</v>
      </c>
      <c r="AA26" s="50">
        <v>80</v>
      </c>
      <c r="AB26" s="50"/>
      <c r="AC26" s="61">
        <f t="shared" si="8"/>
        <v>53</v>
      </c>
      <c r="AD26" s="50">
        <v>50</v>
      </c>
      <c r="AE26" s="67">
        <f t="shared" si="9"/>
        <v>103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7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7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7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7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7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7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7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7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7">
        <f t="shared" si="9"/>
        <v>0</v>
      </c>
    </row>
    <row r="36" spans="2:31" hidden="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7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7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7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7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7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5</v>
      </c>
      <c r="H41" s="52"/>
      <c r="I41" s="65">
        <f t="shared" si="1"/>
        <v>5</v>
      </c>
      <c r="J41" s="52"/>
      <c r="K41" s="52"/>
      <c r="L41" s="65">
        <f t="shared" si="2"/>
        <v>0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5</v>
      </c>
      <c r="AA41" s="50">
        <v>15</v>
      </c>
      <c r="AB41" s="50">
        <v>8</v>
      </c>
      <c r="AC41" s="61">
        <f t="shared" si="8"/>
        <v>18</v>
      </c>
      <c r="AD41" s="50">
        <v>10</v>
      </c>
      <c r="AE41" s="67">
        <f t="shared" si="9"/>
        <v>28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20</v>
      </c>
      <c r="H42" s="52"/>
      <c r="I42" s="65">
        <f t="shared" si="1"/>
        <v>20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20</v>
      </c>
      <c r="AA42" s="50"/>
      <c r="AB42" s="50"/>
      <c r="AC42" s="61">
        <f t="shared" si="8"/>
        <v>-20</v>
      </c>
      <c r="AD42" s="50"/>
      <c r="AE42" s="67">
        <f t="shared" si="9"/>
        <v>-20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20</v>
      </c>
      <c r="H43" s="52"/>
      <c r="I43" s="65">
        <f t="shared" si="1"/>
        <v>20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20</v>
      </c>
      <c r="AA43" s="50"/>
      <c r="AB43" s="50"/>
      <c r="AC43" s="61">
        <f t="shared" si="8"/>
        <v>-20</v>
      </c>
      <c r="AD43" s="50"/>
      <c r="AE43" s="67">
        <f t="shared" si="9"/>
        <v>-20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20</v>
      </c>
      <c r="H44" s="52"/>
      <c r="I44" s="65">
        <f t="shared" si="1"/>
        <v>20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20</v>
      </c>
      <c r="AA44" s="50"/>
      <c r="AB44" s="50"/>
      <c r="AC44" s="61">
        <f t="shared" si="8"/>
        <v>-20</v>
      </c>
      <c r="AD44" s="50"/>
      <c r="AE44" s="67">
        <f t="shared" si="9"/>
        <v>-20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20</v>
      </c>
      <c r="H45" s="52"/>
      <c r="I45" s="65">
        <f t="shared" si="1"/>
        <v>20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20</v>
      </c>
      <c r="AA45" s="50"/>
      <c r="AB45" s="50"/>
      <c r="AC45" s="61">
        <f t="shared" si="8"/>
        <v>-20</v>
      </c>
      <c r="AD45" s="50"/>
      <c r="AE45" s="67">
        <f t="shared" si="9"/>
        <v>-20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20</v>
      </c>
      <c r="H46" s="52"/>
      <c r="I46" s="65">
        <f t="shared" si="1"/>
        <v>20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20</v>
      </c>
      <c r="AA46" s="50"/>
      <c r="AB46" s="50"/>
      <c r="AC46" s="61">
        <f t="shared" si="8"/>
        <v>-20</v>
      </c>
      <c r="AD46" s="50"/>
      <c r="AE46" s="67">
        <f t="shared" si="9"/>
        <v>-20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20</v>
      </c>
      <c r="H47" s="52"/>
      <c r="I47" s="65">
        <f t="shared" si="1"/>
        <v>20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20</v>
      </c>
      <c r="AA47" s="50"/>
      <c r="AB47" s="50"/>
      <c r="AC47" s="61">
        <f t="shared" si="8"/>
        <v>-20</v>
      </c>
      <c r="AD47" s="50"/>
      <c r="AE47" s="67">
        <f t="shared" si="9"/>
        <v>-20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20</v>
      </c>
      <c r="H48" s="52"/>
      <c r="I48" s="65">
        <f t="shared" si="1"/>
        <v>20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20</v>
      </c>
      <c r="AA48" s="50"/>
      <c r="AB48" s="50"/>
      <c r="AC48" s="61">
        <f t="shared" si="8"/>
        <v>-20</v>
      </c>
      <c r="AD48" s="50"/>
      <c r="AE48" s="67">
        <f t="shared" si="9"/>
        <v>-20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20</v>
      </c>
      <c r="H49" s="52"/>
      <c r="I49" s="65">
        <f t="shared" si="1"/>
        <v>20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20</v>
      </c>
      <c r="AA49" s="50"/>
      <c r="AB49" s="50"/>
      <c r="AC49" s="61">
        <f t="shared" si="8"/>
        <v>-20</v>
      </c>
      <c r="AD49" s="50"/>
      <c r="AE49" s="67">
        <f t="shared" si="9"/>
        <v>-20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20</v>
      </c>
      <c r="H50" s="52"/>
      <c r="I50" s="65">
        <f t="shared" si="1"/>
        <v>20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20</v>
      </c>
      <c r="AA50" s="50"/>
      <c r="AB50" s="50"/>
      <c r="AC50" s="61">
        <f t="shared" si="8"/>
        <v>-20</v>
      </c>
      <c r="AD50" s="50"/>
      <c r="AE50" s="67">
        <f t="shared" si="9"/>
        <v>-20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20</v>
      </c>
      <c r="H51" s="52"/>
      <c r="I51" s="65">
        <f t="shared" si="1"/>
        <v>20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20</v>
      </c>
      <c r="AA51" s="50"/>
      <c r="AB51" s="50"/>
      <c r="AC51" s="61">
        <f t="shared" si="8"/>
        <v>-20</v>
      </c>
      <c r="AD51" s="50"/>
      <c r="AE51" s="67">
        <f t="shared" si="9"/>
        <v>-20</v>
      </c>
    </row>
    <row r="52" spans="2:31" hidden="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7">
        <f t="shared" si="9"/>
        <v>0</v>
      </c>
    </row>
    <row r="53" spans="2:31">
      <c r="B53" s="50">
        <v>1112003</v>
      </c>
      <c r="C53" s="51" t="s">
        <v>174</v>
      </c>
      <c r="D53" s="52">
        <v>27</v>
      </c>
      <c r="E53" s="71">
        <v>3</v>
      </c>
      <c r="F53" s="65">
        <f t="shared" si="0"/>
        <v>30</v>
      </c>
      <c r="G53" s="52">
        <v>2</v>
      </c>
      <c r="H53" s="52"/>
      <c r="I53" s="65">
        <f t="shared" si="1"/>
        <v>2</v>
      </c>
      <c r="J53" s="52"/>
      <c r="K53" s="52"/>
      <c r="L53" s="65">
        <f t="shared" si="2"/>
        <v>0</v>
      </c>
      <c r="M53" s="52">
        <v>31</v>
      </c>
      <c r="N53" s="52"/>
      <c r="O53" s="65">
        <f t="shared" si="3"/>
        <v>31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63</v>
      </c>
      <c r="AA53" s="50">
        <v>110</v>
      </c>
      <c r="AB53" s="50">
        <v>17</v>
      </c>
      <c r="AC53" s="61">
        <f t="shared" si="8"/>
        <v>64</v>
      </c>
      <c r="AD53" s="50">
        <v>50</v>
      </c>
      <c r="AE53" s="67">
        <f t="shared" si="9"/>
        <v>114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>
        <v>15</v>
      </c>
      <c r="Z54" s="63">
        <f t="shared" si="7"/>
        <v>15</v>
      </c>
      <c r="AA54" s="50">
        <v>15</v>
      </c>
      <c r="AB54" s="50"/>
      <c r="AC54" s="61">
        <f t="shared" si="8"/>
        <v>0</v>
      </c>
      <c r="AD54" s="50"/>
      <c r="AE54" s="67">
        <f t="shared" si="9"/>
        <v>0</v>
      </c>
    </row>
    <row r="55" spans="2:31">
      <c r="B55" s="50">
        <v>1112005</v>
      </c>
      <c r="C55" s="51" t="s">
        <v>176</v>
      </c>
      <c r="D55" s="52">
        <v>30</v>
      </c>
      <c r="E55" s="71">
        <v>3</v>
      </c>
      <c r="F55" s="65">
        <f t="shared" si="0"/>
        <v>33</v>
      </c>
      <c r="G55" s="52">
        <v>2</v>
      </c>
      <c r="H55" s="52"/>
      <c r="I55" s="65">
        <f t="shared" si="1"/>
        <v>2</v>
      </c>
      <c r="J55" s="52"/>
      <c r="K55" s="52"/>
      <c r="L55" s="65">
        <f t="shared" si="2"/>
        <v>0</v>
      </c>
      <c r="M55" s="52">
        <v>29</v>
      </c>
      <c r="N55" s="52"/>
      <c r="O55" s="65">
        <f t="shared" si="3"/>
        <v>29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64</v>
      </c>
      <c r="AA55" s="50">
        <v>80</v>
      </c>
      <c r="AB55" s="50">
        <v>51</v>
      </c>
      <c r="AC55" s="61">
        <f t="shared" si="8"/>
        <v>67</v>
      </c>
      <c r="AD55" s="50">
        <v>50</v>
      </c>
      <c r="AE55" s="67">
        <f t="shared" si="9"/>
        <v>117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7">
        <f t="shared" si="9"/>
        <v>0</v>
      </c>
    </row>
    <row r="57" spans="2:31">
      <c r="B57" s="50">
        <v>1112009</v>
      </c>
      <c r="C57" s="51" t="s">
        <v>178</v>
      </c>
      <c r="D57" s="52">
        <v>28</v>
      </c>
      <c r="E57" s="71">
        <v>3</v>
      </c>
      <c r="F57" s="65">
        <f t="shared" si="0"/>
        <v>31</v>
      </c>
      <c r="G57" s="52">
        <v>2</v>
      </c>
      <c r="H57" s="52"/>
      <c r="I57" s="65">
        <f t="shared" si="1"/>
        <v>2</v>
      </c>
      <c r="J57" s="52"/>
      <c r="K57" s="52"/>
      <c r="L57" s="65">
        <f t="shared" si="2"/>
        <v>0</v>
      </c>
      <c r="M57" s="52">
        <v>30</v>
      </c>
      <c r="N57" s="52"/>
      <c r="O57" s="65">
        <f t="shared" si="3"/>
        <v>30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>
        <v>5</v>
      </c>
      <c r="Z57" s="63">
        <f t="shared" si="7"/>
        <v>68</v>
      </c>
      <c r="AA57" s="50">
        <v>72</v>
      </c>
      <c r="AB57" s="50">
        <v>43</v>
      </c>
      <c r="AC57" s="61">
        <f t="shared" si="8"/>
        <v>47</v>
      </c>
      <c r="AD57" s="50">
        <v>50</v>
      </c>
      <c r="AE57" s="67">
        <f t="shared" si="9"/>
        <v>97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7">
        <f t="shared" si="9"/>
        <v>0</v>
      </c>
    </row>
    <row r="59" spans="2:31">
      <c r="B59" s="50">
        <v>1112011</v>
      </c>
      <c r="C59" s="51" t="s">
        <v>180</v>
      </c>
      <c r="D59" s="52">
        <v>29</v>
      </c>
      <c r="E59" s="71">
        <v>3</v>
      </c>
      <c r="F59" s="65">
        <f t="shared" si="0"/>
        <v>32</v>
      </c>
      <c r="G59" s="52">
        <v>2</v>
      </c>
      <c r="H59" s="52"/>
      <c r="I59" s="65">
        <f t="shared" si="1"/>
        <v>2</v>
      </c>
      <c r="J59" s="52">
        <v>6</v>
      </c>
      <c r="K59" s="52"/>
      <c r="L59" s="65">
        <f t="shared" si="2"/>
        <v>6</v>
      </c>
      <c r="M59" s="52">
        <v>29</v>
      </c>
      <c r="N59" s="52"/>
      <c r="O59" s="65">
        <f t="shared" si="3"/>
        <v>29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>
        <v>5</v>
      </c>
      <c r="Z59" s="63">
        <f t="shared" si="7"/>
        <v>74</v>
      </c>
      <c r="AA59" s="50">
        <v>71</v>
      </c>
      <c r="AB59" s="50">
        <v>62</v>
      </c>
      <c r="AC59" s="61">
        <f t="shared" si="8"/>
        <v>59</v>
      </c>
      <c r="AD59" s="50">
        <v>50</v>
      </c>
      <c r="AE59" s="67">
        <f t="shared" si="9"/>
        <v>109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7">
        <f t="shared" si="9"/>
        <v>0</v>
      </c>
    </row>
    <row r="61" spans="2:31">
      <c r="B61" s="50">
        <v>1112013</v>
      </c>
      <c r="C61" s="51" t="s">
        <v>182</v>
      </c>
      <c r="D61" s="52">
        <v>32</v>
      </c>
      <c r="E61" s="71">
        <v>3</v>
      </c>
      <c r="F61" s="65">
        <f t="shared" si="0"/>
        <v>35</v>
      </c>
      <c r="G61" s="52">
        <v>2</v>
      </c>
      <c r="H61" s="52"/>
      <c r="I61" s="65">
        <f t="shared" si="1"/>
        <v>2</v>
      </c>
      <c r="J61" s="52"/>
      <c r="K61" s="52"/>
      <c r="L61" s="65">
        <f t="shared" si="2"/>
        <v>0</v>
      </c>
      <c r="M61" s="52">
        <v>29</v>
      </c>
      <c r="N61" s="52"/>
      <c r="O61" s="65">
        <f t="shared" si="3"/>
        <v>29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>
        <v>5</v>
      </c>
      <c r="Z61" s="63">
        <f t="shared" si="7"/>
        <v>71</v>
      </c>
      <c r="AA61" s="50">
        <v>73</v>
      </c>
      <c r="AB61" s="50">
        <v>28</v>
      </c>
      <c r="AC61" s="61">
        <f t="shared" si="8"/>
        <v>30</v>
      </c>
      <c r="AD61" s="50">
        <v>50</v>
      </c>
      <c r="AE61" s="67">
        <f t="shared" si="9"/>
        <v>80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7">
        <f t="shared" si="9"/>
        <v>0</v>
      </c>
    </row>
    <row r="63" spans="2:31">
      <c r="B63" s="50">
        <v>1112015</v>
      </c>
      <c r="C63" s="51" t="s">
        <v>184</v>
      </c>
      <c r="D63" s="52">
        <v>25</v>
      </c>
      <c r="E63" s="71">
        <v>3</v>
      </c>
      <c r="F63" s="65">
        <f t="shared" si="0"/>
        <v>28</v>
      </c>
      <c r="G63" s="52">
        <v>6</v>
      </c>
      <c r="H63" s="52"/>
      <c r="I63" s="65">
        <f t="shared" si="1"/>
        <v>6</v>
      </c>
      <c r="J63" s="52"/>
      <c r="K63" s="52"/>
      <c r="L63" s="65">
        <f t="shared" si="2"/>
        <v>0</v>
      </c>
      <c r="M63" s="52">
        <v>29</v>
      </c>
      <c r="N63" s="52"/>
      <c r="O63" s="65">
        <f t="shared" si="3"/>
        <v>29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63</v>
      </c>
      <c r="AA63" s="50">
        <v>50</v>
      </c>
      <c r="AB63" s="50">
        <v>47</v>
      </c>
      <c r="AC63" s="61">
        <f t="shared" si="8"/>
        <v>34</v>
      </c>
      <c r="AD63" s="50">
        <v>50</v>
      </c>
      <c r="AE63" s="67">
        <f t="shared" si="9"/>
        <v>84</v>
      </c>
    </row>
    <row r="64" spans="2:31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7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7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7">
        <f t="shared" si="9"/>
        <v>0</v>
      </c>
    </row>
    <row r="67" spans="2:31">
      <c r="B67" s="50">
        <v>1114501</v>
      </c>
      <c r="C67" s="53" t="s">
        <v>187</v>
      </c>
      <c r="D67" s="52">
        <v>3</v>
      </c>
      <c r="E67" s="52"/>
      <c r="F67" s="65">
        <f t="shared" si="0"/>
        <v>3</v>
      </c>
      <c r="G67" s="52">
        <v>23</v>
      </c>
      <c r="H67" s="52"/>
      <c r="I67" s="65">
        <f t="shared" si="1"/>
        <v>23</v>
      </c>
      <c r="J67" s="52">
        <v>13</v>
      </c>
      <c r="K67" s="52"/>
      <c r="L67" s="65">
        <f t="shared" si="2"/>
        <v>13</v>
      </c>
      <c r="M67" s="52">
        <v>126</v>
      </c>
      <c r="N67" s="52"/>
      <c r="O67" s="65">
        <f t="shared" si="3"/>
        <v>126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165</v>
      </c>
      <c r="AA67" s="50">
        <v>252</v>
      </c>
      <c r="AB67" s="50">
        <v>92</v>
      </c>
      <c r="AC67" s="61">
        <f t="shared" si="8"/>
        <v>179</v>
      </c>
      <c r="AD67" s="50">
        <v>300</v>
      </c>
      <c r="AE67" s="67">
        <f t="shared" si="9"/>
        <v>479</v>
      </c>
    </row>
    <row r="68" spans="2:31">
      <c r="B68" s="50">
        <v>1114502</v>
      </c>
      <c r="C68" s="53" t="s">
        <v>188</v>
      </c>
      <c r="D68" s="52">
        <v>3</v>
      </c>
      <c r="E68" s="52"/>
      <c r="F68" s="65">
        <f t="shared" si="0"/>
        <v>3</v>
      </c>
      <c r="G68" s="52">
        <v>2</v>
      </c>
      <c r="H68" s="52"/>
      <c r="I68" s="65">
        <f t="shared" si="1"/>
        <v>2</v>
      </c>
      <c r="J68" s="52">
        <v>9</v>
      </c>
      <c r="K68" s="52"/>
      <c r="L68" s="65">
        <f t="shared" si="2"/>
        <v>9</v>
      </c>
      <c r="M68" s="52">
        <v>117</v>
      </c>
      <c r="N68" s="52"/>
      <c r="O68" s="65">
        <f t="shared" si="3"/>
        <v>117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131</v>
      </c>
      <c r="AA68" s="50">
        <v>185</v>
      </c>
      <c r="AB68" s="50"/>
      <c r="AC68" s="61">
        <f t="shared" si="8"/>
        <v>54</v>
      </c>
      <c r="AD68" s="50">
        <v>210</v>
      </c>
      <c r="AE68" s="67">
        <f t="shared" si="9"/>
        <v>264</v>
      </c>
    </row>
    <row r="69" spans="2:31">
      <c r="B69" s="50">
        <v>1114503</v>
      </c>
      <c r="C69" s="53" t="s">
        <v>189</v>
      </c>
      <c r="D69" s="52">
        <v>3</v>
      </c>
      <c r="E69" s="52"/>
      <c r="F69" s="65">
        <f t="shared" ref="F69:F132" si="10">SUM(D69:E69)</f>
        <v>3</v>
      </c>
      <c r="G69" s="52">
        <v>2</v>
      </c>
      <c r="H69" s="52"/>
      <c r="I69" s="65">
        <f t="shared" ref="I69:I121" si="11">SUM(G69:H69)</f>
        <v>2</v>
      </c>
      <c r="J69" s="52">
        <v>9</v>
      </c>
      <c r="K69" s="52"/>
      <c r="L69" s="65">
        <f t="shared" ref="L69:L121" si="12">SUM(J69:K69)</f>
        <v>9</v>
      </c>
      <c r="M69" s="52">
        <v>117</v>
      </c>
      <c r="N69" s="52"/>
      <c r="O69" s="65">
        <f t="shared" ref="O69:O121" si="13">SUM(M69:N69)</f>
        <v>117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131</v>
      </c>
      <c r="AA69" s="50">
        <v>209</v>
      </c>
      <c r="AB69" s="50"/>
      <c r="AC69" s="61">
        <f t="shared" ref="AC69:AC121" si="18">+AA69+AB69-Z69</f>
        <v>78</v>
      </c>
      <c r="AD69" s="50">
        <v>210</v>
      </c>
      <c r="AE69" s="67">
        <f t="shared" ref="AE69:AE121" si="19">AC69+AD69</f>
        <v>288</v>
      </c>
    </row>
    <row r="70" spans="2:31">
      <c r="B70" s="50">
        <v>1124021</v>
      </c>
      <c r="C70" s="53" t="s">
        <v>190</v>
      </c>
      <c r="D70" s="52">
        <v>14</v>
      </c>
      <c r="E70" s="52"/>
      <c r="F70" s="65">
        <f t="shared" si="10"/>
        <v>14</v>
      </c>
      <c r="G70" s="52">
        <v>14</v>
      </c>
      <c r="H70" s="52"/>
      <c r="I70" s="65">
        <f t="shared" si="11"/>
        <v>14</v>
      </c>
      <c r="J70" s="52">
        <v>12</v>
      </c>
      <c r="K70" s="52"/>
      <c r="L70" s="65">
        <f t="shared" si="12"/>
        <v>12</v>
      </c>
      <c r="M70" s="52">
        <v>14</v>
      </c>
      <c r="N70" s="52"/>
      <c r="O70" s="65">
        <f t="shared" si="13"/>
        <v>14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54</v>
      </c>
      <c r="AA70" s="50">
        <v>70</v>
      </c>
      <c r="AB70" s="50">
        <v>32</v>
      </c>
      <c r="AC70" s="61">
        <f t="shared" si="18"/>
        <v>48</v>
      </c>
      <c r="AD70" s="50">
        <v>70</v>
      </c>
      <c r="AE70" s="67">
        <f t="shared" si="19"/>
        <v>118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7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7">
        <f t="shared" si="19"/>
        <v>0</v>
      </c>
    </row>
    <row r="73" spans="2:31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7">
        <f t="shared" si="19"/>
        <v>0</v>
      </c>
    </row>
    <row r="74" spans="2:31" hidden="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7">
        <f t="shared" si="19"/>
        <v>0</v>
      </c>
    </row>
    <row r="75" spans="2:31">
      <c r="B75" s="50">
        <v>1113170</v>
      </c>
      <c r="C75" s="53" t="s">
        <v>87</v>
      </c>
      <c r="D75" s="52">
        <v>9</v>
      </c>
      <c r="E75" s="52"/>
      <c r="F75" s="65">
        <f t="shared" si="10"/>
        <v>9</v>
      </c>
      <c r="G75" s="52">
        <v>1</v>
      </c>
      <c r="H75" s="52"/>
      <c r="I75" s="65">
        <f t="shared" si="11"/>
        <v>1</v>
      </c>
      <c r="J75" s="52">
        <v>3</v>
      </c>
      <c r="K75" s="52"/>
      <c r="L75" s="65">
        <f t="shared" si="12"/>
        <v>3</v>
      </c>
      <c r="M75" s="52"/>
      <c r="N75" s="52"/>
      <c r="O75" s="65">
        <f t="shared" si="13"/>
        <v>0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13</v>
      </c>
      <c r="AA75" s="50"/>
      <c r="AB75" s="50">
        <v>26</v>
      </c>
      <c r="AC75" s="61">
        <f t="shared" si="18"/>
        <v>13</v>
      </c>
      <c r="AD75" s="50"/>
      <c r="AE75" s="67">
        <f t="shared" si="19"/>
        <v>13</v>
      </c>
    </row>
    <row r="76" spans="2:31" hidden="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/>
      <c r="AC76" s="61">
        <f t="shared" si="18"/>
        <v>0</v>
      </c>
      <c r="AD76" s="50"/>
      <c r="AE76" s="67">
        <f t="shared" si="19"/>
        <v>0</v>
      </c>
    </row>
    <row r="77" spans="2:31" hidden="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7">
        <f t="shared" si="19"/>
        <v>0</v>
      </c>
    </row>
    <row r="78" spans="2:31" hidden="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7">
        <f t="shared" si="19"/>
        <v>0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>
        <v>5</v>
      </c>
      <c r="Z79" s="63">
        <f t="shared" si="17"/>
        <v>5</v>
      </c>
      <c r="AA79" s="50">
        <v>5</v>
      </c>
      <c r="AB79" s="50"/>
      <c r="AC79" s="61">
        <f t="shared" si="18"/>
        <v>0</v>
      </c>
      <c r="AD79" s="50"/>
      <c r="AE79" s="67">
        <f t="shared" si="19"/>
        <v>0</v>
      </c>
    </row>
    <row r="80" spans="2:31" hidden="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7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7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1</v>
      </c>
      <c r="H82" s="52"/>
      <c r="I82" s="65">
        <f t="shared" si="11"/>
        <v>1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1</v>
      </c>
      <c r="AA82" s="50"/>
      <c r="AB82" s="50"/>
      <c r="AC82" s="61">
        <f t="shared" si="18"/>
        <v>-1</v>
      </c>
      <c r="AD82" s="50"/>
      <c r="AE82" s="67">
        <f t="shared" si="19"/>
        <v>-1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3</v>
      </c>
      <c r="H83" s="52"/>
      <c r="I83" s="65">
        <f t="shared" si="11"/>
        <v>3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3</v>
      </c>
      <c r="AA83" s="50"/>
      <c r="AB83" s="50"/>
      <c r="AC83" s="61">
        <f t="shared" si="18"/>
        <v>-3</v>
      </c>
      <c r="AD83" s="50"/>
      <c r="AE83" s="67">
        <f t="shared" si="19"/>
        <v>-3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7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7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7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7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7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7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7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7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7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7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7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7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7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7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7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7">
        <f t="shared" si="19"/>
        <v>0</v>
      </c>
    </row>
    <row r="100" spans="2:31">
      <c r="B100" s="50">
        <v>1004062</v>
      </c>
      <c r="C100" s="53" t="s">
        <v>238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>
        <v>3</v>
      </c>
      <c r="Z100" s="63">
        <f t="shared" si="17"/>
        <v>3</v>
      </c>
      <c r="AA100" s="50">
        <v>3</v>
      </c>
      <c r="AB100" s="50"/>
      <c r="AC100" s="61">
        <f t="shared" si="18"/>
        <v>0</v>
      </c>
      <c r="AD100" s="50"/>
      <c r="AE100" s="67">
        <f t="shared" si="19"/>
        <v>0</v>
      </c>
    </row>
    <row r="101" spans="2:31">
      <c r="B101" s="50">
        <v>1004051</v>
      </c>
      <c r="C101" s="53" t="s">
        <v>239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>
        <v>25</v>
      </c>
      <c r="Z101" s="63">
        <f t="shared" si="17"/>
        <v>25</v>
      </c>
      <c r="AA101" s="50">
        <v>25</v>
      </c>
      <c r="AB101" s="50"/>
      <c r="AC101" s="61">
        <f t="shared" si="18"/>
        <v>0</v>
      </c>
      <c r="AD101" s="50"/>
      <c r="AE101" s="67">
        <f t="shared" si="19"/>
        <v>0</v>
      </c>
    </row>
    <row r="102" spans="2:31">
      <c r="B102" s="50">
        <v>1111005</v>
      </c>
      <c r="C102" s="53" t="s">
        <v>240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7">
        <f t="shared" si="19"/>
        <v>0</v>
      </c>
    </row>
    <row r="103" spans="2:31">
      <c r="B103" s="50">
        <v>1111006</v>
      </c>
      <c r="C103" s="53" t="s">
        <v>241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>
        <v>5</v>
      </c>
      <c r="Z103" s="63">
        <f t="shared" si="17"/>
        <v>5</v>
      </c>
      <c r="AA103" s="50">
        <v>5</v>
      </c>
      <c r="AB103" s="50"/>
      <c r="AC103" s="61">
        <f t="shared" si="18"/>
        <v>0</v>
      </c>
      <c r="AD103" s="50"/>
      <c r="AE103" s="67">
        <f t="shared" si="19"/>
        <v>0</v>
      </c>
    </row>
    <row r="104" spans="2:31">
      <c r="B104" s="50">
        <v>1004048</v>
      </c>
      <c r="C104" s="53" t="s">
        <v>242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7">
        <f t="shared" si="19"/>
        <v>0</v>
      </c>
    </row>
    <row r="105" spans="2:31">
      <c r="B105" s="50">
        <v>1113157</v>
      </c>
      <c r="C105" s="53" t="s">
        <v>243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7">
        <f t="shared" si="19"/>
        <v>0</v>
      </c>
    </row>
    <row r="106" spans="2:31">
      <c r="B106" s="50">
        <v>1004080</v>
      </c>
      <c r="C106" s="53" t="s">
        <v>244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>
        <v>50</v>
      </c>
      <c r="Z106" s="63">
        <f t="shared" si="17"/>
        <v>50</v>
      </c>
      <c r="AA106" s="50">
        <v>50</v>
      </c>
      <c r="AB106" s="50"/>
      <c r="AC106" s="61">
        <f t="shared" si="18"/>
        <v>0</v>
      </c>
      <c r="AD106" s="50"/>
      <c r="AE106" s="67">
        <f t="shared" si="19"/>
        <v>0</v>
      </c>
    </row>
    <row r="107" spans="2:31">
      <c r="B107" s="50">
        <v>1004081</v>
      </c>
      <c r="C107" s="53" t="s">
        <v>245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>
        <v>50</v>
      </c>
      <c r="Z107" s="63">
        <f t="shared" si="17"/>
        <v>50</v>
      </c>
      <c r="AA107" s="50">
        <v>50</v>
      </c>
      <c r="AB107" s="50"/>
      <c r="AC107" s="61">
        <f t="shared" si="18"/>
        <v>0</v>
      </c>
      <c r="AD107" s="50"/>
      <c r="AE107" s="67">
        <f t="shared" si="19"/>
        <v>0</v>
      </c>
    </row>
    <row r="108" spans="2:31">
      <c r="B108" s="50">
        <v>3001200</v>
      </c>
      <c r="C108" s="53" t="s">
        <v>246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>
        <v>30</v>
      </c>
      <c r="Z108" s="63">
        <f t="shared" si="17"/>
        <v>30</v>
      </c>
      <c r="AA108" s="50">
        <v>30</v>
      </c>
      <c r="AB108" s="50"/>
      <c r="AC108" s="61">
        <f t="shared" si="18"/>
        <v>0</v>
      </c>
      <c r="AD108" s="50"/>
      <c r="AE108" s="67">
        <f t="shared" si="19"/>
        <v>0</v>
      </c>
    </row>
    <row r="109" spans="2:31">
      <c r="B109" s="50">
        <v>1004047</v>
      </c>
      <c r="C109" s="53" t="s">
        <v>247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>
        <v>15</v>
      </c>
      <c r="Z109" s="63">
        <f t="shared" si="17"/>
        <v>15</v>
      </c>
      <c r="AA109" s="50">
        <v>15</v>
      </c>
      <c r="AB109" s="50"/>
      <c r="AC109" s="61">
        <f t="shared" si="18"/>
        <v>0</v>
      </c>
      <c r="AD109" s="50"/>
      <c r="AE109" s="67">
        <f t="shared" si="19"/>
        <v>0</v>
      </c>
    </row>
    <row r="110" spans="2:31">
      <c r="B110" s="50">
        <v>1004070</v>
      </c>
      <c r="C110" s="53" t="s">
        <v>248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7">
        <f t="shared" si="19"/>
        <v>0</v>
      </c>
    </row>
    <row r="111" spans="2:31">
      <c r="B111" s="50">
        <v>1004076</v>
      </c>
      <c r="C111" s="53" t="s">
        <v>249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>
        <v>19</v>
      </c>
      <c r="Z111" s="63">
        <f t="shared" si="17"/>
        <v>19</v>
      </c>
      <c r="AA111" s="50">
        <v>19</v>
      </c>
      <c r="AB111" s="50"/>
      <c r="AC111" s="61">
        <f t="shared" si="18"/>
        <v>0</v>
      </c>
      <c r="AD111" s="50"/>
      <c r="AE111" s="67">
        <f t="shared" si="19"/>
        <v>0</v>
      </c>
    </row>
    <row r="112" spans="2:31">
      <c r="B112" s="50">
        <v>1004050</v>
      </c>
      <c r="C112" s="53" t="s">
        <v>250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>
        <v>28</v>
      </c>
      <c r="Z112" s="63">
        <f t="shared" si="17"/>
        <v>28</v>
      </c>
      <c r="AA112" s="50">
        <v>28</v>
      </c>
      <c r="AB112" s="50"/>
      <c r="AC112" s="61">
        <f t="shared" si="18"/>
        <v>0</v>
      </c>
      <c r="AD112" s="50"/>
      <c r="AE112" s="67">
        <f t="shared" si="19"/>
        <v>0</v>
      </c>
    </row>
    <row r="113" spans="2:31">
      <c r="B113" s="50">
        <v>1004048</v>
      </c>
      <c r="C113" s="53" t="s">
        <v>251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>
        <v>15</v>
      </c>
      <c r="Z113" s="63">
        <f t="shared" si="17"/>
        <v>15</v>
      </c>
      <c r="AA113" s="50">
        <v>15</v>
      </c>
      <c r="AB113" s="50"/>
      <c r="AC113" s="61">
        <f t="shared" si="18"/>
        <v>0</v>
      </c>
      <c r="AD113" s="50"/>
      <c r="AE113" s="67">
        <f t="shared" si="19"/>
        <v>0</v>
      </c>
    </row>
    <row r="114" spans="2:31">
      <c r="B114" s="50">
        <v>1007020</v>
      </c>
      <c r="C114" s="53" t="s">
        <v>253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>
        <v>4</v>
      </c>
      <c r="Z114" s="63">
        <f t="shared" si="17"/>
        <v>4</v>
      </c>
      <c r="AA114" s="50">
        <v>4</v>
      </c>
      <c r="AB114" s="50"/>
      <c r="AC114" s="61">
        <f t="shared" si="18"/>
        <v>0</v>
      </c>
      <c r="AD114" s="50"/>
      <c r="AE114" s="67">
        <f t="shared" si="19"/>
        <v>0</v>
      </c>
    </row>
    <row r="115" spans="2:31" hidden="1">
      <c r="B115" s="50">
        <v>1004063</v>
      </c>
      <c r="C115" s="53" t="s">
        <v>254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7">
        <f t="shared" si="19"/>
        <v>0</v>
      </c>
    </row>
    <row r="116" spans="2:31" hidden="1">
      <c r="B116" s="50">
        <v>1004065</v>
      </c>
      <c r="C116" s="53" t="s">
        <v>255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7">
        <f t="shared" si="19"/>
        <v>0</v>
      </c>
    </row>
    <row r="117" spans="2:31" hidden="1">
      <c r="B117" s="50">
        <v>1006982</v>
      </c>
      <c r="C117" s="53" t="s">
        <v>256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7">
        <f t="shared" si="19"/>
        <v>0</v>
      </c>
    </row>
    <row r="118" spans="2:31" hidden="1">
      <c r="B118" s="50">
        <v>1006000</v>
      </c>
      <c r="C118" s="53" t="s">
        <v>257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7">
        <f t="shared" si="19"/>
        <v>0</v>
      </c>
    </row>
    <row r="119" spans="2:31" hidden="1">
      <c r="B119" s="50">
        <v>1005998</v>
      </c>
      <c r="C119" s="53" t="s">
        <v>263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7">
        <f t="shared" si="19"/>
        <v>0</v>
      </c>
    </row>
    <row r="120" spans="2:31" hidden="1">
      <c r="B120" s="50">
        <v>1005995</v>
      </c>
      <c r="C120" s="53" t="s">
        <v>259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7">
        <f t="shared" si="19"/>
        <v>0</v>
      </c>
    </row>
    <row r="121" spans="2:31">
      <c r="B121" s="50">
        <v>1111034</v>
      </c>
      <c r="C121" s="53" t="s">
        <v>261</v>
      </c>
      <c r="D121" s="52">
        <v>5</v>
      </c>
      <c r="E121" s="52"/>
      <c r="F121" s="65">
        <f t="shared" si="10"/>
        <v>5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5</v>
      </c>
      <c r="AA121" s="50">
        <v>5</v>
      </c>
      <c r="AB121" s="50"/>
      <c r="AC121" s="61">
        <f t="shared" si="18"/>
        <v>0</v>
      </c>
      <c r="AD121" s="50"/>
      <c r="AE121" s="67">
        <f t="shared" si="19"/>
        <v>0</v>
      </c>
    </row>
    <row r="122" spans="2:31">
      <c r="B122" s="50">
        <v>1004061</v>
      </c>
      <c r="C122" s="53" t="s">
        <v>262</v>
      </c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>
        <v>5</v>
      </c>
      <c r="Z122" s="63"/>
      <c r="AA122" s="50">
        <v>5</v>
      </c>
      <c r="AB122" s="50"/>
      <c r="AC122" s="61"/>
      <c r="AD122" s="50"/>
      <c r="AE122" s="67"/>
    </row>
    <row r="123" spans="2:31">
      <c r="B123" s="50">
        <v>1005999</v>
      </c>
      <c r="C123" s="53" t="s">
        <v>264</v>
      </c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>
        <v>2</v>
      </c>
      <c r="Z123" s="63"/>
      <c r="AA123" s="50">
        <v>2</v>
      </c>
      <c r="AB123" s="50"/>
      <c r="AC123" s="61"/>
      <c r="AD123" s="50"/>
      <c r="AE123" s="67"/>
    </row>
    <row r="124" spans="2:31">
      <c r="B124" s="50">
        <v>1007017</v>
      </c>
      <c r="C124" s="53" t="s">
        <v>265</v>
      </c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>
        <v>4</v>
      </c>
      <c r="Z124" s="63"/>
      <c r="AA124" s="50">
        <v>4</v>
      </c>
      <c r="AB124" s="50"/>
      <c r="AC124" s="61"/>
      <c r="AD124" s="50"/>
      <c r="AE124" s="67"/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7"/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7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7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7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7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7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7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7"/>
    </row>
    <row r="133" spans="2:31" hidden="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7"/>
    </row>
    <row r="134" spans="2:31" hidden="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7"/>
    </row>
    <row r="135" spans="2:31" hidden="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7"/>
    </row>
    <row r="136" spans="2:31" hidden="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7"/>
    </row>
    <row r="137" spans="2:31" hidden="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7"/>
    </row>
    <row r="138" spans="2:31" hidden="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7"/>
    </row>
    <row r="139" spans="2:31" hidden="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7"/>
    </row>
    <row r="140" spans="2:31" hidden="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7"/>
    </row>
    <row r="141" spans="2:31" hidden="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7"/>
    </row>
    <row r="142" spans="2:31" hidden="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7"/>
    </row>
    <row r="143" spans="2:31" hidden="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7"/>
    </row>
    <row r="144" spans="2:31" hidden="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7"/>
    </row>
    <row r="145" spans="2:31" hidden="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7"/>
    </row>
    <row r="146" spans="2:31" hidden="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7"/>
    </row>
    <row r="147" spans="2:31" hidden="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7"/>
    </row>
    <row r="148" spans="2:31" hidden="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7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7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7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7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7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7">
        <f t="shared" si="29"/>
        <v>0</v>
      </c>
    </row>
    <row r="154" spans="2:31" s="59" customFormat="1" ht="51.75">
      <c r="B154" s="97" t="s">
        <v>201</v>
      </c>
      <c r="C154" s="98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208</v>
      </c>
      <c r="E154" s="62">
        <f t="shared" si="30"/>
        <v>18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226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780</v>
      </c>
      <c r="H154" s="62">
        <f t="shared" si="31"/>
        <v>0</v>
      </c>
      <c r="I154" s="62">
        <f t="shared" si="31"/>
        <v>780</v>
      </c>
      <c r="J154" s="62">
        <f t="shared" si="31"/>
        <v>84</v>
      </c>
      <c r="K154" s="62">
        <f t="shared" si="31"/>
        <v>0</v>
      </c>
      <c r="L154" s="62">
        <f t="shared" si="31"/>
        <v>84</v>
      </c>
      <c r="M154" s="62">
        <f t="shared" si="31"/>
        <v>637</v>
      </c>
      <c r="N154" s="62">
        <f t="shared" si="31"/>
        <v>0</v>
      </c>
      <c r="O154" s="62">
        <f t="shared" si="31"/>
        <v>637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315</v>
      </c>
      <c r="Z154" s="62">
        <f t="shared" si="31"/>
        <v>2031</v>
      </c>
      <c r="AA154" s="62">
        <f t="shared" si="31"/>
        <v>1785</v>
      </c>
      <c r="AB154" s="62">
        <f t="shared" si="31"/>
        <v>461</v>
      </c>
      <c r="AC154" s="62">
        <f t="shared" si="31"/>
        <v>204</v>
      </c>
      <c r="AD154" s="62">
        <f t="shared" si="31"/>
        <v>1340</v>
      </c>
      <c r="AE154" s="62">
        <f t="shared" si="31"/>
        <v>1544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Y2:Y3"/>
    <mergeCell ref="Z2:Z3"/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7FDC-9273-4B15-B583-2130A80727D1}">
  <sheetPr codeName="Sheet13">
    <pageSetUpPr fitToPage="1"/>
  </sheetPr>
  <dimension ref="B1:AE159"/>
  <sheetViews>
    <sheetView topLeftCell="B1" zoomScale="50" zoomScaleNormal="50" workbookViewId="0">
      <selection activeCell="AH13" sqref="AH13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5" width="14.28515625" style="56" customWidth="1"/>
    <col min="26" max="26" width="19.5703125" style="57" customWidth="1"/>
    <col min="27" max="30" width="20.7109375" style="48" hidden="1" customWidth="1"/>
    <col min="31" max="31" width="23.85546875" style="49" hidden="1" customWidth="1"/>
    <col min="32" max="32" width="22.7109375" style="49" customWidth="1"/>
    <col min="33" max="16384" width="8.85546875" style="49"/>
  </cols>
  <sheetData>
    <row r="1" spans="2:31" ht="68.25">
      <c r="B1" s="83" t="s">
        <v>217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</row>
    <row r="2" spans="2:31" ht="49.9" customHeight="1">
      <c r="B2" s="99" t="s">
        <v>3</v>
      </c>
      <c r="C2" s="99" t="s">
        <v>4</v>
      </c>
      <c r="D2" s="85" t="s">
        <v>5</v>
      </c>
      <c r="E2" s="86"/>
      <c r="F2" s="87"/>
      <c r="G2" s="85" t="s">
        <v>6</v>
      </c>
      <c r="H2" s="86"/>
      <c r="I2" s="87"/>
      <c r="J2" s="85" t="s">
        <v>7</v>
      </c>
      <c r="K2" s="86"/>
      <c r="L2" s="87"/>
      <c r="M2" s="85" t="s">
        <v>8</v>
      </c>
      <c r="N2" s="86"/>
      <c r="O2" s="87"/>
      <c r="P2" s="85" t="s">
        <v>132</v>
      </c>
      <c r="Q2" s="86"/>
      <c r="R2" s="87"/>
      <c r="S2" s="85" t="s">
        <v>9</v>
      </c>
      <c r="T2" s="86"/>
      <c r="U2" s="87"/>
      <c r="V2" s="88" t="s">
        <v>131</v>
      </c>
      <c r="W2" s="89"/>
      <c r="X2" s="90"/>
      <c r="Y2" s="101" t="s">
        <v>134</v>
      </c>
      <c r="Z2" s="103" t="s">
        <v>204</v>
      </c>
      <c r="AA2" s="91" t="s">
        <v>145</v>
      </c>
      <c r="AB2" s="91" t="s">
        <v>146</v>
      </c>
      <c r="AC2" s="95" t="s">
        <v>147</v>
      </c>
      <c r="AD2" s="93" t="s">
        <v>148</v>
      </c>
      <c r="AE2" s="82" t="s">
        <v>212</v>
      </c>
    </row>
    <row r="3" spans="2:31" ht="49.9" customHeight="1">
      <c r="B3" s="100"/>
      <c r="C3" s="100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102"/>
      <c r="Z3" s="104"/>
      <c r="AA3" s="92"/>
      <c r="AB3" s="92"/>
      <c r="AC3" s="96"/>
      <c r="AD3" s="94"/>
      <c r="AE3" s="82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>
        <v>2</v>
      </c>
      <c r="K4" s="52"/>
      <c r="L4" s="65">
        <f>SUM(J4:K4)</f>
        <v>2</v>
      </c>
      <c r="M4" s="52">
        <v>51</v>
      </c>
      <c r="N4" s="52"/>
      <c r="O4" s="65">
        <f>SUM(M4:N4)</f>
        <v>51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53</v>
      </c>
      <c r="AA4" s="50">
        <v>60</v>
      </c>
      <c r="AB4" s="50">
        <v>43</v>
      </c>
      <c r="AC4" s="61">
        <f>+AA4+AB4-Z4</f>
        <v>50</v>
      </c>
      <c r="AD4" s="50">
        <v>60</v>
      </c>
      <c r="AE4" s="67">
        <f>AC4+AD4</f>
        <v>110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13</v>
      </c>
      <c r="H5" s="52"/>
      <c r="I5" s="65">
        <f t="shared" ref="I5:I68" si="1">SUM(G5:H5)</f>
        <v>13</v>
      </c>
      <c r="J5" s="52">
        <v>28</v>
      </c>
      <c r="K5" s="52"/>
      <c r="L5" s="65">
        <f t="shared" ref="L5:L68" si="2">SUM(J5:K5)</f>
        <v>28</v>
      </c>
      <c r="M5" s="52">
        <v>18</v>
      </c>
      <c r="N5" s="52"/>
      <c r="O5" s="65">
        <f t="shared" ref="O5:O68" si="3">SUM(M5:N5)</f>
        <v>18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36</v>
      </c>
      <c r="Z5" s="63">
        <f t="shared" ref="Z5:Z68" si="7">+F5+I5+L5+O5+R5+U5+X5+Y5</f>
        <v>95</v>
      </c>
      <c r="AA5" s="58">
        <v>116</v>
      </c>
      <c r="AB5" s="58">
        <v>1</v>
      </c>
      <c r="AC5" s="61">
        <f t="shared" ref="AC5:AC68" si="8">+AA5+AB5-Z5</f>
        <v>22</v>
      </c>
      <c r="AD5" s="58">
        <v>110</v>
      </c>
      <c r="AE5" s="67">
        <f t="shared" ref="AE5:AE68" si="9">AC5+AD5</f>
        <v>132</v>
      </c>
    </row>
    <row r="6" spans="2:31">
      <c r="B6" s="50">
        <v>1111055</v>
      </c>
      <c r="C6" s="51" t="s">
        <v>151</v>
      </c>
      <c r="D6" s="52"/>
      <c r="E6" s="52"/>
      <c r="F6" s="65">
        <f t="shared" si="0"/>
        <v>0</v>
      </c>
      <c r="G6" s="52">
        <v>6</v>
      </c>
      <c r="H6" s="52"/>
      <c r="I6" s="65">
        <f t="shared" si="1"/>
        <v>6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6</v>
      </c>
      <c r="AA6" s="50"/>
      <c r="AB6" s="50">
        <v>5</v>
      </c>
      <c r="AC6" s="61">
        <f t="shared" si="8"/>
        <v>-1</v>
      </c>
      <c r="AD6" s="50"/>
      <c r="AE6" s="67">
        <f t="shared" si="9"/>
        <v>-1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7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7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9</v>
      </c>
      <c r="H9" s="52"/>
      <c r="I9" s="65">
        <f t="shared" si="1"/>
        <v>9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9</v>
      </c>
      <c r="AA9" s="50"/>
      <c r="AB9" s="50">
        <v>5</v>
      </c>
      <c r="AC9" s="61">
        <f t="shared" si="8"/>
        <v>-4</v>
      </c>
      <c r="AD9" s="50"/>
      <c r="AE9" s="67">
        <f t="shared" si="9"/>
        <v>-4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>
        <v>9</v>
      </c>
      <c r="H10" s="52"/>
      <c r="I10" s="65">
        <f t="shared" si="1"/>
        <v>9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9</v>
      </c>
      <c r="AA10" s="50"/>
      <c r="AB10" s="50">
        <v>5</v>
      </c>
      <c r="AC10" s="61">
        <f t="shared" si="8"/>
        <v>-4</v>
      </c>
      <c r="AD10" s="50"/>
      <c r="AE10" s="67">
        <f t="shared" si="9"/>
        <v>-4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9</v>
      </c>
      <c r="H11" s="52"/>
      <c r="I11" s="65">
        <f t="shared" si="1"/>
        <v>9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9</v>
      </c>
      <c r="AA11" s="50"/>
      <c r="AB11" s="50">
        <v>5</v>
      </c>
      <c r="AC11" s="61">
        <f t="shared" si="8"/>
        <v>-4</v>
      </c>
      <c r="AD11" s="50"/>
      <c r="AE11" s="67">
        <f t="shared" si="9"/>
        <v>-4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9</v>
      </c>
      <c r="H12" s="52"/>
      <c r="I12" s="65">
        <f t="shared" si="1"/>
        <v>9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9</v>
      </c>
      <c r="AA12" s="50"/>
      <c r="AB12" s="50">
        <v>5</v>
      </c>
      <c r="AC12" s="61">
        <f t="shared" si="8"/>
        <v>-4</v>
      </c>
      <c r="AD12" s="50"/>
      <c r="AE12" s="67">
        <f t="shared" si="9"/>
        <v>-4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9</v>
      </c>
      <c r="H13" s="52"/>
      <c r="I13" s="65">
        <f t="shared" si="1"/>
        <v>9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9</v>
      </c>
      <c r="AA13" s="50"/>
      <c r="AB13" s="50">
        <v>5</v>
      </c>
      <c r="AC13" s="61">
        <f t="shared" si="8"/>
        <v>-4</v>
      </c>
      <c r="AD13" s="50"/>
      <c r="AE13" s="67">
        <f t="shared" si="9"/>
        <v>-4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9</v>
      </c>
      <c r="H14" s="52"/>
      <c r="I14" s="65">
        <f t="shared" si="1"/>
        <v>9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9</v>
      </c>
      <c r="AA14" s="50"/>
      <c r="AB14" s="50">
        <v>5</v>
      </c>
      <c r="AC14" s="61">
        <f t="shared" si="8"/>
        <v>-4</v>
      </c>
      <c r="AD14" s="50"/>
      <c r="AE14" s="67">
        <f t="shared" si="9"/>
        <v>-4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8</v>
      </c>
      <c r="H15" s="52"/>
      <c r="I15" s="65">
        <f t="shared" si="1"/>
        <v>8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8</v>
      </c>
      <c r="AA15" s="50"/>
      <c r="AB15" s="50">
        <v>5</v>
      </c>
      <c r="AC15" s="61">
        <f t="shared" si="8"/>
        <v>-3</v>
      </c>
      <c r="AD15" s="50"/>
      <c r="AE15" s="67">
        <f t="shared" si="9"/>
        <v>-3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8</v>
      </c>
      <c r="H16" s="52"/>
      <c r="I16" s="65">
        <f t="shared" si="1"/>
        <v>8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8</v>
      </c>
      <c r="AA16" s="50"/>
      <c r="AB16" s="50">
        <v>5</v>
      </c>
      <c r="AC16" s="61">
        <f t="shared" si="8"/>
        <v>-3</v>
      </c>
      <c r="AD16" s="50"/>
      <c r="AE16" s="67">
        <f t="shared" si="9"/>
        <v>-3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8</v>
      </c>
      <c r="H17" s="52"/>
      <c r="I17" s="65">
        <f t="shared" si="1"/>
        <v>8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8</v>
      </c>
      <c r="AA17" s="50"/>
      <c r="AB17" s="50">
        <v>5</v>
      </c>
      <c r="AC17" s="61">
        <f t="shared" si="8"/>
        <v>-3</v>
      </c>
      <c r="AD17" s="50"/>
      <c r="AE17" s="67">
        <f t="shared" si="9"/>
        <v>-3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8</v>
      </c>
      <c r="H18" s="52"/>
      <c r="I18" s="65">
        <f t="shared" si="1"/>
        <v>8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8</v>
      </c>
      <c r="AA18" s="50"/>
      <c r="AB18" s="50">
        <v>5</v>
      </c>
      <c r="AC18" s="61">
        <f t="shared" si="8"/>
        <v>-3</v>
      </c>
      <c r="AD18" s="50"/>
      <c r="AE18" s="67">
        <f t="shared" si="9"/>
        <v>-3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8</v>
      </c>
      <c r="H19" s="52"/>
      <c r="I19" s="65">
        <f t="shared" si="1"/>
        <v>8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8</v>
      </c>
      <c r="AA19" s="50"/>
      <c r="AB19" s="50"/>
      <c r="AC19" s="61">
        <f t="shared" si="8"/>
        <v>-8</v>
      </c>
      <c r="AD19" s="50"/>
      <c r="AE19" s="67">
        <f t="shared" si="9"/>
        <v>-8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>
        <v>8</v>
      </c>
      <c r="H20" s="52"/>
      <c r="I20" s="65">
        <f t="shared" si="1"/>
        <v>8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8</v>
      </c>
      <c r="AA20" s="50"/>
      <c r="AB20" s="50"/>
      <c r="AC20" s="61">
        <f t="shared" si="8"/>
        <v>-8</v>
      </c>
      <c r="AD20" s="50"/>
      <c r="AE20" s="67">
        <f t="shared" si="9"/>
        <v>-8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>
        <v>8</v>
      </c>
      <c r="H21" s="52"/>
      <c r="I21" s="65">
        <f t="shared" si="1"/>
        <v>8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8</v>
      </c>
      <c r="AA21" s="50"/>
      <c r="AB21" s="50"/>
      <c r="AC21" s="61">
        <f t="shared" si="8"/>
        <v>-8</v>
      </c>
      <c r="AD21" s="50"/>
      <c r="AE21" s="67">
        <f t="shared" si="9"/>
        <v>-8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7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7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7">
        <f t="shared" si="9"/>
        <v>0</v>
      </c>
    </row>
    <row r="25" spans="2:31">
      <c r="B25" s="50">
        <v>1111008</v>
      </c>
      <c r="C25" s="51" t="s">
        <v>156</v>
      </c>
      <c r="D25" s="52"/>
      <c r="E25" s="52"/>
      <c r="F25" s="65">
        <f t="shared" si="0"/>
        <v>0</v>
      </c>
      <c r="G25" s="52">
        <v>3</v>
      </c>
      <c r="H25" s="52"/>
      <c r="I25" s="65">
        <f t="shared" si="1"/>
        <v>3</v>
      </c>
      <c r="J25" s="52">
        <v>6</v>
      </c>
      <c r="K25" s="52"/>
      <c r="L25" s="65">
        <f t="shared" si="2"/>
        <v>6</v>
      </c>
      <c r="M25" s="52">
        <v>36</v>
      </c>
      <c r="N25" s="52"/>
      <c r="O25" s="65">
        <f t="shared" si="3"/>
        <v>36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45</v>
      </c>
      <c r="AA25" s="50">
        <v>50</v>
      </c>
      <c r="AB25" s="50">
        <v>8</v>
      </c>
      <c r="AC25" s="61">
        <f t="shared" si="8"/>
        <v>13</v>
      </c>
      <c r="AD25" s="50">
        <v>50</v>
      </c>
      <c r="AE25" s="67">
        <f t="shared" si="9"/>
        <v>63</v>
      </c>
    </row>
    <row r="26" spans="2:31">
      <c r="B26" s="50">
        <v>1111009</v>
      </c>
      <c r="C26" s="51" t="s">
        <v>157</v>
      </c>
      <c r="D26" s="52"/>
      <c r="E26" s="52"/>
      <c r="F26" s="65">
        <f t="shared" si="0"/>
        <v>0</v>
      </c>
      <c r="G26" s="52">
        <v>13</v>
      </c>
      <c r="H26" s="52"/>
      <c r="I26" s="65">
        <f t="shared" si="1"/>
        <v>13</v>
      </c>
      <c r="J26" s="52">
        <v>4</v>
      </c>
      <c r="K26" s="52"/>
      <c r="L26" s="65">
        <f t="shared" si="2"/>
        <v>4</v>
      </c>
      <c r="M26" s="52"/>
      <c r="N26" s="52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17</v>
      </c>
      <c r="AA26" s="50">
        <v>50</v>
      </c>
      <c r="AB26" s="50">
        <v>7</v>
      </c>
      <c r="AC26" s="61">
        <f t="shared" si="8"/>
        <v>40</v>
      </c>
      <c r="AD26" s="50">
        <v>80</v>
      </c>
      <c r="AE26" s="67">
        <f t="shared" si="9"/>
        <v>120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7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7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7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7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7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7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7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7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7">
        <f t="shared" si="9"/>
        <v>0</v>
      </c>
    </row>
    <row r="36" spans="2:31" hidden="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7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7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7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7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7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3</v>
      </c>
      <c r="H41" s="52"/>
      <c r="I41" s="65">
        <f t="shared" si="1"/>
        <v>3</v>
      </c>
      <c r="J41" s="52">
        <v>3</v>
      </c>
      <c r="K41" s="52"/>
      <c r="L41" s="65">
        <f t="shared" si="2"/>
        <v>3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6</v>
      </c>
      <c r="AA41" s="50"/>
      <c r="AB41" s="50">
        <v>15</v>
      </c>
      <c r="AC41" s="61">
        <f t="shared" si="8"/>
        <v>9</v>
      </c>
      <c r="AD41" s="50"/>
      <c r="AE41" s="67">
        <f t="shared" si="9"/>
        <v>9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7">
        <f t="shared" si="9"/>
        <v>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7">
        <f t="shared" si="9"/>
        <v>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7">
        <f t="shared" si="9"/>
        <v>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7">
        <f t="shared" si="9"/>
        <v>0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7">
        <f t="shared" si="9"/>
        <v>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4</v>
      </c>
      <c r="H47" s="52"/>
      <c r="I47" s="65">
        <f t="shared" si="1"/>
        <v>4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4</v>
      </c>
      <c r="AA47" s="50">
        <v>14</v>
      </c>
      <c r="AB47" s="50"/>
      <c r="AC47" s="61">
        <f t="shared" si="8"/>
        <v>10</v>
      </c>
      <c r="AD47" s="50"/>
      <c r="AE47" s="67">
        <f t="shared" si="9"/>
        <v>10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4</v>
      </c>
      <c r="H48" s="52"/>
      <c r="I48" s="65">
        <f t="shared" si="1"/>
        <v>4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4</v>
      </c>
      <c r="AA48" s="50">
        <v>18</v>
      </c>
      <c r="AB48" s="50"/>
      <c r="AC48" s="61">
        <f t="shared" si="8"/>
        <v>14</v>
      </c>
      <c r="AD48" s="50"/>
      <c r="AE48" s="67">
        <f t="shared" si="9"/>
        <v>14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4</v>
      </c>
      <c r="H49" s="52"/>
      <c r="I49" s="65">
        <f t="shared" si="1"/>
        <v>4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4</v>
      </c>
      <c r="AA49" s="50">
        <v>18</v>
      </c>
      <c r="AB49" s="50"/>
      <c r="AC49" s="61">
        <f t="shared" si="8"/>
        <v>14</v>
      </c>
      <c r="AD49" s="50"/>
      <c r="AE49" s="67">
        <f t="shared" si="9"/>
        <v>14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4</v>
      </c>
      <c r="H50" s="52"/>
      <c r="I50" s="65">
        <f t="shared" si="1"/>
        <v>4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4</v>
      </c>
      <c r="AA50" s="50">
        <v>18</v>
      </c>
      <c r="AB50" s="50"/>
      <c r="AC50" s="61">
        <f t="shared" si="8"/>
        <v>14</v>
      </c>
      <c r="AD50" s="50"/>
      <c r="AE50" s="67">
        <f t="shared" si="9"/>
        <v>14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4</v>
      </c>
      <c r="H51" s="52"/>
      <c r="I51" s="65">
        <f t="shared" si="1"/>
        <v>4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4</v>
      </c>
      <c r="AA51" s="50">
        <v>18</v>
      </c>
      <c r="AB51" s="50"/>
      <c r="AC51" s="61">
        <f t="shared" si="8"/>
        <v>14</v>
      </c>
      <c r="AD51" s="50"/>
      <c r="AE51" s="67">
        <f t="shared" si="9"/>
        <v>14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7">
        <f t="shared" si="9"/>
        <v>0</v>
      </c>
    </row>
    <row r="53" spans="2:31">
      <c r="B53" s="50">
        <v>1112003</v>
      </c>
      <c r="C53" s="51" t="s">
        <v>174</v>
      </c>
      <c r="D53" s="52">
        <v>15</v>
      </c>
      <c r="E53" s="52"/>
      <c r="F53" s="65">
        <f t="shared" si="0"/>
        <v>15</v>
      </c>
      <c r="G53" s="52">
        <v>1</v>
      </c>
      <c r="H53" s="52"/>
      <c r="I53" s="65">
        <f t="shared" si="1"/>
        <v>1</v>
      </c>
      <c r="J53" s="52"/>
      <c r="K53" s="52"/>
      <c r="L53" s="65">
        <f t="shared" si="2"/>
        <v>0</v>
      </c>
      <c r="M53" s="52">
        <v>21</v>
      </c>
      <c r="N53" s="52"/>
      <c r="O53" s="65">
        <f t="shared" si="3"/>
        <v>21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71">
        <v>3</v>
      </c>
      <c r="Z53" s="63">
        <f t="shared" si="7"/>
        <v>40</v>
      </c>
      <c r="AA53" s="50">
        <v>81</v>
      </c>
      <c r="AB53" s="50">
        <v>25</v>
      </c>
      <c r="AC53" s="61">
        <f t="shared" si="8"/>
        <v>66</v>
      </c>
      <c r="AD53" s="50">
        <v>70</v>
      </c>
      <c r="AE53" s="67">
        <f t="shared" si="9"/>
        <v>136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7">
        <f t="shared" si="9"/>
        <v>0</v>
      </c>
    </row>
    <row r="55" spans="2:31">
      <c r="B55" s="50">
        <v>1112005</v>
      </c>
      <c r="C55" s="51" t="s">
        <v>176</v>
      </c>
      <c r="D55" s="52">
        <v>17</v>
      </c>
      <c r="E55" s="52"/>
      <c r="F55" s="65">
        <f t="shared" si="0"/>
        <v>17</v>
      </c>
      <c r="G55" s="52">
        <v>1</v>
      </c>
      <c r="H55" s="52"/>
      <c r="I55" s="65">
        <f t="shared" si="1"/>
        <v>1</v>
      </c>
      <c r="J55" s="52"/>
      <c r="K55" s="52"/>
      <c r="L55" s="65">
        <f t="shared" si="2"/>
        <v>0</v>
      </c>
      <c r="M55" s="52">
        <v>21</v>
      </c>
      <c r="N55" s="52"/>
      <c r="O55" s="65">
        <f t="shared" si="3"/>
        <v>21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39</v>
      </c>
      <c r="AA55" s="50">
        <v>50</v>
      </c>
      <c r="AB55" s="50">
        <v>56</v>
      </c>
      <c r="AC55" s="61">
        <f t="shared" si="8"/>
        <v>67</v>
      </c>
      <c r="AD55" s="50">
        <v>70</v>
      </c>
      <c r="AE55" s="67">
        <f t="shared" si="9"/>
        <v>137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7">
        <f t="shared" si="9"/>
        <v>0</v>
      </c>
    </row>
    <row r="57" spans="2:31">
      <c r="B57" s="50">
        <v>1112009</v>
      </c>
      <c r="C57" s="51" t="s">
        <v>178</v>
      </c>
      <c r="D57" s="52">
        <v>27</v>
      </c>
      <c r="E57" s="52"/>
      <c r="F57" s="65">
        <f t="shared" si="0"/>
        <v>27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52">
        <v>21</v>
      </c>
      <c r="N57" s="52"/>
      <c r="O57" s="65">
        <f t="shared" si="3"/>
        <v>21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71">
        <v>3</v>
      </c>
      <c r="Z57" s="63">
        <f t="shared" si="7"/>
        <v>51</v>
      </c>
      <c r="AA57" s="50">
        <v>50</v>
      </c>
      <c r="AB57" s="50">
        <v>57</v>
      </c>
      <c r="AC57" s="61">
        <f t="shared" si="8"/>
        <v>56</v>
      </c>
      <c r="AD57" s="50">
        <v>70</v>
      </c>
      <c r="AE57" s="67">
        <f t="shared" si="9"/>
        <v>126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7">
        <f t="shared" si="9"/>
        <v>0</v>
      </c>
    </row>
    <row r="59" spans="2:31">
      <c r="B59" s="50">
        <v>1112011</v>
      </c>
      <c r="C59" s="51" t="s">
        <v>180</v>
      </c>
      <c r="D59" s="52">
        <v>24</v>
      </c>
      <c r="E59" s="52"/>
      <c r="F59" s="65">
        <f t="shared" si="0"/>
        <v>24</v>
      </c>
      <c r="G59" s="52">
        <v>1</v>
      </c>
      <c r="H59" s="52"/>
      <c r="I59" s="65">
        <f t="shared" si="1"/>
        <v>1</v>
      </c>
      <c r="J59" s="52"/>
      <c r="K59" s="52"/>
      <c r="L59" s="65">
        <f t="shared" si="2"/>
        <v>0</v>
      </c>
      <c r="M59" s="52">
        <v>21</v>
      </c>
      <c r="N59" s="52"/>
      <c r="O59" s="65">
        <f t="shared" si="3"/>
        <v>21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71">
        <v>3</v>
      </c>
      <c r="Z59" s="63">
        <f t="shared" si="7"/>
        <v>49</v>
      </c>
      <c r="AA59" s="50">
        <v>50</v>
      </c>
      <c r="AB59" s="50">
        <v>61</v>
      </c>
      <c r="AC59" s="61">
        <f t="shared" si="8"/>
        <v>62</v>
      </c>
      <c r="AD59" s="50">
        <v>70</v>
      </c>
      <c r="AE59" s="67">
        <f t="shared" si="9"/>
        <v>132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7">
        <f t="shared" si="9"/>
        <v>0</v>
      </c>
    </row>
    <row r="61" spans="2:31">
      <c r="B61" s="50">
        <v>1112013</v>
      </c>
      <c r="C61" s="51" t="s">
        <v>182</v>
      </c>
      <c r="D61" s="52">
        <v>26</v>
      </c>
      <c r="E61" s="52"/>
      <c r="F61" s="65">
        <f t="shared" si="0"/>
        <v>26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52">
        <v>21</v>
      </c>
      <c r="N61" s="52"/>
      <c r="O61" s="65">
        <f t="shared" si="3"/>
        <v>21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47</v>
      </c>
      <c r="AA61" s="50">
        <v>50</v>
      </c>
      <c r="AB61" s="50">
        <v>32</v>
      </c>
      <c r="AC61" s="61">
        <f t="shared" si="8"/>
        <v>35</v>
      </c>
      <c r="AD61" s="50">
        <v>70</v>
      </c>
      <c r="AE61" s="67">
        <f t="shared" si="9"/>
        <v>105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7">
        <f t="shared" si="9"/>
        <v>0</v>
      </c>
    </row>
    <row r="63" spans="2:31">
      <c r="B63" s="50">
        <v>1112015</v>
      </c>
      <c r="C63" s="51" t="s">
        <v>184</v>
      </c>
      <c r="D63" s="52">
        <v>26</v>
      </c>
      <c r="E63" s="52"/>
      <c r="F63" s="65">
        <f t="shared" si="0"/>
        <v>26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52">
        <v>21</v>
      </c>
      <c r="N63" s="52"/>
      <c r="O63" s="65">
        <f t="shared" si="3"/>
        <v>21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47</v>
      </c>
      <c r="AA63" s="50">
        <v>50</v>
      </c>
      <c r="AB63" s="50">
        <v>36</v>
      </c>
      <c r="AC63" s="61">
        <f t="shared" si="8"/>
        <v>39</v>
      </c>
      <c r="AD63" s="50">
        <v>70</v>
      </c>
      <c r="AE63" s="67">
        <f t="shared" si="9"/>
        <v>109</v>
      </c>
    </row>
    <row r="64" spans="2:31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7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7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7">
        <f t="shared" si="9"/>
        <v>0</v>
      </c>
    </row>
    <row r="67" spans="2:31">
      <c r="B67" s="50">
        <v>1114501</v>
      </c>
      <c r="C67" s="53" t="s">
        <v>187</v>
      </c>
      <c r="D67" s="52">
        <v>2</v>
      </c>
      <c r="E67" s="52"/>
      <c r="F67" s="65">
        <f t="shared" si="0"/>
        <v>2</v>
      </c>
      <c r="G67" s="52">
        <v>1</v>
      </c>
      <c r="H67" s="52"/>
      <c r="I67" s="65">
        <f t="shared" si="1"/>
        <v>1</v>
      </c>
      <c r="J67" s="52">
        <v>7</v>
      </c>
      <c r="K67" s="52"/>
      <c r="L67" s="65">
        <f t="shared" si="2"/>
        <v>7</v>
      </c>
      <c r="M67" s="52">
        <v>138</v>
      </c>
      <c r="N67" s="52"/>
      <c r="O67" s="65">
        <f t="shared" si="3"/>
        <v>138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148</v>
      </c>
      <c r="AA67" s="50">
        <v>251</v>
      </c>
      <c r="AB67" s="50">
        <v>214</v>
      </c>
      <c r="AC67" s="61">
        <f t="shared" si="8"/>
        <v>317</v>
      </c>
      <c r="AD67" s="50">
        <v>300</v>
      </c>
      <c r="AE67" s="67">
        <f t="shared" si="9"/>
        <v>617</v>
      </c>
    </row>
    <row r="68" spans="2:31">
      <c r="B68" s="50">
        <v>1114502</v>
      </c>
      <c r="C68" s="53" t="s">
        <v>188</v>
      </c>
      <c r="D68" s="52">
        <v>1</v>
      </c>
      <c r="E68" s="52"/>
      <c r="F68" s="65">
        <f t="shared" si="0"/>
        <v>1</v>
      </c>
      <c r="G68" s="52"/>
      <c r="H68" s="52"/>
      <c r="I68" s="65">
        <f t="shared" si="1"/>
        <v>0</v>
      </c>
      <c r="J68" s="52">
        <v>4</v>
      </c>
      <c r="K68" s="52"/>
      <c r="L68" s="65">
        <f t="shared" si="2"/>
        <v>4</v>
      </c>
      <c r="M68" s="52">
        <v>138</v>
      </c>
      <c r="N68" s="52"/>
      <c r="O68" s="65">
        <f t="shared" si="3"/>
        <v>138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143</v>
      </c>
      <c r="AA68" s="50">
        <v>235</v>
      </c>
      <c r="AB68" s="50">
        <v>30</v>
      </c>
      <c r="AC68" s="61">
        <f t="shared" si="8"/>
        <v>122</v>
      </c>
      <c r="AD68" s="50">
        <v>210</v>
      </c>
      <c r="AE68" s="67">
        <f t="shared" si="9"/>
        <v>332</v>
      </c>
    </row>
    <row r="69" spans="2:31">
      <c r="B69" s="50">
        <v>1114503</v>
      </c>
      <c r="C69" s="53" t="s">
        <v>189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21" si="11">SUM(G69:H69)</f>
        <v>0</v>
      </c>
      <c r="J69" s="52">
        <v>2</v>
      </c>
      <c r="K69" s="52"/>
      <c r="L69" s="65">
        <f t="shared" ref="L69:L121" si="12">SUM(J69:K69)</f>
        <v>2</v>
      </c>
      <c r="M69" s="52">
        <v>138</v>
      </c>
      <c r="N69" s="52"/>
      <c r="O69" s="65">
        <f t="shared" ref="O69:O121" si="13">SUM(M69:N69)</f>
        <v>138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140</v>
      </c>
      <c r="AA69" s="50">
        <v>236</v>
      </c>
      <c r="AB69" s="50">
        <v>38</v>
      </c>
      <c r="AC69" s="61">
        <f t="shared" ref="AC69:AC121" si="18">+AA69+AB69-Z69</f>
        <v>134</v>
      </c>
      <c r="AD69" s="50">
        <v>210</v>
      </c>
      <c r="AE69" s="67">
        <f t="shared" ref="AE69:AE121" si="19">AC69+AD69</f>
        <v>344</v>
      </c>
    </row>
    <row r="70" spans="2:31">
      <c r="B70" s="50">
        <v>1124021</v>
      </c>
      <c r="C70" s="53" t="s">
        <v>190</v>
      </c>
      <c r="D70" s="52">
        <v>8</v>
      </c>
      <c r="E70" s="52"/>
      <c r="F70" s="65">
        <f t="shared" si="10"/>
        <v>8</v>
      </c>
      <c r="G70" s="52">
        <v>12</v>
      </c>
      <c r="H70" s="52"/>
      <c r="I70" s="65">
        <f t="shared" si="11"/>
        <v>12</v>
      </c>
      <c r="J70" s="52">
        <v>9</v>
      </c>
      <c r="K70" s="52"/>
      <c r="L70" s="65">
        <f t="shared" si="12"/>
        <v>9</v>
      </c>
      <c r="M70" s="52">
        <v>17</v>
      </c>
      <c r="N70" s="52"/>
      <c r="O70" s="65">
        <f t="shared" si="13"/>
        <v>17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46</v>
      </c>
      <c r="AA70" s="50">
        <v>70</v>
      </c>
      <c r="AB70" s="50">
        <v>60</v>
      </c>
      <c r="AC70" s="61">
        <f t="shared" si="18"/>
        <v>84</v>
      </c>
      <c r="AD70" s="50">
        <v>70</v>
      </c>
      <c r="AE70" s="67">
        <f t="shared" si="19"/>
        <v>154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7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7">
        <f t="shared" si="19"/>
        <v>0</v>
      </c>
    </row>
    <row r="73" spans="2:31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7">
        <f t="shared" si="19"/>
        <v>0</v>
      </c>
    </row>
    <row r="74" spans="2:31" hidden="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7">
        <f t="shared" si="19"/>
        <v>0</v>
      </c>
    </row>
    <row r="75" spans="2:31">
      <c r="B75" s="50">
        <v>1113170</v>
      </c>
      <c r="C75" s="53" t="s">
        <v>87</v>
      </c>
      <c r="D75" s="52">
        <v>2</v>
      </c>
      <c r="E75" s="52"/>
      <c r="F75" s="65">
        <f t="shared" si="10"/>
        <v>2</v>
      </c>
      <c r="G75" s="52"/>
      <c r="H75" s="52"/>
      <c r="I75" s="65">
        <f t="shared" si="11"/>
        <v>0</v>
      </c>
      <c r="J75" s="52">
        <v>3</v>
      </c>
      <c r="K75" s="52"/>
      <c r="L75" s="65">
        <f t="shared" si="12"/>
        <v>3</v>
      </c>
      <c r="M75" s="52">
        <v>2</v>
      </c>
      <c r="N75" s="52"/>
      <c r="O75" s="65">
        <f t="shared" si="13"/>
        <v>2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7</v>
      </c>
      <c r="AA75" s="50"/>
      <c r="AB75" s="50">
        <v>13</v>
      </c>
      <c r="AC75" s="61">
        <f t="shared" si="18"/>
        <v>6</v>
      </c>
      <c r="AD75" s="50"/>
      <c r="AE75" s="67">
        <f t="shared" si="19"/>
        <v>6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/>
      <c r="AC76" s="61">
        <f t="shared" si="18"/>
        <v>0</v>
      </c>
      <c r="AD76" s="50">
        <v>10</v>
      </c>
      <c r="AE76" s="67">
        <f t="shared" si="19"/>
        <v>10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>
        <v>10</v>
      </c>
      <c r="AE77" s="67">
        <f t="shared" si="19"/>
        <v>10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>
        <v>10</v>
      </c>
      <c r="AE78" s="67">
        <f t="shared" si="19"/>
        <v>10</v>
      </c>
    </row>
    <row r="79" spans="2:31">
      <c r="B79" s="50">
        <v>1200001</v>
      </c>
      <c r="C79" s="53" t="s">
        <v>195</v>
      </c>
      <c r="D79" s="52">
        <v>50</v>
      </c>
      <c r="E79" s="52"/>
      <c r="F79" s="65">
        <f t="shared" si="10"/>
        <v>50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50</v>
      </c>
      <c r="AA79" s="50">
        <v>50</v>
      </c>
      <c r="AB79" s="50"/>
      <c r="AC79" s="61">
        <f t="shared" si="18"/>
        <v>0</v>
      </c>
      <c r="AD79" s="50"/>
      <c r="AE79" s="67">
        <f t="shared" si="19"/>
        <v>0</v>
      </c>
    </row>
    <row r="80" spans="2:31" hidden="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7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7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4</v>
      </c>
      <c r="H82" s="52"/>
      <c r="I82" s="65">
        <f t="shared" si="11"/>
        <v>4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4</v>
      </c>
      <c r="AA82" s="50"/>
      <c r="AB82" s="50"/>
      <c r="AC82" s="61">
        <f t="shared" si="18"/>
        <v>-4</v>
      </c>
      <c r="AD82" s="50"/>
      <c r="AE82" s="67">
        <f t="shared" si="19"/>
        <v>-4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5</v>
      </c>
      <c r="H83" s="52"/>
      <c r="I83" s="65">
        <f t="shared" si="11"/>
        <v>5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71">
        <v>100</v>
      </c>
      <c r="Z83" s="63">
        <f t="shared" si="17"/>
        <v>105</v>
      </c>
      <c r="AA83" s="50"/>
      <c r="AB83" s="50"/>
      <c r="AC83" s="61">
        <f t="shared" si="18"/>
        <v>-105</v>
      </c>
      <c r="AD83" s="50"/>
      <c r="AE83" s="67">
        <f t="shared" si="19"/>
        <v>-105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7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7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7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7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7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7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7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7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7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7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7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7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7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7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7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7">
        <f t="shared" si="19"/>
        <v>0</v>
      </c>
    </row>
    <row r="100" spans="2:31">
      <c r="B100" s="50">
        <v>1004062</v>
      </c>
      <c r="C100" s="53" t="s">
        <v>238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>
        <v>4</v>
      </c>
      <c r="Z100" s="63">
        <f t="shared" si="17"/>
        <v>4</v>
      </c>
      <c r="AA100" s="50">
        <v>4</v>
      </c>
      <c r="AB100" s="50"/>
      <c r="AC100" s="61">
        <f t="shared" si="18"/>
        <v>0</v>
      </c>
      <c r="AD100" s="50"/>
      <c r="AE100" s="67">
        <f t="shared" si="19"/>
        <v>0</v>
      </c>
    </row>
    <row r="101" spans="2:31">
      <c r="B101" s="50">
        <v>1004051</v>
      </c>
      <c r="C101" s="53" t="s">
        <v>239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>
        <v>3</v>
      </c>
      <c r="Z101" s="63">
        <f t="shared" si="17"/>
        <v>3</v>
      </c>
      <c r="AA101" s="50">
        <v>3</v>
      </c>
      <c r="AB101" s="50"/>
      <c r="AC101" s="61">
        <f t="shared" si="18"/>
        <v>0</v>
      </c>
      <c r="AD101" s="50"/>
      <c r="AE101" s="67">
        <f t="shared" si="19"/>
        <v>0</v>
      </c>
    </row>
    <row r="102" spans="2:31">
      <c r="B102" s="50">
        <v>1111005</v>
      </c>
      <c r="C102" s="53" t="s">
        <v>240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>
        <v>2</v>
      </c>
      <c r="Z102" s="63">
        <f t="shared" si="17"/>
        <v>2</v>
      </c>
      <c r="AA102" s="50">
        <v>2</v>
      </c>
      <c r="AB102" s="50"/>
      <c r="AC102" s="61">
        <f t="shared" si="18"/>
        <v>0</v>
      </c>
      <c r="AD102" s="50"/>
      <c r="AE102" s="67">
        <f t="shared" si="19"/>
        <v>0</v>
      </c>
    </row>
    <row r="103" spans="2:31">
      <c r="B103" s="50">
        <v>1111006</v>
      </c>
      <c r="C103" s="53" t="s">
        <v>241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>
        <v>18</v>
      </c>
      <c r="Z103" s="63">
        <f t="shared" si="17"/>
        <v>18</v>
      </c>
      <c r="AA103" s="50">
        <v>18</v>
      </c>
      <c r="AB103" s="50"/>
      <c r="AC103" s="61">
        <f t="shared" si="18"/>
        <v>0</v>
      </c>
      <c r="AD103" s="50"/>
      <c r="AE103" s="67">
        <f t="shared" si="19"/>
        <v>0</v>
      </c>
    </row>
    <row r="104" spans="2:31">
      <c r="B104" s="50">
        <v>1004048</v>
      </c>
      <c r="C104" s="53" t="s">
        <v>242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>
        <v>1</v>
      </c>
      <c r="Z104" s="63">
        <f t="shared" si="17"/>
        <v>1</v>
      </c>
      <c r="AA104" s="50">
        <v>1</v>
      </c>
      <c r="AB104" s="50"/>
      <c r="AC104" s="61">
        <f t="shared" si="18"/>
        <v>0</v>
      </c>
      <c r="AD104" s="50"/>
      <c r="AE104" s="67">
        <f t="shared" si="19"/>
        <v>0</v>
      </c>
    </row>
    <row r="105" spans="2:31" hidden="1">
      <c r="B105" s="50">
        <v>1113157</v>
      </c>
      <c r="C105" s="53" t="s">
        <v>243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7">
        <f t="shared" si="19"/>
        <v>0</v>
      </c>
    </row>
    <row r="106" spans="2:31" hidden="1">
      <c r="B106" s="50">
        <v>1004080</v>
      </c>
      <c r="C106" s="53" t="s">
        <v>244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7">
        <f t="shared" si="19"/>
        <v>0</v>
      </c>
    </row>
    <row r="107" spans="2:31" hidden="1">
      <c r="B107" s="50">
        <v>1004081</v>
      </c>
      <c r="C107" s="53" t="s">
        <v>245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7">
        <f t="shared" si="19"/>
        <v>0</v>
      </c>
    </row>
    <row r="108" spans="2:31" hidden="1">
      <c r="B108" s="50">
        <v>3001200</v>
      </c>
      <c r="C108" s="53" t="s">
        <v>246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7">
        <f t="shared" si="19"/>
        <v>0</v>
      </c>
    </row>
    <row r="109" spans="2:31" hidden="1">
      <c r="B109" s="50">
        <v>1004047</v>
      </c>
      <c r="C109" s="53" t="s">
        <v>247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7">
        <f t="shared" si="19"/>
        <v>0</v>
      </c>
    </row>
    <row r="110" spans="2:31" hidden="1">
      <c r="B110" s="50">
        <v>1004070</v>
      </c>
      <c r="C110" s="53" t="s">
        <v>248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7">
        <f t="shared" si="19"/>
        <v>0</v>
      </c>
    </row>
    <row r="111" spans="2:31" hidden="1">
      <c r="B111" s="50">
        <v>1004076</v>
      </c>
      <c r="C111" s="53" t="s">
        <v>249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7">
        <f t="shared" si="19"/>
        <v>0</v>
      </c>
    </row>
    <row r="112" spans="2:31" hidden="1">
      <c r="B112" s="50">
        <v>1004050</v>
      </c>
      <c r="C112" s="53" t="s">
        <v>250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7">
        <f t="shared" si="19"/>
        <v>0</v>
      </c>
    </row>
    <row r="113" spans="2:31" hidden="1">
      <c r="B113" s="50">
        <v>1004048</v>
      </c>
      <c r="C113" s="53" t="s">
        <v>251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7">
        <f t="shared" si="19"/>
        <v>0</v>
      </c>
    </row>
    <row r="114" spans="2:31" hidden="1">
      <c r="B114" s="50">
        <v>1007020</v>
      </c>
      <c r="C114" s="53" t="s">
        <v>253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7">
        <f t="shared" si="19"/>
        <v>0</v>
      </c>
    </row>
    <row r="115" spans="2:31" hidden="1">
      <c r="B115" s="50">
        <v>1004063</v>
      </c>
      <c r="C115" s="53" t="s">
        <v>254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7">
        <f t="shared" si="19"/>
        <v>0</v>
      </c>
    </row>
    <row r="116" spans="2:31" hidden="1">
      <c r="B116" s="50">
        <v>1004065</v>
      </c>
      <c r="C116" s="53" t="s">
        <v>255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7">
        <f t="shared" si="19"/>
        <v>0</v>
      </c>
    </row>
    <row r="117" spans="2:31" hidden="1">
      <c r="B117" s="50">
        <v>1006982</v>
      </c>
      <c r="C117" s="53" t="s">
        <v>256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7">
        <f t="shared" si="19"/>
        <v>0</v>
      </c>
    </row>
    <row r="118" spans="2:31" hidden="1">
      <c r="B118" s="50">
        <v>1006000</v>
      </c>
      <c r="C118" s="53" t="s">
        <v>257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7">
        <f t="shared" si="19"/>
        <v>0</v>
      </c>
    </row>
    <row r="119" spans="2:31" hidden="1">
      <c r="B119" s="50">
        <v>1005998</v>
      </c>
      <c r="C119" s="53" t="s">
        <v>258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7">
        <f t="shared" si="19"/>
        <v>0</v>
      </c>
    </row>
    <row r="120" spans="2:31" hidden="1">
      <c r="B120" s="50">
        <v>1005995</v>
      </c>
      <c r="C120" s="53" t="s">
        <v>259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7">
        <f t="shared" si="19"/>
        <v>0</v>
      </c>
    </row>
    <row r="121" spans="2:31" hidden="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7">
        <f t="shared" si="19"/>
        <v>0</v>
      </c>
    </row>
    <row r="122" spans="2:31" hidden="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7"/>
    </row>
    <row r="123" spans="2:31" hidden="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7"/>
    </row>
    <row r="124" spans="2:31" hidden="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7"/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7"/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7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7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7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7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7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7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7"/>
    </row>
    <row r="133" spans="2:31" hidden="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7"/>
    </row>
    <row r="134" spans="2:31" hidden="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7"/>
    </row>
    <row r="135" spans="2:31" hidden="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7"/>
    </row>
    <row r="136" spans="2:31" hidden="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7"/>
    </row>
    <row r="137" spans="2:31" hidden="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7"/>
    </row>
    <row r="138" spans="2:31" hidden="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7"/>
    </row>
    <row r="139" spans="2:31" hidden="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7"/>
    </row>
    <row r="140" spans="2:31" hidden="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7"/>
    </row>
    <row r="141" spans="2:31" hidden="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7"/>
    </row>
    <row r="142" spans="2:31" hidden="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7"/>
    </row>
    <row r="143" spans="2:31" hidden="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7"/>
    </row>
    <row r="144" spans="2:31" hidden="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7"/>
    </row>
    <row r="145" spans="2:31" hidden="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7"/>
    </row>
    <row r="146" spans="2:31" hidden="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7"/>
    </row>
    <row r="147" spans="2:31" hidden="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7"/>
    </row>
    <row r="148" spans="2:31" hidden="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7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7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7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7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7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7">
        <f t="shared" si="29"/>
        <v>0</v>
      </c>
    </row>
    <row r="154" spans="2:31" s="59" customFormat="1" ht="51.75">
      <c r="B154" s="97" t="s">
        <v>201</v>
      </c>
      <c r="C154" s="98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198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198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193</v>
      </c>
      <c r="H154" s="62">
        <f t="shared" si="31"/>
        <v>0</v>
      </c>
      <c r="I154" s="62">
        <f t="shared" si="31"/>
        <v>193</v>
      </c>
      <c r="J154" s="62">
        <f t="shared" si="31"/>
        <v>68</v>
      </c>
      <c r="K154" s="62">
        <f t="shared" si="31"/>
        <v>0</v>
      </c>
      <c r="L154" s="62">
        <f t="shared" si="31"/>
        <v>68</v>
      </c>
      <c r="M154" s="62">
        <f t="shared" si="31"/>
        <v>664</v>
      </c>
      <c r="N154" s="62">
        <f t="shared" si="31"/>
        <v>0</v>
      </c>
      <c r="O154" s="62">
        <f t="shared" si="31"/>
        <v>664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173</v>
      </c>
      <c r="Z154" s="62">
        <f t="shared" si="31"/>
        <v>1296</v>
      </c>
      <c r="AA154" s="62">
        <f t="shared" si="31"/>
        <v>1563</v>
      </c>
      <c r="AB154" s="62">
        <f t="shared" si="31"/>
        <v>751</v>
      </c>
      <c r="AC154" s="62">
        <f t="shared" si="31"/>
        <v>1018</v>
      </c>
      <c r="AD154" s="62">
        <f t="shared" si="31"/>
        <v>1540</v>
      </c>
      <c r="AE154" s="62">
        <f t="shared" si="31"/>
        <v>2558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Y2:Y3"/>
    <mergeCell ref="Z2:Z3"/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569AC-D1CF-494E-966D-63CCDF136973}">
  <sheetPr codeName="Sheet14">
    <pageSetUpPr fitToPage="1"/>
  </sheetPr>
  <dimension ref="B1:AE159"/>
  <sheetViews>
    <sheetView topLeftCell="B1" zoomScale="50" zoomScaleNormal="50" workbookViewId="0">
      <selection activeCell="AG26" sqref="AG2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bestFit="1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3" t="s">
        <v>218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</row>
    <row r="2" spans="2:31" ht="49.9" customHeight="1">
      <c r="B2" s="99" t="s">
        <v>3</v>
      </c>
      <c r="C2" s="99" t="s">
        <v>4</v>
      </c>
      <c r="D2" s="85" t="s">
        <v>5</v>
      </c>
      <c r="E2" s="86"/>
      <c r="F2" s="87"/>
      <c r="G2" s="85" t="s">
        <v>6</v>
      </c>
      <c r="H2" s="86"/>
      <c r="I2" s="87"/>
      <c r="J2" s="85" t="s">
        <v>7</v>
      </c>
      <c r="K2" s="86"/>
      <c r="L2" s="87"/>
      <c r="M2" s="85" t="s">
        <v>8</v>
      </c>
      <c r="N2" s="86"/>
      <c r="O2" s="87"/>
      <c r="P2" s="85" t="s">
        <v>132</v>
      </c>
      <c r="Q2" s="86"/>
      <c r="R2" s="87"/>
      <c r="S2" s="85" t="s">
        <v>9</v>
      </c>
      <c r="T2" s="86"/>
      <c r="U2" s="87"/>
      <c r="V2" s="88" t="s">
        <v>131</v>
      </c>
      <c r="W2" s="89"/>
      <c r="X2" s="90"/>
      <c r="Y2" s="101" t="s">
        <v>134</v>
      </c>
      <c r="Z2" s="103" t="s">
        <v>204</v>
      </c>
      <c r="AA2" s="91" t="s">
        <v>145</v>
      </c>
      <c r="AB2" s="91" t="s">
        <v>146</v>
      </c>
      <c r="AC2" s="95" t="s">
        <v>147</v>
      </c>
      <c r="AD2" s="93" t="s">
        <v>148</v>
      </c>
      <c r="AE2" s="82" t="s">
        <v>212</v>
      </c>
    </row>
    <row r="3" spans="2:31" ht="49.9" customHeight="1">
      <c r="B3" s="100"/>
      <c r="C3" s="100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102"/>
      <c r="Z3" s="104"/>
      <c r="AA3" s="92"/>
      <c r="AB3" s="92"/>
      <c r="AC3" s="96"/>
      <c r="AD3" s="94"/>
      <c r="AE3" s="82"/>
    </row>
    <row r="4" spans="2:31">
      <c r="B4" s="50">
        <v>1004055</v>
      </c>
      <c r="C4" s="51" t="s">
        <v>149</v>
      </c>
      <c r="D4" s="52">
        <v>40</v>
      </c>
      <c r="E4" s="52"/>
      <c r="F4" s="65">
        <f>SUM(D4:E4)</f>
        <v>40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52">
        <v>93</v>
      </c>
      <c r="N4" s="52"/>
      <c r="O4" s="65">
        <f>SUM(M4:N4)</f>
        <v>93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>
        <v>3</v>
      </c>
      <c r="Z4" s="63">
        <f>+F4+I4+L4+O4+R4+U4+X4+Y4</f>
        <v>136</v>
      </c>
      <c r="AA4" s="50">
        <v>63</v>
      </c>
      <c r="AB4" s="50">
        <v>43</v>
      </c>
      <c r="AC4" s="61">
        <f>+AA4+AB4-Z4</f>
        <v>-30</v>
      </c>
      <c r="AD4" s="50">
        <v>60</v>
      </c>
      <c r="AE4" s="67">
        <f>AC4+AD4</f>
        <v>30</v>
      </c>
    </row>
    <row r="5" spans="2:31">
      <c r="B5" s="50">
        <v>1111002</v>
      </c>
      <c r="C5" s="51" t="s">
        <v>150</v>
      </c>
      <c r="D5" s="52">
        <v>6</v>
      </c>
      <c r="E5" s="52"/>
      <c r="F5" s="65">
        <f t="shared" ref="F5:F68" si="0">SUM(D5:E5)</f>
        <v>6</v>
      </c>
      <c r="G5" s="52">
        <v>52</v>
      </c>
      <c r="H5" s="52"/>
      <c r="I5" s="65">
        <f t="shared" ref="I5:I68" si="1">SUM(G5:H5)</f>
        <v>52</v>
      </c>
      <c r="J5" s="52">
        <v>41</v>
      </c>
      <c r="K5" s="52"/>
      <c r="L5" s="65">
        <f t="shared" ref="L5:L68" si="2">SUM(J5:K5)</f>
        <v>41</v>
      </c>
      <c r="M5" s="52"/>
      <c r="N5" s="52"/>
      <c r="O5" s="65">
        <f t="shared" ref="O5:O68" si="3">SUM(M5:N5)</f>
        <v>0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99</v>
      </c>
      <c r="AA5" s="58">
        <v>110</v>
      </c>
      <c r="AB5" s="58">
        <v>19</v>
      </c>
      <c r="AC5" s="61">
        <f t="shared" ref="AC5:AC68" si="8">+AA5+AB5-Z5</f>
        <v>30</v>
      </c>
      <c r="AD5" s="58">
        <v>100</v>
      </c>
      <c r="AE5" s="67">
        <f t="shared" ref="AE5:AE68" si="9">AC5+AD5</f>
        <v>130</v>
      </c>
    </row>
    <row r="6" spans="2:31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7">
        <f t="shared" si="9"/>
        <v>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7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7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2</v>
      </c>
      <c r="H9" s="52"/>
      <c r="I9" s="65">
        <f t="shared" si="1"/>
        <v>2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2</v>
      </c>
      <c r="AA9" s="50"/>
      <c r="AB9" s="50"/>
      <c r="AC9" s="61">
        <f t="shared" si="8"/>
        <v>-2</v>
      </c>
      <c r="AD9" s="50"/>
      <c r="AE9" s="67">
        <f t="shared" si="9"/>
        <v>-2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>
        <v>2</v>
      </c>
      <c r="H10" s="52"/>
      <c r="I10" s="65">
        <f t="shared" si="1"/>
        <v>2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2</v>
      </c>
      <c r="AA10" s="50"/>
      <c r="AB10" s="50"/>
      <c r="AC10" s="61">
        <f t="shared" si="8"/>
        <v>-2</v>
      </c>
      <c r="AD10" s="50"/>
      <c r="AE10" s="67">
        <f t="shared" si="9"/>
        <v>-2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2</v>
      </c>
      <c r="H11" s="52"/>
      <c r="I11" s="65">
        <f t="shared" si="1"/>
        <v>2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2</v>
      </c>
      <c r="AA11" s="50"/>
      <c r="AB11" s="50"/>
      <c r="AC11" s="61">
        <f t="shared" si="8"/>
        <v>-2</v>
      </c>
      <c r="AD11" s="50"/>
      <c r="AE11" s="67">
        <f t="shared" si="9"/>
        <v>-2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2</v>
      </c>
      <c r="H12" s="52"/>
      <c r="I12" s="65">
        <f t="shared" si="1"/>
        <v>2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2</v>
      </c>
      <c r="AA12" s="50"/>
      <c r="AB12" s="50"/>
      <c r="AC12" s="61">
        <f t="shared" si="8"/>
        <v>-2</v>
      </c>
      <c r="AD12" s="50"/>
      <c r="AE12" s="67">
        <f t="shared" si="9"/>
        <v>-2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2</v>
      </c>
      <c r="H13" s="52"/>
      <c r="I13" s="65">
        <f t="shared" si="1"/>
        <v>2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2</v>
      </c>
      <c r="AA13" s="50"/>
      <c r="AB13" s="50"/>
      <c r="AC13" s="61">
        <f t="shared" si="8"/>
        <v>-2</v>
      </c>
      <c r="AD13" s="50"/>
      <c r="AE13" s="67">
        <f t="shared" si="9"/>
        <v>-2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2</v>
      </c>
      <c r="H14" s="52"/>
      <c r="I14" s="65">
        <f t="shared" si="1"/>
        <v>2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2</v>
      </c>
      <c r="AA14" s="50"/>
      <c r="AB14" s="50"/>
      <c r="AC14" s="61">
        <f t="shared" si="8"/>
        <v>-2</v>
      </c>
      <c r="AD14" s="50"/>
      <c r="AE14" s="67">
        <f t="shared" si="9"/>
        <v>-2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2</v>
      </c>
      <c r="H15" s="52"/>
      <c r="I15" s="65">
        <f t="shared" si="1"/>
        <v>2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2</v>
      </c>
      <c r="AA15" s="50"/>
      <c r="AB15" s="50"/>
      <c r="AC15" s="61">
        <f t="shared" si="8"/>
        <v>-2</v>
      </c>
      <c r="AD15" s="50"/>
      <c r="AE15" s="67">
        <f t="shared" si="9"/>
        <v>-2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1</v>
      </c>
      <c r="H16" s="52"/>
      <c r="I16" s="65">
        <f t="shared" si="1"/>
        <v>1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1</v>
      </c>
      <c r="AA16" s="50"/>
      <c r="AB16" s="50"/>
      <c r="AC16" s="61">
        <f t="shared" si="8"/>
        <v>-1</v>
      </c>
      <c r="AD16" s="50"/>
      <c r="AE16" s="67">
        <f t="shared" si="9"/>
        <v>-1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1</v>
      </c>
      <c r="H17" s="52"/>
      <c r="I17" s="65">
        <f t="shared" si="1"/>
        <v>1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1</v>
      </c>
      <c r="AA17" s="50"/>
      <c r="AB17" s="50"/>
      <c r="AC17" s="61">
        <f t="shared" si="8"/>
        <v>-1</v>
      </c>
      <c r="AD17" s="50"/>
      <c r="AE17" s="67">
        <f t="shared" si="9"/>
        <v>-1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1</v>
      </c>
      <c r="H18" s="52"/>
      <c r="I18" s="65">
        <f t="shared" si="1"/>
        <v>1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1</v>
      </c>
      <c r="AA18" s="50"/>
      <c r="AB18" s="50"/>
      <c r="AC18" s="61">
        <f t="shared" si="8"/>
        <v>-1</v>
      </c>
      <c r="AD18" s="50"/>
      <c r="AE18" s="67">
        <f t="shared" si="9"/>
        <v>-1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1</v>
      </c>
      <c r="H19" s="52"/>
      <c r="I19" s="65">
        <f t="shared" si="1"/>
        <v>1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1</v>
      </c>
      <c r="AA19" s="50"/>
      <c r="AB19" s="50"/>
      <c r="AC19" s="61">
        <f t="shared" si="8"/>
        <v>-1</v>
      </c>
      <c r="AD19" s="50"/>
      <c r="AE19" s="67">
        <f t="shared" si="9"/>
        <v>-1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>
        <v>1</v>
      </c>
      <c r="H20" s="52"/>
      <c r="I20" s="65">
        <f t="shared" si="1"/>
        <v>1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1</v>
      </c>
      <c r="AA20" s="50"/>
      <c r="AB20" s="50"/>
      <c r="AC20" s="61">
        <f t="shared" si="8"/>
        <v>-1</v>
      </c>
      <c r="AD20" s="50"/>
      <c r="AE20" s="67">
        <f t="shared" si="9"/>
        <v>-1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>
        <v>1</v>
      </c>
      <c r="H21" s="52"/>
      <c r="I21" s="65">
        <f t="shared" si="1"/>
        <v>1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1</v>
      </c>
      <c r="AA21" s="50"/>
      <c r="AB21" s="50"/>
      <c r="AC21" s="61">
        <f t="shared" si="8"/>
        <v>-1</v>
      </c>
      <c r="AD21" s="50"/>
      <c r="AE21" s="67">
        <f t="shared" si="9"/>
        <v>-1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7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7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7">
        <f t="shared" si="9"/>
        <v>0</v>
      </c>
    </row>
    <row r="25" spans="2:31">
      <c r="B25" s="50">
        <v>1111008</v>
      </c>
      <c r="C25" s="51" t="s">
        <v>156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52">
        <v>30</v>
      </c>
      <c r="N25" s="52"/>
      <c r="O25" s="65">
        <f t="shared" si="3"/>
        <v>30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30</v>
      </c>
      <c r="AA25" s="50">
        <v>50</v>
      </c>
      <c r="AB25" s="50">
        <v>13</v>
      </c>
      <c r="AC25" s="61">
        <f t="shared" si="8"/>
        <v>33</v>
      </c>
      <c r="AD25" s="50">
        <v>50</v>
      </c>
      <c r="AE25" s="67">
        <f t="shared" si="9"/>
        <v>83</v>
      </c>
    </row>
    <row r="26" spans="2:31">
      <c r="B26" s="50">
        <v>1111009</v>
      </c>
      <c r="C26" s="51" t="s">
        <v>157</v>
      </c>
      <c r="D26" s="52"/>
      <c r="E26" s="52"/>
      <c r="F26" s="65">
        <f t="shared" si="0"/>
        <v>0</v>
      </c>
      <c r="G26" s="52">
        <v>4</v>
      </c>
      <c r="H26" s="52"/>
      <c r="I26" s="65">
        <f t="shared" si="1"/>
        <v>4</v>
      </c>
      <c r="J26" s="52">
        <v>2</v>
      </c>
      <c r="K26" s="52"/>
      <c r="L26" s="65">
        <f t="shared" si="2"/>
        <v>2</v>
      </c>
      <c r="M26" s="52">
        <v>2</v>
      </c>
      <c r="N26" s="52"/>
      <c r="O26" s="65">
        <f t="shared" si="3"/>
        <v>2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8</v>
      </c>
      <c r="AA26" s="50">
        <v>80</v>
      </c>
      <c r="AB26" s="50">
        <v>20</v>
      </c>
      <c r="AC26" s="61">
        <f t="shared" si="8"/>
        <v>92</v>
      </c>
      <c r="AD26" s="50">
        <v>80</v>
      </c>
      <c r="AE26" s="67">
        <f t="shared" si="9"/>
        <v>172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7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7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7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7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7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7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7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7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7">
        <f t="shared" si="9"/>
        <v>0</v>
      </c>
    </row>
    <row r="36" spans="2:31" hidden="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7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7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7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7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7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2</v>
      </c>
      <c r="H41" s="52"/>
      <c r="I41" s="65">
        <f t="shared" si="1"/>
        <v>2</v>
      </c>
      <c r="J41" s="52">
        <v>2</v>
      </c>
      <c r="K41" s="52"/>
      <c r="L41" s="65">
        <f t="shared" si="2"/>
        <v>2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4</v>
      </c>
      <c r="AA41" s="50">
        <v>15</v>
      </c>
      <c r="AB41" s="50">
        <v>19</v>
      </c>
      <c r="AC41" s="61">
        <f t="shared" si="8"/>
        <v>30</v>
      </c>
      <c r="AD41" s="50">
        <v>10</v>
      </c>
      <c r="AE41" s="67">
        <f t="shared" si="9"/>
        <v>40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4</v>
      </c>
      <c r="H42" s="52"/>
      <c r="I42" s="65">
        <f t="shared" si="1"/>
        <v>4</v>
      </c>
      <c r="J42" s="52">
        <v>1</v>
      </c>
      <c r="K42" s="52"/>
      <c r="L42" s="65">
        <f t="shared" si="2"/>
        <v>1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5</v>
      </c>
      <c r="AA42" s="50"/>
      <c r="AB42" s="50"/>
      <c r="AC42" s="61">
        <f t="shared" si="8"/>
        <v>-5</v>
      </c>
      <c r="AD42" s="50"/>
      <c r="AE42" s="67">
        <f t="shared" si="9"/>
        <v>-5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4</v>
      </c>
      <c r="H43" s="52"/>
      <c r="I43" s="65">
        <f t="shared" si="1"/>
        <v>4</v>
      </c>
      <c r="J43" s="52">
        <v>1</v>
      </c>
      <c r="K43" s="52"/>
      <c r="L43" s="65">
        <f t="shared" si="2"/>
        <v>1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5</v>
      </c>
      <c r="AA43" s="50"/>
      <c r="AB43" s="50"/>
      <c r="AC43" s="61">
        <f t="shared" si="8"/>
        <v>-5</v>
      </c>
      <c r="AD43" s="50"/>
      <c r="AE43" s="67">
        <f t="shared" si="9"/>
        <v>-5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4</v>
      </c>
      <c r="H44" s="52"/>
      <c r="I44" s="65">
        <f t="shared" si="1"/>
        <v>4</v>
      </c>
      <c r="J44" s="52">
        <v>1</v>
      </c>
      <c r="K44" s="52"/>
      <c r="L44" s="65">
        <f t="shared" si="2"/>
        <v>1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5</v>
      </c>
      <c r="AA44" s="50"/>
      <c r="AB44" s="50"/>
      <c r="AC44" s="61">
        <f t="shared" si="8"/>
        <v>-5</v>
      </c>
      <c r="AD44" s="50"/>
      <c r="AE44" s="67">
        <f t="shared" si="9"/>
        <v>-5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4</v>
      </c>
      <c r="H45" s="52"/>
      <c r="I45" s="65">
        <f t="shared" si="1"/>
        <v>4</v>
      </c>
      <c r="J45" s="52">
        <v>1</v>
      </c>
      <c r="K45" s="52"/>
      <c r="L45" s="65">
        <f t="shared" si="2"/>
        <v>1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5</v>
      </c>
      <c r="AA45" s="50"/>
      <c r="AB45" s="50"/>
      <c r="AC45" s="61">
        <f t="shared" si="8"/>
        <v>-5</v>
      </c>
      <c r="AD45" s="50"/>
      <c r="AE45" s="67">
        <f t="shared" si="9"/>
        <v>-5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4</v>
      </c>
      <c r="H46" s="52"/>
      <c r="I46" s="65">
        <f t="shared" si="1"/>
        <v>4</v>
      </c>
      <c r="J46" s="52">
        <v>1</v>
      </c>
      <c r="K46" s="52"/>
      <c r="L46" s="65">
        <f t="shared" si="2"/>
        <v>1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5</v>
      </c>
      <c r="AA46" s="50"/>
      <c r="AB46" s="50"/>
      <c r="AC46" s="61">
        <f t="shared" si="8"/>
        <v>-5</v>
      </c>
      <c r="AD46" s="50"/>
      <c r="AE46" s="67">
        <f t="shared" si="9"/>
        <v>-5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4</v>
      </c>
      <c r="H47" s="52"/>
      <c r="I47" s="65">
        <f t="shared" si="1"/>
        <v>4</v>
      </c>
      <c r="J47" s="52">
        <v>1</v>
      </c>
      <c r="K47" s="52"/>
      <c r="L47" s="65">
        <f t="shared" si="2"/>
        <v>1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5</v>
      </c>
      <c r="AA47" s="50"/>
      <c r="AB47" s="50"/>
      <c r="AC47" s="61">
        <f t="shared" si="8"/>
        <v>-5</v>
      </c>
      <c r="AD47" s="50"/>
      <c r="AE47" s="67">
        <f t="shared" si="9"/>
        <v>-5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4</v>
      </c>
      <c r="H48" s="52"/>
      <c r="I48" s="65">
        <f t="shared" si="1"/>
        <v>4</v>
      </c>
      <c r="J48" s="52">
        <v>1</v>
      </c>
      <c r="K48" s="52"/>
      <c r="L48" s="65">
        <f t="shared" si="2"/>
        <v>1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5</v>
      </c>
      <c r="AA48" s="50"/>
      <c r="AB48" s="50"/>
      <c r="AC48" s="61">
        <f t="shared" si="8"/>
        <v>-5</v>
      </c>
      <c r="AD48" s="50"/>
      <c r="AE48" s="67">
        <f t="shared" si="9"/>
        <v>-5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4</v>
      </c>
      <c r="H49" s="52"/>
      <c r="I49" s="65">
        <f t="shared" si="1"/>
        <v>4</v>
      </c>
      <c r="J49" s="52">
        <v>1</v>
      </c>
      <c r="K49" s="52"/>
      <c r="L49" s="65">
        <f t="shared" si="2"/>
        <v>1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5</v>
      </c>
      <c r="AA49" s="50"/>
      <c r="AB49" s="50"/>
      <c r="AC49" s="61">
        <f t="shared" si="8"/>
        <v>-5</v>
      </c>
      <c r="AD49" s="50"/>
      <c r="AE49" s="67">
        <f t="shared" si="9"/>
        <v>-5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4</v>
      </c>
      <c r="H50" s="52"/>
      <c r="I50" s="65">
        <f t="shared" si="1"/>
        <v>4</v>
      </c>
      <c r="J50" s="52">
        <v>1</v>
      </c>
      <c r="K50" s="52"/>
      <c r="L50" s="65">
        <f t="shared" si="2"/>
        <v>1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5</v>
      </c>
      <c r="AA50" s="50"/>
      <c r="AB50" s="50"/>
      <c r="AC50" s="61">
        <f t="shared" si="8"/>
        <v>-5</v>
      </c>
      <c r="AD50" s="50"/>
      <c r="AE50" s="67">
        <f t="shared" si="9"/>
        <v>-5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4</v>
      </c>
      <c r="H51" s="52"/>
      <c r="I51" s="65">
        <f t="shared" si="1"/>
        <v>4</v>
      </c>
      <c r="J51" s="52">
        <v>1</v>
      </c>
      <c r="K51" s="52"/>
      <c r="L51" s="65">
        <f t="shared" si="2"/>
        <v>1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5</v>
      </c>
      <c r="AA51" s="50"/>
      <c r="AB51" s="50"/>
      <c r="AC51" s="61">
        <f t="shared" si="8"/>
        <v>-5</v>
      </c>
      <c r="AD51" s="50"/>
      <c r="AE51" s="67">
        <f t="shared" si="9"/>
        <v>-5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7">
        <f t="shared" si="9"/>
        <v>0</v>
      </c>
    </row>
    <row r="53" spans="2:31">
      <c r="B53" s="50">
        <v>1112003</v>
      </c>
      <c r="C53" s="51" t="s">
        <v>174</v>
      </c>
      <c r="D53" s="52">
        <v>14</v>
      </c>
      <c r="E53" s="52"/>
      <c r="F53" s="65">
        <f t="shared" si="0"/>
        <v>14</v>
      </c>
      <c r="G53" s="52">
        <v>1</v>
      </c>
      <c r="H53" s="52"/>
      <c r="I53" s="65">
        <f t="shared" si="1"/>
        <v>1</v>
      </c>
      <c r="J53" s="52">
        <v>1</v>
      </c>
      <c r="K53" s="52"/>
      <c r="L53" s="65">
        <f t="shared" si="2"/>
        <v>1</v>
      </c>
      <c r="M53" s="52">
        <v>29</v>
      </c>
      <c r="N53" s="52"/>
      <c r="O53" s="65">
        <f t="shared" si="3"/>
        <v>29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45</v>
      </c>
      <c r="AA53" s="50"/>
      <c r="AB53" s="50">
        <v>72</v>
      </c>
      <c r="AC53" s="61">
        <f t="shared" si="8"/>
        <v>27</v>
      </c>
      <c r="AD53" s="50"/>
      <c r="AE53" s="67">
        <f t="shared" si="9"/>
        <v>27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7">
        <f t="shared" si="9"/>
        <v>0</v>
      </c>
    </row>
    <row r="55" spans="2:31">
      <c r="B55" s="50">
        <v>1112005</v>
      </c>
      <c r="C55" s="51" t="s">
        <v>176</v>
      </c>
      <c r="D55" s="52">
        <v>14</v>
      </c>
      <c r="E55" s="52"/>
      <c r="F55" s="65">
        <f t="shared" si="0"/>
        <v>14</v>
      </c>
      <c r="G55" s="52">
        <v>1</v>
      </c>
      <c r="H55" s="52"/>
      <c r="I55" s="65">
        <f t="shared" si="1"/>
        <v>1</v>
      </c>
      <c r="J55" s="52">
        <v>1</v>
      </c>
      <c r="K55" s="52"/>
      <c r="L55" s="65">
        <f t="shared" si="2"/>
        <v>1</v>
      </c>
      <c r="M55" s="52">
        <v>29</v>
      </c>
      <c r="N55" s="52"/>
      <c r="O55" s="65">
        <f t="shared" si="3"/>
        <v>29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45</v>
      </c>
      <c r="AA55" s="50">
        <v>70</v>
      </c>
      <c r="AB55" s="50">
        <v>63</v>
      </c>
      <c r="AC55" s="61">
        <f t="shared" si="8"/>
        <v>88</v>
      </c>
      <c r="AD55" s="50">
        <v>70</v>
      </c>
      <c r="AE55" s="67">
        <f t="shared" si="9"/>
        <v>158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7">
        <f t="shared" si="9"/>
        <v>0</v>
      </c>
    </row>
    <row r="57" spans="2:31">
      <c r="B57" s="50">
        <v>1112009</v>
      </c>
      <c r="C57" s="51" t="s">
        <v>178</v>
      </c>
      <c r="D57" s="52">
        <v>18</v>
      </c>
      <c r="E57" s="52"/>
      <c r="F57" s="65">
        <f t="shared" si="0"/>
        <v>18</v>
      </c>
      <c r="G57" s="52"/>
      <c r="H57" s="52"/>
      <c r="I57" s="65">
        <f t="shared" si="1"/>
        <v>0</v>
      </c>
      <c r="J57" s="52">
        <v>1</v>
      </c>
      <c r="K57" s="52"/>
      <c r="L57" s="65">
        <f t="shared" si="2"/>
        <v>1</v>
      </c>
      <c r="M57" s="52">
        <v>29</v>
      </c>
      <c r="N57" s="52"/>
      <c r="O57" s="65">
        <f t="shared" si="3"/>
        <v>29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48</v>
      </c>
      <c r="AA57" s="50">
        <v>70</v>
      </c>
      <c r="AB57" s="50">
        <v>70</v>
      </c>
      <c r="AC57" s="61">
        <f t="shared" si="8"/>
        <v>92</v>
      </c>
      <c r="AD57" s="50">
        <v>70</v>
      </c>
      <c r="AE57" s="67">
        <f t="shared" si="9"/>
        <v>162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7">
        <f t="shared" si="9"/>
        <v>0</v>
      </c>
    </row>
    <row r="59" spans="2:31">
      <c r="B59" s="50">
        <v>1112011</v>
      </c>
      <c r="C59" s="51" t="s">
        <v>180</v>
      </c>
      <c r="D59" s="52">
        <v>17</v>
      </c>
      <c r="E59" s="52"/>
      <c r="F59" s="65">
        <f t="shared" si="0"/>
        <v>17</v>
      </c>
      <c r="G59" s="52"/>
      <c r="H59" s="52"/>
      <c r="I59" s="65">
        <f t="shared" si="1"/>
        <v>0</v>
      </c>
      <c r="J59" s="52">
        <v>9</v>
      </c>
      <c r="K59" s="52"/>
      <c r="L59" s="65">
        <f t="shared" si="2"/>
        <v>9</v>
      </c>
      <c r="M59" s="52">
        <v>29</v>
      </c>
      <c r="N59" s="52"/>
      <c r="O59" s="65">
        <f t="shared" si="3"/>
        <v>29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55</v>
      </c>
      <c r="AA59" s="50">
        <v>70</v>
      </c>
      <c r="AB59" s="50">
        <v>64</v>
      </c>
      <c r="AC59" s="61">
        <f t="shared" si="8"/>
        <v>79</v>
      </c>
      <c r="AD59" s="50">
        <v>70</v>
      </c>
      <c r="AE59" s="67">
        <f t="shared" si="9"/>
        <v>149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7">
        <f t="shared" si="9"/>
        <v>0</v>
      </c>
    </row>
    <row r="61" spans="2:31">
      <c r="B61" s="50">
        <v>1112013</v>
      </c>
      <c r="C61" s="51" t="s">
        <v>182</v>
      </c>
      <c r="D61" s="52">
        <v>13</v>
      </c>
      <c r="E61" s="52"/>
      <c r="F61" s="65">
        <f t="shared" si="0"/>
        <v>13</v>
      </c>
      <c r="G61" s="52">
        <v>1</v>
      </c>
      <c r="H61" s="52"/>
      <c r="I61" s="65">
        <f t="shared" si="1"/>
        <v>1</v>
      </c>
      <c r="J61" s="52">
        <v>1</v>
      </c>
      <c r="K61" s="52"/>
      <c r="L61" s="65">
        <f t="shared" si="2"/>
        <v>1</v>
      </c>
      <c r="M61" s="52">
        <v>29</v>
      </c>
      <c r="N61" s="52"/>
      <c r="O61" s="65">
        <f t="shared" si="3"/>
        <v>29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44</v>
      </c>
      <c r="AA61" s="50">
        <v>70</v>
      </c>
      <c r="AB61" s="50">
        <v>33</v>
      </c>
      <c r="AC61" s="61">
        <f t="shared" si="8"/>
        <v>59</v>
      </c>
      <c r="AD61" s="50">
        <v>70</v>
      </c>
      <c r="AE61" s="67">
        <f t="shared" si="9"/>
        <v>129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7">
        <f t="shared" si="9"/>
        <v>0</v>
      </c>
    </row>
    <row r="63" spans="2:31">
      <c r="B63" s="50">
        <v>1112015</v>
      </c>
      <c r="C63" s="51" t="s">
        <v>184</v>
      </c>
      <c r="D63" s="52">
        <v>14</v>
      </c>
      <c r="E63" s="52"/>
      <c r="F63" s="65">
        <f t="shared" si="0"/>
        <v>14</v>
      </c>
      <c r="G63" s="52">
        <v>1</v>
      </c>
      <c r="H63" s="52"/>
      <c r="I63" s="65">
        <f t="shared" si="1"/>
        <v>1</v>
      </c>
      <c r="J63" s="52">
        <v>1</v>
      </c>
      <c r="K63" s="52"/>
      <c r="L63" s="65">
        <f t="shared" si="2"/>
        <v>1</v>
      </c>
      <c r="M63" s="52">
        <v>29</v>
      </c>
      <c r="N63" s="52"/>
      <c r="O63" s="65">
        <f t="shared" si="3"/>
        <v>29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45</v>
      </c>
      <c r="AA63" s="50">
        <v>70</v>
      </c>
      <c r="AB63" s="50">
        <v>37</v>
      </c>
      <c r="AC63" s="61">
        <f t="shared" si="8"/>
        <v>62</v>
      </c>
      <c r="AD63" s="50">
        <v>70</v>
      </c>
      <c r="AE63" s="67">
        <f t="shared" si="9"/>
        <v>132</v>
      </c>
    </row>
    <row r="64" spans="2:3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7">
        <f t="shared" si="9"/>
        <v>0</v>
      </c>
    </row>
    <row r="65" spans="2:3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7">
        <f t="shared" si="9"/>
        <v>0</v>
      </c>
    </row>
    <row r="66" spans="2:3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7">
        <f t="shared" si="9"/>
        <v>0</v>
      </c>
    </row>
    <row r="67" spans="2:31">
      <c r="B67" s="50">
        <v>1114501</v>
      </c>
      <c r="C67" s="53" t="s">
        <v>187</v>
      </c>
      <c r="D67" s="52">
        <v>1</v>
      </c>
      <c r="E67" s="52"/>
      <c r="F67" s="65">
        <f t="shared" si="0"/>
        <v>1</v>
      </c>
      <c r="G67" s="52">
        <v>13</v>
      </c>
      <c r="H67" s="52"/>
      <c r="I67" s="65">
        <f t="shared" si="1"/>
        <v>13</v>
      </c>
      <c r="J67" s="52">
        <v>12</v>
      </c>
      <c r="K67" s="52"/>
      <c r="L67" s="65">
        <f t="shared" si="2"/>
        <v>12</v>
      </c>
      <c r="M67" s="52">
        <v>176</v>
      </c>
      <c r="N67" s="52"/>
      <c r="O67" s="65">
        <f t="shared" si="3"/>
        <v>176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202</v>
      </c>
      <c r="AA67" s="50">
        <v>551</v>
      </c>
      <c r="AB67" s="50">
        <v>71</v>
      </c>
      <c r="AC67" s="61">
        <f t="shared" si="8"/>
        <v>420</v>
      </c>
      <c r="AD67" s="50">
        <v>300</v>
      </c>
      <c r="AE67" s="67">
        <f t="shared" si="9"/>
        <v>720</v>
      </c>
    </row>
    <row r="68" spans="2:31">
      <c r="B68" s="50">
        <v>1114502</v>
      </c>
      <c r="C68" s="53" t="s">
        <v>188</v>
      </c>
      <c r="D68" s="52">
        <v>1</v>
      </c>
      <c r="E68" s="52"/>
      <c r="F68" s="65">
        <f t="shared" si="0"/>
        <v>1</v>
      </c>
      <c r="G68" s="52">
        <v>1</v>
      </c>
      <c r="H68" s="52"/>
      <c r="I68" s="65">
        <f t="shared" si="1"/>
        <v>1</v>
      </c>
      <c r="J68" s="52">
        <v>2</v>
      </c>
      <c r="K68" s="52"/>
      <c r="L68" s="65">
        <f t="shared" si="2"/>
        <v>2</v>
      </c>
      <c r="M68" s="52">
        <v>128</v>
      </c>
      <c r="N68" s="52"/>
      <c r="O68" s="65">
        <f t="shared" si="3"/>
        <v>128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132</v>
      </c>
      <c r="AA68" s="50">
        <v>311</v>
      </c>
      <c r="AB68" s="50">
        <v>26</v>
      </c>
      <c r="AC68" s="61">
        <f t="shared" si="8"/>
        <v>205</v>
      </c>
      <c r="AD68" s="50">
        <v>210</v>
      </c>
      <c r="AE68" s="67">
        <f t="shared" si="9"/>
        <v>415</v>
      </c>
    </row>
    <row r="69" spans="2:31">
      <c r="B69" s="50">
        <v>1114503</v>
      </c>
      <c r="C69" s="53" t="s">
        <v>189</v>
      </c>
      <c r="D69" s="52">
        <v>1</v>
      </c>
      <c r="E69" s="52"/>
      <c r="F69" s="65">
        <f t="shared" ref="F69:F132" si="10">SUM(D69:E69)</f>
        <v>1</v>
      </c>
      <c r="G69" s="52">
        <v>1</v>
      </c>
      <c r="H69" s="52"/>
      <c r="I69" s="65">
        <f t="shared" ref="I69:I121" si="11">SUM(G69:H69)</f>
        <v>1</v>
      </c>
      <c r="J69" s="52">
        <v>5</v>
      </c>
      <c r="K69" s="52"/>
      <c r="L69" s="65">
        <f t="shared" ref="L69:L121" si="12">SUM(J69:K69)</f>
        <v>5</v>
      </c>
      <c r="M69" s="52">
        <v>128</v>
      </c>
      <c r="N69" s="52"/>
      <c r="O69" s="65">
        <f t="shared" ref="O69:O121" si="13">SUM(M69:N69)</f>
        <v>128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135</v>
      </c>
      <c r="AA69" s="50">
        <v>286</v>
      </c>
      <c r="AB69" s="50">
        <v>63</v>
      </c>
      <c r="AC69" s="61">
        <f t="shared" ref="AC69:AC121" si="18">+AA69+AB69-Z69</f>
        <v>214</v>
      </c>
      <c r="AD69" s="50">
        <v>210</v>
      </c>
      <c r="AE69" s="67">
        <f t="shared" ref="AE69:AE121" si="19">AC69+AD69</f>
        <v>424</v>
      </c>
    </row>
    <row r="70" spans="2:31">
      <c r="B70" s="50">
        <v>1124021</v>
      </c>
      <c r="C70" s="53" t="s">
        <v>190</v>
      </c>
      <c r="D70" s="52">
        <v>6</v>
      </c>
      <c r="E70" s="52"/>
      <c r="F70" s="65">
        <f t="shared" si="10"/>
        <v>6</v>
      </c>
      <c r="G70" s="52">
        <v>1</v>
      </c>
      <c r="H70" s="52"/>
      <c r="I70" s="65">
        <f t="shared" si="11"/>
        <v>1</v>
      </c>
      <c r="J70" s="52">
        <v>1</v>
      </c>
      <c r="K70" s="52"/>
      <c r="L70" s="65">
        <f t="shared" si="12"/>
        <v>1</v>
      </c>
      <c r="M70" s="52">
        <v>60</v>
      </c>
      <c r="N70" s="52"/>
      <c r="O70" s="65">
        <f t="shared" si="13"/>
        <v>60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68</v>
      </c>
      <c r="AA70" s="50">
        <v>70</v>
      </c>
      <c r="AB70" s="50"/>
      <c r="AC70" s="61">
        <f t="shared" si="18"/>
        <v>2</v>
      </c>
      <c r="AD70" s="50">
        <v>70</v>
      </c>
      <c r="AE70" s="67">
        <f t="shared" si="19"/>
        <v>72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7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7">
        <f t="shared" si="19"/>
        <v>0</v>
      </c>
    </row>
    <row r="73" spans="2:31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7">
        <f t="shared" si="19"/>
        <v>0</v>
      </c>
    </row>
    <row r="74" spans="2:3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>
        <v>10</v>
      </c>
      <c r="Z74" s="63">
        <f t="shared" si="17"/>
        <v>10</v>
      </c>
      <c r="AA74" s="58">
        <v>10</v>
      </c>
      <c r="AB74" s="58"/>
      <c r="AC74" s="61">
        <f t="shared" si="18"/>
        <v>0</v>
      </c>
      <c r="AD74" s="58"/>
      <c r="AE74" s="67">
        <f t="shared" si="19"/>
        <v>0</v>
      </c>
    </row>
    <row r="75" spans="2:31">
      <c r="B75" s="50">
        <v>1113170</v>
      </c>
      <c r="C75" s="53" t="s">
        <v>87</v>
      </c>
      <c r="D75" s="52">
        <v>6</v>
      </c>
      <c r="E75" s="52"/>
      <c r="F75" s="65">
        <f t="shared" si="10"/>
        <v>6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52"/>
      <c r="N75" s="52"/>
      <c r="O75" s="65">
        <f t="shared" si="13"/>
        <v>0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6</v>
      </c>
      <c r="AA75" s="50"/>
      <c r="AB75" s="50">
        <v>6</v>
      </c>
      <c r="AC75" s="61">
        <f t="shared" si="18"/>
        <v>0</v>
      </c>
      <c r="AD75" s="50"/>
      <c r="AE75" s="67">
        <f t="shared" si="19"/>
        <v>0</v>
      </c>
    </row>
    <row r="76" spans="2:31">
      <c r="B76" s="50">
        <v>1113171</v>
      </c>
      <c r="C76" s="53" t="s">
        <v>88</v>
      </c>
      <c r="D76" s="52">
        <v>2</v>
      </c>
      <c r="E76" s="52"/>
      <c r="F76" s="65">
        <f t="shared" si="10"/>
        <v>2</v>
      </c>
      <c r="G76" s="52"/>
      <c r="H76" s="52"/>
      <c r="I76" s="65">
        <f t="shared" si="11"/>
        <v>0</v>
      </c>
      <c r="J76" s="52">
        <v>3</v>
      </c>
      <c r="K76" s="52"/>
      <c r="L76" s="65">
        <f t="shared" si="12"/>
        <v>3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5</v>
      </c>
      <c r="AA76" s="50">
        <v>10</v>
      </c>
      <c r="AB76" s="50"/>
      <c r="AC76" s="61">
        <f t="shared" si="18"/>
        <v>5</v>
      </c>
      <c r="AD76" s="50"/>
      <c r="AE76" s="67">
        <f t="shared" si="19"/>
        <v>5</v>
      </c>
    </row>
    <row r="77" spans="2:31">
      <c r="B77" s="50">
        <v>1113172</v>
      </c>
      <c r="C77" s="53" t="s">
        <v>89</v>
      </c>
      <c r="D77" s="52">
        <v>9</v>
      </c>
      <c r="E77" s="52"/>
      <c r="F77" s="65">
        <f t="shared" si="10"/>
        <v>9</v>
      </c>
      <c r="G77" s="52"/>
      <c r="H77" s="52"/>
      <c r="I77" s="65">
        <f t="shared" si="11"/>
        <v>0</v>
      </c>
      <c r="J77" s="52">
        <v>1</v>
      </c>
      <c r="K77" s="52"/>
      <c r="L77" s="65">
        <f t="shared" si="12"/>
        <v>1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10</v>
      </c>
      <c r="AA77" s="50">
        <v>10</v>
      </c>
      <c r="AB77" s="50"/>
      <c r="AC77" s="61">
        <f t="shared" si="18"/>
        <v>0</v>
      </c>
      <c r="AD77" s="50"/>
      <c r="AE77" s="67">
        <f t="shared" si="19"/>
        <v>0</v>
      </c>
    </row>
    <row r="78" spans="2:31">
      <c r="B78" s="50">
        <v>1113173</v>
      </c>
      <c r="C78" s="53" t="s">
        <v>90</v>
      </c>
      <c r="D78" s="52">
        <v>3</v>
      </c>
      <c r="E78" s="52"/>
      <c r="F78" s="65">
        <f t="shared" si="10"/>
        <v>3</v>
      </c>
      <c r="G78" s="52"/>
      <c r="H78" s="52"/>
      <c r="I78" s="65">
        <f t="shared" si="11"/>
        <v>0</v>
      </c>
      <c r="J78" s="52">
        <v>4</v>
      </c>
      <c r="K78" s="52"/>
      <c r="L78" s="65">
        <f t="shared" si="12"/>
        <v>4</v>
      </c>
      <c r="M78" s="52">
        <v>1</v>
      </c>
      <c r="N78" s="52"/>
      <c r="O78" s="65">
        <f t="shared" si="13"/>
        <v>1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8</v>
      </c>
      <c r="AA78" s="50">
        <v>10</v>
      </c>
      <c r="AB78" s="50"/>
      <c r="AC78" s="61">
        <f t="shared" si="18"/>
        <v>2</v>
      </c>
      <c r="AD78" s="50"/>
      <c r="AE78" s="67">
        <f t="shared" si="19"/>
        <v>2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7">
        <f t="shared" si="19"/>
        <v>0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7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7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1</v>
      </c>
      <c r="H82" s="52"/>
      <c r="I82" s="65">
        <f t="shared" si="11"/>
        <v>1</v>
      </c>
      <c r="J82" s="52">
        <v>3</v>
      </c>
      <c r="K82" s="52"/>
      <c r="L82" s="65">
        <f t="shared" si="12"/>
        <v>3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4</v>
      </c>
      <c r="AA82" s="50"/>
      <c r="AB82" s="50"/>
      <c r="AC82" s="61">
        <f t="shared" si="18"/>
        <v>-4</v>
      </c>
      <c r="AD82" s="50"/>
      <c r="AE82" s="67">
        <f t="shared" si="19"/>
        <v>-4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2</v>
      </c>
      <c r="H83" s="52"/>
      <c r="I83" s="65">
        <f t="shared" si="11"/>
        <v>2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2</v>
      </c>
      <c r="AA83" s="50"/>
      <c r="AB83" s="50"/>
      <c r="AC83" s="61">
        <f t="shared" si="18"/>
        <v>-2</v>
      </c>
      <c r="AD83" s="50"/>
      <c r="AE83" s="67">
        <f t="shared" si="19"/>
        <v>-2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7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7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7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7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7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7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7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7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7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7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7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7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7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7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7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7">
        <f t="shared" si="19"/>
        <v>0</v>
      </c>
    </row>
    <row r="100" spans="2:31" hidden="1">
      <c r="B100" s="50">
        <v>1004062</v>
      </c>
      <c r="C100" s="53" t="s">
        <v>238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7">
        <f t="shared" si="19"/>
        <v>0</v>
      </c>
    </row>
    <row r="101" spans="2:31">
      <c r="B101" s="50">
        <v>1004051</v>
      </c>
      <c r="C101" s="53" t="s">
        <v>239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>
        <v>3</v>
      </c>
      <c r="Z101" s="63">
        <f t="shared" si="17"/>
        <v>3</v>
      </c>
      <c r="AA101" s="50">
        <v>3</v>
      </c>
      <c r="AB101" s="50"/>
      <c r="AC101" s="61">
        <f t="shared" si="18"/>
        <v>0</v>
      </c>
      <c r="AD101" s="50"/>
      <c r="AE101" s="67">
        <f t="shared" si="19"/>
        <v>0</v>
      </c>
    </row>
    <row r="102" spans="2:31">
      <c r="B102" s="50">
        <v>1111005</v>
      </c>
      <c r="C102" s="53" t="s">
        <v>240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7">
        <f t="shared" si="19"/>
        <v>0</v>
      </c>
    </row>
    <row r="103" spans="2:31">
      <c r="B103" s="50">
        <v>1111006</v>
      </c>
      <c r="C103" s="53" t="s">
        <v>241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7">
        <f t="shared" si="19"/>
        <v>0</v>
      </c>
    </row>
    <row r="104" spans="2:31">
      <c r="B104" s="50">
        <v>1004048</v>
      </c>
      <c r="C104" s="53" t="s">
        <v>242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>
        <v>3</v>
      </c>
      <c r="Z104" s="63">
        <f t="shared" si="17"/>
        <v>3</v>
      </c>
      <c r="AA104" s="50">
        <v>3</v>
      </c>
      <c r="AB104" s="50"/>
      <c r="AC104" s="61">
        <f t="shared" si="18"/>
        <v>0</v>
      </c>
      <c r="AD104" s="50"/>
      <c r="AE104" s="67">
        <f t="shared" si="19"/>
        <v>0</v>
      </c>
    </row>
    <row r="105" spans="2:31">
      <c r="B105" s="50">
        <v>1113157</v>
      </c>
      <c r="C105" s="53" t="s">
        <v>243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7">
        <f t="shared" si="19"/>
        <v>0</v>
      </c>
    </row>
    <row r="106" spans="2:31">
      <c r="B106" s="50">
        <v>1004081</v>
      </c>
      <c r="C106" s="53" t="s">
        <v>244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>
        <v>3</v>
      </c>
      <c r="Z106" s="63">
        <f t="shared" si="17"/>
        <v>3</v>
      </c>
      <c r="AA106" s="50">
        <v>3</v>
      </c>
      <c r="AB106" s="50"/>
      <c r="AC106" s="61">
        <f t="shared" si="18"/>
        <v>0</v>
      </c>
      <c r="AD106" s="50"/>
      <c r="AE106" s="67">
        <f t="shared" si="19"/>
        <v>0</v>
      </c>
    </row>
    <row r="107" spans="2:31" hidden="1">
      <c r="B107" s="50">
        <v>1004080</v>
      </c>
      <c r="C107" s="53" t="s">
        <v>245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7">
        <f t="shared" si="19"/>
        <v>0</v>
      </c>
    </row>
    <row r="108" spans="2:31" hidden="1">
      <c r="B108" s="50">
        <v>3001200</v>
      </c>
      <c r="C108" s="53" t="s">
        <v>246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7">
        <f t="shared" si="19"/>
        <v>0</v>
      </c>
    </row>
    <row r="109" spans="2:31" hidden="1">
      <c r="B109" s="50">
        <v>1004047</v>
      </c>
      <c r="C109" s="53" t="s">
        <v>247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7">
        <f t="shared" si="19"/>
        <v>0</v>
      </c>
    </row>
    <row r="110" spans="2:31">
      <c r="B110" s="50">
        <v>1004070</v>
      </c>
      <c r="C110" s="53" t="s">
        <v>248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7">
        <f t="shared" si="19"/>
        <v>0</v>
      </c>
    </row>
    <row r="111" spans="2:31">
      <c r="B111" s="50">
        <v>1004076</v>
      </c>
      <c r="C111" s="53" t="s">
        <v>249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>
        <v>5</v>
      </c>
      <c r="Z111" s="63">
        <f t="shared" si="17"/>
        <v>5</v>
      </c>
      <c r="AA111" s="50">
        <v>5</v>
      </c>
      <c r="AB111" s="50"/>
      <c r="AC111" s="61">
        <f t="shared" si="18"/>
        <v>0</v>
      </c>
      <c r="AD111" s="50"/>
      <c r="AE111" s="67">
        <f t="shared" si="19"/>
        <v>0</v>
      </c>
    </row>
    <row r="112" spans="2:31" hidden="1">
      <c r="B112" s="50">
        <v>1004050</v>
      </c>
      <c r="C112" s="53" t="s">
        <v>250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7">
        <f t="shared" si="19"/>
        <v>0</v>
      </c>
    </row>
    <row r="113" spans="2:31" hidden="1">
      <c r="B113" s="50">
        <v>1004048</v>
      </c>
      <c r="C113" s="53" t="s">
        <v>251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7">
        <f t="shared" si="19"/>
        <v>0</v>
      </c>
    </row>
    <row r="114" spans="2:31">
      <c r="B114" s="50">
        <v>1007020</v>
      </c>
      <c r="C114" s="53" t="s">
        <v>253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>
        <v>3</v>
      </c>
      <c r="Z114" s="63">
        <f t="shared" si="17"/>
        <v>3</v>
      </c>
      <c r="AA114" s="50">
        <v>3</v>
      </c>
      <c r="AB114" s="50"/>
      <c r="AC114" s="61">
        <f t="shared" si="18"/>
        <v>0</v>
      </c>
      <c r="AD114" s="50"/>
      <c r="AE114" s="67">
        <f t="shared" si="19"/>
        <v>0</v>
      </c>
    </row>
    <row r="115" spans="2:31" hidden="1">
      <c r="B115" s="50">
        <v>1004063</v>
      </c>
      <c r="C115" s="53" t="s">
        <v>254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7">
        <f t="shared" si="19"/>
        <v>0</v>
      </c>
    </row>
    <row r="116" spans="2:31" hidden="1">
      <c r="B116" s="50">
        <v>1004065</v>
      </c>
      <c r="C116" s="53" t="s">
        <v>255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7">
        <f t="shared" si="19"/>
        <v>0</v>
      </c>
    </row>
    <row r="117" spans="2:31" hidden="1">
      <c r="B117" s="50">
        <v>1006982</v>
      </c>
      <c r="C117" s="53" t="s">
        <v>256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7">
        <f t="shared" si="19"/>
        <v>0</v>
      </c>
    </row>
    <row r="118" spans="2:31">
      <c r="B118" s="50">
        <v>1006000</v>
      </c>
      <c r="C118" s="53" t="s">
        <v>257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>
        <v>10</v>
      </c>
      <c r="Z118" s="63">
        <f t="shared" si="17"/>
        <v>10</v>
      </c>
      <c r="AA118" s="50">
        <v>10</v>
      </c>
      <c r="AB118" s="50"/>
      <c r="AC118" s="61">
        <f t="shared" si="18"/>
        <v>0</v>
      </c>
      <c r="AD118" s="50"/>
      <c r="AE118" s="67">
        <f t="shared" si="19"/>
        <v>0</v>
      </c>
    </row>
    <row r="119" spans="2:31">
      <c r="B119" s="50">
        <v>1005998</v>
      </c>
      <c r="C119" s="53" t="s">
        <v>258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>
        <v>10</v>
      </c>
      <c r="Z119" s="63">
        <f t="shared" si="17"/>
        <v>10</v>
      </c>
      <c r="AA119" s="50">
        <v>10</v>
      </c>
      <c r="AB119" s="50"/>
      <c r="AC119" s="61">
        <f t="shared" si="18"/>
        <v>0</v>
      </c>
      <c r="AD119" s="50"/>
      <c r="AE119" s="67">
        <f t="shared" si="19"/>
        <v>0</v>
      </c>
    </row>
    <row r="120" spans="2:31" hidden="1">
      <c r="B120" s="50">
        <v>1005995</v>
      </c>
      <c r="C120" s="53" t="s">
        <v>259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7">
        <f t="shared" si="19"/>
        <v>0</v>
      </c>
    </row>
    <row r="121" spans="2:31" hidden="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7">
        <f t="shared" si="19"/>
        <v>0</v>
      </c>
    </row>
    <row r="122" spans="2:31" hidden="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7"/>
    </row>
    <row r="123" spans="2:31" hidden="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7"/>
    </row>
    <row r="124" spans="2:31" hidden="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7"/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7"/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7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7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7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7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7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7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7"/>
    </row>
    <row r="133" spans="2:31" hidden="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7"/>
    </row>
    <row r="134" spans="2:31" hidden="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7"/>
    </row>
    <row r="135" spans="2:31" hidden="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7"/>
    </row>
    <row r="136" spans="2:31" hidden="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7"/>
    </row>
    <row r="137" spans="2:31" hidden="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7"/>
    </row>
    <row r="138" spans="2:31" hidden="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7"/>
    </row>
    <row r="139" spans="2:31" hidden="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7"/>
    </row>
    <row r="140" spans="2:31" hidden="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7"/>
    </row>
    <row r="141" spans="2:31" hidden="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7"/>
    </row>
    <row r="142" spans="2:31" hidden="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7"/>
    </row>
    <row r="143" spans="2:31" hidden="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7"/>
    </row>
    <row r="144" spans="2:31" hidden="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7"/>
    </row>
    <row r="145" spans="2:31" hidden="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7"/>
    </row>
    <row r="146" spans="2:31" hidden="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7"/>
    </row>
    <row r="147" spans="2:31" hidden="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7"/>
    </row>
    <row r="148" spans="2:31" hidden="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7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7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7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7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7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7">
        <f t="shared" si="29"/>
        <v>0</v>
      </c>
    </row>
    <row r="154" spans="2:31" s="59" customFormat="1" ht="51.75">
      <c r="B154" s="97" t="s">
        <v>201</v>
      </c>
      <c r="C154" s="98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165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165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141</v>
      </c>
      <c r="H154" s="62">
        <f t="shared" si="31"/>
        <v>0</v>
      </c>
      <c r="I154" s="62">
        <f t="shared" si="31"/>
        <v>141</v>
      </c>
      <c r="J154" s="62">
        <f t="shared" si="31"/>
        <v>100</v>
      </c>
      <c r="K154" s="62">
        <f t="shared" si="31"/>
        <v>0</v>
      </c>
      <c r="L154" s="62">
        <f t="shared" si="31"/>
        <v>100</v>
      </c>
      <c r="M154" s="62">
        <f t="shared" si="31"/>
        <v>792</v>
      </c>
      <c r="N154" s="62">
        <f t="shared" si="31"/>
        <v>0</v>
      </c>
      <c r="O154" s="62">
        <f t="shared" si="31"/>
        <v>792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50</v>
      </c>
      <c r="Z154" s="62">
        <f t="shared" si="31"/>
        <v>1248</v>
      </c>
      <c r="AA154" s="62">
        <f t="shared" si="31"/>
        <v>1963</v>
      </c>
      <c r="AB154" s="62">
        <f t="shared" si="31"/>
        <v>619</v>
      </c>
      <c r="AC154" s="62">
        <f t="shared" si="31"/>
        <v>1334</v>
      </c>
      <c r="AD154" s="62">
        <f t="shared" si="31"/>
        <v>1440</v>
      </c>
      <c r="AE154" s="62">
        <f t="shared" si="31"/>
        <v>2774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Y2:Y3"/>
    <mergeCell ref="Z2:Z3"/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D5A5C-FFD4-4A3E-B14A-6DDDC17A7A6F}">
  <sheetPr codeName="Sheet15">
    <pageSetUpPr fitToPage="1"/>
  </sheetPr>
  <dimension ref="B1:AG159"/>
  <sheetViews>
    <sheetView topLeftCell="C1" zoomScale="50" zoomScaleNormal="50" workbookViewId="0">
      <selection activeCell="G8" sqref="G8:G19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5" width="14.28515625" style="56" customWidth="1"/>
    <col min="26" max="26" width="19.5703125" style="57" bestFit="1" customWidth="1"/>
    <col min="27" max="30" width="20.7109375" style="48" customWidth="1"/>
    <col min="31" max="31" width="23.85546875" style="49" customWidth="1"/>
    <col min="32" max="32" width="22.7109375" style="49" customWidth="1"/>
    <col min="33" max="33" width="8.85546875" style="49" customWidth="1"/>
    <col min="34" max="16384" width="8.85546875" style="49"/>
  </cols>
  <sheetData>
    <row r="1" spans="2:31" ht="68.25">
      <c r="B1" s="83" t="s">
        <v>219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</row>
    <row r="2" spans="2:31" ht="49.9" customHeight="1">
      <c r="B2" s="99" t="s">
        <v>3</v>
      </c>
      <c r="C2" s="99" t="s">
        <v>4</v>
      </c>
      <c r="D2" s="85" t="s">
        <v>5</v>
      </c>
      <c r="E2" s="86"/>
      <c r="F2" s="87"/>
      <c r="G2" s="85" t="s">
        <v>6</v>
      </c>
      <c r="H2" s="86"/>
      <c r="I2" s="87"/>
      <c r="J2" s="85" t="s">
        <v>7</v>
      </c>
      <c r="K2" s="86"/>
      <c r="L2" s="87"/>
      <c r="M2" s="85" t="s">
        <v>8</v>
      </c>
      <c r="N2" s="86"/>
      <c r="O2" s="87"/>
      <c r="P2" s="85" t="s">
        <v>132</v>
      </c>
      <c r="Q2" s="86"/>
      <c r="R2" s="87"/>
      <c r="S2" s="85" t="s">
        <v>9</v>
      </c>
      <c r="T2" s="86"/>
      <c r="U2" s="87"/>
      <c r="V2" s="88" t="s">
        <v>131</v>
      </c>
      <c r="W2" s="89"/>
      <c r="X2" s="90"/>
      <c r="Y2" s="101" t="s">
        <v>134</v>
      </c>
      <c r="Z2" s="103" t="s">
        <v>204</v>
      </c>
      <c r="AA2" s="91" t="s">
        <v>145</v>
      </c>
      <c r="AB2" s="91" t="s">
        <v>146</v>
      </c>
      <c r="AC2" s="95" t="s">
        <v>147</v>
      </c>
      <c r="AD2" s="93" t="s">
        <v>148</v>
      </c>
      <c r="AE2" s="82" t="s">
        <v>212</v>
      </c>
    </row>
    <row r="3" spans="2:31" ht="49.9" customHeight="1">
      <c r="B3" s="100"/>
      <c r="C3" s="100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102"/>
      <c r="Z3" s="104"/>
      <c r="AA3" s="92"/>
      <c r="AB3" s="92"/>
      <c r="AC3" s="96"/>
      <c r="AD3" s="94"/>
      <c r="AE3" s="82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52">
        <v>48</v>
      </c>
      <c r="N4" s="52"/>
      <c r="O4" s="65">
        <f>SUM(M4:N4)</f>
        <v>48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48</v>
      </c>
      <c r="AA4" s="50">
        <v>60</v>
      </c>
      <c r="AB4" s="50"/>
      <c r="AC4" s="61">
        <f>+AA4+AB4-Z4</f>
        <v>12</v>
      </c>
      <c r="AD4" s="50">
        <v>65</v>
      </c>
      <c r="AE4" s="67">
        <f>AC4+AD4</f>
        <v>77</v>
      </c>
    </row>
    <row r="5" spans="2:31">
      <c r="B5" s="50">
        <v>1111002</v>
      </c>
      <c r="C5" s="51" t="s">
        <v>150</v>
      </c>
      <c r="D5" s="52">
        <v>1</v>
      </c>
      <c r="E5" s="52"/>
      <c r="F5" s="65">
        <f t="shared" ref="F5:F68" si="0">SUM(D5:E5)</f>
        <v>1</v>
      </c>
      <c r="G5" s="52">
        <v>73</v>
      </c>
      <c r="H5" s="52"/>
      <c r="I5" s="65">
        <f t="shared" ref="I5:I68" si="1">SUM(G5:H5)</f>
        <v>73</v>
      </c>
      <c r="J5" s="52">
        <v>43</v>
      </c>
      <c r="K5" s="52"/>
      <c r="L5" s="65">
        <f t="shared" ref="L5:L68" si="2">SUM(J5:K5)</f>
        <v>43</v>
      </c>
      <c r="M5" s="52">
        <v>7</v>
      </c>
      <c r="N5" s="52"/>
      <c r="O5" s="65">
        <f t="shared" ref="O5:O68" si="3">SUM(M5:N5)</f>
        <v>7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72"/>
      <c r="Z5" s="63">
        <f t="shared" ref="Z5:Z68" si="7">+F5+I5+L5+O5+R5+U5+X5+Y5</f>
        <v>124</v>
      </c>
      <c r="AA5" s="58">
        <v>100</v>
      </c>
      <c r="AB5" s="58">
        <v>13</v>
      </c>
      <c r="AC5" s="61">
        <f t="shared" ref="AC5:AC68" si="8">+AA5+AB5-Z5</f>
        <v>-11</v>
      </c>
      <c r="AD5" s="58">
        <v>85</v>
      </c>
      <c r="AE5" s="67">
        <f t="shared" ref="AE5:AE68" si="9">AC5+AD5</f>
        <v>74</v>
      </c>
    </row>
    <row r="6" spans="2:3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7">
        <f t="shared" si="9"/>
        <v>0</v>
      </c>
    </row>
    <row r="7" spans="2:3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7">
        <f t="shared" si="9"/>
        <v>0</v>
      </c>
    </row>
    <row r="8" spans="2:3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7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9</v>
      </c>
      <c r="H9" s="52"/>
      <c r="I9" s="65">
        <f t="shared" si="1"/>
        <v>9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9</v>
      </c>
      <c r="AA9" s="50"/>
      <c r="AB9" s="50"/>
      <c r="AC9" s="61">
        <f t="shared" si="8"/>
        <v>-9</v>
      </c>
      <c r="AD9" s="50"/>
      <c r="AE9" s="67">
        <f t="shared" si="9"/>
        <v>-9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>
        <v>9</v>
      </c>
      <c r="H10" s="52"/>
      <c r="I10" s="65">
        <f t="shared" si="1"/>
        <v>9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9</v>
      </c>
      <c r="AA10" s="50"/>
      <c r="AB10" s="50"/>
      <c r="AC10" s="61">
        <f t="shared" si="8"/>
        <v>-9</v>
      </c>
      <c r="AD10" s="50"/>
      <c r="AE10" s="67">
        <f t="shared" si="9"/>
        <v>-9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9</v>
      </c>
      <c r="H11" s="52"/>
      <c r="I11" s="65">
        <f t="shared" si="1"/>
        <v>9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9</v>
      </c>
      <c r="AA11" s="50"/>
      <c r="AB11" s="50"/>
      <c r="AC11" s="61">
        <f t="shared" si="8"/>
        <v>-9</v>
      </c>
      <c r="AD11" s="50"/>
      <c r="AE11" s="67">
        <f t="shared" si="9"/>
        <v>-9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9</v>
      </c>
      <c r="H12" s="52"/>
      <c r="I12" s="65">
        <f t="shared" si="1"/>
        <v>9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9</v>
      </c>
      <c r="AA12" s="50"/>
      <c r="AB12" s="50"/>
      <c r="AC12" s="61">
        <f t="shared" si="8"/>
        <v>-9</v>
      </c>
      <c r="AD12" s="50"/>
      <c r="AE12" s="67">
        <f t="shared" si="9"/>
        <v>-9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9</v>
      </c>
      <c r="H13" s="52"/>
      <c r="I13" s="65">
        <f t="shared" si="1"/>
        <v>9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9</v>
      </c>
      <c r="AA13" s="50"/>
      <c r="AB13" s="50"/>
      <c r="AC13" s="61">
        <f t="shared" si="8"/>
        <v>-9</v>
      </c>
      <c r="AD13" s="50"/>
      <c r="AE13" s="67">
        <f t="shared" si="9"/>
        <v>-9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9</v>
      </c>
      <c r="H14" s="52"/>
      <c r="I14" s="65">
        <f t="shared" si="1"/>
        <v>9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9</v>
      </c>
      <c r="AA14" s="50"/>
      <c r="AB14" s="50"/>
      <c r="AC14" s="61">
        <f t="shared" si="8"/>
        <v>-9</v>
      </c>
      <c r="AD14" s="50"/>
      <c r="AE14" s="67">
        <f t="shared" si="9"/>
        <v>-9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9</v>
      </c>
      <c r="H15" s="52"/>
      <c r="I15" s="65">
        <f t="shared" si="1"/>
        <v>9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9</v>
      </c>
      <c r="AA15" s="50"/>
      <c r="AB15" s="50"/>
      <c r="AC15" s="61">
        <f t="shared" si="8"/>
        <v>-9</v>
      </c>
      <c r="AD15" s="50"/>
      <c r="AE15" s="67">
        <f t="shared" si="9"/>
        <v>-9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9</v>
      </c>
      <c r="H16" s="52"/>
      <c r="I16" s="65">
        <f t="shared" si="1"/>
        <v>9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9</v>
      </c>
      <c r="AA16" s="50"/>
      <c r="AB16" s="50"/>
      <c r="AC16" s="61">
        <f t="shared" si="8"/>
        <v>-9</v>
      </c>
      <c r="AD16" s="50"/>
      <c r="AE16" s="67">
        <f t="shared" si="9"/>
        <v>-9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9</v>
      </c>
      <c r="H17" s="52"/>
      <c r="I17" s="65">
        <f t="shared" si="1"/>
        <v>9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9</v>
      </c>
      <c r="AA17" s="50"/>
      <c r="AB17" s="50"/>
      <c r="AC17" s="61">
        <f t="shared" si="8"/>
        <v>-9</v>
      </c>
      <c r="AD17" s="50"/>
      <c r="AE17" s="67">
        <f t="shared" si="9"/>
        <v>-9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9</v>
      </c>
      <c r="H18" s="52"/>
      <c r="I18" s="65">
        <f t="shared" si="1"/>
        <v>9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9</v>
      </c>
      <c r="AA18" s="50"/>
      <c r="AB18" s="50"/>
      <c r="AC18" s="61">
        <f t="shared" si="8"/>
        <v>-9</v>
      </c>
      <c r="AD18" s="50"/>
      <c r="AE18" s="67">
        <f t="shared" si="9"/>
        <v>-9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7">
        <f t="shared" si="9"/>
        <v>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7">
        <f t="shared" si="9"/>
        <v>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7">
        <f t="shared" si="9"/>
        <v>0</v>
      </c>
    </row>
    <row r="22" spans="2:3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7">
        <f t="shared" si="9"/>
        <v>0</v>
      </c>
    </row>
    <row r="23" spans="2:3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7">
        <f t="shared" si="9"/>
        <v>0</v>
      </c>
    </row>
    <row r="24" spans="2:3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7">
        <f t="shared" si="9"/>
        <v>0</v>
      </c>
    </row>
    <row r="25" spans="2:31">
      <c r="B25" s="50">
        <v>1111008</v>
      </c>
      <c r="C25" s="51" t="s">
        <v>156</v>
      </c>
      <c r="D25" s="52"/>
      <c r="E25" s="52"/>
      <c r="F25" s="65">
        <f t="shared" si="0"/>
        <v>0</v>
      </c>
      <c r="G25" s="52">
        <v>6</v>
      </c>
      <c r="H25" s="52"/>
      <c r="I25" s="65">
        <f t="shared" si="1"/>
        <v>6</v>
      </c>
      <c r="J25" s="52"/>
      <c r="K25" s="52"/>
      <c r="L25" s="65">
        <f t="shared" si="2"/>
        <v>0</v>
      </c>
      <c r="M25" s="52">
        <v>39</v>
      </c>
      <c r="N25" s="52"/>
      <c r="O25" s="65">
        <f t="shared" si="3"/>
        <v>39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45</v>
      </c>
      <c r="AA25" s="50">
        <v>50</v>
      </c>
      <c r="AB25" s="50">
        <v>36</v>
      </c>
      <c r="AC25" s="61">
        <f t="shared" si="8"/>
        <v>41</v>
      </c>
      <c r="AD25" s="50">
        <v>50</v>
      </c>
      <c r="AE25" s="67">
        <f t="shared" si="9"/>
        <v>91</v>
      </c>
    </row>
    <row r="26" spans="2:31">
      <c r="B26" s="50">
        <v>1111009</v>
      </c>
      <c r="C26" s="51" t="s">
        <v>157</v>
      </c>
      <c r="D26" s="52">
        <v>1</v>
      </c>
      <c r="E26" s="52"/>
      <c r="F26" s="65">
        <f t="shared" si="0"/>
        <v>1</v>
      </c>
      <c r="G26" s="52">
        <v>7</v>
      </c>
      <c r="H26" s="52"/>
      <c r="I26" s="65">
        <f t="shared" si="1"/>
        <v>7</v>
      </c>
      <c r="J26" s="52"/>
      <c r="K26" s="52"/>
      <c r="L26" s="65">
        <f t="shared" si="2"/>
        <v>0</v>
      </c>
      <c r="M26" s="52"/>
      <c r="N26" s="52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8</v>
      </c>
      <c r="AA26" s="50">
        <v>80</v>
      </c>
      <c r="AB26" s="50">
        <v>112</v>
      </c>
      <c r="AC26" s="61">
        <f t="shared" si="8"/>
        <v>184</v>
      </c>
      <c r="AD26" s="50"/>
      <c r="AE26" s="67">
        <f t="shared" si="9"/>
        <v>184</v>
      </c>
    </row>
    <row r="27" spans="2:3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7">
        <f t="shared" si="9"/>
        <v>0</v>
      </c>
    </row>
    <row r="28" spans="2:3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7">
        <f t="shared" si="9"/>
        <v>0</v>
      </c>
    </row>
    <row r="29" spans="2:3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7">
        <f t="shared" si="9"/>
        <v>0</v>
      </c>
    </row>
    <row r="30" spans="2:3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7">
        <f t="shared" si="9"/>
        <v>0</v>
      </c>
    </row>
    <row r="31" spans="2:3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7">
        <f t="shared" si="9"/>
        <v>0</v>
      </c>
    </row>
    <row r="32" spans="2:3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7">
        <f t="shared" si="9"/>
        <v>0</v>
      </c>
    </row>
    <row r="33" spans="2:3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7">
        <f t="shared" si="9"/>
        <v>0</v>
      </c>
    </row>
    <row r="34" spans="2:3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7">
        <f t="shared" si="9"/>
        <v>0</v>
      </c>
    </row>
    <row r="35" spans="2:3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7">
        <f t="shared" si="9"/>
        <v>0</v>
      </c>
    </row>
    <row r="36" spans="2:3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7">
        <f t="shared" si="9"/>
        <v>0</v>
      </c>
    </row>
    <row r="37" spans="2:3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7">
        <f t="shared" si="9"/>
        <v>0</v>
      </c>
    </row>
    <row r="38" spans="2:3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7">
        <f t="shared" si="9"/>
        <v>0</v>
      </c>
    </row>
    <row r="39" spans="2:3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7">
        <f t="shared" si="9"/>
        <v>0</v>
      </c>
    </row>
    <row r="40" spans="2:3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7">
        <f t="shared" si="9"/>
        <v>0</v>
      </c>
    </row>
    <row r="41" spans="2:31">
      <c r="B41" s="50">
        <v>1111056</v>
      </c>
      <c r="C41" s="51" t="s">
        <v>172</v>
      </c>
      <c r="D41" s="52">
        <v>1</v>
      </c>
      <c r="E41" s="52"/>
      <c r="F41" s="65">
        <f t="shared" si="0"/>
        <v>1</v>
      </c>
      <c r="G41" s="52">
        <v>7</v>
      </c>
      <c r="H41" s="52"/>
      <c r="I41" s="65">
        <f t="shared" si="1"/>
        <v>7</v>
      </c>
      <c r="J41" s="52"/>
      <c r="K41" s="52"/>
      <c r="L41" s="65">
        <f t="shared" si="2"/>
        <v>0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8</v>
      </c>
      <c r="AA41" s="50">
        <v>10</v>
      </c>
      <c r="AB41" s="50">
        <v>30</v>
      </c>
      <c r="AC41" s="61">
        <f t="shared" si="8"/>
        <v>32</v>
      </c>
      <c r="AD41" s="50"/>
      <c r="AE41" s="67">
        <f t="shared" si="9"/>
        <v>32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7</v>
      </c>
      <c r="H42" s="52"/>
      <c r="I42" s="65">
        <f t="shared" si="1"/>
        <v>7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7</v>
      </c>
      <c r="AA42" s="50"/>
      <c r="AB42" s="50">
        <v>2</v>
      </c>
      <c r="AC42" s="61">
        <f t="shared" si="8"/>
        <v>-5</v>
      </c>
      <c r="AD42" s="50"/>
      <c r="AE42" s="67">
        <f t="shared" si="9"/>
        <v>-5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7</v>
      </c>
      <c r="H43" s="52"/>
      <c r="I43" s="65">
        <f t="shared" si="1"/>
        <v>7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7</v>
      </c>
      <c r="AA43" s="50"/>
      <c r="AB43" s="50">
        <v>2</v>
      </c>
      <c r="AC43" s="61">
        <f t="shared" si="8"/>
        <v>-5</v>
      </c>
      <c r="AD43" s="50"/>
      <c r="AE43" s="67">
        <f t="shared" si="9"/>
        <v>-5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7</v>
      </c>
      <c r="H44" s="52"/>
      <c r="I44" s="65">
        <f t="shared" si="1"/>
        <v>7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7</v>
      </c>
      <c r="AA44" s="50"/>
      <c r="AB44" s="50">
        <v>2</v>
      </c>
      <c r="AC44" s="61">
        <f t="shared" si="8"/>
        <v>-5</v>
      </c>
      <c r="AD44" s="50"/>
      <c r="AE44" s="67">
        <f t="shared" si="9"/>
        <v>-5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7</v>
      </c>
      <c r="H45" s="52"/>
      <c r="I45" s="65">
        <f t="shared" si="1"/>
        <v>7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7</v>
      </c>
      <c r="AA45" s="50"/>
      <c r="AB45" s="50">
        <v>2</v>
      </c>
      <c r="AC45" s="61">
        <f t="shared" si="8"/>
        <v>-5</v>
      </c>
      <c r="AD45" s="50"/>
      <c r="AE45" s="67">
        <f t="shared" si="9"/>
        <v>-5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7</v>
      </c>
      <c r="H46" s="52"/>
      <c r="I46" s="65">
        <f t="shared" si="1"/>
        <v>7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7</v>
      </c>
      <c r="AA46" s="50"/>
      <c r="AB46" s="50">
        <v>2</v>
      </c>
      <c r="AC46" s="61">
        <f t="shared" si="8"/>
        <v>-5</v>
      </c>
      <c r="AD46" s="50"/>
      <c r="AE46" s="67">
        <f t="shared" si="9"/>
        <v>-5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7</v>
      </c>
      <c r="H47" s="52"/>
      <c r="I47" s="65">
        <f t="shared" si="1"/>
        <v>7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7</v>
      </c>
      <c r="AA47" s="50"/>
      <c r="AB47" s="50">
        <v>2</v>
      </c>
      <c r="AC47" s="61">
        <f t="shared" si="8"/>
        <v>-5</v>
      </c>
      <c r="AD47" s="50"/>
      <c r="AE47" s="67">
        <f t="shared" si="9"/>
        <v>-5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7</v>
      </c>
      <c r="H48" s="52"/>
      <c r="I48" s="65">
        <f t="shared" si="1"/>
        <v>7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7</v>
      </c>
      <c r="AA48" s="50"/>
      <c r="AB48" s="50">
        <v>2</v>
      </c>
      <c r="AC48" s="61">
        <f t="shared" si="8"/>
        <v>-5</v>
      </c>
      <c r="AD48" s="50"/>
      <c r="AE48" s="67">
        <f t="shared" si="9"/>
        <v>-5</v>
      </c>
    </row>
    <row r="49" spans="2:33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7</v>
      </c>
      <c r="H49" s="52"/>
      <c r="I49" s="65">
        <f t="shared" si="1"/>
        <v>7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7</v>
      </c>
      <c r="AA49" s="50"/>
      <c r="AB49" s="50">
        <v>2</v>
      </c>
      <c r="AC49" s="61">
        <f t="shared" si="8"/>
        <v>-5</v>
      </c>
      <c r="AD49" s="50"/>
      <c r="AE49" s="67">
        <f t="shared" si="9"/>
        <v>-5</v>
      </c>
    </row>
    <row r="50" spans="2:33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7</v>
      </c>
      <c r="H50" s="52"/>
      <c r="I50" s="65">
        <f t="shared" si="1"/>
        <v>7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7</v>
      </c>
      <c r="AA50" s="50"/>
      <c r="AB50" s="50"/>
      <c r="AC50" s="61">
        <f t="shared" si="8"/>
        <v>-7</v>
      </c>
      <c r="AD50" s="50"/>
      <c r="AE50" s="67">
        <f t="shared" si="9"/>
        <v>-7</v>
      </c>
    </row>
    <row r="51" spans="2:33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7</v>
      </c>
      <c r="H51" s="52"/>
      <c r="I51" s="65">
        <f t="shared" si="1"/>
        <v>7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7</v>
      </c>
      <c r="AA51" s="50"/>
      <c r="AB51" s="50"/>
      <c r="AC51" s="61">
        <f t="shared" si="8"/>
        <v>-7</v>
      </c>
      <c r="AD51" s="50"/>
      <c r="AE51" s="67">
        <f t="shared" si="9"/>
        <v>-7</v>
      </c>
    </row>
    <row r="52" spans="2:33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>
        <v>7</v>
      </c>
      <c r="H52" s="52"/>
      <c r="I52" s="65">
        <f t="shared" si="1"/>
        <v>7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7</v>
      </c>
      <c r="AA52" s="50"/>
      <c r="AB52" s="50"/>
      <c r="AC52" s="61">
        <f t="shared" si="8"/>
        <v>-7</v>
      </c>
      <c r="AD52" s="50"/>
      <c r="AE52" s="67">
        <f t="shared" si="9"/>
        <v>-7</v>
      </c>
    </row>
    <row r="53" spans="2:33">
      <c r="B53" s="50">
        <v>1112003</v>
      </c>
      <c r="C53" s="51" t="s">
        <v>174</v>
      </c>
      <c r="D53" s="52">
        <v>6</v>
      </c>
      <c r="E53" s="52"/>
      <c r="F53" s="65">
        <f t="shared" si="0"/>
        <v>6</v>
      </c>
      <c r="G53" s="52">
        <v>4</v>
      </c>
      <c r="H53" s="52"/>
      <c r="I53" s="65">
        <f t="shared" si="1"/>
        <v>4</v>
      </c>
      <c r="J53" s="52"/>
      <c r="K53" s="52"/>
      <c r="L53" s="65">
        <f t="shared" si="2"/>
        <v>0</v>
      </c>
      <c r="M53" s="52">
        <v>31</v>
      </c>
      <c r="N53" s="52"/>
      <c r="O53" s="65">
        <f t="shared" si="3"/>
        <v>31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41</v>
      </c>
      <c r="AA53" s="50"/>
      <c r="AB53" s="50">
        <v>24</v>
      </c>
      <c r="AC53" s="61">
        <f t="shared" si="8"/>
        <v>-17</v>
      </c>
      <c r="AD53" s="50">
        <v>60</v>
      </c>
      <c r="AE53" s="67">
        <f t="shared" si="9"/>
        <v>43</v>
      </c>
    </row>
    <row r="54" spans="2:33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7">
        <f t="shared" si="9"/>
        <v>0</v>
      </c>
    </row>
    <row r="55" spans="2:33">
      <c r="B55" s="50">
        <v>1112005</v>
      </c>
      <c r="C55" s="51" t="s">
        <v>176</v>
      </c>
      <c r="D55" s="52">
        <v>6</v>
      </c>
      <c r="E55" s="52"/>
      <c r="F55" s="65">
        <f t="shared" si="0"/>
        <v>6</v>
      </c>
      <c r="G55" s="52">
        <v>3</v>
      </c>
      <c r="H55" s="52"/>
      <c r="I55" s="65">
        <f t="shared" si="1"/>
        <v>3</v>
      </c>
      <c r="J55" s="52"/>
      <c r="K55" s="52"/>
      <c r="L55" s="65">
        <f t="shared" si="2"/>
        <v>0</v>
      </c>
      <c r="M55" s="52">
        <v>31</v>
      </c>
      <c r="N55" s="52"/>
      <c r="O55" s="65">
        <f t="shared" si="3"/>
        <v>31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40</v>
      </c>
      <c r="AA55" s="50">
        <v>70</v>
      </c>
      <c r="AB55" s="50">
        <v>70</v>
      </c>
      <c r="AC55" s="61">
        <f t="shared" si="8"/>
        <v>100</v>
      </c>
      <c r="AD55" s="50">
        <v>60</v>
      </c>
      <c r="AE55" s="67">
        <f t="shared" si="9"/>
        <v>160</v>
      </c>
    </row>
    <row r="56" spans="2:33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7">
        <f t="shared" si="9"/>
        <v>0</v>
      </c>
    </row>
    <row r="57" spans="2:33">
      <c r="B57" s="50">
        <v>1112009</v>
      </c>
      <c r="C57" s="51" t="s">
        <v>178</v>
      </c>
      <c r="D57" s="52">
        <v>6</v>
      </c>
      <c r="E57" s="52"/>
      <c r="F57" s="65">
        <f t="shared" si="0"/>
        <v>6</v>
      </c>
      <c r="G57" s="52">
        <v>3</v>
      </c>
      <c r="H57" s="52"/>
      <c r="I57" s="65">
        <f t="shared" si="1"/>
        <v>3</v>
      </c>
      <c r="J57" s="52"/>
      <c r="K57" s="52"/>
      <c r="L57" s="65">
        <f t="shared" si="2"/>
        <v>0</v>
      </c>
      <c r="M57" s="52">
        <v>31</v>
      </c>
      <c r="N57" s="52"/>
      <c r="O57" s="65">
        <f t="shared" si="3"/>
        <v>31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72">
        <v>10</v>
      </c>
      <c r="Z57" s="63">
        <f t="shared" si="7"/>
        <v>50</v>
      </c>
      <c r="AA57" s="50">
        <v>70</v>
      </c>
      <c r="AB57" s="50">
        <v>69</v>
      </c>
      <c r="AC57" s="61">
        <f t="shared" si="8"/>
        <v>89</v>
      </c>
      <c r="AD57" s="50">
        <v>60</v>
      </c>
      <c r="AE57" s="67">
        <f t="shared" si="9"/>
        <v>149</v>
      </c>
    </row>
    <row r="58" spans="2:33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7">
        <f t="shared" si="9"/>
        <v>0</v>
      </c>
    </row>
    <row r="59" spans="2:33">
      <c r="B59" s="50">
        <v>1112011</v>
      </c>
      <c r="C59" s="51" t="s">
        <v>180</v>
      </c>
      <c r="D59" s="52">
        <v>6</v>
      </c>
      <c r="E59" s="52"/>
      <c r="F59" s="65">
        <f t="shared" si="0"/>
        <v>6</v>
      </c>
      <c r="G59" s="52">
        <v>3</v>
      </c>
      <c r="H59" s="52"/>
      <c r="I59" s="65">
        <f t="shared" si="1"/>
        <v>3</v>
      </c>
      <c r="J59" s="52"/>
      <c r="K59" s="52"/>
      <c r="L59" s="65">
        <f t="shared" si="2"/>
        <v>0</v>
      </c>
      <c r="M59" s="52">
        <v>31</v>
      </c>
      <c r="N59" s="52"/>
      <c r="O59" s="65">
        <f t="shared" si="3"/>
        <v>31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40</v>
      </c>
      <c r="AA59" s="50">
        <v>70</v>
      </c>
      <c r="AB59" s="50">
        <v>79</v>
      </c>
      <c r="AC59" s="61">
        <f t="shared" si="8"/>
        <v>109</v>
      </c>
      <c r="AD59" s="50">
        <v>60</v>
      </c>
      <c r="AE59" s="67">
        <f t="shared" si="9"/>
        <v>169</v>
      </c>
    </row>
    <row r="60" spans="2:33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7">
        <f t="shared" si="9"/>
        <v>0</v>
      </c>
    </row>
    <row r="61" spans="2:33">
      <c r="B61" s="50">
        <v>1112013</v>
      </c>
      <c r="C61" s="51" t="s">
        <v>182</v>
      </c>
      <c r="D61" s="52">
        <v>6</v>
      </c>
      <c r="E61" s="52"/>
      <c r="F61" s="65">
        <f t="shared" si="0"/>
        <v>6</v>
      </c>
      <c r="G61" s="52">
        <v>3</v>
      </c>
      <c r="H61" s="52"/>
      <c r="I61" s="65">
        <f t="shared" si="1"/>
        <v>3</v>
      </c>
      <c r="J61" s="52"/>
      <c r="K61" s="52"/>
      <c r="L61" s="65">
        <f t="shared" si="2"/>
        <v>0</v>
      </c>
      <c r="M61" s="52">
        <v>31</v>
      </c>
      <c r="N61" s="52"/>
      <c r="O61" s="65">
        <f t="shared" si="3"/>
        <v>31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40</v>
      </c>
      <c r="AA61" s="50">
        <v>70</v>
      </c>
      <c r="AB61" s="50">
        <v>79</v>
      </c>
      <c r="AC61" s="61">
        <f t="shared" si="8"/>
        <v>109</v>
      </c>
      <c r="AD61" s="50">
        <v>60</v>
      </c>
      <c r="AE61" s="67">
        <f t="shared" si="9"/>
        <v>169</v>
      </c>
    </row>
    <row r="62" spans="2:33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7">
        <f t="shared" si="9"/>
        <v>0</v>
      </c>
    </row>
    <row r="63" spans="2:33">
      <c r="B63" s="50">
        <v>1112015</v>
      </c>
      <c r="C63" s="51" t="s">
        <v>184</v>
      </c>
      <c r="D63" s="52">
        <v>6</v>
      </c>
      <c r="E63" s="52"/>
      <c r="F63" s="65">
        <f t="shared" si="0"/>
        <v>6</v>
      </c>
      <c r="G63" s="52">
        <v>3</v>
      </c>
      <c r="H63" s="52"/>
      <c r="I63" s="65">
        <f t="shared" si="1"/>
        <v>3</v>
      </c>
      <c r="J63" s="52"/>
      <c r="K63" s="52"/>
      <c r="L63" s="65">
        <f t="shared" si="2"/>
        <v>0</v>
      </c>
      <c r="M63" s="52">
        <v>31</v>
      </c>
      <c r="N63" s="52"/>
      <c r="O63" s="65">
        <f t="shared" si="3"/>
        <v>31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40</v>
      </c>
      <c r="AA63" s="50">
        <v>70</v>
      </c>
      <c r="AB63" s="50">
        <v>62</v>
      </c>
      <c r="AC63" s="61">
        <f t="shared" si="8"/>
        <v>92</v>
      </c>
      <c r="AD63" s="50">
        <v>60</v>
      </c>
      <c r="AE63" s="67">
        <f t="shared" si="9"/>
        <v>152</v>
      </c>
      <c r="AG63" s="68">
        <f>SUM(AE53:AE63)</f>
        <v>842</v>
      </c>
    </row>
    <row r="64" spans="2:33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7">
        <f t="shared" si="9"/>
        <v>0</v>
      </c>
    </row>
    <row r="65" spans="2:3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7">
        <f t="shared" si="9"/>
        <v>0</v>
      </c>
    </row>
    <row r="66" spans="2:3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7">
        <f t="shared" si="9"/>
        <v>0</v>
      </c>
    </row>
    <row r="67" spans="2:31">
      <c r="B67" s="50">
        <v>1114501</v>
      </c>
      <c r="C67" s="53" t="s">
        <v>187</v>
      </c>
      <c r="D67" s="52">
        <v>1</v>
      </c>
      <c r="E67" s="52"/>
      <c r="F67" s="65">
        <f t="shared" si="0"/>
        <v>1</v>
      </c>
      <c r="G67" s="52">
        <v>12</v>
      </c>
      <c r="H67" s="52"/>
      <c r="I67" s="65">
        <f t="shared" si="1"/>
        <v>12</v>
      </c>
      <c r="J67" s="52">
        <v>6</v>
      </c>
      <c r="K67" s="52"/>
      <c r="L67" s="65">
        <f t="shared" si="2"/>
        <v>6</v>
      </c>
      <c r="M67" s="52">
        <v>143</v>
      </c>
      <c r="N67" s="52"/>
      <c r="O67" s="65">
        <f t="shared" si="3"/>
        <v>143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162</v>
      </c>
      <c r="AA67" s="50">
        <v>412</v>
      </c>
      <c r="AB67" s="50">
        <v>309</v>
      </c>
      <c r="AC67" s="61">
        <f t="shared" si="8"/>
        <v>559</v>
      </c>
      <c r="AD67" s="50">
        <v>250</v>
      </c>
      <c r="AE67" s="67">
        <f t="shared" si="9"/>
        <v>809</v>
      </c>
    </row>
    <row r="68" spans="2:31">
      <c r="B68" s="50">
        <v>1114502</v>
      </c>
      <c r="C68" s="53" t="s">
        <v>188</v>
      </c>
      <c r="D68" s="52">
        <v>1</v>
      </c>
      <c r="E68" s="52"/>
      <c r="F68" s="65">
        <f t="shared" si="0"/>
        <v>1</v>
      </c>
      <c r="G68" s="52">
        <v>3</v>
      </c>
      <c r="H68" s="52"/>
      <c r="I68" s="65">
        <f t="shared" si="1"/>
        <v>3</v>
      </c>
      <c r="J68" s="52">
        <v>2</v>
      </c>
      <c r="K68" s="52"/>
      <c r="L68" s="65">
        <f t="shared" si="2"/>
        <v>2</v>
      </c>
      <c r="M68" s="52">
        <v>143</v>
      </c>
      <c r="N68" s="52"/>
      <c r="O68" s="65">
        <f t="shared" si="3"/>
        <v>143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149</v>
      </c>
      <c r="AA68" s="50">
        <v>225</v>
      </c>
      <c r="AB68" s="50">
        <v>193</v>
      </c>
      <c r="AC68" s="61">
        <f t="shared" si="8"/>
        <v>269</v>
      </c>
      <c r="AD68" s="50">
        <v>200</v>
      </c>
      <c r="AE68" s="67">
        <f t="shared" si="9"/>
        <v>469</v>
      </c>
    </row>
    <row r="69" spans="2:31">
      <c r="B69" s="50">
        <v>1114503</v>
      </c>
      <c r="C69" s="53" t="s">
        <v>189</v>
      </c>
      <c r="D69" s="52">
        <v>1</v>
      </c>
      <c r="E69" s="52"/>
      <c r="F69" s="65">
        <f t="shared" ref="F69:F132" si="10">SUM(D69:E69)</f>
        <v>1</v>
      </c>
      <c r="G69" s="52">
        <v>3</v>
      </c>
      <c r="H69" s="52"/>
      <c r="I69" s="65">
        <f t="shared" ref="I69:I121" si="11">SUM(G69:H69)</f>
        <v>3</v>
      </c>
      <c r="J69" s="52">
        <v>4</v>
      </c>
      <c r="K69" s="52"/>
      <c r="L69" s="65">
        <f t="shared" ref="L69:L121" si="12">SUM(J69:K69)</f>
        <v>4</v>
      </c>
      <c r="M69" s="52">
        <v>143</v>
      </c>
      <c r="N69" s="52"/>
      <c r="O69" s="65">
        <f t="shared" ref="O69:O121" si="13">SUM(M69:N69)</f>
        <v>143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151</v>
      </c>
      <c r="AA69" s="50">
        <v>210</v>
      </c>
      <c r="AB69" s="50">
        <v>215</v>
      </c>
      <c r="AC69" s="61">
        <f t="shared" ref="AC69:AC121" si="18">+AA69+AB69-Z69</f>
        <v>274</v>
      </c>
      <c r="AD69" s="50">
        <v>200</v>
      </c>
      <c r="AE69" s="67">
        <f t="shared" ref="AE69:AE121" si="19">AC69+AD69</f>
        <v>474</v>
      </c>
    </row>
    <row r="70" spans="2:3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>
        <v>13</v>
      </c>
      <c r="H70" s="52"/>
      <c r="I70" s="65">
        <f t="shared" si="11"/>
        <v>13</v>
      </c>
      <c r="J70" s="52"/>
      <c r="K70" s="52"/>
      <c r="L70" s="65">
        <f t="shared" si="12"/>
        <v>0</v>
      </c>
      <c r="M70" s="52">
        <v>28</v>
      </c>
      <c r="N70" s="52"/>
      <c r="O70" s="65">
        <f t="shared" si="13"/>
        <v>28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41</v>
      </c>
      <c r="AA70" s="50">
        <v>70</v>
      </c>
      <c r="AB70" s="50">
        <v>86</v>
      </c>
      <c r="AC70" s="61">
        <f t="shared" si="18"/>
        <v>115</v>
      </c>
      <c r="AD70" s="50">
        <v>70</v>
      </c>
      <c r="AE70" s="67">
        <f t="shared" si="19"/>
        <v>185</v>
      </c>
    </row>
    <row r="71" spans="2:3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7">
        <f t="shared" si="19"/>
        <v>0</v>
      </c>
    </row>
    <row r="72" spans="2:3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7">
        <f t="shared" si="19"/>
        <v>0</v>
      </c>
    </row>
    <row r="73" spans="2:3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>
        <v>1</v>
      </c>
      <c r="N73" s="52"/>
      <c r="O73" s="65">
        <f t="shared" si="13"/>
        <v>1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1</v>
      </c>
      <c r="AA73" s="50"/>
      <c r="AB73" s="50"/>
      <c r="AC73" s="61">
        <f t="shared" si="18"/>
        <v>-1</v>
      </c>
      <c r="AD73" s="50"/>
      <c r="AE73" s="67">
        <f t="shared" si="19"/>
        <v>-1</v>
      </c>
    </row>
    <row r="74" spans="2:3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7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>
        <v>1</v>
      </c>
      <c r="H75" s="52"/>
      <c r="I75" s="65">
        <f t="shared" si="11"/>
        <v>1</v>
      </c>
      <c r="J75" s="52"/>
      <c r="K75" s="52"/>
      <c r="L75" s="65">
        <f t="shared" si="12"/>
        <v>0</v>
      </c>
      <c r="M75" s="52"/>
      <c r="N75" s="52"/>
      <c r="O75" s="65">
        <f t="shared" si="13"/>
        <v>0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1</v>
      </c>
      <c r="AA75" s="50"/>
      <c r="AB75" s="50">
        <v>5</v>
      </c>
      <c r="AC75" s="61">
        <f t="shared" si="18"/>
        <v>4</v>
      </c>
      <c r="AD75" s="50"/>
      <c r="AE75" s="67">
        <f t="shared" si="19"/>
        <v>4</v>
      </c>
    </row>
    <row r="76" spans="2:31">
      <c r="B76" s="50">
        <v>1113171</v>
      </c>
      <c r="C76" s="53" t="s">
        <v>88</v>
      </c>
      <c r="D76" s="52">
        <v>2</v>
      </c>
      <c r="E76" s="52"/>
      <c r="F76" s="65">
        <f t="shared" si="10"/>
        <v>2</v>
      </c>
      <c r="G76" s="52"/>
      <c r="H76" s="52"/>
      <c r="I76" s="65">
        <f t="shared" si="11"/>
        <v>0</v>
      </c>
      <c r="J76" s="52">
        <v>2</v>
      </c>
      <c r="K76" s="52"/>
      <c r="L76" s="65">
        <f t="shared" si="12"/>
        <v>2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4</v>
      </c>
      <c r="AA76" s="50"/>
      <c r="AB76" s="50"/>
      <c r="AC76" s="61">
        <f t="shared" si="18"/>
        <v>-4</v>
      </c>
      <c r="AD76" s="50"/>
      <c r="AE76" s="67">
        <f t="shared" si="19"/>
        <v>-4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7">
        <f t="shared" si="19"/>
        <v>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7">
        <f t="shared" si="19"/>
        <v>0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7">
        <f t="shared" si="19"/>
        <v>0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7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7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1</v>
      </c>
      <c r="H82" s="52"/>
      <c r="I82" s="65">
        <f t="shared" si="11"/>
        <v>1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1</v>
      </c>
      <c r="AA82" s="50"/>
      <c r="AB82" s="50"/>
      <c r="AC82" s="61">
        <f t="shared" si="18"/>
        <v>-1</v>
      </c>
      <c r="AD82" s="50"/>
      <c r="AE82" s="67">
        <f t="shared" si="19"/>
        <v>-1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6</v>
      </c>
      <c r="H83" s="52"/>
      <c r="I83" s="65">
        <f t="shared" si="11"/>
        <v>6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6</v>
      </c>
      <c r="AA83" s="50"/>
      <c r="AB83" s="50"/>
      <c r="AC83" s="61">
        <f t="shared" si="18"/>
        <v>-6</v>
      </c>
      <c r="AD83" s="50"/>
      <c r="AE83" s="67">
        <f t="shared" si="19"/>
        <v>-6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7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7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7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7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7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7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7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7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7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7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7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7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7">
        <f t="shared" si="19"/>
        <v>0</v>
      </c>
    </row>
    <row r="97" spans="2:3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7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7">
        <f t="shared" si="19"/>
        <v>0</v>
      </c>
    </row>
    <row r="99" spans="2:3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7">
        <f t="shared" si="19"/>
        <v>0</v>
      </c>
    </row>
    <row r="100" spans="2:31">
      <c r="B100" s="50">
        <v>1004062</v>
      </c>
      <c r="C100" s="53" t="s">
        <v>238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72">
        <v>1</v>
      </c>
      <c r="Z100" s="63">
        <f t="shared" si="17"/>
        <v>1</v>
      </c>
      <c r="AA100" s="50"/>
      <c r="AB100" s="50"/>
      <c r="AC100" s="61">
        <f t="shared" si="18"/>
        <v>-1</v>
      </c>
      <c r="AD100" s="50"/>
      <c r="AE100" s="67">
        <f t="shared" si="19"/>
        <v>-1</v>
      </c>
    </row>
    <row r="101" spans="2:31">
      <c r="B101" s="50">
        <v>1004051</v>
      </c>
      <c r="C101" s="53" t="s">
        <v>239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72">
        <v>20</v>
      </c>
      <c r="Z101" s="63">
        <f t="shared" si="17"/>
        <v>20</v>
      </c>
      <c r="AA101" s="50"/>
      <c r="AB101" s="50"/>
      <c r="AC101" s="61">
        <f t="shared" si="18"/>
        <v>-20</v>
      </c>
      <c r="AD101" s="50"/>
      <c r="AE101" s="67">
        <f t="shared" si="19"/>
        <v>-20</v>
      </c>
    </row>
    <row r="102" spans="2:31">
      <c r="B102" s="50">
        <v>1111005</v>
      </c>
      <c r="C102" s="53" t="s">
        <v>240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7">
        <f t="shared" si="19"/>
        <v>0</v>
      </c>
    </row>
    <row r="103" spans="2:31">
      <c r="B103" s="50">
        <v>1111006</v>
      </c>
      <c r="C103" s="53" t="s">
        <v>241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72">
        <v>14</v>
      </c>
      <c r="Z103" s="63">
        <f t="shared" si="17"/>
        <v>14</v>
      </c>
      <c r="AA103" s="50"/>
      <c r="AB103" s="50"/>
      <c r="AC103" s="61">
        <f t="shared" si="18"/>
        <v>-14</v>
      </c>
      <c r="AD103" s="50"/>
      <c r="AE103" s="67">
        <f t="shared" si="19"/>
        <v>-14</v>
      </c>
    </row>
    <row r="104" spans="2:31">
      <c r="B104" s="50">
        <v>1004048</v>
      </c>
      <c r="C104" s="53" t="s">
        <v>242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7">
        <f t="shared" si="19"/>
        <v>0</v>
      </c>
    </row>
    <row r="105" spans="2:31">
      <c r="B105" s="50">
        <v>1113157</v>
      </c>
      <c r="C105" s="53" t="s">
        <v>243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7">
        <f t="shared" si="19"/>
        <v>0</v>
      </c>
    </row>
    <row r="106" spans="2:31">
      <c r="B106" s="50">
        <v>1004080</v>
      </c>
      <c r="C106" s="53" t="s">
        <v>244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72">
        <v>5</v>
      </c>
      <c r="Z106" s="63">
        <f t="shared" si="17"/>
        <v>5</v>
      </c>
      <c r="AA106" s="50"/>
      <c r="AB106" s="50"/>
      <c r="AC106" s="61">
        <f t="shared" si="18"/>
        <v>-5</v>
      </c>
      <c r="AD106" s="50"/>
      <c r="AE106" s="67">
        <f t="shared" si="19"/>
        <v>-5</v>
      </c>
    </row>
    <row r="107" spans="2:31">
      <c r="B107" s="50">
        <v>1004081</v>
      </c>
      <c r="C107" s="53" t="s">
        <v>245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7">
        <f t="shared" si="19"/>
        <v>0</v>
      </c>
    </row>
    <row r="108" spans="2:31">
      <c r="B108" s="50">
        <v>3001200</v>
      </c>
      <c r="C108" s="53" t="s">
        <v>246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7">
        <f t="shared" si="19"/>
        <v>0</v>
      </c>
    </row>
    <row r="109" spans="2:31">
      <c r="B109" s="50">
        <v>1004047</v>
      </c>
      <c r="C109" s="53" t="s">
        <v>247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7">
        <f t="shared" si="19"/>
        <v>0</v>
      </c>
    </row>
    <row r="110" spans="2:31">
      <c r="B110" s="50">
        <v>1004070</v>
      </c>
      <c r="C110" s="53" t="s">
        <v>248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7">
        <f t="shared" si="19"/>
        <v>0</v>
      </c>
    </row>
    <row r="111" spans="2:31">
      <c r="B111" s="50">
        <v>1004076</v>
      </c>
      <c r="C111" s="53" t="s">
        <v>249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7">
        <f t="shared" si="19"/>
        <v>0</v>
      </c>
    </row>
    <row r="112" spans="2:31">
      <c r="B112" s="50">
        <v>1004050</v>
      </c>
      <c r="C112" s="53" t="s">
        <v>250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7">
        <f t="shared" si="19"/>
        <v>0</v>
      </c>
    </row>
    <row r="113" spans="2:31">
      <c r="B113" s="50">
        <v>1004048</v>
      </c>
      <c r="C113" s="53" t="s">
        <v>251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7">
        <f t="shared" si="19"/>
        <v>0</v>
      </c>
    </row>
    <row r="114" spans="2:31">
      <c r="B114" s="50">
        <v>1007020</v>
      </c>
      <c r="C114" s="53" t="s">
        <v>253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7">
        <f t="shared" si="19"/>
        <v>0</v>
      </c>
    </row>
    <row r="115" spans="2:31">
      <c r="B115" s="50">
        <v>1004063</v>
      </c>
      <c r="C115" s="53" t="s">
        <v>254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7">
        <f t="shared" si="19"/>
        <v>0</v>
      </c>
    </row>
    <row r="116" spans="2:31">
      <c r="B116" s="50">
        <v>1004065</v>
      </c>
      <c r="C116" s="53" t="s">
        <v>255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7">
        <f t="shared" si="19"/>
        <v>0</v>
      </c>
    </row>
    <row r="117" spans="2:31">
      <c r="B117" s="50">
        <v>1006982</v>
      </c>
      <c r="C117" s="53" t="s">
        <v>256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7">
        <f t="shared" si="19"/>
        <v>0</v>
      </c>
    </row>
    <row r="118" spans="2:31">
      <c r="B118" s="50">
        <v>1006000</v>
      </c>
      <c r="C118" s="53" t="s">
        <v>257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7">
        <f t="shared" si="19"/>
        <v>0</v>
      </c>
    </row>
    <row r="119" spans="2:31">
      <c r="B119" s="50">
        <v>1005998</v>
      </c>
      <c r="C119" s="53" t="s">
        <v>258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7">
        <f t="shared" si="19"/>
        <v>0</v>
      </c>
    </row>
    <row r="120" spans="2:31">
      <c r="B120" s="50">
        <v>1005995</v>
      </c>
      <c r="C120" s="53" t="s">
        <v>259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7">
        <f t="shared" si="19"/>
        <v>0</v>
      </c>
    </row>
    <row r="121" spans="2:3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7">
        <f t="shared" si="19"/>
        <v>0</v>
      </c>
    </row>
    <row r="122" spans="2:3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7"/>
    </row>
    <row r="123" spans="2:3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7"/>
    </row>
    <row r="124" spans="2:3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7"/>
    </row>
    <row r="125" spans="2:3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7"/>
    </row>
    <row r="126" spans="2:3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7"/>
    </row>
    <row r="127" spans="2:3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7"/>
    </row>
    <row r="128" spans="2:3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7"/>
    </row>
    <row r="129" spans="2:3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7"/>
    </row>
    <row r="130" spans="2:3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7"/>
    </row>
    <row r="131" spans="2:3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7"/>
    </row>
    <row r="132" spans="2:3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7"/>
    </row>
    <row r="133" spans="2:3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7"/>
    </row>
    <row r="134" spans="2:3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7"/>
    </row>
    <row r="135" spans="2:3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7"/>
    </row>
    <row r="136" spans="2:3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7"/>
    </row>
    <row r="137" spans="2:3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7"/>
    </row>
    <row r="138" spans="2:3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7"/>
    </row>
    <row r="139" spans="2:3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7"/>
    </row>
    <row r="140" spans="2:3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7"/>
    </row>
    <row r="141" spans="2:3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7"/>
    </row>
    <row r="142" spans="2:3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7"/>
    </row>
    <row r="143" spans="2:3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7"/>
    </row>
    <row r="144" spans="2:3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7"/>
    </row>
    <row r="145" spans="2:3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7"/>
    </row>
    <row r="146" spans="2:3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7"/>
    </row>
    <row r="147" spans="2:3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7"/>
    </row>
    <row r="148" spans="2:3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7"/>
    </row>
    <row r="149" spans="2:3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7"/>
    </row>
    <row r="150" spans="2:3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7"/>
    </row>
    <row r="151" spans="2:3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7">
        <f t="shared" ref="AE151:AE153" si="29">AC151+AD151</f>
        <v>0</v>
      </c>
    </row>
    <row r="152" spans="2:3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7">
        <f t="shared" si="29"/>
        <v>0</v>
      </c>
    </row>
    <row r="153" spans="2:3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7">
        <f t="shared" si="29"/>
        <v>0</v>
      </c>
    </row>
    <row r="154" spans="2:31" s="59" customFormat="1" ht="51.75">
      <c r="B154" s="97" t="s">
        <v>201</v>
      </c>
      <c r="C154" s="98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44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44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318</v>
      </c>
      <c r="H154" s="62">
        <f t="shared" si="31"/>
        <v>0</v>
      </c>
      <c r="I154" s="62">
        <f t="shared" si="31"/>
        <v>318</v>
      </c>
      <c r="J154" s="62">
        <f t="shared" si="31"/>
        <v>57</v>
      </c>
      <c r="K154" s="62">
        <f t="shared" si="31"/>
        <v>0</v>
      </c>
      <c r="L154" s="62">
        <f t="shared" si="31"/>
        <v>57</v>
      </c>
      <c r="M154" s="62">
        <f t="shared" si="31"/>
        <v>738</v>
      </c>
      <c r="N154" s="62">
        <f t="shared" si="31"/>
        <v>0</v>
      </c>
      <c r="O154" s="62">
        <f t="shared" si="31"/>
        <v>738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50</v>
      </c>
      <c r="Z154" s="62">
        <f t="shared" si="31"/>
        <v>1207</v>
      </c>
      <c r="AA154" s="62">
        <f t="shared" si="31"/>
        <v>1567</v>
      </c>
      <c r="AB154" s="62">
        <f t="shared" si="31"/>
        <v>1398</v>
      </c>
      <c r="AC154" s="62">
        <f t="shared" si="31"/>
        <v>1758</v>
      </c>
      <c r="AD154" s="62">
        <f t="shared" si="31"/>
        <v>1280</v>
      </c>
      <c r="AE154" s="62">
        <f t="shared" si="31"/>
        <v>3038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Y2:Y3"/>
    <mergeCell ref="Z2:Z3"/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5FFC-59F8-4EEC-AFEF-754DAE5682BD}">
  <sheetPr codeName="Sheet16">
    <pageSetUpPr fitToPage="1"/>
  </sheetPr>
  <dimension ref="B1:AE159"/>
  <sheetViews>
    <sheetView topLeftCell="C1" zoomScale="50" zoomScaleNormal="50" workbookViewId="0">
      <selection activeCell="I8" sqref="I8:I18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5" width="14.28515625" style="56" customWidth="1"/>
    <col min="26" max="26" width="19.5703125" style="57" bestFit="1" customWidth="1"/>
    <col min="27" max="30" width="20.7109375" style="48" customWidth="1"/>
    <col min="31" max="31" width="23.85546875" style="49" customWidth="1"/>
    <col min="32" max="32" width="22.7109375" style="49" customWidth="1"/>
    <col min="33" max="34" width="8.85546875" style="49" customWidth="1"/>
    <col min="35" max="16384" width="8.85546875" style="49"/>
  </cols>
  <sheetData>
    <row r="1" spans="2:31" ht="68.25">
      <c r="B1" s="83" t="s">
        <v>220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</row>
    <row r="2" spans="2:31" ht="49.9" customHeight="1">
      <c r="B2" s="99" t="s">
        <v>3</v>
      </c>
      <c r="C2" s="99" t="s">
        <v>4</v>
      </c>
      <c r="D2" s="85" t="s">
        <v>5</v>
      </c>
      <c r="E2" s="86"/>
      <c r="F2" s="87"/>
      <c r="G2" s="85" t="s">
        <v>6</v>
      </c>
      <c r="H2" s="86"/>
      <c r="I2" s="87"/>
      <c r="J2" s="85" t="s">
        <v>7</v>
      </c>
      <c r="K2" s="86"/>
      <c r="L2" s="87"/>
      <c r="M2" s="85" t="s">
        <v>8</v>
      </c>
      <c r="N2" s="86"/>
      <c r="O2" s="87"/>
      <c r="P2" s="85" t="s">
        <v>132</v>
      </c>
      <c r="Q2" s="86"/>
      <c r="R2" s="87"/>
      <c r="S2" s="85" t="s">
        <v>9</v>
      </c>
      <c r="T2" s="86"/>
      <c r="U2" s="87"/>
      <c r="V2" s="88" t="s">
        <v>131</v>
      </c>
      <c r="W2" s="89"/>
      <c r="X2" s="90"/>
      <c r="Y2" s="101" t="s">
        <v>134</v>
      </c>
      <c r="Z2" s="103" t="s">
        <v>204</v>
      </c>
      <c r="AA2" s="91" t="s">
        <v>145</v>
      </c>
      <c r="AB2" s="91" t="s">
        <v>146</v>
      </c>
      <c r="AC2" s="95" t="s">
        <v>147</v>
      </c>
      <c r="AD2" s="93" t="s">
        <v>148</v>
      </c>
      <c r="AE2" s="82" t="s">
        <v>212</v>
      </c>
    </row>
    <row r="3" spans="2:31" ht="49.9" customHeight="1">
      <c r="B3" s="100"/>
      <c r="C3" s="100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102"/>
      <c r="Z3" s="104"/>
      <c r="AA3" s="92"/>
      <c r="AB3" s="92"/>
      <c r="AC3" s="96"/>
      <c r="AD3" s="94"/>
      <c r="AE3" s="82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>
        <v>6</v>
      </c>
      <c r="H4" s="52"/>
      <c r="I4" s="65">
        <f>SUM(G4:H4)</f>
        <v>6</v>
      </c>
      <c r="J4" s="52"/>
      <c r="K4" s="52"/>
      <c r="L4" s="65">
        <f>SUM(J4:K4)</f>
        <v>0</v>
      </c>
      <c r="M4" s="52">
        <v>39</v>
      </c>
      <c r="N4" s="52"/>
      <c r="O4" s="65">
        <f>SUM(M4:N4)</f>
        <v>39</v>
      </c>
      <c r="P4" s="52">
        <v>39</v>
      </c>
      <c r="Q4" s="52"/>
      <c r="R4" s="65">
        <f>SUM(P4:Q4)</f>
        <v>39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84</v>
      </c>
      <c r="AA4" s="50"/>
      <c r="AB4" s="50"/>
      <c r="AC4" s="61">
        <f>+AA4+AB4-Z4</f>
        <v>-84</v>
      </c>
      <c r="AD4" s="50"/>
      <c r="AE4" s="67">
        <f>AC4+AD4</f>
        <v>-84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58</v>
      </c>
      <c r="H5" s="52"/>
      <c r="I5" s="65">
        <f t="shared" ref="I5:I68" si="1">SUM(G5:H5)</f>
        <v>58</v>
      </c>
      <c r="J5" s="52">
        <v>5</v>
      </c>
      <c r="K5" s="52"/>
      <c r="L5" s="65">
        <f t="shared" ref="L5:L68" si="2">SUM(J5:K5)</f>
        <v>5</v>
      </c>
      <c r="M5" s="52">
        <v>4</v>
      </c>
      <c r="N5" s="52"/>
      <c r="O5" s="65">
        <f t="shared" ref="O5:O68" si="3">SUM(M5:N5)</f>
        <v>4</v>
      </c>
      <c r="P5" s="52">
        <v>3</v>
      </c>
      <c r="Q5" s="52"/>
      <c r="R5" s="65">
        <f t="shared" ref="R5:R68" si="4">SUM(P5:Q5)</f>
        <v>3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5</v>
      </c>
      <c r="Z5" s="63">
        <f t="shared" ref="Z5:Z68" si="7">+F5+I5+L5+O5+R5+U5+X5+Y5</f>
        <v>75</v>
      </c>
      <c r="AA5" s="58">
        <v>85</v>
      </c>
      <c r="AB5" s="58">
        <v>3</v>
      </c>
      <c r="AC5" s="61">
        <f t="shared" ref="AC5:AC68" si="8">+AA5+AB5-Z5</f>
        <v>13</v>
      </c>
      <c r="AD5" s="58"/>
      <c r="AE5" s="67">
        <f t="shared" ref="AE5:AE68" si="9">AC5+AD5</f>
        <v>13</v>
      </c>
    </row>
    <row r="6" spans="2:3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7">
        <f t="shared" si="9"/>
        <v>0</v>
      </c>
    </row>
    <row r="7" spans="2:3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7">
        <f t="shared" si="9"/>
        <v>0</v>
      </c>
    </row>
    <row r="8" spans="2:3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7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11</v>
      </c>
      <c r="H9" s="52"/>
      <c r="I9" s="65">
        <f t="shared" si="1"/>
        <v>11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11</v>
      </c>
      <c r="AA9" s="50"/>
      <c r="AB9" s="50"/>
      <c r="AC9" s="61">
        <f t="shared" si="8"/>
        <v>-11</v>
      </c>
      <c r="AD9" s="50"/>
      <c r="AE9" s="67">
        <f t="shared" si="9"/>
        <v>-11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>
        <v>11</v>
      </c>
      <c r="H10" s="52"/>
      <c r="I10" s="65">
        <f t="shared" si="1"/>
        <v>11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11</v>
      </c>
      <c r="AA10" s="50"/>
      <c r="AB10" s="50"/>
      <c r="AC10" s="61">
        <f t="shared" si="8"/>
        <v>-11</v>
      </c>
      <c r="AD10" s="50"/>
      <c r="AE10" s="67">
        <f t="shared" si="9"/>
        <v>-11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11</v>
      </c>
      <c r="H11" s="52"/>
      <c r="I11" s="65">
        <f t="shared" si="1"/>
        <v>11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11</v>
      </c>
      <c r="AA11" s="50"/>
      <c r="AB11" s="50"/>
      <c r="AC11" s="61">
        <f t="shared" si="8"/>
        <v>-11</v>
      </c>
      <c r="AD11" s="50"/>
      <c r="AE11" s="67">
        <f t="shared" si="9"/>
        <v>-11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11</v>
      </c>
      <c r="H12" s="52"/>
      <c r="I12" s="65">
        <f t="shared" si="1"/>
        <v>11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11</v>
      </c>
      <c r="AA12" s="50"/>
      <c r="AB12" s="50"/>
      <c r="AC12" s="61">
        <f t="shared" si="8"/>
        <v>-11</v>
      </c>
      <c r="AD12" s="50"/>
      <c r="AE12" s="67">
        <f t="shared" si="9"/>
        <v>-11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11</v>
      </c>
      <c r="H13" s="52"/>
      <c r="I13" s="65">
        <f t="shared" si="1"/>
        <v>11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11</v>
      </c>
      <c r="AA13" s="50"/>
      <c r="AB13" s="50"/>
      <c r="AC13" s="61">
        <f t="shared" si="8"/>
        <v>-11</v>
      </c>
      <c r="AD13" s="50"/>
      <c r="AE13" s="67">
        <f t="shared" si="9"/>
        <v>-11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11</v>
      </c>
      <c r="H14" s="52"/>
      <c r="I14" s="65">
        <f t="shared" si="1"/>
        <v>11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11</v>
      </c>
      <c r="AA14" s="50"/>
      <c r="AB14" s="50"/>
      <c r="AC14" s="61">
        <f t="shared" si="8"/>
        <v>-11</v>
      </c>
      <c r="AD14" s="50"/>
      <c r="AE14" s="67">
        <f t="shared" si="9"/>
        <v>-11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11</v>
      </c>
      <c r="H15" s="52"/>
      <c r="I15" s="65">
        <f t="shared" si="1"/>
        <v>11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11</v>
      </c>
      <c r="AA15" s="50"/>
      <c r="AB15" s="50"/>
      <c r="AC15" s="61">
        <f t="shared" si="8"/>
        <v>-11</v>
      </c>
      <c r="AD15" s="50"/>
      <c r="AE15" s="67">
        <f t="shared" si="9"/>
        <v>-11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11</v>
      </c>
      <c r="H16" s="52"/>
      <c r="I16" s="65">
        <f t="shared" si="1"/>
        <v>11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11</v>
      </c>
      <c r="AA16" s="50"/>
      <c r="AB16" s="50"/>
      <c r="AC16" s="61">
        <f t="shared" si="8"/>
        <v>-11</v>
      </c>
      <c r="AD16" s="50"/>
      <c r="AE16" s="67">
        <f t="shared" si="9"/>
        <v>-11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11</v>
      </c>
      <c r="H17" s="52"/>
      <c r="I17" s="65">
        <f t="shared" si="1"/>
        <v>11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11</v>
      </c>
      <c r="AA17" s="50"/>
      <c r="AB17" s="50"/>
      <c r="AC17" s="61">
        <f t="shared" si="8"/>
        <v>-11</v>
      </c>
      <c r="AD17" s="50"/>
      <c r="AE17" s="67">
        <f t="shared" si="9"/>
        <v>-11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11</v>
      </c>
      <c r="H18" s="52"/>
      <c r="I18" s="65">
        <f t="shared" si="1"/>
        <v>11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11</v>
      </c>
      <c r="AA18" s="50"/>
      <c r="AB18" s="50"/>
      <c r="AC18" s="61">
        <f t="shared" si="8"/>
        <v>-11</v>
      </c>
      <c r="AD18" s="50"/>
      <c r="AE18" s="67">
        <f t="shared" si="9"/>
        <v>-11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7">
        <f t="shared" si="9"/>
        <v>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7">
        <f t="shared" si="9"/>
        <v>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7">
        <f t="shared" si="9"/>
        <v>0</v>
      </c>
    </row>
    <row r="22" spans="2:3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7">
        <f t="shared" si="9"/>
        <v>0</v>
      </c>
    </row>
    <row r="23" spans="2:3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7">
        <f t="shared" si="9"/>
        <v>0</v>
      </c>
    </row>
    <row r="24" spans="2:3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7">
        <f t="shared" si="9"/>
        <v>0</v>
      </c>
    </row>
    <row r="25" spans="2:31">
      <c r="B25" s="50">
        <v>1111008</v>
      </c>
      <c r="C25" s="51" t="s">
        <v>156</v>
      </c>
      <c r="D25" s="52">
        <v>3</v>
      </c>
      <c r="E25" s="52"/>
      <c r="F25" s="65">
        <f t="shared" si="0"/>
        <v>3</v>
      </c>
      <c r="G25" s="52">
        <v>33</v>
      </c>
      <c r="H25" s="52"/>
      <c r="I25" s="65">
        <f t="shared" si="1"/>
        <v>33</v>
      </c>
      <c r="J25" s="52"/>
      <c r="K25" s="52"/>
      <c r="L25" s="65">
        <f t="shared" si="2"/>
        <v>0</v>
      </c>
      <c r="M25" s="52">
        <v>36</v>
      </c>
      <c r="N25" s="52"/>
      <c r="O25" s="65">
        <f t="shared" si="3"/>
        <v>36</v>
      </c>
      <c r="P25" s="52">
        <v>9</v>
      </c>
      <c r="Q25" s="52"/>
      <c r="R25" s="65">
        <f t="shared" si="4"/>
        <v>9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81</v>
      </c>
      <c r="AA25" s="50"/>
      <c r="AB25" s="50"/>
      <c r="AC25" s="61">
        <f t="shared" si="8"/>
        <v>-81</v>
      </c>
      <c r="AD25" s="50"/>
      <c r="AE25" s="67">
        <f t="shared" si="9"/>
        <v>-81</v>
      </c>
    </row>
    <row r="26" spans="2:31">
      <c r="B26" s="50">
        <v>1111009</v>
      </c>
      <c r="C26" s="51" t="s">
        <v>157</v>
      </c>
      <c r="D26" s="52">
        <v>4</v>
      </c>
      <c r="E26" s="52"/>
      <c r="F26" s="65">
        <f t="shared" si="0"/>
        <v>4</v>
      </c>
      <c r="G26" s="52">
        <v>19</v>
      </c>
      <c r="H26" s="52"/>
      <c r="I26" s="65">
        <f t="shared" si="1"/>
        <v>19</v>
      </c>
      <c r="J26" s="52"/>
      <c r="K26" s="52"/>
      <c r="L26" s="65">
        <f t="shared" si="2"/>
        <v>0</v>
      </c>
      <c r="M26" s="52">
        <v>1</v>
      </c>
      <c r="N26" s="52"/>
      <c r="O26" s="65">
        <f t="shared" si="3"/>
        <v>1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24</v>
      </c>
      <c r="AA26" s="50"/>
      <c r="AB26" s="50"/>
      <c r="AC26" s="61">
        <f t="shared" si="8"/>
        <v>-24</v>
      </c>
      <c r="AD26" s="50"/>
      <c r="AE26" s="67">
        <f t="shared" si="9"/>
        <v>-24</v>
      </c>
    </row>
    <row r="27" spans="2:3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7">
        <f t="shared" si="9"/>
        <v>0</v>
      </c>
    </row>
    <row r="28" spans="2:3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7">
        <f t="shared" si="9"/>
        <v>0</v>
      </c>
    </row>
    <row r="29" spans="2:3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7">
        <f t="shared" si="9"/>
        <v>0</v>
      </c>
    </row>
    <row r="30" spans="2:3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7">
        <f t="shared" si="9"/>
        <v>0</v>
      </c>
    </row>
    <row r="31" spans="2:3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7">
        <f t="shared" si="9"/>
        <v>0</v>
      </c>
    </row>
    <row r="32" spans="2:3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7">
        <f t="shared" si="9"/>
        <v>0</v>
      </c>
    </row>
    <row r="33" spans="2:3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7">
        <f t="shared" si="9"/>
        <v>0</v>
      </c>
    </row>
    <row r="34" spans="2:3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7">
        <f t="shared" si="9"/>
        <v>0</v>
      </c>
    </row>
    <row r="35" spans="2:3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7">
        <f t="shared" si="9"/>
        <v>0</v>
      </c>
    </row>
    <row r="36" spans="2:3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7">
        <f t="shared" si="9"/>
        <v>0</v>
      </c>
    </row>
    <row r="37" spans="2:3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7">
        <f t="shared" si="9"/>
        <v>0</v>
      </c>
    </row>
    <row r="38" spans="2:3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7">
        <f t="shared" si="9"/>
        <v>0</v>
      </c>
    </row>
    <row r="39" spans="2:3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7">
        <f t="shared" si="9"/>
        <v>0</v>
      </c>
    </row>
    <row r="40" spans="2:3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7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4</v>
      </c>
      <c r="H41" s="52"/>
      <c r="I41" s="65">
        <f t="shared" si="1"/>
        <v>4</v>
      </c>
      <c r="J41" s="52">
        <v>6</v>
      </c>
      <c r="K41" s="52"/>
      <c r="L41" s="65">
        <f t="shared" si="2"/>
        <v>6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10</v>
      </c>
      <c r="AA41" s="50"/>
      <c r="AB41" s="50"/>
      <c r="AC41" s="61">
        <f t="shared" si="8"/>
        <v>-10</v>
      </c>
      <c r="AD41" s="50"/>
      <c r="AE41" s="67">
        <f t="shared" si="9"/>
        <v>-10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6</v>
      </c>
      <c r="H42" s="52"/>
      <c r="I42" s="65">
        <f t="shared" si="1"/>
        <v>6</v>
      </c>
      <c r="J42" s="52">
        <v>4</v>
      </c>
      <c r="K42" s="52"/>
      <c r="L42" s="65">
        <f t="shared" si="2"/>
        <v>4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10</v>
      </c>
      <c r="AA42" s="50"/>
      <c r="AB42" s="50"/>
      <c r="AC42" s="61">
        <f t="shared" si="8"/>
        <v>-10</v>
      </c>
      <c r="AD42" s="50"/>
      <c r="AE42" s="67">
        <f t="shared" si="9"/>
        <v>-10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5</v>
      </c>
      <c r="H43" s="52"/>
      <c r="I43" s="65">
        <f t="shared" si="1"/>
        <v>5</v>
      </c>
      <c r="J43" s="52">
        <v>4</v>
      </c>
      <c r="K43" s="52"/>
      <c r="L43" s="65">
        <f t="shared" si="2"/>
        <v>4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9</v>
      </c>
      <c r="AA43" s="50"/>
      <c r="AB43" s="50"/>
      <c r="AC43" s="61">
        <f t="shared" si="8"/>
        <v>-9</v>
      </c>
      <c r="AD43" s="50"/>
      <c r="AE43" s="67">
        <f t="shared" si="9"/>
        <v>-9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5</v>
      </c>
      <c r="H44" s="52"/>
      <c r="I44" s="65">
        <f t="shared" si="1"/>
        <v>5</v>
      </c>
      <c r="J44" s="52">
        <v>4</v>
      </c>
      <c r="K44" s="52"/>
      <c r="L44" s="65">
        <f t="shared" si="2"/>
        <v>4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9</v>
      </c>
      <c r="AA44" s="50"/>
      <c r="AB44" s="50"/>
      <c r="AC44" s="61">
        <f t="shared" si="8"/>
        <v>-9</v>
      </c>
      <c r="AD44" s="50"/>
      <c r="AE44" s="67">
        <f t="shared" si="9"/>
        <v>-9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5</v>
      </c>
      <c r="H45" s="52"/>
      <c r="I45" s="65">
        <f t="shared" si="1"/>
        <v>5</v>
      </c>
      <c r="J45" s="52">
        <v>4</v>
      </c>
      <c r="K45" s="52"/>
      <c r="L45" s="65">
        <f t="shared" si="2"/>
        <v>4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9</v>
      </c>
      <c r="AA45" s="50"/>
      <c r="AB45" s="50"/>
      <c r="AC45" s="61">
        <f t="shared" si="8"/>
        <v>-9</v>
      </c>
      <c r="AD45" s="50"/>
      <c r="AE45" s="67">
        <f t="shared" si="9"/>
        <v>-9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5</v>
      </c>
      <c r="H46" s="52"/>
      <c r="I46" s="65">
        <f t="shared" si="1"/>
        <v>5</v>
      </c>
      <c r="J46" s="52">
        <v>4</v>
      </c>
      <c r="K46" s="52"/>
      <c r="L46" s="65">
        <f t="shared" si="2"/>
        <v>4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9</v>
      </c>
      <c r="AA46" s="50"/>
      <c r="AB46" s="50"/>
      <c r="AC46" s="61">
        <f t="shared" si="8"/>
        <v>-9</v>
      </c>
      <c r="AD46" s="50"/>
      <c r="AE46" s="67">
        <f t="shared" si="9"/>
        <v>-9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5</v>
      </c>
      <c r="H47" s="52"/>
      <c r="I47" s="65">
        <f t="shared" si="1"/>
        <v>5</v>
      </c>
      <c r="J47" s="52">
        <v>4</v>
      </c>
      <c r="K47" s="52"/>
      <c r="L47" s="65">
        <f t="shared" si="2"/>
        <v>4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9</v>
      </c>
      <c r="AA47" s="50"/>
      <c r="AB47" s="50"/>
      <c r="AC47" s="61">
        <f t="shared" si="8"/>
        <v>-9</v>
      </c>
      <c r="AD47" s="50"/>
      <c r="AE47" s="67">
        <f t="shared" si="9"/>
        <v>-9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5</v>
      </c>
      <c r="H48" s="52"/>
      <c r="I48" s="65">
        <f t="shared" si="1"/>
        <v>5</v>
      </c>
      <c r="J48" s="52">
        <v>4</v>
      </c>
      <c r="K48" s="52"/>
      <c r="L48" s="65">
        <f t="shared" si="2"/>
        <v>4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9</v>
      </c>
      <c r="AA48" s="50"/>
      <c r="AB48" s="50"/>
      <c r="AC48" s="61">
        <f t="shared" si="8"/>
        <v>-9</v>
      </c>
      <c r="AD48" s="50"/>
      <c r="AE48" s="67">
        <f t="shared" si="9"/>
        <v>-9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5</v>
      </c>
      <c r="H49" s="52"/>
      <c r="I49" s="65">
        <f t="shared" si="1"/>
        <v>5</v>
      </c>
      <c r="J49" s="52">
        <v>4</v>
      </c>
      <c r="K49" s="52"/>
      <c r="L49" s="65">
        <f t="shared" si="2"/>
        <v>4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9</v>
      </c>
      <c r="AA49" s="50"/>
      <c r="AB49" s="50"/>
      <c r="AC49" s="61">
        <f t="shared" si="8"/>
        <v>-9</v>
      </c>
      <c r="AD49" s="50"/>
      <c r="AE49" s="67">
        <f t="shared" si="9"/>
        <v>-9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5</v>
      </c>
      <c r="H50" s="52"/>
      <c r="I50" s="65">
        <f t="shared" si="1"/>
        <v>5</v>
      </c>
      <c r="J50" s="52">
        <v>4</v>
      </c>
      <c r="K50" s="52"/>
      <c r="L50" s="65">
        <f t="shared" si="2"/>
        <v>4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9</v>
      </c>
      <c r="AA50" s="50"/>
      <c r="AB50" s="50"/>
      <c r="AC50" s="61">
        <f t="shared" si="8"/>
        <v>-9</v>
      </c>
      <c r="AD50" s="50"/>
      <c r="AE50" s="67">
        <f t="shared" si="9"/>
        <v>-9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5</v>
      </c>
      <c r="H51" s="52"/>
      <c r="I51" s="65">
        <f t="shared" si="1"/>
        <v>5</v>
      </c>
      <c r="J51" s="52">
        <v>4</v>
      </c>
      <c r="K51" s="52"/>
      <c r="L51" s="65">
        <f t="shared" si="2"/>
        <v>4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9</v>
      </c>
      <c r="AA51" s="50"/>
      <c r="AB51" s="50"/>
      <c r="AC51" s="61">
        <f t="shared" si="8"/>
        <v>-9</v>
      </c>
      <c r="AD51" s="50"/>
      <c r="AE51" s="67">
        <f t="shared" si="9"/>
        <v>-9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7">
        <f t="shared" si="9"/>
        <v>0</v>
      </c>
    </row>
    <row r="53" spans="2:31">
      <c r="B53" s="50">
        <v>1112003</v>
      </c>
      <c r="C53" s="51" t="s">
        <v>174</v>
      </c>
      <c r="D53" s="52">
        <v>5</v>
      </c>
      <c r="E53" s="52"/>
      <c r="F53" s="65">
        <f t="shared" si="0"/>
        <v>5</v>
      </c>
      <c r="G53" s="52">
        <v>1</v>
      </c>
      <c r="H53" s="52"/>
      <c r="I53" s="65">
        <f t="shared" si="1"/>
        <v>1</v>
      </c>
      <c r="J53" s="52"/>
      <c r="K53" s="52"/>
      <c r="L53" s="65">
        <f t="shared" si="2"/>
        <v>0</v>
      </c>
      <c r="M53" s="52">
        <v>29</v>
      </c>
      <c r="N53" s="52"/>
      <c r="O53" s="65">
        <f t="shared" si="3"/>
        <v>29</v>
      </c>
      <c r="P53" s="52">
        <v>9</v>
      </c>
      <c r="Q53" s="52"/>
      <c r="R53" s="65">
        <f t="shared" si="4"/>
        <v>9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44</v>
      </c>
      <c r="AA53" s="50"/>
      <c r="AB53" s="50"/>
      <c r="AC53" s="61">
        <f t="shared" si="8"/>
        <v>-44</v>
      </c>
      <c r="AD53" s="50"/>
      <c r="AE53" s="67">
        <f t="shared" si="9"/>
        <v>-44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7">
        <f t="shared" si="9"/>
        <v>0</v>
      </c>
    </row>
    <row r="55" spans="2:31">
      <c r="B55" s="50">
        <v>1112005</v>
      </c>
      <c r="C55" s="51" t="s">
        <v>176</v>
      </c>
      <c r="D55" s="52">
        <v>8</v>
      </c>
      <c r="E55" s="52"/>
      <c r="F55" s="65">
        <f t="shared" si="0"/>
        <v>8</v>
      </c>
      <c r="G55" s="52">
        <v>1</v>
      </c>
      <c r="H55" s="52"/>
      <c r="I55" s="65">
        <f t="shared" si="1"/>
        <v>1</v>
      </c>
      <c r="J55" s="52"/>
      <c r="K55" s="52"/>
      <c r="L55" s="65">
        <f t="shared" si="2"/>
        <v>0</v>
      </c>
      <c r="M55" s="52">
        <v>29</v>
      </c>
      <c r="N55" s="52"/>
      <c r="O55" s="65">
        <f t="shared" si="3"/>
        <v>29</v>
      </c>
      <c r="P55" s="52">
        <v>9</v>
      </c>
      <c r="Q55" s="52"/>
      <c r="R55" s="65">
        <f t="shared" si="4"/>
        <v>9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47</v>
      </c>
      <c r="AA55" s="50"/>
      <c r="AB55" s="50"/>
      <c r="AC55" s="61">
        <f t="shared" si="8"/>
        <v>-47</v>
      </c>
      <c r="AD55" s="50"/>
      <c r="AE55" s="67">
        <f t="shared" si="9"/>
        <v>-47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7">
        <f t="shared" si="9"/>
        <v>0</v>
      </c>
    </row>
    <row r="57" spans="2:31">
      <c r="B57" s="50">
        <v>1112009</v>
      </c>
      <c r="C57" s="51" t="s">
        <v>178</v>
      </c>
      <c r="D57" s="52">
        <v>8</v>
      </c>
      <c r="E57" s="52"/>
      <c r="F57" s="65">
        <f t="shared" si="0"/>
        <v>8</v>
      </c>
      <c r="G57" s="52">
        <v>1</v>
      </c>
      <c r="H57" s="52"/>
      <c r="I57" s="65">
        <f t="shared" si="1"/>
        <v>1</v>
      </c>
      <c r="J57" s="52"/>
      <c r="K57" s="52"/>
      <c r="L57" s="65">
        <f t="shared" si="2"/>
        <v>0</v>
      </c>
      <c r="M57" s="52">
        <v>29</v>
      </c>
      <c r="N57" s="52"/>
      <c r="O57" s="65">
        <f t="shared" si="3"/>
        <v>29</v>
      </c>
      <c r="P57" s="52">
        <v>9</v>
      </c>
      <c r="Q57" s="52"/>
      <c r="R57" s="65">
        <f t="shared" si="4"/>
        <v>9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47</v>
      </c>
      <c r="AA57" s="50"/>
      <c r="AB57" s="50"/>
      <c r="AC57" s="61">
        <f t="shared" si="8"/>
        <v>-47</v>
      </c>
      <c r="AD57" s="50"/>
      <c r="AE57" s="67">
        <f t="shared" si="9"/>
        <v>-47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7">
        <f t="shared" si="9"/>
        <v>0</v>
      </c>
    </row>
    <row r="59" spans="2:31">
      <c r="B59" s="50">
        <v>1112011</v>
      </c>
      <c r="C59" s="51" t="s">
        <v>180</v>
      </c>
      <c r="D59" s="52">
        <v>5</v>
      </c>
      <c r="E59" s="52"/>
      <c r="F59" s="65">
        <f t="shared" si="0"/>
        <v>5</v>
      </c>
      <c r="G59" s="52">
        <v>1</v>
      </c>
      <c r="H59" s="52"/>
      <c r="I59" s="65">
        <f t="shared" si="1"/>
        <v>1</v>
      </c>
      <c r="J59" s="52">
        <v>2</v>
      </c>
      <c r="K59" s="52"/>
      <c r="L59" s="65">
        <f t="shared" si="2"/>
        <v>2</v>
      </c>
      <c r="M59" s="52">
        <v>28</v>
      </c>
      <c r="N59" s="52"/>
      <c r="O59" s="65">
        <f t="shared" si="3"/>
        <v>28</v>
      </c>
      <c r="P59" s="52">
        <v>9</v>
      </c>
      <c r="Q59" s="52"/>
      <c r="R59" s="65">
        <f t="shared" si="4"/>
        <v>9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45</v>
      </c>
      <c r="AA59" s="50"/>
      <c r="AB59" s="50"/>
      <c r="AC59" s="61">
        <f t="shared" si="8"/>
        <v>-45</v>
      </c>
      <c r="AD59" s="50"/>
      <c r="AE59" s="67">
        <f t="shared" si="9"/>
        <v>-45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7">
        <f t="shared" si="9"/>
        <v>0</v>
      </c>
    </row>
    <row r="61" spans="2:31">
      <c r="B61" s="50">
        <v>1112013</v>
      </c>
      <c r="C61" s="51" t="s">
        <v>182</v>
      </c>
      <c r="D61" s="52">
        <v>5</v>
      </c>
      <c r="E61" s="52"/>
      <c r="F61" s="65">
        <f t="shared" si="0"/>
        <v>5</v>
      </c>
      <c r="G61" s="52">
        <v>1</v>
      </c>
      <c r="H61" s="52"/>
      <c r="I61" s="65">
        <f t="shared" si="1"/>
        <v>1</v>
      </c>
      <c r="J61" s="52"/>
      <c r="K61" s="52"/>
      <c r="L61" s="65">
        <f t="shared" si="2"/>
        <v>0</v>
      </c>
      <c r="M61" s="52">
        <v>28</v>
      </c>
      <c r="N61" s="52"/>
      <c r="O61" s="65">
        <f t="shared" si="3"/>
        <v>28</v>
      </c>
      <c r="P61" s="52">
        <v>9</v>
      </c>
      <c r="Q61" s="52"/>
      <c r="R61" s="65">
        <f t="shared" si="4"/>
        <v>9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43</v>
      </c>
      <c r="AA61" s="50"/>
      <c r="AB61" s="50"/>
      <c r="AC61" s="61">
        <f t="shared" si="8"/>
        <v>-43</v>
      </c>
      <c r="AD61" s="50"/>
      <c r="AE61" s="67">
        <f t="shared" si="9"/>
        <v>-43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7">
        <f t="shared" si="9"/>
        <v>0</v>
      </c>
    </row>
    <row r="63" spans="2:31">
      <c r="B63" s="50">
        <v>1112015</v>
      </c>
      <c r="C63" s="51" t="s">
        <v>184</v>
      </c>
      <c r="D63" s="52">
        <v>4</v>
      </c>
      <c r="E63" s="52"/>
      <c r="F63" s="65">
        <f t="shared" si="0"/>
        <v>4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52">
        <v>28</v>
      </c>
      <c r="N63" s="52"/>
      <c r="O63" s="65">
        <f t="shared" si="3"/>
        <v>28</v>
      </c>
      <c r="P63" s="52">
        <v>9</v>
      </c>
      <c r="Q63" s="52"/>
      <c r="R63" s="65">
        <f t="shared" si="4"/>
        <v>9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41</v>
      </c>
      <c r="AA63" s="50"/>
      <c r="AB63" s="50"/>
      <c r="AC63" s="61">
        <f t="shared" si="8"/>
        <v>-41</v>
      </c>
      <c r="AD63" s="50"/>
      <c r="AE63" s="67">
        <f t="shared" si="9"/>
        <v>-41</v>
      </c>
    </row>
    <row r="64" spans="2:3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7">
        <f t="shared" si="9"/>
        <v>0</v>
      </c>
    </row>
    <row r="65" spans="2:3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7">
        <f t="shared" si="9"/>
        <v>0</v>
      </c>
    </row>
    <row r="66" spans="2:3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7">
        <f t="shared" si="9"/>
        <v>0</v>
      </c>
    </row>
    <row r="67" spans="2:31">
      <c r="B67" s="50">
        <v>1114501</v>
      </c>
      <c r="C67" s="53" t="s">
        <v>187</v>
      </c>
      <c r="D67" s="52"/>
      <c r="E67" s="52"/>
      <c r="F67" s="65">
        <f t="shared" si="0"/>
        <v>0</v>
      </c>
      <c r="G67" s="52">
        <v>5</v>
      </c>
      <c r="H67" s="52"/>
      <c r="I67" s="65">
        <f t="shared" si="1"/>
        <v>5</v>
      </c>
      <c r="J67" s="52">
        <v>2</v>
      </c>
      <c r="K67" s="52"/>
      <c r="L67" s="65">
        <f t="shared" si="2"/>
        <v>2</v>
      </c>
      <c r="M67" s="52">
        <v>171</v>
      </c>
      <c r="N67" s="52"/>
      <c r="O67" s="65">
        <f t="shared" si="3"/>
        <v>171</v>
      </c>
      <c r="P67" s="52">
        <v>69</v>
      </c>
      <c r="Q67" s="52"/>
      <c r="R67" s="65">
        <f t="shared" si="4"/>
        <v>69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247</v>
      </c>
      <c r="AA67" s="50"/>
      <c r="AB67" s="50"/>
      <c r="AC67" s="61">
        <f t="shared" si="8"/>
        <v>-247</v>
      </c>
      <c r="AD67" s="50"/>
      <c r="AE67" s="67">
        <f t="shared" si="9"/>
        <v>-247</v>
      </c>
    </row>
    <row r="68" spans="2:31">
      <c r="B68" s="50">
        <v>1114502</v>
      </c>
      <c r="C68" s="53" t="s">
        <v>188</v>
      </c>
      <c r="D68" s="52"/>
      <c r="E68" s="52"/>
      <c r="F68" s="65">
        <f t="shared" si="0"/>
        <v>0</v>
      </c>
      <c r="G68" s="52">
        <v>1</v>
      </c>
      <c r="H68" s="52"/>
      <c r="I68" s="65">
        <f t="shared" si="1"/>
        <v>1</v>
      </c>
      <c r="J68" s="52"/>
      <c r="K68" s="52"/>
      <c r="L68" s="65">
        <f t="shared" si="2"/>
        <v>0</v>
      </c>
      <c r="M68" s="52">
        <v>168</v>
      </c>
      <c r="N68" s="52"/>
      <c r="O68" s="65">
        <f t="shared" si="3"/>
        <v>168</v>
      </c>
      <c r="P68" s="52">
        <v>66</v>
      </c>
      <c r="Q68" s="52"/>
      <c r="R68" s="65">
        <f t="shared" si="4"/>
        <v>66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235</v>
      </c>
      <c r="AA68" s="50"/>
      <c r="AB68" s="50"/>
      <c r="AC68" s="61">
        <f t="shared" si="8"/>
        <v>-235</v>
      </c>
      <c r="AD68" s="50"/>
      <c r="AE68" s="67">
        <f t="shared" si="9"/>
        <v>-235</v>
      </c>
    </row>
    <row r="69" spans="2:31">
      <c r="B69" s="50">
        <v>1114503</v>
      </c>
      <c r="C69" s="53" t="s">
        <v>189</v>
      </c>
      <c r="D69" s="52"/>
      <c r="E69" s="52"/>
      <c r="F69" s="65">
        <f t="shared" ref="F69:F132" si="10">SUM(D69:E69)</f>
        <v>0</v>
      </c>
      <c r="G69" s="52">
        <v>1</v>
      </c>
      <c r="H69" s="52"/>
      <c r="I69" s="65">
        <f t="shared" ref="I69:I121" si="11">SUM(G69:H69)</f>
        <v>1</v>
      </c>
      <c r="J69" s="52">
        <v>1</v>
      </c>
      <c r="K69" s="52"/>
      <c r="L69" s="65">
        <f t="shared" ref="L69:L121" si="12">SUM(J69:K69)</f>
        <v>1</v>
      </c>
      <c r="M69" s="52">
        <v>168</v>
      </c>
      <c r="N69" s="52"/>
      <c r="O69" s="65">
        <f t="shared" ref="O69:O121" si="13">SUM(M69:N69)</f>
        <v>168</v>
      </c>
      <c r="P69" s="52">
        <v>66</v>
      </c>
      <c r="Q69" s="52"/>
      <c r="R69" s="65">
        <f t="shared" ref="R69:R121" si="14">SUM(P69:Q69)</f>
        <v>66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236</v>
      </c>
      <c r="AA69" s="50"/>
      <c r="AB69" s="50"/>
      <c r="AC69" s="61">
        <f t="shared" ref="AC69:AC121" si="18">+AA69+AB69-Z69</f>
        <v>-236</v>
      </c>
      <c r="AD69" s="50"/>
      <c r="AE69" s="67">
        <f t="shared" ref="AE69:AE121" si="19">AC69+AD69</f>
        <v>-236</v>
      </c>
    </row>
    <row r="70" spans="2:3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>
        <v>20</v>
      </c>
      <c r="H70" s="52"/>
      <c r="I70" s="65">
        <f t="shared" si="11"/>
        <v>20</v>
      </c>
      <c r="J70" s="52">
        <v>2</v>
      </c>
      <c r="K70" s="52"/>
      <c r="L70" s="65">
        <f t="shared" si="12"/>
        <v>2</v>
      </c>
      <c r="M70" s="52">
        <v>29</v>
      </c>
      <c r="N70" s="52"/>
      <c r="O70" s="65">
        <f t="shared" si="13"/>
        <v>29</v>
      </c>
      <c r="P70" s="52">
        <v>28</v>
      </c>
      <c r="Q70" s="52"/>
      <c r="R70" s="65">
        <f t="shared" si="14"/>
        <v>28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79</v>
      </c>
      <c r="AA70" s="50"/>
      <c r="AB70" s="50"/>
      <c r="AC70" s="61">
        <f t="shared" si="18"/>
        <v>-79</v>
      </c>
      <c r="AD70" s="50"/>
      <c r="AE70" s="67">
        <f t="shared" si="19"/>
        <v>-79</v>
      </c>
    </row>
    <row r="71" spans="2:3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7">
        <f t="shared" si="19"/>
        <v>0</v>
      </c>
    </row>
    <row r="72" spans="2:3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7">
        <f t="shared" si="19"/>
        <v>0</v>
      </c>
    </row>
    <row r="73" spans="2:3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>
        <v>1</v>
      </c>
      <c r="N73" s="52"/>
      <c r="O73" s="65">
        <f t="shared" si="13"/>
        <v>1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1</v>
      </c>
      <c r="AA73" s="50"/>
      <c r="AB73" s="50"/>
      <c r="AC73" s="61">
        <f t="shared" si="18"/>
        <v>-1</v>
      </c>
      <c r="AD73" s="50"/>
      <c r="AE73" s="67">
        <f t="shared" si="19"/>
        <v>-1</v>
      </c>
    </row>
    <row r="74" spans="2:3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7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52"/>
      <c r="N75" s="52"/>
      <c r="O75" s="65">
        <f t="shared" si="13"/>
        <v>0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/>
      <c r="AE75" s="67">
        <f t="shared" si="19"/>
        <v>0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/>
      <c r="AC76" s="61">
        <f t="shared" si="18"/>
        <v>0</v>
      </c>
      <c r="AD76" s="50"/>
      <c r="AE76" s="67">
        <f t="shared" si="19"/>
        <v>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7">
        <f t="shared" si="19"/>
        <v>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7">
        <f t="shared" si="19"/>
        <v>0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7">
        <f t="shared" si="19"/>
        <v>0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7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7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3</v>
      </c>
      <c r="H82" s="52"/>
      <c r="I82" s="65">
        <f t="shared" si="11"/>
        <v>3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3</v>
      </c>
      <c r="AA82" s="50"/>
      <c r="AB82" s="50"/>
      <c r="AC82" s="61">
        <f t="shared" si="18"/>
        <v>-3</v>
      </c>
      <c r="AD82" s="50"/>
      <c r="AE82" s="67">
        <f t="shared" si="19"/>
        <v>-3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2</v>
      </c>
      <c r="H83" s="52"/>
      <c r="I83" s="65">
        <f t="shared" si="11"/>
        <v>2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2</v>
      </c>
      <c r="AA83" s="50"/>
      <c r="AB83" s="50"/>
      <c r="AC83" s="61">
        <f t="shared" si="18"/>
        <v>-2</v>
      </c>
      <c r="AD83" s="50"/>
      <c r="AE83" s="67">
        <f t="shared" si="19"/>
        <v>-2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7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7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7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7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7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7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7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7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7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7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7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7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7">
        <f t="shared" si="19"/>
        <v>0</v>
      </c>
    </row>
    <row r="97" spans="2:3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7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7">
        <f t="shared" si="19"/>
        <v>0</v>
      </c>
    </row>
    <row r="99" spans="2:3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7">
        <f t="shared" si="19"/>
        <v>0</v>
      </c>
    </row>
    <row r="100" spans="2:31">
      <c r="B100" s="50">
        <v>1004062</v>
      </c>
      <c r="C100" s="53" t="s">
        <v>238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>
        <v>3</v>
      </c>
      <c r="Z100" s="63">
        <f t="shared" si="17"/>
        <v>3</v>
      </c>
      <c r="AA100" s="50"/>
      <c r="AB100" s="50"/>
      <c r="AC100" s="61">
        <f t="shared" si="18"/>
        <v>-3</v>
      </c>
      <c r="AD100" s="50"/>
      <c r="AE100" s="67">
        <f t="shared" si="19"/>
        <v>-3</v>
      </c>
    </row>
    <row r="101" spans="2:31">
      <c r="B101" s="50">
        <v>1004051</v>
      </c>
      <c r="C101" s="53" t="s">
        <v>239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>
        <v>5</v>
      </c>
      <c r="Z101" s="63">
        <f t="shared" si="17"/>
        <v>5</v>
      </c>
      <c r="AA101" s="50"/>
      <c r="AB101" s="50"/>
      <c r="AC101" s="61">
        <f t="shared" si="18"/>
        <v>-5</v>
      </c>
      <c r="AD101" s="50"/>
      <c r="AE101" s="67">
        <f t="shared" si="19"/>
        <v>-5</v>
      </c>
    </row>
    <row r="102" spans="2:31">
      <c r="B102" s="50">
        <v>1111005</v>
      </c>
      <c r="C102" s="53" t="s">
        <v>240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7">
        <f t="shared" si="19"/>
        <v>0</v>
      </c>
    </row>
    <row r="103" spans="2:31">
      <c r="B103" s="50">
        <v>1111006</v>
      </c>
      <c r="C103" s="53" t="s">
        <v>241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>
        <v>10</v>
      </c>
      <c r="Z103" s="63">
        <f t="shared" si="17"/>
        <v>10</v>
      </c>
      <c r="AA103" s="50"/>
      <c r="AB103" s="50"/>
      <c r="AC103" s="61">
        <f t="shared" si="18"/>
        <v>-10</v>
      </c>
      <c r="AD103" s="50"/>
      <c r="AE103" s="67">
        <f t="shared" si="19"/>
        <v>-10</v>
      </c>
    </row>
    <row r="104" spans="2:31">
      <c r="B104" s="50">
        <v>1004048</v>
      </c>
      <c r="C104" s="53" t="s">
        <v>242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>
        <v>10</v>
      </c>
      <c r="Z104" s="63">
        <f t="shared" si="17"/>
        <v>10</v>
      </c>
      <c r="AA104" s="50"/>
      <c r="AB104" s="50"/>
      <c r="AC104" s="61">
        <f t="shared" si="18"/>
        <v>-10</v>
      </c>
      <c r="AD104" s="50"/>
      <c r="AE104" s="67">
        <f t="shared" si="19"/>
        <v>-10</v>
      </c>
    </row>
    <row r="105" spans="2:31">
      <c r="B105" s="50">
        <v>1113157</v>
      </c>
      <c r="C105" s="53" t="s">
        <v>243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>
        <v>10</v>
      </c>
      <c r="Z105" s="63">
        <f t="shared" si="17"/>
        <v>10</v>
      </c>
      <c r="AA105" s="50"/>
      <c r="AB105" s="50"/>
      <c r="AC105" s="61">
        <f t="shared" si="18"/>
        <v>-10</v>
      </c>
      <c r="AD105" s="50"/>
      <c r="AE105" s="67">
        <f t="shared" si="19"/>
        <v>-10</v>
      </c>
    </row>
    <row r="106" spans="2:31">
      <c r="B106" s="50">
        <v>1004080</v>
      </c>
      <c r="C106" s="53" t="s">
        <v>244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7">
        <f t="shared" si="19"/>
        <v>0</v>
      </c>
    </row>
    <row r="107" spans="2:31">
      <c r="B107" s="50">
        <v>1004081</v>
      </c>
      <c r="C107" s="53" t="s">
        <v>245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7">
        <f t="shared" si="19"/>
        <v>0</v>
      </c>
    </row>
    <row r="108" spans="2:31">
      <c r="B108" s="50">
        <v>3001200</v>
      </c>
      <c r="C108" s="53" t="s">
        <v>246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7">
        <f t="shared" si="19"/>
        <v>0</v>
      </c>
    </row>
    <row r="109" spans="2:31">
      <c r="B109" s="50">
        <v>1004047</v>
      </c>
      <c r="C109" s="53" t="s">
        <v>247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7">
        <f t="shared" si="19"/>
        <v>0</v>
      </c>
    </row>
    <row r="110" spans="2:31">
      <c r="B110" s="50">
        <v>1004070</v>
      </c>
      <c r="C110" s="53" t="s">
        <v>248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7">
        <f t="shared" si="19"/>
        <v>0</v>
      </c>
    </row>
    <row r="111" spans="2:31">
      <c r="B111" s="50">
        <v>1004076</v>
      </c>
      <c r="C111" s="53" t="s">
        <v>249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>
        <v>10</v>
      </c>
      <c r="Z111" s="63">
        <f t="shared" si="17"/>
        <v>10</v>
      </c>
      <c r="AA111" s="50"/>
      <c r="AB111" s="50"/>
      <c r="AC111" s="61">
        <f t="shared" si="18"/>
        <v>-10</v>
      </c>
      <c r="AD111" s="50"/>
      <c r="AE111" s="67">
        <f t="shared" si="19"/>
        <v>-10</v>
      </c>
    </row>
    <row r="112" spans="2:31">
      <c r="B112" s="50">
        <v>1004050</v>
      </c>
      <c r="C112" s="53" t="s">
        <v>250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7">
        <f t="shared" si="19"/>
        <v>0</v>
      </c>
    </row>
    <row r="113" spans="2:31">
      <c r="B113" s="50">
        <v>1004048</v>
      </c>
      <c r="C113" s="53" t="s">
        <v>251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7">
        <f t="shared" si="19"/>
        <v>0</v>
      </c>
    </row>
    <row r="114" spans="2:31">
      <c r="B114" s="50">
        <v>1007020</v>
      </c>
      <c r="C114" s="53" t="s">
        <v>253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>
        <v>10</v>
      </c>
      <c r="Z114" s="63">
        <f t="shared" si="17"/>
        <v>10</v>
      </c>
      <c r="AA114" s="50"/>
      <c r="AB114" s="50"/>
      <c r="AC114" s="61">
        <f t="shared" si="18"/>
        <v>-10</v>
      </c>
      <c r="AD114" s="50"/>
      <c r="AE114" s="67">
        <f t="shared" si="19"/>
        <v>-10</v>
      </c>
    </row>
    <row r="115" spans="2:31">
      <c r="B115" s="50">
        <v>1004063</v>
      </c>
      <c r="C115" s="53" t="s">
        <v>254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>
        <v>10</v>
      </c>
      <c r="Z115" s="63">
        <f t="shared" si="17"/>
        <v>10</v>
      </c>
      <c r="AA115" s="50"/>
      <c r="AB115" s="50"/>
      <c r="AC115" s="61">
        <f t="shared" si="18"/>
        <v>-10</v>
      </c>
      <c r="AD115" s="50"/>
      <c r="AE115" s="67">
        <f t="shared" si="19"/>
        <v>-10</v>
      </c>
    </row>
    <row r="116" spans="2:31">
      <c r="B116" s="50">
        <v>1004065</v>
      </c>
      <c r="C116" s="53" t="s">
        <v>255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>
        <v>10</v>
      </c>
      <c r="Z116" s="63">
        <f t="shared" si="17"/>
        <v>10</v>
      </c>
      <c r="AA116" s="50"/>
      <c r="AB116" s="50"/>
      <c r="AC116" s="61">
        <f t="shared" si="18"/>
        <v>-10</v>
      </c>
      <c r="AD116" s="50"/>
      <c r="AE116" s="67">
        <f t="shared" si="19"/>
        <v>-10</v>
      </c>
    </row>
    <row r="117" spans="2:31">
      <c r="B117" s="50">
        <v>1006982</v>
      </c>
      <c r="C117" s="53" t="s">
        <v>256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>
        <v>10</v>
      </c>
      <c r="Z117" s="63">
        <f t="shared" si="17"/>
        <v>10</v>
      </c>
      <c r="AA117" s="50"/>
      <c r="AB117" s="50"/>
      <c r="AC117" s="61">
        <f t="shared" si="18"/>
        <v>-10</v>
      </c>
      <c r="AD117" s="50"/>
      <c r="AE117" s="67">
        <f t="shared" si="19"/>
        <v>-10</v>
      </c>
    </row>
    <row r="118" spans="2:31">
      <c r="B118" s="50">
        <v>1006000</v>
      </c>
      <c r="C118" s="53" t="s">
        <v>257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7">
        <f t="shared" si="19"/>
        <v>0</v>
      </c>
    </row>
    <row r="119" spans="2:31">
      <c r="B119" s="50">
        <v>1005998</v>
      </c>
      <c r="C119" s="53" t="s">
        <v>258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7">
        <f t="shared" si="19"/>
        <v>0</v>
      </c>
    </row>
    <row r="120" spans="2:31">
      <c r="B120" s="50">
        <v>1005995</v>
      </c>
      <c r="C120" s="53" t="s">
        <v>259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7">
        <f t="shared" si="19"/>
        <v>0</v>
      </c>
    </row>
    <row r="121" spans="2:3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7">
        <f t="shared" si="19"/>
        <v>0</v>
      </c>
    </row>
    <row r="122" spans="2:3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7"/>
    </row>
    <row r="123" spans="2:3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7"/>
    </row>
    <row r="124" spans="2:3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7"/>
    </row>
    <row r="125" spans="2:3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7"/>
    </row>
    <row r="126" spans="2:3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7"/>
    </row>
    <row r="127" spans="2:3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7"/>
    </row>
    <row r="128" spans="2:3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7"/>
    </row>
    <row r="129" spans="2:3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7"/>
    </row>
    <row r="130" spans="2:3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7"/>
    </row>
    <row r="131" spans="2:3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7"/>
    </row>
    <row r="132" spans="2:3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7"/>
    </row>
    <row r="133" spans="2:3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7"/>
    </row>
    <row r="134" spans="2:3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7"/>
    </row>
    <row r="135" spans="2:3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7"/>
    </row>
    <row r="136" spans="2:3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7"/>
    </row>
    <row r="137" spans="2:3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7"/>
    </row>
    <row r="138" spans="2:3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7"/>
    </row>
    <row r="139" spans="2:3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7"/>
    </row>
    <row r="140" spans="2:3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7"/>
    </row>
    <row r="141" spans="2:3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7"/>
    </row>
    <row r="142" spans="2:3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7"/>
    </row>
    <row r="143" spans="2:3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7"/>
    </row>
    <row r="144" spans="2:3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7"/>
    </row>
    <row r="145" spans="2:3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7"/>
    </row>
    <row r="146" spans="2:3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7"/>
    </row>
    <row r="147" spans="2:3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7"/>
    </row>
    <row r="148" spans="2:3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7"/>
    </row>
    <row r="149" spans="2:3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7"/>
    </row>
    <row r="150" spans="2:3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7"/>
    </row>
    <row r="151" spans="2:3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7">
        <f t="shared" ref="AE151:AE153" si="29">AC151+AD151</f>
        <v>0</v>
      </c>
    </row>
    <row r="152" spans="2:3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7">
        <f t="shared" si="29"/>
        <v>0</v>
      </c>
    </row>
    <row r="153" spans="2:3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7">
        <f t="shared" si="29"/>
        <v>0</v>
      </c>
    </row>
    <row r="154" spans="2:31" s="59" customFormat="1" ht="51.75">
      <c r="B154" s="97" t="s">
        <v>201</v>
      </c>
      <c r="C154" s="98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42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42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318</v>
      </c>
      <c r="H154" s="62">
        <f t="shared" si="31"/>
        <v>0</v>
      </c>
      <c r="I154" s="62">
        <f t="shared" si="31"/>
        <v>318</v>
      </c>
      <c r="J154" s="62">
        <f t="shared" si="31"/>
        <v>58</v>
      </c>
      <c r="K154" s="62">
        <f t="shared" si="31"/>
        <v>0</v>
      </c>
      <c r="L154" s="62">
        <f t="shared" si="31"/>
        <v>58</v>
      </c>
      <c r="M154" s="62">
        <f t="shared" si="31"/>
        <v>788</v>
      </c>
      <c r="N154" s="62">
        <f t="shared" si="31"/>
        <v>0</v>
      </c>
      <c r="O154" s="62">
        <f t="shared" si="31"/>
        <v>788</v>
      </c>
      <c r="P154" s="62">
        <f t="shared" si="31"/>
        <v>334</v>
      </c>
      <c r="Q154" s="62">
        <f t="shared" si="31"/>
        <v>0</v>
      </c>
      <c r="R154" s="62">
        <f t="shared" si="31"/>
        <v>334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93</v>
      </c>
      <c r="Z154" s="62">
        <f t="shared" si="31"/>
        <v>1633</v>
      </c>
      <c r="AA154" s="62">
        <f t="shared" si="31"/>
        <v>85</v>
      </c>
      <c r="AB154" s="62">
        <f t="shared" si="31"/>
        <v>3</v>
      </c>
      <c r="AC154" s="62">
        <f t="shared" si="31"/>
        <v>-1545</v>
      </c>
      <c r="AD154" s="62">
        <f t="shared" si="31"/>
        <v>0</v>
      </c>
      <c r="AE154" s="62">
        <f t="shared" si="31"/>
        <v>-1545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Y2:Y3"/>
    <mergeCell ref="Z2:Z3"/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9F2C6-7C41-4344-8213-BCC36B209AEB}">
  <sheetPr codeName="Sheet17">
    <pageSetUpPr fitToPage="1"/>
  </sheetPr>
  <dimension ref="B1:AE159"/>
  <sheetViews>
    <sheetView topLeftCell="A56" zoomScale="50" zoomScaleNormal="50" workbookViewId="0">
      <selection activeCell="L47" sqref="L47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8" width="14.28515625" style="56" customWidth="1"/>
    <col min="19" max="25" width="14.28515625" style="56" hidden="1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3" t="s">
        <v>221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</row>
    <row r="2" spans="2:31" ht="49.9" customHeight="1">
      <c r="B2" s="99" t="s">
        <v>3</v>
      </c>
      <c r="C2" s="99" t="s">
        <v>4</v>
      </c>
      <c r="D2" s="85" t="s">
        <v>5</v>
      </c>
      <c r="E2" s="86"/>
      <c r="F2" s="87"/>
      <c r="G2" s="85" t="s">
        <v>6</v>
      </c>
      <c r="H2" s="86"/>
      <c r="I2" s="87"/>
      <c r="J2" s="85" t="s">
        <v>7</v>
      </c>
      <c r="K2" s="86"/>
      <c r="L2" s="87"/>
      <c r="M2" s="85" t="s">
        <v>8</v>
      </c>
      <c r="N2" s="86"/>
      <c r="O2" s="87"/>
      <c r="P2" s="85" t="s">
        <v>132</v>
      </c>
      <c r="Q2" s="86"/>
      <c r="R2" s="87"/>
      <c r="S2" s="85" t="s">
        <v>9</v>
      </c>
      <c r="T2" s="86"/>
      <c r="U2" s="87"/>
      <c r="V2" s="88" t="s">
        <v>131</v>
      </c>
      <c r="W2" s="89"/>
      <c r="X2" s="90"/>
      <c r="Y2" s="101" t="s">
        <v>134</v>
      </c>
      <c r="Z2" s="103" t="s">
        <v>204</v>
      </c>
      <c r="AA2" s="91" t="s">
        <v>145</v>
      </c>
      <c r="AB2" s="91" t="s">
        <v>146</v>
      </c>
      <c r="AC2" s="95" t="s">
        <v>147</v>
      </c>
      <c r="AD2" s="93" t="s">
        <v>148</v>
      </c>
      <c r="AE2" s="82" t="s">
        <v>212</v>
      </c>
    </row>
    <row r="3" spans="2:31" ht="49.9" customHeight="1">
      <c r="B3" s="100"/>
      <c r="C3" s="100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102"/>
      <c r="Z3" s="104"/>
      <c r="AA3" s="92"/>
      <c r="AB3" s="92"/>
      <c r="AC3" s="96"/>
      <c r="AD3" s="94"/>
      <c r="AE3" s="82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52">
        <v>45</v>
      </c>
      <c r="N4" s="52"/>
      <c r="O4" s="65">
        <f>SUM(M4:N4)</f>
        <v>45</v>
      </c>
      <c r="P4" s="52">
        <v>6</v>
      </c>
      <c r="Q4" s="52"/>
      <c r="R4" s="65">
        <f>SUM(P4:Q4)</f>
        <v>6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51</v>
      </c>
      <c r="AA4" s="50">
        <v>65</v>
      </c>
      <c r="AB4" s="50"/>
      <c r="AC4" s="61">
        <f>+AA4+AB4-Z4</f>
        <v>14</v>
      </c>
      <c r="AD4" s="50">
        <v>65</v>
      </c>
      <c r="AE4" s="67">
        <f>AC4+AD4</f>
        <v>79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37</v>
      </c>
      <c r="H5" s="52"/>
      <c r="I5" s="65">
        <f t="shared" ref="I5:I68" si="1">SUM(G5:H5)</f>
        <v>37</v>
      </c>
      <c r="J5" s="52">
        <v>29</v>
      </c>
      <c r="K5" s="52"/>
      <c r="L5" s="65">
        <f t="shared" ref="L5:L68" si="2">SUM(J5:K5)</f>
        <v>29</v>
      </c>
      <c r="M5" s="52">
        <v>12</v>
      </c>
      <c r="N5" s="52"/>
      <c r="O5" s="65">
        <f t="shared" ref="O5:O68" si="3">SUM(M5:N5)</f>
        <v>12</v>
      </c>
      <c r="P5" s="52">
        <v>3</v>
      </c>
      <c r="Q5" s="52"/>
      <c r="R5" s="65">
        <f t="shared" ref="R5:R68" si="4">SUM(P5:Q5)</f>
        <v>3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81</v>
      </c>
      <c r="AA5" s="58">
        <v>60</v>
      </c>
      <c r="AB5" s="58"/>
      <c r="AC5" s="61">
        <f t="shared" ref="AC5:AC68" si="8">+AA5+AB5-Z5</f>
        <v>-21</v>
      </c>
      <c r="AD5" s="58">
        <v>80</v>
      </c>
      <c r="AE5" s="67">
        <f t="shared" ref="AE5:AE68" si="9">AC5+AD5</f>
        <v>59</v>
      </c>
    </row>
    <row r="6" spans="2:31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7">
        <f t="shared" si="9"/>
        <v>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7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7">
        <f t="shared" si="9"/>
        <v>0</v>
      </c>
    </row>
    <row r="9" spans="2:31">
      <c r="B9" s="50">
        <v>1111057</v>
      </c>
      <c r="C9" s="51" t="s">
        <v>30</v>
      </c>
      <c r="D9" s="52">
        <v>3</v>
      </c>
      <c r="E9" s="52"/>
      <c r="F9" s="65">
        <f t="shared" si="0"/>
        <v>3</v>
      </c>
      <c r="G9" s="52">
        <v>4</v>
      </c>
      <c r="H9" s="52"/>
      <c r="I9" s="65">
        <f t="shared" si="1"/>
        <v>4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7</v>
      </c>
      <c r="AA9" s="50"/>
      <c r="AB9" s="50"/>
      <c r="AC9" s="61">
        <f t="shared" si="8"/>
        <v>-7</v>
      </c>
      <c r="AD9" s="50"/>
      <c r="AE9" s="67">
        <f t="shared" si="9"/>
        <v>-7</v>
      </c>
    </row>
    <row r="10" spans="2:31">
      <c r="B10" s="50">
        <v>1111058</v>
      </c>
      <c r="C10" s="51" t="s">
        <v>154</v>
      </c>
      <c r="D10" s="52">
        <v>3</v>
      </c>
      <c r="E10" s="52"/>
      <c r="F10" s="65">
        <f t="shared" si="0"/>
        <v>3</v>
      </c>
      <c r="G10" s="52">
        <v>3</v>
      </c>
      <c r="H10" s="52"/>
      <c r="I10" s="65">
        <f t="shared" si="1"/>
        <v>3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6</v>
      </c>
      <c r="AA10" s="50"/>
      <c r="AB10" s="50"/>
      <c r="AC10" s="61">
        <f t="shared" si="8"/>
        <v>-6</v>
      </c>
      <c r="AD10" s="50"/>
      <c r="AE10" s="67">
        <f t="shared" si="9"/>
        <v>-6</v>
      </c>
    </row>
    <row r="11" spans="2:31">
      <c r="B11" s="50">
        <v>1111059</v>
      </c>
      <c r="C11" s="51" t="s">
        <v>32</v>
      </c>
      <c r="D11" s="52">
        <v>3</v>
      </c>
      <c r="E11" s="52"/>
      <c r="F11" s="65">
        <f t="shared" si="0"/>
        <v>3</v>
      </c>
      <c r="G11" s="52">
        <v>3</v>
      </c>
      <c r="H11" s="52"/>
      <c r="I11" s="65">
        <f t="shared" si="1"/>
        <v>3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6</v>
      </c>
      <c r="AA11" s="50"/>
      <c r="AB11" s="50"/>
      <c r="AC11" s="61">
        <f t="shared" si="8"/>
        <v>-6</v>
      </c>
      <c r="AD11" s="50"/>
      <c r="AE11" s="67">
        <f t="shared" si="9"/>
        <v>-6</v>
      </c>
    </row>
    <row r="12" spans="2:31">
      <c r="B12" s="50">
        <v>1111060</v>
      </c>
      <c r="C12" s="51" t="s">
        <v>33</v>
      </c>
      <c r="D12" s="52">
        <v>3</v>
      </c>
      <c r="E12" s="52"/>
      <c r="F12" s="65">
        <f t="shared" si="0"/>
        <v>3</v>
      </c>
      <c r="G12" s="52">
        <v>3</v>
      </c>
      <c r="H12" s="52"/>
      <c r="I12" s="65">
        <f t="shared" si="1"/>
        <v>3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6</v>
      </c>
      <c r="AA12" s="50"/>
      <c r="AB12" s="50"/>
      <c r="AC12" s="61">
        <f t="shared" si="8"/>
        <v>-6</v>
      </c>
      <c r="AD12" s="50"/>
      <c r="AE12" s="67">
        <f t="shared" si="9"/>
        <v>-6</v>
      </c>
    </row>
    <row r="13" spans="2:31">
      <c r="B13" s="50">
        <v>1111061</v>
      </c>
      <c r="C13" s="51" t="s">
        <v>34</v>
      </c>
      <c r="D13" s="52">
        <v>2</v>
      </c>
      <c r="E13" s="52"/>
      <c r="F13" s="65">
        <f t="shared" si="0"/>
        <v>2</v>
      </c>
      <c r="G13" s="52">
        <v>3</v>
      </c>
      <c r="H13" s="52"/>
      <c r="I13" s="65">
        <f t="shared" si="1"/>
        <v>3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5</v>
      </c>
      <c r="AA13" s="50"/>
      <c r="AB13" s="50"/>
      <c r="AC13" s="61">
        <f t="shared" si="8"/>
        <v>-5</v>
      </c>
      <c r="AD13" s="50"/>
      <c r="AE13" s="67">
        <f t="shared" si="9"/>
        <v>-5</v>
      </c>
    </row>
    <row r="14" spans="2:31">
      <c r="B14" s="50">
        <v>1111062</v>
      </c>
      <c r="C14" s="51" t="s">
        <v>35</v>
      </c>
      <c r="D14" s="52">
        <v>2</v>
      </c>
      <c r="E14" s="52"/>
      <c r="F14" s="65">
        <f t="shared" si="0"/>
        <v>2</v>
      </c>
      <c r="G14" s="52">
        <v>3</v>
      </c>
      <c r="H14" s="52"/>
      <c r="I14" s="65">
        <f t="shared" si="1"/>
        <v>3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5</v>
      </c>
      <c r="AA14" s="50"/>
      <c r="AB14" s="50"/>
      <c r="AC14" s="61">
        <f t="shared" si="8"/>
        <v>-5</v>
      </c>
      <c r="AD14" s="50"/>
      <c r="AE14" s="67">
        <f t="shared" si="9"/>
        <v>-5</v>
      </c>
    </row>
    <row r="15" spans="2:31">
      <c r="B15" s="50">
        <v>1111063</v>
      </c>
      <c r="C15" s="51" t="s">
        <v>36</v>
      </c>
      <c r="D15" s="52">
        <v>2</v>
      </c>
      <c r="E15" s="52"/>
      <c r="F15" s="65">
        <f t="shared" si="0"/>
        <v>2</v>
      </c>
      <c r="G15" s="52">
        <v>3</v>
      </c>
      <c r="H15" s="52"/>
      <c r="I15" s="65">
        <f t="shared" si="1"/>
        <v>3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5</v>
      </c>
      <c r="AA15" s="50"/>
      <c r="AB15" s="50"/>
      <c r="AC15" s="61">
        <f t="shared" si="8"/>
        <v>-5</v>
      </c>
      <c r="AD15" s="50"/>
      <c r="AE15" s="67">
        <f t="shared" si="9"/>
        <v>-5</v>
      </c>
    </row>
    <row r="16" spans="2:31">
      <c r="B16" s="50">
        <v>1111064</v>
      </c>
      <c r="C16" s="51" t="s">
        <v>37</v>
      </c>
      <c r="D16" s="52">
        <v>2</v>
      </c>
      <c r="E16" s="52"/>
      <c r="F16" s="65">
        <f t="shared" si="0"/>
        <v>2</v>
      </c>
      <c r="G16" s="52">
        <v>3</v>
      </c>
      <c r="H16" s="52"/>
      <c r="I16" s="65">
        <f t="shared" si="1"/>
        <v>3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5</v>
      </c>
      <c r="AA16" s="50"/>
      <c r="AB16" s="50"/>
      <c r="AC16" s="61">
        <f t="shared" si="8"/>
        <v>-5</v>
      </c>
      <c r="AD16" s="50"/>
      <c r="AE16" s="67">
        <f t="shared" si="9"/>
        <v>-5</v>
      </c>
    </row>
    <row r="17" spans="2:31">
      <c r="B17" s="50">
        <v>1111065</v>
      </c>
      <c r="C17" s="51" t="s">
        <v>38</v>
      </c>
      <c r="D17" s="52">
        <v>2</v>
      </c>
      <c r="E17" s="52"/>
      <c r="F17" s="65">
        <f t="shared" si="0"/>
        <v>2</v>
      </c>
      <c r="G17" s="52">
        <v>3</v>
      </c>
      <c r="H17" s="52"/>
      <c r="I17" s="65">
        <f t="shared" si="1"/>
        <v>3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5</v>
      </c>
      <c r="AA17" s="50"/>
      <c r="AB17" s="50"/>
      <c r="AC17" s="61">
        <f t="shared" si="8"/>
        <v>-5</v>
      </c>
      <c r="AD17" s="50"/>
      <c r="AE17" s="67">
        <f t="shared" si="9"/>
        <v>-5</v>
      </c>
    </row>
    <row r="18" spans="2:31">
      <c r="B18" s="50">
        <v>1111066</v>
      </c>
      <c r="C18" s="51" t="s">
        <v>39</v>
      </c>
      <c r="D18" s="52">
        <v>2</v>
      </c>
      <c r="E18" s="52"/>
      <c r="F18" s="65">
        <f t="shared" si="0"/>
        <v>2</v>
      </c>
      <c r="G18" s="52">
        <v>3</v>
      </c>
      <c r="H18" s="52"/>
      <c r="I18" s="65">
        <f t="shared" si="1"/>
        <v>3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5</v>
      </c>
      <c r="AA18" s="50"/>
      <c r="AB18" s="50"/>
      <c r="AC18" s="61">
        <f t="shared" si="8"/>
        <v>-5</v>
      </c>
      <c r="AD18" s="50"/>
      <c r="AE18" s="67">
        <f t="shared" si="9"/>
        <v>-5</v>
      </c>
    </row>
    <row r="19" spans="2:31">
      <c r="B19" s="50">
        <v>1111067</v>
      </c>
      <c r="C19" s="51" t="s">
        <v>40</v>
      </c>
      <c r="D19" s="52">
        <v>2</v>
      </c>
      <c r="E19" s="52"/>
      <c r="F19" s="65">
        <f t="shared" si="0"/>
        <v>2</v>
      </c>
      <c r="G19" s="52">
        <v>3</v>
      </c>
      <c r="H19" s="52"/>
      <c r="I19" s="65">
        <f t="shared" si="1"/>
        <v>3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5</v>
      </c>
      <c r="AA19" s="50"/>
      <c r="AB19" s="50"/>
      <c r="AC19" s="61">
        <f t="shared" si="8"/>
        <v>-5</v>
      </c>
      <c r="AD19" s="50"/>
      <c r="AE19" s="67">
        <f t="shared" si="9"/>
        <v>-5</v>
      </c>
    </row>
    <row r="20" spans="2:31">
      <c r="B20" s="50">
        <v>1111068</v>
      </c>
      <c r="C20" s="51" t="s">
        <v>41</v>
      </c>
      <c r="D20" s="52">
        <v>2</v>
      </c>
      <c r="E20" s="52"/>
      <c r="F20" s="65">
        <f t="shared" si="0"/>
        <v>2</v>
      </c>
      <c r="G20" s="52">
        <v>3</v>
      </c>
      <c r="H20" s="52"/>
      <c r="I20" s="65">
        <f t="shared" si="1"/>
        <v>3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5</v>
      </c>
      <c r="AA20" s="50"/>
      <c r="AB20" s="50"/>
      <c r="AC20" s="61">
        <f t="shared" si="8"/>
        <v>-5</v>
      </c>
      <c r="AD20" s="50"/>
      <c r="AE20" s="67">
        <f t="shared" si="9"/>
        <v>-5</v>
      </c>
    </row>
    <row r="21" spans="2:31">
      <c r="B21" s="50">
        <v>1111069</v>
      </c>
      <c r="C21" s="51" t="s">
        <v>42</v>
      </c>
      <c r="D21" s="52">
        <v>2</v>
      </c>
      <c r="E21" s="52"/>
      <c r="F21" s="65">
        <f t="shared" si="0"/>
        <v>2</v>
      </c>
      <c r="G21" s="52">
        <v>3</v>
      </c>
      <c r="H21" s="52"/>
      <c r="I21" s="65">
        <f t="shared" si="1"/>
        <v>3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5</v>
      </c>
      <c r="AA21" s="50"/>
      <c r="AB21" s="50"/>
      <c r="AC21" s="61">
        <f t="shared" si="8"/>
        <v>-5</v>
      </c>
      <c r="AD21" s="50"/>
      <c r="AE21" s="67">
        <f t="shared" si="9"/>
        <v>-5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7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7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7">
        <f t="shared" si="9"/>
        <v>0</v>
      </c>
    </row>
    <row r="25" spans="2:31">
      <c r="B25" s="50">
        <v>1111008</v>
      </c>
      <c r="C25" s="51" t="s">
        <v>156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52">
        <v>24</v>
      </c>
      <c r="N25" s="52"/>
      <c r="O25" s="65">
        <f t="shared" si="3"/>
        <v>24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24</v>
      </c>
      <c r="AA25" s="50">
        <v>50</v>
      </c>
      <c r="AB25" s="50">
        <v>12</v>
      </c>
      <c r="AC25" s="61">
        <f t="shared" si="8"/>
        <v>38</v>
      </c>
      <c r="AD25" s="50">
        <v>50</v>
      </c>
      <c r="AE25" s="67">
        <f t="shared" si="9"/>
        <v>88</v>
      </c>
    </row>
    <row r="26" spans="2:31">
      <c r="B26" s="50">
        <v>1111009</v>
      </c>
      <c r="C26" s="51" t="s">
        <v>157</v>
      </c>
      <c r="D26" s="52"/>
      <c r="E26" s="52"/>
      <c r="F26" s="65">
        <f t="shared" si="0"/>
        <v>0</v>
      </c>
      <c r="G26" s="52">
        <v>6</v>
      </c>
      <c r="H26" s="52"/>
      <c r="I26" s="65">
        <f t="shared" si="1"/>
        <v>6</v>
      </c>
      <c r="J26" s="52">
        <v>2</v>
      </c>
      <c r="K26" s="52"/>
      <c r="L26" s="65">
        <f t="shared" si="2"/>
        <v>2</v>
      </c>
      <c r="M26" s="52">
        <v>2</v>
      </c>
      <c r="N26" s="52"/>
      <c r="O26" s="65">
        <f t="shared" si="3"/>
        <v>2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10</v>
      </c>
      <c r="AA26" s="50"/>
      <c r="AB26" s="50">
        <v>136</v>
      </c>
      <c r="AC26" s="61">
        <f t="shared" si="8"/>
        <v>126</v>
      </c>
      <c r="AD26" s="50"/>
      <c r="AE26" s="67">
        <f t="shared" si="9"/>
        <v>126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7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7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7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7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7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7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7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7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7">
        <f t="shared" si="9"/>
        <v>0</v>
      </c>
    </row>
    <row r="36" spans="2:31" hidden="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7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7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7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7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7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2</v>
      </c>
      <c r="H41" s="52"/>
      <c r="I41" s="65">
        <f t="shared" si="1"/>
        <v>2</v>
      </c>
      <c r="J41" s="52"/>
      <c r="K41" s="52"/>
      <c r="L41" s="65">
        <f t="shared" si="2"/>
        <v>0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2</v>
      </c>
      <c r="AA41" s="50"/>
      <c r="AB41" s="50">
        <v>22</v>
      </c>
      <c r="AC41" s="61">
        <f t="shared" si="8"/>
        <v>20</v>
      </c>
      <c r="AD41" s="50"/>
      <c r="AE41" s="67">
        <f t="shared" si="9"/>
        <v>20</v>
      </c>
    </row>
    <row r="42" spans="2:31">
      <c r="B42" s="50">
        <v>1111074</v>
      </c>
      <c r="C42" s="51" t="s">
        <v>44</v>
      </c>
      <c r="D42" s="52">
        <v>4</v>
      </c>
      <c r="E42" s="52"/>
      <c r="F42" s="65">
        <f t="shared" si="0"/>
        <v>4</v>
      </c>
      <c r="G42" s="52">
        <v>10</v>
      </c>
      <c r="H42" s="52"/>
      <c r="I42" s="65">
        <f t="shared" si="1"/>
        <v>10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14</v>
      </c>
      <c r="AA42" s="50"/>
      <c r="AB42" s="50"/>
      <c r="AC42" s="61">
        <f t="shared" si="8"/>
        <v>-14</v>
      </c>
      <c r="AD42" s="50"/>
      <c r="AE42" s="67">
        <f t="shared" si="9"/>
        <v>-14</v>
      </c>
    </row>
    <row r="43" spans="2:31">
      <c r="B43" s="50">
        <v>1111075</v>
      </c>
      <c r="C43" s="51" t="s">
        <v>45</v>
      </c>
      <c r="D43" s="52">
        <v>4</v>
      </c>
      <c r="E43" s="52"/>
      <c r="F43" s="65">
        <f t="shared" si="0"/>
        <v>4</v>
      </c>
      <c r="G43" s="52">
        <v>9</v>
      </c>
      <c r="H43" s="52"/>
      <c r="I43" s="65">
        <f t="shared" si="1"/>
        <v>9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13</v>
      </c>
      <c r="AA43" s="50"/>
      <c r="AB43" s="50"/>
      <c r="AC43" s="61">
        <f t="shared" si="8"/>
        <v>-13</v>
      </c>
      <c r="AD43" s="50"/>
      <c r="AE43" s="67">
        <f t="shared" si="9"/>
        <v>-13</v>
      </c>
    </row>
    <row r="44" spans="2:31">
      <c r="B44" s="50">
        <v>1111076</v>
      </c>
      <c r="C44" s="51" t="s">
        <v>46</v>
      </c>
      <c r="D44" s="52">
        <v>4</v>
      </c>
      <c r="E44" s="52"/>
      <c r="F44" s="65">
        <f t="shared" si="0"/>
        <v>4</v>
      </c>
      <c r="G44" s="52">
        <v>9</v>
      </c>
      <c r="H44" s="52"/>
      <c r="I44" s="65">
        <f t="shared" si="1"/>
        <v>9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13</v>
      </c>
      <c r="AA44" s="50"/>
      <c r="AB44" s="50"/>
      <c r="AC44" s="61">
        <f t="shared" si="8"/>
        <v>-13</v>
      </c>
      <c r="AD44" s="50"/>
      <c r="AE44" s="67">
        <f t="shared" si="9"/>
        <v>-13</v>
      </c>
    </row>
    <row r="45" spans="2:31">
      <c r="B45" s="50">
        <v>1111077</v>
      </c>
      <c r="C45" s="51" t="s">
        <v>47</v>
      </c>
      <c r="D45" s="52">
        <v>4</v>
      </c>
      <c r="E45" s="52"/>
      <c r="F45" s="65">
        <f t="shared" si="0"/>
        <v>4</v>
      </c>
      <c r="G45" s="52">
        <v>9</v>
      </c>
      <c r="H45" s="52"/>
      <c r="I45" s="65">
        <f t="shared" si="1"/>
        <v>9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13</v>
      </c>
      <c r="AA45" s="50"/>
      <c r="AB45" s="50"/>
      <c r="AC45" s="61">
        <f t="shared" si="8"/>
        <v>-13</v>
      </c>
      <c r="AD45" s="50"/>
      <c r="AE45" s="67">
        <f t="shared" si="9"/>
        <v>-13</v>
      </c>
    </row>
    <row r="46" spans="2:31">
      <c r="B46" s="50">
        <v>1111078</v>
      </c>
      <c r="C46" s="51" t="s">
        <v>48</v>
      </c>
      <c r="D46" s="52">
        <v>4</v>
      </c>
      <c r="E46" s="52"/>
      <c r="F46" s="65">
        <f t="shared" si="0"/>
        <v>4</v>
      </c>
      <c r="G46" s="52">
        <v>9</v>
      </c>
      <c r="H46" s="52"/>
      <c r="I46" s="65">
        <f t="shared" si="1"/>
        <v>9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13</v>
      </c>
      <c r="AA46" s="50"/>
      <c r="AB46" s="50"/>
      <c r="AC46" s="61">
        <f t="shared" si="8"/>
        <v>-13</v>
      </c>
      <c r="AD46" s="50"/>
      <c r="AE46" s="67">
        <f t="shared" si="9"/>
        <v>-13</v>
      </c>
    </row>
    <row r="47" spans="2:31">
      <c r="B47" s="50">
        <v>1111079</v>
      </c>
      <c r="C47" s="51" t="s">
        <v>49</v>
      </c>
      <c r="D47" s="52">
        <v>4</v>
      </c>
      <c r="E47" s="52"/>
      <c r="F47" s="65">
        <f t="shared" si="0"/>
        <v>4</v>
      </c>
      <c r="G47" s="52">
        <v>9</v>
      </c>
      <c r="H47" s="52"/>
      <c r="I47" s="65">
        <f t="shared" si="1"/>
        <v>9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13</v>
      </c>
      <c r="AA47" s="50"/>
      <c r="AB47" s="50"/>
      <c r="AC47" s="61">
        <f t="shared" si="8"/>
        <v>-13</v>
      </c>
      <c r="AD47" s="50"/>
      <c r="AE47" s="67">
        <f t="shared" si="9"/>
        <v>-13</v>
      </c>
    </row>
    <row r="48" spans="2:31">
      <c r="B48" s="50">
        <v>1111080</v>
      </c>
      <c r="C48" s="51" t="s">
        <v>50</v>
      </c>
      <c r="D48" s="52">
        <v>4</v>
      </c>
      <c r="E48" s="52"/>
      <c r="F48" s="65">
        <f t="shared" si="0"/>
        <v>4</v>
      </c>
      <c r="G48" s="52">
        <v>9</v>
      </c>
      <c r="H48" s="52"/>
      <c r="I48" s="65">
        <f t="shared" si="1"/>
        <v>9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13</v>
      </c>
      <c r="AA48" s="50"/>
      <c r="AB48" s="50"/>
      <c r="AC48" s="61">
        <f t="shared" si="8"/>
        <v>-13</v>
      </c>
      <c r="AD48" s="50"/>
      <c r="AE48" s="67">
        <f t="shared" si="9"/>
        <v>-13</v>
      </c>
    </row>
    <row r="49" spans="2:31">
      <c r="B49" s="50">
        <v>1111081</v>
      </c>
      <c r="C49" s="51" t="s">
        <v>51</v>
      </c>
      <c r="D49" s="52">
        <v>4</v>
      </c>
      <c r="E49" s="52"/>
      <c r="F49" s="65">
        <f t="shared" si="0"/>
        <v>4</v>
      </c>
      <c r="G49" s="52">
        <v>9</v>
      </c>
      <c r="H49" s="52"/>
      <c r="I49" s="65">
        <f t="shared" si="1"/>
        <v>9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13</v>
      </c>
      <c r="AA49" s="50"/>
      <c r="AB49" s="50"/>
      <c r="AC49" s="61">
        <f t="shared" si="8"/>
        <v>-13</v>
      </c>
      <c r="AD49" s="50"/>
      <c r="AE49" s="67">
        <f t="shared" si="9"/>
        <v>-13</v>
      </c>
    </row>
    <row r="50" spans="2:31">
      <c r="B50" s="50">
        <v>1111082</v>
      </c>
      <c r="C50" s="51" t="s">
        <v>52</v>
      </c>
      <c r="D50" s="52">
        <v>4</v>
      </c>
      <c r="E50" s="52"/>
      <c r="F50" s="65">
        <f t="shared" si="0"/>
        <v>4</v>
      </c>
      <c r="G50" s="52">
        <v>9</v>
      </c>
      <c r="H50" s="52"/>
      <c r="I50" s="65">
        <f t="shared" si="1"/>
        <v>9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13</v>
      </c>
      <c r="AA50" s="50"/>
      <c r="AB50" s="50"/>
      <c r="AC50" s="61">
        <f t="shared" si="8"/>
        <v>-13</v>
      </c>
      <c r="AD50" s="50"/>
      <c r="AE50" s="67">
        <f t="shared" si="9"/>
        <v>-13</v>
      </c>
    </row>
    <row r="51" spans="2:31">
      <c r="B51" s="50">
        <v>1111083</v>
      </c>
      <c r="C51" s="51" t="s">
        <v>53</v>
      </c>
      <c r="D51" s="52">
        <v>4</v>
      </c>
      <c r="E51" s="52"/>
      <c r="F51" s="65">
        <f t="shared" si="0"/>
        <v>4</v>
      </c>
      <c r="G51" s="52">
        <v>9</v>
      </c>
      <c r="H51" s="52"/>
      <c r="I51" s="65">
        <f t="shared" si="1"/>
        <v>9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13</v>
      </c>
      <c r="AA51" s="50"/>
      <c r="AB51" s="50"/>
      <c r="AC51" s="61">
        <f t="shared" si="8"/>
        <v>-13</v>
      </c>
      <c r="AD51" s="50"/>
      <c r="AE51" s="67">
        <f t="shared" si="9"/>
        <v>-13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7">
        <f t="shared" si="9"/>
        <v>0</v>
      </c>
    </row>
    <row r="53" spans="2:31">
      <c r="B53" s="50">
        <v>1112003</v>
      </c>
      <c r="C53" s="51" t="s">
        <v>174</v>
      </c>
      <c r="D53" s="52">
        <v>10</v>
      </c>
      <c r="E53" s="52"/>
      <c r="F53" s="65">
        <f t="shared" si="0"/>
        <v>10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52">
        <v>15</v>
      </c>
      <c r="N53" s="52"/>
      <c r="O53" s="65">
        <f t="shared" si="3"/>
        <v>15</v>
      </c>
      <c r="P53" s="52">
        <v>2</v>
      </c>
      <c r="Q53" s="52"/>
      <c r="R53" s="65">
        <f t="shared" si="4"/>
        <v>2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27</v>
      </c>
      <c r="AA53" s="50">
        <v>60</v>
      </c>
      <c r="AB53" s="50">
        <v>27</v>
      </c>
      <c r="AC53" s="61">
        <f t="shared" si="8"/>
        <v>60</v>
      </c>
      <c r="AD53" s="50">
        <v>60</v>
      </c>
      <c r="AE53" s="67">
        <f t="shared" si="9"/>
        <v>120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7">
        <f t="shared" si="9"/>
        <v>0</v>
      </c>
    </row>
    <row r="55" spans="2:31">
      <c r="B55" s="50">
        <v>1112005</v>
      </c>
      <c r="C55" s="51" t="s">
        <v>176</v>
      </c>
      <c r="D55" s="52">
        <v>9</v>
      </c>
      <c r="E55" s="52"/>
      <c r="F55" s="65">
        <f t="shared" si="0"/>
        <v>9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52">
        <v>21</v>
      </c>
      <c r="N55" s="52"/>
      <c r="O55" s="65">
        <f t="shared" si="3"/>
        <v>21</v>
      </c>
      <c r="P55" s="52">
        <v>2</v>
      </c>
      <c r="Q55" s="52"/>
      <c r="R55" s="65">
        <f t="shared" si="4"/>
        <v>2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32</v>
      </c>
      <c r="AA55" s="50">
        <v>35</v>
      </c>
      <c r="AB55" s="50">
        <v>110</v>
      </c>
      <c r="AC55" s="61">
        <f t="shared" si="8"/>
        <v>113</v>
      </c>
      <c r="AD55" s="50">
        <v>35</v>
      </c>
      <c r="AE55" s="67">
        <f t="shared" si="9"/>
        <v>148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7">
        <f t="shared" si="9"/>
        <v>0</v>
      </c>
    </row>
    <row r="57" spans="2:31">
      <c r="B57" s="50">
        <v>1112009</v>
      </c>
      <c r="C57" s="51" t="s">
        <v>178</v>
      </c>
      <c r="D57" s="52">
        <v>10</v>
      </c>
      <c r="E57" s="52"/>
      <c r="F57" s="65">
        <f t="shared" si="0"/>
        <v>10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52">
        <v>21</v>
      </c>
      <c r="N57" s="52"/>
      <c r="O57" s="65">
        <f t="shared" si="3"/>
        <v>21</v>
      </c>
      <c r="P57" s="52">
        <v>2</v>
      </c>
      <c r="Q57" s="52"/>
      <c r="R57" s="65">
        <f t="shared" si="4"/>
        <v>2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33</v>
      </c>
      <c r="AA57" s="50">
        <v>35</v>
      </c>
      <c r="AB57" s="50">
        <v>113</v>
      </c>
      <c r="AC57" s="61">
        <f t="shared" si="8"/>
        <v>115</v>
      </c>
      <c r="AD57" s="50">
        <v>35</v>
      </c>
      <c r="AE57" s="67">
        <f t="shared" si="9"/>
        <v>150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7">
        <f t="shared" si="9"/>
        <v>0</v>
      </c>
    </row>
    <row r="59" spans="2:31">
      <c r="B59" s="50">
        <v>1112011</v>
      </c>
      <c r="C59" s="51" t="s">
        <v>180</v>
      </c>
      <c r="D59" s="52">
        <v>8</v>
      </c>
      <c r="E59" s="52"/>
      <c r="F59" s="65">
        <f t="shared" si="0"/>
        <v>8</v>
      </c>
      <c r="G59" s="52"/>
      <c r="H59" s="52"/>
      <c r="I59" s="65">
        <f t="shared" si="1"/>
        <v>0</v>
      </c>
      <c r="J59" s="52">
        <v>4</v>
      </c>
      <c r="K59" s="52"/>
      <c r="L59" s="65">
        <f t="shared" si="2"/>
        <v>4</v>
      </c>
      <c r="M59" s="52">
        <v>27</v>
      </c>
      <c r="N59" s="52"/>
      <c r="O59" s="65">
        <f t="shared" si="3"/>
        <v>27</v>
      </c>
      <c r="P59" s="52">
        <v>2</v>
      </c>
      <c r="Q59" s="52"/>
      <c r="R59" s="65">
        <f t="shared" si="4"/>
        <v>2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41</v>
      </c>
      <c r="AA59" s="50">
        <v>35</v>
      </c>
      <c r="AB59" s="50">
        <v>121</v>
      </c>
      <c r="AC59" s="61">
        <f t="shared" si="8"/>
        <v>115</v>
      </c>
      <c r="AD59" s="50">
        <v>35</v>
      </c>
      <c r="AE59" s="67">
        <f t="shared" si="9"/>
        <v>150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7">
        <f t="shared" si="9"/>
        <v>0</v>
      </c>
    </row>
    <row r="61" spans="2:31">
      <c r="B61" s="50">
        <v>1112013</v>
      </c>
      <c r="C61" s="51" t="s">
        <v>182</v>
      </c>
      <c r="D61" s="52">
        <v>8</v>
      </c>
      <c r="E61" s="52"/>
      <c r="F61" s="65">
        <f t="shared" si="0"/>
        <v>8</v>
      </c>
      <c r="G61" s="52">
        <v>1</v>
      </c>
      <c r="H61" s="52"/>
      <c r="I61" s="65">
        <f t="shared" si="1"/>
        <v>1</v>
      </c>
      <c r="J61" s="52"/>
      <c r="K61" s="52"/>
      <c r="L61" s="65">
        <f t="shared" si="2"/>
        <v>0</v>
      </c>
      <c r="M61" s="52">
        <v>21</v>
      </c>
      <c r="N61" s="52"/>
      <c r="O61" s="65">
        <f t="shared" si="3"/>
        <v>21</v>
      </c>
      <c r="P61" s="52">
        <v>2</v>
      </c>
      <c r="Q61" s="52"/>
      <c r="R61" s="65">
        <f t="shared" si="4"/>
        <v>2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32</v>
      </c>
      <c r="AA61" s="50">
        <v>35</v>
      </c>
      <c r="AB61" s="50">
        <v>106</v>
      </c>
      <c r="AC61" s="61">
        <f t="shared" si="8"/>
        <v>109</v>
      </c>
      <c r="AD61" s="50">
        <v>35</v>
      </c>
      <c r="AE61" s="67">
        <f t="shared" si="9"/>
        <v>144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7">
        <f t="shared" si="9"/>
        <v>0</v>
      </c>
    </row>
    <row r="63" spans="2:31">
      <c r="B63" s="50">
        <v>1112015</v>
      </c>
      <c r="C63" s="51" t="s">
        <v>184</v>
      </c>
      <c r="D63" s="52">
        <v>9</v>
      </c>
      <c r="E63" s="52"/>
      <c r="F63" s="65">
        <f t="shared" si="0"/>
        <v>9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52">
        <v>21</v>
      </c>
      <c r="N63" s="52"/>
      <c r="O63" s="65">
        <f t="shared" si="3"/>
        <v>21</v>
      </c>
      <c r="P63" s="52">
        <v>2</v>
      </c>
      <c r="Q63" s="52"/>
      <c r="R63" s="65">
        <f t="shared" si="4"/>
        <v>2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32</v>
      </c>
      <c r="AA63" s="50">
        <v>35</v>
      </c>
      <c r="AB63" s="50">
        <v>100</v>
      </c>
      <c r="AC63" s="61">
        <f t="shared" si="8"/>
        <v>103</v>
      </c>
      <c r="AD63" s="50">
        <v>35</v>
      </c>
      <c r="AE63" s="67">
        <f t="shared" si="9"/>
        <v>138</v>
      </c>
    </row>
    <row r="64" spans="2:31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7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7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7">
        <f t="shared" si="9"/>
        <v>0</v>
      </c>
    </row>
    <row r="67" spans="2:31">
      <c r="B67" s="50">
        <v>1114501</v>
      </c>
      <c r="C67" s="53" t="s">
        <v>187</v>
      </c>
      <c r="D67" s="52"/>
      <c r="E67" s="52"/>
      <c r="F67" s="65">
        <f t="shared" si="0"/>
        <v>0</v>
      </c>
      <c r="G67" s="52">
        <v>7</v>
      </c>
      <c r="H67" s="52"/>
      <c r="I67" s="65">
        <f t="shared" si="1"/>
        <v>7</v>
      </c>
      <c r="J67" s="52">
        <v>3</v>
      </c>
      <c r="K67" s="52"/>
      <c r="L67" s="65">
        <f t="shared" si="2"/>
        <v>3</v>
      </c>
      <c r="M67" s="52">
        <v>176</v>
      </c>
      <c r="N67" s="52"/>
      <c r="O67" s="65">
        <f t="shared" si="3"/>
        <v>176</v>
      </c>
      <c r="P67" s="52">
        <v>13</v>
      </c>
      <c r="Q67" s="52"/>
      <c r="R67" s="65">
        <f t="shared" si="4"/>
        <v>13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199</v>
      </c>
      <c r="AA67" s="50">
        <v>261</v>
      </c>
      <c r="AB67" s="50">
        <v>548</v>
      </c>
      <c r="AC67" s="61">
        <f t="shared" si="8"/>
        <v>610</v>
      </c>
      <c r="AD67" s="50">
        <v>250</v>
      </c>
      <c r="AE67" s="67">
        <f t="shared" si="9"/>
        <v>860</v>
      </c>
    </row>
    <row r="68" spans="2:31">
      <c r="B68" s="50">
        <v>1114502</v>
      </c>
      <c r="C68" s="53" t="s">
        <v>188</v>
      </c>
      <c r="D68" s="52"/>
      <c r="E68" s="52"/>
      <c r="F68" s="65">
        <f t="shared" si="0"/>
        <v>0</v>
      </c>
      <c r="G68" s="52">
        <v>2</v>
      </c>
      <c r="H68" s="52"/>
      <c r="I68" s="65">
        <f t="shared" si="1"/>
        <v>2</v>
      </c>
      <c r="J68" s="52">
        <v>6</v>
      </c>
      <c r="K68" s="52"/>
      <c r="L68" s="65">
        <f t="shared" si="2"/>
        <v>6</v>
      </c>
      <c r="M68" s="52">
        <v>167</v>
      </c>
      <c r="N68" s="52"/>
      <c r="O68" s="65">
        <f t="shared" si="3"/>
        <v>167</v>
      </c>
      <c r="P68" s="52">
        <v>13</v>
      </c>
      <c r="Q68" s="52"/>
      <c r="R68" s="65">
        <f t="shared" si="4"/>
        <v>13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188</v>
      </c>
      <c r="AA68" s="50">
        <v>285</v>
      </c>
      <c r="AB68" s="50">
        <v>149</v>
      </c>
      <c r="AC68" s="61">
        <f t="shared" si="8"/>
        <v>246</v>
      </c>
      <c r="AD68" s="50">
        <v>200</v>
      </c>
      <c r="AE68" s="67">
        <f t="shared" si="9"/>
        <v>446</v>
      </c>
    </row>
    <row r="69" spans="2:31">
      <c r="B69" s="50">
        <v>1114503</v>
      </c>
      <c r="C69" s="53" t="s">
        <v>189</v>
      </c>
      <c r="D69" s="52"/>
      <c r="E69" s="52"/>
      <c r="F69" s="65">
        <f t="shared" ref="F69:F132" si="10">SUM(D69:E69)</f>
        <v>0</v>
      </c>
      <c r="G69" s="52">
        <v>2</v>
      </c>
      <c r="H69" s="52"/>
      <c r="I69" s="65">
        <f t="shared" ref="I69:I121" si="11">SUM(G69:H69)</f>
        <v>2</v>
      </c>
      <c r="J69" s="52"/>
      <c r="K69" s="52"/>
      <c r="L69" s="65">
        <f t="shared" ref="L69:L121" si="12">SUM(J69:K69)</f>
        <v>0</v>
      </c>
      <c r="M69" s="52">
        <v>167</v>
      </c>
      <c r="N69" s="52"/>
      <c r="O69" s="65">
        <f t="shared" ref="O69:O121" si="13">SUM(M69:N69)</f>
        <v>167</v>
      </c>
      <c r="P69" s="52">
        <v>13</v>
      </c>
      <c r="Q69" s="52"/>
      <c r="R69" s="65">
        <f t="shared" ref="R69:R121" si="14">SUM(P69:Q69)</f>
        <v>13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182</v>
      </c>
      <c r="AA69" s="50">
        <v>321</v>
      </c>
      <c r="AB69" s="50">
        <v>117</v>
      </c>
      <c r="AC69" s="61">
        <f t="shared" ref="AC69:AC121" si="18">+AA69+AB69-Z69</f>
        <v>256</v>
      </c>
      <c r="AD69" s="50">
        <v>200</v>
      </c>
      <c r="AE69" s="67">
        <f t="shared" ref="AE69:AE121" si="19">AC69+AD69</f>
        <v>456</v>
      </c>
    </row>
    <row r="70" spans="2:3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>
        <v>13</v>
      </c>
      <c r="H70" s="52"/>
      <c r="I70" s="65">
        <f t="shared" si="11"/>
        <v>13</v>
      </c>
      <c r="J70" s="52">
        <v>6</v>
      </c>
      <c r="K70" s="52"/>
      <c r="L70" s="65">
        <f t="shared" si="12"/>
        <v>6</v>
      </c>
      <c r="M70" s="52">
        <v>45</v>
      </c>
      <c r="N70" s="52"/>
      <c r="O70" s="65">
        <f t="shared" si="13"/>
        <v>45</v>
      </c>
      <c r="P70" s="52">
        <v>4</v>
      </c>
      <c r="Q70" s="52"/>
      <c r="R70" s="65">
        <f t="shared" si="14"/>
        <v>4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68</v>
      </c>
      <c r="AA70" s="50">
        <v>70</v>
      </c>
      <c r="AB70" s="50">
        <v>106</v>
      </c>
      <c r="AC70" s="61">
        <f t="shared" si="18"/>
        <v>108</v>
      </c>
      <c r="AD70" s="50">
        <v>70</v>
      </c>
      <c r="AE70" s="67">
        <f t="shared" si="19"/>
        <v>178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7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7">
        <f t="shared" si="19"/>
        <v>0</v>
      </c>
    </row>
    <row r="73" spans="2:31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7">
        <f t="shared" si="19"/>
        <v>0</v>
      </c>
    </row>
    <row r="74" spans="2:31" hidden="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7">
        <f t="shared" si="19"/>
        <v>0</v>
      </c>
    </row>
    <row r="75" spans="2:31">
      <c r="B75" s="50">
        <v>1113170</v>
      </c>
      <c r="C75" s="53" t="s">
        <v>87</v>
      </c>
      <c r="D75" s="52">
        <v>14</v>
      </c>
      <c r="E75" s="52"/>
      <c r="F75" s="65">
        <f t="shared" si="10"/>
        <v>14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52">
        <v>4</v>
      </c>
      <c r="N75" s="52"/>
      <c r="O75" s="65">
        <f t="shared" si="13"/>
        <v>4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18</v>
      </c>
      <c r="AA75" s="50">
        <v>20</v>
      </c>
      <c r="AB75" s="50"/>
      <c r="AC75" s="61">
        <f t="shared" si="18"/>
        <v>2</v>
      </c>
      <c r="AD75" s="50"/>
      <c r="AE75" s="67">
        <f t="shared" si="19"/>
        <v>2</v>
      </c>
    </row>
    <row r="76" spans="2:31">
      <c r="B76" s="50">
        <v>1113171</v>
      </c>
      <c r="C76" s="53" t="s">
        <v>88</v>
      </c>
      <c r="D76" s="52">
        <v>4</v>
      </c>
      <c r="E76" s="52"/>
      <c r="F76" s="65">
        <f t="shared" si="10"/>
        <v>4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52">
        <v>1</v>
      </c>
      <c r="N76" s="52"/>
      <c r="O76" s="65">
        <f t="shared" si="13"/>
        <v>1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5</v>
      </c>
      <c r="AA76" s="50">
        <v>10</v>
      </c>
      <c r="AB76" s="50"/>
      <c r="AC76" s="61">
        <f t="shared" si="18"/>
        <v>5</v>
      </c>
      <c r="AD76" s="50"/>
      <c r="AE76" s="67">
        <f t="shared" si="19"/>
        <v>5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>
        <v>1</v>
      </c>
      <c r="N77" s="52"/>
      <c r="O77" s="65">
        <f t="shared" si="13"/>
        <v>1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1</v>
      </c>
      <c r="AA77" s="50"/>
      <c r="AB77" s="50"/>
      <c r="AC77" s="61">
        <f t="shared" si="18"/>
        <v>-1</v>
      </c>
      <c r="AD77" s="50"/>
      <c r="AE77" s="67">
        <f t="shared" si="19"/>
        <v>-1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>
        <v>1</v>
      </c>
      <c r="N78" s="52"/>
      <c r="O78" s="65">
        <f t="shared" si="13"/>
        <v>1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1</v>
      </c>
      <c r="AA78" s="50"/>
      <c r="AB78" s="50"/>
      <c r="AC78" s="61">
        <f t="shared" si="18"/>
        <v>-1</v>
      </c>
      <c r="AD78" s="50"/>
      <c r="AE78" s="67">
        <f t="shared" si="19"/>
        <v>-1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7">
        <f t="shared" si="19"/>
        <v>0</v>
      </c>
    </row>
    <row r="80" spans="2:31">
      <c r="B80" s="50">
        <v>1200002</v>
      </c>
      <c r="C80" s="53" t="s">
        <v>196</v>
      </c>
      <c r="D80" s="52">
        <v>10</v>
      </c>
      <c r="E80" s="52"/>
      <c r="F80" s="65">
        <f t="shared" si="10"/>
        <v>10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10</v>
      </c>
      <c r="AA80" s="50">
        <v>10</v>
      </c>
      <c r="AB80" s="50"/>
      <c r="AC80" s="61">
        <f t="shared" si="18"/>
        <v>0</v>
      </c>
      <c r="AD80" s="50"/>
      <c r="AE80" s="67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7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0</v>
      </c>
      <c r="AA82" s="50"/>
      <c r="AB82" s="50"/>
      <c r="AC82" s="61">
        <f t="shared" si="18"/>
        <v>0</v>
      </c>
      <c r="AD82" s="50"/>
      <c r="AE82" s="67">
        <f t="shared" si="19"/>
        <v>0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3</v>
      </c>
      <c r="H83" s="52"/>
      <c r="I83" s="65">
        <f t="shared" si="11"/>
        <v>3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3</v>
      </c>
      <c r="AA83" s="50"/>
      <c r="AB83" s="50"/>
      <c r="AC83" s="61">
        <f t="shared" si="18"/>
        <v>-3</v>
      </c>
      <c r="AD83" s="50"/>
      <c r="AE83" s="67">
        <f t="shared" si="19"/>
        <v>-3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7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7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7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7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7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7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7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7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7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7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7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7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7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7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7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7">
        <f t="shared" si="19"/>
        <v>0</v>
      </c>
    </row>
    <row r="100" spans="2:31" hidden="1">
      <c r="B100" s="50">
        <v>1004062</v>
      </c>
      <c r="C100" s="53" t="s">
        <v>238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7">
        <f t="shared" si="19"/>
        <v>0</v>
      </c>
    </row>
    <row r="101" spans="2:31" hidden="1">
      <c r="B101" s="50">
        <v>1004051</v>
      </c>
      <c r="C101" s="53" t="s">
        <v>239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7">
        <f t="shared" si="19"/>
        <v>0</v>
      </c>
    </row>
    <row r="102" spans="2:31" hidden="1">
      <c r="B102" s="50">
        <v>1111005</v>
      </c>
      <c r="C102" s="53" t="s">
        <v>240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7">
        <f t="shared" si="19"/>
        <v>0</v>
      </c>
    </row>
    <row r="103" spans="2:31" hidden="1">
      <c r="B103" s="50">
        <v>1111006</v>
      </c>
      <c r="C103" s="53" t="s">
        <v>241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7">
        <f t="shared" si="19"/>
        <v>0</v>
      </c>
    </row>
    <row r="104" spans="2:31" hidden="1">
      <c r="B104" s="50">
        <v>1004048</v>
      </c>
      <c r="C104" s="53" t="s">
        <v>242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7">
        <f t="shared" si="19"/>
        <v>0</v>
      </c>
    </row>
    <row r="105" spans="2:31" hidden="1">
      <c r="B105" s="50">
        <v>1113157</v>
      </c>
      <c r="C105" s="53" t="s">
        <v>243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7">
        <f t="shared" si="19"/>
        <v>0</v>
      </c>
    </row>
    <row r="106" spans="2:31" hidden="1">
      <c r="B106" s="50">
        <v>1004080</v>
      </c>
      <c r="C106" s="53" t="s">
        <v>244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7">
        <f t="shared" si="19"/>
        <v>0</v>
      </c>
    </row>
    <row r="107" spans="2:31" hidden="1">
      <c r="B107" s="50">
        <v>1004081</v>
      </c>
      <c r="C107" s="53" t="s">
        <v>245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7">
        <f t="shared" si="19"/>
        <v>0</v>
      </c>
    </row>
    <row r="108" spans="2:31" hidden="1">
      <c r="B108" s="50">
        <v>3001200</v>
      </c>
      <c r="C108" s="53" t="s">
        <v>246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7">
        <f t="shared" si="19"/>
        <v>0</v>
      </c>
    </row>
    <row r="109" spans="2:31" hidden="1">
      <c r="B109" s="50">
        <v>1004047</v>
      </c>
      <c r="C109" s="53" t="s">
        <v>247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7">
        <f t="shared" si="19"/>
        <v>0</v>
      </c>
    </row>
    <row r="110" spans="2:31" hidden="1">
      <c r="B110" s="50">
        <v>1004070</v>
      </c>
      <c r="C110" s="53" t="s">
        <v>248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7">
        <f t="shared" si="19"/>
        <v>0</v>
      </c>
    </row>
    <row r="111" spans="2:31" hidden="1">
      <c r="B111" s="50">
        <v>1004076</v>
      </c>
      <c r="C111" s="53" t="s">
        <v>249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7">
        <f t="shared" si="19"/>
        <v>0</v>
      </c>
    </row>
    <row r="112" spans="2:31" hidden="1">
      <c r="B112" s="50">
        <v>1004050</v>
      </c>
      <c r="C112" s="53" t="s">
        <v>250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7">
        <f t="shared" si="19"/>
        <v>0</v>
      </c>
    </row>
    <row r="113" spans="2:31" hidden="1">
      <c r="B113" s="50">
        <v>1004048</v>
      </c>
      <c r="C113" s="53" t="s">
        <v>251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7">
        <f t="shared" si="19"/>
        <v>0</v>
      </c>
    </row>
    <row r="114" spans="2:31" hidden="1">
      <c r="B114" s="50">
        <v>1007020</v>
      </c>
      <c r="C114" s="53" t="s">
        <v>253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7">
        <f t="shared" si="19"/>
        <v>0</v>
      </c>
    </row>
    <row r="115" spans="2:31" hidden="1">
      <c r="B115" s="50">
        <v>1004063</v>
      </c>
      <c r="C115" s="53" t="s">
        <v>254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7">
        <f t="shared" si="19"/>
        <v>0</v>
      </c>
    </row>
    <row r="116" spans="2:31" hidden="1">
      <c r="B116" s="50">
        <v>1004065</v>
      </c>
      <c r="C116" s="53" t="s">
        <v>255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7">
        <f t="shared" si="19"/>
        <v>0</v>
      </c>
    </row>
    <row r="117" spans="2:31" hidden="1">
      <c r="B117" s="50">
        <v>1006982</v>
      </c>
      <c r="C117" s="53" t="s">
        <v>256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7">
        <f t="shared" si="19"/>
        <v>0</v>
      </c>
    </row>
    <row r="118" spans="2:31" hidden="1">
      <c r="B118" s="50">
        <v>1006000</v>
      </c>
      <c r="C118" s="53" t="s">
        <v>257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7">
        <f t="shared" si="19"/>
        <v>0</v>
      </c>
    </row>
    <row r="119" spans="2:31" hidden="1">
      <c r="B119" s="50">
        <v>1005998</v>
      </c>
      <c r="C119" s="53" t="s">
        <v>258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7">
        <f t="shared" si="19"/>
        <v>0</v>
      </c>
    </row>
    <row r="120" spans="2:31" hidden="1">
      <c r="B120" s="50">
        <v>1005995</v>
      </c>
      <c r="C120" s="53" t="s">
        <v>259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7">
        <f t="shared" si="19"/>
        <v>0</v>
      </c>
    </row>
    <row r="121" spans="2:31" hidden="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7">
        <f t="shared" si="19"/>
        <v>0</v>
      </c>
    </row>
    <row r="122" spans="2:31" hidden="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7"/>
    </row>
    <row r="123" spans="2:31" hidden="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7"/>
    </row>
    <row r="124" spans="2:31" hidden="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7"/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7"/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7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7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7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7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7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7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7"/>
    </row>
    <row r="133" spans="2:31" hidden="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7"/>
    </row>
    <row r="134" spans="2:31" hidden="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7"/>
    </row>
    <row r="135" spans="2:31" hidden="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7"/>
    </row>
    <row r="136" spans="2:31" hidden="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7"/>
    </row>
    <row r="137" spans="2:31" hidden="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7"/>
    </row>
    <row r="138" spans="2:31" hidden="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7"/>
    </row>
    <row r="139" spans="2:31" hidden="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7"/>
    </row>
    <row r="140" spans="2:31" hidden="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7"/>
    </row>
    <row r="141" spans="2:31" hidden="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7"/>
    </row>
    <row r="142" spans="2:31" hidden="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7"/>
    </row>
    <row r="143" spans="2:31" hidden="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7"/>
    </row>
    <row r="144" spans="2:31" hidden="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7"/>
    </row>
    <row r="145" spans="2:31" hidden="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7"/>
    </row>
    <row r="146" spans="2:31" hidden="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7"/>
    </row>
    <row r="147" spans="2:31" hidden="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7"/>
    </row>
    <row r="148" spans="2:31" hidden="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7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7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7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7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7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7">
        <f t="shared" si="29"/>
        <v>0</v>
      </c>
    </row>
    <row r="154" spans="2:31" s="59" customFormat="1" ht="51.75">
      <c r="B154" s="97" t="s">
        <v>201</v>
      </c>
      <c r="C154" s="98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152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152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204</v>
      </c>
      <c r="H154" s="62">
        <f t="shared" si="31"/>
        <v>0</v>
      </c>
      <c r="I154" s="62">
        <f t="shared" si="31"/>
        <v>204</v>
      </c>
      <c r="J154" s="62">
        <f t="shared" si="31"/>
        <v>50</v>
      </c>
      <c r="K154" s="62">
        <f t="shared" si="31"/>
        <v>0</v>
      </c>
      <c r="L154" s="62">
        <f t="shared" si="31"/>
        <v>50</v>
      </c>
      <c r="M154" s="62">
        <f t="shared" si="31"/>
        <v>771</v>
      </c>
      <c r="N154" s="62">
        <f t="shared" si="31"/>
        <v>0</v>
      </c>
      <c r="O154" s="62">
        <f t="shared" si="31"/>
        <v>771</v>
      </c>
      <c r="P154" s="62">
        <f t="shared" si="31"/>
        <v>64</v>
      </c>
      <c r="Q154" s="62">
        <f t="shared" si="31"/>
        <v>0</v>
      </c>
      <c r="R154" s="62">
        <f t="shared" si="31"/>
        <v>64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0</v>
      </c>
      <c r="Z154" s="62">
        <f t="shared" si="31"/>
        <v>1241</v>
      </c>
      <c r="AA154" s="62">
        <f t="shared" si="31"/>
        <v>1387</v>
      </c>
      <c r="AB154" s="62">
        <f t="shared" si="31"/>
        <v>1667</v>
      </c>
      <c r="AC154" s="62">
        <f t="shared" si="31"/>
        <v>1813</v>
      </c>
      <c r="AD154" s="62">
        <f t="shared" si="31"/>
        <v>1150</v>
      </c>
      <c r="AE154" s="62">
        <f t="shared" si="31"/>
        <v>2963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Y2:Y3"/>
    <mergeCell ref="Z2:Z3"/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2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B4F6A-713A-4019-81B9-56B1710391F5}">
  <sheetPr codeName="Sheet18">
    <pageSetUpPr fitToPage="1"/>
  </sheetPr>
  <dimension ref="B1:AE159"/>
  <sheetViews>
    <sheetView topLeftCell="B50" zoomScale="50" zoomScaleNormal="50" workbookViewId="0">
      <selection activeCell="AJ46" sqref="AJ4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3" t="s">
        <v>222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</row>
    <row r="2" spans="2:31" ht="49.9" customHeight="1">
      <c r="B2" s="99" t="s">
        <v>3</v>
      </c>
      <c r="C2" s="99" t="s">
        <v>4</v>
      </c>
      <c r="D2" s="85" t="s">
        <v>5</v>
      </c>
      <c r="E2" s="86"/>
      <c r="F2" s="87"/>
      <c r="G2" s="85" t="s">
        <v>6</v>
      </c>
      <c r="H2" s="86"/>
      <c r="I2" s="87"/>
      <c r="J2" s="85" t="s">
        <v>7</v>
      </c>
      <c r="K2" s="86"/>
      <c r="L2" s="87"/>
      <c r="M2" s="85" t="s">
        <v>8</v>
      </c>
      <c r="N2" s="86"/>
      <c r="O2" s="87"/>
      <c r="P2" s="85" t="s">
        <v>132</v>
      </c>
      <c r="Q2" s="86"/>
      <c r="R2" s="87"/>
      <c r="S2" s="85" t="s">
        <v>9</v>
      </c>
      <c r="T2" s="86"/>
      <c r="U2" s="87"/>
      <c r="V2" s="88" t="s">
        <v>131</v>
      </c>
      <c r="W2" s="89"/>
      <c r="X2" s="90"/>
      <c r="Y2" s="101" t="s">
        <v>134</v>
      </c>
      <c r="Z2" s="103" t="s">
        <v>204</v>
      </c>
      <c r="AA2" s="91" t="s">
        <v>145</v>
      </c>
      <c r="AB2" s="91" t="s">
        <v>146</v>
      </c>
      <c r="AC2" s="95" t="s">
        <v>147</v>
      </c>
      <c r="AD2" s="93" t="s">
        <v>148</v>
      </c>
      <c r="AE2" s="82" t="s">
        <v>212</v>
      </c>
    </row>
    <row r="3" spans="2:31" ht="49.9" customHeight="1">
      <c r="B3" s="100"/>
      <c r="C3" s="100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102"/>
      <c r="Z3" s="104"/>
      <c r="AA3" s="92"/>
      <c r="AB3" s="92"/>
      <c r="AC3" s="96"/>
      <c r="AD3" s="94"/>
      <c r="AE3" s="82"/>
    </row>
    <row r="4" spans="2:31">
      <c r="B4" s="50">
        <v>1004055</v>
      </c>
      <c r="C4" s="51" t="s">
        <v>149</v>
      </c>
      <c r="D4" s="52">
        <v>3</v>
      </c>
      <c r="E4" s="52"/>
      <c r="F4" s="65">
        <f>SUM(D4:E4)</f>
        <v>3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52">
        <v>33</v>
      </c>
      <c r="N4" s="52"/>
      <c r="O4" s="65">
        <f>SUM(M4:N4)</f>
        <v>33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36</v>
      </c>
      <c r="AA4" s="50">
        <v>65</v>
      </c>
      <c r="AB4" s="50">
        <v>17</v>
      </c>
      <c r="AC4" s="61">
        <f>+AA4+AB4-Z4</f>
        <v>46</v>
      </c>
      <c r="AD4" s="50">
        <v>65</v>
      </c>
      <c r="AE4" s="67">
        <f>AC4+AD4</f>
        <v>111</v>
      </c>
    </row>
    <row r="5" spans="2:31">
      <c r="B5" s="50">
        <v>1111002</v>
      </c>
      <c r="C5" s="51" t="s">
        <v>150</v>
      </c>
      <c r="D5" s="52">
        <v>8</v>
      </c>
      <c r="E5" s="52"/>
      <c r="F5" s="65">
        <f t="shared" ref="F5:F68" si="0">SUM(D5:E5)</f>
        <v>8</v>
      </c>
      <c r="G5" s="52">
        <v>23</v>
      </c>
      <c r="H5" s="52"/>
      <c r="I5" s="65">
        <f t="shared" ref="I5:I68" si="1">SUM(G5:H5)</f>
        <v>23</v>
      </c>
      <c r="J5" s="52">
        <v>16</v>
      </c>
      <c r="K5" s="52"/>
      <c r="L5" s="65">
        <f t="shared" ref="L5:L68" si="2">SUM(J5:K5)</f>
        <v>16</v>
      </c>
      <c r="M5" s="52">
        <v>9</v>
      </c>
      <c r="N5" s="52"/>
      <c r="O5" s="65">
        <f t="shared" ref="O5:O68" si="3">SUM(M5:N5)</f>
        <v>9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56</v>
      </c>
      <c r="AA5" s="58">
        <v>80</v>
      </c>
      <c r="AB5" s="58">
        <v>1</v>
      </c>
      <c r="AC5" s="61">
        <f t="shared" ref="AC5:AC68" si="8">+AA5+AB5-Z5</f>
        <v>25</v>
      </c>
      <c r="AD5" s="58">
        <v>100</v>
      </c>
      <c r="AE5" s="67">
        <f t="shared" ref="AE5:AE68" si="9">AC5+AD5</f>
        <v>125</v>
      </c>
    </row>
    <row r="6" spans="2:31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7">
        <f t="shared" si="9"/>
        <v>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7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7">
        <f t="shared" si="9"/>
        <v>0</v>
      </c>
    </row>
    <row r="9" spans="2:31" hidden="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7">
        <f t="shared" si="9"/>
        <v>0</v>
      </c>
    </row>
    <row r="10" spans="2:31" hidden="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7">
        <f t="shared" si="9"/>
        <v>0</v>
      </c>
    </row>
    <row r="11" spans="2:31" hidden="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7">
        <f t="shared" si="9"/>
        <v>0</v>
      </c>
    </row>
    <row r="12" spans="2:31" hidden="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7">
        <f t="shared" si="9"/>
        <v>0</v>
      </c>
    </row>
    <row r="13" spans="2:31" hidden="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7">
        <f t="shared" si="9"/>
        <v>0</v>
      </c>
    </row>
    <row r="14" spans="2:31" hidden="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7">
        <f t="shared" si="9"/>
        <v>0</v>
      </c>
    </row>
    <row r="15" spans="2:31" hidden="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7">
        <f t="shared" si="9"/>
        <v>0</v>
      </c>
    </row>
    <row r="16" spans="2:31" hidden="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7">
        <f t="shared" si="9"/>
        <v>0</v>
      </c>
    </row>
    <row r="17" spans="2:31" hidden="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7">
        <f t="shared" si="9"/>
        <v>0</v>
      </c>
    </row>
    <row r="18" spans="2:31" hidden="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7">
        <f t="shared" si="9"/>
        <v>0</v>
      </c>
    </row>
    <row r="19" spans="2:31" hidden="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7">
        <f t="shared" si="9"/>
        <v>0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7">
        <f t="shared" si="9"/>
        <v>0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7">
        <f t="shared" si="9"/>
        <v>0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7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7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7">
        <f t="shared" si="9"/>
        <v>0</v>
      </c>
    </row>
    <row r="25" spans="2:31">
      <c r="B25" s="50">
        <v>1111008</v>
      </c>
      <c r="C25" s="51" t="s">
        <v>156</v>
      </c>
      <c r="D25" s="52">
        <v>5</v>
      </c>
      <c r="E25" s="52"/>
      <c r="F25" s="65">
        <f t="shared" si="0"/>
        <v>5</v>
      </c>
      <c r="G25" s="52">
        <v>24</v>
      </c>
      <c r="H25" s="52"/>
      <c r="I25" s="65">
        <f t="shared" si="1"/>
        <v>24</v>
      </c>
      <c r="J25" s="52">
        <v>3</v>
      </c>
      <c r="K25" s="52"/>
      <c r="L25" s="65">
        <f t="shared" si="2"/>
        <v>3</v>
      </c>
      <c r="M25" s="52">
        <v>33</v>
      </c>
      <c r="N25" s="52"/>
      <c r="O25" s="65">
        <f t="shared" si="3"/>
        <v>33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65</v>
      </c>
      <c r="AA25" s="50">
        <v>50</v>
      </c>
      <c r="AB25" s="50">
        <v>39</v>
      </c>
      <c r="AC25" s="61">
        <f t="shared" si="8"/>
        <v>24</v>
      </c>
      <c r="AD25" s="50">
        <v>50</v>
      </c>
      <c r="AE25" s="67">
        <f t="shared" si="9"/>
        <v>74</v>
      </c>
    </row>
    <row r="26" spans="2:31">
      <c r="B26" s="50">
        <v>1111009</v>
      </c>
      <c r="C26" s="51" t="s">
        <v>157</v>
      </c>
      <c r="D26" s="52">
        <v>12</v>
      </c>
      <c r="E26" s="52"/>
      <c r="F26" s="65">
        <f t="shared" si="0"/>
        <v>12</v>
      </c>
      <c r="G26" s="52">
        <v>4</v>
      </c>
      <c r="H26" s="52"/>
      <c r="I26" s="65">
        <f t="shared" si="1"/>
        <v>4</v>
      </c>
      <c r="J26" s="52">
        <v>4</v>
      </c>
      <c r="K26" s="52"/>
      <c r="L26" s="65">
        <f t="shared" si="2"/>
        <v>4</v>
      </c>
      <c r="M26" s="52">
        <v>4</v>
      </c>
      <c r="N26" s="52"/>
      <c r="O26" s="65">
        <f t="shared" si="3"/>
        <v>4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24</v>
      </c>
      <c r="AA26" s="50"/>
      <c r="AB26" s="50">
        <v>105</v>
      </c>
      <c r="AC26" s="61">
        <f t="shared" si="8"/>
        <v>81</v>
      </c>
      <c r="AD26" s="50">
        <v>15</v>
      </c>
      <c r="AE26" s="67">
        <f t="shared" si="9"/>
        <v>96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7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7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7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7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7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7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7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7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7">
        <f t="shared" si="9"/>
        <v>0</v>
      </c>
    </row>
    <row r="36" spans="2:31" hidden="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7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7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7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7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7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14</v>
      </c>
      <c r="H41" s="52"/>
      <c r="I41" s="65">
        <f t="shared" si="1"/>
        <v>14</v>
      </c>
      <c r="J41" s="52">
        <v>1</v>
      </c>
      <c r="K41" s="52"/>
      <c r="L41" s="65">
        <f t="shared" si="2"/>
        <v>1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15</v>
      </c>
      <c r="AA41" s="50"/>
      <c r="AB41" s="50">
        <v>20</v>
      </c>
      <c r="AC41" s="61">
        <f t="shared" si="8"/>
        <v>5</v>
      </c>
      <c r="AD41" s="50">
        <v>10</v>
      </c>
      <c r="AE41" s="67">
        <f t="shared" si="9"/>
        <v>15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10</v>
      </c>
      <c r="H42" s="52"/>
      <c r="I42" s="65">
        <f t="shared" si="1"/>
        <v>10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10</v>
      </c>
      <c r="AA42" s="50"/>
      <c r="AB42" s="50"/>
      <c r="AC42" s="61">
        <f t="shared" si="8"/>
        <v>-10</v>
      </c>
      <c r="AD42" s="50"/>
      <c r="AE42" s="67">
        <f t="shared" si="9"/>
        <v>-10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10</v>
      </c>
      <c r="H43" s="52"/>
      <c r="I43" s="65">
        <f t="shared" si="1"/>
        <v>10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10</v>
      </c>
      <c r="AA43" s="50"/>
      <c r="AB43" s="50"/>
      <c r="AC43" s="61">
        <f t="shared" si="8"/>
        <v>-10</v>
      </c>
      <c r="AD43" s="50"/>
      <c r="AE43" s="67">
        <f t="shared" si="9"/>
        <v>-10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10</v>
      </c>
      <c r="H44" s="52"/>
      <c r="I44" s="65">
        <f t="shared" si="1"/>
        <v>10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10</v>
      </c>
      <c r="AA44" s="50"/>
      <c r="AB44" s="50"/>
      <c r="AC44" s="61">
        <f t="shared" si="8"/>
        <v>-10</v>
      </c>
      <c r="AD44" s="50"/>
      <c r="AE44" s="67">
        <f t="shared" si="9"/>
        <v>-10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10</v>
      </c>
      <c r="H45" s="52"/>
      <c r="I45" s="65">
        <f t="shared" si="1"/>
        <v>10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10</v>
      </c>
      <c r="AA45" s="50"/>
      <c r="AB45" s="50"/>
      <c r="AC45" s="61">
        <f t="shared" si="8"/>
        <v>-10</v>
      </c>
      <c r="AD45" s="50"/>
      <c r="AE45" s="67">
        <f t="shared" si="9"/>
        <v>-10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10</v>
      </c>
      <c r="H46" s="52"/>
      <c r="I46" s="65">
        <f t="shared" si="1"/>
        <v>10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10</v>
      </c>
      <c r="AA46" s="50"/>
      <c r="AB46" s="50"/>
      <c r="AC46" s="61">
        <f t="shared" si="8"/>
        <v>-10</v>
      </c>
      <c r="AD46" s="50"/>
      <c r="AE46" s="67">
        <f t="shared" si="9"/>
        <v>-10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10</v>
      </c>
      <c r="H47" s="52"/>
      <c r="I47" s="65">
        <f t="shared" si="1"/>
        <v>10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10</v>
      </c>
      <c r="AA47" s="50"/>
      <c r="AB47" s="50"/>
      <c r="AC47" s="61">
        <f t="shared" si="8"/>
        <v>-10</v>
      </c>
      <c r="AD47" s="50"/>
      <c r="AE47" s="67">
        <f t="shared" si="9"/>
        <v>-10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10</v>
      </c>
      <c r="H48" s="52"/>
      <c r="I48" s="65">
        <f t="shared" si="1"/>
        <v>10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10</v>
      </c>
      <c r="AA48" s="50"/>
      <c r="AB48" s="50"/>
      <c r="AC48" s="61">
        <f t="shared" si="8"/>
        <v>-10</v>
      </c>
      <c r="AD48" s="50"/>
      <c r="AE48" s="67">
        <f t="shared" si="9"/>
        <v>-10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10</v>
      </c>
      <c r="H49" s="52"/>
      <c r="I49" s="65">
        <f t="shared" si="1"/>
        <v>10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10</v>
      </c>
      <c r="AA49" s="50"/>
      <c r="AB49" s="50"/>
      <c r="AC49" s="61">
        <f t="shared" si="8"/>
        <v>-10</v>
      </c>
      <c r="AD49" s="50"/>
      <c r="AE49" s="67">
        <f t="shared" si="9"/>
        <v>-10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10</v>
      </c>
      <c r="H50" s="52"/>
      <c r="I50" s="65">
        <f t="shared" si="1"/>
        <v>10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10</v>
      </c>
      <c r="AA50" s="50"/>
      <c r="AB50" s="50"/>
      <c r="AC50" s="61">
        <f t="shared" si="8"/>
        <v>-10</v>
      </c>
      <c r="AD50" s="50"/>
      <c r="AE50" s="67">
        <f t="shared" si="9"/>
        <v>-10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10</v>
      </c>
      <c r="H51" s="52"/>
      <c r="I51" s="65">
        <f t="shared" si="1"/>
        <v>10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10</v>
      </c>
      <c r="AA51" s="50"/>
      <c r="AB51" s="50"/>
      <c r="AC51" s="61">
        <f t="shared" si="8"/>
        <v>-10</v>
      </c>
      <c r="AD51" s="50"/>
      <c r="AE51" s="67">
        <f t="shared" si="9"/>
        <v>-10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7">
        <f t="shared" si="9"/>
        <v>0</v>
      </c>
    </row>
    <row r="53" spans="2:31">
      <c r="B53" s="50">
        <v>1112003</v>
      </c>
      <c r="C53" s="51" t="s">
        <v>174</v>
      </c>
      <c r="D53" s="52">
        <v>4</v>
      </c>
      <c r="E53" s="52"/>
      <c r="F53" s="65">
        <f t="shared" si="0"/>
        <v>4</v>
      </c>
      <c r="G53" s="52">
        <v>1</v>
      </c>
      <c r="H53" s="52"/>
      <c r="I53" s="65">
        <f t="shared" si="1"/>
        <v>1</v>
      </c>
      <c r="J53" s="52">
        <v>1</v>
      </c>
      <c r="K53" s="52"/>
      <c r="L53" s="65">
        <f t="shared" si="2"/>
        <v>1</v>
      </c>
      <c r="M53" s="52">
        <v>40</v>
      </c>
      <c r="N53" s="52"/>
      <c r="O53" s="65">
        <f t="shared" si="3"/>
        <v>40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46</v>
      </c>
      <c r="AA53" s="50">
        <v>120</v>
      </c>
      <c r="AB53" s="50"/>
      <c r="AC53" s="61">
        <f t="shared" si="8"/>
        <v>74</v>
      </c>
      <c r="AD53" s="50">
        <v>60</v>
      </c>
      <c r="AE53" s="67">
        <f t="shared" si="9"/>
        <v>134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7">
        <f t="shared" si="9"/>
        <v>0</v>
      </c>
    </row>
    <row r="55" spans="2:31">
      <c r="B55" s="50">
        <v>1112005</v>
      </c>
      <c r="C55" s="51" t="s">
        <v>176</v>
      </c>
      <c r="D55" s="52">
        <v>7</v>
      </c>
      <c r="E55" s="52"/>
      <c r="F55" s="65">
        <f t="shared" si="0"/>
        <v>7</v>
      </c>
      <c r="G55" s="52">
        <v>1</v>
      </c>
      <c r="H55" s="52"/>
      <c r="I55" s="65">
        <f t="shared" si="1"/>
        <v>1</v>
      </c>
      <c r="J55" s="52">
        <v>1</v>
      </c>
      <c r="K55" s="52"/>
      <c r="L55" s="65">
        <f t="shared" si="2"/>
        <v>1</v>
      </c>
      <c r="M55" s="52">
        <v>41</v>
      </c>
      <c r="N55" s="52"/>
      <c r="O55" s="65">
        <f t="shared" si="3"/>
        <v>41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50</v>
      </c>
      <c r="AA55" s="50">
        <v>35</v>
      </c>
      <c r="AB55" s="50">
        <v>114</v>
      </c>
      <c r="AC55" s="61">
        <f t="shared" si="8"/>
        <v>99</v>
      </c>
      <c r="AD55" s="50">
        <v>60</v>
      </c>
      <c r="AE55" s="67">
        <f t="shared" si="9"/>
        <v>159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7">
        <f t="shared" si="9"/>
        <v>0</v>
      </c>
    </row>
    <row r="57" spans="2:31">
      <c r="B57" s="50">
        <v>1112009</v>
      </c>
      <c r="C57" s="51" t="s">
        <v>178</v>
      </c>
      <c r="D57" s="52">
        <v>11</v>
      </c>
      <c r="E57" s="52"/>
      <c r="F57" s="65">
        <f t="shared" si="0"/>
        <v>11</v>
      </c>
      <c r="G57" s="52">
        <v>1</v>
      </c>
      <c r="H57" s="52"/>
      <c r="I57" s="65">
        <f t="shared" si="1"/>
        <v>1</v>
      </c>
      <c r="J57" s="52">
        <v>3</v>
      </c>
      <c r="K57" s="52"/>
      <c r="L57" s="65">
        <f t="shared" si="2"/>
        <v>3</v>
      </c>
      <c r="M57" s="52">
        <v>40</v>
      </c>
      <c r="N57" s="52"/>
      <c r="O57" s="65">
        <f t="shared" si="3"/>
        <v>40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55</v>
      </c>
      <c r="AA57" s="50">
        <v>43</v>
      </c>
      <c r="AB57" s="50">
        <v>108</v>
      </c>
      <c r="AC57" s="61">
        <f t="shared" si="8"/>
        <v>96</v>
      </c>
      <c r="AD57" s="50">
        <v>60</v>
      </c>
      <c r="AE57" s="67">
        <f t="shared" si="9"/>
        <v>156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7">
        <f t="shared" si="9"/>
        <v>0</v>
      </c>
    </row>
    <row r="59" spans="2:31">
      <c r="B59" s="50">
        <v>1112011</v>
      </c>
      <c r="C59" s="51" t="s">
        <v>180</v>
      </c>
      <c r="D59" s="52">
        <v>4</v>
      </c>
      <c r="E59" s="52"/>
      <c r="F59" s="65">
        <f t="shared" si="0"/>
        <v>4</v>
      </c>
      <c r="G59" s="52">
        <v>1</v>
      </c>
      <c r="H59" s="52"/>
      <c r="I59" s="65">
        <f t="shared" si="1"/>
        <v>1</v>
      </c>
      <c r="J59" s="52">
        <v>11</v>
      </c>
      <c r="K59" s="52"/>
      <c r="L59" s="65">
        <f t="shared" si="2"/>
        <v>11</v>
      </c>
      <c r="M59" s="52">
        <v>39</v>
      </c>
      <c r="N59" s="52"/>
      <c r="O59" s="65">
        <f t="shared" si="3"/>
        <v>39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55</v>
      </c>
      <c r="AA59" s="50">
        <v>35</v>
      </c>
      <c r="AB59" s="50">
        <v>109</v>
      </c>
      <c r="AC59" s="61">
        <f t="shared" si="8"/>
        <v>89</v>
      </c>
      <c r="AD59" s="50">
        <v>60</v>
      </c>
      <c r="AE59" s="67">
        <f t="shared" si="9"/>
        <v>149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7">
        <f t="shared" si="9"/>
        <v>0</v>
      </c>
    </row>
    <row r="61" spans="2:31">
      <c r="B61" s="50">
        <v>1112013</v>
      </c>
      <c r="C61" s="51" t="s">
        <v>182</v>
      </c>
      <c r="D61" s="52">
        <v>13</v>
      </c>
      <c r="E61" s="52"/>
      <c r="F61" s="65">
        <f t="shared" si="0"/>
        <v>13</v>
      </c>
      <c r="G61" s="52">
        <v>1</v>
      </c>
      <c r="H61" s="52"/>
      <c r="I61" s="65">
        <f t="shared" si="1"/>
        <v>1</v>
      </c>
      <c r="J61" s="52">
        <v>1</v>
      </c>
      <c r="K61" s="52"/>
      <c r="L61" s="65">
        <f t="shared" si="2"/>
        <v>1</v>
      </c>
      <c r="M61" s="52">
        <v>40</v>
      </c>
      <c r="N61" s="52"/>
      <c r="O61" s="65">
        <f t="shared" si="3"/>
        <v>40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55</v>
      </c>
      <c r="AA61" s="50">
        <v>35</v>
      </c>
      <c r="AB61" s="50">
        <v>109</v>
      </c>
      <c r="AC61" s="61">
        <f t="shared" si="8"/>
        <v>89</v>
      </c>
      <c r="AD61" s="50">
        <v>60</v>
      </c>
      <c r="AE61" s="67">
        <f t="shared" si="9"/>
        <v>149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7">
        <f t="shared" si="9"/>
        <v>0</v>
      </c>
    </row>
    <row r="63" spans="2:31">
      <c r="B63" s="50">
        <v>1112015</v>
      </c>
      <c r="C63" s="51" t="s">
        <v>184</v>
      </c>
      <c r="D63" s="52">
        <v>3</v>
      </c>
      <c r="E63" s="52"/>
      <c r="F63" s="65">
        <f t="shared" si="0"/>
        <v>3</v>
      </c>
      <c r="G63" s="52">
        <v>3</v>
      </c>
      <c r="H63" s="52"/>
      <c r="I63" s="65">
        <f t="shared" si="1"/>
        <v>3</v>
      </c>
      <c r="J63" s="52">
        <v>1</v>
      </c>
      <c r="K63" s="52"/>
      <c r="L63" s="65">
        <f t="shared" si="2"/>
        <v>1</v>
      </c>
      <c r="M63" s="52">
        <v>43</v>
      </c>
      <c r="N63" s="52"/>
      <c r="O63" s="65">
        <f t="shared" si="3"/>
        <v>43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50</v>
      </c>
      <c r="AA63" s="50">
        <v>35</v>
      </c>
      <c r="AB63" s="50">
        <v>100</v>
      </c>
      <c r="AC63" s="61">
        <f t="shared" si="8"/>
        <v>85</v>
      </c>
      <c r="AD63" s="50">
        <v>60</v>
      </c>
      <c r="AE63" s="67">
        <f t="shared" si="9"/>
        <v>145</v>
      </c>
    </row>
    <row r="64" spans="2:31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7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7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7">
        <f t="shared" si="9"/>
        <v>0</v>
      </c>
    </row>
    <row r="67" spans="2:31">
      <c r="B67" s="50">
        <v>1114501</v>
      </c>
      <c r="C67" s="53" t="s">
        <v>187</v>
      </c>
      <c r="D67" s="52"/>
      <c r="E67" s="52"/>
      <c r="F67" s="65">
        <f t="shared" si="0"/>
        <v>0</v>
      </c>
      <c r="G67" s="52">
        <v>17</v>
      </c>
      <c r="H67" s="52"/>
      <c r="I67" s="65">
        <f t="shared" si="1"/>
        <v>17</v>
      </c>
      <c r="J67" s="52">
        <v>5</v>
      </c>
      <c r="K67" s="52"/>
      <c r="L67" s="65">
        <f t="shared" si="2"/>
        <v>5</v>
      </c>
      <c r="M67" s="52">
        <v>152</v>
      </c>
      <c r="N67" s="52"/>
      <c r="O67" s="65">
        <f t="shared" si="3"/>
        <v>152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174</v>
      </c>
      <c r="AA67" s="50">
        <v>211</v>
      </c>
      <c r="AB67" s="50">
        <v>652</v>
      </c>
      <c r="AC67" s="61">
        <f t="shared" si="8"/>
        <v>689</v>
      </c>
      <c r="AD67" s="50">
        <v>250</v>
      </c>
      <c r="AE67" s="67">
        <f t="shared" si="9"/>
        <v>939</v>
      </c>
    </row>
    <row r="68" spans="2:31">
      <c r="B68" s="50">
        <v>1114502</v>
      </c>
      <c r="C68" s="53" t="s">
        <v>188</v>
      </c>
      <c r="D68" s="52"/>
      <c r="E68" s="52"/>
      <c r="F68" s="65">
        <f t="shared" si="0"/>
        <v>0</v>
      </c>
      <c r="G68" s="52">
        <v>2</v>
      </c>
      <c r="H68" s="52"/>
      <c r="I68" s="65">
        <f t="shared" si="1"/>
        <v>2</v>
      </c>
      <c r="J68" s="52">
        <v>9</v>
      </c>
      <c r="K68" s="52"/>
      <c r="L68" s="65">
        <f t="shared" si="2"/>
        <v>9</v>
      </c>
      <c r="M68" s="52">
        <v>152</v>
      </c>
      <c r="N68" s="52"/>
      <c r="O68" s="65">
        <f t="shared" si="3"/>
        <v>152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163</v>
      </c>
      <c r="AA68" s="50">
        <v>186</v>
      </c>
      <c r="AB68" s="50">
        <v>263</v>
      </c>
      <c r="AC68" s="61">
        <f t="shared" si="8"/>
        <v>286</v>
      </c>
      <c r="AD68" s="50">
        <v>200</v>
      </c>
      <c r="AE68" s="67">
        <f t="shared" si="9"/>
        <v>486</v>
      </c>
    </row>
    <row r="69" spans="2:31">
      <c r="B69" s="50">
        <v>1114503</v>
      </c>
      <c r="C69" s="53" t="s">
        <v>189</v>
      </c>
      <c r="D69" s="52"/>
      <c r="E69" s="52"/>
      <c r="F69" s="65">
        <f t="shared" ref="F69:F132" si="10">SUM(D69:E69)</f>
        <v>0</v>
      </c>
      <c r="G69" s="52">
        <v>4</v>
      </c>
      <c r="H69" s="52"/>
      <c r="I69" s="65">
        <f t="shared" ref="I69:I121" si="11">SUM(G69:H69)</f>
        <v>4</v>
      </c>
      <c r="J69" s="52">
        <v>3</v>
      </c>
      <c r="K69" s="52"/>
      <c r="L69" s="65">
        <f t="shared" ref="L69:L121" si="12">SUM(J69:K69)</f>
        <v>3</v>
      </c>
      <c r="M69" s="52">
        <v>152</v>
      </c>
      <c r="N69" s="52"/>
      <c r="O69" s="65">
        <f t="shared" ref="O69:O121" si="13">SUM(M69:N69)</f>
        <v>152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159</v>
      </c>
      <c r="AA69" s="50">
        <v>181</v>
      </c>
      <c r="AB69" s="50">
        <v>278</v>
      </c>
      <c r="AC69" s="61">
        <f t="shared" ref="AC69:AC121" si="18">+AA69+AB69-Z69</f>
        <v>300</v>
      </c>
      <c r="AD69" s="50">
        <v>200</v>
      </c>
      <c r="AE69" s="67">
        <f t="shared" ref="AE69:AE121" si="19">AC69+AD69</f>
        <v>500</v>
      </c>
    </row>
    <row r="70" spans="2:31">
      <c r="B70" s="50">
        <v>1124021</v>
      </c>
      <c r="C70" s="53" t="s">
        <v>190</v>
      </c>
      <c r="D70" s="52">
        <v>2</v>
      </c>
      <c r="E70" s="52"/>
      <c r="F70" s="65">
        <f t="shared" si="10"/>
        <v>2</v>
      </c>
      <c r="G70" s="52">
        <v>16</v>
      </c>
      <c r="H70" s="52"/>
      <c r="I70" s="65">
        <f t="shared" si="11"/>
        <v>16</v>
      </c>
      <c r="J70" s="52"/>
      <c r="K70" s="52"/>
      <c r="L70" s="65">
        <f t="shared" si="12"/>
        <v>0</v>
      </c>
      <c r="M70" s="52">
        <v>6</v>
      </c>
      <c r="N70" s="52"/>
      <c r="O70" s="65">
        <f t="shared" si="13"/>
        <v>6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24</v>
      </c>
      <c r="AA70" s="50"/>
      <c r="AB70" s="50"/>
      <c r="AC70" s="61">
        <f t="shared" si="18"/>
        <v>-24</v>
      </c>
      <c r="AD70" s="50"/>
      <c r="AE70" s="67">
        <f t="shared" si="19"/>
        <v>-24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7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7">
        <f t="shared" si="19"/>
        <v>0</v>
      </c>
    </row>
    <row r="73" spans="2:31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7">
        <f t="shared" si="19"/>
        <v>0</v>
      </c>
    </row>
    <row r="74" spans="2:31" hidden="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7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52">
        <v>1</v>
      </c>
      <c r="N75" s="52"/>
      <c r="O75" s="65">
        <f t="shared" si="13"/>
        <v>1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1</v>
      </c>
      <c r="AA75" s="50"/>
      <c r="AB75" s="50">
        <v>1</v>
      </c>
      <c r="AC75" s="61">
        <f t="shared" si="18"/>
        <v>0</v>
      </c>
      <c r="AD75" s="50">
        <v>30</v>
      </c>
      <c r="AE75" s="67">
        <f t="shared" si="19"/>
        <v>30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>
        <v>5</v>
      </c>
      <c r="AC76" s="61">
        <f t="shared" si="18"/>
        <v>5</v>
      </c>
      <c r="AD76" s="50">
        <v>20</v>
      </c>
      <c r="AE76" s="67">
        <f t="shared" si="19"/>
        <v>25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>
        <v>20</v>
      </c>
      <c r="AE77" s="67">
        <f t="shared" si="19"/>
        <v>20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>
        <v>20</v>
      </c>
      <c r="AE78" s="67">
        <f t="shared" si="19"/>
        <v>20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7">
        <f t="shared" si="19"/>
        <v>0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7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7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0</v>
      </c>
      <c r="AA82" s="50"/>
      <c r="AB82" s="50"/>
      <c r="AC82" s="61">
        <f t="shared" si="18"/>
        <v>0</v>
      </c>
      <c r="AD82" s="50"/>
      <c r="AE82" s="67">
        <f t="shared" si="19"/>
        <v>0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6</v>
      </c>
      <c r="H83" s="52"/>
      <c r="I83" s="65">
        <f t="shared" si="11"/>
        <v>6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6</v>
      </c>
      <c r="AA83" s="50"/>
      <c r="AB83" s="50"/>
      <c r="AC83" s="61">
        <f t="shared" si="18"/>
        <v>-6</v>
      </c>
      <c r="AD83" s="50"/>
      <c r="AE83" s="67">
        <f t="shared" si="19"/>
        <v>-6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7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7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7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7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7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7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7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7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7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7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7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7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7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7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7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7">
        <f t="shared" si="19"/>
        <v>0</v>
      </c>
    </row>
    <row r="100" spans="2:31" hidden="1">
      <c r="B100" s="50">
        <v>1004062</v>
      </c>
      <c r="C100" s="53" t="s">
        <v>238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7">
        <f t="shared" si="19"/>
        <v>0</v>
      </c>
    </row>
    <row r="101" spans="2:31">
      <c r="B101" s="50">
        <v>1004051</v>
      </c>
      <c r="C101" s="53" t="s">
        <v>239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>
        <v>15</v>
      </c>
      <c r="Z101" s="63">
        <f t="shared" si="17"/>
        <v>15</v>
      </c>
      <c r="AA101" s="50">
        <v>15</v>
      </c>
      <c r="AB101" s="50"/>
      <c r="AC101" s="61">
        <f t="shared" si="18"/>
        <v>0</v>
      </c>
      <c r="AD101" s="50"/>
      <c r="AE101" s="67">
        <f t="shared" si="19"/>
        <v>0</v>
      </c>
    </row>
    <row r="102" spans="2:31" hidden="1">
      <c r="B102" s="50">
        <v>1111005</v>
      </c>
      <c r="C102" s="53" t="s">
        <v>240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7">
        <f t="shared" si="19"/>
        <v>0</v>
      </c>
    </row>
    <row r="103" spans="2:31">
      <c r="B103" s="50">
        <v>1111006</v>
      </c>
      <c r="C103" s="53" t="s">
        <v>241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>
        <v>5</v>
      </c>
      <c r="Z103" s="63">
        <f t="shared" si="17"/>
        <v>5</v>
      </c>
      <c r="AA103" s="50">
        <v>5</v>
      </c>
      <c r="AB103" s="50"/>
      <c r="AC103" s="61">
        <f t="shared" si="18"/>
        <v>0</v>
      </c>
      <c r="AD103" s="50"/>
      <c r="AE103" s="67">
        <f t="shared" si="19"/>
        <v>0</v>
      </c>
    </row>
    <row r="104" spans="2:31" hidden="1">
      <c r="B104" s="50">
        <v>1004048</v>
      </c>
      <c r="C104" s="53" t="s">
        <v>242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7">
        <f t="shared" si="19"/>
        <v>0</v>
      </c>
    </row>
    <row r="105" spans="2:31" hidden="1">
      <c r="B105" s="50">
        <v>1113157</v>
      </c>
      <c r="C105" s="53" t="s">
        <v>243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7">
        <f t="shared" si="19"/>
        <v>0</v>
      </c>
    </row>
    <row r="106" spans="2:31" hidden="1">
      <c r="B106" s="50">
        <v>1004080</v>
      </c>
      <c r="C106" s="53" t="s">
        <v>244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7">
        <f t="shared" si="19"/>
        <v>0</v>
      </c>
    </row>
    <row r="107" spans="2:31" hidden="1">
      <c r="B107" s="50">
        <v>1004081</v>
      </c>
      <c r="C107" s="53" t="s">
        <v>245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7">
        <f t="shared" si="19"/>
        <v>0</v>
      </c>
    </row>
    <row r="108" spans="2:31" hidden="1">
      <c r="B108" s="50">
        <v>3001200</v>
      </c>
      <c r="C108" s="53" t="s">
        <v>246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7">
        <f t="shared" si="19"/>
        <v>0</v>
      </c>
    </row>
    <row r="109" spans="2:31" hidden="1">
      <c r="B109" s="50">
        <v>1004047</v>
      </c>
      <c r="C109" s="53" t="s">
        <v>247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7">
        <f t="shared" si="19"/>
        <v>0</v>
      </c>
    </row>
    <row r="110" spans="2:31" hidden="1">
      <c r="B110" s="50">
        <v>1004070</v>
      </c>
      <c r="C110" s="53" t="s">
        <v>248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7">
        <f t="shared" si="19"/>
        <v>0</v>
      </c>
    </row>
    <row r="111" spans="2:31" hidden="1">
      <c r="B111" s="50">
        <v>1004076</v>
      </c>
      <c r="C111" s="53" t="s">
        <v>249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7">
        <f t="shared" si="19"/>
        <v>0</v>
      </c>
    </row>
    <row r="112" spans="2:31" hidden="1">
      <c r="B112" s="50">
        <v>1004050</v>
      </c>
      <c r="C112" s="53" t="s">
        <v>250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7">
        <f t="shared" si="19"/>
        <v>0</v>
      </c>
    </row>
    <row r="113" spans="2:31" hidden="1">
      <c r="B113" s="50">
        <v>1004048</v>
      </c>
      <c r="C113" s="53" t="s">
        <v>251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7">
        <f t="shared" si="19"/>
        <v>0</v>
      </c>
    </row>
    <row r="114" spans="2:31" hidden="1">
      <c r="B114" s="50">
        <v>1007020</v>
      </c>
      <c r="C114" s="53" t="s">
        <v>253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7">
        <f t="shared" si="19"/>
        <v>0</v>
      </c>
    </row>
    <row r="115" spans="2:31" hidden="1">
      <c r="B115" s="50">
        <v>1004063</v>
      </c>
      <c r="C115" s="53" t="s">
        <v>254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7">
        <f t="shared" si="19"/>
        <v>0</v>
      </c>
    </row>
    <row r="116" spans="2:31" hidden="1">
      <c r="B116" s="50">
        <v>1004065</v>
      </c>
      <c r="C116" s="53" t="s">
        <v>255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7">
        <f t="shared" si="19"/>
        <v>0</v>
      </c>
    </row>
    <row r="117" spans="2:31" hidden="1">
      <c r="B117" s="50">
        <v>1006982</v>
      </c>
      <c r="C117" s="53" t="s">
        <v>256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7">
        <f t="shared" si="19"/>
        <v>0</v>
      </c>
    </row>
    <row r="118" spans="2:31" hidden="1">
      <c r="B118" s="50">
        <v>1006000</v>
      </c>
      <c r="C118" s="53" t="s">
        <v>257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7">
        <f t="shared" si="19"/>
        <v>0</v>
      </c>
    </row>
    <row r="119" spans="2:31" hidden="1">
      <c r="B119" s="50">
        <v>1005998</v>
      </c>
      <c r="C119" s="53" t="s">
        <v>258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7">
        <f t="shared" si="19"/>
        <v>0</v>
      </c>
    </row>
    <row r="120" spans="2:31" hidden="1">
      <c r="B120" s="50">
        <v>1005995</v>
      </c>
      <c r="C120" s="53" t="s">
        <v>259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7">
        <f t="shared" si="19"/>
        <v>0</v>
      </c>
    </row>
    <row r="121" spans="2:31" hidden="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7">
        <f t="shared" si="19"/>
        <v>0</v>
      </c>
    </row>
    <row r="122" spans="2:31" hidden="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7"/>
    </row>
    <row r="123" spans="2:31" hidden="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7"/>
    </row>
    <row r="124" spans="2:31" hidden="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7"/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7"/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7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7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7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7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7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7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7"/>
    </row>
    <row r="133" spans="2:31" hidden="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7"/>
    </row>
    <row r="134" spans="2:31" hidden="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7"/>
    </row>
    <row r="135" spans="2:31" hidden="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7"/>
    </row>
    <row r="136" spans="2:31" hidden="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7"/>
    </row>
    <row r="137" spans="2:31" hidden="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7"/>
    </row>
    <row r="138" spans="2:31" hidden="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7"/>
    </row>
    <row r="139" spans="2:31" hidden="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7"/>
    </row>
    <row r="140" spans="2:31" hidden="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7"/>
    </row>
    <row r="141" spans="2:31" hidden="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7"/>
    </row>
    <row r="142" spans="2:31" hidden="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7"/>
    </row>
    <row r="143" spans="2:31" hidden="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7"/>
    </row>
    <row r="144" spans="2:31" hidden="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7"/>
    </row>
    <row r="145" spans="2:31" hidden="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7"/>
    </row>
    <row r="146" spans="2:31" hidden="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7"/>
    </row>
    <row r="147" spans="2:31" hidden="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7"/>
    </row>
    <row r="148" spans="2:31" hidden="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7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7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7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7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7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7">
        <f t="shared" si="29"/>
        <v>0</v>
      </c>
    </row>
    <row r="154" spans="2:31" s="59" customFormat="1" ht="51.75">
      <c r="B154" s="97" t="s">
        <v>201</v>
      </c>
      <c r="C154" s="98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72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72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218</v>
      </c>
      <c r="H154" s="62">
        <f t="shared" si="31"/>
        <v>0</v>
      </c>
      <c r="I154" s="62">
        <f t="shared" si="31"/>
        <v>218</v>
      </c>
      <c r="J154" s="62">
        <f t="shared" si="31"/>
        <v>59</v>
      </c>
      <c r="K154" s="62">
        <f t="shared" si="31"/>
        <v>0</v>
      </c>
      <c r="L154" s="62">
        <f t="shared" si="31"/>
        <v>59</v>
      </c>
      <c r="M154" s="62">
        <f t="shared" si="31"/>
        <v>785</v>
      </c>
      <c r="N154" s="62">
        <f t="shared" si="31"/>
        <v>0</v>
      </c>
      <c r="O154" s="62">
        <f t="shared" si="31"/>
        <v>785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20</v>
      </c>
      <c r="Z154" s="62">
        <f t="shared" si="31"/>
        <v>1154</v>
      </c>
      <c r="AA154" s="62">
        <f t="shared" si="31"/>
        <v>1096</v>
      </c>
      <c r="AB154" s="62">
        <f t="shared" si="31"/>
        <v>1921</v>
      </c>
      <c r="AC154" s="62">
        <f t="shared" si="31"/>
        <v>1863</v>
      </c>
      <c r="AD154" s="62">
        <f t="shared" si="31"/>
        <v>1340</v>
      </c>
      <c r="AE154" s="62">
        <f t="shared" si="31"/>
        <v>3203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Y2:Y3"/>
    <mergeCell ref="Z2:Z3"/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8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B462B-1C0C-4871-B1A3-E1B1348F47A8}">
  <sheetPr codeName="Sheet19">
    <pageSetUpPr fitToPage="1"/>
  </sheetPr>
  <dimension ref="B1:AE159"/>
  <sheetViews>
    <sheetView topLeftCell="A57" zoomScale="50" zoomScaleNormal="50" workbookViewId="0">
      <selection activeCell="I160" sqref="I160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3" t="s">
        <v>223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</row>
    <row r="2" spans="2:31" ht="49.9" customHeight="1">
      <c r="B2" s="99" t="s">
        <v>3</v>
      </c>
      <c r="C2" s="99" t="s">
        <v>4</v>
      </c>
      <c r="D2" s="85" t="s">
        <v>5</v>
      </c>
      <c r="E2" s="86"/>
      <c r="F2" s="87"/>
      <c r="G2" s="85" t="s">
        <v>6</v>
      </c>
      <c r="H2" s="86"/>
      <c r="I2" s="87"/>
      <c r="J2" s="85" t="s">
        <v>7</v>
      </c>
      <c r="K2" s="86"/>
      <c r="L2" s="87"/>
      <c r="M2" s="85" t="s">
        <v>8</v>
      </c>
      <c r="N2" s="86"/>
      <c r="O2" s="87"/>
      <c r="P2" s="85" t="s">
        <v>132</v>
      </c>
      <c r="Q2" s="86"/>
      <c r="R2" s="87"/>
      <c r="S2" s="85" t="s">
        <v>9</v>
      </c>
      <c r="T2" s="86"/>
      <c r="U2" s="87"/>
      <c r="V2" s="88" t="s">
        <v>131</v>
      </c>
      <c r="W2" s="89"/>
      <c r="X2" s="90"/>
      <c r="Y2" s="101" t="s">
        <v>134</v>
      </c>
      <c r="Z2" s="103" t="s">
        <v>204</v>
      </c>
      <c r="AA2" s="91" t="s">
        <v>145</v>
      </c>
      <c r="AB2" s="91" t="s">
        <v>146</v>
      </c>
      <c r="AC2" s="95" t="s">
        <v>147</v>
      </c>
      <c r="AD2" s="93" t="s">
        <v>148</v>
      </c>
      <c r="AE2" s="82" t="s">
        <v>212</v>
      </c>
    </row>
    <row r="3" spans="2:31" ht="49.9" customHeight="1">
      <c r="B3" s="100"/>
      <c r="C3" s="100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102"/>
      <c r="Z3" s="104"/>
      <c r="AA3" s="92"/>
      <c r="AB3" s="92"/>
      <c r="AC3" s="96"/>
      <c r="AD3" s="94"/>
      <c r="AE3" s="82"/>
    </row>
    <row r="4" spans="2:31">
      <c r="B4" s="50">
        <v>1004055</v>
      </c>
      <c r="C4" s="51" t="s">
        <v>149</v>
      </c>
      <c r="D4" s="52">
        <v>5</v>
      </c>
      <c r="E4" s="52"/>
      <c r="F4" s="65">
        <f>SUM(D4:E4)</f>
        <v>5</v>
      </c>
      <c r="G4" s="52">
        <v>4</v>
      </c>
      <c r="H4" s="52"/>
      <c r="I4" s="65">
        <f>SUM(G4:H4)</f>
        <v>4</v>
      </c>
      <c r="J4" s="52"/>
      <c r="K4" s="52"/>
      <c r="L4" s="65">
        <f>SUM(J4:K4)</f>
        <v>0</v>
      </c>
      <c r="M4" s="52">
        <v>39</v>
      </c>
      <c r="N4" s="52"/>
      <c r="O4" s="65">
        <f>SUM(M4:N4)</f>
        <v>39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>
        <v>35</v>
      </c>
      <c r="Z4" s="63">
        <f>+F4+I4+L4+O4+R4+U4+X4+Y4</f>
        <v>83</v>
      </c>
      <c r="AA4" s="50">
        <v>95</v>
      </c>
      <c r="AB4" s="50">
        <v>46</v>
      </c>
      <c r="AC4" s="61">
        <f>+AA4+AB4-Z4</f>
        <v>58</v>
      </c>
      <c r="AD4" s="50">
        <v>65</v>
      </c>
      <c r="AE4" s="67">
        <f>AC4+AD4</f>
        <v>123</v>
      </c>
    </row>
    <row r="5" spans="2:31">
      <c r="B5" s="50">
        <v>1111002</v>
      </c>
      <c r="C5" s="51" t="s">
        <v>150</v>
      </c>
      <c r="D5" s="52">
        <v>4</v>
      </c>
      <c r="E5" s="52"/>
      <c r="F5" s="65">
        <f t="shared" ref="F5:F68" si="0">SUM(D5:E5)</f>
        <v>4</v>
      </c>
      <c r="G5" s="52">
        <v>33</v>
      </c>
      <c r="H5" s="52"/>
      <c r="I5" s="65">
        <f t="shared" ref="I5:I68" si="1">SUM(G5:H5)</f>
        <v>33</v>
      </c>
      <c r="J5" s="52">
        <v>8</v>
      </c>
      <c r="K5" s="52"/>
      <c r="L5" s="65">
        <f t="shared" ref="L5:L68" si="2">SUM(J5:K5)</f>
        <v>8</v>
      </c>
      <c r="M5" s="52">
        <v>4</v>
      </c>
      <c r="N5" s="52"/>
      <c r="O5" s="65">
        <f t="shared" ref="O5:O68" si="3">SUM(M5:N5)</f>
        <v>4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10</v>
      </c>
      <c r="Z5" s="63">
        <f t="shared" ref="Z5:Z68" si="7">+F5+I5+L5+O5+R5+U5+X5+Y5</f>
        <v>59</v>
      </c>
      <c r="AA5" s="58">
        <v>105</v>
      </c>
      <c r="AB5" s="58">
        <v>27</v>
      </c>
      <c r="AC5" s="61">
        <f t="shared" ref="AC5:AC68" si="8">+AA5+AB5-Z5</f>
        <v>73</v>
      </c>
      <c r="AD5" s="58">
        <v>100</v>
      </c>
      <c r="AE5" s="67">
        <f t="shared" ref="AE5:AE68" si="9">AC5+AD5</f>
        <v>173</v>
      </c>
    </row>
    <row r="6" spans="2:31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7">
        <f t="shared" si="9"/>
        <v>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7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7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27</v>
      </c>
      <c r="H9" s="52"/>
      <c r="I9" s="65">
        <f t="shared" si="1"/>
        <v>27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27</v>
      </c>
      <c r="AA9" s="50"/>
      <c r="AB9" s="50">
        <v>2</v>
      </c>
      <c r="AC9" s="61">
        <f t="shared" si="8"/>
        <v>-25</v>
      </c>
      <c r="AD9" s="50"/>
      <c r="AE9" s="67">
        <f t="shared" si="9"/>
        <v>-25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>
        <v>27</v>
      </c>
      <c r="H10" s="52"/>
      <c r="I10" s="65">
        <f t="shared" si="1"/>
        <v>27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27</v>
      </c>
      <c r="AA10" s="50"/>
      <c r="AB10" s="50"/>
      <c r="AC10" s="61">
        <f t="shared" si="8"/>
        <v>-27</v>
      </c>
      <c r="AD10" s="50"/>
      <c r="AE10" s="67">
        <f t="shared" si="9"/>
        <v>-27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26</v>
      </c>
      <c r="H11" s="52"/>
      <c r="I11" s="65">
        <f t="shared" si="1"/>
        <v>26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26</v>
      </c>
      <c r="AA11" s="50"/>
      <c r="AB11" s="50"/>
      <c r="AC11" s="61">
        <f t="shared" si="8"/>
        <v>-26</v>
      </c>
      <c r="AD11" s="50"/>
      <c r="AE11" s="67">
        <f t="shared" si="9"/>
        <v>-26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26</v>
      </c>
      <c r="H12" s="52"/>
      <c r="I12" s="65">
        <f t="shared" si="1"/>
        <v>26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26</v>
      </c>
      <c r="AA12" s="50"/>
      <c r="AB12" s="50"/>
      <c r="AC12" s="61">
        <f t="shared" si="8"/>
        <v>-26</v>
      </c>
      <c r="AD12" s="50"/>
      <c r="AE12" s="67">
        <f t="shared" si="9"/>
        <v>-26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26</v>
      </c>
      <c r="H13" s="52"/>
      <c r="I13" s="65">
        <f t="shared" si="1"/>
        <v>26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26</v>
      </c>
      <c r="AA13" s="50"/>
      <c r="AB13" s="50"/>
      <c r="AC13" s="61">
        <f t="shared" si="8"/>
        <v>-26</v>
      </c>
      <c r="AD13" s="50"/>
      <c r="AE13" s="67">
        <f t="shared" si="9"/>
        <v>-26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26</v>
      </c>
      <c r="H14" s="52"/>
      <c r="I14" s="65">
        <f t="shared" si="1"/>
        <v>26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26</v>
      </c>
      <c r="AA14" s="50"/>
      <c r="AB14" s="50"/>
      <c r="AC14" s="61">
        <f t="shared" si="8"/>
        <v>-26</v>
      </c>
      <c r="AD14" s="50"/>
      <c r="AE14" s="67">
        <f t="shared" si="9"/>
        <v>-26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26</v>
      </c>
      <c r="H15" s="52"/>
      <c r="I15" s="65">
        <f t="shared" si="1"/>
        <v>26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26</v>
      </c>
      <c r="AA15" s="50"/>
      <c r="AB15" s="50"/>
      <c r="AC15" s="61">
        <f t="shared" si="8"/>
        <v>-26</v>
      </c>
      <c r="AD15" s="50"/>
      <c r="AE15" s="67">
        <f t="shared" si="9"/>
        <v>-26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26</v>
      </c>
      <c r="H16" s="52"/>
      <c r="I16" s="65">
        <f t="shared" si="1"/>
        <v>26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26</v>
      </c>
      <c r="AA16" s="50"/>
      <c r="AB16" s="50"/>
      <c r="AC16" s="61">
        <f t="shared" si="8"/>
        <v>-26</v>
      </c>
      <c r="AD16" s="50"/>
      <c r="AE16" s="67">
        <f t="shared" si="9"/>
        <v>-26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26</v>
      </c>
      <c r="H17" s="52"/>
      <c r="I17" s="65">
        <f t="shared" si="1"/>
        <v>26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26</v>
      </c>
      <c r="AA17" s="50"/>
      <c r="AB17" s="50"/>
      <c r="AC17" s="61">
        <f t="shared" si="8"/>
        <v>-26</v>
      </c>
      <c r="AD17" s="50"/>
      <c r="AE17" s="67">
        <f t="shared" si="9"/>
        <v>-26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26</v>
      </c>
      <c r="H18" s="52"/>
      <c r="I18" s="65">
        <f t="shared" si="1"/>
        <v>26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26</v>
      </c>
      <c r="AA18" s="50"/>
      <c r="AB18" s="50"/>
      <c r="AC18" s="61">
        <f t="shared" si="8"/>
        <v>-26</v>
      </c>
      <c r="AD18" s="50"/>
      <c r="AE18" s="67">
        <f t="shared" si="9"/>
        <v>-26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26</v>
      </c>
      <c r="H19" s="52"/>
      <c r="I19" s="65">
        <f t="shared" si="1"/>
        <v>26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26</v>
      </c>
      <c r="AA19" s="50"/>
      <c r="AB19" s="50"/>
      <c r="AC19" s="61">
        <f t="shared" si="8"/>
        <v>-26</v>
      </c>
      <c r="AD19" s="50"/>
      <c r="AE19" s="67">
        <f t="shared" si="9"/>
        <v>-26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>
        <v>26</v>
      </c>
      <c r="H20" s="52"/>
      <c r="I20" s="65">
        <f t="shared" si="1"/>
        <v>26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26</v>
      </c>
      <c r="AA20" s="50"/>
      <c r="AB20" s="50"/>
      <c r="AC20" s="61">
        <f t="shared" si="8"/>
        <v>-26</v>
      </c>
      <c r="AD20" s="50"/>
      <c r="AE20" s="67">
        <f t="shared" si="9"/>
        <v>-26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>
        <v>26</v>
      </c>
      <c r="H21" s="52"/>
      <c r="I21" s="65">
        <f t="shared" si="1"/>
        <v>26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26</v>
      </c>
      <c r="AA21" s="50"/>
      <c r="AB21" s="50"/>
      <c r="AC21" s="61">
        <f t="shared" si="8"/>
        <v>-26</v>
      </c>
      <c r="AD21" s="50"/>
      <c r="AE21" s="67">
        <f t="shared" si="9"/>
        <v>-26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7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7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7">
        <f t="shared" si="9"/>
        <v>0</v>
      </c>
    </row>
    <row r="25" spans="2:31">
      <c r="B25" s="50">
        <v>1111008</v>
      </c>
      <c r="C25" s="51" t="s">
        <v>156</v>
      </c>
      <c r="D25" s="52"/>
      <c r="E25" s="52"/>
      <c r="F25" s="65">
        <f t="shared" si="0"/>
        <v>0</v>
      </c>
      <c r="G25" s="52">
        <v>10</v>
      </c>
      <c r="H25" s="52"/>
      <c r="I25" s="65">
        <f t="shared" si="1"/>
        <v>10</v>
      </c>
      <c r="J25" s="52">
        <v>12</v>
      </c>
      <c r="K25" s="52"/>
      <c r="L25" s="65">
        <f t="shared" si="2"/>
        <v>12</v>
      </c>
      <c r="M25" s="52">
        <v>51</v>
      </c>
      <c r="N25" s="52"/>
      <c r="O25" s="65">
        <f t="shared" si="3"/>
        <v>51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>
        <v>10</v>
      </c>
      <c r="Z25" s="63">
        <f t="shared" si="7"/>
        <v>83</v>
      </c>
      <c r="AA25" s="50">
        <v>60</v>
      </c>
      <c r="AB25" s="50">
        <v>24</v>
      </c>
      <c r="AC25" s="61">
        <f t="shared" si="8"/>
        <v>1</v>
      </c>
      <c r="AD25" s="50">
        <v>50</v>
      </c>
      <c r="AE25" s="67">
        <f t="shared" si="9"/>
        <v>51</v>
      </c>
    </row>
    <row r="26" spans="2:31">
      <c r="B26" s="50">
        <v>1111009</v>
      </c>
      <c r="C26" s="51" t="s">
        <v>157</v>
      </c>
      <c r="D26" s="52">
        <v>2</v>
      </c>
      <c r="E26" s="52"/>
      <c r="F26" s="65">
        <f t="shared" si="0"/>
        <v>2</v>
      </c>
      <c r="G26" s="52">
        <v>12</v>
      </c>
      <c r="H26" s="52"/>
      <c r="I26" s="65">
        <f t="shared" si="1"/>
        <v>12</v>
      </c>
      <c r="J26" s="52">
        <v>6</v>
      </c>
      <c r="K26" s="52"/>
      <c r="L26" s="65">
        <f t="shared" si="2"/>
        <v>6</v>
      </c>
      <c r="M26" s="52">
        <v>5</v>
      </c>
      <c r="N26" s="52"/>
      <c r="O26" s="65">
        <f t="shared" si="3"/>
        <v>5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25</v>
      </c>
      <c r="AA26" s="50">
        <v>15</v>
      </c>
      <c r="AB26" s="50">
        <v>64</v>
      </c>
      <c r="AC26" s="61">
        <f t="shared" si="8"/>
        <v>54</v>
      </c>
      <c r="AD26" s="50">
        <v>15</v>
      </c>
      <c r="AE26" s="67">
        <f t="shared" si="9"/>
        <v>69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7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7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7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7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7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7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7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7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7">
        <f t="shared" si="9"/>
        <v>0</v>
      </c>
    </row>
    <row r="36" spans="2:31" hidden="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7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7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7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7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7">
        <f t="shared" si="9"/>
        <v>0</v>
      </c>
    </row>
    <row r="41" spans="2:31">
      <c r="B41" s="50">
        <v>1111056</v>
      </c>
      <c r="C41" s="51" t="s">
        <v>172</v>
      </c>
      <c r="D41" s="52">
        <v>2</v>
      </c>
      <c r="E41" s="52"/>
      <c r="F41" s="65">
        <f t="shared" si="0"/>
        <v>2</v>
      </c>
      <c r="G41" s="52">
        <v>6</v>
      </c>
      <c r="H41" s="52"/>
      <c r="I41" s="65">
        <f t="shared" si="1"/>
        <v>6</v>
      </c>
      <c r="J41" s="52"/>
      <c r="K41" s="52"/>
      <c r="L41" s="65">
        <f t="shared" si="2"/>
        <v>0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8</v>
      </c>
      <c r="AA41" s="50">
        <v>10</v>
      </c>
      <c r="AB41" s="50">
        <v>5</v>
      </c>
      <c r="AC41" s="61">
        <f t="shared" si="8"/>
        <v>7</v>
      </c>
      <c r="AD41" s="50"/>
      <c r="AE41" s="67">
        <f t="shared" si="9"/>
        <v>7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15</v>
      </c>
      <c r="H42" s="52"/>
      <c r="I42" s="65">
        <f t="shared" si="1"/>
        <v>15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15</v>
      </c>
      <c r="AA42" s="50"/>
      <c r="AB42" s="50">
        <v>3</v>
      </c>
      <c r="AC42" s="61">
        <f t="shared" si="8"/>
        <v>-12</v>
      </c>
      <c r="AD42" s="50"/>
      <c r="AE42" s="67">
        <f t="shared" si="9"/>
        <v>-12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15</v>
      </c>
      <c r="H43" s="52"/>
      <c r="I43" s="65">
        <f t="shared" si="1"/>
        <v>15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15</v>
      </c>
      <c r="AA43" s="50"/>
      <c r="AB43" s="50">
        <v>3</v>
      </c>
      <c r="AC43" s="61">
        <f t="shared" si="8"/>
        <v>-12</v>
      </c>
      <c r="AD43" s="50"/>
      <c r="AE43" s="67">
        <f t="shared" si="9"/>
        <v>-12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15</v>
      </c>
      <c r="H44" s="52"/>
      <c r="I44" s="65">
        <f t="shared" si="1"/>
        <v>15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15</v>
      </c>
      <c r="AA44" s="50"/>
      <c r="AB44" s="50">
        <v>3</v>
      </c>
      <c r="AC44" s="61">
        <f t="shared" si="8"/>
        <v>-12</v>
      </c>
      <c r="AD44" s="50"/>
      <c r="AE44" s="67">
        <f t="shared" si="9"/>
        <v>-12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15</v>
      </c>
      <c r="H45" s="52"/>
      <c r="I45" s="65">
        <f t="shared" si="1"/>
        <v>15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15</v>
      </c>
      <c r="AA45" s="50"/>
      <c r="AB45" s="50">
        <v>2</v>
      </c>
      <c r="AC45" s="61">
        <f t="shared" si="8"/>
        <v>-13</v>
      </c>
      <c r="AD45" s="50"/>
      <c r="AE45" s="67">
        <f t="shared" si="9"/>
        <v>-13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15</v>
      </c>
      <c r="H46" s="52"/>
      <c r="I46" s="65">
        <f t="shared" si="1"/>
        <v>15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15</v>
      </c>
      <c r="AA46" s="50"/>
      <c r="AB46" s="50">
        <v>2</v>
      </c>
      <c r="AC46" s="61">
        <f t="shared" si="8"/>
        <v>-13</v>
      </c>
      <c r="AD46" s="50"/>
      <c r="AE46" s="67">
        <f t="shared" si="9"/>
        <v>-13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15</v>
      </c>
      <c r="H47" s="52"/>
      <c r="I47" s="65">
        <f t="shared" si="1"/>
        <v>15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15</v>
      </c>
      <c r="AA47" s="50"/>
      <c r="AB47" s="50">
        <v>2</v>
      </c>
      <c r="AC47" s="61">
        <f t="shared" si="8"/>
        <v>-13</v>
      </c>
      <c r="AD47" s="50"/>
      <c r="AE47" s="67">
        <f t="shared" si="9"/>
        <v>-13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15</v>
      </c>
      <c r="H48" s="52"/>
      <c r="I48" s="65">
        <f t="shared" si="1"/>
        <v>15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15</v>
      </c>
      <c r="AA48" s="50"/>
      <c r="AB48" s="50">
        <v>2</v>
      </c>
      <c r="AC48" s="61">
        <f t="shared" si="8"/>
        <v>-13</v>
      </c>
      <c r="AD48" s="50"/>
      <c r="AE48" s="67">
        <f t="shared" si="9"/>
        <v>-13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15</v>
      </c>
      <c r="H49" s="52"/>
      <c r="I49" s="65">
        <f t="shared" si="1"/>
        <v>15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15</v>
      </c>
      <c r="AA49" s="50"/>
      <c r="AB49" s="50">
        <v>2</v>
      </c>
      <c r="AC49" s="61">
        <f t="shared" si="8"/>
        <v>-13</v>
      </c>
      <c r="AD49" s="50"/>
      <c r="AE49" s="67">
        <f t="shared" si="9"/>
        <v>-13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15</v>
      </c>
      <c r="H50" s="52"/>
      <c r="I50" s="65">
        <f t="shared" si="1"/>
        <v>15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15</v>
      </c>
      <c r="AA50" s="50"/>
      <c r="AB50" s="50">
        <v>2</v>
      </c>
      <c r="AC50" s="61">
        <f t="shared" si="8"/>
        <v>-13</v>
      </c>
      <c r="AD50" s="50"/>
      <c r="AE50" s="67">
        <f t="shared" si="9"/>
        <v>-13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15</v>
      </c>
      <c r="H51" s="52"/>
      <c r="I51" s="65">
        <f t="shared" si="1"/>
        <v>15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15</v>
      </c>
      <c r="AA51" s="50"/>
      <c r="AB51" s="50">
        <v>2</v>
      </c>
      <c r="AC51" s="61">
        <f t="shared" si="8"/>
        <v>-13</v>
      </c>
      <c r="AD51" s="50"/>
      <c r="AE51" s="67">
        <f t="shared" si="9"/>
        <v>-13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7">
        <f t="shared" si="9"/>
        <v>0</v>
      </c>
    </row>
    <row r="53" spans="2:31">
      <c r="B53" s="50">
        <v>1112003</v>
      </c>
      <c r="C53" s="51" t="s">
        <v>174</v>
      </c>
      <c r="D53" s="52">
        <v>17</v>
      </c>
      <c r="E53" s="52"/>
      <c r="F53" s="65">
        <f t="shared" si="0"/>
        <v>17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52"/>
      <c r="N53" s="52"/>
      <c r="O53" s="65">
        <f t="shared" si="3"/>
        <v>0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>
        <v>10</v>
      </c>
      <c r="Z53" s="63">
        <f t="shared" si="7"/>
        <v>27</v>
      </c>
      <c r="AA53" s="50">
        <v>70</v>
      </c>
      <c r="AB53" s="50">
        <v>52</v>
      </c>
      <c r="AC53" s="61">
        <f t="shared" si="8"/>
        <v>95</v>
      </c>
      <c r="AD53" s="50">
        <v>60</v>
      </c>
      <c r="AE53" s="67">
        <f t="shared" si="9"/>
        <v>155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>
        <v>50</v>
      </c>
      <c r="Z54" s="63">
        <f t="shared" si="7"/>
        <v>50</v>
      </c>
      <c r="AA54" s="50">
        <v>50</v>
      </c>
      <c r="AB54" s="50"/>
      <c r="AC54" s="61">
        <f t="shared" si="8"/>
        <v>0</v>
      </c>
      <c r="AD54" s="50"/>
      <c r="AE54" s="67">
        <f t="shared" si="9"/>
        <v>0</v>
      </c>
    </row>
    <row r="55" spans="2:31">
      <c r="B55" s="50">
        <v>1112005</v>
      </c>
      <c r="C55" s="51" t="s">
        <v>176</v>
      </c>
      <c r="D55" s="52">
        <v>31</v>
      </c>
      <c r="E55" s="52"/>
      <c r="F55" s="65">
        <f t="shared" si="0"/>
        <v>31</v>
      </c>
      <c r="G55" s="52">
        <v>3</v>
      </c>
      <c r="H55" s="52"/>
      <c r="I55" s="65">
        <f t="shared" si="1"/>
        <v>3</v>
      </c>
      <c r="J55" s="52"/>
      <c r="K55" s="52"/>
      <c r="L55" s="65">
        <f t="shared" si="2"/>
        <v>0</v>
      </c>
      <c r="M55" s="52">
        <v>39</v>
      </c>
      <c r="N55" s="52"/>
      <c r="O55" s="65">
        <f t="shared" si="3"/>
        <v>39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>
        <v>30</v>
      </c>
      <c r="Z55" s="63">
        <f t="shared" si="7"/>
        <v>103</v>
      </c>
      <c r="AA55" s="50">
        <v>90</v>
      </c>
      <c r="AB55" s="50">
        <v>100</v>
      </c>
      <c r="AC55" s="61">
        <f t="shared" si="8"/>
        <v>87</v>
      </c>
      <c r="AD55" s="50">
        <v>60</v>
      </c>
      <c r="AE55" s="67">
        <f t="shared" si="9"/>
        <v>147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7">
        <f t="shared" si="9"/>
        <v>0</v>
      </c>
    </row>
    <row r="57" spans="2:31">
      <c r="B57" s="50">
        <v>1112009</v>
      </c>
      <c r="C57" s="51" t="s">
        <v>178</v>
      </c>
      <c r="D57" s="52">
        <v>32</v>
      </c>
      <c r="E57" s="52"/>
      <c r="F57" s="65">
        <f t="shared" si="0"/>
        <v>32</v>
      </c>
      <c r="G57" s="52">
        <v>2</v>
      </c>
      <c r="H57" s="52"/>
      <c r="I57" s="65">
        <f t="shared" si="1"/>
        <v>2</v>
      </c>
      <c r="J57" s="52">
        <v>3</v>
      </c>
      <c r="K57" s="52"/>
      <c r="L57" s="65">
        <f t="shared" si="2"/>
        <v>3</v>
      </c>
      <c r="M57" s="52">
        <v>39</v>
      </c>
      <c r="N57" s="52"/>
      <c r="O57" s="65">
        <f t="shared" si="3"/>
        <v>39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>
        <v>5</v>
      </c>
      <c r="Z57" s="63">
        <f t="shared" si="7"/>
        <v>81</v>
      </c>
      <c r="AA57" s="50">
        <v>60</v>
      </c>
      <c r="AB57" s="50">
        <v>96</v>
      </c>
      <c r="AC57" s="61">
        <f t="shared" si="8"/>
        <v>75</v>
      </c>
      <c r="AD57" s="50">
        <v>60</v>
      </c>
      <c r="AE57" s="67">
        <f t="shared" si="9"/>
        <v>135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7">
        <f t="shared" si="9"/>
        <v>0</v>
      </c>
    </row>
    <row r="59" spans="2:31">
      <c r="B59" s="50">
        <v>1112011</v>
      </c>
      <c r="C59" s="51" t="s">
        <v>180</v>
      </c>
      <c r="D59" s="52">
        <v>39</v>
      </c>
      <c r="E59" s="52"/>
      <c r="F59" s="65">
        <f t="shared" si="0"/>
        <v>39</v>
      </c>
      <c r="G59" s="52">
        <v>2</v>
      </c>
      <c r="H59" s="52"/>
      <c r="I59" s="65">
        <f t="shared" si="1"/>
        <v>2</v>
      </c>
      <c r="J59" s="52">
        <v>9</v>
      </c>
      <c r="K59" s="52"/>
      <c r="L59" s="65">
        <f t="shared" si="2"/>
        <v>9</v>
      </c>
      <c r="M59" s="52">
        <v>39</v>
      </c>
      <c r="N59" s="52"/>
      <c r="O59" s="65">
        <f t="shared" si="3"/>
        <v>39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>
        <v>3</v>
      </c>
      <c r="Z59" s="63">
        <f t="shared" si="7"/>
        <v>92</v>
      </c>
      <c r="AA59" s="50">
        <v>60</v>
      </c>
      <c r="AB59" s="50">
        <v>93</v>
      </c>
      <c r="AC59" s="61">
        <f t="shared" si="8"/>
        <v>61</v>
      </c>
      <c r="AD59" s="50">
        <v>60</v>
      </c>
      <c r="AE59" s="67">
        <f t="shared" si="9"/>
        <v>121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7">
        <f t="shared" si="9"/>
        <v>0</v>
      </c>
    </row>
    <row r="61" spans="2:31">
      <c r="B61" s="50">
        <v>1112013</v>
      </c>
      <c r="C61" s="51" t="s">
        <v>182</v>
      </c>
      <c r="D61" s="52">
        <v>25</v>
      </c>
      <c r="E61" s="52"/>
      <c r="F61" s="65">
        <f t="shared" si="0"/>
        <v>25</v>
      </c>
      <c r="G61" s="52">
        <v>2</v>
      </c>
      <c r="H61" s="52"/>
      <c r="I61" s="65">
        <f t="shared" si="1"/>
        <v>2</v>
      </c>
      <c r="J61" s="52"/>
      <c r="K61" s="52"/>
      <c r="L61" s="65">
        <f t="shared" si="2"/>
        <v>0</v>
      </c>
      <c r="M61" s="52">
        <v>39</v>
      </c>
      <c r="N61" s="52"/>
      <c r="O61" s="65">
        <f t="shared" si="3"/>
        <v>39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>
        <v>5</v>
      </c>
      <c r="Z61" s="63">
        <f t="shared" si="7"/>
        <v>71</v>
      </c>
      <c r="AA61" s="50">
        <v>60</v>
      </c>
      <c r="AB61" s="50">
        <v>88</v>
      </c>
      <c r="AC61" s="61">
        <f t="shared" si="8"/>
        <v>77</v>
      </c>
      <c r="AD61" s="50">
        <v>60</v>
      </c>
      <c r="AE61" s="67">
        <f t="shared" si="9"/>
        <v>137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7">
        <f t="shared" si="9"/>
        <v>0</v>
      </c>
    </row>
    <row r="63" spans="2:31">
      <c r="B63" s="50">
        <v>1112015</v>
      </c>
      <c r="C63" s="51" t="s">
        <v>184</v>
      </c>
      <c r="D63" s="52">
        <v>11</v>
      </c>
      <c r="E63" s="52"/>
      <c r="F63" s="65">
        <f t="shared" si="0"/>
        <v>11</v>
      </c>
      <c r="G63" s="52">
        <v>2</v>
      </c>
      <c r="H63" s="52"/>
      <c r="I63" s="65">
        <f t="shared" si="1"/>
        <v>2</v>
      </c>
      <c r="J63" s="52"/>
      <c r="K63" s="52"/>
      <c r="L63" s="65">
        <f t="shared" si="2"/>
        <v>0</v>
      </c>
      <c r="M63" s="52">
        <v>39</v>
      </c>
      <c r="N63" s="52"/>
      <c r="O63" s="65">
        <f t="shared" si="3"/>
        <v>39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>
        <v>20</v>
      </c>
      <c r="Z63" s="63">
        <f t="shared" si="7"/>
        <v>72</v>
      </c>
      <c r="AA63" s="50">
        <v>80</v>
      </c>
      <c r="AB63" s="50">
        <v>94</v>
      </c>
      <c r="AC63" s="61">
        <f t="shared" si="8"/>
        <v>102</v>
      </c>
      <c r="AD63" s="50">
        <v>60</v>
      </c>
      <c r="AE63" s="67">
        <f t="shared" si="9"/>
        <v>162</v>
      </c>
    </row>
    <row r="64" spans="2:31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7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7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7">
        <f t="shared" si="9"/>
        <v>0</v>
      </c>
    </row>
    <row r="67" spans="2:31">
      <c r="B67" s="50">
        <v>1114501</v>
      </c>
      <c r="C67" s="53" t="s">
        <v>187</v>
      </c>
      <c r="D67" s="52">
        <v>6</v>
      </c>
      <c r="E67" s="52"/>
      <c r="F67" s="65">
        <f t="shared" si="0"/>
        <v>6</v>
      </c>
      <c r="G67" s="52">
        <v>7</v>
      </c>
      <c r="H67" s="52"/>
      <c r="I67" s="65">
        <f t="shared" si="1"/>
        <v>7</v>
      </c>
      <c r="J67" s="52">
        <v>6</v>
      </c>
      <c r="K67" s="52"/>
      <c r="L67" s="65">
        <f t="shared" si="2"/>
        <v>6</v>
      </c>
      <c r="M67" s="52">
        <v>114</v>
      </c>
      <c r="N67" s="52"/>
      <c r="O67" s="65">
        <f t="shared" si="3"/>
        <v>114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133</v>
      </c>
      <c r="AA67" s="50">
        <v>250</v>
      </c>
      <c r="AB67" s="50">
        <v>780</v>
      </c>
      <c r="AC67" s="61">
        <f t="shared" si="8"/>
        <v>897</v>
      </c>
      <c r="AD67" s="50">
        <v>250</v>
      </c>
      <c r="AE67" s="67">
        <f t="shared" si="9"/>
        <v>1147</v>
      </c>
    </row>
    <row r="68" spans="2:31">
      <c r="B68" s="50">
        <v>1114502</v>
      </c>
      <c r="C68" s="53" t="s">
        <v>188</v>
      </c>
      <c r="D68" s="52">
        <v>6</v>
      </c>
      <c r="E68" s="52"/>
      <c r="F68" s="65">
        <f t="shared" si="0"/>
        <v>6</v>
      </c>
      <c r="G68" s="52"/>
      <c r="H68" s="52"/>
      <c r="I68" s="65">
        <f t="shared" si="1"/>
        <v>0</v>
      </c>
      <c r="J68" s="52">
        <v>2</v>
      </c>
      <c r="K68" s="52"/>
      <c r="L68" s="65">
        <f t="shared" si="2"/>
        <v>2</v>
      </c>
      <c r="M68" s="52">
        <v>111</v>
      </c>
      <c r="N68" s="52"/>
      <c r="O68" s="65">
        <f t="shared" si="3"/>
        <v>111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119</v>
      </c>
      <c r="AA68" s="50">
        <v>200</v>
      </c>
      <c r="AB68" s="50">
        <v>404</v>
      </c>
      <c r="AC68" s="61">
        <f t="shared" si="8"/>
        <v>485</v>
      </c>
      <c r="AD68" s="50">
        <v>200</v>
      </c>
      <c r="AE68" s="67">
        <f t="shared" si="9"/>
        <v>685</v>
      </c>
    </row>
    <row r="69" spans="2:31">
      <c r="B69" s="50">
        <v>1114503</v>
      </c>
      <c r="C69" s="53" t="s">
        <v>189</v>
      </c>
      <c r="D69" s="52">
        <v>6</v>
      </c>
      <c r="E69" s="52"/>
      <c r="F69" s="65">
        <f t="shared" ref="F69:F132" si="10">SUM(D69:E69)</f>
        <v>6</v>
      </c>
      <c r="G69" s="52"/>
      <c r="H69" s="52"/>
      <c r="I69" s="65">
        <f t="shared" ref="I69:I121" si="11">SUM(G69:H69)</f>
        <v>0</v>
      </c>
      <c r="J69" s="52">
        <v>3</v>
      </c>
      <c r="K69" s="52"/>
      <c r="L69" s="65">
        <f t="shared" ref="L69:L121" si="12">SUM(J69:K69)</f>
        <v>3</v>
      </c>
      <c r="M69" s="52">
        <v>111</v>
      </c>
      <c r="N69" s="52"/>
      <c r="O69" s="65">
        <f t="shared" ref="O69:O121" si="13">SUM(M69:N69)</f>
        <v>111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120</v>
      </c>
      <c r="AA69" s="50">
        <v>200</v>
      </c>
      <c r="AB69" s="50">
        <v>417</v>
      </c>
      <c r="AC69" s="61">
        <f t="shared" ref="AC69:AC121" si="18">+AA69+AB69-Z69</f>
        <v>497</v>
      </c>
      <c r="AD69" s="50">
        <v>200</v>
      </c>
      <c r="AE69" s="67">
        <f t="shared" ref="AE69:AE121" si="19">AC69+AD69</f>
        <v>697</v>
      </c>
    </row>
    <row r="70" spans="2:3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>
        <v>12</v>
      </c>
      <c r="H70" s="52"/>
      <c r="I70" s="65">
        <f t="shared" si="11"/>
        <v>12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12</v>
      </c>
      <c r="AA70" s="50"/>
      <c r="AB70" s="50"/>
      <c r="AC70" s="61">
        <f t="shared" si="18"/>
        <v>-12</v>
      </c>
      <c r="AD70" s="50"/>
      <c r="AE70" s="67">
        <f t="shared" si="19"/>
        <v>-12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7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7">
        <f t="shared" si="19"/>
        <v>0</v>
      </c>
    </row>
    <row r="73" spans="2:31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7">
        <f t="shared" si="19"/>
        <v>0</v>
      </c>
    </row>
    <row r="74" spans="2:3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>
        <v>10</v>
      </c>
      <c r="Z74" s="63">
        <f t="shared" si="17"/>
        <v>10</v>
      </c>
      <c r="AA74" s="58">
        <v>10</v>
      </c>
      <c r="AB74" s="58"/>
      <c r="AC74" s="61">
        <f t="shared" si="18"/>
        <v>0</v>
      </c>
      <c r="AD74" s="58"/>
      <c r="AE74" s="67">
        <f t="shared" si="19"/>
        <v>0</v>
      </c>
    </row>
    <row r="75" spans="2:31">
      <c r="B75" s="50">
        <v>1113170</v>
      </c>
      <c r="C75" s="53" t="s">
        <v>87</v>
      </c>
      <c r="D75" s="52">
        <v>28</v>
      </c>
      <c r="E75" s="52"/>
      <c r="F75" s="65">
        <f t="shared" si="10"/>
        <v>28</v>
      </c>
      <c r="G75" s="52">
        <v>1</v>
      </c>
      <c r="H75" s="52"/>
      <c r="I75" s="65">
        <f t="shared" si="11"/>
        <v>1</v>
      </c>
      <c r="J75" s="52"/>
      <c r="K75" s="52"/>
      <c r="L75" s="65">
        <f t="shared" si="12"/>
        <v>0</v>
      </c>
      <c r="M75" s="52">
        <v>1</v>
      </c>
      <c r="N75" s="52"/>
      <c r="O75" s="65">
        <f t="shared" si="13"/>
        <v>1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30</v>
      </c>
      <c r="AA75" s="50">
        <v>30</v>
      </c>
      <c r="AB75" s="50"/>
      <c r="AC75" s="61">
        <f t="shared" si="18"/>
        <v>0</v>
      </c>
      <c r="AD75" s="50"/>
      <c r="AE75" s="67">
        <f t="shared" si="19"/>
        <v>0</v>
      </c>
    </row>
    <row r="76" spans="2:31">
      <c r="B76" s="50">
        <v>1113171</v>
      </c>
      <c r="C76" s="53" t="s">
        <v>88</v>
      </c>
      <c r="D76" s="52">
        <v>20</v>
      </c>
      <c r="E76" s="52"/>
      <c r="F76" s="65">
        <f t="shared" si="10"/>
        <v>20</v>
      </c>
      <c r="G76" s="52">
        <v>1</v>
      </c>
      <c r="H76" s="52"/>
      <c r="I76" s="65">
        <f t="shared" si="11"/>
        <v>1</v>
      </c>
      <c r="J76" s="52">
        <v>1</v>
      </c>
      <c r="K76" s="52"/>
      <c r="L76" s="65">
        <f t="shared" si="12"/>
        <v>1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22</v>
      </c>
      <c r="AA76" s="50">
        <v>20</v>
      </c>
      <c r="AB76" s="50">
        <v>5</v>
      </c>
      <c r="AC76" s="61">
        <f t="shared" si="18"/>
        <v>3</v>
      </c>
      <c r="AD76" s="50"/>
      <c r="AE76" s="67">
        <f t="shared" si="19"/>
        <v>3</v>
      </c>
    </row>
    <row r="77" spans="2:31">
      <c r="B77" s="50">
        <v>1113172</v>
      </c>
      <c r="C77" s="53" t="s">
        <v>89</v>
      </c>
      <c r="D77" s="52">
        <v>19</v>
      </c>
      <c r="E77" s="52"/>
      <c r="F77" s="65">
        <f t="shared" si="10"/>
        <v>19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19</v>
      </c>
      <c r="AA77" s="50">
        <v>20</v>
      </c>
      <c r="AB77" s="50">
        <v>1</v>
      </c>
      <c r="AC77" s="61">
        <f t="shared" si="18"/>
        <v>2</v>
      </c>
      <c r="AD77" s="50"/>
      <c r="AE77" s="67">
        <f t="shared" si="19"/>
        <v>2</v>
      </c>
    </row>
    <row r="78" spans="2:31">
      <c r="B78" s="50">
        <v>1113173</v>
      </c>
      <c r="C78" s="53" t="s">
        <v>90</v>
      </c>
      <c r="D78" s="52">
        <v>20</v>
      </c>
      <c r="E78" s="52"/>
      <c r="F78" s="65">
        <f t="shared" si="10"/>
        <v>20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20</v>
      </c>
      <c r="AA78" s="50">
        <v>20</v>
      </c>
      <c r="AB78" s="50"/>
      <c r="AC78" s="61">
        <f t="shared" si="18"/>
        <v>0</v>
      </c>
      <c r="AD78" s="50"/>
      <c r="AE78" s="67">
        <f t="shared" si="19"/>
        <v>0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>
        <v>5</v>
      </c>
      <c r="Z79" s="63">
        <f t="shared" si="17"/>
        <v>5</v>
      </c>
      <c r="AA79" s="50">
        <v>5</v>
      </c>
      <c r="AB79" s="50"/>
      <c r="AC79" s="61">
        <f t="shared" si="18"/>
        <v>0</v>
      </c>
      <c r="AD79" s="50"/>
      <c r="AE79" s="67">
        <f t="shared" si="19"/>
        <v>0</v>
      </c>
    </row>
    <row r="80" spans="2:31" hidden="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7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7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2</v>
      </c>
      <c r="H82" s="52"/>
      <c r="I82" s="65">
        <f t="shared" si="11"/>
        <v>2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2</v>
      </c>
      <c r="AA82" s="50"/>
      <c r="AB82" s="50"/>
      <c r="AC82" s="61">
        <f t="shared" si="18"/>
        <v>-2</v>
      </c>
      <c r="AD82" s="50"/>
      <c r="AE82" s="67">
        <f t="shared" si="19"/>
        <v>-2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5</v>
      </c>
      <c r="H83" s="52"/>
      <c r="I83" s="65">
        <f t="shared" si="11"/>
        <v>5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5</v>
      </c>
      <c r="AA83" s="50"/>
      <c r="AB83" s="50"/>
      <c r="AC83" s="61">
        <f t="shared" si="18"/>
        <v>-5</v>
      </c>
      <c r="AD83" s="50"/>
      <c r="AE83" s="67">
        <f t="shared" si="19"/>
        <v>-5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7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7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7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7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7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7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7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7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7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7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7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7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7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7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7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7">
        <f t="shared" si="19"/>
        <v>0</v>
      </c>
    </row>
    <row r="100" spans="2:31" hidden="1">
      <c r="B100" s="50">
        <v>1004062</v>
      </c>
      <c r="C100" s="53" t="s">
        <v>238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7">
        <f t="shared" si="19"/>
        <v>0</v>
      </c>
    </row>
    <row r="101" spans="2:31">
      <c r="B101" s="50">
        <v>1004051</v>
      </c>
      <c r="C101" s="53" t="s">
        <v>239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>
        <v>15</v>
      </c>
      <c r="Z101" s="63">
        <f t="shared" si="17"/>
        <v>15</v>
      </c>
      <c r="AA101" s="50">
        <v>15</v>
      </c>
      <c r="AB101" s="50"/>
      <c r="AC101" s="61">
        <f t="shared" si="18"/>
        <v>0</v>
      </c>
      <c r="AD101" s="50"/>
      <c r="AE101" s="67">
        <f t="shared" si="19"/>
        <v>0</v>
      </c>
    </row>
    <row r="102" spans="2:31">
      <c r="B102" s="50">
        <v>1111005</v>
      </c>
      <c r="C102" s="53" t="s">
        <v>240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7">
        <f t="shared" si="19"/>
        <v>0</v>
      </c>
    </row>
    <row r="103" spans="2:31">
      <c r="B103" s="50">
        <v>1111006</v>
      </c>
      <c r="C103" s="53" t="s">
        <v>241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>
        <v>5</v>
      </c>
      <c r="Z103" s="63">
        <f t="shared" si="17"/>
        <v>5</v>
      </c>
      <c r="AA103" s="50">
        <v>5</v>
      </c>
      <c r="AB103" s="50"/>
      <c r="AC103" s="61">
        <f t="shared" si="18"/>
        <v>0</v>
      </c>
      <c r="AD103" s="50"/>
      <c r="AE103" s="67">
        <f t="shared" si="19"/>
        <v>0</v>
      </c>
    </row>
    <row r="104" spans="2:31" hidden="1">
      <c r="B104" s="50">
        <v>1004048</v>
      </c>
      <c r="C104" s="53" t="s">
        <v>242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7">
        <f t="shared" si="19"/>
        <v>0</v>
      </c>
    </row>
    <row r="105" spans="2:31" hidden="1">
      <c r="B105" s="50">
        <v>1113157</v>
      </c>
      <c r="C105" s="53" t="s">
        <v>243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7">
        <f t="shared" si="19"/>
        <v>0</v>
      </c>
    </row>
    <row r="106" spans="2:31">
      <c r="B106" s="50">
        <v>1004081</v>
      </c>
      <c r="C106" s="53" t="s">
        <v>244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>
        <v>27</v>
      </c>
      <c r="Z106" s="63">
        <f t="shared" si="17"/>
        <v>27</v>
      </c>
      <c r="AA106" s="50">
        <v>27</v>
      </c>
      <c r="AB106" s="50"/>
      <c r="AC106" s="61">
        <f t="shared" si="18"/>
        <v>0</v>
      </c>
      <c r="AD106" s="50"/>
      <c r="AE106" s="67">
        <f t="shared" si="19"/>
        <v>0</v>
      </c>
    </row>
    <row r="107" spans="2:31">
      <c r="B107" s="50">
        <v>1004080</v>
      </c>
      <c r="C107" s="53" t="s">
        <v>245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>
        <v>48</v>
      </c>
      <c r="Z107" s="63">
        <f t="shared" si="17"/>
        <v>48</v>
      </c>
      <c r="AA107" s="50">
        <v>48</v>
      </c>
      <c r="AB107" s="50"/>
      <c r="AC107" s="61">
        <f t="shared" si="18"/>
        <v>0</v>
      </c>
      <c r="AD107" s="50"/>
      <c r="AE107" s="67">
        <f t="shared" si="19"/>
        <v>0</v>
      </c>
    </row>
    <row r="108" spans="2:31">
      <c r="B108" s="50">
        <v>3001200</v>
      </c>
      <c r="C108" s="53" t="s">
        <v>246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>
        <v>20</v>
      </c>
      <c r="Z108" s="63">
        <f t="shared" si="17"/>
        <v>20</v>
      </c>
      <c r="AA108" s="50">
        <v>20</v>
      </c>
      <c r="AB108" s="50"/>
      <c r="AC108" s="61">
        <f t="shared" si="18"/>
        <v>0</v>
      </c>
      <c r="AD108" s="50"/>
      <c r="AE108" s="67">
        <f t="shared" si="19"/>
        <v>0</v>
      </c>
    </row>
    <row r="109" spans="2:31" hidden="1">
      <c r="B109" s="50">
        <v>1004047</v>
      </c>
      <c r="C109" s="53" t="s">
        <v>247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7">
        <f t="shared" si="19"/>
        <v>0</v>
      </c>
    </row>
    <row r="110" spans="2:31" hidden="1">
      <c r="B110" s="50">
        <v>1004070</v>
      </c>
      <c r="C110" s="53" t="s">
        <v>248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7">
        <f t="shared" si="19"/>
        <v>0</v>
      </c>
    </row>
    <row r="111" spans="2:31">
      <c r="B111" s="50">
        <v>1004076</v>
      </c>
      <c r="C111" s="53" t="s">
        <v>249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>
        <v>50</v>
      </c>
      <c r="Z111" s="63">
        <f t="shared" si="17"/>
        <v>50</v>
      </c>
      <c r="AA111" s="50">
        <v>50</v>
      </c>
      <c r="AB111" s="50"/>
      <c r="AC111" s="61">
        <f t="shared" si="18"/>
        <v>0</v>
      </c>
      <c r="AD111" s="50"/>
      <c r="AE111" s="67">
        <f t="shared" si="19"/>
        <v>0</v>
      </c>
    </row>
    <row r="112" spans="2:31" hidden="1">
      <c r="B112" s="50">
        <v>1004050</v>
      </c>
      <c r="C112" s="53" t="s">
        <v>250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7">
        <f t="shared" si="19"/>
        <v>0</v>
      </c>
    </row>
    <row r="113" spans="2:31" hidden="1">
      <c r="B113" s="50">
        <v>1004048</v>
      </c>
      <c r="C113" s="53" t="s">
        <v>251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7">
        <f t="shared" si="19"/>
        <v>0</v>
      </c>
    </row>
    <row r="114" spans="2:31" hidden="1">
      <c r="B114" s="50">
        <v>1007020</v>
      </c>
      <c r="C114" s="53" t="s">
        <v>253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7">
        <f t="shared" si="19"/>
        <v>0</v>
      </c>
    </row>
    <row r="115" spans="2:31" hidden="1">
      <c r="B115" s="50">
        <v>1004063</v>
      </c>
      <c r="C115" s="53" t="s">
        <v>254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7">
        <f t="shared" si="19"/>
        <v>0</v>
      </c>
    </row>
    <row r="116" spans="2:31" hidden="1">
      <c r="B116" s="50">
        <v>1004065</v>
      </c>
      <c r="C116" s="53" t="s">
        <v>255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7">
        <f t="shared" si="19"/>
        <v>0</v>
      </c>
    </row>
    <row r="117" spans="2:31" hidden="1">
      <c r="B117" s="50">
        <v>1006982</v>
      </c>
      <c r="C117" s="53" t="s">
        <v>256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7">
        <f t="shared" si="19"/>
        <v>0</v>
      </c>
    </row>
    <row r="118" spans="2:31" hidden="1">
      <c r="B118" s="50">
        <v>1006000</v>
      </c>
      <c r="C118" s="53" t="s">
        <v>257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7">
        <f t="shared" si="19"/>
        <v>0</v>
      </c>
    </row>
    <row r="119" spans="2:31" hidden="1">
      <c r="B119" s="50">
        <v>1005998</v>
      </c>
      <c r="C119" s="53" t="s">
        <v>258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7">
        <f t="shared" si="19"/>
        <v>0</v>
      </c>
    </row>
    <row r="120" spans="2:31" hidden="1">
      <c r="B120" s="50">
        <v>1005995</v>
      </c>
      <c r="C120" s="53" t="s">
        <v>259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7">
        <f t="shared" si="19"/>
        <v>0</v>
      </c>
    </row>
    <row r="121" spans="2:31">
      <c r="B121" s="50">
        <v>1111004</v>
      </c>
      <c r="C121" s="53" t="s">
        <v>266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>
        <v>15</v>
      </c>
      <c r="Z121" s="63">
        <f t="shared" si="17"/>
        <v>15</v>
      </c>
      <c r="AA121" s="50">
        <v>15</v>
      </c>
      <c r="AB121" s="50"/>
      <c r="AC121" s="61">
        <f t="shared" si="18"/>
        <v>0</v>
      </c>
      <c r="AD121" s="50"/>
      <c r="AE121" s="67">
        <f t="shared" si="19"/>
        <v>0</v>
      </c>
    </row>
    <row r="122" spans="2:31" hidden="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7"/>
    </row>
    <row r="123" spans="2:31" hidden="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7"/>
    </row>
    <row r="124" spans="2:31" hidden="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7"/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7"/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7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7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7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7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7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7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7"/>
    </row>
    <row r="133" spans="2:31" hidden="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7"/>
    </row>
    <row r="134" spans="2:31" hidden="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7"/>
    </row>
    <row r="135" spans="2:31" hidden="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7"/>
    </row>
    <row r="136" spans="2:31" hidden="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7"/>
    </row>
    <row r="137" spans="2:31" hidden="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7"/>
    </row>
    <row r="138" spans="2:31" hidden="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7"/>
    </row>
    <row r="139" spans="2:31" hidden="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7"/>
    </row>
    <row r="140" spans="2:31" hidden="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7"/>
    </row>
    <row r="141" spans="2:31" hidden="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7"/>
    </row>
    <row r="142" spans="2:31" hidden="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7"/>
    </row>
    <row r="143" spans="2:31" hidden="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7"/>
    </row>
    <row r="144" spans="2:31" hidden="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7"/>
    </row>
    <row r="145" spans="2:31" hidden="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7"/>
    </row>
    <row r="146" spans="2:31" hidden="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7"/>
    </row>
    <row r="147" spans="2:31" hidden="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7"/>
    </row>
    <row r="148" spans="2:31" hidden="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7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7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7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7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7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7">
        <f t="shared" si="29"/>
        <v>0</v>
      </c>
    </row>
    <row r="154" spans="2:31" s="59" customFormat="1" ht="51.75">
      <c r="B154" s="97" t="s">
        <v>201</v>
      </c>
      <c r="C154" s="98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273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273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594</v>
      </c>
      <c r="H154" s="62">
        <f t="shared" si="31"/>
        <v>0</v>
      </c>
      <c r="I154" s="62">
        <f t="shared" si="31"/>
        <v>594</v>
      </c>
      <c r="J154" s="62">
        <f t="shared" si="31"/>
        <v>50</v>
      </c>
      <c r="K154" s="62">
        <f t="shared" si="31"/>
        <v>0</v>
      </c>
      <c r="L154" s="62">
        <f t="shared" si="31"/>
        <v>50</v>
      </c>
      <c r="M154" s="62">
        <f t="shared" si="31"/>
        <v>631</v>
      </c>
      <c r="N154" s="62">
        <f t="shared" si="31"/>
        <v>0</v>
      </c>
      <c r="O154" s="62">
        <f t="shared" si="31"/>
        <v>631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373</v>
      </c>
      <c r="Z154" s="62">
        <f t="shared" si="31"/>
        <v>1921</v>
      </c>
      <c r="AA154" s="62">
        <f t="shared" si="31"/>
        <v>1690</v>
      </c>
      <c r="AB154" s="62">
        <f t="shared" si="31"/>
        <v>2321</v>
      </c>
      <c r="AC154" s="62">
        <f t="shared" si="31"/>
        <v>2090</v>
      </c>
      <c r="AD154" s="62">
        <f t="shared" si="31"/>
        <v>1240</v>
      </c>
      <c r="AE154" s="62">
        <f t="shared" si="31"/>
        <v>3330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Y2:Y3"/>
    <mergeCell ref="Z2:Z3"/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E873A-EDD4-4A7B-821B-FB61DB9F8121}">
  <sheetPr codeName="Sheet20">
    <pageSetUpPr fitToPage="1"/>
  </sheetPr>
  <dimension ref="B1:AE159"/>
  <sheetViews>
    <sheetView topLeftCell="B41" zoomScale="50" zoomScaleNormal="50" workbookViewId="0">
      <selection activeCell="AJ19" sqref="AJ19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8" width="14.28515625" style="56" customWidth="1"/>
    <col min="19" max="24" width="14.28515625" style="56" hidden="1" customWidth="1"/>
    <col min="25" max="25" width="14.28515625" style="56" customWidth="1"/>
    <col min="26" max="26" width="19.5703125" style="57" bestFit="1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3" t="s">
        <v>224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</row>
    <row r="2" spans="2:31" ht="49.9" customHeight="1">
      <c r="B2" s="99" t="s">
        <v>3</v>
      </c>
      <c r="C2" s="99" t="s">
        <v>4</v>
      </c>
      <c r="D2" s="85" t="s">
        <v>5</v>
      </c>
      <c r="E2" s="86"/>
      <c r="F2" s="87"/>
      <c r="G2" s="85" t="s">
        <v>6</v>
      </c>
      <c r="H2" s="86"/>
      <c r="I2" s="87"/>
      <c r="J2" s="85" t="s">
        <v>7</v>
      </c>
      <c r="K2" s="86"/>
      <c r="L2" s="87"/>
      <c r="M2" s="85" t="s">
        <v>8</v>
      </c>
      <c r="N2" s="86"/>
      <c r="O2" s="87"/>
      <c r="P2" s="85" t="s">
        <v>132</v>
      </c>
      <c r="Q2" s="86"/>
      <c r="R2" s="87"/>
      <c r="S2" s="85" t="s">
        <v>9</v>
      </c>
      <c r="T2" s="86"/>
      <c r="U2" s="87"/>
      <c r="V2" s="88" t="s">
        <v>131</v>
      </c>
      <c r="W2" s="89"/>
      <c r="X2" s="90"/>
      <c r="Y2" s="101" t="s">
        <v>134</v>
      </c>
      <c r="Z2" s="103" t="s">
        <v>204</v>
      </c>
      <c r="AA2" s="91" t="s">
        <v>145</v>
      </c>
      <c r="AB2" s="91" t="s">
        <v>146</v>
      </c>
      <c r="AC2" s="95" t="s">
        <v>147</v>
      </c>
      <c r="AD2" s="93" t="s">
        <v>148</v>
      </c>
      <c r="AE2" s="82" t="s">
        <v>212</v>
      </c>
    </row>
    <row r="3" spans="2:31" ht="49.9" customHeight="1">
      <c r="B3" s="100"/>
      <c r="C3" s="100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102"/>
      <c r="Z3" s="104"/>
      <c r="AA3" s="92"/>
      <c r="AB3" s="92"/>
      <c r="AC3" s="96"/>
      <c r="AD3" s="94"/>
      <c r="AE3" s="82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>
        <v>1</v>
      </c>
      <c r="H4" s="52"/>
      <c r="I4" s="65">
        <f>SUM(G4:H4)</f>
        <v>1</v>
      </c>
      <c r="J4" s="52"/>
      <c r="K4" s="52"/>
      <c r="L4" s="65">
        <f>SUM(J4:K4)</f>
        <v>0</v>
      </c>
      <c r="M4" s="52">
        <v>15</v>
      </c>
      <c r="N4" s="52"/>
      <c r="O4" s="65">
        <f>SUM(M4:N4)</f>
        <v>15</v>
      </c>
      <c r="P4" s="52">
        <v>12</v>
      </c>
      <c r="Q4" s="52"/>
      <c r="R4" s="65">
        <f>SUM(P4:Q4)</f>
        <v>12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28</v>
      </c>
      <c r="AA4" s="50">
        <v>65</v>
      </c>
      <c r="AB4" s="50">
        <v>58</v>
      </c>
      <c r="AC4" s="61">
        <f>+AA4+AB4-Z4</f>
        <v>95</v>
      </c>
      <c r="AD4" s="50">
        <v>65</v>
      </c>
      <c r="AE4" s="67">
        <f>AC4+AD4</f>
        <v>160</v>
      </c>
    </row>
    <row r="5" spans="2:31">
      <c r="B5" s="50">
        <v>1111002</v>
      </c>
      <c r="C5" s="51" t="s">
        <v>150</v>
      </c>
      <c r="D5" s="52">
        <v>1</v>
      </c>
      <c r="E5" s="52"/>
      <c r="F5" s="65">
        <f t="shared" ref="F5:F68" si="0">SUM(D5:E5)</f>
        <v>1</v>
      </c>
      <c r="G5" s="52">
        <v>70</v>
      </c>
      <c r="H5" s="52"/>
      <c r="I5" s="65">
        <f t="shared" ref="I5:I68" si="1">SUM(G5:H5)</f>
        <v>70</v>
      </c>
      <c r="J5" s="52">
        <v>23</v>
      </c>
      <c r="K5" s="52"/>
      <c r="L5" s="65">
        <f t="shared" ref="L5:L68" si="2">SUM(J5:K5)</f>
        <v>23</v>
      </c>
      <c r="M5" s="52">
        <v>6</v>
      </c>
      <c r="N5" s="52"/>
      <c r="O5" s="65">
        <f t="shared" ref="O5:O68" si="3">SUM(M5:N5)</f>
        <v>6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5</v>
      </c>
      <c r="Z5" s="63">
        <f t="shared" ref="Z5:Z68" si="7">+F5+I5+L5+O5+R5+U5+X5+Y5</f>
        <v>105</v>
      </c>
      <c r="AA5" s="58">
        <v>105</v>
      </c>
      <c r="AB5" s="58">
        <v>28</v>
      </c>
      <c r="AC5" s="61">
        <f t="shared" ref="AC5:AC68" si="8">+AA5+AB5-Z5</f>
        <v>28</v>
      </c>
      <c r="AD5" s="58">
        <v>100</v>
      </c>
      <c r="AE5" s="67">
        <f t="shared" ref="AE5:AE68" si="9">AC5+AD5</f>
        <v>128</v>
      </c>
    </row>
    <row r="6" spans="2:31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7">
        <f t="shared" si="9"/>
        <v>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7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7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8</v>
      </c>
      <c r="H9" s="52"/>
      <c r="I9" s="65">
        <f t="shared" si="1"/>
        <v>8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8</v>
      </c>
      <c r="AA9" s="50"/>
      <c r="AB9" s="50"/>
      <c r="AC9" s="61">
        <f t="shared" si="8"/>
        <v>-8</v>
      </c>
      <c r="AD9" s="50"/>
      <c r="AE9" s="67">
        <f t="shared" si="9"/>
        <v>-8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>
        <v>8</v>
      </c>
      <c r="H10" s="52"/>
      <c r="I10" s="65">
        <f t="shared" si="1"/>
        <v>8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8</v>
      </c>
      <c r="AA10" s="50"/>
      <c r="AB10" s="50"/>
      <c r="AC10" s="61">
        <f t="shared" si="8"/>
        <v>-8</v>
      </c>
      <c r="AD10" s="50"/>
      <c r="AE10" s="67">
        <f t="shared" si="9"/>
        <v>-8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8</v>
      </c>
      <c r="H11" s="52"/>
      <c r="I11" s="65">
        <f t="shared" si="1"/>
        <v>8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8</v>
      </c>
      <c r="AA11" s="50"/>
      <c r="AB11" s="50"/>
      <c r="AC11" s="61">
        <f t="shared" si="8"/>
        <v>-8</v>
      </c>
      <c r="AD11" s="50"/>
      <c r="AE11" s="67">
        <f t="shared" si="9"/>
        <v>-8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8</v>
      </c>
      <c r="H12" s="52"/>
      <c r="I12" s="65">
        <f t="shared" si="1"/>
        <v>8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8</v>
      </c>
      <c r="AA12" s="50"/>
      <c r="AB12" s="50"/>
      <c r="AC12" s="61">
        <f t="shared" si="8"/>
        <v>-8</v>
      </c>
      <c r="AD12" s="50"/>
      <c r="AE12" s="67">
        <f t="shared" si="9"/>
        <v>-8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8</v>
      </c>
      <c r="H13" s="52"/>
      <c r="I13" s="65">
        <f t="shared" si="1"/>
        <v>8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8</v>
      </c>
      <c r="AA13" s="50"/>
      <c r="AB13" s="50"/>
      <c r="AC13" s="61">
        <f t="shared" si="8"/>
        <v>-8</v>
      </c>
      <c r="AD13" s="50"/>
      <c r="AE13" s="67">
        <f t="shared" si="9"/>
        <v>-8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8</v>
      </c>
      <c r="H14" s="52"/>
      <c r="I14" s="65">
        <f t="shared" si="1"/>
        <v>8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8</v>
      </c>
      <c r="AA14" s="50"/>
      <c r="AB14" s="50"/>
      <c r="AC14" s="61">
        <f t="shared" si="8"/>
        <v>-8</v>
      </c>
      <c r="AD14" s="50"/>
      <c r="AE14" s="67">
        <f t="shared" si="9"/>
        <v>-8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8</v>
      </c>
      <c r="H15" s="52"/>
      <c r="I15" s="65">
        <f t="shared" si="1"/>
        <v>8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8</v>
      </c>
      <c r="AA15" s="50"/>
      <c r="AB15" s="50"/>
      <c r="AC15" s="61">
        <f t="shared" si="8"/>
        <v>-8</v>
      </c>
      <c r="AD15" s="50"/>
      <c r="AE15" s="67">
        <f t="shared" si="9"/>
        <v>-8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8</v>
      </c>
      <c r="H16" s="52"/>
      <c r="I16" s="65">
        <f t="shared" si="1"/>
        <v>8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8</v>
      </c>
      <c r="AA16" s="50"/>
      <c r="AB16" s="50"/>
      <c r="AC16" s="61">
        <f t="shared" si="8"/>
        <v>-8</v>
      </c>
      <c r="AD16" s="50"/>
      <c r="AE16" s="67">
        <f t="shared" si="9"/>
        <v>-8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8</v>
      </c>
      <c r="H17" s="52"/>
      <c r="I17" s="65">
        <f t="shared" si="1"/>
        <v>8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8</v>
      </c>
      <c r="AA17" s="50"/>
      <c r="AB17" s="50"/>
      <c r="AC17" s="61">
        <f t="shared" si="8"/>
        <v>-8</v>
      </c>
      <c r="AD17" s="50"/>
      <c r="AE17" s="67">
        <f t="shared" si="9"/>
        <v>-8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7</v>
      </c>
      <c r="H18" s="52"/>
      <c r="I18" s="65">
        <f t="shared" si="1"/>
        <v>7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7</v>
      </c>
      <c r="AA18" s="50"/>
      <c r="AB18" s="50"/>
      <c r="AC18" s="61">
        <f t="shared" si="8"/>
        <v>-7</v>
      </c>
      <c r="AD18" s="50"/>
      <c r="AE18" s="67">
        <f t="shared" si="9"/>
        <v>-7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7</v>
      </c>
      <c r="H19" s="52"/>
      <c r="I19" s="65">
        <f t="shared" si="1"/>
        <v>7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7</v>
      </c>
      <c r="AA19" s="50"/>
      <c r="AB19" s="50"/>
      <c r="AC19" s="61">
        <f t="shared" si="8"/>
        <v>-7</v>
      </c>
      <c r="AD19" s="50"/>
      <c r="AE19" s="67">
        <f t="shared" si="9"/>
        <v>-7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>
        <v>7</v>
      </c>
      <c r="H20" s="52"/>
      <c r="I20" s="65">
        <f t="shared" si="1"/>
        <v>7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7</v>
      </c>
      <c r="AA20" s="50"/>
      <c r="AB20" s="50"/>
      <c r="AC20" s="61">
        <f t="shared" si="8"/>
        <v>-7</v>
      </c>
      <c r="AD20" s="50"/>
      <c r="AE20" s="67">
        <f t="shared" si="9"/>
        <v>-7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>
        <v>7</v>
      </c>
      <c r="H21" s="52"/>
      <c r="I21" s="65">
        <f t="shared" si="1"/>
        <v>7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7</v>
      </c>
      <c r="AA21" s="50"/>
      <c r="AB21" s="50"/>
      <c r="AC21" s="61">
        <f t="shared" si="8"/>
        <v>-7</v>
      </c>
      <c r="AD21" s="50"/>
      <c r="AE21" s="67">
        <f t="shared" si="9"/>
        <v>-7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7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7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7">
        <f t="shared" si="9"/>
        <v>0</v>
      </c>
    </row>
    <row r="25" spans="2:31">
      <c r="B25" s="50">
        <v>1111008</v>
      </c>
      <c r="C25" s="51" t="s">
        <v>156</v>
      </c>
      <c r="D25" s="52">
        <v>1</v>
      </c>
      <c r="E25" s="52"/>
      <c r="F25" s="65">
        <f t="shared" si="0"/>
        <v>1</v>
      </c>
      <c r="G25" s="52">
        <v>16</v>
      </c>
      <c r="H25" s="52"/>
      <c r="I25" s="65">
        <f t="shared" si="1"/>
        <v>16</v>
      </c>
      <c r="J25" s="52">
        <v>3</v>
      </c>
      <c r="K25" s="52"/>
      <c r="L25" s="65">
        <f t="shared" si="2"/>
        <v>3</v>
      </c>
      <c r="M25" s="52">
        <v>36</v>
      </c>
      <c r="N25" s="52"/>
      <c r="O25" s="65">
        <f t="shared" si="3"/>
        <v>36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56</v>
      </c>
      <c r="AA25" s="50">
        <v>50</v>
      </c>
      <c r="AB25" s="50">
        <v>26</v>
      </c>
      <c r="AC25" s="61">
        <f t="shared" si="8"/>
        <v>20</v>
      </c>
      <c r="AD25" s="50">
        <v>50</v>
      </c>
      <c r="AE25" s="67">
        <f t="shared" si="9"/>
        <v>70</v>
      </c>
    </row>
    <row r="26" spans="2:31">
      <c r="B26" s="50">
        <v>1111009</v>
      </c>
      <c r="C26" s="51" t="s">
        <v>157</v>
      </c>
      <c r="D26" s="52">
        <v>1</v>
      </c>
      <c r="E26" s="52"/>
      <c r="F26" s="65">
        <f t="shared" si="0"/>
        <v>1</v>
      </c>
      <c r="G26" s="52"/>
      <c r="H26" s="52"/>
      <c r="I26" s="65">
        <f t="shared" si="1"/>
        <v>0</v>
      </c>
      <c r="J26" s="52">
        <v>1</v>
      </c>
      <c r="K26" s="52"/>
      <c r="L26" s="65">
        <f t="shared" si="2"/>
        <v>1</v>
      </c>
      <c r="M26" s="52"/>
      <c r="N26" s="52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2</v>
      </c>
      <c r="AA26" s="50">
        <v>15</v>
      </c>
      <c r="AB26" s="50">
        <v>15</v>
      </c>
      <c r="AC26" s="61">
        <f t="shared" si="8"/>
        <v>28</v>
      </c>
      <c r="AD26" s="50">
        <v>30</v>
      </c>
      <c r="AE26" s="67">
        <f t="shared" si="9"/>
        <v>58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7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7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7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7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7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7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7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7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7">
        <f t="shared" si="9"/>
        <v>0</v>
      </c>
    </row>
    <row r="36" spans="2:31" hidden="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7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7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7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7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7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15</v>
      </c>
      <c r="H41" s="52"/>
      <c r="I41" s="65">
        <f t="shared" si="1"/>
        <v>15</v>
      </c>
      <c r="J41" s="52">
        <v>1</v>
      </c>
      <c r="K41" s="52"/>
      <c r="L41" s="65">
        <f t="shared" si="2"/>
        <v>1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16</v>
      </c>
      <c r="AA41" s="50">
        <v>10</v>
      </c>
      <c r="AB41" s="50">
        <v>7</v>
      </c>
      <c r="AC41" s="61">
        <f t="shared" si="8"/>
        <v>1</v>
      </c>
      <c r="AD41" s="50">
        <v>10</v>
      </c>
      <c r="AE41" s="67">
        <f t="shared" si="9"/>
        <v>11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7</v>
      </c>
      <c r="H42" s="52"/>
      <c r="I42" s="65">
        <f t="shared" si="1"/>
        <v>7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7</v>
      </c>
      <c r="AA42" s="50"/>
      <c r="AB42" s="50"/>
      <c r="AC42" s="61">
        <f t="shared" si="8"/>
        <v>-7</v>
      </c>
      <c r="AD42" s="50"/>
      <c r="AE42" s="67">
        <f t="shared" si="9"/>
        <v>-7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7</v>
      </c>
      <c r="H43" s="52"/>
      <c r="I43" s="65">
        <f t="shared" si="1"/>
        <v>7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7</v>
      </c>
      <c r="AA43" s="50"/>
      <c r="AB43" s="50"/>
      <c r="AC43" s="61">
        <f t="shared" si="8"/>
        <v>-7</v>
      </c>
      <c r="AD43" s="50"/>
      <c r="AE43" s="67">
        <f t="shared" si="9"/>
        <v>-7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7</v>
      </c>
      <c r="H44" s="52"/>
      <c r="I44" s="65">
        <f t="shared" si="1"/>
        <v>7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7</v>
      </c>
      <c r="AA44" s="50"/>
      <c r="AB44" s="50"/>
      <c r="AC44" s="61">
        <f t="shared" si="8"/>
        <v>-7</v>
      </c>
      <c r="AD44" s="50"/>
      <c r="AE44" s="67">
        <f t="shared" si="9"/>
        <v>-7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7</v>
      </c>
      <c r="H45" s="52"/>
      <c r="I45" s="65">
        <f t="shared" si="1"/>
        <v>7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7</v>
      </c>
      <c r="AA45" s="50"/>
      <c r="AB45" s="50"/>
      <c r="AC45" s="61">
        <f t="shared" si="8"/>
        <v>-7</v>
      </c>
      <c r="AD45" s="50"/>
      <c r="AE45" s="67">
        <f t="shared" si="9"/>
        <v>-7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7</v>
      </c>
      <c r="H46" s="52"/>
      <c r="I46" s="65">
        <f t="shared" si="1"/>
        <v>7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7</v>
      </c>
      <c r="AA46" s="50"/>
      <c r="AB46" s="50"/>
      <c r="AC46" s="61">
        <f t="shared" si="8"/>
        <v>-7</v>
      </c>
      <c r="AD46" s="50"/>
      <c r="AE46" s="67">
        <f t="shared" si="9"/>
        <v>-7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7</v>
      </c>
      <c r="H47" s="52"/>
      <c r="I47" s="65">
        <f t="shared" si="1"/>
        <v>7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7</v>
      </c>
      <c r="AA47" s="50"/>
      <c r="AB47" s="50"/>
      <c r="AC47" s="61">
        <f t="shared" si="8"/>
        <v>-7</v>
      </c>
      <c r="AD47" s="50"/>
      <c r="AE47" s="67">
        <f t="shared" si="9"/>
        <v>-7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7</v>
      </c>
      <c r="H48" s="52"/>
      <c r="I48" s="65">
        <f t="shared" si="1"/>
        <v>7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7</v>
      </c>
      <c r="AA48" s="50"/>
      <c r="AB48" s="50"/>
      <c r="AC48" s="61">
        <f t="shared" si="8"/>
        <v>-7</v>
      </c>
      <c r="AD48" s="50"/>
      <c r="AE48" s="67">
        <f t="shared" si="9"/>
        <v>-7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7</v>
      </c>
      <c r="H49" s="52"/>
      <c r="I49" s="65">
        <f t="shared" si="1"/>
        <v>7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7</v>
      </c>
      <c r="AA49" s="50"/>
      <c r="AB49" s="50"/>
      <c r="AC49" s="61">
        <f t="shared" si="8"/>
        <v>-7</v>
      </c>
      <c r="AD49" s="50"/>
      <c r="AE49" s="67">
        <f t="shared" si="9"/>
        <v>-7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7</v>
      </c>
      <c r="H50" s="52"/>
      <c r="I50" s="65">
        <f t="shared" si="1"/>
        <v>7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7</v>
      </c>
      <c r="AA50" s="50"/>
      <c r="AB50" s="50"/>
      <c r="AC50" s="61">
        <f t="shared" si="8"/>
        <v>-7</v>
      </c>
      <c r="AD50" s="50"/>
      <c r="AE50" s="67">
        <f t="shared" si="9"/>
        <v>-7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7</v>
      </c>
      <c r="H51" s="52"/>
      <c r="I51" s="65">
        <f t="shared" si="1"/>
        <v>7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7</v>
      </c>
      <c r="AA51" s="50"/>
      <c r="AB51" s="50"/>
      <c r="AC51" s="61">
        <f t="shared" si="8"/>
        <v>-7</v>
      </c>
      <c r="AD51" s="50"/>
      <c r="AE51" s="67">
        <f t="shared" si="9"/>
        <v>-7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7">
        <f t="shared" si="9"/>
        <v>0</v>
      </c>
    </row>
    <row r="53" spans="2:31">
      <c r="B53" s="50">
        <v>1112003</v>
      </c>
      <c r="C53" s="51" t="s">
        <v>174</v>
      </c>
      <c r="D53" s="52">
        <v>18</v>
      </c>
      <c r="E53" s="52"/>
      <c r="F53" s="65">
        <f t="shared" si="0"/>
        <v>18</v>
      </c>
      <c r="G53" s="52">
        <v>1</v>
      </c>
      <c r="H53" s="52"/>
      <c r="I53" s="65">
        <f t="shared" si="1"/>
        <v>1</v>
      </c>
      <c r="J53" s="52">
        <v>1</v>
      </c>
      <c r="K53" s="52"/>
      <c r="L53" s="65">
        <f t="shared" si="2"/>
        <v>1</v>
      </c>
      <c r="M53" s="52">
        <v>33</v>
      </c>
      <c r="N53" s="52"/>
      <c r="O53" s="65">
        <f t="shared" si="3"/>
        <v>33</v>
      </c>
      <c r="P53" s="52">
        <v>10</v>
      </c>
      <c r="Q53" s="52"/>
      <c r="R53" s="65">
        <f t="shared" si="4"/>
        <v>10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63</v>
      </c>
      <c r="AA53" s="50">
        <v>110</v>
      </c>
      <c r="AB53" s="50">
        <v>25</v>
      </c>
      <c r="AC53" s="61">
        <f t="shared" si="8"/>
        <v>72</v>
      </c>
      <c r="AD53" s="50">
        <v>60</v>
      </c>
      <c r="AE53" s="67">
        <f t="shared" si="9"/>
        <v>132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7">
        <f t="shared" si="9"/>
        <v>0</v>
      </c>
    </row>
    <row r="55" spans="2:31">
      <c r="B55" s="50">
        <v>1112005</v>
      </c>
      <c r="C55" s="51" t="s">
        <v>176</v>
      </c>
      <c r="D55" s="52">
        <v>7</v>
      </c>
      <c r="E55" s="52"/>
      <c r="F55" s="65">
        <f t="shared" si="0"/>
        <v>7</v>
      </c>
      <c r="G55" s="52">
        <v>1</v>
      </c>
      <c r="H55" s="52"/>
      <c r="I55" s="65">
        <f t="shared" si="1"/>
        <v>1</v>
      </c>
      <c r="J55" s="52">
        <v>1</v>
      </c>
      <c r="K55" s="52"/>
      <c r="L55" s="65">
        <f t="shared" si="2"/>
        <v>1</v>
      </c>
      <c r="M55" s="52">
        <v>33</v>
      </c>
      <c r="N55" s="52"/>
      <c r="O55" s="65">
        <f t="shared" si="3"/>
        <v>33</v>
      </c>
      <c r="P55" s="52">
        <v>10</v>
      </c>
      <c r="Q55" s="52"/>
      <c r="R55" s="65">
        <f t="shared" si="4"/>
        <v>10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52</v>
      </c>
      <c r="AA55" s="50">
        <v>60</v>
      </c>
      <c r="AB55" s="50">
        <v>89</v>
      </c>
      <c r="AC55" s="61">
        <f t="shared" si="8"/>
        <v>97</v>
      </c>
      <c r="AD55" s="50">
        <v>60</v>
      </c>
      <c r="AE55" s="67">
        <f t="shared" si="9"/>
        <v>157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7">
        <f t="shared" si="9"/>
        <v>0</v>
      </c>
    </row>
    <row r="57" spans="2:31">
      <c r="B57" s="50">
        <v>1112009</v>
      </c>
      <c r="C57" s="51" t="s">
        <v>178</v>
      </c>
      <c r="D57" s="52">
        <v>9</v>
      </c>
      <c r="E57" s="52"/>
      <c r="F57" s="65">
        <f t="shared" si="0"/>
        <v>9</v>
      </c>
      <c r="G57" s="52">
        <v>1</v>
      </c>
      <c r="H57" s="52"/>
      <c r="I57" s="65">
        <f t="shared" si="1"/>
        <v>1</v>
      </c>
      <c r="J57" s="52">
        <v>1</v>
      </c>
      <c r="K57" s="52"/>
      <c r="L57" s="65">
        <f t="shared" si="2"/>
        <v>1</v>
      </c>
      <c r="M57" s="52">
        <v>33</v>
      </c>
      <c r="N57" s="52"/>
      <c r="O57" s="65">
        <f t="shared" si="3"/>
        <v>33</v>
      </c>
      <c r="P57" s="52">
        <v>10</v>
      </c>
      <c r="Q57" s="52"/>
      <c r="R57" s="65">
        <f t="shared" si="4"/>
        <v>10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54</v>
      </c>
      <c r="AA57" s="50">
        <v>60</v>
      </c>
      <c r="AB57" s="50">
        <v>91</v>
      </c>
      <c r="AC57" s="61">
        <f t="shared" si="8"/>
        <v>97</v>
      </c>
      <c r="AD57" s="50">
        <v>60</v>
      </c>
      <c r="AE57" s="67">
        <f t="shared" si="9"/>
        <v>157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7">
        <f t="shared" si="9"/>
        <v>0</v>
      </c>
    </row>
    <row r="59" spans="2:31">
      <c r="B59" s="50">
        <v>1112011</v>
      </c>
      <c r="C59" s="51" t="s">
        <v>180</v>
      </c>
      <c r="D59" s="52">
        <v>11</v>
      </c>
      <c r="E59" s="52"/>
      <c r="F59" s="65">
        <f t="shared" si="0"/>
        <v>11</v>
      </c>
      <c r="G59" s="52">
        <v>1</v>
      </c>
      <c r="H59" s="52"/>
      <c r="I59" s="65">
        <f t="shared" si="1"/>
        <v>1</v>
      </c>
      <c r="J59" s="52">
        <v>5</v>
      </c>
      <c r="K59" s="52"/>
      <c r="L59" s="65">
        <f t="shared" si="2"/>
        <v>5</v>
      </c>
      <c r="M59" s="52">
        <v>33</v>
      </c>
      <c r="N59" s="52"/>
      <c r="O59" s="65">
        <f t="shared" si="3"/>
        <v>33</v>
      </c>
      <c r="P59" s="52">
        <v>10</v>
      </c>
      <c r="Q59" s="52"/>
      <c r="R59" s="65">
        <f t="shared" si="4"/>
        <v>10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60</v>
      </c>
      <c r="AA59" s="50">
        <v>60</v>
      </c>
      <c r="AB59" s="50">
        <v>76</v>
      </c>
      <c r="AC59" s="61">
        <f t="shared" si="8"/>
        <v>76</v>
      </c>
      <c r="AD59" s="50">
        <v>60</v>
      </c>
      <c r="AE59" s="67">
        <f t="shared" si="9"/>
        <v>136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7">
        <f t="shared" si="9"/>
        <v>0</v>
      </c>
    </row>
    <row r="61" spans="2:31">
      <c r="B61" s="50">
        <v>1112013</v>
      </c>
      <c r="C61" s="51" t="s">
        <v>182</v>
      </c>
      <c r="D61" s="52">
        <v>8</v>
      </c>
      <c r="E61" s="52"/>
      <c r="F61" s="65">
        <f t="shared" si="0"/>
        <v>8</v>
      </c>
      <c r="G61" s="52">
        <v>1</v>
      </c>
      <c r="H61" s="52"/>
      <c r="I61" s="65">
        <f t="shared" si="1"/>
        <v>1</v>
      </c>
      <c r="J61" s="52">
        <v>1</v>
      </c>
      <c r="K61" s="52"/>
      <c r="L61" s="65">
        <f t="shared" si="2"/>
        <v>1</v>
      </c>
      <c r="M61" s="52">
        <v>33</v>
      </c>
      <c r="N61" s="52"/>
      <c r="O61" s="65">
        <f t="shared" si="3"/>
        <v>33</v>
      </c>
      <c r="P61" s="52">
        <v>10</v>
      </c>
      <c r="Q61" s="52"/>
      <c r="R61" s="65">
        <f t="shared" si="4"/>
        <v>10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53</v>
      </c>
      <c r="AA61" s="50">
        <v>60</v>
      </c>
      <c r="AB61" s="50">
        <v>81</v>
      </c>
      <c r="AC61" s="61">
        <f t="shared" si="8"/>
        <v>88</v>
      </c>
      <c r="AD61" s="50">
        <v>60</v>
      </c>
      <c r="AE61" s="67">
        <f t="shared" si="9"/>
        <v>148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7">
        <f t="shared" si="9"/>
        <v>0</v>
      </c>
    </row>
    <row r="63" spans="2:31">
      <c r="B63" s="50">
        <v>1112015</v>
      </c>
      <c r="C63" s="51" t="s">
        <v>184</v>
      </c>
      <c r="D63" s="52">
        <v>9</v>
      </c>
      <c r="E63" s="52"/>
      <c r="F63" s="65">
        <f t="shared" si="0"/>
        <v>9</v>
      </c>
      <c r="G63" s="52">
        <v>1</v>
      </c>
      <c r="H63" s="52"/>
      <c r="I63" s="65">
        <f t="shared" si="1"/>
        <v>1</v>
      </c>
      <c r="J63" s="52">
        <v>1</v>
      </c>
      <c r="K63" s="52"/>
      <c r="L63" s="65">
        <f t="shared" si="2"/>
        <v>1</v>
      </c>
      <c r="M63" s="52">
        <v>33</v>
      </c>
      <c r="N63" s="52"/>
      <c r="O63" s="65">
        <f t="shared" si="3"/>
        <v>33</v>
      </c>
      <c r="P63" s="52">
        <v>10</v>
      </c>
      <c r="Q63" s="52"/>
      <c r="R63" s="65">
        <f t="shared" si="4"/>
        <v>10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54</v>
      </c>
      <c r="AA63" s="50">
        <v>65</v>
      </c>
      <c r="AB63" s="50">
        <v>97</v>
      </c>
      <c r="AC63" s="61">
        <f t="shared" si="8"/>
        <v>108</v>
      </c>
      <c r="AD63" s="50">
        <v>60</v>
      </c>
      <c r="AE63" s="67">
        <f t="shared" si="9"/>
        <v>168</v>
      </c>
    </row>
    <row r="64" spans="2:31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7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7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7">
        <f t="shared" si="9"/>
        <v>0</v>
      </c>
    </row>
    <row r="67" spans="2:31">
      <c r="B67" s="50">
        <v>1114501</v>
      </c>
      <c r="C67" s="53" t="s">
        <v>187</v>
      </c>
      <c r="D67" s="52"/>
      <c r="E67" s="52"/>
      <c r="F67" s="65">
        <f t="shared" si="0"/>
        <v>0</v>
      </c>
      <c r="G67" s="52">
        <v>8</v>
      </c>
      <c r="H67" s="52"/>
      <c r="I67" s="65">
        <f t="shared" si="1"/>
        <v>8</v>
      </c>
      <c r="J67" s="52">
        <v>1</v>
      </c>
      <c r="K67" s="52"/>
      <c r="L67" s="65">
        <f t="shared" si="2"/>
        <v>1</v>
      </c>
      <c r="M67" s="52">
        <v>238</v>
      </c>
      <c r="N67" s="52"/>
      <c r="O67" s="65">
        <f t="shared" si="3"/>
        <v>238</v>
      </c>
      <c r="P67" s="52">
        <v>51</v>
      </c>
      <c r="Q67" s="52"/>
      <c r="R67" s="65">
        <f t="shared" si="4"/>
        <v>51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298</v>
      </c>
      <c r="AA67" s="50">
        <v>209</v>
      </c>
      <c r="AB67" s="50">
        <v>855</v>
      </c>
      <c r="AC67" s="61">
        <f t="shared" si="8"/>
        <v>766</v>
      </c>
      <c r="AD67" s="50">
        <v>250</v>
      </c>
      <c r="AE67" s="67">
        <f t="shared" si="9"/>
        <v>1016</v>
      </c>
    </row>
    <row r="68" spans="2:31">
      <c r="B68" s="50">
        <v>1114502</v>
      </c>
      <c r="C68" s="53" t="s">
        <v>188</v>
      </c>
      <c r="D68" s="52"/>
      <c r="E68" s="52"/>
      <c r="F68" s="65">
        <f t="shared" si="0"/>
        <v>0</v>
      </c>
      <c r="G68" s="52">
        <v>3</v>
      </c>
      <c r="H68" s="52"/>
      <c r="I68" s="65">
        <f t="shared" si="1"/>
        <v>3</v>
      </c>
      <c r="J68" s="52">
        <v>2</v>
      </c>
      <c r="K68" s="52"/>
      <c r="L68" s="65">
        <f t="shared" si="2"/>
        <v>2</v>
      </c>
      <c r="M68" s="52">
        <v>190</v>
      </c>
      <c r="N68" s="52"/>
      <c r="O68" s="65">
        <f t="shared" si="3"/>
        <v>190</v>
      </c>
      <c r="P68" s="52">
        <v>51</v>
      </c>
      <c r="Q68" s="52"/>
      <c r="R68" s="65">
        <f t="shared" si="4"/>
        <v>51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246</v>
      </c>
      <c r="AA68" s="50">
        <v>189</v>
      </c>
      <c r="AB68" s="50">
        <v>386</v>
      </c>
      <c r="AC68" s="61">
        <f t="shared" si="8"/>
        <v>329</v>
      </c>
      <c r="AD68" s="50">
        <v>200</v>
      </c>
      <c r="AE68" s="67">
        <f t="shared" si="9"/>
        <v>529</v>
      </c>
    </row>
    <row r="69" spans="2:31">
      <c r="B69" s="50">
        <v>1114503</v>
      </c>
      <c r="C69" s="53" t="s">
        <v>189</v>
      </c>
      <c r="D69" s="52"/>
      <c r="E69" s="52"/>
      <c r="F69" s="65">
        <f t="shared" ref="F69:F132" si="10">SUM(D69:E69)</f>
        <v>0</v>
      </c>
      <c r="G69" s="52">
        <v>3</v>
      </c>
      <c r="H69" s="52"/>
      <c r="I69" s="65">
        <f t="shared" ref="I69:I121" si="11">SUM(G69:H69)</f>
        <v>3</v>
      </c>
      <c r="J69" s="52">
        <v>1</v>
      </c>
      <c r="K69" s="52"/>
      <c r="L69" s="65">
        <f t="shared" ref="L69:L121" si="12">SUM(J69:K69)</f>
        <v>1</v>
      </c>
      <c r="M69" s="52">
        <v>166</v>
      </c>
      <c r="N69" s="52"/>
      <c r="O69" s="65">
        <f t="shared" ref="O69:O121" si="13">SUM(M69:N69)</f>
        <v>166</v>
      </c>
      <c r="P69" s="52">
        <v>51</v>
      </c>
      <c r="Q69" s="52"/>
      <c r="R69" s="65">
        <f t="shared" ref="R69:R121" si="14">SUM(P69:Q69)</f>
        <v>51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221</v>
      </c>
      <c r="AA69" s="50">
        <v>181</v>
      </c>
      <c r="AB69" s="50">
        <v>401</v>
      </c>
      <c r="AC69" s="61">
        <f t="shared" ref="AC69:AC121" si="18">+AA69+AB69-Z69</f>
        <v>361</v>
      </c>
      <c r="AD69" s="50">
        <v>200</v>
      </c>
      <c r="AE69" s="67">
        <f t="shared" ref="AE69:AE121" si="19">AC69+AD69</f>
        <v>561</v>
      </c>
    </row>
    <row r="70" spans="2:31" hidden="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7">
        <f t="shared" si="19"/>
        <v>0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7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7">
        <f t="shared" si="19"/>
        <v>0</v>
      </c>
    </row>
    <row r="73" spans="2:31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7">
        <f t="shared" si="19"/>
        <v>0</v>
      </c>
    </row>
    <row r="74" spans="2:31" hidden="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7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52"/>
      <c r="N75" s="52"/>
      <c r="O75" s="65">
        <f t="shared" si="13"/>
        <v>0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>
        <v>30</v>
      </c>
      <c r="AE75" s="67">
        <f t="shared" si="19"/>
        <v>30</v>
      </c>
    </row>
    <row r="76" spans="2:31">
      <c r="B76" s="50">
        <v>1113171</v>
      </c>
      <c r="C76" s="53" t="s">
        <v>88</v>
      </c>
      <c r="D76" s="52">
        <v>3</v>
      </c>
      <c r="E76" s="52"/>
      <c r="F76" s="65">
        <f t="shared" si="10"/>
        <v>3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3</v>
      </c>
      <c r="AA76" s="50"/>
      <c r="AB76" s="50">
        <v>3</v>
      </c>
      <c r="AC76" s="61">
        <f t="shared" si="18"/>
        <v>0</v>
      </c>
      <c r="AD76" s="50">
        <v>20</v>
      </c>
      <c r="AE76" s="67">
        <f t="shared" si="19"/>
        <v>20</v>
      </c>
    </row>
    <row r="77" spans="2:31">
      <c r="B77" s="50">
        <v>1113172</v>
      </c>
      <c r="C77" s="53" t="s">
        <v>89</v>
      </c>
      <c r="D77" s="52">
        <v>2</v>
      </c>
      <c r="E77" s="52"/>
      <c r="F77" s="65">
        <f t="shared" si="10"/>
        <v>2</v>
      </c>
      <c r="G77" s="52"/>
      <c r="H77" s="52"/>
      <c r="I77" s="65">
        <f t="shared" si="11"/>
        <v>0</v>
      </c>
      <c r="J77" s="52">
        <v>1</v>
      </c>
      <c r="K77" s="52"/>
      <c r="L77" s="65">
        <f t="shared" si="12"/>
        <v>1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3</v>
      </c>
      <c r="AA77" s="50"/>
      <c r="AB77" s="50">
        <v>1</v>
      </c>
      <c r="AC77" s="61">
        <f t="shared" si="18"/>
        <v>-2</v>
      </c>
      <c r="AD77" s="50">
        <v>20</v>
      </c>
      <c r="AE77" s="67">
        <f t="shared" si="19"/>
        <v>18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>
        <v>1</v>
      </c>
      <c r="AC78" s="61">
        <f t="shared" si="18"/>
        <v>1</v>
      </c>
      <c r="AD78" s="50">
        <v>20</v>
      </c>
      <c r="AE78" s="67">
        <f t="shared" si="19"/>
        <v>21</v>
      </c>
    </row>
    <row r="79" spans="2:31" hidden="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7">
        <f t="shared" si="19"/>
        <v>0</v>
      </c>
    </row>
    <row r="80" spans="2:31" hidden="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7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7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4</v>
      </c>
      <c r="H82" s="52"/>
      <c r="I82" s="65">
        <f t="shared" si="11"/>
        <v>4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4</v>
      </c>
      <c r="AA82" s="50"/>
      <c r="AB82" s="50"/>
      <c r="AC82" s="61">
        <f t="shared" si="18"/>
        <v>-4</v>
      </c>
      <c r="AD82" s="50"/>
      <c r="AE82" s="67">
        <f t="shared" si="19"/>
        <v>-4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11</v>
      </c>
      <c r="H83" s="52"/>
      <c r="I83" s="65">
        <f t="shared" si="11"/>
        <v>11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11</v>
      </c>
      <c r="AA83" s="50"/>
      <c r="AB83" s="50"/>
      <c r="AC83" s="61">
        <f t="shared" si="18"/>
        <v>-11</v>
      </c>
      <c r="AD83" s="50"/>
      <c r="AE83" s="67">
        <f t="shared" si="19"/>
        <v>-11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7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7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7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7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7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7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7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7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7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7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7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7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7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7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7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7">
        <f t="shared" si="19"/>
        <v>0</v>
      </c>
    </row>
    <row r="100" spans="2:31">
      <c r="B100" s="50">
        <v>1004062</v>
      </c>
      <c r="C100" s="53" t="s">
        <v>238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>
        <v>11</v>
      </c>
      <c r="Z100" s="63">
        <f t="shared" si="17"/>
        <v>11</v>
      </c>
      <c r="AA100" s="50">
        <v>11</v>
      </c>
      <c r="AB100" s="50"/>
      <c r="AC100" s="61">
        <f t="shared" si="18"/>
        <v>0</v>
      </c>
      <c r="AD100" s="50"/>
      <c r="AE100" s="67">
        <f t="shared" si="19"/>
        <v>0</v>
      </c>
    </row>
    <row r="101" spans="2:31">
      <c r="B101" s="50">
        <v>1004051</v>
      </c>
      <c r="C101" s="53" t="s">
        <v>239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>
        <v>5</v>
      </c>
      <c r="Z101" s="63">
        <f t="shared" si="17"/>
        <v>5</v>
      </c>
      <c r="AA101" s="50">
        <v>5</v>
      </c>
      <c r="AB101" s="50"/>
      <c r="AC101" s="61">
        <f t="shared" si="18"/>
        <v>0</v>
      </c>
      <c r="AD101" s="50"/>
      <c r="AE101" s="67">
        <f t="shared" si="19"/>
        <v>0</v>
      </c>
    </row>
    <row r="102" spans="2:31">
      <c r="B102" s="50">
        <v>1111005</v>
      </c>
      <c r="C102" s="53" t="s">
        <v>240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>
        <v>2</v>
      </c>
      <c r="Z102" s="63">
        <f t="shared" si="17"/>
        <v>2</v>
      </c>
      <c r="AA102" s="50">
        <v>2</v>
      </c>
      <c r="AB102" s="50"/>
      <c r="AC102" s="61">
        <f t="shared" si="18"/>
        <v>0</v>
      </c>
      <c r="AD102" s="50"/>
      <c r="AE102" s="67">
        <f t="shared" si="19"/>
        <v>0</v>
      </c>
    </row>
    <row r="103" spans="2:31">
      <c r="B103" s="50">
        <v>1111006</v>
      </c>
      <c r="C103" s="53" t="s">
        <v>241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>
        <v>9</v>
      </c>
      <c r="Z103" s="63">
        <f t="shared" si="17"/>
        <v>9</v>
      </c>
      <c r="AA103" s="50">
        <v>9</v>
      </c>
      <c r="AB103" s="50"/>
      <c r="AC103" s="61">
        <f t="shared" si="18"/>
        <v>0</v>
      </c>
      <c r="AD103" s="50"/>
      <c r="AE103" s="67">
        <f t="shared" si="19"/>
        <v>0</v>
      </c>
    </row>
    <row r="104" spans="2:31" hidden="1">
      <c r="B104" s="50">
        <v>1004048</v>
      </c>
      <c r="C104" s="53" t="s">
        <v>242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7">
        <f t="shared" si="19"/>
        <v>0</v>
      </c>
    </row>
    <row r="105" spans="2:31" hidden="1">
      <c r="B105" s="50">
        <v>1113157</v>
      </c>
      <c r="C105" s="53" t="s">
        <v>243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7">
        <f t="shared" si="19"/>
        <v>0</v>
      </c>
    </row>
    <row r="106" spans="2:31" hidden="1">
      <c r="B106" s="50">
        <v>1004081</v>
      </c>
      <c r="C106" s="53" t="s">
        <v>244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7">
        <f t="shared" si="19"/>
        <v>0</v>
      </c>
    </row>
    <row r="107" spans="2:31" hidden="1">
      <c r="B107" s="50">
        <v>1004080</v>
      </c>
      <c r="C107" s="53" t="s">
        <v>245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7">
        <f t="shared" si="19"/>
        <v>0</v>
      </c>
    </row>
    <row r="108" spans="2:31" hidden="1">
      <c r="B108" s="50">
        <v>3001200</v>
      </c>
      <c r="C108" s="53" t="s">
        <v>246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7">
        <f t="shared" si="19"/>
        <v>0</v>
      </c>
    </row>
    <row r="109" spans="2:31" hidden="1">
      <c r="B109" s="50">
        <v>1004047</v>
      </c>
      <c r="C109" s="53" t="s">
        <v>247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7">
        <f t="shared" si="19"/>
        <v>0</v>
      </c>
    </row>
    <row r="110" spans="2:31" hidden="1">
      <c r="B110" s="50">
        <v>1004070</v>
      </c>
      <c r="C110" s="53" t="s">
        <v>248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7">
        <f t="shared" si="19"/>
        <v>0</v>
      </c>
    </row>
    <row r="111" spans="2:31" hidden="1">
      <c r="B111" s="50">
        <v>1004076</v>
      </c>
      <c r="C111" s="53" t="s">
        <v>249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7">
        <f t="shared" si="19"/>
        <v>0</v>
      </c>
    </row>
    <row r="112" spans="2:31" hidden="1">
      <c r="B112" s="50">
        <v>1004050</v>
      </c>
      <c r="C112" s="53" t="s">
        <v>250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7">
        <f t="shared" si="19"/>
        <v>0</v>
      </c>
    </row>
    <row r="113" spans="2:31" hidden="1">
      <c r="B113" s="50">
        <v>1004048</v>
      </c>
      <c r="C113" s="53" t="s">
        <v>251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7">
        <f t="shared" si="19"/>
        <v>0</v>
      </c>
    </row>
    <row r="114" spans="2:31" hidden="1">
      <c r="B114" s="50">
        <v>1007020</v>
      </c>
      <c r="C114" s="53" t="s">
        <v>253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7">
        <f t="shared" si="19"/>
        <v>0</v>
      </c>
    </row>
    <row r="115" spans="2:31" hidden="1">
      <c r="B115" s="50">
        <v>1004063</v>
      </c>
      <c r="C115" s="53" t="s">
        <v>254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7">
        <f t="shared" si="19"/>
        <v>0</v>
      </c>
    </row>
    <row r="116" spans="2:31" hidden="1">
      <c r="B116" s="50">
        <v>1004065</v>
      </c>
      <c r="C116" s="53" t="s">
        <v>255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7">
        <f t="shared" si="19"/>
        <v>0</v>
      </c>
    </row>
    <row r="117" spans="2:31" hidden="1">
      <c r="B117" s="50">
        <v>1006982</v>
      </c>
      <c r="C117" s="53" t="s">
        <v>256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7">
        <f t="shared" si="19"/>
        <v>0</v>
      </c>
    </row>
    <row r="118" spans="2:31" hidden="1">
      <c r="B118" s="50">
        <v>1006000</v>
      </c>
      <c r="C118" s="53" t="s">
        <v>257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7">
        <f t="shared" si="19"/>
        <v>0</v>
      </c>
    </row>
    <row r="119" spans="2:31" hidden="1">
      <c r="B119" s="50">
        <v>1005998</v>
      </c>
      <c r="C119" s="53" t="s">
        <v>258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7">
        <f t="shared" si="19"/>
        <v>0</v>
      </c>
    </row>
    <row r="120" spans="2:31" hidden="1">
      <c r="B120" s="50">
        <v>1005995</v>
      </c>
      <c r="C120" s="53" t="s">
        <v>259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7">
        <f t="shared" si="19"/>
        <v>0</v>
      </c>
    </row>
    <row r="121" spans="2:31" hidden="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7">
        <f t="shared" si="19"/>
        <v>0</v>
      </c>
    </row>
    <row r="122" spans="2:31" hidden="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7"/>
    </row>
    <row r="123" spans="2:31" hidden="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7"/>
    </row>
    <row r="124" spans="2:31" hidden="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7"/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7"/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7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7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7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7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7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7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7"/>
    </row>
    <row r="133" spans="2:31" hidden="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7"/>
    </row>
    <row r="134" spans="2:31" hidden="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7"/>
    </row>
    <row r="135" spans="2:31" hidden="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7"/>
    </row>
    <row r="136" spans="2:31" hidden="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7"/>
    </row>
    <row r="137" spans="2:31" hidden="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7"/>
    </row>
    <row r="138" spans="2:31" hidden="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7"/>
    </row>
    <row r="139" spans="2:31" hidden="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7"/>
    </row>
    <row r="140" spans="2:31" hidden="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7"/>
    </row>
    <row r="141" spans="2:31" hidden="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7"/>
    </row>
    <row r="142" spans="2:31" hidden="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7"/>
    </row>
    <row r="143" spans="2:31" hidden="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7"/>
    </row>
    <row r="144" spans="2:31" hidden="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7"/>
    </row>
    <row r="145" spans="2:31" hidden="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7"/>
    </row>
    <row r="146" spans="2:31" hidden="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7"/>
    </row>
    <row r="147" spans="2:31" hidden="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7"/>
    </row>
    <row r="148" spans="2:31" hidden="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7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7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7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7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7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7">
        <f t="shared" si="29"/>
        <v>0</v>
      </c>
    </row>
    <row r="154" spans="2:31" s="59" customFormat="1" ht="51.75">
      <c r="B154" s="97" t="s">
        <v>201</v>
      </c>
      <c r="C154" s="98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70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70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307</v>
      </c>
      <c r="H154" s="62">
        <f t="shared" si="31"/>
        <v>0</v>
      </c>
      <c r="I154" s="62">
        <f t="shared" si="31"/>
        <v>307</v>
      </c>
      <c r="J154" s="62">
        <f t="shared" si="31"/>
        <v>43</v>
      </c>
      <c r="K154" s="62">
        <f t="shared" si="31"/>
        <v>0</v>
      </c>
      <c r="L154" s="62">
        <f t="shared" si="31"/>
        <v>43</v>
      </c>
      <c r="M154" s="62">
        <f t="shared" si="31"/>
        <v>849</v>
      </c>
      <c r="N154" s="62">
        <f t="shared" si="31"/>
        <v>0</v>
      </c>
      <c r="O154" s="62">
        <f t="shared" si="31"/>
        <v>849</v>
      </c>
      <c r="P154" s="62">
        <f t="shared" si="31"/>
        <v>225</v>
      </c>
      <c r="Q154" s="62">
        <f t="shared" si="31"/>
        <v>0</v>
      </c>
      <c r="R154" s="62">
        <f t="shared" si="31"/>
        <v>225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32</v>
      </c>
      <c r="Z154" s="62">
        <f t="shared" si="31"/>
        <v>1526</v>
      </c>
      <c r="AA154" s="62">
        <f t="shared" si="31"/>
        <v>1266</v>
      </c>
      <c r="AB154" s="62">
        <f t="shared" si="31"/>
        <v>2240</v>
      </c>
      <c r="AC154" s="62">
        <f t="shared" si="31"/>
        <v>1980</v>
      </c>
      <c r="AD154" s="62">
        <f t="shared" si="31"/>
        <v>1355</v>
      </c>
      <c r="AE154" s="62">
        <f t="shared" si="31"/>
        <v>3335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Y2:Y3"/>
    <mergeCell ref="Z2:Z3"/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1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ACC72-A929-42C1-8380-571370723A6D}">
  <sheetPr codeName="Sheet21">
    <pageSetUpPr fitToPage="1"/>
  </sheetPr>
  <dimension ref="B1:AE159"/>
  <sheetViews>
    <sheetView topLeftCell="A58" zoomScale="50" zoomScaleNormal="50" workbookViewId="0">
      <selection activeCell="Q6" sqref="Q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5" width="14.28515625" style="56" customWidth="1"/>
    <col min="26" max="26" width="19.5703125" style="57" bestFit="1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3" t="s">
        <v>225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</row>
    <row r="2" spans="2:31" ht="49.9" customHeight="1">
      <c r="B2" s="99" t="s">
        <v>3</v>
      </c>
      <c r="C2" s="99" t="s">
        <v>4</v>
      </c>
      <c r="D2" s="85" t="s">
        <v>5</v>
      </c>
      <c r="E2" s="86"/>
      <c r="F2" s="87"/>
      <c r="G2" s="85" t="s">
        <v>6</v>
      </c>
      <c r="H2" s="86"/>
      <c r="I2" s="87"/>
      <c r="J2" s="85" t="s">
        <v>7</v>
      </c>
      <c r="K2" s="86"/>
      <c r="L2" s="87"/>
      <c r="M2" s="85" t="s">
        <v>8</v>
      </c>
      <c r="N2" s="86"/>
      <c r="O2" s="87"/>
      <c r="P2" s="85" t="s">
        <v>132</v>
      </c>
      <c r="Q2" s="86"/>
      <c r="R2" s="87"/>
      <c r="S2" s="85" t="s">
        <v>9</v>
      </c>
      <c r="T2" s="86"/>
      <c r="U2" s="87"/>
      <c r="V2" s="88" t="s">
        <v>131</v>
      </c>
      <c r="W2" s="89"/>
      <c r="X2" s="90"/>
      <c r="Y2" s="101" t="s">
        <v>134</v>
      </c>
      <c r="Z2" s="103" t="s">
        <v>204</v>
      </c>
      <c r="AA2" s="91" t="s">
        <v>145</v>
      </c>
      <c r="AB2" s="91" t="s">
        <v>146</v>
      </c>
      <c r="AC2" s="95" t="s">
        <v>147</v>
      </c>
      <c r="AD2" s="93" t="s">
        <v>148</v>
      </c>
      <c r="AE2" s="82" t="s">
        <v>212</v>
      </c>
    </row>
    <row r="3" spans="2:31" ht="49.9" customHeight="1">
      <c r="B3" s="100"/>
      <c r="C3" s="100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102"/>
      <c r="Z3" s="104"/>
      <c r="AA3" s="92"/>
      <c r="AB3" s="92"/>
      <c r="AC3" s="96"/>
      <c r="AD3" s="94"/>
      <c r="AE3" s="82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>
        <v>4</v>
      </c>
      <c r="H4" s="52"/>
      <c r="I4" s="65">
        <f>SUM(G4:H4)</f>
        <v>4</v>
      </c>
      <c r="J4" s="52"/>
      <c r="K4" s="52"/>
      <c r="L4" s="65">
        <f>SUM(J4:K4)</f>
        <v>0</v>
      </c>
      <c r="M4" s="52">
        <v>27</v>
      </c>
      <c r="N4" s="52"/>
      <c r="O4" s="65">
        <f>SUM(M4:N4)</f>
        <v>27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>
        <v>30</v>
      </c>
      <c r="Z4" s="63">
        <f>+F4+I4+L4+O4+R4+U4+X4+Y4</f>
        <v>61</v>
      </c>
      <c r="AA4" s="50"/>
      <c r="AB4" s="50"/>
      <c r="AC4" s="61">
        <f>+AA4+AB4-Z4</f>
        <v>-61</v>
      </c>
      <c r="AD4" s="50"/>
      <c r="AE4" s="67">
        <f>AC4+AD4</f>
        <v>-61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27</v>
      </c>
      <c r="H5" s="52"/>
      <c r="I5" s="65">
        <f t="shared" ref="I5:I68" si="1">SUM(G5:H5)</f>
        <v>27</v>
      </c>
      <c r="J5" s="52">
        <v>38</v>
      </c>
      <c r="K5" s="52"/>
      <c r="L5" s="65">
        <f t="shared" ref="L5:L68" si="2">SUM(J5:K5)</f>
        <v>38</v>
      </c>
      <c r="M5" s="52"/>
      <c r="N5" s="52"/>
      <c r="O5" s="65">
        <f t="shared" ref="O5:O68" si="3">SUM(M5:N5)</f>
        <v>0</v>
      </c>
      <c r="P5" s="52">
        <v>4</v>
      </c>
      <c r="Q5" s="52"/>
      <c r="R5" s="65">
        <f t="shared" ref="R5:R68" si="4">SUM(P5:Q5)</f>
        <v>4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3</v>
      </c>
      <c r="Z5" s="63">
        <f t="shared" ref="Z5:Z68" si="7">+F5+I5+L5+O5+R5+U5+X5+Y5</f>
        <v>72</v>
      </c>
      <c r="AA5" s="58"/>
      <c r="AB5" s="58"/>
      <c r="AC5" s="61">
        <f t="shared" ref="AC5:AC68" si="8">+AA5+AB5-Z5</f>
        <v>-72</v>
      </c>
      <c r="AD5" s="58"/>
      <c r="AE5" s="67">
        <f t="shared" ref="AE5:AE68" si="9">AC5+AD5</f>
        <v>-72</v>
      </c>
    </row>
    <row r="6" spans="2:3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7">
        <f t="shared" si="9"/>
        <v>0</v>
      </c>
    </row>
    <row r="7" spans="2:3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7">
        <f t="shared" si="9"/>
        <v>0</v>
      </c>
    </row>
    <row r="8" spans="2:3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7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7">
        <f t="shared" si="9"/>
        <v>0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7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7">
        <f t="shared" si="9"/>
        <v>0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7">
        <f t="shared" si="9"/>
        <v>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7">
        <f t="shared" si="9"/>
        <v>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7">
        <f t="shared" si="9"/>
        <v>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7">
        <f t="shared" si="9"/>
        <v>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7">
        <f t="shared" si="9"/>
        <v>0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7">
        <f t="shared" si="9"/>
        <v>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7">
        <f t="shared" si="9"/>
        <v>0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7">
        <f t="shared" si="9"/>
        <v>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7">
        <f t="shared" si="9"/>
        <v>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7">
        <f t="shared" si="9"/>
        <v>0</v>
      </c>
    </row>
    <row r="22" spans="2:3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7">
        <f t="shared" si="9"/>
        <v>0</v>
      </c>
    </row>
    <row r="23" spans="2:3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7">
        <f t="shared" si="9"/>
        <v>0</v>
      </c>
    </row>
    <row r="24" spans="2:3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7">
        <f t="shared" si="9"/>
        <v>0</v>
      </c>
    </row>
    <row r="25" spans="2:31">
      <c r="B25" s="50">
        <v>1111008</v>
      </c>
      <c r="C25" s="51" t="s">
        <v>156</v>
      </c>
      <c r="D25" s="52"/>
      <c r="E25" s="52"/>
      <c r="F25" s="65">
        <f t="shared" si="0"/>
        <v>0</v>
      </c>
      <c r="G25" s="52">
        <v>9</v>
      </c>
      <c r="H25" s="52"/>
      <c r="I25" s="65">
        <f t="shared" si="1"/>
        <v>9</v>
      </c>
      <c r="J25" s="52"/>
      <c r="K25" s="52"/>
      <c r="L25" s="65">
        <f t="shared" si="2"/>
        <v>0</v>
      </c>
      <c r="M25" s="52"/>
      <c r="N25" s="52"/>
      <c r="O25" s="65">
        <f t="shared" si="3"/>
        <v>0</v>
      </c>
      <c r="P25" s="52">
        <v>15</v>
      </c>
      <c r="Q25" s="52"/>
      <c r="R25" s="65">
        <f t="shared" si="4"/>
        <v>15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24</v>
      </c>
      <c r="AA25" s="50"/>
      <c r="AB25" s="50"/>
      <c r="AC25" s="61">
        <f t="shared" si="8"/>
        <v>-24</v>
      </c>
      <c r="AD25" s="50"/>
      <c r="AE25" s="67">
        <f t="shared" si="9"/>
        <v>-24</v>
      </c>
    </row>
    <row r="26" spans="2:31">
      <c r="B26" s="50">
        <v>1111009</v>
      </c>
      <c r="C26" s="51" t="s">
        <v>157</v>
      </c>
      <c r="D26" s="52"/>
      <c r="E26" s="52"/>
      <c r="F26" s="65">
        <f t="shared" si="0"/>
        <v>0</v>
      </c>
      <c r="G26" s="52">
        <v>2</v>
      </c>
      <c r="H26" s="52"/>
      <c r="I26" s="65">
        <f t="shared" si="1"/>
        <v>2</v>
      </c>
      <c r="J26" s="52">
        <v>1</v>
      </c>
      <c r="K26" s="52"/>
      <c r="L26" s="65">
        <f t="shared" si="2"/>
        <v>1</v>
      </c>
      <c r="M26" s="52"/>
      <c r="N26" s="52"/>
      <c r="O26" s="65">
        <f t="shared" si="3"/>
        <v>0</v>
      </c>
      <c r="P26" s="52">
        <v>2</v>
      </c>
      <c r="Q26" s="52"/>
      <c r="R26" s="65">
        <f t="shared" si="4"/>
        <v>2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5</v>
      </c>
      <c r="AA26" s="50"/>
      <c r="AB26" s="50"/>
      <c r="AC26" s="61">
        <f t="shared" si="8"/>
        <v>-5</v>
      </c>
      <c r="AD26" s="50"/>
      <c r="AE26" s="67">
        <f t="shared" si="9"/>
        <v>-5</v>
      </c>
    </row>
    <row r="27" spans="2:3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7">
        <f t="shared" si="9"/>
        <v>0</v>
      </c>
    </row>
    <row r="28" spans="2:3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7">
        <f t="shared" si="9"/>
        <v>0</v>
      </c>
    </row>
    <row r="29" spans="2:3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7">
        <f t="shared" si="9"/>
        <v>0</v>
      </c>
    </row>
    <row r="30" spans="2:3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7">
        <f t="shared" si="9"/>
        <v>0</v>
      </c>
    </row>
    <row r="31" spans="2:3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7">
        <f t="shared" si="9"/>
        <v>0</v>
      </c>
    </row>
    <row r="32" spans="2:3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7">
        <f t="shared" si="9"/>
        <v>0</v>
      </c>
    </row>
    <row r="33" spans="2:3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7">
        <f t="shared" si="9"/>
        <v>0</v>
      </c>
    </row>
    <row r="34" spans="2:3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7">
        <f t="shared" si="9"/>
        <v>0</v>
      </c>
    </row>
    <row r="35" spans="2:3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7">
        <f t="shared" si="9"/>
        <v>0</v>
      </c>
    </row>
    <row r="36" spans="2:3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>
        <v>10</v>
      </c>
      <c r="Z36" s="63">
        <f t="shared" si="7"/>
        <v>10</v>
      </c>
      <c r="AA36" s="50"/>
      <c r="AB36" s="50"/>
      <c r="AC36" s="61">
        <f t="shared" si="8"/>
        <v>-10</v>
      </c>
      <c r="AD36" s="50"/>
      <c r="AE36" s="67">
        <f t="shared" si="9"/>
        <v>-10</v>
      </c>
    </row>
    <row r="37" spans="2:3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7">
        <f t="shared" si="9"/>
        <v>0</v>
      </c>
    </row>
    <row r="38" spans="2:3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7">
        <f t="shared" si="9"/>
        <v>0</v>
      </c>
    </row>
    <row r="39" spans="2:3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7">
        <f t="shared" si="9"/>
        <v>0</v>
      </c>
    </row>
    <row r="40" spans="2:3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7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5</v>
      </c>
      <c r="H41" s="52"/>
      <c r="I41" s="65">
        <f t="shared" si="1"/>
        <v>5</v>
      </c>
      <c r="J41" s="52">
        <v>1</v>
      </c>
      <c r="K41" s="52"/>
      <c r="L41" s="65">
        <f t="shared" si="2"/>
        <v>1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6</v>
      </c>
      <c r="AA41" s="50"/>
      <c r="AB41" s="50"/>
      <c r="AC41" s="61">
        <f t="shared" si="8"/>
        <v>-6</v>
      </c>
      <c r="AD41" s="50"/>
      <c r="AE41" s="67">
        <f t="shared" si="9"/>
        <v>-6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4</v>
      </c>
      <c r="H42" s="52"/>
      <c r="I42" s="65">
        <f t="shared" si="1"/>
        <v>4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4</v>
      </c>
      <c r="AA42" s="50"/>
      <c r="AB42" s="50"/>
      <c r="AC42" s="61">
        <f t="shared" si="8"/>
        <v>-4</v>
      </c>
      <c r="AD42" s="50"/>
      <c r="AE42" s="67">
        <f t="shared" si="9"/>
        <v>-4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3</v>
      </c>
      <c r="H43" s="52"/>
      <c r="I43" s="65">
        <f t="shared" si="1"/>
        <v>3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3</v>
      </c>
      <c r="AA43" s="50"/>
      <c r="AB43" s="50"/>
      <c r="AC43" s="61">
        <f t="shared" si="8"/>
        <v>-3</v>
      </c>
      <c r="AD43" s="50"/>
      <c r="AE43" s="67">
        <f t="shared" si="9"/>
        <v>-3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3</v>
      </c>
      <c r="H44" s="52"/>
      <c r="I44" s="65">
        <f t="shared" si="1"/>
        <v>3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3</v>
      </c>
      <c r="AA44" s="50"/>
      <c r="AB44" s="50"/>
      <c r="AC44" s="61">
        <f t="shared" si="8"/>
        <v>-3</v>
      </c>
      <c r="AD44" s="50"/>
      <c r="AE44" s="67">
        <f t="shared" si="9"/>
        <v>-3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3</v>
      </c>
      <c r="H45" s="52"/>
      <c r="I45" s="65">
        <f t="shared" si="1"/>
        <v>3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3</v>
      </c>
      <c r="AA45" s="50"/>
      <c r="AB45" s="50"/>
      <c r="AC45" s="61">
        <f t="shared" si="8"/>
        <v>-3</v>
      </c>
      <c r="AD45" s="50"/>
      <c r="AE45" s="67">
        <f t="shared" si="9"/>
        <v>-3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3</v>
      </c>
      <c r="H46" s="52"/>
      <c r="I46" s="65">
        <f t="shared" si="1"/>
        <v>3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3</v>
      </c>
      <c r="AA46" s="50"/>
      <c r="AB46" s="50"/>
      <c r="AC46" s="61">
        <f t="shared" si="8"/>
        <v>-3</v>
      </c>
      <c r="AD46" s="50"/>
      <c r="AE46" s="67">
        <f t="shared" si="9"/>
        <v>-3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3</v>
      </c>
      <c r="H47" s="52"/>
      <c r="I47" s="65">
        <f t="shared" si="1"/>
        <v>3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3</v>
      </c>
      <c r="AA47" s="50"/>
      <c r="AB47" s="50"/>
      <c r="AC47" s="61">
        <f t="shared" si="8"/>
        <v>-3</v>
      </c>
      <c r="AD47" s="50"/>
      <c r="AE47" s="67">
        <f t="shared" si="9"/>
        <v>-3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3</v>
      </c>
      <c r="H48" s="52"/>
      <c r="I48" s="65">
        <f t="shared" si="1"/>
        <v>3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3</v>
      </c>
      <c r="AA48" s="50"/>
      <c r="AB48" s="50"/>
      <c r="AC48" s="61">
        <f t="shared" si="8"/>
        <v>-3</v>
      </c>
      <c r="AD48" s="50"/>
      <c r="AE48" s="67">
        <f t="shared" si="9"/>
        <v>-3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3</v>
      </c>
      <c r="H49" s="52"/>
      <c r="I49" s="65">
        <f t="shared" si="1"/>
        <v>3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3</v>
      </c>
      <c r="AA49" s="50"/>
      <c r="AB49" s="50"/>
      <c r="AC49" s="61">
        <f t="shared" si="8"/>
        <v>-3</v>
      </c>
      <c r="AD49" s="50"/>
      <c r="AE49" s="67">
        <f t="shared" si="9"/>
        <v>-3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3</v>
      </c>
      <c r="H50" s="52"/>
      <c r="I50" s="65">
        <f t="shared" si="1"/>
        <v>3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3</v>
      </c>
      <c r="AA50" s="50"/>
      <c r="AB50" s="50"/>
      <c r="AC50" s="61">
        <f t="shared" si="8"/>
        <v>-3</v>
      </c>
      <c r="AD50" s="50"/>
      <c r="AE50" s="67">
        <f t="shared" si="9"/>
        <v>-3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3</v>
      </c>
      <c r="H51" s="52"/>
      <c r="I51" s="65">
        <f t="shared" si="1"/>
        <v>3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3</v>
      </c>
      <c r="AA51" s="50"/>
      <c r="AB51" s="50"/>
      <c r="AC51" s="61">
        <f t="shared" si="8"/>
        <v>-3</v>
      </c>
      <c r="AD51" s="50"/>
      <c r="AE51" s="67">
        <f t="shared" si="9"/>
        <v>-3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7">
        <f t="shared" si="9"/>
        <v>0</v>
      </c>
    </row>
    <row r="53" spans="2:31">
      <c r="B53" s="50">
        <v>1112003</v>
      </c>
      <c r="C53" s="51" t="s">
        <v>174</v>
      </c>
      <c r="D53" s="52">
        <v>10</v>
      </c>
      <c r="E53" s="52"/>
      <c r="F53" s="65">
        <f t="shared" si="0"/>
        <v>10</v>
      </c>
      <c r="G53" s="52">
        <v>4</v>
      </c>
      <c r="H53" s="52"/>
      <c r="I53" s="65">
        <f t="shared" si="1"/>
        <v>4</v>
      </c>
      <c r="J53" s="52"/>
      <c r="K53" s="52"/>
      <c r="L53" s="65">
        <f t="shared" si="2"/>
        <v>0</v>
      </c>
      <c r="M53" s="52">
        <v>40</v>
      </c>
      <c r="N53" s="52"/>
      <c r="O53" s="65">
        <f t="shared" si="3"/>
        <v>40</v>
      </c>
      <c r="P53" s="52">
        <v>9</v>
      </c>
      <c r="Q53" s="52"/>
      <c r="R53" s="65">
        <f t="shared" si="4"/>
        <v>9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63</v>
      </c>
      <c r="AA53" s="50"/>
      <c r="AB53" s="50"/>
      <c r="AC53" s="61">
        <f t="shared" si="8"/>
        <v>-63</v>
      </c>
      <c r="AD53" s="50"/>
      <c r="AE53" s="67">
        <f t="shared" si="9"/>
        <v>-63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7">
        <f t="shared" si="9"/>
        <v>0</v>
      </c>
    </row>
    <row r="55" spans="2:31">
      <c r="B55" s="50">
        <v>1112005</v>
      </c>
      <c r="C55" s="51" t="s">
        <v>176</v>
      </c>
      <c r="D55" s="52">
        <v>6</v>
      </c>
      <c r="E55" s="52"/>
      <c r="F55" s="65">
        <f t="shared" si="0"/>
        <v>6</v>
      </c>
      <c r="G55" s="52">
        <v>4</v>
      </c>
      <c r="H55" s="52"/>
      <c r="I55" s="65">
        <f t="shared" si="1"/>
        <v>4</v>
      </c>
      <c r="J55" s="52"/>
      <c r="K55" s="52"/>
      <c r="L55" s="65">
        <f t="shared" si="2"/>
        <v>0</v>
      </c>
      <c r="M55" s="52">
        <v>40</v>
      </c>
      <c r="N55" s="52"/>
      <c r="O55" s="65">
        <f t="shared" si="3"/>
        <v>40</v>
      </c>
      <c r="P55" s="52">
        <v>9</v>
      </c>
      <c r="Q55" s="52"/>
      <c r="R55" s="65">
        <f t="shared" si="4"/>
        <v>9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59</v>
      </c>
      <c r="AA55" s="50"/>
      <c r="AB55" s="50"/>
      <c r="AC55" s="61">
        <f t="shared" si="8"/>
        <v>-59</v>
      </c>
      <c r="AD55" s="50"/>
      <c r="AE55" s="67">
        <f t="shared" si="9"/>
        <v>-59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7">
        <f t="shared" si="9"/>
        <v>0</v>
      </c>
    </row>
    <row r="57" spans="2:31">
      <c r="B57" s="50">
        <v>1112009</v>
      </c>
      <c r="C57" s="51" t="s">
        <v>178</v>
      </c>
      <c r="D57" s="52">
        <v>12</v>
      </c>
      <c r="E57" s="52"/>
      <c r="F57" s="65">
        <f t="shared" si="0"/>
        <v>12</v>
      </c>
      <c r="G57" s="52">
        <v>3</v>
      </c>
      <c r="H57" s="52"/>
      <c r="I57" s="65">
        <f t="shared" si="1"/>
        <v>3</v>
      </c>
      <c r="J57" s="52">
        <v>1</v>
      </c>
      <c r="K57" s="52"/>
      <c r="L57" s="65">
        <f t="shared" si="2"/>
        <v>1</v>
      </c>
      <c r="M57" s="52">
        <v>40</v>
      </c>
      <c r="N57" s="52"/>
      <c r="O57" s="65">
        <f t="shared" si="3"/>
        <v>40</v>
      </c>
      <c r="P57" s="52">
        <v>9</v>
      </c>
      <c r="Q57" s="52"/>
      <c r="R57" s="65">
        <f t="shared" si="4"/>
        <v>9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65</v>
      </c>
      <c r="AA57" s="50"/>
      <c r="AB57" s="50"/>
      <c r="AC57" s="61">
        <f t="shared" si="8"/>
        <v>-65</v>
      </c>
      <c r="AD57" s="50"/>
      <c r="AE57" s="67">
        <f t="shared" si="9"/>
        <v>-65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7">
        <f t="shared" si="9"/>
        <v>0</v>
      </c>
    </row>
    <row r="59" spans="2:31">
      <c r="B59" s="50">
        <v>1112011</v>
      </c>
      <c r="C59" s="51" t="s">
        <v>180</v>
      </c>
      <c r="D59" s="52">
        <v>12</v>
      </c>
      <c r="E59" s="52"/>
      <c r="F59" s="65">
        <f t="shared" si="0"/>
        <v>12</v>
      </c>
      <c r="G59" s="52">
        <v>3</v>
      </c>
      <c r="H59" s="52"/>
      <c r="I59" s="65">
        <f t="shared" si="1"/>
        <v>3</v>
      </c>
      <c r="J59" s="52">
        <v>2</v>
      </c>
      <c r="K59" s="52"/>
      <c r="L59" s="65">
        <f t="shared" si="2"/>
        <v>2</v>
      </c>
      <c r="M59" s="52">
        <v>40</v>
      </c>
      <c r="N59" s="52"/>
      <c r="O59" s="65">
        <f t="shared" si="3"/>
        <v>40</v>
      </c>
      <c r="P59" s="52">
        <v>8</v>
      </c>
      <c r="Q59" s="52"/>
      <c r="R59" s="65">
        <f t="shared" si="4"/>
        <v>8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65</v>
      </c>
      <c r="AA59" s="50"/>
      <c r="AB59" s="50"/>
      <c r="AC59" s="61">
        <f t="shared" si="8"/>
        <v>-65</v>
      </c>
      <c r="AD59" s="50"/>
      <c r="AE59" s="67">
        <f t="shared" si="9"/>
        <v>-65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7">
        <f t="shared" si="9"/>
        <v>0</v>
      </c>
    </row>
    <row r="61" spans="2:31">
      <c r="B61" s="50">
        <v>1112013</v>
      </c>
      <c r="C61" s="51" t="s">
        <v>182</v>
      </c>
      <c r="D61" s="52">
        <v>7</v>
      </c>
      <c r="E61" s="52"/>
      <c r="F61" s="65">
        <f t="shared" si="0"/>
        <v>7</v>
      </c>
      <c r="G61" s="52">
        <v>3</v>
      </c>
      <c r="H61" s="52"/>
      <c r="I61" s="65">
        <f t="shared" si="1"/>
        <v>3</v>
      </c>
      <c r="J61" s="52">
        <v>3</v>
      </c>
      <c r="K61" s="52"/>
      <c r="L61" s="65">
        <f t="shared" si="2"/>
        <v>3</v>
      </c>
      <c r="M61" s="52">
        <v>40</v>
      </c>
      <c r="N61" s="52"/>
      <c r="O61" s="65">
        <f t="shared" si="3"/>
        <v>40</v>
      </c>
      <c r="P61" s="52">
        <v>8</v>
      </c>
      <c r="Q61" s="52"/>
      <c r="R61" s="65">
        <f t="shared" si="4"/>
        <v>8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61</v>
      </c>
      <c r="AA61" s="50"/>
      <c r="AB61" s="50"/>
      <c r="AC61" s="61">
        <f t="shared" si="8"/>
        <v>-61</v>
      </c>
      <c r="AD61" s="50"/>
      <c r="AE61" s="67">
        <f t="shared" si="9"/>
        <v>-61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7">
        <f t="shared" si="9"/>
        <v>0</v>
      </c>
    </row>
    <row r="63" spans="2:31">
      <c r="B63" s="50">
        <v>1112015</v>
      </c>
      <c r="C63" s="51" t="s">
        <v>184</v>
      </c>
      <c r="D63" s="52">
        <v>7</v>
      </c>
      <c r="E63" s="52"/>
      <c r="F63" s="65">
        <f t="shared" si="0"/>
        <v>7</v>
      </c>
      <c r="G63" s="52">
        <v>3</v>
      </c>
      <c r="H63" s="52"/>
      <c r="I63" s="65">
        <f t="shared" si="1"/>
        <v>3</v>
      </c>
      <c r="J63" s="52"/>
      <c r="K63" s="52"/>
      <c r="L63" s="65">
        <f t="shared" si="2"/>
        <v>0</v>
      </c>
      <c r="M63" s="52">
        <v>40</v>
      </c>
      <c r="N63" s="52"/>
      <c r="O63" s="65">
        <f t="shared" si="3"/>
        <v>40</v>
      </c>
      <c r="P63" s="52">
        <v>8</v>
      </c>
      <c r="Q63" s="52"/>
      <c r="R63" s="65">
        <f t="shared" si="4"/>
        <v>8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58</v>
      </c>
      <c r="AA63" s="50"/>
      <c r="AB63" s="50"/>
      <c r="AC63" s="61">
        <f t="shared" si="8"/>
        <v>-58</v>
      </c>
      <c r="AD63" s="50"/>
      <c r="AE63" s="67">
        <f t="shared" si="9"/>
        <v>-58</v>
      </c>
    </row>
    <row r="64" spans="2:3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7">
        <f t="shared" si="9"/>
        <v>0</v>
      </c>
    </row>
    <row r="65" spans="2:3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7">
        <f t="shared" si="9"/>
        <v>0</v>
      </c>
    </row>
    <row r="66" spans="2:3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7">
        <f t="shared" si="9"/>
        <v>0</v>
      </c>
    </row>
    <row r="67" spans="2:31">
      <c r="B67" s="50">
        <v>1114501</v>
      </c>
      <c r="C67" s="53" t="s">
        <v>187</v>
      </c>
      <c r="D67" s="52"/>
      <c r="E67" s="52"/>
      <c r="F67" s="65">
        <f t="shared" si="0"/>
        <v>0</v>
      </c>
      <c r="G67" s="52">
        <v>12</v>
      </c>
      <c r="H67" s="52"/>
      <c r="I67" s="65">
        <f t="shared" si="1"/>
        <v>12</v>
      </c>
      <c r="J67" s="52">
        <v>5</v>
      </c>
      <c r="K67" s="52"/>
      <c r="L67" s="65">
        <f t="shared" si="2"/>
        <v>5</v>
      </c>
      <c r="M67" s="52">
        <v>186</v>
      </c>
      <c r="N67" s="52"/>
      <c r="O67" s="65">
        <f t="shared" si="3"/>
        <v>186</v>
      </c>
      <c r="P67" s="52">
        <v>18</v>
      </c>
      <c r="Q67" s="52"/>
      <c r="R67" s="65">
        <f t="shared" si="4"/>
        <v>18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221</v>
      </c>
      <c r="AA67" s="50"/>
      <c r="AB67" s="50"/>
      <c r="AC67" s="61">
        <f t="shared" si="8"/>
        <v>-221</v>
      </c>
      <c r="AD67" s="50"/>
      <c r="AE67" s="67">
        <f t="shared" si="9"/>
        <v>-221</v>
      </c>
    </row>
    <row r="68" spans="2:31">
      <c r="B68" s="50">
        <v>1114502</v>
      </c>
      <c r="C68" s="53" t="s">
        <v>188</v>
      </c>
      <c r="D68" s="52"/>
      <c r="E68" s="52"/>
      <c r="F68" s="65">
        <f t="shared" si="0"/>
        <v>0</v>
      </c>
      <c r="G68" s="52">
        <v>1</v>
      </c>
      <c r="H68" s="52"/>
      <c r="I68" s="65">
        <f t="shared" si="1"/>
        <v>1</v>
      </c>
      <c r="J68" s="52">
        <v>1</v>
      </c>
      <c r="K68" s="52"/>
      <c r="L68" s="65">
        <f t="shared" si="2"/>
        <v>1</v>
      </c>
      <c r="M68" s="52">
        <v>177</v>
      </c>
      <c r="N68" s="52"/>
      <c r="O68" s="65">
        <f t="shared" si="3"/>
        <v>177</v>
      </c>
      <c r="P68" s="52">
        <v>18</v>
      </c>
      <c r="Q68" s="52"/>
      <c r="R68" s="65">
        <f t="shared" si="4"/>
        <v>18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197</v>
      </c>
      <c r="AA68" s="50"/>
      <c r="AB68" s="50"/>
      <c r="AC68" s="61">
        <f t="shared" si="8"/>
        <v>-197</v>
      </c>
      <c r="AD68" s="50"/>
      <c r="AE68" s="67">
        <f t="shared" si="9"/>
        <v>-197</v>
      </c>
    </row>
    <row r="69" spans="2:31">
      <c r="B69" s="50">
        <v>1114503</v>
      </c>
      <c r="C69" s="53" t="s">
        <v>189</v>
      </c>
      <c r="D69" s="52"/>
      <c r="E69" s="52"/>
      <c r="F69" s="65">
        <f t="shared" ref="F69:F132" si="10">SUM(D69:E69)</f>
        <v>0</v>
      </c>
      <c r="G69" s="52">
        <v>1</v>
      </c>
      <c r="H69" s="52"/>
      <c r="I69" s="65">
        <f t="shared" ref="I69:I121" si="11">SUM(G69:H69)</f>
        <v>1</v>
      </c>
      <c r="J69" s="52">
        <v>1</v>
      </c>
      <c r="K69" s="52"/>
      <c r="L69" s="65">
        <f t="shared" ref="L69:L121" si="12">SUM(J69:K69)</f>
        <v>1</v>
      </c>
      <c r="M69" s="52">
        <v>180</v>
      </c>
      <c r="N69" s="52"/>
      <c r="O69" s="65">
        <f t="shared" ref="O69:O121" si="13">SUM(M69:N69)</f>
        <v>180</v>
      </c>
      <c r="P69" s="52">
        <v>18</v>
      </c>
      <c r="Q69" s="52"/>
      <c r="R69" s="65">
        <f t="shared" ref="R69:R121" si="14">SUM(P69:Q69)</f>
        <v>18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200</v>
      </c>
      <c r="AA69" s="50"/>
      <c r="AB69" s="50"/>
      <c r="AC69" s="61">
        <f t="shared" ref="AC69:AC121" si="18">+AA69+AB69-Z69</f>
        <v>-200</v>
      </c>
      <c r="AD69" s="50"/>
      <c r="AE69" s="67">
        <f t="shared" ref="AE69:AE121" si="19">AC69+AD69</f>
        <v>-200</v>
      </c>
    </row>
    <row r="70" spans="2:3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7">
        <f t="shared" si="19"/>
        <v>0</v>
      </c>
    </row>
    <row r="71" spans="2:3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7">
        <f t="shared" si="19"/>
        <v>0</v>
      </c>
    </row>
    <row r="72" spans="2:3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7">
        <f t="shared" si="19"/>
        <v>0</v>
      </c>
    </row>
    <row r="73" spans="2:3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>
        <v>1</v>
      </c>
      <c r="Q73" s="52"/>
      <c r="R73" s="65">
        <f t="shared" si="14"/>
        <v>1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1</v>
      </c>
      <c r="AA73" s="50"/>
      <c r="AB73" s="50"/>
      <c r="AC73" s="61">
        <f t="shared" si="18"/>
        <v>-1</v>
      </c>
      <c r="AD73" s="50"/>
      <c r="AE73" s="67">
        <f t="shared" si="19"/>
        <v>-1</v>
      </c>
    </row>
    <row r="74" spans="2:3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>
        <v>10</v>
      </c>
      <c r="Z74" s="63">
        <f t="shared" si="17"/>
        <v>10</v>
      </c>
      <c r="AA74" s="58"/>
      <c r="AB74" s="58"/>
      <c r="AC74" s="61">
        <f t="shared" si="18"/>
        <v>-10</v>
      </c>
      <c r="AD74" s="58"/>
      <c r="AE74" s="67">
        <f t="shared" si="19"/>
        <v>-10</v>
      </c>
    </row>
    <row r="75" spans="2:31">
      <c r="B75" s="50">
        <v>1113170</v>
      </c>
      <c r="C75" s="53" t="s">
        <v>87</v>
      </c>
      <c r="D75" s="52">
        <v>2</v>
      </c>
      <c r="E75" s="52"/>
      <c r="F75" s="65">
        <f t="shared" si="10"/>
        <v>2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52"/>
      <c r="N75" s="52"/>
      <c r="O75" s="65">
        <f t="shared" si="13"/>
        <v>0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2</v>
      </c>
      <c r="AA75" s="50"/>
      <c r="AB75" s="50"/>
      <c r="AC75" s="61">
        <f t="shared" si="18"/>
        <v>-2</v>
      </c>
      <c r="AD75" s="50"/>
      <c r="AE75" s="67">
        <f t="shared" si="19"/>
        <v>-2</v>
      </c>
    </row>
    <row r="76" spans="2:31">
      <c r="B76" s="50">
        <v>1113171</v>
      </c>
      <c r="C76" s="53" t="s">
        <v>88</v>
      </c>
      <c r="D76" s="52">
        <v>2</v>
      </c>
      <c r="E76" s="52"/>
      <c r="F76" s="65">
        <f t="shared" si="10"/>
        <v>2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2</v>
      </c>
      <c r="AA76" s="50"/>
      <c r="AB76" s="50"/>
      <c r="AC76" s="61">
        <f t="shared" si="18"/>
        <v>-2</v>
      </c>
      <c r="AD76" s="50"/>
      <c r="AE76" s="67">
        <f t="shared" si="19"/>
        <v>-2</v>
      </c>
    </row>
    <row r="77" spans="2:31">
      <c r="B77" s="50">
        <v>1113172</v>
      </c>
      <c r="C77" s="53" t="s">
        <v>89</v>
      </c>
      <c r="D77" s="52">
        <v>10</v>
      </c>
      <c r="E77" s="52"/>
      <c r="F77" s="65">
        <f t="shared" si="10"/>
        <v>10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10</v>
      </c>
      <c r="AA77" s="50"/>
      <c r="AB77" s="50"/>
      <c r="AC77" s="61">
        <f t="shared" si="18"/>
        <v>-10</v>
      </c>
      <c r="AD77" s="50"/>
      <c r="AE77" s="67">
        <f t="shared" si="19"/>
        <v>-10</v>
      </c>
    </row>
    <row r="78" spans="2:31">
      <c r="B78" s="50">
        <v>1113173</v>
      </c>
      <c r="C78" s="53" t="s">
        <v>90</v>
      </c>
      <c r="D78" s="52">
        <v>1</v>
      </c>
      <c r="E78" s="52"/>
      <c r="F78" s="65">
        <f t="shared" si="10"/>
        <v>1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1</v>
      </c>
      <c r="AA78" s="50"/>
      <c r="AB78" s="50"/>
      <c r="AC78" s="61">
        <f t="shared" si="18"/>
        <v>-1</v>
      </c>
      <c r="AD78" s="50"/>
      <c r="AE78" s="67">
        <f t="shared" si="19"/>
        <v>-1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7">
        <f t="shared" si="19"/>
        <v>0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7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7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1</v>
      </c>
      <c r="H82" s="52"/>
      <c r="I82" s="65">
        <f t="shared" si="11"/>
        <v>1</v>
      </c>
      <c r="J82" s="52">
        <v>9</v>
      </c>
      <c r="K82" s="52"/>
      <c r="L82" s="65">
        <f t="shared" si="12"/>
        <v>9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10</v>
      </c>
      <c r="AA82" s="50"/>
      <c r="AB82" s="50"/>
      <c r="AC82" s="61">
        <f t="shared" si="18"/>
        <v>-10</v>
      </c>
      <c r="AD82" s="50"/>
      <c r="AE82" s="67">
        <f t="shared" si="19"/>
        <v>-10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12</v>
      </c>
      <c r="H83" s="52"/>
      <c r="I83" s="65">
        <f t="shared" si="11"/>
        <v>12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12</v>
      </c>
      <c r="AA83" s="50"/>
      <c r="AB83" s="50"/>
      <c r="AC83" s="61">
        <f t="shared" si="18"/>
        <v>-12</v>
      </c>
      <c r="AD83" s="50"/>
      <c r="AE83" s="67">
        <f t="shared" si="19"/>
        <v>-12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7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7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7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7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7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7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7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7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7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7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7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7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7">
        <f t="shared" si="19"/>
        <v>0</v>
      </c>
    </row>
    <row r="97" spans="2:3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7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7">
        <f t="shared" si="19"/>
        <v>0</v>
      </c>
    </row>
    <row r="99" spans="2:3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7">
        <f t="shared" si="19"/>
        <v>0</v>
      </c>
    </row>
    <row r="100" spans="2:31">
      <c r="B100" s="50">
        <v>1004062</v>
      </c>
      <c r="C100" s="53" t="s">
        <v>238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7">
        <f t="shared" si="19"/>
        <v>0</v>
      </c>
    </row>
    <row r="101" spans="2:31">
      <c r="B101" s="50">
        <v>1004051</v>
      </c>
      <c r="C101" s="53" t="s">
        <v>239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>
        <v>2</v>
      </c>
      <c r="Z101" s="63">
        <f t="shared" si="17"/>
        <v>2</v>
      </c>
      <c r="AA101" s="50"/>
      <c r="AB101" s="50"/>
      <c r="AC101" s="61">
        <f t="shared" si="18"/>
        <v>-2</v>
      </c>
      <c r="AD101" s="50"/>
      <c r="AE101" s="67">
        <f t="shared" si="19"/>
        <v>-2</v>
      </c>
    </row>
    <row r="102" spans="2:31">
      <c r="B102" s="50">
        <v>1111005</v>
      </c>
      <c r="C102" s="53" t="s">
        <v>240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7">
        <f t="shared" si="19"/>
        <v>0</v>
      </c>
    </row>
    <row r="103" spans="2:31">
      <c r="B103" s="50">
        <v>1111006</v>
      </c>
      <c r="C103" s="53" t="s">
        <v>241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>
        <v>3</v>
      </c>
      <c r="Z103" s="63">
        <f t="shared" si="17"/>
        <v>3</v>
      </c>
      <c r="AA103" s="50"/>
      <c r="AB103" s="50"/>
      <c r="AC103" s="61">
        <f t="shared" si="18"/>
        <v>-3</v>
      </c>
      <c r="AD103" s="50"/>
      <c r="AE103" s="67">
        <f t="shared" si="19"/>
        <v>-3</v>
      </c>
    </row>
    <row r="104" spans="2:31">
      <c r="B104" s="50">
        <v>1004048</v>
      </c>
      <c r="C104" s="53" t="s">
        <v>242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7">
        <f t="shared" si="19"/>
        <v>0</v>
      </c>
    </row>
    <row r="105" spans="2:31">
      <c r="B105" s="50">
        <v>1113157</v>
      </c>
      <c r="C105" s="53" t="s">
        <v>243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7">
        <f t="shared" si="19"/>
        <v>0</v>
      </c>
    </row>
    <row r="106" spans="2:31">
      <c r="B106" s="50">
        <v>1004080</v>
      </c>
      <c r="C106" s="53" t="s">
        <v>244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7">
        <f t="shared" si="19"/>
        <v>0</v>
      </c>
    </row>
    <row r="107" spans="2:31">
      <c r="B107" s="50">
        <v>1004081</v>
      </c>
      <c r="C107" s="53" t="s">
        <v>245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7">
        <f t="shared" si="19"/>
        <v>0</v>
      </c>
    </row>
    <row r="108" spans="2:31">
      <c r="B108" s="50">
        <v>3001200</v>
      </c>
      <c r="C108" s="53" t="s">
        <v>246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7">
        <f t="shared" si="19"/>
        <v>0</v>
      </c>
    </row>
    <row r="109" spans="2:31">
      <c r="B109" s="50">
        <v>1004047</v>
      </c>
      <c r="C109" s="53" t="s">
        <v>247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7">
        <f t="shared" si="19"/>
        <v>0</v>
      </c>
    </row>
    <row r="110" spans="2:31">
      <c r="B110" s="50">
        <v>1004070</v>
      </c>
      <c r="C110" s="53" t="s">
        <v>248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7">
        <f t="shared" si="19"/>
        <v>0</v>
      </c>
    </row>
    <row r="111" spans="2:31">
      <c r="B111" s="50">
        <v>1004076</v>
      </c>
      <c r="C111" s="53" t="s">
        <v>249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7">
        <f t="shared" si="19"/>
        <v>0</v>
      </c>
    </row>
    <row r="112" spans="2:31">
      <c r="B112" s="50">
        <v>1004050</v>
      </c>
      <c r="C112" s="53" t="s">
        <v>250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7">
        <f t="shared" si="19"/>
        <v>0</v>
      </c>
    </row>
    <row r="113" spans="2:31">
      <c r="B113" s="50">
        <v>1004048</v>
      </c>
      <c r="C113" s="53" t="s">
        <v>251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7">
        <f t="shared" si="19"/>
        <v>0</v>
      </c>
    </row>
    <row r="114" spans="2:31">
      <c r="B114" s="50">
        <v>1007020</v>
      </c>
      <c r="C114" s="53" t="s">
        <v>253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7">
        <f t="shared" si="19"/>
        <v>0</v>
      </c>
    </row>
    <row r="115" spans="2:31">
      <c r="B115" s="50">
        <v>1004063</v>
      </c>
      <c r="C115" s="53" t="s">
        <v>254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7">
        <f t="shared" si="19"/>
        <v>0</v>
      </c>
    </row>
    <row r="116" spans="2:31">
      <c r="B116" s="50">
        <v>1004065</v>
      </c>
      <c r="C116" s="53" t="s">
        <v>255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7">
        <f t="shared" si="19"/>
        <v>0</v>
      </c>
    </row>
    <row r="117" spans="2:31">
      <c r="B117" s="50">
        <v>1006982</v>
      </c>
      <c r="C117" s="53" t="s">
        <v>256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7">
        <f t="shared" si="19"/>
        <v>0</v>
      </c>
    </row>
    <row r="118" spans="2:31">
      <c r="B118" s="50">
        <v>1006000</v>
      </c>
      <c r="C118" s="53" t="s">
        <v>257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>
        <v>10</v>
      </c>
      <c r="Z118" s="63">
        <f t="shared" si="17"/>
        <v>10</v>
      </c>
      <c r="AA118" s="50"/>
      <c r="AB118" s="50"/>
      <c r="AC118" s="61">
        <f t="shared" si="18"/>
        <v>-10</v>
      </c>
      <c r="AD118" s="50"/>
      <c r="AE118" s="67">
        <f t="shared" si="19"/>
        <v>-10</v>
      </c>
    </row>
    <row r="119" spans="2:31">
      <c r="B119" s="50">
        <v>1005998</v>
      </c>
      <c r="C119" s="53" t="s">
        <v>258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>
        <v>10</v>
      </c>
      <c r="Z119" s="63">
        <f t="shared" si="17"/>
        <v>10</v>
      </c>
      <c r="AA119" s="50"/>
      <c r="AB119" s="50"/>
      <c r="AC119" s="61">
        <f t="shared" si="18"/>
        <v>-10</v>
      </c>
      <c r="AD119" s="50"/>
      <c r="AE119" s="67">
        <f t="shared" si="19"/>
        <v>-10</v>
      </c>
    </row>
    <row r="120" spans="2:31">
      <c r="B120" s="50">
        <v>1005995</v>
      </c>
      <c r="C120" s="53" t="s">
        <v>259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7">
        <f t="shared" si="19"/>
        <v>0</v>
      </c>
    </row>
    <row r="121" spans="2:3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7">
        <f t="shared" si="19"/>
        <v>0</v>
      </c>
    </row>
    <row r="122" spans="2:3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7"/>
    </row>
    <row r="123" spans="2:3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7"/>
    </row>
    <row r="124" spans="2:3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7"/>
    </row>
    <row r="125" spans="2:3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7"/>
    </row>
    <row r="126" spans="2:3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7"/>
    </row>
    <row r="127" spans="2:3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7"/>
    </row>
    <row r="128" spans="2:3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7"/>
    </row>
    <row r="129" spans="2:3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7"/>
    </row>
    <row r="130" spans="2:3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7"/>
    </row>
    <row r="131" spans="2:3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7"/>
    </row>
    <row r="132" spans="2:3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7"/>
    </row>
    <row r="133" spans="2:3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7"/>
    </row>
    <row r="134" spans="2:3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7"/>
    </row>
    <row r="135" spans="2:3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7"/>
    </row>
    <row r="136" spans="2:3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7"/>
    </row>
    <row r="137" spans="2:3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7"/>
    </row>
    <row r="138" spans="2:3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7"/>
    </row>
    <row r="139" spans="2:3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7"/>
    </row>
    <row r="140" spans="2:3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7"/>
    </row>
    <row r="141" spans="2:3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7"/>
    </row>
    <row r="142" spans="2:3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7"/>
    </row>
    <row r="143" spans="2:3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7"/>
    </row>
    <row r="144" spans="2:3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7"/>
    </row>
    <row r="145" spans="2:3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7"/>
    </row>
    <row r="146" spans="2:3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7"/>
    </row>
    <row r="147" spans="2:3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7"/>
    </row>
    <row r="148" spans="2:3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7"/>
    </row>
    <row r="149" spans="2:3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7"/>
    </row>
    <row r="150" spans="2:3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7"/>
    </row>
    <row r="151" spans="2:3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7">
        <f t="shared" ref="AE151:AE153" si="29">AC151+AD151</f>
        <v>0</v>
      </c>
    </row>
    <row r="152" spans="2:3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7">
        <f t="shared" si="29"/>
        <v>0</v>
      </c>
    </row>
    <row r="153" spans="2:3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7">
        <f t="shared" si="29"/>
        <v>0</v>
      </c>
    </row>
    <row r="154" spans="2:31" s="59" customFormat="1" ht="51.75">
      <c r="B154" s="97" t="s">
        <v>201</v>
      </c>
      <c r="C154" s="98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69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69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125</v>
      </c>
      <c r="H154" s="62">
        <f t="shared" si="31"/>
        <v>0</v>
      </c>
      <c r="I154" s="62">
        <f t="shared" si="31"/>
        <v>125</v>
      </c>
      <c r="J154" s="62">
        <f t="shared" si="31"/>
        <v>62</v>
      </c>
      <c r="K154" s="62">
        <f t="shared" si="31"/>
        <v>0</v>
      </c>
      <c r="L154" s="62">
        <f t="shared" si="31"/>
        <v>62</v>
      </c>
      <c r="M154" s="62">
        <f t="shared" si="31"/>
        <v>810</v>
      </c>
      <c r="N154" s="62">
        <f t="shared" si="31"/>
        <v>0</v>
      </c>
      <c r="O154" s="62">
        <f t="shared" si="31"/>
        <v>810</v>
      </c>
      <c r="P154" s="62">
        <f t="shared" si="31"/>
        <v>127</v>
      </c>
      <c r="Q154" s="62">
        <f t="shared" si="31"/>
        <v>0</v>
      </c>
      <c r="R154" s="62">
        <f t="shared" si="31"/>
        <v>127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78</v>
      </c>
      <c r="Z154" s="62">
        <f t="shared" si="31"/>
        <v>1271</v>
      </c>
      <c r="AA154" s="62">
        <f t="shared" si="31"/>
        <v>0</v>
      </c>
      <c r="AB154" s="62">
        <f t="shared" si="31"/>
        <v>0</v>
      </c>
      <c r="AC154" s="62">
        <f t="shared" si="31"/>
        <v>-1271</v>
      </c>
      <c r="AD154" s="62">
        <f t="shared" si="31"/>
        <v>0</v>
      </c>
      <c r="AE154" s="62">
        <f t="shared" si="31"/>
        <v>-1271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Y2:Y3"/>
    <mergeCell ref="Z2:Z3"/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2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FC90-6F63-4AB8-A58F-B13194B09D60}">
  <sheetPr codeName="Sheet23">
    <pageSetUpPr fitToPage="1"/>
  </sheetPr>
  <dimension ref="B1:AF159"/>
  <sheetViews>
    <sheetView topLeftCell="B1" zoomScale="50" zoomScaleNormal="50" workbookViewId="0">
      <selection activeCell="AI18" sqref="AI18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bestFit="1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2" ht="68.25">
      <c r="B1" s="83" t="s">
        <v>226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</row>
    <row r="2" spans="2:32" ht="49.9" customHeight="1">
      <c r="B2" s="99" t="s">
        <v>3</v>
      </c>
      <c r="C2" s="99" t="s">
        <v>4</v>
      </c>
      <c r="D2" s="85" t="s">
        <v>5</v>
      </c>
      <c r="E2" s="86"/>
      <c r="F2" s="87"/>
      <c r="G2" s="85" t="s">
        <v>6</v>
      </c>
      <c r="H2" s="86"/>
      <c r="I2" s="87"/>
      <c r="J2" s="85" t="s">
        <v>7</v>
      </c>
      <c r="K2" s="86"/>
      <c r="L2" s="87"/>
      <c r="M2" s="85" t="s">
        <v>8</v>
      </c>
      <c r="N2" s="86"/>
      <c r="O2" s="87"/>
      <c r="P2" s="85" t="s">
        <v>132</v>
      </c>
      <c r="Q2" s="86"/>
      <c r="R2" s="87"/>
      <c r="S2" s="85" t="s">
        <v>9</v>
      </c>
      <c r="T2" s="86"/>
      <c r="U2" s="87"/>
      <c r="V2" s="88" t="s">
        <v>131</v>
      </c>
      <c r="W2" s="89"/>
      <c r="X2" s="90"/>
      <c r="Y2" s="101" t="s">
        <v>134</v>
      </c>
      <c r="Z2" s="103" t="s">
        <v>204</v>
      </c>
      <c r="AA2" s="91" t="s">
        <v>145</v>
      </c>
      <c r="AB2" s="91" t="s">
        <v>146</v>
      </c>
      <c r="AC2" s="95" t="s">
        <v>147</v>
      </c>
      <c r="AD2" s="93" t="s">
        <v>148</v>
      </c>
      <c r="AE2" s="82" t="s">
        <v>212</v>
      </c>
    </row>
    <row r="3" spans="2:32" ht="49.9" customHeight="1">
      <c r="B3" s="100"/>
      <c r="C3" s="100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102"/>
      <c r="Z3" s="104"/>
      <c r="AA3" s="92"/>
      <c r="AB3" s="92"/>
      <c r="AC3" s="96"/>
      <c r="AD3" s="94"/>
      <c r="AE3" s="82"/>
    </row>
    <row r="4" spans="2:32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52">
        <v>19</v>
      </c>
      <c r="N4" s="52"/>
      <c r="O4" s="65">
        <f>SUM(M4:N4)</f>
        <v>19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19</v>
      </c>
      <c r="AA4" s="50">
        <v>65</v>
      </c>
      <c r="AB4" s="50">
        <v>128</v>
      </c>
      <c r="AC4" s="61">
        <f>+AA4+AB4-Z4</f>
        <v>174</v>
      </c>
      <c r="AD4" s="50"/>
      <c r="AE4" s="67">
        <f>AC4+AD4</f>
        <v>174</v>
      </c>
    </row>
    <row r="5" spans="2:32">
      <c r="B5" s="50">
        <v>1111002</v>
      </c>
      <c r="C5" s="51" t="s">
        <v>150</v>
      </c>
      <c r="D5" s="52">
        <v>1</v>
      </c>
      <c r="E5" s="52"/>
      <c r="F5" s="65">
        <f t="shared" ref="F5:F68" si="0">SUM(D5:E5)</f>
        <v>1</v>
      </c>
      <c r="G5" s="52">
        <v>13</v>
      </c>
      <c r="H5" s="52"/>
      <c r="I5" s="65">
        <f t="shared" ref="I5:I68" si="1">SUM(G5:H5)</f>
        <v>13</v>
      </c>
      <c r="J5" s="52">
        <v>8</v>
      </c>
      <c r="K5" s="52"/>
      <c r="L5" s="65">
        <f t="shared" ref="L5:L68" si="2">SUM(J5:K5)</f>
        <v>8</v>
      </c>
      <c r="M5" s="52">
        <v>4</v>
      </c>
      <c r="N5" s="52"/>
      <c r="O5" s="65">
        <f t="shared" ref="O5:O68" si="3">SUM(M5:N5)</f>
        <v>4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71">
        <v>10</v>
      </c>
      <c r="Z5" s="63">
        <f t="shared" ref="Z5:Z68" si="7">+F5+I5+L5+O5+R5+U5+X5+Y5</f>
        <v>36</v>
      </c>
      <c r="AA5" s="58">
        <v>100</v>
      </c>
      <c r="AB5" s="58">
        <v>43</v>
      </c>
      <c r="AC5" s="61">
        <f t="shared" ref="AC5:AC68" si="8">+AA5+AB5-Z5</f>
        <v>107</v>
      </c>
      <c r="AD5" s="58">
        <v>85</v>
      </c>
      <c r="AE5" s="67">
        <f t="shared" ref="AE5:AE68" si="9">AC5+AD5</f>
        <v>192</v>
      </c>
      <c r="AF5" s="49" t="s">
        <v>267</v>
      </c>
    </row>
    <row r="6" spans="2:32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7">
        <f t="shared" si="9"/>
        <v>0</v>
      </c>
    </row>
    <row r="7" spans="2:32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7">
        <f t="shared" si="9"/>
        <v>0</v>
      </c>
    </row>
    <row r="8" spans="2:32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7">
        <f t="shared" si="9"/>
        <v>0</v>
      </c>
    </row>
    <row r="9" spans="2:32">
      <c r="B9" s="50">
        <v>1111057</v>
      </c>
      <c r="C9" s="51" t="s">
        <v>30</v>
      </c>
      <c r="D9" s="52">
        <v>35</v>
      </c>
      <c r="E9" s="52"/>
      <c r="F9" s="65">
        <f t="shared" si="0"/>
        <v>35</v>
      </c>
      <c r="G9" s="52">
        <v>1</v>
      </c>
      <c r="H9" s="52"/>
      <c r="I9" s="65">
        <f t="shared" si="1"/>
        <v>1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36</v>
      </c>
      <c r="AA9" s="50"/>
      <c r="AB9" s="50"/>
      <c r="AC9" s="61">
        <f t="shared" si="8"/>
        <v>-36</v>
      </c>
      <c r="AD9" s="50"/>
      <c r="AE9" s="67">
        <f t="shared" si="9"/>
        <v>-36</v>
      </c>
    </row>
    <row r="10" spans="2:32">
      <c r="B10" s="50">
        <v>1111058</v>
      </c>
      <c r="C10" s="51" t="s">
        <v>154</v>
      </c>
      <c r="D10" s="52">
        <v>35</v>
      </c>
      <c r="E10" s="52"/>
      <c r="F10" s="65">
        <f t="shared" si="0"/>
        <v>35</v>
      </c>
      <c r="G10" s="52">
        <v>1</v>
      </c>
      <c r="H10" s="52"/>
      <c r="I10" s="65">
        <f t="shared" si="1"/>
        <v>1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36</v>
      </c>
      <c r="AA10" s="50"/>
      <c r="AB10" s="50"/>
      <c r="AC10" s="61">
        <f t="shared" si="8"/>
        <v>-36</v>
      </c>
      <c r="AD10" s="50"/>
      <c r="AE10" s="67">
        <f t="shared" si="9"/>
        <v>-36</v>
      </c>
    </row>
    <row r="11" spans="2:32">
      <c r="B11" s="50">
        <v>1111059</v>
      </c>
      <c r="C11" s="51" t="s">
        <v>32</v>
      </c>
      <c r="D11" s="52">
        <v>35</v>
      </c>
      <c r="E11" s="52"/>
      <c r="F11" s="65">
        <f t="shared" si="0"/>
        <v>35</v>
      </c>
      <c r="G11" s="52">
        <v>1</v>
      </c>
      <c r="H11" s="52"/>
      <c r="I11" s="65">
        <f t="shared" si="1"/>
        <v>1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36</v>
      </c>
      <c r="AA11" s="50"/>
      <c r="AB11" s="50"/>
      <c r="AC11" s="61">
        <f t="shared" si="8"/>
        <v>-36</v>
      </c>
      <c r="AD11" s="50"/>
      <c r="AE11" s="67">
        <f t="shared" si="9"/>
        <v>-36</v>
      </c>
    </row>
    <row r="12" spans="2:32">
      <c r="B12" s="50">
        <v>1111060</v>
      </c>
      <c r="C12" s="51" t="s">
        <v>33</v>
      </c>
      <c r="D12" s="52">
        <v>35</v>
      </c>
      <c r="E12" s="52"/>
      <c r="F12" s="65">
        <f t="shared" si="0"/>
        <v>35</v>
      </c>
      <c r="G12" s="52">
        <v>1</v>
      </c>
      <c r="H12" s="52"/>
      <c r="I12" s="65">
        <f t="shared" si="1"/>
        <v>1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36</v>
      </c>
      <c r="AA12" s="50"/>
      <c r="AB12" s="50"/>
      <c r="AC12" s="61">
        <f t="shared" si="8"/>
        <v>-36</v>
      </c>
      <c r="AD12" s="50"/>
      <c r="AE12" s="67">
        <f t="shared" si="9"/>
        <v>-36</v>
      </c>
    </row>
    <row r="13" spans="2:32">
      <c r="B13" s="50">
        <v>1111061</v>
      </c>
      <c r="C13" s="51" t="s">
        <v>34</v>
      </c>
      <c r="D13" s="52">
        <v>35</v>
      </c>
      <c r="E13" s="52"/>
      <c r="F13" s="65">
        <f t="shared" si="0"/>
        <v>35</v>
      </c>
      <c r="G13" s="52">
        <v>1</v>
      </c>
      <c r="H13" s="52"/>
      <c r="I13" s="65">
        <f t="shared" si="1"/>
        <v>1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36</v>
      </c>
      <c r="AA13" s="50"/>
      <c r="AB13" s="50"/>
      <c r="AC13" s="61">
        <f t="shared" si="8"/>
        <v>-36</v>
      </c>
      <c r="AD13" s="50"/>
      <c r="AE13" s="67">
        <f t="shared" si="9"/>
        <v>-36</v>
      </c>
    </row>
    <row r="14" spans="2:32">
      <c r="B14" s="50">
        <v>1111062</v>
      </c>
      <c r="C14" s="51" t="s">
        <v>35</v>
      </c>
      <c r="D14" s="52">
        <v>35</v>
      </c>
      <c r="E14" s="52"/>
      <c r="F14" s="65">
        <f t="shared" si="0"/>
        <v>35</v>
      </c>
      <c r="G14" s="52">
        <v>1</v>
      </c>
      <c r="H14" s="52"/>
      <c r="I14" s="65">
        <f t="shared" si="1"/>
        <v>1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36</v>
      </c>
      <c r="AA14" s="50"/>
      <c r="AB14" s="50"/>
      <c r="AC14" s="61">
        <f t="shared" si="8"/>
        <v>-36</v>
      </c>
      <c r="AD14" s="50"/>
      <c r="AE14" s="67">
        <f t="shared" si="9"/>
        <v>-36</v>
      </c>
    </row>
    <row r="15" spans="2:32">
      <c r="B15" s="50">
        <v>1111063</v>
      </c>
      <c r="C15" s="51" t="s">
        <v>36</v>
      </c>
      <c r="D15" s="52">
        <v>35</v>
      </c>
      <c r="E15" s="52"/>
      <c r="F15" s="65">
        <f t="shared" si="0"/>
        <v>35</v>
      </c>
      <c r="G15" s="52">
        <v>2</v>
      </c>
      <c r="H15" s="52"/>
      <c r="I15" s="65">
        <f t="shared" si="1"/>
        <v>2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37</v>
      </c>
      <c r="AA15" s="50"/>
      <c r="AB15" s="50"/>
      <c r="AC15" s="61">
        <f t="shared" si="8"/>
        <v>-37</v>
      </c>
      <c r="AD15" s="50"/>
      <c r="AE15" s="67">
        <f t="shared" si="9"/>
        <v>-37</v>
      </c>
    </row>
    <row r="16" spans="2:32">
      <c r="B16" s="50">
        <v>1111064</v>
      </c>
      <c r="C16" s="51" t="s">
        <v>37</v>
      </c>
      <c r="D16" s="52">
        <v>35</v>
      </c>
      <c r="E16" s="52"/>
      <c r="F16" s="65">
        <f t="shared" si="0"/>
        <v>35</v>
      </c>
      <c r="G16" s="52">
        <v>2</v>
      </c>
      <c r="H16" s="52"/>
      <c r="I16" s="65">
        <f t="shared" si="1"/>
        <v>2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37</v>
      </c>
      <c r="AA16" s="50"/>
      <c r="AB16" s="50"/>
      <c r="AC16" s="61">
        <f t="shared" si="8"/>
        <v>-37</v>
      </c>
      <c r="AD16" s="50"/>
      <c r="AE16" s="67">
        <f t="shared" si="9"/>
        <v>-37</v>
      </c>
    </row>
    <row r="17" spans="2:32">
      <c r="B17" s="50">
        <v>1111065</v>
      </c>
      <c r="C17" s="51" t="s">
        <v>38</v>
      </c>
      <c r="D17" s="52">
        <v>34</v>
      </c>
      <c r="E17" s="52"/>
      <c r="F17" s="65">
        <f t="shared" si="0"/>
        <v>34</v>
      </c>
      <c r="G17" s="52">
        <v>2</v>
      </c>
      <c r="H17" s="52"/>
      <c r="I17" s="65">
        <f t="shared" si="1"/>
        <v>2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36</v>
      </c>
      <c r="AA17" s="50"/>
      <c r="AB17" s="50"/>
      <c r="AC17" s="61">
        <f t="shared" si="8"/>
        <v>-36</v>
      </c>
      <c r="AD17" s="50"/>
      <c r="AE17" s="67">
        <f t="shared" si="9"/>
        <v>-36</v>
      </c>
    </row>
    <row r="18" spans="2:32">
      <c r="B18" s="50">
        <v>1111066</v>
      </c>
      <c r="C18" s="51" t="s">
        <v>39</v>
      </c>
      <c r="D18" s="52">
        <v>34</v>
      </c>
      <c r="E18" s="52"/>
      <c r="F18" s="65">
        <f t="shared" si="0"/>
        <v>34</v>
      </c>
      <c r="G18" s="52">
        <v>2</v>
      </c>
      <c r="H18" s="52"/>
      <c r="I18" s="65">
        <f t="shared" si="1"/>
        <v>2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36</v>
      </c>
      <c r="AA18" s="50"/>
      <c r="AB18" s="50"/>
      <c r="AC18" s="61">
        <f t="shared" si="8"/>
        <v>-36</v>
      </c>
      <c r="AD18" s="50"/>
      <c r="AE18" s="67">
        <f t="shared" si="9"/>
        <v>-36</v>
      </c>
    </row>
    <row r="19" spans="2:32">
      <c r="B19" s="50">
        <v>1111067</v>
      </c>
      <c r="C19" s="51" t="s">
        <v>40</v>
      </c>
      <c r="D19" s="52">
        <v>34</v>
      </c>
      <c r="E19" s="52"/>
      <c r="F19" s="65">
        <f t="shared" si="0"/>
        <v>34</v>
      </c>
      <c r="G19" s="52">
        <v>2</v>
      </c>
      <c r="H19" s="52"/>
      <c r="I19" s="65">
        <f t="shared" si="1"/>
        <v>2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36</v>
      </c>
      <c r="AA19" s="50"/>
      <c r="AB19" s="50"/>
      <c r="AC19" s="61">
        <f t="shared" si="8"/>
        <v>-36</v>
      </c>
      <c r="AD19" s="50"/>
      <c r="AE19" s="67">
        <f t="shared" si="9"/>
        <v>-36</v>
      </c>
    </row>
    <row r="20" spans="2:32">
      <c r="B20" s="50">
        <v>1111068</v>
      </c>
      <c r="C20" s="51" t="s">
        <v>41</v>
      </c>
      <c r="D20" s="52">
        <v>34</v>
      </c>
      <c r="E20" s="52"/>
      <c r="F20" s="65">
        <f t="shared" si="0"/>
        <v>34</v>
      </c>
      <c r="G20" s="52">
        <v>2</v>
      </c>
      <c r="H20" s="52"/>
      <c r="I20" s="65">
        <f t="shared" si="1"/>
        <v>2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36</v>
      </c>
      <c r="AA20" s="50"/>
      <c r="AB20" s="50"/>
      <c r="AC20" s="61">
        <f t="shared" si="8"/>
        <v>-36</v>
      </c>
      <c r="AD20" s="50"/>
      <c r="AE20" s="67">
        <f t="shared" si="9"/>
        <v>-36</v>
      </c>
    </row>
    <row r="21" spans="2:32">
      <c r="B21" s="50">
        <v>1111069</v>
      </c>
      <c r="C21" s="51" t="s">
        <v>42</v>
      </c>
      <c r="D21" s="52">
        <v>34</v>
      </c>
      <c r="E21" s="52"/>
      <c r="F21" s="65">
        <f t="shared" si="0"/>
        <v>34</v>
      </c>
      <c r="G21" s="52">
        <v>2</v>
      </c>
      <c r="H21" s="52"/>
      <c r="I21" s="65">
        <f t="shared" si="1"/>
        <v>2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36</v>
      </c>
      <c r="AA21" s="50"/>
      <c r="AB21" s="50"/>
      <c r="AC21" s="61">
        <f t="shared" si="8"/>
        <v>-36</v>
      </c>
      <c r="AD21" s="50"/>
      <c r="AE21" s="67">
        <f t="shared" si="9"/>
        <v>-36</v>
      </c>
    </row>
    <row r="22" spans="2:32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7">
        <f t="shared" si="9"/>
        <v>0</v>
      </c>
    </row>
    <row r="23" spans="2:32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7">
        <f t="shared" si="9"/>
        <v>0</v>
      </c>
    </row>
    <row r="24" spans="2:32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7">
        <f t="shared" si="9"/>
        <v>0</v>
      </c>
    </row>
    <row r="25" spans="2:32">
      <c r="B25" s="50">
        <v>1111008</v>
      </c>
      <c r="C25" s="51" t="s">
        <v>156</v>
      </c>
      <c r="D25" s="52"/>
      <c r="E25" s="52"/>
      <c r="F25" s="65">
        <f t="shared" si="0"/>
        <v>0</v>
      </c>
      <c r="G25" s="52">
        <v>3</v>
      </c>
      <c r="H25" s="52"/>
      <c r="I25" s="65">
        <f t="shared" si="1"/>
        <v>3</v>
      </c>
      <c r="J25" s="52"/>
      <c r="K25" s="52"/>
      <c r="L25" s="65">
        <f t="shared" si="2"/>
        <v>0</v>
      </c>
      <c r="M25" s="52">
        <v>21</v>
      </c>
      <c r="N25" s="52"/>
      <c r="O25" s="65">
        <f t="shared" si="3"/>
        <v>21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24</v>
      </c>
      <c r="AA25" s="50">
        <v>50</v>
      </c>
      <c r="AB25" s="50">
        <v>45</v>
      </c>
      <c r="AC25" s="61">
        <f t="shared" si="8"/>
        <v>71</v>
      </c>
      <c r="AD25" s="50"/>
      <c r="AE25" s="67">
        <f t="shared" si="9"/>
        <v>71</v>
      </c>
    </row>
    <row r="26" spans="2:32">
      <c r="B26" s="50">
        <v>1111009</v>
      </c>
      <c r="C26" s="51" t="s">
        <v>157</v>
      </c>
      <c r="D26" s="52">
        <v>1</v>
      </c>
      <c r="E26" s="52"/>
      <c r="F26" s="65">
        <f t="shared" si="0"/>
        <v>1</v>
      </c>
      <c r="G26" s="52">
        <v>5</v>
      </c>
      <c r="H26" s="52"/>
      <c r="I26" s="65">
        <f t="shared" si="1"/>
        <v>5</v>
      </c>
      <c r="J26" s="52"/>
      <c r="K26" s="52"/>
      <c r="L26" s="65">
        <f t="shared" si="2"/>
        <v>0</v>
      </c>
      <c r="M26" s="52">
        <v>3</v>
      </c>
      <c r="N26" s="52"/>
      <c r="O26" s="65">
        <f t="shared" si="3"/>
        <v>3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71">
        <v>10</v>
      </c>
      <c r="Z26" s="63">
        <f t="shared" si="7"/>
        <v>19</v>
      </c>
      <c r="AA26" s="50">
        <v>30</v>
      </c>
      <c r="AB26" s="50">
        <v>7</v>
      </c>
      <c r="AC26" s="61">
        <f t="shared" si="8"/>
        <v>18</v>
      </c>
      <c r="AD26" s="50"/>
      <c r="AE26" s="67">
        <f t="shared" si="9"/>
        <v>18</v>
      </c>
      <c r="AF26" s="49" t="s">
        <v>267</v>
      </c>
    </row>
    <row r="27" spans="2:32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7">
        <f t="shared" si="9"/>
        <v>0</v>
      </c>
    </row>
    <row r="28" spans="2:32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7">
        <f t="shared" si="9"/>
        <v>0</v>
      </c>
    </row>
    <row r="29" spans="2:32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7">
        <f t="shared" si="9"/>
        <v>0</v>
      </c>
    </row>
    <row r="30" spans="2:32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7">
        <f t="shared" si="9"/>
        <v>0</v>
      </c>
    </row>
    <row r="31" spans="2:32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7">
        <f t="shared" si="9"/>
        <v>0</v>
      </c>
    </row>
    <row r="32" spans="2:32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7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7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7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7">
        <f t="shared" si="9"/>
        <v>0</v>
      </c>
    </row>
    <row r="36" spans="2:31" hidden="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7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7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7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7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7">
        <f t="shared" si="9"/>
        <v>0</v>
      </c>
    </row>
    <row r="41" spans="2:31">
      <c r="B41" s="50">
        <v>1111056</v>
      </c>
      <c r="C41" s="51" t="s">
        <v>172</v>
      </c>
      <c r="D41" s="52">
        <v>1</v>
      </c>
      <c r="E41" s="52"/>
      <c r="F41" s="65">
        <f t="shared" si="0"/>
        <v>1</v>
      </c>
      <c r="G41" s="52">
        <v>10</v>
      </c>
      <c r="H41" s="52"/>
      <c r="I41" s="65">
        <f t="shared" si="1"/>
        <v>10</v>
      </c>
      <c r="J41" s="52"/>
      <c r="K41" s="52"/>
      <c r="L41" s="65">
        <f t="shared" si="2"/>
        <v>0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11</v>
      </c>
      <c r="AA41" s="50">
        <v>10</v>
      </c>
      <c r="AB41" s="50">
        <v>5</v>
      </c>
      <c r="AC41" s="61">
        <f t="shared" si="8"/>
        <v>4</v>
      </c>
      <c r="AD41" s="50"/>
      <c r="AE41" s="67">
        <f t="shared" si="9"/>
        <v>4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9</v>
      </c>
      <c r="H42" s="52"/>
      <c r="I42" s="65">
        <f t="shared" si="1"/>
        <v>9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9</v>
      </c>
      <c r="AA42" s="50"/>
      <c r="AB42" s="50"/>
      <c r="AC42" s="61">
        <f t="shared" si="8"/>
        <v>-9</v>
      </c>
      <c r="AD42" s="50"/>
      <c r="AE42" s="67">
        <f t="shared" si="9"/>
        <v>-9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9</v>
      </c>
      <c r="H43" s="52"/>
      <c r="I43" s="65">
        <f t="shared" si="1"/>
        <v>9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9</v>
      </c>
      <c r="AA43" s="50"/>
      <c r="AB43" s="50"/>
      <c r="AC43" s="61">
        <f t="shared" si="8"/>
        <v>-9</v>
      </c>
      <c r="AD43" s="50"/>
      <c r="AE43" s="67">
        <f t="shared" si="9"/>
        <v>-9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9</v>
      </c>
      <c r="H44" s="52"/>
      <c r="I44" s="65">
        <f t="shared" si="1"/>
        <v>9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9</v>
      </c>
      <c r="AA44" s="50"/>
      <c r="AB44" s="50"/>
      <c r="AC44" s="61">
        <f t="shared" si="8"/>
        <v>-9</v>
      </c>
      <c r="AD44" s="50"/>
      <c r="AE44" s="67">
        <f t="shared" si="9"/>
        <v>-9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9</v>
      </c>
      <c r="H45" s="52"/>
      <c r="I45" s="65">
        <f t="shared" si="1"/>
        <v>9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9</v>
      </c>
      <c r="AA45" s="50"/>
      <c r="AB45" s="50"/>
      <c r="AC45" s="61">
        <f t="shared" si="8"/>
        <v>-9</v>
      </c>
      <c r="AD45" s="50"/>
      <c r="AE45" s="67">
        <f t="shared" si="9"/>
        <v>-9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9</v>
      </c>
      <c r="H46" s="52"/>
      <c r="I46" s="65">
        <f t="shared" si="1"/>
        <v>9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9</v>
      </c>
      <c r="AA46" s="50"/>
      <c r="AB46" s="50"/>
      <c r="AC46" s="61">
        <f t="shared" si="8"/>
        <v>-9</v>
      </c>
      <c r="AD46" s="50"/>
      <c r="AE46" s="67">
        <f t="shared" si="9"/>
        <v>-9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9</v>
      </c>
      <c r="H47" s="52"/>
      <c r="I47" s="65">
        <f t="shared" si="1"/>
        <v>9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9</v>
      </c>
      <c r="AA47" s="50"/>
      <c r="AB47" s="50"/>
      <c r="AC47" s="61">
        <f t="shared" si="8"/>
        <v>-9</v>
      </c>
      <c r="AD47" s="50"/>
      <c r="AE47" s="67">
        <f t="shared" si="9"/>
        <v>-9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9</v>
      </c>
      <c r="H48" s="52"/>
      <c r="I48" s="65">
        <f t="shared" si="1"/>
        <v>9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9</v>
      </c>
      <c r="AA48" s="50"/>
      <c r="AB48" s="50"/>
      <c r="AC48" s="61">
        <f t="shared" si="8"/>
        <v>-9</v>
      </c>
      <c r="AD48" s="50"/>
      <c r="AE48" s="67">
        <f t="shared" si="9"/>
        <v>-9</v>
      </c>
    </row>
    <row r="49" spans="2:32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9</v>
      </c>
      <c r="H49" s="52"/>
      <c r="I49" s="65">
        <f t="shared" si="1"/>
        <v>9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9</v>
      </c>
      <c r="AA49" s="50"/>
      <c r="AB49" s="50"/>
      <c r="AC49" s="61">
        <f t="shared" si="8"/>
        <v>-9</v>
      </c>
      <c r="AD49" s="50"/>
      <c r="AE49" s="67">
        <f t="shared" si="9"/>
        <v>-9</v>
      </c>
    </row>
    <row r="50" spans="2:32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9</v>
      </c>
      <c r="H50" s="52"/>
      <c r="I50" s="65">
        <f t="shared" si="1"/>
        <v>9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9</v>
      </c>
      <c r="AA50" s="50"/>
      <c r="AB50" s="50"/>
      <c r="AC50" s="61">
        <f t="shared" si="8"/>
        <v>-9</v>
      </c>
      <c r="AD50" s="50"/>
      <c r="AE50" s="67">
        <f t="shared" si="9"/>
        <v>-9</v>
      </c>
    </row>
    <row r="51" spans="2:32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9</v>
      </c>
      <c r="H51" s="52"/>
      <c r="I51" s="65">
        <f t="shared" si="1"/>
        <v>9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9</v>
      </c>
      <c r="AA51" s="50"/>
      <c r="AB51" s="50"/>
      <c r="AC51" s="61">
        <f t="shared" si="8"/>
        <v>-9</v>
      </c>
      <c r="AD51" s="50"/>
      <c r="AE51" s="67">
        <f t="shared" si="9"/>
        <v>-9</v>
      </c>
    </row>
    <row r="52" spans="2:32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7">
        <f t="shared" si="9"/>
        <v>0</v>
      </c>
    </row>
    <row r="53" spans="2:32">
      <c r="B53" s="50">
        <v>1112003</v>
      </c>
      <c r="C53" s="51" t="s">
        <v>174</v>
      </c>
      <c r="D53" s="52">
        <v>8</v>
      </c>
      <c r="E53" s="52"/>
      <c r="F53" s="65">
        <f t="shared" si="0"/>
        <v>8</v>
      </c>
      <c r="G53" s="52">
        <v>1</v>
      </c>
      <c r="H53" s="52"/>
      <c r="I53" s="65">
        <f t="shared" si="1"/>
        <v>1</v>
      </c>
      <c r="J53" s="52"/>
      <c r="K53" s="52"/>
      <c r="L53" s="65">
        <f t="shared" si="2"/>
        <v>0</v>
      </c>
      <c r="M53" s="52">
        <v>48</v>
      </c>
      <c r="N53" s="52"/>
      <c r="O53" s="65">
        <f t="shared" si="3"/>
        <v>48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71">
        <v>5</v>
      </c>
      <c r="Z53" s="63">
        <f t="shared" si="7"/>
        <v>62</v>
      </c>
      <c r="AA53" s="50">
        <v>60</v>
      </c>
      <c r="AB53" s="50">
        <v>84</v>
      </c>
      <c r="AC53" s="61">
        <f t="shared" si="8"/>
        <v>82</v>
      </c>
      <c r="AD53" s="50"/>
      <c r="AE53" s="67">
        <f t="shared" si="9"/>
        <v>82</v>
      </c>
      <c r="AF53" s="49" t="s">
        <v>267</v>
      </c>
    </row>
    <row r="54" spans="2:32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7">
        <f t="shared" si="9"/>
        <v>0</v>
      </c>
    </row>
    <row r="55" spans="2:32">
      <c r="B55" s="50">
        <v>1112005</v>
      </c>
      <c r="C55" s="51" t="s">
        <v>176</v>
      </c>
      <c r="D55" s="52">
        <v>8</v>
      </c>
      <c r="E55" s="52"/>
      <c r="F55" s="65">
        <f t="shared" si="0"/>
        <v>8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52">
        <v>48</v>
      </c>
      <c r="N55" s="52"/>
      <c r="O55" s="65">
        <f t="shared" si="3"/>
        <v>48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71">
        <v>6</v>
      </c>
      <c r="Z55" s="63">
        <f t="shared" si="7"/>
        <v>62</v>
      </c>
      <c r="AA55" s="50">
        <v>60</v>
      </c>
      <c r="AB55" s="50">
        <v>99</v>
      </c>
      <c r="AC55" s="61">
        <f t="shared" si="8"/>
        <v>97</v>
      </c>
      <c r="AD55" s="50"/>
      <c r="AE55" s="67">
        <f t="shared" si="9"/>
        <v>97</v>
      </c>
      <c r="AF55" s="49" t="s">
        <v>267</v>
      </c>
    </row>
    <row r="56" spans="2:32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7">
        <f t="shared" si="9"/>
        <v>0</v>
      </c>
    </row>
    <row r="57" spans="2:32">
      <c r="B57" s="50">
        <v>1112009</v>
      </c>
      <c r="C57" s="51" t="s">
        <v>178</v>
      </c>
      <c r="D57" s="52">
        <v>7</v>
      </c>
      <c r="E57" s="52"/>
      <c r="F57" s="65">
        <f t="shared" si="0"/>
        <v>7</v>
      </c>
      <c r="G57" s="52">
        <v>1</v>
      </c>
      <c r="H57" s="52"/>
      <c r="I57" s="65">
        <f t="shared" si="1"/>
        <v>1</v>
      </c>
      <c r="J57" s="52">
        <v>4</v>
      </c>
      <c r="K57" s="52"/>
      <c r="L57" s="65">
        <f t="shared" si="2"/>
        <v>4</v>
      </c>
      <c r="M57" s="52">
        <v>48</v>
      </c>
      <c r="N57" s="52"/>
      <c r="O57" s="65">
        <f t="shared" si="3"/>
        <v>48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71">
        <v>6</v>
      </c>
      <c r="Z57" s="63">
        <f t="shared" si="7"/>
        <v>66</v>
      </c>
      <c r="AA57" s="50">
        <v>60</v>
      </c>
      <c r="AB57" s="50">
        <v>95</v>
      </c>
      <c r="AC57" s="61">
        <f t="shared" si="8"/>
        <v>89</v>
      </c>
      <c r="AD57" s="50"/>
      <c r="AE57" s="67">
        <f t="shared" si="9"/>
        <v>89</v>
      </c>
      <c r="AF57" s="49" t="s">
        <v>267</v>
      </c>
    </row>
    <row r="58" spans="2:32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7">
        <f t="shared" si="9"/>
        <v>0</v>
      </c>
    </row>
    <row r="59" spans="2:32">
      <c r="B59" s="50">
        <v>1112011</v>
      </c>
      <c r="C59" s="51" t="s">
        <v>180</v>
      </c>
      <c r="D59" s="52">
        <v>8</v>
      </c>
      <c r="E59" s="52"/>
      <c r="F59" s="65">
        <f t="shared" si="0"/>
        <v>8</v>
      </c>
      <c r="G59" s="52"/>
      <c r="H59" s="52"/>
      <c r="I59" s="65">
        <f t="shared" si="1"/>
        <v>0</v>
      </c>
      <c r="J59" s="52">
        <v>8</v>
      </c>
      <c r="K59" s="52"/>
      <c r="L59" s="65">
        <f t="shared" si="2"/>
        <v>8</v>
      </c>
      <c r="M59" s="52">
        <v>48</v>
      </c>
      <c r="N59" s="52"/>
      <c r="O59" s="65">
        <f t="shared" si="3"/>
        <v>48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71">
        <v>6</v>
      </c>
      <c r="Z59" s="63">
        <f t="shared" si="7"/>
        <v>70</v>
      </c>
      <c r="AA59" s="50">
        <v>60</v>
      </c>
      <c r="AB59" s="50">
        <v>86</v>
      </c>
      <c r="AC59" s="61">
        <f t="shared" si="8"/>
        <v>76</v>
      </c>
      <c r="AD59" s="50"/>
      <c r="AE59" s="67">
        <f t="shared" si="9"/>
        <v>76</v>
      </c>
      <c r="AF59" s="49" t="s">
        <v>267</v>
      </c>
    </row>
    <row r="60" spans="2:32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7">
        <f t="shared" si="9"/>
        <v>0</v>
      </c>
    </row>
    <row r="61" spans="2:32">
      <c r="B61" s="50">
        <v>1112013</v>
      </c>
      <c r="C61" s="51" t="s">
        <v>182</v>
      </c>
      <c r="D61" s="52">
        <v>8</v>
      </c>
      <c r="E61" s="52"/>
      <c r="F61" s="65">
        <f t="shared" si="0"/>
        <v>8</v>
      </c>
      <c r="G61" s="52">
        <v>1</v>
      </c>
      <c r="H61" s="52"/>
      <c r="I61" s="65">
        <f t="shared" si="1"/>
        <v>1</v>
      </c>
      <c r="J61" s="52"/>
      <c r="K61" s="52"/>
      <c r="L61" s="65">
        <f t="shared" si="2"/>
        <v>0</v>
      </c>
      <c r="M61" s="52">
        <v>48</v>
      </c>
      <c r="N61" s="52"/>
      <c r="O61" s="65">
        <f t="shared" si="3"/>
        <v>48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71">
        <v>6</v>
      </c>
      <c r="Z61" s="63">
        <f t="shared" si="7"/>
        <v>63</v>
      </c>
      <c r="AA61" s="50">
        <v>60</v>
      </c>
      <c r="AB61" s="50">
        <v>85</v>
      </c>
      <c r="AC61" s="61">
        <f t="shared" si="8"/>
        <v>82</v>
      </c>
      <c r="AD61" s="50"/>
      <c r="AE61" s="67">
        <f t="shared" si="9"/>
        <v>82</v>
      </c>
      <c r="AF61" s="49" t="s">
        <v>267</v>
      </c>
    </row>
    <row r="62" spans="2:32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7">
        <f t="shared" si="9"/>
        <v>0</v>
      </c>
    </row>
    <row r="63" spans="2:32">
      <c r="B63" s="50">
        <v>1112015</v>
      </c>
      <c r="C63" s="51" t="s">
        <v>184</v>
      </c>
      <c r="D63" s="52">
        <v>6</v>
      </c>
      <c r="E63" s="52"/>
      <c r="F63" s="65">
        <f t="shared" si="0"/>
        <v>6</v>
      </c>
      <c r="G63" s="52">
        <v>1</v>
      </c>
      <c r="H63" s="52"/>
      <c r="I63" s="65">
        <f t="shared" si="1"/>
        <v>1</v>
      </c>
      <c r="J63" s="52"/>
      <c r="K63" s="52"/>
      <c r="L63" s="65">
        <f t="shared" si="2"/>
        <v>0</v>
      </c>
      <c r="M63" s="52">
        <v>48</v>
      </c>
      <c r="N63" s="52"/>
      <c r="O63" s="65">
        <f t="shared" si="3"/>
        <v>48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71">
        <v>6</v>
      </c>
      <c r="Z63" s="63">
        <f t="shared" si="7"/>
        <v>61</v>
      </c>
      <c r="AA63" s="50">
        <v>60</v>
      </c>
      <c r="AB63" s="50">
        <v>96</v>
      </c>
      <c r="AC63" s="61">
        <f t="shared" si="8"/>
        <v>95</v>
      </c>
      <c r="AD63" s="50"/>
      <c r="AE63" s="67">
        <f t="shared" si="9"/>
        <v>95</v>
      </c>
      <c r="AF63" s="49" t="s">
        <v>267</v>
      </c>
    </row>
    <row r="64" spans="2:32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7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7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7">
        <f t="shared" si="9"/>
        <v>0</v>
      </c>
    </row>
    <row r="67" spans="2:31">
      <c r="B67" s="50">
        <v>1114501</v>
      </c>
      <c r="C67" s="53" t="s">
        <v>187</v>
      </c>
      <c r="D67" s="52">
        <v>1</v>
      </c>
      <c r="E67" s="52"/>
      <c r="F67" s="65">
        <f t="shared" si="0"/>
        <v>1</v>
      </c>
      <c r="G67" s="52">
        <v>13</v>
      </c>
      <c r="H67" s="52"/>
      <c r="I67" s="65">
        <f t="shared" si="1"/>
        <v>13</v>
      </c>
      <c r="J67" s="52">
        <v>1</v>
      </c>
      <c r="K67" s="52"/>
      <c r="L67" s="65">
        <f t="shared" si="2"/>
        <v>1</v>
      </c>
      <c r="M67" s="52">
        <v>169</v>
      </c>
      <c r="N67" s="52"/>
      <c r="O67" s="65">
        <f t="shared" si="3"/>
        <v>169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184</v>
      </c>
      <c r="AA67" s="50">
        <v>358</v>
      </c>
      <c r="AB67" s="50">
        <v>692</v>
      </c>
      <c r="AC67" s="61">
        <f t="shared" si="8"/>
        <v>866</v>
      </c>
      <c r="AD67" s="50"/>
      <c r="AE67" s="67">
        <f t="shared" si="9"/>
        <v>866</v>
      </c>
    </row>
    <row r="68" spans="2:31">
      <c r="B68" s="50">
        <v>1114502</v>
      </c>
      <c r="C68" s="53" t="s">
        <v>188</v>
      </c>
      <c r="D68" s="52">
        <v>1</v>
      </c>
      <c r="E68" s="52"/>
      <c r="F68" s="65">
        <f t="shared" si="0"/>
        <v>1</v>
      </c>
      <c r="G68" s="52"/>
      <c r="H68" s="52"/>
      <c r="I68" s="65">
        <f t="shared" si="1"/>
        <v>0</v>
      </c>
      <c r="J68" s="52">
        <v>1</v>
      </c>
      <c r="K68" s="52"/>
      <c r="L68" s="65">
        <f t="shared" si="2"/>
        <v>1</v>
      </c>
      <c r="M68" s="52">
        <v>169</v>
      </c>
      <c r="N68" s="52"/>
      <c r="O68" s="65">
        <f t="shared" si="3"/>
        <v>169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171</v>
      </c>
      <c r="AA68" s="50">
        <v>210</v>
      </c>
      <c r="AB68" s="50">
        <v>326</v>
      </c>
      <c r="AC68" s="61">
        <f t="shared" si="8"/>
        <v>365</v>
      </c>
      <c r="AD68" s="50"/>
      <c r="AE68" s="67">
        <f t="shared" si="9"/>
        <v>365</v>
      </c>
    </row>
    <row r="69" spans="2:31">
      <c r="B69" s="50">
        <v>1114503</v>
      </c>
      <c r="C69" s="53" t="s">
        <v>189</v>
      </c>
      <c r="D69" s="52">
        <v>1</v>
      </c>
      <c r="E69" s="52"/>
      <c r="F69" s="65">
        <f t="shared" ref="F69:F132" si="10">SUM(D69:E69)</f>
        <v>1</v>
      </c>
      <c r="G69" s="52"/>
      <c r="H69" s="52"/>
      <c r="I69" s="65">
        <f t="shared" ref="I69:I121" si="11">SUM(G69:H69)</f>
        <v>0</v>
      </c>
      <c r="J69" s="52">
        <v>1</v>
      </c>
      <c r="K69" s="52"/>
      <c r="L69" s="65">
        <f t="shared" ref="L69:L121" si="12">SUM(J69:K69)</f>
        <v>1</v>
      </c>
      <c r="M69" s="52">
        <v>169</v>
      </c>
      <c r="N69" s="52"/>
      <c r="O69" s="65">
        <f t="shared" ref="O69:O121" si="13">SUM(M69:N69)</f>
        <v>169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171</v>
      </c>
      <c r="AA69" s="50">
        <v>219</v>
      </c>
      <c r="AB69" s="50">
        <v>348</v>
      </c>
      <c r="AC69" s="61">
        <f t="shared" ref="AC69:AC121" si="18">+AA69+AB69-Z69</f>
        <v>396</v>
      </c>
      <c r="AD69" s="50"/>
      <c r="AE69" s="67">
        <f t="shared" ref="AE69:AE121" si="19">AC69+AD69</f>
        <v>396</v>
      </c>
    </row>
    <row r="70" spans="2:3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>
        <v>6</v>
      </c>
      <c r="H70" s="52"/>
      <c r="I70" s="65">
        <f t="shared" si="11"/>
        <v>6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6</v>
      </c>
      <c r="AA70" s="50"/>
      <c r="AB70" s="50"/>
      <c r="AC70" s="61">
        <f t="shared" si="18"/>
        <v>-6</v>
      </c>
      <c r="AD70" s="50"/>
      <c r="AE70" s="67">
        <f t="shared" si="19"/>
        <v>-6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7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7">
        <f t="shared" si="19"/>
        <v>0</v>
      </c>
    </row>
    <row r="73" spans="2:31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7">
        <f t="shared" si="19"/>
        <v>0</v>
      </c>
    </row>
    <row r="74" spans="2:31" hidden="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7">
        <f t="shared" si="19"/>
        <v>0</v>
      </c>
    </row>
    <row r="75" spans="2:31" hidden="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52"/>
      <c r="N75" s="52"/>
      <c r="O75" s="65">
        <f t="shared" si="13"/>
        <v>0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/>
      <c r="AE75" s="67">
        <f t="shared" si="19"/>
        <v>0</v>
      </c>
    </row>
    <row r="76" spans="2:31" hidden="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/>
      <c r="AC76" s="61">
        <f t="shared" si="18"/>
        <v>0</v>
      </c>
      <c r="AD76" s="50"/>
      <c r="AE76" s="67">
        <f t="shared" si="19"/>
        <v>0</v>
      </c>
    </row>
    <row r="77" spans="2:31">
      <c r="B77" s="50">
        <v>1113172</v>
      </c>
      <c r="C77" s="53" t="s">
        <v>89</v>
      </c>
      <c r="D77" s="52">
        <v>4</v>
      </c>
      <c r="E77" s="52"/>
      <c r="F77" s="65">
        <f t="shared" si="10"/>
        <v>4</v>
      </c>
      <c r="G77" s="52"/>
      <c r="H77" s="52"/>
      <c r="I77" s="65">
        <f t="shared" si="11"/>
        <v>0</v>
      </c>
      <c r="J77" s="52">
        <v>3</v>
      </c>
      <c r="K77" s="52"/>
      <c r="L77" s="65">
        <f t="shared" si="12"/>
        <v>3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7</v>
      </c>
      <c r="AA77" s="50"/>
      <c r="AB77" s="50">
        <v>11</v>
      </c>
      <c r="AC77" s="61">
        <f t="shared" si="18"/>
        <v>4</v>
      </c>
      <c r="AD77" s="50">
        <v>10</v>
      </c>
      <c r="AE77" s="67">
        <f t="shared" si="19"/>
        <v>14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>
        <v>1</v>
      </c>
      <c r="K78" s="52"/>
      <c r="L78" s="65">
        <f t="shared" si="12"/>
        <v>1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1</v>
      </c>
      <c r="AA78" s="50"/>
      <c r="AB78" s="50">
        <v>1</v>
      </c>
      <c r="AC78" s="61">
        <f t="shared" si="18"/>
        <v>0</v>
      </c>
      <c r="AD78" s="50"/>
      <c r="AE78" s="67">
        <f t="shared" si="19"/>
        <v>0</v>
      </c>
    </row>
    <row r="79" spans="2:31" hidden="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7">
        <f t="shared" si="19"/>
        <v>0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>
        <v>4</v>
      </c>
      <c r="AC80" s="61">
        <f t="shared" si="18"/>
        <v>4</v>
      </c>
      <c r="AD80" s="50"/>
      <c r="AE80" s="67">
        <f t="shared" si="19"/>
        <v>4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7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2</v>
      </c>
      <c r="H82" s="52"/>
      <c r="I82" s="65">
        <f t="shared" si="11"/>
        <v>2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2</v>
      </c>
      <c r="AA82" s="50"/>
      <c r="AB82" s="50"/>
      <c r="AC82" s="61">
        <f t="shared" si="18"/>
        <v>-2</v>
      </c>
      <c r="AD82" s="50"/>
      <c r="AE82" s="67">
        <f t="shared" si="19"/>
        <v>-2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1</v>
      </c>
      <c r="H83" s="52"/>
      <c r="I83" s="65">
        <f t="shared" si="11"/>
        <v>1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1</v>
      </c>
      <c r="AA83" s="50"/>
      <c r="AB83" s="50"/>
      <c r="AC83" s="61">
        <f t="shared" si="18"/>
        <v>-1</v>
      </c>
      <c r="AD83" s="50"/>
      <c r="AE83" s="67">
        <f t="shared" si="19"/>
        <v>-1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7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7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7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7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7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7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7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7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7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7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7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7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7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7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7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7">
        <f t="shared" si="19"/>
        <v>0</v>
      </c>
    </row>
    <row r="100" spans="2:31" hidden="1">
      <c r="B100" s="50">
        <v>1004062</v>
      </c>
      <c r="C100" s="53" t="s">
        <v>238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7">
        <f t="shared" si="19"/>
        <v>0</v>
      </c>
    </row>
    <row r="101" spans="2:31">
      <c r="B101" s="50">
        <v>1004051</v>
      </c>
      <c r="C101" s="53" t="s">
        <v>239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>
        <v>5</v>
      </c>
      <c r="Z101" s="63">
        <f t="shared" si="17"/>
        <v>5</v>
      </c>
      <c r="AA101" s="50"/>
      <c r="AB101" s="50"/>
      <c r="AC101" s="61">
        <f t="shared" si="18"/>
        <v>-5</v>
      </c>
      <c r="AD101" s="50"/>
      <c r="AE101" s="67">
        <f t="shared" si="19"/>
        <v>-5</v>
      </c>
    </row>
    <row r="102" spans="2:31">
      <c r="B102" s="50">
        <v>1111005</v>
      </c>
      <c r="C102" s="53" t="s">
        <v>240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7">
        <f t="shared" si="19"/>
        <v>0</v>
      </c>
    </row>
    <row r="103" spans="2:31">
      <c r="B103" s="50">
        <v>1111006</v>
      </c>
      <c r="C103" s="53" t="s">
        <v>241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>
        <v>10</v>
      </c>
      <c r="Z103" s="63">
        <f t="shared" si="17"/>
        <v>10</v>
      </c>
      <c r="AA103" s="50"/>
      <c r="AB103" s="50"/>
      <c r="AC103" s="61">
        <f t="shared" si="18"/>
        <v>-10</v>
      </c>
      <c r="AD103" s="50"/>
      <c r="AE103" s="67">
        <f t="shared" si="19"/>
        <v>-10</v>
      </c>
    </row>
    <row r="104" spans="2:31" hidden="1">
      <c r="B104" s="50">
        <v>1004048</v>
      </c>
      <c r="C104" s="53" t="s">
        <v>242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7">
        <f t="shared" si="19"/>
        <v>0</v>
      </c>
    </row>
    <row r="105" spans="2:31" hidden="1">
      <c r="B105" s="50">
        <v>1113157</v>
      </c>
      <c r="C105" s="53" t="s">
        <v>243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7">
        <f t="shared" si="19"/>
        <v>0</v>
      </c>
    </row>
    <row r="106" spans="2:31" hidden="1">
      <c r="B106" s="50">
        <v>1004080</v>
      </c>
      <c r="C106" s="53" t="s">
        <v>244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7">
        <f t="shared" si="19"/>
        <v>0</v>
      </c>
    </row>
    <row r="107" spans="2:31" hidden="1">
      <c r="B107" s="50">
        <v>1004081</v>
      </c>
      <c r="C107" s="53" t="s">
        <v>245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7">
        <f t="shared" si="19"/>
        <v>0</v>
      </c>
    </row>
    <row r="108" spans="2:31" hidden="1">
      <c r="B108" s="50">
        <v>3001200</v>
      </c>
      <c r="C108" s="53" t="s">
        <v>246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7">
        <f t="shared" si="19"/>
        <v>0</v>
      </c>
    </row>
    <row r="109" spans="2:31" hidden="1">
      <c r="B109" s="50">
        <v>1004047</v>
      </c>
      <c r="C109" s="53" t="s">
        <v>247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7">
        <f t="shared" si="19"/>
        <v>0</v>
      </c>
    </row>
    <row r="110" spans="2:31" hidden="1">
      <c r="B110" s="50">
        <v>1004070</v>
      </c>
      <c r="C110" s="53" t="s">
        <v>248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7">
        <f t="shared" si="19"/>
        <v>0</v>
      </c>
    </row>
    <row r="111" spans="2:31" hidden="1">
      <c r="B111" s="50">
        <v>1004076</v>
      </c>
      <c r="C111" s="53" t="s">
        <v>249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7">
        <f t="shared" si="19"/>
        <v>0</v>
      </c>
    </row>
    <row r="112" spans="2:31" hidden="1">
      <c r="B112" s="50">
        <v>1004050</v>
      </c>
      <c r="C112" s="53" t="s">
        <v>250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7">
        <f t="shared" si="19"/>
        <v>0</v>
      </c>
    </row>
    <row r="113" spans="2:31" hidden="1">
      <c r="B113" s="50">
        <v>1004048</v>
      </c>
      <c r="C113" s="53" t="s">
        <v>251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7">
        <f t="shared" si="19"/>
        <v>0</v>
      </c>
    </row>
    <row r="114" spans="2:31" hidden="1">
      <c r="B114" s="50">
        <v>1007020</v>
      </c>
      <c r="C114" s="53" t="s">
        <v>253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7">
        <f t="shared" si="19"/>
        <v>0</v>
      </c>
    </row>
    <row r="115" spans="2:31" hidden="1">
      <c r="B115" s="50">
        <v>1004063</v>
      </c>
      <c r="C115" s="53" t="s">
        <v>254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7">
        <f t="shared" si="19"/>
        <v>0</v>
      </c>
    </row>
    <row r="116" spans="2:31" hidden="1">
      <c r="B116" s="50">
        <v>1004065</v>
      </c>
      <c r="C116" s="53" t="s">
        <v>255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7">
        <f t="shared" si="19"/>
        <v>0</v>
      </c>
    </row>
    <row r="117" spans="2:31" hidden="1">
      <c r="B117" s="50">
        <v>1006982</v>
      </c>
      <c r="C117" s="53" t="s">
        <v>256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7">
        <f t="shared" si="19"/>
        <v>0</v>
      </c>
    </row>
    <row r="118" spans="2:31" hidden="1">
      <c r="B118" s="50">
        <v>1006000</v>
      </c>
      <c r="C118" s="53" t="s">
        <v>257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7">
        <f t="shared" si="19"/>
        <v>0</v>
      </c>
    </row>
    <row r="119" spans="2:31" hidden="1">
      <c r="B119" s="50">
        <v>1005998</v>
      </c>
      <c r="C119" s="53" t="s">
        <v>258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7">
        <f t="shared" si="19"/>
        <v>0</v>
      </c>
    </row>
    <row r="120" spans="2:31" hidden="1">
      <c r="B120" s="50">
        <v>1005995</v>
      </c>
      <c r="C120" s="53" t="s">
        <v>259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7">
        <f t="shared" si="19"/>
        <v>0</v>
      </c>
    </row>
    <row r="121" spans="2:31" hidden="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7">
        <f t="shared" si="19"/>
        <v>0</v>
      </c>
    </row>
    <row r="122" spans="2:31" hidden="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7"/>
    </row>
    <row r="123" spans="2:31" hidden="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7"/>
    </row>
    <row r="124" spans="2:31" hidden="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7"/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7"/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7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7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7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7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7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7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7"/>
    </row>
    <row r="133" spans="2:31" hidden="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7"/>
    </row>
    <row r="134" spans="2:31" hidden="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7"/>
    </row>
    <row r="135" spans="2:31" hidden="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7"/>
    </row>
    <row r="136" spans="2:31" hidden="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7"/>
    </row>
    <row r="137" spans="2:31" hidden="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7"/>
    </row>
    <row r="138" spans="2:31" hidden="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7"/>
    </row>
    <row r="139" spans="2:31" hidden="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7"/>
    </row>
    <row r="140" spans="2:31" hidden="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7"/>
    </row>
    <row r="141" spans="2:31" hidden="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7"/>
    </row>
    <row r="142" spans="2:31" hidden="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7"/>
    </row>
    <row r="143" spans="2:31" hidden="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7"/>
    </row>
    <row r="144" spans="2:31" hidden="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7"/>
    </row>
    <row r="145" spans="2:31" hidden="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7"/>
    </row>
    <row r="146" spans="2:31" hidden="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7"/>
    </row>
    <row r="147" spans="2:31" hidden="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7"/>
    </row>
    <row r="148" spans="2:31" hidden="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7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7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7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7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7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7">
        <f t="shared" si="29"/>
        <v>0</v>
      </c>
    </row>
    <row r="154" spans="2:31" s="59" customFormat="1" ht="51.75">
      <c r="B154" s="97" t="s">
        <v>201</v>
      </c>
      <c r="C154" s="98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505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505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167</v>
      </c>
      <c r="H154" s="62">
        <f t="shared" si="31"/>
        <v>0</v>
      </c>
      <c r="I154" s="62">
        <f t="shared" si="31"/>
        <v>167</v>
      </c>
      <c r="J154" s="62">
        <f t="shared" si="31"/>
        <v>27</v>
      </c>
      <c r="K154" s="62">
        <f t="shared" si="31"/>
        <v>0</v>
      </c>
      <c r="L154" s="62">
        <f t="shared" si="31"/>
        <v>27</v>
      </c>
      <c r="M154" s="62">
        <f t="shared" si="31"/>
        <v>842</v>
      </c>
      <c r="N154" s="62">
        <f t="shared" si="31"/>
        <v>0</v>
      </c>
      <c r="O154" s="62">
        <f t="shared" si="31"/>
        <v>842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70</v>
      </c>
      <c r="Z154" s="62">
        <f t="shared" si="31"/>
        <v>1611</v>
      </c>
      <c r="AA154" s="62">
        <f t="shared" si="31"/>
        <v>1402</v>
      </c>
      <c r="AB154" s="62">
        <f t="shared" si="31"/>
        <v>2155</v>
      </c>
      <c r="AC154" s="62">
        <f t="shared" si="31"/>
        <v>1946</v>
      </c>
      <c r="AD154" s="62">
        <f t="shared" si="31"/>
        <v>95</v>
      </c>
      <c r="AE154" s="62">
        <f t="shared" si="31"/>
        <v>2041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Y2:Y3"/>
    <mergeCell ref="Z2:Z3"/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8DBC9-D1F0-4347-BE8B-FE1091D8619D}">
  <sheetPr codeName="Sheet24">
    <pageSetUpPr fitToPage="1"/>
  </sheetPr>
  <dimension ref="B1:AF159"/>
  <sheetViews>
    <sheetView zoomScale="50" zoomScaleNormal="50" workbookViewId="0">
      <selection activeCell="AF29" sqref="AF29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5" width="14.28515625" style="56" customWidth="1"/>
    <col min="26" max="26" width="19.5703125" style="57" bestFit="1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2" ht="68.25">
      <c r="B1" s="83" t="s">
        <v>227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</row>
    <row r="2" spans="2:32" ht="49.9" customHeight="1">
      <c r="B2" s="99" t="s">
        <v>3</v>
      </c>
      <c r="C2" s="99" t="s">
        <v>4</v>
      </c>
      <c r="D2" s="85" t="s">
        <v>5</v>
      </c>
      <c r="E2" s="86"/>
      <c r="F2" s="87"/>
      <c r="G2" s="85" t="s">
        <v>6</v>
      </c>
      <c r="H2" s="86"/>
      <c r="I2" s="87"/>
      <c r="J2" s="85" t="s">
        <v>7</v>
      </c>
      <c r="K2" s="86"/>
      <c r="L2" s="87"/>
      <c r="M2" s="85" t="s">
        <v>8</v>
      </c>
      <c r="N2" s="86"/>
      <c r="O2" s="87"/>
      <c r="P2" s="85" t="s">
        <v>132</v>
      </c>
      <c r="Q2" s="86"/>
      <c r="R2" s="87"/>
      <c r="S2" s="85" t="s">
        <v>9</v>
      </c>
      <c r="T2" s="86"/>
      <c r="U2" s="87"/>
      <c r="V2" s="88" t="s">
        <v>131</v>
      </c>
      <c r="W2" s="89"/>
      <c r="X2" s="90"/>
      <c r="Y2" s="101" t="s">
        <v>134</v>
      </c>
      <c r="Z2" s="103" t="s">
        <v>204</v>
      </c>
      <c r="AA2" s="91" t="s">
        <v>145</v>
      </c>
      <c r="AB2" s="91" t="s">
        <v>146</v>
      </c>
      <c r="AC2" s="95" t="s">
        <v>147</v>
      </c>
      <c r="AD2" s="93" t="s">
        <v>148</v>
      </c>
      <c r="AE2" s="82" t="s">
        <v>212</v>
      </c>
    </row>
    <row r="3" spans="2:32" ht="49.9" customHeight="1">
      <c r="B3" s="100"/>
      <c r="C3" s="100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102"/>
      <c r="Z3" s="104"/>
      <c r="AA3" s="92"/>
      <c r="AB3" s="92"/>
      <c r="AC3" s="96"/>
      <c r="AD3" s="94"/>
      <c r="AE3" s="82"/>
    </row>
    <row r="4" spans="2:32">
      <c r="B4" s="50">
        <v>1004055</v>
      </c>
      <c r="C4" s="51" t="s">
        <v>149</v>
      </c>
      <c r="D4" s="52"/>
      <c r="E4" s="52"/>
      <c r="F4" s="65">
        <f>SUM(D4:E4)</f>
        <v>0</v>
      </c>
      <c r="G4" s="52">
        <v>7</v>
      </c>
      <c r="H4" s="52"/>
      <c r="I4" s="65">
        <f>SUM(G4:H4)</f>
        <v>7</v>
      </c>
      <c r="J4" s="52"/>
      <c r="K4" s="52"/>
      <c r="L4" s="65">
        <f>SUM(J4:K4)</f>
        <v>0</v>
      </c>
      <c r="M4" s="52">
        <v>96</v>
      </c>
      <c r="N4" s="52"/>
      <c r="O4" s="65">
        <f>SUM(M4:N4)</f>
        <v>96</v>
      </c>
      <c r="P4" s="52">
        <v>3</v>
      </c>
      <c r="Q4" s="52"/>
      <c r="R4" s="65">
        <f>SUM(P4:Q4)</f>
        <v>3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71">
        <v>5</v>
      </c>
      <c r="Z4" s="63">
        <f>+F4+I4+L4+O4+R4+U4+X4+Y4</f>
        <v>111</v>
      </c>
      <c r="AA4" s="50"/>
      <c r="AB4" s="50"/>
      <c r="AC4" s="61">
        <f>+AA4+AB4-Z4</f>
        <v>-111</v>
      </c>
      <c r="AD4" s="50"/>
      <c r="AE4" s="67">
        <f>AC4+AD4</f>
        <v>-111</v>
      </c>
      <c r="AF4" s="49" t="s">
        <v>269</v>
      </c>
    </row>
    <row r="5" spans="2:32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16</v>
      </c>
      <c r="H5" s="52"/>
      <c r="I5" s="65">
        <f t="shared" ref="I5:I68" si="1">SUM(G5:H5)</f>
        <v>16</v>
      </c>
      <c r="J5" s="52">
        <v>24</v>
      </c>
      <c r="K5" s="52"/>
      <c r="L5" s="65">
        <f t="shared" ref="L5:L68" si="2">SUM(J5:K5)</f>
        <v>24</v>
      </c>
      <c r="M5" s="52">
        <v>9</v>
      </c>
      <c r="N5" s="52"/>
      <c r="O5" s="65">
        <f t="shared" ref="O5:O68" si="3">SUM(M5:N5)</f>
        <v>9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71">
        <v>20</v>
      </c>
      <c r="Z5" s="63">
        <f t="shared" ref="Z5:Z68" si="7">+F5+I5+L5+O5+R5+U5+X5+Y5</f>
        <v>69</v>
      </c>
      <c r="AA5" s="58"/>
      <c r="AB5" s="58"/>
      <c r="AC5" s="61">
        <f t="shared" ref="AC5:AC68" si="8">+AA5+AB5-Z5</f>
        <v>-69</v>
      </c>
      <c r="AD5" s="58"/>
      <c r="AE5" s="67">
        <f t="shared" ref="AE5:AE68" si="9">AC5+AD5</f>
        <v>-69</v>
      </c>
      <c r="AF5" s="49" t="s">
        <v>268</v>
      </c>
    </row>
    <row r="6" spans="2:32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7">
        <f t="shared" si="9"/>
        <v>0</v>
      </c>
    </row>
    <row r="7" spans="2:32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7">
        <f t="shared" si="9"/>
        <v>0</v>
      </c>
    </row>
    <row r="8" spans="2:32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7">
        <f t="shared" si="9"/>
        <v>0</v>
      </c>
    </row>
    <row r="9" spans="2:32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32</v>
      </c>
      <c r="H9" s="52"/>
      <c r="I9" s="65">
        <f t="shared" si="1"/>
        <v>32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32</v>
      </c>
      <c r="AA9" s="50"/>
      <c r="AB9" s="50"/>
      <c r="AC9" s="61">
        <f t="shared" si="8"/>
        <v>-32</v>
      </c>
      <c r="AD9" s="50"/>
      <c r="AE9" s="67">
        <f t="shared" si="9"/>
        <v>-32</v>
      </c>
    </row>
    <row r="10" spans="2:32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>
        <v>32</v>
      </c>
      <c r="H10" s="52"/>
      <c r="I10" s="65">
        <f t="shared" si="1"/>
        <v>32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32</v>
      </c>
      <c r="AA10" s="50"/>
      <c r="AB10" s="50"/>
      <c r="AC10" s="61">
        <f t="shared" si="8"/>
        <v>-32</v>
      </c>
      <c r="AD10" s="50"/>
      <c r="AE10" s="67">
        <f t="shared" si="9"/>
        <v>-32</v>
      </c>
    </row>
    <row r="11" spans="2:32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32</v>
      </c>
      <c r="H11" s="52"/>
      <c r="I11" s="65">
        <f t="shared" si="1"/>
        <v>32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32</v>
      </c>
      <c r="AA11" s="50"/>
      <c r="AB11" s="50"/>
      <c r="AC11" s="61">
        <f t="shared" si="8"/>
        <v>-32</v>
      </c>
      <c r="AD11" s="50"/>
      <c r="AE11" s="67">
        <f t="shared" si="9"/>
        <v>-32</v>
      </c>
    </row>
    <row r="12" spans="2:32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32</v>
      </c>
      <c r="H12" s="52"/>
      <c r="I12" s="65">
        <f t="shared" si="1"/>
        <v>32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32</v>
      </c>
      <c r="AA12" s="50"/>
      <c r="AB12" s="50"/>
      <c r="AC12" s="61">
        <f t="shared" si="8"/>
        <v>-32</v>
      </c>
      <c r="AD12" s="50"/>
      <c r="AE12" s="67">
        <f t="shared" si="9"/>
        <v>-32</v>
      </c>
    </row>
    <row r="13" spans="2:32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32</v>
      </c>
      <c r="H13" s="52"/>
      <c r="I13" s="65">
        <f t="shared" si="1"/>
        <v>32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32</v>
      </c>
      <c r="AA13" s="50"/>
      <c r="AB13" s="50"/>
      <c r="AC13" s="61">
        <f t="shared" si="8"/>
        <v>-32</v>
      </c>
      <c r="AD13" s="50"/>
      <c r="AE13" s="67">
        <f t="shared" si="9"/>
        <v>-32</v>
      </c>
    </row>
    <row r="14" spans="2:32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32</v>
      </c>
      <c r="H14" s="52"/>
      <c r="I14" s="65">
        <f t="shared" si="1"/>
        <v>32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32</v>
      </c>
      <c r="AA14" s="50"/>
      <c r="AB14" s="50"/>
      <c r="AC14" s="61">
        <f t="shared" si="8"/>
        <v>-32</v>
      </c>
      <c r="AD14" s="50"/>
      <c r="AE14" s="67">
        <f t="shared" si="9"/>
        <v>-32</v>
      </c>
    </row>
    <row r="15" spans="2:32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32</v>
      </c>
      <c r="H15" s="52"/>
      <c r="I15" s="65">
        <f t="shared" si="1"/>
        <v>32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32</v>
      </c>
      <c r="AA15" s="50"/>
      <c r="AB15" s="50"/>
      <c r="AC15" s="61">
        <f t="shared" si="8"/>
        <v>-32</v>
      </c>
      <c r="AD15" s="50"/>
      <c r="AE15" s="67">
        <f t="shared" si="9"/>
        <v>-32</v>
      </c>
    </row>
    <row r="16" spans="2:32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32</v>
      </c>
      <c r="H16" s="52"/>
      <c r="I16" s="65">
        <f t="shared" si="1"/>
        <v>32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32</v>
      </c>
      <c r="AA16" s="50"/>
      <c r="AB16" s="50"/>
      <c r="AC16" s="61">
        <f t="shared" si="8"/>
        <v>-32</v>
      </c>
      <c r="AD16" s="50"/>
      <c r="AE16" s="67">
        <f t="shared" si="9"/>
        <v>-32</v>
      </c>
    </row>
    <row r="17" spans="2:32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32</v>
      </c>
      <c r="H17" s="52"/>
      <c r="I17" s="65">
        <f t="shared" si="1"/>
        <v>32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32</v>
      </c>
      <c r="AA17" s="50"/>
      <c r="AB17" s="50"/>
      <c r="AC17" s="61">
        <f t="shared" si="8"/>
        <v>-32</v>
      </c>
      <c r="AD17" s="50"/>
      <c r="AE17" s="67">
        <f t="shared" si="9"/>
        <v>-32</v>
      </c>
    </row>
    <row r="18" spans="2:32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32</v>
      </c>
      <c r="H18" s="52"/>
      <c r="I18" s="65">
        <f t="shared" si="1"/>
        <v>32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32</v>
      </c>
      <c r="AA18" s="50"/>
      <c r="AB18" s="50"/>
      <c r="AC18" s="61">
        <f t="shared" si="8"/>
        <v>-32</v>
      </c>
      <c r="AD18" s="50"/>
      <c r="AE18" s="67">
        <f t="shared" si="9"/>
        <v>-32</v>
      </c>
    </row>
    <row r="19" spans="2:32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7">
        <f t="shared" si="9"/>
        <v>0</v>
      </c>
    </row>
    <row r="20" spans="2:32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7">
        <f t="shared" si="9"/>
        <v>0</v>
      </c>
    </row>
    <row r="21" spans="2:32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7">
        <f t="shared" si="9"/>
        <v>0</v>
      </c>
    </row>
    <row r="22" spans="2:32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7">
        <f t="shared" si="9"/>
        <v>0</v>
      </c>
    </row>
    <row r="23" spans="2:32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7">
        <f t="shared" si="9"/>
        <v>0</v>
      </c>
    </row>
    <row r="24" spans="2:32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7">
        <f t="shared" si="9"/>
        <v>0</v>
      </c>
    </row>
    <row r="25" spans="2:32">
      <c r="B25" s="50">
        <v>1111008</v>
      </c>
      <c r="C25" s="51" t="s">
        <v>156</v>
      </c>
      <c r="D25" s="52"/>
      <c r="E25" s="52"/>
      <c r="F25" s="65">
        <f t="shared" si="0"/>
        <v>0</v>
      </c>
      <c r="G25" s="52">
        <v>24</v>
      </c>
      <c r="H25" s="52"/>
      <c r="I25" s="65">
        <f t="shared" si="1"/>
        <v>24</v>
      </c>
      <c r="J25" s="52"/>
      <c r="K25" s="52"/>
      <c r="L25" s="65">
        <f t="shared" si="2"/>
        <v>0</v>
      </c>
      <c r="M25" s="52">
        <v>21</v>
      </c>
      <c r="N25" s="52"/>
      <c r="O25" s="65">
        <f t="shared" si="3"/>
        <v>21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45</v>
      </c>
      <c r="AA25" s="50"/>
      <c r="AB25" s="50"/>
      <c r="AC25" s="61">
        <f t="shared" si="8"/>
        <v>-45</v>
      </c>
      <c r="AD25" s="50"/>
      <c r="AE25" s="67">
        <f t="shared" si="9"/>
        <v>-45</v>
      </c>
    </row>
    <row r="26" spans="2:32">
      <c r="B26" s="50">
        <v>1111009</v>
      </c>
      <c r="C26" s="51" t="s">
        <v>157</v>
      </c>
      <c r="D26" s="52"/>
      <c r="E26" s="52"/>
      <c r="F26" s="65">
        <f t="shared" si="0"/>
        <v>0</v>
      </c>
      <c r="G26" s="52">
        <v>4</v>
      </c>
      <c r="H26" s="52"/>
      <c r="I26" s="65">
        <f t="shared" si="1"/>
        <v>4</v>
      </c>
      <c r="J26" s="52"/>
      <c r="K26" s="52"/>
      <c r="L26" s="65">
        <f t="shared" si="2"/>
        <v>0</v>
      </c>
      <c r="M26" s="52"/>
      <c r="N26" s="52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71">
        <v>2</v>
      </c>
      <c r="Z26" s="63">
        <f t="shared" si="7"/>
        <v>6</v>
      </c>
      <c r="AA26" s="50"/>
      <c r="AB26" s="50"/>
      <c r="AC26" s="61">
        <f t="shared" si="8"/>
        <v>-6</v>
      </c>
      <c r="AD26" s="50"/>
      <c r="AE26" s="67">
        <f t="shared" si="9"/>
        <v>-6</v>
      </c>
      <c r="AF26" s="49" t="s">
        <v>269</v>
      </c>
    </row>
    <row r="27" spans="2:32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7">
        <f t="shared" si="9"/>
        <v>0</v>
      </c>
    </row>
    <row r="28" spans="2:32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7">
        <f t="shared" si="9"/>
        <v>0</v>
      </c>
    </row>
    <row r="29" spans="2:32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7">
        <f t="shared" si="9"/>
        <v>0</v>
      </c>
    </row>
    <row r="30" spans="2:32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7">
        <f t="shared" si="9"/>
        <v>0</v>
      </c>
    </row>
    <row r="31" spans="2:32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7">
        <f t="shared" si="9"/>
        <v>0</v>
      </c>
    </row>
    <row r="32" spans="2:32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7">
        <f t="shared" si="9"/>
        <v>0</v>
      </c>
    </row>
    <row r="33" spans="2:3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7">
        <f t="shared" si="9"/>
        <v>0</v>
      </c>
    </row>
    <row r="34" spans="2:3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7">
        <f t="shared" si="9"/>
        <v>0</v>
      </c>
    </row>
    <row r="35" spans="2:3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7">
        <f t="shared" si="9"/>
        <v>0</v>
      </c>
    </row>
    <row r="36" spans="2:3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7">
        <f t="shared" si="9"/>
        <v>0</v>
      </c>
    </row>
    <row r="37" spans="2:3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7">
        <f t="shared" si="9"/>
        <v>0</v>
      </c>
    </row>
    <row r="38" spans="2:3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7">
        <f t="shared" si="9"/>
        <v>0</v>
      </c>
    </row>
    <row r="39" spans="2:3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7">
        <f t="shared" si="9"/>
        <v>0</v>
      </c>
    </row>
    <row r="40" spans="2:3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7">
        <f t="shared" si="9"/>
        <v>0</v>
      </c>
    </row>
    <row r="41" spans="2:31">
      <c r="B41" s="50">
        <v>1111056</v>
      </c>
      <c r="C41" s="51" t="s">
        <v>172</v>
      </c>
      <c r="D41" s="52">
        <v>3</v>
      </c>
      <c r="E41" s="52"/>
      <c r="F41" s="65">
        <f t="shared" si="0"/>
        <v>3</v>
      </c>
      <c r="G41" s="52">
        <v>4</v>
      </c>
      <c r="H41" s="52"/>
      <c r="I41" s="65">
        <f t="shared" si="1"/>
        <v>4</v>
      </c>
      <c r="J41" s="52"/>
      <c r="K41" s="52"/>
      <c r="L41" s="65">
        <f t="shared" si="2"/>
        <v>0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7</v>
      </c>
      <c r="AA41" s="50"/>
      <c r="AB41" s="50"/>
      <c r="AC41" s="61">
        <f t="shared" si="8"/>
        <v>-7</v>
      </c>
      <c r="AD41" s="50"/>
      <c r="AE41" s="67">
        <f t="shared" si="9"/>
        <v>-7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7</v>
      </c>
      <c r="H42" s="52"/>
      <c r="I42" s="65">
        <f t="shared" si="1"/>
        <v>7</v>
      </c>
      <c r="J42" s="52">
        <v>1</v>
      </c>
      <c r="K42" s="52"/>
      <c r="L42" s="65">
        <f t="shared" si="2"/>
        <v>1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8</v>
      </c>
      <c r="AA42" s="50"/>
      <c r="AB42" s="50"/>
      <c r="AC42" s="61">
        <f t="shared" si="8"/>
        <v>-8</v>
      </c>
      <c r="AD42" s="50"/>
      <c r="AE42" s="67">
        <f t="shared" si="9"/>
        <v>-8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7</v>
      </c>
      <c r="H43" s="52"/>
      <c r="I43" s="65">
        <f t="shared" si="1"/>
        <v>7</v>
      </c>
      <c r="J43" s="52">
        <v>1</v>
      </c>
      <c r="K43" s="52"/>
      <c r="L43" s="65">
        <f t="shared" si="2"/>
        <v>1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8</v>
      </c>
      <c r="AA43" s="50"/>
      <c r="AB43" s="50"/>
      <c r="AC43" s="61">
        <f t="shared" si="8"/>
        <v>-8</v>
      </c>
      <c r="AD43" s="50"/>
      <c r="AE43" s="67">
        <f t="shared" si="9"/>
        <v>-8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7</v>
      </c>
      <c r="H44" s="52"/>
      <c r="I44" s="65">
        <f t="shared" si="1"/>
        <v>7</v>
      </c>
      <c r="J44" s="52">
        <v>1</v>
      </c>
      <c r="K44" s="52"/>
      <c r="L44" s="65">
        <f t="shared" si="2"/>
        <v>1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8</v>
      </c>
      <c r="AA44" s="50"/>
      <c r="AB44" s="50"/>
      <c r="AC44" s="61">
        <f t="shared" si="8"/>
        <v>-8</v>
      </c>
      <c r="AD44" s="50"/>
      <c r="AE44" s="67">
        <f t="shared" si="9"/>
        <v>-8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7</v>
      </c>
      <c r="H45" s="52"/>
      <c r="I45" s="65">
        <f t="shared" si="1"/>
        <v>7</v>
      </c>
      <c r="J45" s="52">
        <v>1</v>
      </c>
      <c r="K45" s="52"/>
      <c r="L45" s="65">
        <f t="shared" si="2"/>
        <v>1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8</v>
      </c>
      <c r="AA45" s="50"/>
      <c r="AB45" s="50"/>
      <c r="AC45" s="61">
        <f t="shared" si="8"/>
        <v>-8</v>
      </c>
      <c r="AD45" s="50"/>
      <c r="AE45" s="67">
        <f t="shared" si="9"/>
        <v>-8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7</v>
      </c>
      <c r="H46" s="52"/>
      <c r="I46" s="65">
        <f t="shared" si="1"/>
        <v>7</v>
      </c>
      <c r="J46" s="52">
        <v>1</v>
      </c>
      <c r="K46" s="52"/>
      <c r="L46" s="65">
        <f t="shared" si="2"/>
        <v>1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8</v>
      </c>
      <c r="AA46" s="50"/>
      <c r="AB46" s="50"/>
      <c r="AC46" s="61">
        <f t="shared" si="8"/>
        <v>-8</v>
      </c>
      <c r="AD46" s="50"/>
      <c r="AE46" s="67">
        <f t="shared" si="9"/>
        <v>-8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7</v>
      </c>
      <c r="H47" s="52"/>
      <c r="I47" s="65">
        <f t="shared" si="1"/>
        <v>7</v>
      </c>
      <c r="J47" s="52">
        <v>1</v>
      </c>
      <c r="K47" s="52"/>
      <c r="L47" s="65">
        <f t="shared" si="2"/>
        <v>1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8</v>
      </c>
      <c r="AA47" s="50"/>
      <c r="AB47" s="50"/>
      <c r="AC47" s="61">
        <f t="shared" si="8"/>
        <v>-8</v>
      </c>
      <c r="AD47" s="50"/>
      <c r="AE47" s="67">
        <f t="shared" si="9"/>
        <v>-8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7</v>
      </c>
      <c r="H48" s="52"/>
      <c r="I48" s="65">
        <f t="shared" si="1"/>
        <v>7</v>
      </c>
      <c r="J48" s="52">
        <v>1</v>
      </c>
      <c r="K48" s="52"/>
      <c r="L48" s="65">
        <f t="shared" si="2"/>
        <v>1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8</v>
      </c>
      <c r="AA48" s="50"/>
      <c r="AB48" s="50"/>
      <c r="AC48" s="61">
        <f t="shared" si="8"/>
        <v>-8</v>
      </c>
      <c r="AD48" s="50"/>
      <c r="AE48" s="67">
        <f t="shared" si="9"/>
        <v>-8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7</v>
      </c>
      <c r="H49" s="52"/>
      <c r="I49" s="65">
        <f t="shared" si="1"/>
        <v>7</v>
      </c>
      <c r="J49" s="52">
        <v>1</v>
      </c>
      <c r="K49" s="52"/>
      <c r="L49" s="65">
        <f t="shared" si="2"/>
        <v>1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8</v>
      </c>
      <c r="AA49" s="50"/>
      <c r="AB49" s="50"/>
      <c r="AC49" s="61">
        <f t="shared" si="8"/>
        <v>-8</v>
      </c>
      <c r="AD49" s="50"/>
      <c r="AE49" s="67">
        <f t="shared" si="9"/>
        <v>-8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7</v>
      </c>
      <c r="H50" s="52"/>
      <c r="I50" s="65">
        <f t="shared" si="1"/>
        <v>7</v>
      </c>
      <c r="J50" s="52">
        <v>1</v>
      </c>
      <c r="K50" s="52"/>
      <c r="L50" s="65">
        <f t="shared" si="2"/>
        <v>1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8</v>
      </c>
      <c r="AA50" s="50"/>
      <c r="AB50" s="50"/>
      <c r="AC50" s="61">
        <f t="shared" si="8"/>
        <v>-8</v>
      </c>
      <c r="AD50" s="50"/>
      <c r="AE50" s="67">
        <f t="shared" si="9"/>
        <v>-8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7</v>
      </c>
      <c r="H51" s="52"/>
      <c r="I51" s="65">
        <f t="shared" si="1"/>
        <v>7</v>
      </c>
      <c r="J51" s="52">
        <v>1</v>
      </c>
      <c r="K51" s="52"/>
      <c r="L51" s="65">
        <f t="shared" si="2"/>
        <v>1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8</v>
      </c>
      <c r="AA51" s="50"/>
      <c r="AB51" s="50"/>
      <c r="AC51" s="61">
        <f t="shared" si="8"/>
        <v>-8</v>
      </c>
      <c r="AD51" s="50"/>
      <c r="AE51" s="67">
        <f t="shared" si="9"/>
        <v>-8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7">
        <f t="shared" si="9"/>
        <v>0</v>
      </c>
    </row>
    <row r="53" spans="2:31">
      <c r="B53" s="50">
        <v>1112003</v>
      </c>
      <c r="C53" s="51" t="s">
        <v>174</v>
      </c>
      <c r="D53" s="52">
        <v>2</v>
      </c>
      <c r="E53" s="52"/>
      <c r="F53" s="65">
        <f t="shared" si="0"/>
        <v>2</v>
      </c>
      <c r="G53" s="52">
        <v>1</v>
      </c>
      <c r="H53" s="52"/>
      <c r="I53" s="65">
        <f t="shared" si="1"/>
        <v>1</v>
      </c>
      <c r="J53" s="52"/>
      <c r="K53" s="52"/>
      <c r="L53" s="65">
        <f t="shared" si="2"/>
        <v>0</v>
      </c>
      <c r="M53" s="52">
        <v>43</v>
      </c>
      <c r="N53" s="52"/>
      <c r="O53" s="65">
        <f t="shared" si="3"/>
        <v>43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46</v>
      </c>
      <c r="AA53" s="50"/>
      <c r="AB53" s="50"/>
      <c r="AC53" s="61">
        <f t="shared" si="8"/>
        <v>-46</v>
      </c>
      <c r="AD53" s="50"/>
      <c r="AE53" s="67">
        <f t="shared" si="9"/>
        <v>-46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7">
        <f t="shared" si="9"/>
        <v>0</v>
      </c>
    </row>
    <row r="55" spans="2:31">
      <c r="B55" s="50">
        <v>1112005</v>
      </c>
      <c r="C55" s="51" t="s">
        <v>176</v>
      </c>
      <c r="D55" s="52">
        <v>4</v>
      </c>
      <c r="E55" s="52"/>
      <c r="F55" s="65">
        <f t="shared" si="0"/>
        <v>4</v>
      </c>
      <c r="G55" s="52">
        <v>1</v>
      </c>
      <c r="H55" s="52"/>
      <c r="I55" s="65">
        <f t="shared" si="1"/>
        <v>1</v>
      </c>
      <c r="J55" s="52"/>
      <c r="K55" s="52"/>
      <c r="L55" s="65">
        <f t="shared" si="2"/>
        <v>0</v>
      </c>
      <c r="M55" s="52">
        <v>43</v>
      </c>
      <c r="N55" s="52"/>
      <c r="O55" s="65">
        <f t="shared" si="3"/>
        <v>43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48</v>
      </c>
      <c r="AA55" s="50"/>
      <c r="AB55" s="50"/>
      <c r="AC55" s="61">
        <f t="shared" si="8"/>
        <v>-48</v>
      </c>
      <c r="AD55" s="50"/>
      <c r="AE55" s="67">
        <f t="shared" si="9"/>
        <v>-48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7">
        <f t="shared" si="9"/>
        <v>0</v>
      </c>
    </row>
    <row r="57" spans="2:31">
      <c r="B57" s="50">
        <v>1112009</v>
      </c>
      <c r="C57" s="51" t="s">
        <v>178</v>
      </c>
      <c r="D57" s="52">
        <v>10</v>
      </c>
      <c r="E57" s="52"/>
      <c r="F57" s="65">
        <f t="shared" si="0"/>
        <v>10</v>
      </c>
      <c r="G57" s="52">
        <v>1</v>
      </c>
      <c r="H57" s="52"/>
      <c r="I57" s="65">
        <f t="shared" si="1"/>
        <v>1</v>
      </c>
      <c r="J57" s="52"/>
      <c r="K57" s="52"/>
      <c r="L57" s="65">
        <f t="shared" si="2"/>
        <v>0</v>
      </c>
      <c r="M57" s="52">
        <v>43</v>
      </c>
      <c r="N57" s="52"/>
      <c r="O57" s="65">
        <f t="shared" si="3"/>
        <v>43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54</v>
      </c>
      <c r="AA57" s="50"/>
      <c r="AB57" s="50"/>
      <c r="AC57" s="61">
        <f t="shared" si="8"/>
        <v>-54</v>
      </c>
      <c r="AD57" s="50"/>
      <c r="AE57" s="67">
        <f t="shared" si="9"/>
        <v>-54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7">
        <f t="shared" si="9"/>
        <v>0</v>
      </c>
    </row>
    <row r="59" spans="2:31">
      <c r="B59" s="50">
        <v>1112011</v>
      </c>
      <c r="C59" s="51" t="s">
        <v>180</v>
      </c>
      <c r="D59" s="52">
        <v>5</v>
      </c>
      <c r="E59" s="52"/>
      <c r="F59" s="65">
        <f t="shared" si="0"/>
        <v>5</v>
      </c>
      <c r="G59" s="52"/>
      <c r="H59" s="52"/>
      <c r="I59" s="65">
        <f t="shared" si="1"/>
        <v>0</v>
      </c>
      <c r="J59" s="52">
        <v>10</v>
      </c>
      <c r="K59" s="52"/>
      <c r="L59" s="65">
        <f t="shared" si="2"/>
        <v>10</v>
      </c>
      <c r="M59" s="52">
        <v>43</v>
      </c>
      <c r="N59" s="52"/>
      <c r="O59" s="65">
        <f t="shared" si="3"/>
        <v>43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58</v>
      </c>
      <c r="AA59" s="50"/>
      <c r="AB59" s="50"/>
      <c r="AC59" s="61">
        <f t="shared" si="8"/>
        <v>-58</v>
      </c>
      <c r="AD59" s="50"/>
      <c r="AE59" s="67">
        <f t="shared" si="9"/>
        <v>-58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7">
        <f t="shared" si="9"/>
        <v>0</v>
      </c>
    </row>
    <row r="61" spans="2:31">
      <c r="B61" s="50">
        <v>1112013</v>
      </c>
      <c r="C61" s="51" t="s">
        <v>182</v>
      </c>
      <c r="D61" s="52">
        <v>3</v>
      </c>
      <c r="E61" s="52"/>
      <c r="F61" s="65">
        <f t="shared" si="0"/>
        <v>3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52">
        <v>43</v>
      </c>
      <c r="N61" s="52"/>
      <c r="O61" s="65">
        <f t="shared" si="3"/>
        <v>43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46</v>
      </c>
      <c r="AA61" s="50"/>
      <c r="AB61" s="50"/>
      <c r="AC61" s="61">
        <f t="shared" si="8"/>
        <v>-46</v>
      </c>
      <c r="AD61" s="50"/>
      <c r="AE61" s="67">
        <f t="shared" si="9"/>
        <v>-46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7">
        <f t="shared" si="9"/>
        <v>0</v>
      </c>
    </row>
    <row r="63" spans="2:31">
      <c r="B63" s="50">
        <v>1112015</v>
      </c>
      <c r="C63" s="51" t="s">
        <v>184</v>
      </c>
      <c r="D63" s="52">
        <v>3</v>
      </c>
      <c r="E63" s="52"/>
      <c r="F63" s="65">
        <f t="shared" si="0"/>
        <v>3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52">
        <v>43</v>
      </c>
      <c r="N63" s="52"/>
      <c r="O63" s="65">
        <f t="shared" si="3"/>
        <v>43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46</v>
      </c>
      <c r="AA63" s="50"/>
      <c r="AB63" s="50"/>
      <c r="AC63" s="61">
        <f t="shared" si="8"/>
        <v>-46</v>
      </c>
      <c r="AD63" s="50"/>
      <c r="AE63" s="67">
        <f t="shared" si="9"/>
        <v>-46</v>
      </c>
    </row>
    <row r="64" spans="2:3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7">
        <f t="shared" si="9"/>
        <v>0</v>
      </c>
    </row>
    <row r="65" spans="2:3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7">
        <f t="shared" si="9"/>
        <v>0</v>
      </c>
    </row>
    <row r="66" spans="2:3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7">
        <f t="shared" si="9"/>
        <v>0</v>
      </c>
    </row>
    <row r="67" spans="2:31">
      <c r="B67" s="50">
        <v>1114501</v>
      </c>
      <c r="C67" s="53" t="s">
        <v>187</v>
      </c>
      <c r="D67" s="52">
        <v>1</v>
      </c>
      <c r="E67" s="52"/>
      <c r="F67" s="65">
        <f t="shared" si="0"/>
        <v>1</v>
      </c>
      <c r="G67" s="52">
        <v>4</v>
      </c>
      <c r="H67" s="52"/>
      <c r="I67" s="65">
        <f t="shared" si="1"/>
        <v>4</v>
      </c>
      <c r="J67" s="52">
        <v>2</v>
      </c>
      <c r="K67" s="52"/>
      <c r="L67" s="65">
        <f t="shared" si="2"/>
        <v>2</v>
      </c>
      <c r="M67" s="52">
        <v>200</v>
      </c>
      <c r="N67" s="52"/>
      <c r="O67" s="65">
        <f t="shared" si="3"/>
        <v>200</v>
      </c>
      <c r="P67" s="52">
        <v>3</v>
      </c>
      <c r="Q67" s="52"/>
      <c r="R67" s="65">
        <f t="shared" si="4"/>
        <v>3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210</v>
      </c>
      <c r="AA67" s="50"/>
      <c r="AB67" s="50"/>
      <c r="AC67" s="61">
        <f t="shared" si="8"/>
        <v>-210</v>
      </c>
      <c r="AD67" s="50"/>
      <c r="AE67" s="67">
        <f t="shared" si="9"/>
        <v>-210</v>
      </c>
    </row>
    <row r="68" spans="2:31">
      <c r="B68" s="50">
        <v>1114502</v>
      </c>
      <c r="C68" s="53" t="s">
        <v>188</v>
      </c>
      <c r="D68" s="52">
        <v>1</v>
      </c>
      <c r="E68" s="52"/>
      <c r="F68" s="65">
        <f t="shared" si="0"/>
        <v>1</v>
      </c>
      <c r="G68" s="52">
        <v>2</v>
      </c>
      <c r="H68" s="52"/>
      <c r="I68" s="65">
        <f t="shared" si="1"/>
        <v>2</v>
      </c>
      <c r="J68" s="52">
        <v>1</v>
      </c>
      <c r="K68" s="52"/>
      <c r="L68" s="65">
        <f t="shared" si="2"/>
        <v>1</v>
      </c>
      <c r="M68" s="52">
        <v>179</v>
      </c>
      <c r="N68" s="52"/>
      <c r="O68" s="65">
        <f t="shared" si="3"/>
        <v>179</v>
      </c>
      <c r="P68" s="52">
        <v>3</v>
      </c>
      <c r="Q68" s="52"/>
      <c r="R68" s="65">
        <f t="shared" si="4"/>
        <v>3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186</v>
      </c>
      <c r="AA68" s="50"/>
      <c r="AB68" s="50"/>
      <c r="AC68" s="61">
        <f t="shared" si="8"/>
        <v>-186</v>
      </c>
      <c r="AD68" s="50"/>
      <c r="AE68" s="67">
        <f t="shared" si="9"/>
        <v>-186</v>
      </c>
    </row>
    <row r="69" spans="2:31">
      <c r="B69" s="50">
        <v>1114503</v>
      </c>
      <c r="C69" s="53" t="s">
        <v>189</v>
      </c>
      <c r="D69" s="52">
        <v>1</v>
      </c>
      <c r="E69" s="52"/>
      <c r="F69" s="65">
        <f t="shared" ref="F69:F132" si="10">SUM(D69:E69)</f>
        <v>1</v>
      </c>
      <c r="G69" s="52">
        <v>2</v>
      </c>
      <c r="H69" s="52"/>
      <c r="I69" s="65">
        <f t="shared" ref="I69:I121" si="11">SUM(G69:H69)</f>
        <v>2</v>
      </c>
      <c r="J69" s="52">
        <v>1</v>
      </c>
      <c r="K69" s="52"/>
      <c r="L69" s="65">
        <f t="shared" ref="L69:L121" si="12">SUM(J69:K69)</f>
        <v>1</v>
      </c>
      <c r="M69" s="52">
        <v>182</v>
      </c>
      <c r="N69" s="52"/>
      <c r="O69" s="65">
        <f t="shared" ref="O69:O121" si="13">SUM(M69:N69)</f>
        <v>182</v>
      </c>
      <c r="P69" s="52">
        <v>3</v>
      </c>
      <c r="Q69" s="52"/>
      <c r="R69" s="65">
        <f t="shared" ref="R69:R121" si="14">SUM(P69:Q69)</f>
        <v>3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189</v>
      </c>
      <c r="AA69" s="50"/>
      <c r="AB69" s="50"/>
      <c r="AC69" s="61">
        <f t="shared" ref="AC69:AC121" si="18">+AA69+AB69-Z69</f>
        <v>-189</v>
      </c>
      <c r="AD69" s="50"/>
      <c r="AE69" s="67">
        <f t="shared" ref="AE69:AE121" si="19">AC69+AD69</f>
        <v>-189</v>
      </c>
    </row>
    <row r="70" spans="2:3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7">
        <f t="shared" si="19"/>
        <v>0</v>
      </c>
    </row>
    <row r="71" spans="2:3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7">
        <f t="shared" si="19"/>
        <v>0</v>
      </c>
    </row>
    <row r="72" spans="2:3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7">
        <f t="shared" si="19"/>
        <v>0</v>
      </c>
    </row>
    <row r="73" spans="2:3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7">
        <f t="shared" si="19"/>
        <v>0</v>
      </c>
    </row>
    <row r="74" spans="2:3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7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52"/>
      <c r="N75" s="52"/>
      <c r="O75" s="65">
        <f t="shared" si="13"/>
        <v>0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/>
      <c r="AE75" s="67">
        <f t="shared" si="19"/>
        <v>0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/>
      <c r="AC76" s="61">
        <f t="shared" si="18"/>
        <v>0</v>
      </c>
      <c r="AD76" s="50"/>
      <c r="AE76" s="67">
        <f t="shared" si="19"/>
        <v>0</v>
      </c>
    </row>
    <row r="77" spans="2:31">
      <c r="B77" s="50">
        <v>1113172</v>
      </c>
      <c r="C77" s="53" t="s">
        <v>89</v>
      </c>
      <c r="D77" s="52">
        <v>8</v>
      </c>
      <c r="E77" s="52"/>
      <c r="F77" s="65">
        <f t="shared" si="10"/>
        <v>8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8</v>
      </c>
      <c r="AA77" s="50"/>
      <c r="AB77" s="50"/>
      <c r="AC77" s="61">
        <f t="shared" si="18"/>
        <v>-8</v>
      </c>
      <c r="AD77" s="50"/>
      <c r="AE77" s="67">
        <f t="shared" si="19"/>
        <v>-8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7">
        <f t="shared" si="19"/>
        <v>0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7">
        <f t="shared" si="19"/>
        <v>0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7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7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1</v>
      </c>
      <c r="H82" s="52"/>
      <c r="I82" s="65">
        <f t="shared" si="11"/>
        <v>1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1</v>
      </c>
      <c r="AA82" s="50"/>
      <c r="AB82" s="50"/>
      <c r="AC82" s="61">
        <f t="shared" si="18"/>
        <v>-1</v>
      </c>
      <c r="AD82" s="50"/>
      <c r="AE82" s="67">
        <f t="shared" si="19"/>
        <v>-1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/>
      <c r="H83" s="52"/>
      <c r="I83" s="65">
        <f t="shared" si="11"/>
        <v>0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0</v>
      </c>
      <c r="AA83" s="50"/>
      <c r="AB83" s="50"/>
      <c r="AC83" s="61">
        <f t="shared" si="18"/>
        <v>0</v>
      </c>
      <c r="AD83" s="50"/>
      <c r="AE83" s="67">
        <f t="shared" si="19"/>
        <v>0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7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7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7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7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7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7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7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7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7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7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7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7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7">
        <f t="shared" si="19"/>
        <v>0</v>
      </c>
    </row>
    <row r="97" spans="2:3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7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7">
        <f t="shared" si="19"/>
        <v>0</v>
      </c>
    </row>
    <row r="99" spans="2:3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7">
        <f t="shared" si="19"/>
        <v>0</v>
      </c>
    </row>
    <row r="100" spans="2:31">
      <c r="B100" s="50">
        <v>1004062</v>
      </c>
      <c r="C100" s="53" t="s">
        <v>238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>
        <v>5</v>
      </c>
      <c r="Z100" s="63">
        <f t="shared" si="17"/>
        <v>5</v>
      </c>
      <c r="AA100" s="50"/>
      <c r="AB100" s="50"/>
      <c r="AC100" s="61">
        <f t="shared" si="18"/>
        <v>-5</v>
      </c>
      <c r="AD100" s="50"/>
      <c r="AE100" s="67">
        <f t="shared" si="19"/>
        <v>-5</v>
      </c>
    </row>
    <row r="101" spans="2:31">
      <c r="B101" s="50">
        <v>1004051</v>
      </c>
      <c r="C101" s="53" t="s">
        <v>239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>
        <v>10</v>
      </c>
      <c r="Z101" s="63">
        <f t="shared" si="17"/>
        <v>10</v>
      </c>
      <c r="AA101" s="50"/>
      <c r="AB101" s="50"/>
      <c r="AC101" s="61">
        <f t="shared" si="18"/>
        <v>-10</v>
      </c>
      <c r="AD101" s="50"/>
      <c r="AE101" s="67">
        <f t="shared" si="19"/>
        <v>-10</v>
      </c>
    </row>
    <row r="102" spans="2:31">
      <c r="B102" s="50">
        <v>1111005</v>
      </c>
      <c r="C102" s="53" t="s">
        <v>240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7">
        <f t="shared" si="19"/>
        <v>0</v>
      </c>
    </row>
    <row r="103" spans="2:31">
      <c r="B103" s="50">
        <v>1111006</v>
      </c>
      <c r="C103" s="53" t="s">
        <v>241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>
        <v>10</v>
      </c>
      <c r="Z103" s="63">
        <f t="shared" si="17"/>
        <v>10</v>
      </c>
      <c r="AA103" s="50"/>
      <c r="AB103" s="50"/>
      <c r="AC103" s="61">
        <f t="shared" si="18"/>
        <v>-10</v>
      </c>
      <c r="AD103" s="50"/>
      <c r="AE103" s="67">
        <f t="shared" si="19"/>
        <v>-10</v>
      </c>
    </row>
    <row r="104" spans="2:31">
      <c r="B104" s="50">
        <v>1004048</v>
      </c>
      <c r="C104" s="53" t="s">
        <v>242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7">
        <f t="shared" si="19"/>
        <v>0</v>
      </c>
    </row>
    <row r="105" spans="2:31">
      <c r="B105" s="50">
        <v>1113157</v>
      </c>
      <c r="C105" s="53" t="s">
        <v>243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7">
        <f t="shared" si="19"/>
        <v>0</v>
      </c>
    </row>
    <row r="106" spans="2:31">
      <c r="B106" s="50">
        <v>1004080</v>
      </c>
      <c r="C106" s="53" t="s">
        <v>244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7">
        <f t="shared" si="19"/>
        <v>0</v>
      </c>
    </row>
    <row r="107" spans="2:31">
      <c r="B107" s="50">
        <v>1004081</v>
      </c>
      <c r="C107" s="53" t="s">
        <v>245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7">
        <f t="shared" si="19"/>
        <v>0</v>
      </c>
    </row>
    <row r="108" spans="2:31">
      <c r="B108" s="50">
        <v>3001200</v>
      </c>
      <c r="C108" s="53" t="s">
        <v>246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7">
        <f t="shared" si="19"/>
        <v>0</v>
      </c>
    </row>
    <row r="109" spans="2:31">
      <c r="B109" s="50">
        <v>1004047</v>
      </c>
      <c r="C109" s="53" t="s">
        <v>247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7">
        <f t="shared" si="19"/>
        <v>0</v>
      </c>
    </row>
    <row r="110" spans="2:31">
      <c r="B110" s="50">
        <v>1004070</v>
      </c>
      <c r="C110" s="53" t="s">
        <v>248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7">
        <f t="shared" si="19"/>
        <v>0</v>
      </c>
    </row>
    <row r="111" spans="2:31">
      <c r="B111" s="50">
        <v>1004076</v>
      </c>
      <c r="C111" s="53" t="s">
        <v>249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7">
        <f t="shared" si="19"/>
        <v>0</v>
      </c>
    </row>
    <row r="112" spans="2:31">
      <c r="B112" s="50">
        <v>1004050</v>
      </c>
      <c r="C112" s="53" t="s">
        <v>250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7">
        <f t="shared" si="19"/>
        <v>0</v>
      </c>
    </row>
    <row r="113" spans="2:31">
      <c r="B113" s="50">
        <v>1004048</v>
      </c>
      <c r="C113" s="53" t="s">
        <v>251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7">
        <f t="shared" si="19"/>
        <v>0</v>
      </c>
    </row>
    <row r="114" spans="2:31">
      <c r="B114" s="50">
        <v>1007020</v>
      </c>
      <c r="C114" s="53" t="s">
        <v>253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7">
        <f t="shared" si="19"/>
        <v>0</v>
      </c>
    </row>
    <row r="115" spans="2:31">
      <c r="B115" s="50">
        <v>1004063</v>
      </c>
      <c r="C115" s="53" t="s">
        <v>254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7">
        <f t="shared" si="19"/>
        <v>0</v>
      </c>
    </row>
    <row r="116" spans="2:31">
      <c r="B116" s="50">
        <v>1004065</v>
      </c>
      <c r="C116" s="53" t="s">
        <v>255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7">
        <f t="shared" si="19"/>
        <v>0</v>
      </c>
    </row>
    <row r="117" spans="2:31">
      <c r="B117" s="50">
        <v>1006982</v>
      </c>
      <c r="C117" s="53" t="s">
        <v>256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7">
        <f t="shared" si="19"/>
        <v>0</v>
      </c>
    </row>
    <row r="118" spans="2:31">
      <c r="B118" s="50">
        <v>1006000</v>
      </c>
      <c r="C118" s="53" t="s">
        <v>257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7">
        <f t="shared" si="19"/>
        <v>0</v>
      </c>
    </row>
    <row r="119" spans="2:31">
      <c r="B119" s="50">
        <v>1005998</v>
      </c>
      <c r="C119" s="53" t="s">
        <v>258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7">
        <f t="shared" si="19"/>
        <v>0</v>
      </c>
    </row>
    <row r="120" spans="2:31">
      <c r="B120" s="50">
        <v>1005995</v>
      </c>
      <c r="C120" s="53" t="s">
        <v>259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7">
        <f t="shared" si="19"/>
        <v>0</v>
      </c>
    </row>
    <row r="121" spans="2:3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7">
        <f t="shared" si="19"/>
        <v>0</v>
      </c>
    </row>
    <row r="122" spans="2:3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7"/>
    </row>
    <row r="123" spans="2:3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7"/>
    </row>
    <row r="124" spans="2:3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7"/>
    </row>
    <row r="125" spans="2:3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7"/>
    </row>
    <row r="126" spans="2:3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7"/>
    </row>
    <row r="127" spans="2:3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7"/>
    </row>
    <row r="128" spans="2:3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7"/>
    </row>
    <row r="129" spans="2:3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7"/>
    </row>
    <row r="130" spans="2:3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7"/>
    </row>
    <row r="131" spans="2:3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7"/>
    </row>
    <row r="132" spans="2:3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7"/>
    </row>
    <row r="133" spans="2:3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7"/>
    </row>
    <row r="134" spans="2:3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7"/>
    </row>
    <row r="135" spans="2:3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7"/>
    </row>
    <row r="136" spans="2:3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7"/>
    </row>
    <row r="137" spans="2:3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7"/>
    </row>
    <row r="138" spans="2:3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7"/>
    </row>
    <row r="139" spans="2:3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7"/>
    </row>
    <row r="140" spans="2:3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7"/>
    </row>
    <row r="141" spans="2:3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7"/>
    </row>
    <row r="142" spans="2:3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7"/>
    </row>
    <row r="143" spans="2:3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7"/>
    </row>
    <row r="144" spans="2:3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7"/>
    </row>
    <row r="145" spans="2:3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7"/>
    </row>
    <row r="146" spans="2:3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7"/>
    </row>
    <row r="147" spans="2:3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7"/>
    </row>
    <row r="148" spans="2:3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7"/>
    </row>
    <row r="149" spans="2:3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7"/>
    </row>
    <row r="150" spans="2:3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7"/>
    </row>
    <row r="151" spans="2:3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7">
        <f t="shared" ref="AE151:AE153" si="29">AC151+AD151</f>
        <v>0</v>
      </c>
    </row>
    <row r="152" spans="2:3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7">
        <f t="shared" si="29"/>
        <v>0</v>
      </c>
    </row>
    <row r="153" spans="2:3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7">
        <f t="shared" si="29"/>
        <v>0</v>
      </c>
    </row>
    <row r="154" spans="2:31" s="59" customFormat="1" ht="51.75">
      <c r="B154" s="97" t="s">
        <v>201</v>
      </c>
      <c r="C154" s="98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41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41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457</v>
      </c>
      <c r="H154" s="62">
        <f t="shared" si="31"/>
        <v>0</v>
      </c>
      <c r="I154" s="62">
        <f t="shared" si="31"/>
        <v>457</v>
      </c>
      <c r="J154" s="62">
        <f t="shared" si="31"/>
        <v>48</v>
      </c>
      <c r="K154" s="62">
        <f t="shared" si="31"/>
        <v>0</v>
      </c>
      <c r="L154" s="62">
        <f t="shared" si="31"/>
        <v>48</v>
      </c>
      <c r="M154" s="62">
        <f t="shared" si="31"/>
        <v>945</v>
      </c>
      <c r="N154" s="62">
        <f t="shared" si="31"/>
        <v>0</v>
      </c>
      <c r="O154" s="62">
        <f t="shared" si="31"/>
        <v>945</v>
      </c>
      <c r="P154" s="62">
        <f t="shared" si="31"/>
        <v>12</v>
      </c>
      <c r="Q154" s="62">
        <f t="shared" si="31"/>
        <v>0</v>
      </c>
      <c r="R154" s="62">
        <f t="shared" si="31"/>
        <v>12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52</v>
      </c>
      <c r="Z154" s="62">
        <f t="shared" si="31"/>
        <v>1555</v>
      </c>
      <c r="AA154" s="62">
        <f t="shared" si="31"/>
        <v>0</v>
      </c>
      <c r="AB154" s="62">
        <f t="shared" si="31"/>
        <v>0</v>
      </c>
      <c r="AC154" s="62">
        <f t="shared" si="31"/>
        <v>-1555</v>
      </c>
      <c r="AD154" s="62">
        <f t="shared" si="31"/>
        <v>0</v>
      </c>
      <c r="AE154" s="62">
        <f t="shared" si="31"/>
        <v>-1555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Y2:Y3"/>
    <mergeCell ref="Z2:Z3"/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77C54-53A9-45E0-8231-2318063D4E96}">
  <sheetPr codeName="Sheet25">
    <pageSetUpPr fitToPage="1"/>
  </sheetPr>
  <dimension ref="B1:AH159"/>
  <sheetViews>
    <sheetView zoomScale="40" zoomScaleNormal="40" workbookViewId="0">
      <selection activeCell="AQ61" sqref="AQ61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5" width="14.28515625" style="56" hidden="1" customWidth="1"/>
    <col min="26" max="26" width="19.5703125" style="57" bestFit="1" customWidth="1"/>
    <col min="27" max="30" width="20.7109375" style="48" customWidth="1"/>
    <col min="31" max="31" width="23.85546875" style="49" customWidth="1"/>
    <col min="32" max="32" width="22.7109375" style="49" customWidth="1"/>
    <col min="33" max="41" width="8.85546875" style="49" customWidth="1"/>
    <col min="42" max="16384" width="8.85546875" style="49"/>
  </cols>
  <sheetData>
    <row r="1" spans="2:31" ht="68.25">
      <c r="B1" s="83" t="s">
        <v>228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</row>
    <row r="2" spans="2:31" ht="49.9" customHeight="1">
      <c r="B2" s="99" t="s">
        <v>3</v>
      </c>
      <c r="C2" s="99" t="s">
        <v>4</v>
      </c>
      <c r="D2" s="85" t="s">
        <v>5</v>
      </c>
      <c r="E2" s="86"/>
      <c r="F2" s="87"/>
      <c r="G2" s="85" t="s">
        <v>6</v>
      </c>
      <c r="H2" s="86"/>
      <c r="I2" s="87"/>
      <c r="J2" s="85" t="s">
        <v>7</v>
      </c>
      <c r="K2" s="86"/>
      <c r="L2" s="87"/>
      <c r="M2" s="85" t="s">
        <v>8</v>
      </c>
      <c r="N2" s="86"/>
      <c r="O2" s="87"/>
      <c r="P2" s="85" t="s">
        <v>132</v>
      </c>
      <c r="Q2" s="86"/>
      <c r="R2" s="87"/>
      <c r="S2" s="85" t="s">
        <v>9</v>
      </c>
      <c r="T2" s="86"/>
      <c r="U2" s="87"/>
      <c r="V2" s="88" t="s">
        <v>131</v>
      </c>
      <c r="W2" s="89"/>
      <c r="X2" s="90"/>
      <c r="Y2" s="101" t="s">
        <v>134</v>
      </c>
      <c r="Z2" s="103" t="s">
        <v>204</v>
      </c>
      <c r="AA2" s="91" t="s">
        <v>145</v>
      </c>
      <c r="AB2" s="91" t="s">
        <v>146</v>
      </c>
      <c r="AC2" s="95" t="s">
        <v>147</v>
      </c>
      <c r="AD2" s="93" t="s">
        <v>148</v>
      </c>
      <c r="AE2" s="82" t="s">
        <v>212</v>
      </c>
    </row>
    <row r="3" spans="2:31" ht="49.9" customHeight="1">
      <c r="B3" s="100"/>
      <c r="C3" s="100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102"/>
      <c r="Z3" s="104"/>
      <c r="AA3" s="92"/>
      <c r="AB3" s="92"/>
      <c r="AC3" s="96"/>
      <c r="AD3" s="94"/>
      <c r="AE3" s="82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52">
        <v>51</v>
      </c>
      <c r="N4" s="52"/>
      <c r="O4" s="65">
        <f>SUM(M4:N4)</f>
        <v>51</v>
      </c>
      <c r="P4" s="52">
        <v>6</v>
      </c>
      <c r="Q4" s="52"/>
      <c r="R4" s="65">
        <f>SUM(P4:Q4)</f>
        <v>6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57</v>
      </c>
      <c r="AA4" s="50"/>
      <c r="AB4" s="50"/>
      <c r="AC4" s="61">
        <f>+AA4+AB4-Z4</f>
        <v>-57</v>
      </c>
      <c r="AD4" s="50"/>
      <c r="AE4" s="67">
        <f>AC4+AD4</f>
        <v>-57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33</v>
      </c>
      <c r="H5" s="52"/>
      <c r="I5" s="65">
        <f t="shared" ref="I5:I68" si="1">SUM(G5:H5)</f>
        <v>33</v>
      </c>
      <c r="J5" s="52">
        <v>13</v>
      </c>
      <c r="K5" s="52"/>
      <c r="L5" s="65">
        <f t="shared" ref="L5:L68" si="2">SUM(J5:K5)</f>
        <v>13</v>
      </c>
      <c r="M5" s="52">
        <v>15</v>
      </c>
      <c r="N5" s="52"/>
      <c r="O5" s="65">
        <f t="shared" ref="O5:O68" si="3">SUM(M5:N5)</f>
        <v>15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61</v>
      </c>
      <c r="AA5" s="58">
        <v>85</v>
      </c>
      <c r="AB5" s="58">
        <v>54</v>
      </c>
      <c r="AC5" s="61">
        <f t="shared" ref="AC5:AC68" si="8">+AA5+AB5-Z5</f>
        <v>78</v>
      </c>
      <c r="AD5" s="58">
        <v>80</v>
      </c>
      <c r="AE5" s="67">
        <f t="shared" ref="AE5:AE68" si="9">AC5+AD5</f>
        <v>158</v>
      </c>
    </row>
    <row r="6" spans="2:31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7">
        <f t="shared" si="9"/>
        <v>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7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7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2</v>
      </c>
      <c r="H9" s="52"/>
      <c r="I9" s="65">
        <f t="shared" si="1"/>
        <v>2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2</v>
      </c>
      <c r="AA9" s="50"/>
      <c r="AB9" s="50"/>
      <c r="AC9" s="61">
        <f t="shared" si="8"/>
        <v>-2</v>
      </c>
      <c r="AD9" s="50"/>
      <c r="AE9" s="67">
        <f t="shared" si="9"/>
        <v>-2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>
        <v>2</v>
      </c>
      <c r="H10" s="52"/>
      <c r="I10" s="65">
        <f t="shared" si="1"/>
        <v>2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2</v>
      </c>
      <c r="AA10" s="50"/>
      <c r="AB10" s="50"/>
      <c r="AC10" s="61">
        <f t="shared" si="8"/>
        <v>-2</v>
      </c>
      <c r="AD10" s="50"/>
      <c r="AE10" s="67">
        <f t="shared" si="9"/>
        <v>-2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2</v>
      </c>
      <c r="H11" s="52"/>
      <c r="I11" s="65">
        <f t="shared" si="1"/>
        <v>2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2</v>
      </c>
      <c r="AA11" s="50"/>
      <c r="AB11" s="50"/>
      <c r="AC11" s="61">
        <f t="shared" si="8"/>
        <v>-2</v>
      </c>
      <c r="AD11" s="50"/>
      <c r="AE11" s="67">
        <f t="shared" si="9"/>
        <v>-2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2</v>
      </c>
      <c r="H12" s="52"/>
      <c r="I12" s="65">
        <f t="shared" si="1"/>
        <v>2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2</v>
      </c>
      <c r="AA12" s="50"/>
      <c r="AB12" s="50"/>
      <c r="AC12" s="61">
        <f t="shared" si="8"/>
        <v>-2</v>
      </c>
      <c r="AD12" s="50"/>
      <c r="AE12" s="67">
        <f t="shared" si="9"/>
        <v>-2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2</v>
      </c>
      <c r="H13" s="52"/>
      <c r="I13" s="65">
        <f t="shared" si="1"/>
        <v>2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2</v>
      </c>
      <c r="AA13" s="50"/>
      <c r="AB13" s="50"/>
      <c r="AC13" s="61">
        <f t="shared" si="8"/>
        <v>-2</v>
      </c>
      <c r="AD13" s="50"/>
      <c r="AE13" s="67">
        <f t="shared" si="9"/>
        <v>-2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2</v>
      </c>
      <c r="H14" s="52"/>
      <c r="I14" s="65">
        <f t="shared" si="1"/>
        <v>2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2</v>
      </c>
      <c r="AA14" s="50"/>
      <c r="AB14" s="50"/>
      <c r="AC14" s="61">
        <f t="shared" si="8"/>
        <v>-2</v>
      </c>
      <c r="AD14" s="50"/>
      <c r="AE14" s="67">
        <f t="shared" si="9"/>
        <v>-2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2</v>
      </c>
      <c r="H15" s="52"/>
      <c r="I15" s="65">
        <f t="shared" si="1"/>
        <v>2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2</v>
      </c>
      <c r="AA15" s="50"/>
      <c r="AB15" s="50"/>
      <c r="AC15" s="61">
        <f t="shared" si="8"/>
        <v>-2</v>
      </c>
      <c r="AD15" s="50"/>
      <c r="AE15" s="67">
        <f t="shared" si="9"/>
        <v>-2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2</v>
      </c>
      <c r="H16" s="52"/>
      <c r="I16" s="65">
        <f t="shared" si="1"/>
        <v>2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2</v>
      </c>
      <c r="AA16" s="50"/>
      <c r="AB16" s="50"/>
      <c r="AC16" s="61">
        <f t="shared" si="8"/>
        <v>-2</v>
      </c>
      <c r="AD16" s="50"/>
      <c r="AE16" s="67">
        <f t="shared" si="9"/>
        <v>-2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2</v>
      </c>
      <c r="H17" s="52"/>
      <c r="I17" s="65">
        <f t="shared" si="1"/>
        <v>2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2</v>
      </c>
      <c r="AA17" s="50"/>
      <c r="AB17" s="50"/>
      <c r="AC17" s="61">
        <f t="shared" si="8"/>
        <v>-2</v>
      </c>
      <c r="AD17" s="50"/>
      <c r="AE17" s="67">
        <f t="shared" si="9"/>
        <v>-2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2</v>
      </c>
      <c r="H18" s="52"/>
      <c r="I18" s="65">
        <f t="shared" si="1"/>
        <v>2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2</v>
      </c>
      <c r="AA18" s="50"/>
      <c r="AB18" s="50"/>
      <c r="AC18" s="61">
        <f t="shared" si="8"/>
        <v>-2</v>
      </c>
      <c r="AD18" s="50"/>
      <c r="AE18" s="67">
        <f t="shared" si="9"/>
        <v>-2</v>
      </c>
    </row>
    <row r="19" spans="2:31" hidden="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7">
        <f t="shared" si="9"/>
        <v>0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7">
        <f t="shared" si="9"/>
        <v>0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7">
        <f t="shared" si="9"/>
        <v>0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7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7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7">
        <f t="shared" si="9"/>
        <v>0</v>
      </c>
    </row>
    <row r="25" spans="2:31">
      <c r="B25" s="50">
        <v>1111008</v>
      </c>
      <c r="C25" s="51" t="s">
        <v>156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52">
        <v>33</v>
      </c>
      <c r="N25" s="52"/>
      <c r="O25" s="65">
        <f t="shared" si="3"/>
        <v>33</v>
      </c>
      <c r="P25" s="52">
        <v>21</v>
      </c>
      <c r="Q25" s="52"/>
      <c r="R25" s="65">
        <f t="shared" si="4"/>
        <v>21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54</v>
      </c>
      <c r="AA25" s="50">
        <v>50</v>
      </c>
      <c r="AB25" s="50">
        <v>2</v>
      </c>
      <c r="AC25" s="61">
        <f t="shared" si="8"/>
        <v>-2</v>
      </c>
      <c r="AD25" s="50">
        <v>50</v>
      </c>
      <c r="AE25" s="67">
        <f t="shared" si="9"/>
        <v>48</v>
      </c>
    </row>
    <row r="26" spans="2:31">
      <c r="B26" s="50">
        <v>1111009</v>
      </c>
      <c r="C26" s="51" t="s">
        <v>157</v>
      </c>
      <c r="D26" s="52"/>
      <c r="E26" s="52"/>
      <c r="F26" s="65">
        <f t="shared" si="0"/>
        <v>0</v>
      </c>
      <c r="G26" s="52">
        <v>5</v>
      </c>
      <c r="H26" s="52"/>
      <c r="I26" s="65">
        <f t="shared" si="1"/>
        <v>5</v>
      </c>
      <c r="J26" s="52"/>
      <c r="K26" s="52"/>
      <c r="L26" s="65">
        <f t="shared" si="2"/>
        <v>0</v>
      </c>
      <c r="M26" s="52"/>
      <c r="N26" s="52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5</v>
      </c>
      <c r="AA26" s="50"/>
      <c r="AB26" s="50">
        <v>24</v>
      </c>
      <c r="AC26" s="61">
        <f t="shared" si="8"/>
        <v>19</v>
      </c>
      <c r="AD26" s="50"/>
      <c r="AE26" s="67">
        <f t="shared" si="9"/>
        <v>19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7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7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7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7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7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7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7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7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7">
        <f t="shared" si="9"/>
        <v>0</v>
      </c>
    </row>
    <row r="36" spans="2:31" hidden="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7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7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7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7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7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/>
      <c r="H41" s="52"/>
      <c r="I41" s="65">
        <f t="shared" si="1"/>
        <v>0</v>
      </c>
      <c r="J41" s="52"/>
      <c r="K41" s="52"/>
      <c r="L41" s="65">
        <f t="shared" si="2"/>
        <v>0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0</v>
      </c>
      <c r="AA41" s="50">
        <v>10</v>
      </c>
      <c r="AB41" s="50"/>
      <c r="AC41" s="61">
        <f t="shared" si="8"/>
        <v>10</v>
      </c>
      <c r="AD41" s="50">
        <v>10</v>
      </c>
      <c r="AE41" s="67">
        <f t="shared" si="9"/>
        <v>20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6</v>
      </c>
      <c r="H42" s="52"/>
      <c r="I42" s="65">
        <f t="shared" si="1"/>
        <v>6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6</v>
      </c>
      <c r="AA42" s="50"/>
      <c r="AB42" s="50"/>
      <c r="AC42" s="61">
        <f t="shared" si="8"/>
        <v>-6</v>
      </c>
      <c r="AD42" s="50"/>
      <c r="AE42" s="67">
        <f t="shared" si="9"/>
        <v>-6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6</v>
      </c>
      <c r="H43" s="52"/>
      <c r="I43" s="65">
        <f t="shared" si="1"/>
        <v>6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6</v>
      </c>
      <c r="AA43" s="50"/>
      <c r="AB43" s="50"/>
      <c r="AC43" s="61">
        <f t="shared" si="8"/>
        <v>-6</v>
      </c>
      <c r="AD43" s="50"/>
      <c r="AE43" s="67">
        <f t="shared" si="9"/>
        <v>-6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6</v>
      </c>
      <c r="H44" s="52"/>
      <c r="I44" s="65">
        <f t="shared" si="1"/>
        <v>6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6</v>
      </c>
      <c r="AA44" s="50"/>
      <c r="AB44" s="50"/>
      <c r="AC44" s="61">
        <f t="shared" si="8"/>
        <v>-6</v>
      </c>
      <c r="AD44" s="50"/>
      <c r="AE44" s="67">
        <f t="shared" si="9"/>
        <v>-6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6</v>
      </c>
      <c r="H45" s="52"/>
      <c r="I45" s="65">
        <f t="shared" si="1"/>
        <v>6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6</v>
      </c>
      <c r="AA45" s="50"/>
      <c r="AB45" s="50"/>
      <c r="AC45" s="61">
        <f t="shared" si="8"/>
        <v>-6</v>
      </c>
      <c r="AD45" s="50"/>
      <c r="AE45" s="67">
        <f t="shared" si="9"/>
        <v>-6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6</v>
      </c>
      <c r="H46" s="52"/>
      <c r="I46" s="65">
        <f t="shared" si="1"/>
        <v>6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6</v>
      </c>
      <c r="AA46" s="50"/>
      <c r="AB46" s="50"/>
      <c r="AC46" s="61">
        <f t="shared" si="8"/>
        <v>-6</v>
      </c>
      <c r="AD46" s="50"/>
      <c r="AE46" s="67">
        <f t="shared" si="9"/>
        <v>-6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6</v>
      </c>
      <c r="H47" s="52"/>
      <c r="I47" s="65">
        <f t="shared" si="1"/>
        <v>6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6</v>
      </c>
      <c r="AA47" s="50"/>
      <c r="AB47" s="50"/>
      <c r="AC47" s="61">
        <f t="shared" si="8"/>
        <v>-6</v>
      </c>
      <c r="AD47" s="50"/>
      <c r="AE47" s="67">
        <f t="shared" si="9"/>
        <v>-6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6</v>
      </c>
      <c r="H48" s="52"/>
      <c r="I48" s="65">
        <f t="shared" si="1"/>
        <v>6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6</v>
      </c>
      <c r="AA48" s="50"/>
      <c r="AB48" s="50"/>
      <c r="AC48" s="61">
        <f t="shared" si="8"/>
        <v>-6</v>
      </c>
      <c r="AD48" s="50"/>
      <c r="AE48" s="67">
        <f t="shared" si="9"/>
        <v>-6</v>
      </c>
    </row>
    <row r="49" spans="2:34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6</v>
      </c>
      <c r="H49" s="52"/>
      <c r="I49" s="65">
        <f t="shared" si="1"/>
        <v>6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6</v>
      </c>
      <c r="AA49" s="50"/>
      <c r="AB49" s="50"/>
      <c r="AC49" s="61">
        <f t="shared" si="8"/>
        <v>-6</v>
      </c>
      <c r="AD49" s="50"/>
      <c r="AE49" s="67">
        <f t="shared" si="9"/>
        <v>-6</v>
      </c>
    </row>
    <row r="50" spans="2:34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6</v>
      </c>
      <c r="H50" s="52"/>
      <c r="I50" s="65">
        <f t="shared" si="1"/>
        <v>6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6</v>
      </c>
      <c r="AA50" s="50"/>
      <c r="AB50" s="50"/>
      <c r="AC50" s="61">
        <f t="shared" si="8"/>
        <v>-6</v>
      </c>
      <c r="AD50" s="50"/>
      <c r="AE50" s="67">
        <f t="shared" si="9"/>
        <v>-6</v>
      </c>
    </row>
    <row r="51" spans="2:34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6</v>
      </c>
      <c r="H51" s="52"/>
      <c r="I51" s="65">
        <f t="shared" si="1"/>
        <v>6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6</v>
      </c>
      <c r="AA51" s="50"/>
      <c r="AB51" s="50"/>
      <c r="AC51" s="61">
        <f t="shared" si="8"/>
        <v>-6</v>
      </c>
      <c r="AD51" s="50"/>
      <c r="AE51" s="67">
        <f t="shared" si="9"/>
        <v>-6</v>
      </c>
    </row>
    <row r="52" spans="2:34" hidden="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>
        <v>6</v>
      </c>
      <c r="H52" s="52"/>
      <c r="I52" s="65">
        <f t="shared" si="1"/>
        <v>6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6</v>
      </c>
      <c r="AA52" s="50"/>
      <c r="AB52" s="50"/>
      <c r="AC52" s="61">
        <f t="shared" si="8"/>
        <v>-6</v>
      </c>
      <c r="AD52" s="50"/>
      <c r="AE52" s="67">
        <f t="shared" si="9"/>
        <v>-6</v>
      </c>
    </row>
    <row r="53" spans="2:34">
      <c r="B53" s="50">
        <v>1112003</v>
      </c>
      <c r="C53" s="51" t="s">
        <v>174</v>
      </c>
      <c r="D53" s="52">
        <v>9</v>
      </c>
      <c r="E53" s="52"/>
      <c r="F53" s="65">
        <f t="shared" si="0"/>
        <v>9</v>
      </c>
      <c r="G53" s="52">
        <v>2</v>
      </c>
      <c r="H53" s="52"/>
      <c r="I53" s="65">
        <f t="shared" si="1"/>
        <v>2</v>
      </c>
      <c r="J53" s="52">
        <v>1</v>
      </c>
      <c r="K53" s="52"/>
      <c r="L53" s="65">
        <f t="shared" si="2"/>
        <v>1</v>
      </c>
      <c r="M53" s="52">
        <v>24</v>
      </c>
      <c r="N53" s="52"/>
      <c r="O53" s="65">
        <f t="shared" si="3"/>
        <v>24</v>
      </c>
      <c r="P53" s="52">
        <v>11</v>
      </c>
      <c r="Q53" s="52"/>
      <c r="R53" s="65">
        <f t="shared" si="4"/>
        <v>11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47</v>
      </c>
      <c r="AA53" s="50"/>
      <c r="AB53" s="50">
        <v>40</v>
      </c>
      <c r="AC53" s="61">
        <f t="shared" si="8"/>
        <v>-7</v>
      </c>
      <c r="AD53" s="50">
        <v>60</v>
      </c>
      <c r="AE53" s="67">
        <f t="shared" si="9"/>
        <v>53</v>
      </c>
    </row>
    <row r="54" spans="2:34" hidden="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7">
        <f t="shared" si="9"/>
        <v>0</v>
      </c>
    </row>
    <row r="55" spans="2:34">
      <c r="B55" s="50">
        <v>1112005</v>
      </c>
      <c r="C55" s="51" t="s">
        <v>176</v>
      </c>
      <c r="D55" s="52">
        <v>6</v>
      </c>
      <c r="E55" s="52"/>
      <c r="F55" s="65">
        <f t="shared" si="0"/>
        <v>6</v>
      </c>
      <c r="G55" s="52">
        <v>2</v>
      </c>
      <c r="H55" s="52"/>
      <c r="I55" s="65">
        <f t="shared" si="1"/>
        <v>2</v>
      </c>
      <c r="J55" s="52">
        <v>1</v>
      </c>
      <c r="K55" s="52"/>
      <c r="L55" s="65">
        <f t="shared" si="2"/>
        <v>1</v>
      </c>
      <c r="M55" s="52">
        <v>23</v>
      </c>
      <c r="N55" s="52"/>
      <c r="O55" s="65">
        <f t="shared" si="3"/>
        <v>23</v>
      </c>
      <c r="P55" s="52">
        <v>11</v>
      </c>
      <c r="Q55" s="52"/>
      <c r="R55" s="65">
        <f t="shared" si="4"/>
        <v>11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43</v>
      </c>
      <c r="AA55" s="50"/>
      <c r="AB55" s="50">
        <v>43</v>
      </c>
      <c r="AC55" s="61">
        <f t="shared" si="8"/>
        <v>0</v>
      </c>
      <c r="AD55" s="50">
        <v>60</v>
      </c>
      <c r="AE55" s="67">
        <f t="shared" si="9"/>
        <v>60</v>
      </c>
    </row>
    <row r="56" spans="2:34" hidden="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7">
        <f t="shared" si="9"/>
        <v>0</v>
      </c>
    </row>
    <row r="57" spans="2:34">
      <c r="B57" s="50">
        <v>1112009</v>
      </c>
      <c r="C57" s="51" t="s">
        <v>178</v>
      </c>
      <c r="D57" s="52">
        <v>9</v>
      </c>
      <c r="E57" s="52"/>
      <c r="F57" s="65">
        <f t="shared" si="0"/>
        <v>9</v>
      </c>
      <c r="G57" s="52">
        <v>1</v>
      </c>
      <c r="H57" s="52"/>
      <c r="I57" s="65">
        <f t="shared" si="1"/>
        <v>1</v>
      </c>
      <c r="J57" s="52">
        <v>3</v>
      </c>
      <c r="K57" s="52"/>
      <c r="L57" s="65">
        <f t="shared" si="2"/>
        <v>3</v>
      </c>
      <c r="M57" s="52">
        <v>23</v>
      </c>
      <c r="N57" s="52"/>
      <c r="O57" s="65">
        <f t="shared" si="3"/>
        <v>23</v>
      </c>
      <c r="P57" s="52">
        <v>11</v>
      </c>
      <c r="Q57" s="52"/>
      <c r="R57" s="65">
        <f t="shared" si="4"/>
        <v>11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47</v>
      </c>
      <c r="AA57" s="50"/>
      <c r="AB57" s="50">
        <v>36</v>
      </c>
      <c r="AC57" s="61">
        <f t="shared" si="8"/>
        <v>-11</v>
      </c>
      <c r="AD57" s="50">
        <v>60</v>
      </c>
      <c r="AE57" s="67">
        <f t="shared" si="9"/>
        <v>49</v>
      </c>
    </row>
    <row r="58" spans="2:34" hidden="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7">
        <f t="shared" si="9"/>
        <v>0</v>
      </c>
    </row>
    <row r="59" spans="2:34">
      <c r="B59" s="50">
        <v>1112011</v>
      </c>
      <c r="C59" s="51" t="s">
        <v>180</v>
      </c>
      <c r="D59" s="52">
        <v>9</v>
      </c>
      <c r="E59" s="52"/>
      <c r="F59" s="65">
        <f t="shared" si="0"/>
        <v>9</v>
      </c>
      <c r="G59" s="52">
        <v>1</v>
      </c>
      <c r="H59" s="52"/>
      <c r="I59" s="65">
        <f t="shared" si="1"/>
        <v>1</v>
      </c>
      <c r="J59" s="52">
        <v>7</v>
      </c>
      <c r="K59" s="52"/>
      <c r="L59" s="65">
        <f t="shared" si="2"/>
        <v>7</v>
      </c>
      <c r="M59" s="52">
        <v>23</v>
      </c>
      <c r="N59" s="52"/>
      <c r="O59" s="65">
        <f t="shared" si="3"/>
        <v>23</v>
      </c>
      <c r="P59" s="52">
        <v>10</v>
      </c>
      <c r="Q59" s="52"/>
      <c r="R59" s="65">
        <f t="shared" si="4"/>
        <v>10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50</v>
      </c>
      <c r="AA59" s="50"/>
      <c r="AB59" s="50">
        <v>25</v>
      </c>
      <c r="AC59" s="61">
        <f t="shared" si="8"/>
        <v>-25</v>
      </c>
      <c r="AD59" s="50">
        <v>60</v>
      </c>
      <c r="AE59" s="67">
        <f t="shared" si="9"/>
        <v>35</v>
      </c>
      <c r="AH59" s="68"/>
    </row>
    <row r="60" spans="2:34" hidden="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7">
        <f t="shared" si="9"/>
        <v>0</v>
      </c>
    </row>
    <row r="61" spans="2:34">
      <c r="B61" s="50">
        <v>1112013</v>
      </c>
      <c r="C61" s="51" t="s">
        <v>182</v>
      </c>
      <c r="D61" s="52">
        <v>11</v>
      </c>
      <c r="E61" s="52"/>
      <c r="F61" s="65">
        <f t="shared" si="0"/>
        <v>11</v>
      </c>
      <c r="G61" s="52">
        <v>1</v>
      </c>
      <c r="H61" s="52"/>
      <c r="I61" s="65">
        <f t="shared" si="1"/>
        <v>1</v>
      </c>
      <c r="J61" s="52">
        <v>1</v>
      </c>
      <c r="K61" s="52"/>
      <c r="L61" s="65">
        <f t="shared" si="2"/>
        <v>1</v>
      </c>
      <c r="M61" s="52">
        <v>23</v>
      </c>
      <c r="N61" s="52"/>
      <c r="O61" s="65">
        <f t="shared" si="3"/>
        <v>23</v>
      </c>
      <c r="P61" s="52">
        <v>10</v>
      </c>
      <c r="Q61" s="52"/>
      <c r="R61" s="65">
        <f t="shared" si="4"/>
        <v>10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46</v>
      </c>
      <c r="AA61" s="50"/>
      <c r="AB61" s="50">
        <v>38</v>
      </c>
      <c r="AC61" s="61">
        <f t="shared" si="8"/>
        <v>-8</v>
      </c>
      <c r="AD61" s="50">
        <v>60</v>
      </c>
      <c r="AE61" s="67">
        <f t="shared" si="9"/>
        <v>52</v>
      </c>
    </row>
    <row r="62" spans="2:34" hidden="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7">
        <f t="shared" si="9"/>
        <v>0</v>
      </c>
    </row>
    <row r="63" spans="2:34">
      <c r="B63" s="50">
        <v>1112015</v>
      </c>
      <c r="C63" s="51" t="s">
        <v>184</v>
      </c>
      <c r="D63" s="52">
        <v>6</v>
      </c>
      <c r="E63" s="52"/>
      <c r="F63" s="65">
        <f t="shared" si="0"/>
        <v>6</v>
      </c>
      <c r="G63" s="52">
        <v>1</v>
      </c>
      <c r="H63" s="52"/>
      <c r="I63" s="65">
        <f t="shared" si="1"/>
        <v>1</v>
      </c>
      <c r="J63" s="52">
        <v>1</v>
      </c>
      <c r="K63" s="52"/>
      <c r="L63" s="65">
        <f t="shared" si="2"/>
        <v>1</v>
      </c>
      <c r="M63" s="52">
        <v>23</v>
      </c>
      <c r="N63" s="52"/>
      <c r="O63" s="65">
        <f t="shared" si="3"/>
        <v>23</v>
      </c>
      <c r="P63" s="52">
        <v>10</v>
      </c>
      <c r="Q63" s="52"/>
      <c r="R63" s="65">
        <f t="shared" si="4"/>
        <v>10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41</v>
      </c>
      <c r="AA63" s="50"/>
      <c r="AB63" s="50">
        <v>46</v>
      </c>
      <c r="AC63" s="61">
        <f t="shared" si="8"/>
        <v>5</v>
      </c>
      <c r="AD63" s="50">
        <v>60</v>
      </c>
      <c r="AE63" s="67">
        <f t="shared" si="9"/>
        <v>65</v>
      </c>
      <c r="AG63" s="68">
        <f>SUM(AE53:AE63)</f>
        <v>314</v>
      </c>
    </row>
    <row r="64" spans="2:34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7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7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7">
        <f t="shared" si="9"/>
        <v>0</v>
      </c>
    </row>
    <row r="67" spans="2:31">
      <c r="B67" s="50">
        <v>1114501</v>
      </c>
      <c r="C67" s="53" t="s">
        <v>187</v>
      </c>
      <c r="D67" s="52">
        <v>1</v>
      </c>
      <c r="E67" s="52"/>
      <c r="F67" s="65">
        <f t="shared" si="0"/>
        <v>1</v>
      </c>
      <c r="G67" s="52">
        <v>8</v>
      </c>
      <c r="H67" s="52"/>
      <c r="I67" s="65">
        <f t="shared" si="1"/>
        <v>8</v>
      </c>
      <c r="J67" s="52">
        <v>1</v>
      </c>
      <c r="K67" s="52"/>
      <c r="L67" s="65">
        <f t="shared" si="2"/>
        <v>1</v>
      </c>
      <c r="M67" s="52">
        <v>180</v>
      </c>
      <c r="N67" s="52"/>
      <c r="O67" s="65">
        <f t="shared" si="3"/>
        <v>180</v>
      </c>
      <c r="P67" s="52">
        <v>83</v>
      </c>
      <c r="Q67" s="52"/>
      <c r="R67" s="65">
        <f t="shared" si="4"/>
        <v>83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273</v>
      </c>
      <c r="AA67" s="50">
        <v>144</v>
      </c>
      <c r="AB67" s="50">
        <v>530</v>
      </c>
      <c r="AC67" s="61">
        <f t="shared" si="8"/>
        <v>401</v>
      </c>
      <c r="AD67" s="50"/>
      <c r="AE67" s="67">
        <f t="shared" si="9"/>
        <v>401</v>
      </c>
    </row>
    <row r="68" spans="2:31">
      <c r="B68" s="50">
        <v>1114502</v>
      </c>
      <c r="C68" s="53" t="s">
        <v>188</v>
      </c>
      <c r="D68" s="52">
        <v>1</v>
      </c>
      <c r="E68" s="52"/>
      <c r="F68" s="65">
        <f t="shared" si="0"/>
        <v>1</v>
      </c>
      <c r="G68" s="52">
        <v>2</v>
      </c>
      <c r="H68" s="52"/>
      <c r="I68" s="65">
        <f t="shared" si="1"/>
        <v>2</v>
      </c>
      <c r="J68" s="52">
        <v>1</v>
      </c>
      <c r="K68" s="52"/>
      <c r="L68" s="65">
        <f t="shared" si="2"/>
        <v>1</v>
      </c>
      <c r="M68" s="52">
        <v>174</v>
      </c>
      <c r="N68" s="52"/>
      <c r="O68" s="65">
        <f t="shared" si="3"/>
        <v>174</v>
      </c>
      <c r="P68" s="52">
        <v>80</v>
      </c>
      <c r="Q68" s="52"/>
      <c r="R68" s="65">
        <f t="shared" si="4"/>
        <v>80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258</v>
      </c>
      <c r="AA68" s="50">
        <v>30</v>
      </c>
      <c r="AB68" s="50">
        <v>193</v>
      </c>
      <c r="AC68" s="61">
        <f t="shared" si="8"/>
        <v>-35</v>
      </c>
      <c r="AD68" s="50">
        <v>200</v>
      </c>
      <c r="AE68" s="67">
        <f t="shared" si="9"/>
        <v>165</v>
      </c>
    </row>
    <row r="69" spans="2:31">
      <c r="B69" s="50">
        <v>1114503</v>
      </c>
      <c r="C69" s="53" t="s">
        <v>189</v>
      </c>
      <c r="D69" s="52">
        <v>1</v>
      </c>
      <c r="E69" s="52"/>
      <c r="F69" s="65">
        <f t="shared" ref="F69:F132" si="10">SUM(D69:E69)</f>
        <v>1</v>
      </c>
      <c r="G69" s="52">
        <v>3</v>
      </c>
      <c r="H69" s="52"/>
      <c r="I69" s="65">
        <f t="shared" ref="I69:I121" si="11">SUM(G69:H69)</f>
        <v>3</v>
      </c>
      <c r="J69" s="52">
        <v>1</v>
      </c>
      <c r="K69" s="52"/>
      <c r="L69" s="65">
        <f t="shared" ref="L69:L121" si="12">SUM(J69:K69)</f>
        <v>1</v>
      </c>
      <c r="M69" s="52">
        <v>168</v>
      </c>
      <c r="N69" s="52"/>
      <c r="O69" s="65">
        <f t="shared" ref="O69:O121" si="13">SUM(M69:N69)</f>
        <v>168</v>
      </c>
      <c r="P69" s="52">
        <v>80</v>
      </c>
      <c r="Q69" s="52"/>
      <c r="R69" s="65">
        <f t="shared" ref="R69:R121" si="14">SUM(P69:Q69)</f>
        <v>80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253</v>
      </c>
      <c r="AA69" s="50">
        <v>87</v>
      </c>
      <c r="AB69" s="50">
        <v>187</v>
      </c>
      <c r="AC69" s="61">
        <f t="shared" ref="AC69:AC121" si="18">+AA69+AB69-Z69</f>
        <v>21</v>
      </c>
      <c r="AD69" s="50">
        <v>200</v>
      </c>
      <c r="AE69" s="67">
        <f t="shared" ref="AE69:AE121" si="19">AC69+AD69</f>
        <v>221</v>
      </c>
    </row>
    <row r="70" spans="2:31" hidden="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7">
        <f t="shared" si="19"/>
        <v>0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7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7">
        <f t="shared" si="19"/>
        <v>0</v>
      </c>
    </row>
    <row r="73" spans="2:3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>
        <v>2</v>
      </c>
      <c r="Q73" s="52"/>
      <c r="R73" s="65">
        <f t="shared" si="14"/>
        <v>2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2</v>
      </c>
      <c r="AA73" s="50"/>
      <c r="AB73" s="50"/>
      <c r="AC73" s="61">
        <f t="shared" si="18"/>
        <v>-2</v>
      </c>
      <c r="AD73" s="50"/>
      <c r="AE73" s="67">
        <f t="shared" si="19"/>
        <v>-2</v>
      </c>
    </row>
    <row r="74" spans="2:31" hidden="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7">
        <f t="shared" si="19"/>
        <v>0</v>
      </c>
    </row>
    <row r="75" spans="2:31" hidden="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52"/>
      <c r="N75" s="52"/>
      <c r="O75" s="65">
        <f t="shared" si="13"/>
        <v>0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/>
      <c r="AE75" s="67">
        <f t="shared" si="19"/>
        <v>0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>
        <v>1</v>
      </c>
      <c r="H76" s="52"/>
      <c r="I76" s="65">
        <f t="shared" si="11"/>
        <v>1</v>
      </c>
      <c r="J76" s="52"/>
      <c r="K76" s="52"/>
      <c r="L76" s="65">
        <f t="shared" si="12"/>
        <v>0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1</v>
      </c>
      <c r="AA76" s="50"/>
      <c r="AB76" s="50"/>
      <c r="AC76" s="61">
        <f t="shared" si="18"/>
        <v>-1</v>
      </c>
      <c r="AD76" s="50"/>
      <c r="AE76" s="67">
        <f t="shared" si="19"/>
        <v>-1</v>
      </c>
    </row>
    <row r="77" spans="2:31" hidden="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7">
        <f t="shared" si="19"/>
        <v>0</v>
      </c>
    </row>
    <row r="78" spans="2:31" hidden="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7">
        <f t="shared" si="19"/>
        <v>0</v>
      </c>
    </row>
    <row r="79" spans="2:31" hidden="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7">
        <f t="shared" si="19"/>
        <v>0</v>
      </c>
    </row>
    <row r="80" spans="2:31">
      <c r="B80" s="50">
        <v>1200002</v>
      </c>
      <c r="C80" s="53" t="s">
        <v>196</v>
      </c>
      <c r="D80" s="52">
        <v>2</v>
      </c>
      <c r="E80" s="52"/>
      <c r="F80" s="65">
        <f t="shared" si="10"/>
        <v>2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2</v>
      </c>
      <c r="AA80" s="50"/>
      <c r="AB80" s="50">
        <v>4</v>
      </c>
      <c r="AC80" s="61">
        <f t="shared" si="18"/>
        <v>2</v>
      </c>
      <c r="AD80" s="50"/>
      <c r="AE80" s="67">
        <f t="shared" si="19"/>
        <v>2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7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1</v>
      </c>
      <c r="H82" s="52"/>
      <c r="I82" s="65">
        <f t="shared" si="11"/>
        <v>1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1</v>
      </c>
      <c r="AA82" s="50"/>
      <c r="AB82" s="50"/>
      <c r="AC82" s="61">
        <f t="shared" si="18"/>
        <v>-1</v>
      </c>
      <c r="AD82" s="50"/>
      <c r="AE82" s="67">
        <f t="shared" si="19"/>
        <v>-1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14</v>
      </c>
      <c r="H83" s="52"/>
      <c r="I83" s="65">
        <f t="shared" si="11"/>
        <v>14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14</v>
      </c>
      <c r="AA83" s="50"/>
      <c r="AB83" s="50"/>
      <c r="AC83" s="61">
        <f t="shared" si="18"/>
        <v>-14</v>
      </c>
      <c r="AD83" s="50"/>
      <c r="AE83" s="67">
        <f t="shared" si="19"/>
        <v>-14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7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7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7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7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7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7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7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7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7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7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7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7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7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7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7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7">
        <f t="shared" si="19"/>
        <v>0</v>
      </c>
    </row>
    <row r="100" spans="2:31" hidden="1">
      <c r="B100" s="50">
        <v>1004062</v>
      </c>
      <c r="C100" s="53" t="s">
        <v>238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7">
        <f t="shared" si="19"/>
        <v>0</v>
      </c>
    </row>
    <row r="101" spans="2:31" hidden="1">
      <c r="B101" s="50">
        <v>1004051</v>
      </c>
      <c r="C101" s="53" t="s">
        <v>239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7">
        <f t="shared" si="19"/>
        <v>0</v>
      </c>
    </row>
    <row r="102" spans="2:31" hidden="1">
      <c r="B102" s="50">
        <v>1111005</v>
      </c>
      <c r="C102" s="53" t="s">
        <v>240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7">
        <f t="shared" si="19"/>
        <v>0</v>
      </c>
    </row>
    <row r="103" spans="2:31" hidden="1">
      <c r="B103" s="50">
        <v>1111006</v>
      </c>
      <c r="C103" s="53" t="s">
        <v>241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7">
        <f t="shared" si="19"/>
        <v>0</v>
      </c>
    </row>
    <row r="104" spans="2:31" hidden="1">
      <c r="B104" s="50">
        <v>1004048</v>
      </c>
      <c r="C104" s="53" t="s">
        <v>242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7">
        <f t="shared" si="19"/>
        <v>0</v>
      </c>
    </row>
    <row r="105" spans="2:31" hidden="1">
      <c r="B105" s="50">
        <v>1113157</v>
      </c>
      <c r="C105" s="53" t="s">
        <v>243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7">
        <f t="shared" si="19"/>
        <v>0</v>
      </c>
    </row>
    <row r="106" spans="2:31" hidden="1">
      <c r="B106" s="50">
        <v>1004080</v>
      </c>
      <c r="C106" s="53" t="s">
        <v>244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7">
        <f t="shared" si="19"/>
        <v>0</v>
      </c>
    </row>
    <row r="107" spans="2:31" hidden="1">
      <c r="B107" s="50">
        <v>1004081</v>
      </c>
      <c r="C107" s="53" t="s">
        <v>245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7">
        <f t="shared" si="19"/>
        <v>0</v>
      </c>
    </row>
    <row r="108" spans="2:31" hidden="1">
      <c r="B108" s="50">
        <v>3001200</v>
      </c>
      <c r="C108" s="53" t="s">
        <v>246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7">
        <f t="shared" si="19"/>
        <v>0</v>
      </c>
    </row>
    <row r="109" spans="2:31" hidden="1">
      <c r="B109" s="50">
        <v>1004047</v>
      </c>
      <c r="C109" s="53" t="s">
        <v>247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7">
        <f t="shared" si="19"/>
        <v>0</v>
      </c>
    </row>
    <row r="110" spans="2:31" hidden="1">
      <c r="B110" s="50">
        <v>1004070</v>
      </c>
      <c r="C110" s="53" t="s">
        <v>248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7">
        <f t="shared" si="19"/>
        <v>0</v>
      </c>
    </row>
    <row r="111" spans="2:31" hidden="1">
      <c r="B111" s="50">
        <v>1004076</v>
      </c>
      <c r="C111" s="53" t="s">
        <v>249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7">
        <f t="shared" si="19"/>
        <v>0</v>
      </c>
    </row>
    <row r="112" spans="2:31" hidden="1">
      <c r="B112" s="50">
        <v>1004050</v>
      </c>
      <c r="C112" s="53" t="s">
        <v>250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7">
        <f t="shared" si="19"/>
        <v>0</v>
      </c>
    </row>
    <row r="113" spans="2:31" hidden="1">
      <c r="B113" s="50">
        <v>1004048</v>
      </c>
      <c r="C113" s="53" t="s">
        <v>251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7">
        <f t="shared" si="19"/>
        <v>0</v>
      </c>
    </row>
    <row r="114" spans="2:31" hidden="1">
      <c r="B114" s="50">
        <v>1007020</v>
      </c>
      <c r="C114" s="53" t="s">
        <v>253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7">
        <f t="shared" si="19"/>
        <v>0</v>
      </c>
    </row>
    <row r="115" spans="2:31" hidden="1">
      <c r="B115" s="50">
        <v>1004063</v>
      </c>
      <c r="C115" s="53" t="s">
        <v>254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7">
        <f t="shared" si="19"/>
        <v>0</v>
      </c>
    </row>
    <row r="116" spans="2:31" hidden="1">
      <c r="B116" s="50">
        <v>1004065</v>
      </c>
      <c r="C116" s="53" t="s">
        <v>255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7">
        <f t="shared" si="19"/>
        <v>0</v>
      </c>
    </row>
    <row r="117" spans="2:31" hidden="1">
      <c r="B117" s="50">
        <v>1006982</v>
      </c>
      <c r="C117" s="53" t="s">
        <v>256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7">
        <f t="shared" si="19"/>
        <v>0</v>
      </c>
    </row>
    <row r="118" spans="2:31" hidden="1">
      <c r="B118" s="50">
        <v>1006000</v>
      </c>
      <c r="C118" s="53" t="s">
        <v>257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7">
        <f t="shared" si="19"/>
        <v>0</v>
      </c>
    </row>
    <row r="119" spans="2:31" hidden="1">
      <c r="B119" s="50">
        <v>1005998</v>
      </c>
      <c r="C119" s="53" t="s">
        <v>258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7">
        <f t="shared" si="19"/>
        <v>0</v>
      </c>
    </row>
    <row r="120" spans="2:31" hidden="1">
      <c r="B120" s="50">
        <v>1005995</v>
      </c>
      <c r="C120" s="53" t="s">
        <v>259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7">
        <f t="shared" si="19"/>
        <v>0</v>
      </c>
    </row>
    <row r="121" spans="2:31" hidden="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7">
        <f t="shared" si="19"/>
        <v>0</v>
      </c>
    </row>
    <row r="122" spans="2:31" hidden="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7"/>
    </row>
    <row r="123" spans="2:31" hidden="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7"/>
    </row>
    <row r="124" spans="2:31" hidden="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7"/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7"/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7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7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7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7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7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7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7"/>
    </row>
    <row r="133" spans="2:31" hidden="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7"/>
    </row>
    <row r="134" spans="2:31" hidden="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7"/>
    </row>
    <row r="135" spans="2:31" hidden="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7"/>
    </row>
    <row r="136" spans="2:31" hidden="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7"/>
    </row>
    <row r="137" spans="2:31" hidden="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7"/>
    </row>
    <row r="138" spans="2:31" hidden="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7"/>
    </row>
    <row r="139" spans="2:31" hidden="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7"/>
    </row>
    <row r="140" spans="2:31" hidden="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7"/>
    </row>
    <row r="141" spans="2:31" hidden="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7"/>
    </row>
    <row r="142" spans="2:31" hidden="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7"/>
    </row>
    <row r="143" spans="2:31" hidden="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7"/>
    </row>
    <row r="144" spans="2:31" hidden="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7"/>
    </row>
    <row r="145" spans="2:31" hidden="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7"/>
    </row>
    <row r="146" spans="2:31" hidden="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7"/>
    </row>
    <row r="147" spans="2:31" hidden="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7"/>
    </row>
    <row r="148" spans="2:31" hidden="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7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7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7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7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7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7">
        <f t="shared" si="29"/>
        <v>0</v>
      </c>
    </row>
    <row r="154" spans="2:31" s="59" customFormat="1" ht="51.75">
      <c r="B154" s="97" t="s">
        <v>201</v>
      </c>
      <c r="C154" s="98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55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55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161</v>
      </c>
      <c r="H154" s="62">
        <f t="shared" si="31"/>
        <v>0</v>
      </c>
      <c r="I154" s="62">
        <f t="shared" si="31"/>
        <v>161</v>
      </c>
      <c r="J154" s="62">
        <f t="shared" si="31"/>
        <v>30</v>
      </c>
      <c r="K154" s="62">
        <f t="shared" si="31"/>
        <v>0</v>
      </c>
      <c r="L154" s="62">
        <f t="shared" si="31"/>
        <v>30</v>
      </c>
      <c r="M154" s="62">
        <f t="shared" si="31"/>
        <v>760</v>
      </c>
      <c r="N154" s="62">
        <f t="shared" si="31"/>
        <v>0</v>
      </c>
      <c r="O154" s="62">
        <f t="shared" si="31"/>
        <v>760</v>
      </c>
      <c r="P154" s="62">
        <f t="shared" si="31"/>
        <v>335</v>
      </c>
      <c r="Q154" s="62">
        <f t="shared" si="31"/>
        <v>0</v>
      </c>
      <c r="R154" s="62">
        <f t="shared" si="31"/>
        <v>335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0</v>
      </c>
      <c r="Z154" s="62">
        <f t="shared" si="31"/>
        <v>1341</v>
      </c>
      <c r="AA154" s="62">
        <f t="shared" si="31"/>
        <v>406</v>
      </c>
      <c r="AB154" s="62">
        <f t="shared" si="31"/>
        <v>1222</v>
      </c>
      <c r="AC154" s="62">
        <f t="shared" si="31"/>
        <v>287</v>
      </c>
      <c r="AD154" s="62">
        <f t="shared" si="31"/>
        <v>900</v>
      </c>
      <c r="AE154" s="62">
        <f t="shared" si="31"/>
        <v>1187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Y2:Y3"/>
    <mergeCell ref="Z2:Z3"/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B6C5-3E19-4A2B-B5D6-48363338C722}">
  <sheetPr codeName="Sheet26">
    <pageSetUpPr fitToPage="1"/>
  </sheetPr>
  <dimension ref="B1:AG159"/>
  <sheetViews>
    <sheetView topLeftCell="B2" zoomScale="50" zoomScaleNormal="50" workbookViewId="0">
      <selection activeCell="J44" sqref="J44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4" width="14.28515625" style="56" customWidth="1"/>
    <col min="5" max="6" width="14.28515625" style="56" hidden="1" customWidth="1"/>
    <col min="7" max="7" width="14.28515625" style="56" customWidth="1"/>
    <col min="8" max="9" width="14.28515625" style="56" hidden="1" customWidth="1"/>
    <col min="10" max="10" width="14.28515625" style="56" customWidth="1"/>
    <col min="11" max="12" width="14.28515625" style="56" hidden="1" customWidth="1"/>
    <col min="13" max="13" width="14.28515625" style="56" customWidth="1"/>
    <col min="14" max="15" width="14.28515625" style="56" hidden="1" customWidth="1"/>
    <col min="16" max="16" width="14.28515625" style="56" customWidth="1"/>
    <col min="17" max="24" width="14.28515625" style="56" hidden="1" customWidth="1"/>
    <col min="25" max="25" width="14.28515625" style="56" customWidth="1"/>
    <col min="26" max="26" width="19.5703125" style="57" bestFit="1" customWidth="1"/>
    <col min="27" max="30" width="20.7109375" style="48" customWidth="1"/>
    <col min="31" max="31" width="23.85546875" style="49" customWidth="1"/>
    <col min="32" max="32" width="22.7109375" style="49" customWidth="1"/>
    <col min="33" max="35" width="8.85546875" style="49" customWidth="1"/>
    <col min="36" max="16384" width="8.85546875" style="49"/>
  </cols>
  <sheetData>
    <row r="1" spans="2:31" ht="68.25">
      <c r="B1" s="83" t="s">
        <v>229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</row>
    <row r="2" spans="2:31" ht="49.9" customHeight="1">
      <c r="B2" s="99" t="s">
        <v>3</v>
      </c>
      <c r="C2" s="99" t="s">
        <v>4</v>
      </c>
      <c r="D2" s="85" t="s">
        <v>5</v>
      </c>
      <c r="E2" s="86"/>
      <c r="F2" s="87"/>
      <c r="G2" s="85" t="s">
        <v>6</v>
      </c>
      <c r="H2" s="86"/>
      <c r="I2" s="87"/>
      <c r="J2" s="85" t="s">
        <v>7</v>
      </c>
      <c r="K2" s="86"/>
      <c r="L2" s="87"/>
      <c r="M2" s="85" t="s">
        <v>8</v>
      </c>
      <c r="N2" s="86"/>
      <c r="O2" s="87"/>
      <c r="P2" s="85" t="s">
        <v>132</v>
      </c>
      <c r="Q2" s="86"/>
      <c r="R2" s="87"/>
      <c r="S2" s="85" t="s">
        <v>9</v>
      </c>
      <c r="T2" s="86"/>
      <c r="U2" s="87"/>
      <c r="V2" s="88" t="s">
        <v>131</v>
      </c>
      <c r="W2" s="89"/>
      <c r="X2" s="90"/>
      <c r="Y2" s="101" t="s">
        <v>134</v>
      </c>
      <c r="Z2" s="103" t="s">
        <v>204</v>
      </c>
      <c r="AA2" s="91" t="s">
        <v>145</v>
      </c>
      <c r="AB2" s="91" t="s">
        <v>146</v>
      </c>
      <c r="AC2" s="95" t="s">
        <v>147</v>
      </c>
      <c r="AD2" s="93" t="s">
        <v>148</v>
      </c>
      <c r="AE2" s="82" t="s">
        <v>212</v>
      </c>
    </row>
    <row r="3" spans="2:31" ht="49.9" customHeight="1">
      <c r="B3" s="100"/>
      <c r="C3" s="100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102"/>
      <c r="Z3" s="104"/>
      <c r="AA3" s="92"/>
      <c r="AB3" s="92"/>
      <c r="AC3" s="96"/>
      <c r="AD3" s="94"/>
      <c r="AE3" s="82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52">
        <v>33</v>
      </c>
      <c r="N4" s="52"/>
      <c r="O4" s="65">
        <f>SUM(M4:N4)</f>
        <v>33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33</v>
      </c>
      <c r="AA4" s="50"/>
      <c r="AB4" s="50"/>
      <c r="AC4" s="61">
        <f>+AA4+AB4-Z4</f>
        <v>-33</v>
      </c>
      <c r="AD4" s="50">
        <v>105</v>
      </c>
      <c r="AE4" s="67">
        <f>AC4+AD4</f>
        <v>72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15</v>
      </c>
      <c r="H5" s="52"/>
      <c r="I5" s="65">
        <f t="shared" ref="I5:I68" si="1">SUM(G5:H5)</f>
        <v>15</v>
      </c>
      <c r="J5" s="52">
        <v>17</v>
      </c>
      <c r="K5" s="52"/>
      <c r="L5" s="65">
        <f t="shared" ref="L5:L68" si="2">SUM(J5:K5)</f>
        <v>17</v>
      </c>
      <c r="M5" s="52"/>
      <c r="N5" s="52"/>
      <c r="O5" s="65">
        <f t="shared" ref="O5:O68" si="3">SUM(M5:N5)</f>
        <v>0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32</v>
      </c>
      <c r="AA5" s="58">
        <v>80</v>
      </c>
      <c r="AB5" s="58">
        <v>47</v>
      </c>
      <c r="AC5" s="61">
        <f t="shared" ref="AC5:AC68" si="8">+AA5+AB5-Z5</f>
        <v>95</v>
      </c>
      <c r="AD5" s="58">
        <v>95</v>
      </c>
      <c r="AE5" s="67">
        <f t="shared" ref="AE5:AE68" si="9">AC5+AD5</f>
        <v>190</v>
      </c>
    </row>
    <row r="6" spans="2:31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7">
        <f t="shared" si="9"/>
        <v>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7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7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20</v>
      </c>
      <c r="H9" s="52"/>
      <c r="I9" s="65">
        <f t="shared" si="1"/>
        <v>20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20</v>
      </c>
      <c r="AA9" s="50"/>
      <c r="AB9" s="50"/>
      <c r="AC9" s="61">
        <f t="shared" si="8"/>
        <v>-20</v>
      </c>
      <c r="AD9" s="50"/>
      <c r="AE9" s="67">
        <f t="shared" si="9"/>
        <v>-20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>
        <v>20</v>
      </c>
      <c r="H10" s="52"/>
      <c r="I10" s="65">
        <f t="shared" si="1"/>
        <v>20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20</v>
      </c>
      <c r="AA10" s="50"/>
      <c r="AB10" s="50"/>
      <c r="AC10" s="61">
        <f t="shared" si="8"/>
        <v>-20</v>
      </c>
      <c r="AD10" s="50"/>
      <c r="AE10" s="67">
        <f t="shared" si="9"/>
        <v>-20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20</v>
      </c>
      <c r="H11" s="52"/>
      <c r="I11" s="65">
        <f t="shared" si="1"/>
        <v>20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20</v>
      </c>
      <c r="AA11" s="50"/>
      <c r="AB11" s="50"/>
      <c r="AC11" s="61">
        <f t="shared" si="8"/>
        <v>-20</v>
      </c>
      <c r="AD11" s="50"/>
      <c r="AE11" s="67">
        <f t="shared" si="9"/>
        <v>-20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20</v>
      </c>
      <c r="H12" s="52"/>
      <c r="I12" s="65">
        <f t="shared" si="1"/>
        <v>20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20</v>
      </c>
      <c r="AA12" s="50"/>
      <c r="AB12" s="50"/>
      <c r="AC12" s="61">
        <f t="shared" si="8"/>
        <v>-20</v>
      </c>
      <c r="AD12" s="50"/>
      <c r="AE12" s="67">
        <f t="shared" si="9"/>
        <v>-20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20</v>
      </c>
      <c r="H13" s="52"/>
      <c r="I13" s="65">
        <f t="shared" si="1"/>
        <v>20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20</v>
      </c>
      <c r="AA13" s="50"/>
      <c r="AB13" s="50"/>
      <c r="AC13" s="61">
        <f t="shared" si="8"/>
        <v>-20</v>
      </c>
      <c r="AD13" s="50"/>
      <c r="AE13" s="67">
        <f t="shared" si="9"/>
        <v>-20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20</v>
      </c>
      <c r="H14" s="52"/>
      <c r="I14" s="65">
        <f t="shared" si="1"/>
        <v>20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20</v>
      </c>
      <c r="AA14" s="50"/>
      <c r="AB14" s="50"/>
      <c r="AC14" s="61">
        <f t="shared" si="8"/>
        <v>-20</v>
      </c>
      <c r="AD14" s="50"/>
      <c r="AE14" s="67">
        <f t="shared" si="9"/>
        <v>-20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20</v>
      </c>
      <c r="H15" s="52"/>
      <c r="I15" s="65">
        <f t="shared" si="1"/>
        <v>20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20</v>
      </c>
      <c r="AA15" s="50"/>
      <c r="AB15" s="50"/>
      <c r="AC15" s="61">
        <f t="shared" si="8"/>
        <v>-20</v>
      </c>
      <c r="AD15" s="50"/>
      <c r="AE15" s="67">
        <f t="shared" si="9"/>
        <v>-20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20</v>
      </c>
      <c r="H16" s="52"/>
      <c r="I16" s="65">
        <f t="shared" si="1"/>
        <v>20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20</v>
      </c>
      <c r="AA16" s="50"/>
      <c r="AB16" s="50"/>
      <c r="AC16" s="61">
        <f t="shared" si="8"/>
        <v>-20</v>
      </c>
      <c r="AD16" s="50"/>
      <c r="AE16" s="67">
        <f t="shared" si="9"/>
        <v>-20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20</v>
      </c>
      <c r="H17" s="52"/>
      <c r="I17" s="65">
        <f t="shared" si="1"/>
        <v>20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20</v>
      </c>
      <c r="AA17" s="50"/>
      <c r="AB17" s="50"/>
      <c r="AC17" s="61">
        <f t="shared" si="8"/>
        <v>-20</v>
      </c>
      <c r="AD17" s="50"/>
      <c r="AE17" s="67">
        <f t="shared" si="9"/>
        <v>-20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20</v>
      </c>
      <c r="H18" s="52"/>
      <c r="I18" s="65">
        <f t="shared" si="1"/>
        <v>20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20</v>
      </c>
      <c r="AA18" s="50"/>
      <c r="AB18" s="50"/>
      <c r="AC18" s="61">
        <f t="shared" si="8"/>
        <v>-20</v>
      </c>
      <c r="AD18" s="50"/>
      <c r="AE18" s="67">
        <f t="shared" si="9"/>
        <v>-20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20</v>
      </c>
      <c r="H19" s="52"/>
      <c r="I19" s="65">
        <f t="shared" si="1"/>
        <v>20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20</v>
      </c>
      <c r="AA19" s="50"/>
      <c r="AB19" s="50"/>
      <c r="AC19" s="61">
        <f t="shared" si="8"/>
        <v>-20</v>
      </c>
      <c r="AD19" s="50"/>
      <c r="AE19" s="67">
        <f t="shared" si="9"/>
        <v>-20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7">
        <f t="shared" si="9"/>
        <v>0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7">
        <f t="shared" si="9"/>
        <v>0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7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7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7">
        <f t="shared" si="9"/>
        <v>0</v>
      </c>
    </row>
    <row r="25" spans="2:31">
      <c r="B25" s="50">
        <v>1111008</v>
      </c>
      <c r="C25" s="51" t="s">
        <v>156</v>
      </c>
      <c r="D25" s="52"/>
      <c r="E25" s="52"/>
      <c r="F25" s="65">
        <f t="shared" si="0"/>
        <v>0</v>
      </c>
      <c r="G25" s="52">
        <v>3</v>
      </c>
      <c r="H25" s="52"/>
      <c r="I25" s="65">
        <f t="shared" si="1"/>
        <v>3</v>
      </c>
      <c r="J25" s="52"/>
      <c r="K25" s="52"/>
      <c r="L25" s="65">
        <f t="shared" si="2"/>
        <v>0</v>
      </c>
      <c r="M25" s="52">
        <v>33</v>
      </c>
      <c r="N25" s="52"/>
      <c r="O25" s="65">
        <f t="shared" si="3"/>
        <v>33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36</v>
      </c>
      <c r="AA25" s="50">
        <v>50</v>
      </c>
      <c r="AB25" s="50"/>
      <c r="AC25" s="61">
        <f t="shared" si="8"/>
        <v>14</v>
      </c>
      <c r="AD25" s="50">
        <v>50</v>
      </c>
      <c r="AE25" s="67">
        <f t="shared" si="9"/>
        <v>64</v>
      </c>
    </row>
    <row r="26" spans="2:31">
      <c r="B26" s="50">
        <v>1111009</v>
      </c>
      <c r="C26" s="51" t="s">
        <v>157</v>
      </c>
      <c r="D26" s="52"/>
      <c r="E26" s="52"/>
      <c r="F26" s="65">
        <f t="shared" si="0"/>
        <v>0</v>
      </c>
      <c r="G26" s="52">
        <v>4</v>
      </c>
      <c r="H26" s="52"/>
      <c r="I26" s="65">
        <f t="shared" si="1"/>
        <v>4</v>
      </c>
      <c r="J26" s="52"/>
      <c r="K26" s="52"/>
      <c r="L26" s="65">
        <f t="shared" si="2"/>
        <v>0</v>
      </c>
      <c r="M26" s="52">
        <v>2</v>
      </c>
      <c r="N26" s="52"/>
      <c r="O26" s="65">
        <f t="shared" si="3"/>
        <v>2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6</v>
      </c>
      <c r="AA26" s="50"/>
      <c r="AB26" s="50">
        <v>8</v>
      </c>
      <c r="AC26" s="61">
        <f t="shared" si="8"/>
        <v>2</v>
      </c>
      <c r="AD26" s="50">
        <v>30</v>
      </c>
      <c r="AE26" s="67">
        <f t="shared" si="9"/>
        <v>32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7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7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7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7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7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7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7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7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7">
        <f t="shared" si="9"/>
        <v>0</v>
      </c>
    </row>
    <row r="36" spans="2:3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>
        <v>3</v>
      </c>
      <c r="Z36" s="63">
        <f t="shared" si="7"/>
        <v>3</v>
      </c>
      <c r="AA36" s="50">
        <v>3</v>
      </c>
      <c r="AB36" s="50"/>
      <c r="AC36" s="61">
        <f t="shared" si="8"/>
        <v>0</v>
      </c>
      <c r="AD36" s="50"/>
      <c r="AE36" s="67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7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7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7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7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3</v>
      </c>
      <c r="H41" s="52"/>
      <c r="I41" s="65">
        <f t="shared" si="1"/>
        <v>3</v>
      </c>
      <c r="J41" s="52"/>
      <c r="K41" s="52"/>
      <c r="L41" s="65">
        <f t="shared" si="2"/>
        <v>0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3</v>
      </c>
      <c r="AA41" s="50"/>
      <c r="AB41" s="50">
        <v>7</v>
      </c>
      <c r="AC41" s="61">
        <f t="shared" si="8"/>
        <v>4</v>
      </c>
      <c r="AD41" s="50">
        <v>10</v>
      </c>
      <c r="AE41" s="67">
        <f t="shared" si="9"/>
        <v>14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8</v>
      </c>
      <c r="H42" s="52"/>
      <c r="I42" s="65">
        <f t="shared" si="1"/>
        <v>8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8</v>
      </c>
      <c r="AA42" s="50"/>
      <c r="AB42" s="50"/>
      <c r="AC42" s="61">
        <f t="shared" si="8"/>
        <v>-8</v>
      </c>
      <c r="AD42" s="50"/>
      <c r="AE42" s="67">
        <f t="shared" si="9"/>
        <v>-8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8</v>
      </c>
      <c r="H43" s="52"/>
      <c r="I43" s="65">
        <f t="shared" si="1"/>
        <v>8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8</v>
      </c>
      <c r="AA43" s="50"/>
      <c r="AB43" s="50"/>
      <c r="AC43" s="61">
        <f t="shared" si="8"/>
        <v>-8</v>
      </c>
      <c r="AD43" s="50"/>
      <c r="AE43" s="67">
        <f t="shared" si="9"/>
        <v>-8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8</v>
      </c>
      <c r="H44" s="52"/>
      <c r="I44" s="65">
        <f t="shared" si="1"/>
        <v>8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8</v>
      </c>
      <c r="AA44" s="50"/>
      <c r="AB44" s="50"/>
      <c r="AC44" s="61">
        <f t="shared" si="8"/>
        <v>-8</v>
      </c>
      <c r="AD44" s="50"/>
      <c r="AE44" s="67">
        <f t="shared" si="9"/>
        <v>-8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8</v>
      </c>
      <c r="H45" s="52"/>
      <c r="I45" s="65">
        <f t="shared" si="1"/>
        <v>8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8</v>
      </c>
      <c r="AA45" s="50"/>
      <c r="AB45" s="50"/>
      <c r="AC45" s="61">
        <f t="shared" si="8"/>
        <v>-8</v>
      </c>
      <c r="AD45" s="50"/>
      <c r="AE45" s="67">
        <f t="shared" si="9"/>
        <v>-8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8</v>
      </c>
      <c r="H46" s="52"/>
      <c r="I46" s="65">
        <f t="shared" si="1"/>
        <v>8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8</v>
      </c>
      <c r="AA46" s="50"/>
      <c r="AB46" s="50"/>
      <c r="AC46" s="61">
        <f t="shared" si="8"/>
        <v>-8</v>
      </c>
      <c r="AD46" s="50"/>
      <c r="AE46" s="67">
        <f t="shared" si="9"/>
        <v>-8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8</v>
      </c>
      <c r="H47" s="52"/>
      <c r="I47" s="65">
        <f t="shared" si="1"/>
        <v>8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8</v>
      </c>
      <c r="AA47" s="50"/>
      <c r="AB47" s="50"/>
      <c r="AC47" s="61">
        <f t="shared" si="8"/>
        <v>-8</v>
      </c>
      <c r="AD47" s="50"/>
      <c r="AE47" s="67">
        <f t="shared" si="9"/>
        <v>-8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8</v>
      </c>
      <c r="H48" s="52"/>
      <c r="I48" s="65">
        <f t="shared" si="1"/>
        <v>8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8</v>
      </c>
      <c r="AA48" s="50"/>
      <c r="AB48" s="50"/>
      <c r="AC48" s="61">
        <f t="shared" si="8"/>
        <v>-8</v>
      </c>
      <c r="AD48" s="50"/>
      <c r="AE48" s="67">
        <f t="shared" si="9"/>
        <v>-8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8</v>
      </c>
      <c r="H49" s="52"/>
      <c r="I49" s="65">
        <f t="shared" si="1"/>
        <v>8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8</v>
      </c>
      <c r="AA49" s="50"/>
      <c r="AB49" s="50"/>
      <c r="AC49" s="61">
        <f t="shared" si="8"/>
        <v>-8</v>
      </c>
      <c r="AD49" s="50"/>
      <c r="AE49" s="67">
        <f t="shared" si="9"/>
        <v>-8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8</v>
      </c>
      <c r="H50" s="52"/>
      <c r="I50" s="65">
        <f t="shared" si="1"/>
        <v>8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8</v>
      </c>
      <c r="AA50" s="50"/>
      <c r="AB50" s="50"/>
      <c r="AC50" s="61">
        <f t="shared" si="8"/>
        <v>-8</v>
      </c>
      <c r="AD50" s="50"/>
      <c r="AE50" s="67">
        <f t="shared" si="9"/>
        <v>-8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8</v>
      </c>
      <c r="H51" s="52"/>
      <c r="I51" s="65">
        <f t="shared" si="1"/>
        <v>8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8</v>
      </c>
      <c r="AA51" s="50"/>
      <c r="AB51" s="50"/>
      <c r="AC51" s="61">
        <f t="shared" si="8"/>
        <v>-8</v>
      </c>
      <c r="AD51" s="50"/>
      <c r="AE51" s="67">
        <f t="shared" si="9"/>
        <v>-8</v>
      </c>
    </row>
    <row r="52" spans="2:31" hidden="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7">
        <f t="shared" si="9"/>
        <v>0</v>
      </c>
    </row>
    <row r="53" spans="2:31">
      <c r="B53" s="50">
        <v>1112003</v>
      </c>
      <c r="C53" s="51" t="s">
        <v>174</v>
      </c>
      <c r="D53" s="52">
        <v>3</v>
      </c>
      <c r="E53" s="52"/>
      <c r="F53" s="65">
        <f t="shared" si="0"/>
        <v>3</v>
      </c>
      <c r="G53" s="52">
        <v>3</v>
      </c>
      <c r="H53" s="52"/>
      <c r="I53" s="65">
        <f t="shared" si="1"/>
        <v>3</v>
      </c>
      <c r="J53" s="52"/>
      <c r="K53" s="52"/>
      <c r="L53" s="65">
        <f t="shared" si="2"/>
        <v>0</v>
      </c>
      <c r="M53" s="52">
        <v>40</v>
      </c>
      <c r="N53" s="52"/>
      <c r="O53" s="65">
        <f t="shared" si="3"/>
        <v>40</v>
      </c>
      <c r="P53" s="52">
        <v>1</v>
      </c>
      <c r="Q53" s="52"/>
      <c r="R53" s="65">
        <f t="shared" si="4"/>
        <v>1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47</v>
      </c>
      <c r="AA53" s="50">
        <v>65</v>
      </c>
      <c r="AB53" s="50">
        <v>3</v>
      </c>
      <c r="AC53" s="61">
        <f t="shared" si="8"/>
        <v>21</v>
      </c>
      <c r="AD53" s="50">
        <v>70</v>
      </c>
      <c r="AE53" s="67">
        <f t="shared" si="9"/>
        <v>91</v>
      </c>
    </row>
    <row r="54" spans="2:31" hidden="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7">
        <f t="shared" si="9"/>
        <v>0</v>
      </c>
    </row>
    <row r="55" spans="2:31">
      <c r="B55" s="50">
        <v>1112005</v>
      </c>
      <c r="C55" s="51" t="s">
        <v>176</v>
      </c>
      <c r="D55" s="52">
        <v>3</v>
      </c>
      <c r="E55" s="52"/>
      <c r="F55" s="65">
        <f t="shared" si="0"/>
        <v>3</v>
      </c>
      <c r="G55" s="52">
        <v>3</v>
      </c>
      <c r="H55" s="52"/>
      <c r="I55" s="65">
        <f t="shared" si="1"/>
        <v>3</v>
      </c>
      <c r="J55" s="52"/>
      <c r="K55" s="52"/>
      <c r="L55" s="65">
        <f t="shared" si="2"/>
        <v>0</v>
      </c>
      <c r="M55" s="52">
        <v>40</v>
      </c>
      <c r="N55" s="52"/>
      <c r="O55" s="65">
        <f t="shared" si="3"/>
        <v>40</v>
      </c>
      <c r="P55" s="52">
        <v>1</v>
      </c>
      <c r="Q55" s="52"/>
      <c r="R55" s="65">
        <f t="shared" si="4"/>
        <v>1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47</v>
      </c>
      <c r="AA55" s="50">
        <v>75</v>
      </c>
      <c r="AB55" s="50"/>
      <c r="AC55" s="61">
        <f t="shared" si="8"/>
        <v>28</v>
      </c>
      <c r="AD55" s="50">
        <v>40</v>
      </c>
      <c r="AE55" s="67">
        <f t="shared" si="9"/>
        <v>68</v>
      </c>
    </row>
    <row r="56" spans="2:31" hidden="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7">
        <f t="shared" si="9"/>
        <v>0</v>
      </c>
    </row>
    <row r="57" spans="2:31">
      <c r="B57" s="50">
        <v>1112009</v>
      </c>
      <c r="C57" s="51" t="s">
        <v>178</v>
      </c>
      <c r="D57" s="52">
        <v>4</v>
      </c>
      <c r="E57" s="52"/>
      <c r="F57" s="65">
        <f t="shared" si="0"/>
        <v>4</v>
      </c>
      <c r="G57" s="52">
        <v>2</v>
      </c>
      <c r="H57" s="52"/>
      <c r="I57" s="65">
        <f t="shared" si="1"/>
        <v>2</v>
      </c>
      <c r="J57" s="52"/>
      <c r="K57" s="52"/>
      <c r="L57" s="65">
        <f t="shared" si="2"/>
        <v>0</v>
      </c>
      <c r="M57" s="52">
        <v>39</v>
      </c>
      <c r="N57" s="52"/>
      <c r="O57" s="65">
        <f t="shared" si="3"/>
        <v>39</v>
      </c>
      <c r="P57" s="52">
        <v>1</v>
      </c>
      <c r="Q57" s="52"/>
      <c r="R57" s="65">
        <f t="shared" si="4"/>
        <v>1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46</v>
      </c>
      <c r="AA57" s="50">
        <v>70</v>
      </c>
      <c r="AB57" s="50"/>
      <c r="AC57" s="61">
        <f t="shared" si="8"/>
        <v>24</v>
      </c>
      <c r="AD57" s="50">
        <v>85</v>
      </c>
      <c r="AE57" s="67">
        <f t="shared" si="9"/>
        <v>109</v>
      </c>
    </row>
    <row r="58" spans="2:31" hidden="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7">
        <f t="shared" si="9"/>
        <v>0</v>
      </c>
    </row>
    <row r="59" spans="2:31">
      <c r="B59" s="50">
        <v>1112011</v>
      </c>
      <c r="C59" s="51" t="s">
        <v>180</v>
      </c>
      <c r="D59" s="52">
        <v>5</v>
      </c>
      <c r="E59" s="52"/>
      <c r="F59" s="65">
        <f t="shared" si="0"/>
        <v>5</v>
      </c>
      <c r="G59" s="52">
        <v>2</v>
      </c>
      <c r="H59" s="52"/>
      <c r="I59" s="65">
        <f t="shared" si="1"/>
        <v>2</v>
      </c>
      <c r="J59" s="52">
        <v>5</v>
      </c>
      <c r="K59" s="52"/>
      <c r="L59" s="65">
        <f t="shared" si="2"/>
        <v>5</v>
      </c>
      <c r="M59" s="52">
        <v>39</v>
      </c>
      <c r="N59" s="52"/>
      <c r="O59" s="65">
        <f t="shared" si="3"/>
        <v>39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51</v>
      </c>
      <c r="AA59" s="50">
        <v>44</v>
      </c>
      <c r="AB59" s="50"/>
      <c r="AC59" s="61">
        <f t="shared" si="8"/>
        <v>-7</v>
      </c>
      <c r="AD59" s="50">
        <v>65</v>
      </c>
      <c r="AE59" s="67">
        <f t="shared" si="9"/>
        <v>58</v>
      </c>
    </row>
    <row r="60" spans="2:31" hidden="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7">
        <f t="shared" si="9"/>
        <v>0</v>
      </c>
    </row>
    <row r="61" spans="2:31">
      <c r="B61" s="50">
        <v>1112013</v>
      </c>
      <c r="C61" s="51" t="s">
        <v>182</v>
      </c>
      <c r="D61" s="52">
        <v>4</v>
      </c>
      <c r="E61" s="52"/>
      <c r="F61" s="65">
        <f t="shared" si="0"/>
        <v>4</v>
      </c>
      <c r="G61" s="52">
        <v>2</v>
      </c>
      <c r="H61" s="52"/>
      <c r="I61" s="65">
        <f t="shared" si="1"/>
        <v>2</v>
      </c>
      <c r="J61" s="52">
        <v>1</v>
      </c>
      <c r="K61" s="52"/>
      <c r="L61" s="65">
        <f t="shared" si="2"/>
        <v>1</v>
      </c>
      <c r="M61" s="52">
        <v>39</v>
      </c>
      <c r="N61" s="52"/>
      <c r="O61" s="65">
        <f t="shared" si="3"/>
        <v>39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46</v>
      </c>
      <c r="AA61" s="50">
        <v>65</v>
      </c>
      <c r="AB61" s="50">
        <v>3</v>
      </c>
      <c r="AC61" s="61">
        <f t="shared" si="8"/>
        <v>22</v>
      </c>
      <c r="AD61" s="50">
        <v>65</v>
      </c>
      <c r="AE61" s="67">
        <f t="shared" si="9"/>
        <v>87</v>
      </c>
    </row>
    <row r="62" spans="2:31" hidden="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7">
        <f t="shared" si="9"/>
        <v>0</v>
      </c>
    </row>
    <row r="63" spans="2:31">
      <c r="B63" s="50">
        <v>1112015</v>
      </c>
      <c r="C63" s="51" t="s">
        <v>184</v>
      </c>
      <c r="D63" s="52">
        <v>5</v>
      </c>
      <c r="E63" s="52"/>
      <c r="F63" s="65">
        <f t="shared" si="0"/>
        <v>5</v>
      </c>
      <c r="G63" s="52">
        <v>2</v>
      </c>
      <c r="H63" s="52"/>
      <c r="I63" s="65">
        <f t="shared" si="1"/>
        <v>2</v>
      </c>
      <c r="J63" s="52"/>
      <c r="K63" s="52"/>
      <c r="L63" s="65">
        <f t="shared" si="2"/>
        <v>0</v>
      </c>
      <c r="M63" s="52">
        <v>39</v>
      </c>
      <c r="N63" s="52"/>
      <c r="O63" s="65">
        <f t="shared" si="3"/>
        <v>39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46</v>
      </c>
      <c r="AA63" s="50">
        <v>65</v>
      </c>
      <c r="AB63" s="50"/>
      <c r="AC63" s="61">
        <f t="shared" si="8"/>
        <v>19</v>
      </c>
      <c r="AD63" s="50">
        <v>75</v>
      </c>
      <c r="AE63" s="67">
        <f t="shared" si="9"/>
        <v>94</v>
      </c>
    </row>
    <row r="64" spans="2:31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7">
        <f t="shared" si="9"/>
        <v>0</v>
      </c>
    </row>
    <row r="65" spans="2:33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7">
        <f t="shared" si="9"/>
        <v>0</v>
      </c>
    </row>
    <row r="66" spans="2:33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7">
        <f t="shared" si="9"/>
        <v>0</v>
      </c>
    </row>
    <row r="67" spans="2:33">
      <c r="B67" s="50">
        <v>1114501</v>
      </c>
      <c r="C67" s="53" t="s">
        <v>187</v>
      </c>
      <c r="D67" s="52"/>
      <c r="E67" s="52"/>
      <c r="F67" s="65">
        <f t="shared" si="0"/>
        <v>0</v>
      </c>
      <c r="G67" s="52">
        <v>9</v>
      </c>
      <c r="H67" s="52"/>
      <c r="I67" s="65">
        <f t="shared" si="1"/>
        <v>9</v>
      </c>
      <c r="J67" s="52">
        <v>2</v>
      </c>
      <c r="K67" s="52"/>
      <c r="L67" s="65">
        <f t="shared" si="2"/>
        <v>2</v>
      </c>
      <c r="M67" s="52">
        <v>176</v>
      </c>
      <c r="N67" s="52"/>
      <c r="O67" s="65">
        <f t="shared" si="3"/>
        <v>176</v>
      </c>
      <c r="P67" s="52">
        <v>11</v>
      </c>
      <c r="Q67" s="52"/>
      <c r="R67" s="65">
        <f t="shared" si="4"/>
        <v>11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198</v>
      </c>
      <c r="AA67" s="50">
        <v>144</v>
      </c>
      <c r="AB67" s="50">
        <v>230</v>
      </c>
      <c r="AC67" s="61">
        <f t="shared" si="8"/>
        <v>176</v>
      </c>
      <c r="AD67" s="50">
        <v>200</v>
      </c>
      <c r="AE67" s="67">
        <f t="shared" si="9"/>
        <v>376</v>
      </c>
    </row>
    <row r="68" spans="2:33">
      <c r="B68" s="50">
        <v>1114502</v>
      </c>
      <c r="C68" s="53" t="s">
        <v>188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>
        <v>2</v>
      </c>
      <c r="K68" s="52"/>
      <c r="L68" s="65">
        <f t="shared" si="2"/>
        <v>2</v>
      </c>
      <c r="M68" s="52">
        <v>173</v>
      </c>
      <c r="N68" s="52"/>
      <c r="O68" s="65">
        <f t="shared" si="3"/>
        <v>173</v>
      </c>
      <c r="P68" s="52">
        <v>11</v>
      </c>
      <c r="Q68" s="52"/>
      <c r="R68" s="65">
        <f t="shared" si="4"/>
        <v>11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186</v>
      </c>
      <c r="AA68" s="50">
        <v>164</v>
      </c>
      <c r="AB68" s="50"/>
      <c r="AC68" s="61">
        <f t="shared" si="8"/>
        <v>-22</v>
      </c>
      <c r="AD68" s="50">
        <v>150</v>
      </c>
      <c r="AE68" s="67">
        <f t="shared" si="9"/>
        <v>128</v>
      </c>
    </row>
    <row r="69" spans="2:33">
      <c r="B69" s="50">
        <v>1114503</v>
      </c>
      <c r="C69" s="53" t="s">
        <v>189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21" si="11">SUM(G69:H69)</f>
        <v>0</v>
      </c>
      <c r="J69" s="52">
        <v>1</v>
      </c>
      <c r="K69" s="52"/>
      <c r="L69" s="65">
        <f t="shared" ref="L69:L121" si="12">SUM(J69:K69)</f>
        <v>1</v>
      </c>
      <c r="M69" s="52">
        <v>173</v>
      </c>
      <c r="N69" s="52"/>
      <c r="O69" s="65">
        <f t="shared" ref="O69:O121" si="13">SUM(M69:N69)</f>
        <v>173</v>
      </c>
      <c r="P69" s="52">
        <v>11</v>
      </c>
      <c r="Q69" s="52"/>
      <c r="R69" s="65">
        <f t="shared" ref="R69:R121" si="14">SUM(P69:Q69)</f>
        <v>11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185</v>
      </c>
      <c r="AA69" s="50">
        <v>186</v>
      </c>
      <c r="AB69" s="50">
        <v>1</v>
      </c>
      <c r="AC69" s="61">
        <f t="shared" ref="AC69:AC121" si="18">+AA69+AB69-Z69</f>
        <v>2</v>
      </c>
      <c r="AD69" s="50">
        <v>150</v>
      </c>
      <c r="AE69" s="67">
        <f t="shared" ref="AE69:AE121" si="19">AC69+AD69</f>
        <v>152</v>
      </c>
      <c r="AG69" s="68"/>
    </row>
    <row r="70" spans="2:33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>
        <v>2</v>
      </c>
      <c r="H70" s="52"/>
      <c r="I70" s="65">
        <f t="shared" si="11"/>
        <v>2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2</v>
      </c>
      <c r="AA70" s="50"/>
      <c r="AB70" s="50"/>
      <c r="AC70" s="61">
        <f t="shared" si="18"/>
        <v>-2</v>
      </c>
      <c r="AD70" s="50"/>
      <c r="AE70" s="67">
        <f t="shared" si="19"/>
        <v>-2</v>
      </c>
    </row>
    <row r="71" spans="2:33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7">
        <f t="shared" si="19"/>
        <v>0</v>
      </c>
    </row>
    <row r="72" spans="2:33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7">
        <f t="shared" si="19"/>
        <v>0</v>
      </c>
    </row>
    <row r="73" spans="2:33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7">
        <f t="shared" si="19"/>
        <v>0</v>
      </c>
    </row>
    <row r="74" spans="2:33" hidden="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7">
        <f t="shared" si="19"/>
        <v>0</v>
      </c>
    </row>
    <row r="75" spans="2:33" hidden="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52"/>
      <c r="N75" s="52"/>
      <c r="O75" s="65">
        <f t="shared" si="13"/>
        <v>0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/>
      <c r="AE75" s="67">
        <f t="shared" si="19"/>
        <v>0</v>
      </c>
    </row>
    <row r="76" spans="2:33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52">
        <v>1</v>
      </c>
      <c r="N76" s="52"/>
      <c r="O76" s="65">
        <f t="shared" si="13"/>
        <v>1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1</v>
      </c>
      <c r="AA76" s="50"/>
      <c r="AB76" s="50"/>
      <c r="AC76" s="61">
        <f t="shared" si="18"/>
        <v>-1</v>
      </c>
      <c r="AD76" s="50"/>
      <c r="AE76" s="67">
        <f t="shared" si="19"/>
        <v>-1</v>
      </c>
    </row>
    <row r="77" spans="2:33" hidden="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7">
        <f t="shared" si="19"/>
        <v>0</v>
      </c>
    </row>
    <row r="78" spans="2:33" hidden="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7">
        <f t="shared" si="19"/>
        <v>0</v>
      </c>
    </row>
    <row r="79" spans="2:33" hidden="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7">
        <f t="shared" si="19"/>
        <v>0</v>
      </c>
    </row>
    <row r="80" spans="2:33" hidden="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7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7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1</v>
      </c>
      <c r="H82" s="52"/>
      <c r="I82" s="65">
        <f t="shared" si="11"/>
        <v>1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1</v>
      </c>
      <c r="AA82" s="50"/>
      <c r="AB82" s="50"/>
      <c r="AC82" s="61">
        <f t="shared" si="18"/>
        <v>-1</v>
      </c>
      <c r="AD82" s="50"/>
      <c r="AE82" s="67">
        <f t="shared" si="19"/>
        <v>-1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3</v>
      </c>
      <c r="H83" s="52"/>
      <c r="I83" s="65">
        <f t="shared" si="11"/>
        <v>3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3</v>
      </c>
      <c r="AA83" s="50"/>
      <c r="AB83" s="50"/>
      <c r="AC83" s="61">
        <f t="shared" si="18"/>
        <v>-3</v>
      </c>
      <c r="AD83" s="50"/>
      <c r="AE83" s="67">
        <f t="shared" si="19"/>
        <v>-3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7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7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7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7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7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7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7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7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7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7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7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7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7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7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7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7">
        <f t="shared" si="19"/>
        <v>0</v>
      </c>
    </row>
    <row r="100" spans="2:31" hidden="1">
      <c r="B100" s="50">
        <v>1004062</v>
      </c>
      <c r="C100" s="53" t="s">
        <v>238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7">
        <f t="shared" si="19"/>
        <v>0</v>
      </c>
    </row>
    <row r="101" spans="2:31">
      <c r="B101" s="50">
        <v>1004051</v>
      </c>
      <c r="C101" s="53" t="s">
        <v>239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>
        <v>20</v>
      </c>
      <c r="Z101" s="63">
        <f t="shared" si="17"/>
        <v>20</v>
      </c>
      <c r="AA101" s="50"/>
      <c r="AB101" s="50"/>
      <c r="AC101" s="61">
        <f t="shared" si="18"/>
        <v>-20</v>
      </c>
      <c r="AD101" s="50"/>
      <c r="AE101" s="67">
        <f t="shared" si="19"/>
        <v>-20</v>
      </c>
    </row>
    <row r="102" spans="2:31">
      <c r="B102" s="50">
        <v>1111005</v>
      </c>
      <c r="C102" s="53" t="s">
        <v>240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7">
        <f t="shared" si="19"/>
        <v>0</v>
      </c>
    </row>
    <row r="103" spans="2:31">
      <c r="B103" s="50">
        <v>1111006</v>
      </c>
      <c r="C103" s="53" t="s">
        <v>241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>
        <v>6</v>
      </c>
      <c r="Z103" s="63">
        <f t="shared" si="17"/>
        <v>6</v>
      </c>
      <c r="AA103" s="50"/>
      <c r="AB103" s="50"/>
      <c r="AC103" s="61">
        <f t="shared" si="18"/>
        <v>-6</v>
      </c>
      <c r="AD103" s="50"/>
      <c r="AE103" s="67">
        <f t="shared" si="19"/>
        <v>-6</v>
      </c>
    </row>
    <row r="104" spans="2:31" hidden="1">
      <c r="B104" s="50">
        <v>1004048</v>
      </c>
      <c r="C104" s="53" t="s">
        <v>242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7">
        <f t="shared" si="19"/>
        <v>0</v>
      </c>
    </row>
    <row r="105" spans="2:31" hidden="1">
      <c r="B105" s="50">
        <v>1113157</v>
      </c>
      <c r="C105" s="53" t="s">
        <v>243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7">
        <f t="shared" si="19"/>
        <v>0</v>
      </c>
    </row>
    <row r="106" spans="2:31" hidden="1">
      <c r="B106" s="50">
        <v>1004080</v>
      </c>
      <c r="C106" s="53" t="s">
        <v>244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7">
        <f t="shared" si="19"/>
        <v>0</v>
      </c>
    </row>
    <row r="107" spans="2:31" hidden="1">
      <c r="B107" s="50">
        <v>1004081</v>
      </c>
      <c r="C107" s="53" t="s">
        <v>245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7">
        <f t="shared" si="19"/>
        <v>0</v>
      </c>
    </row>
    <row r="108" spans="2:31" hidden="1">
      <c r="B108" s="50">
        <v>3001200</v>
      </c>
      <c r="C108" s="53" t="s">
        <v>246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7">
        <f t="shared" si="19"/>
        <v>0</v>
      </c>
    </row>
    <row r="109" spans="2:31" hidden="1">
      <c r="B109" s="50">
        <v>1004047</v>
      </c>
      <c r="C109" s="53" t="s">
        <v>247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7">
        <f t="shared" si="19"/>
        <v>0</v>
      </c>
    </row>
    <row r="110" spans="2:31" hidden="1">
      <c r="B110" s="50">
        <v>1004070</v>
      </c>
      <c r="C110" s="53" t="s">
        <v>248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7">
        <f t="shared" si="19"/>
        <v>0</v>
      </c>
    </row>
    <row r="111" spans="2:31" hidden="1">
      <c r="B111" s="50">
        <v>1004076</v>
      </c>
      <c r="C111" s="53" t="s">
        <v>249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7">
        <f t="shared" si="19"/>
        <v>0</v>
      </c>
    </row>
    <row r="112" spans="2:31" hidden="1">
      <c r="B112" s="50">
        <v>1004050</v>
      </c>
      <c r="C112" s="53" t="s">
        <v>250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7">
        <f t="shared" si="19"/>
        <v>0</v>
      </c>
    </row>
    <row r="113" spans="2:31" hidden="1">
      <c r="B113" s="50">
        <v>1004048</v>
      </c>
      <c r="C113" s="53" t="s">
        <v>251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7">
        <f t="shared" si="19"/>
        <v>0</v>
      </c>
    </row>
    <row r="114" spans="2:31" hidden="1">
      <c r="B114" s="50">
        <v>1007020</v>
      </c>
      <c r="C114" s="53" t="s">
        <v>253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7">
        <f t="shared" si="19"/>
        <v>0</v>
      </c>
    </row>
    <row r="115" spans="2:31" hidden="1">
      <c r="B115" s="50">
        <v>1004063</v>
      </c>
      <c r="C115" s="53" t="s">
        <v>254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7">
        <f t="shared" si="19"/>
        <v>0</v>
      </c>
    </row>
    <row r="116" spans="2:31" hidden="1">
      <c r="B116" s="50">
        <v>1004065</v>
      </c>
      <c r="C116" s="53" t="s">
        <v>255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7">
        <f t="shared" si="19"/>
        <v>0</v>
      </c>
    </row>
    <row r="117" spans="2:31" hidden="1">
      <c r="B117" s="50">
        <v>1006982</v>
      </c>
      <c r="C117" s="53" t="s">
        <v>256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7">
        <f t="shared" si="19"/>
        <v>0</v>
      </c>
    </row>
    <row r="118" spans="2:31" hidden="1">
      <c r="B118" s="50">
        <v>1006000</v>
      </c>
      <c r="C118" s="53" t="s">
        <v>257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7">
        <f t="shared" si="19"/>
        <v>0</v>
      </c>
    </row>
    <row r="119" spans="2:31" hidden="1">
      <c r="B119" s="50">
        <v>1005998</v>
      </c>
      <c r="C119" s="53" t="s">
        <v>258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7">
        <f t="shared" si="19"/>
        <v>0</v>
      </c>
    </row>
    <row r="120" spans="2:31" hidden="1">
      <c r="B120" s="50">
        <v>1005995</v>
      </c>
      <c r="C120" s="53" t="s">
        <v>259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7">
        <f t="shared" si="19"/>
        <v>0</v>
      </c>
    </row>
    <row r="121" spans="2:31" hidden="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7">
        <f t="shared" si="19"/>
        <v>0</v>
      </c>
    </row>
    <row r="122" spans="2:31" hidden="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7"/>
    </row>
    <row r="123" spans="2:31" hidden="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7"/>
    </row>
    <row r="124" spans="2:31" hidden="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7"/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7"/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7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7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7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7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7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7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7"/>
    </row>
    <row r="133" spans="2:31" hidden="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7"/>
    </row>
    <row r="134" spans="2:31" hidden="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7"/>
    </row>
    <row r="135" spans="2:31" hidden="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7"/>
    </row>
    <row r="136" spans="2:31" hidden="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7"/>
    </row>
    <row r="137" spans="2:31" hidden="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7"/>
    </row>
    <row r="138" spans="2:31" hidden="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7"/>
    </row>
    <row r="139" spans="2:31" hidden="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7"/>
    </row>
    <row r="140" spans="2:31" hidden="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7"/>
    </row>
    <row r="141" spans="2:31" hidden="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7"/>
    </row>
    <row r="142" spans="2:31" hidden="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7"/>
    </row>
    <row r="143" spans="2:31" hidden="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7"/>
    </row>
    <row r="144" spans="2:31" hidden="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7"/>
    </row>
    <row r="145" spans="2:31" hidden="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7"/>
    </row>
    <row r="146" spans="2:31" hidden="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7"/>
    </row>
    <row r="147" spans="2:31" hidden="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7"/>
    </row>
    <row r="148" spans="2:31" hidden="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7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7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7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7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7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7">
        <f t="shared" si="29"/>
        <v>0</v>
      </c>
    </row>
    <row r="154" spans="2:31" s="59" customFormat="1" ht="51.75">
      <c r="B154" s="97" t="s">
        <v>201</v>
      </c>
      <c r="C154" s="98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24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24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354</v>
      </c>
      <c r="H154" s="62">
        <f t="shared" si="31"/>
        <v>0</v>
      </c>
      <c r="I154" s="62">
        <f t="shared" si="31"/>
        <v>354</v>
      </c>
      <c r="J154" s="62">
        <f t="shared" si="31"/>
        <v>28</v>
      </c>
      <c r="K154" s="62">
        <f t="shared" si="31"/>
        <v>0</v>
      </c>
      <c r="L154" s="62">
        <f t="shared" si="31"/>
        <v>28</v>
      </c>
      <c r="M154" s="62">
        <f t="shared" si="31"/>
        <v>827</v>
      </c>
      <c r="N154" s="62">
        <f t="shared" si="31"/>
        <v>0</v>
      </c>
      <c r="O154" s="62">
        <f t="shared" si="31"/>
        <v>827</v>
      </c>
      <c r="P154" s="62">
        <f t="shared" si="31"/>
        <v>36</v>
      </c>
      <c r="Q154" s="62">
        <f t="shared" si="31"/>
        <v>0</v>
      </c>
      <c r="R154" s="62">
        <f t="shared" si="31"/>
        <v>36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29</v>
      </c>
      <c r="Z154" s="62">
        <f t="shared" si="31"/>
        <v>1298</v>
      </c>
      <c r="AA154" s="62">
        <f t="shared" si="31"/>
        <v>1011</v>
      </c>
      <c r="AB154" s="62">
        <f t="shared" si="31"/>
        <v>299</v>
      </c>
      <c r="AC154" s="62">
        <f t="shared" si="31"/>
        <v>12</v>
      </c>
      <c r="AD154" s="62">
        <f t="shared" si="31"/>
        <v>1190</v>
      </c>
      <c r="AE154" s="62">
        <f t="shared" si="31"/>
        <v>1202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Y2:Y3"/>
    <mergeCell ref="Z2:Z3"/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941-FBC8-44A2-988F-DB96C5B3D217}">
  <sheetPr codeName="Sheet27">
    <pageSetUpPr fitToPage="1"/>
  </sheetPr>
  <dimension ref="B1:AF159"/>
  <sheetViews>
    <sheetView topLeftCell="A41" zoomScale="50" zoomScaleNormal="50" workbookViewId="0">
      <selection activeCell="AM49" sqref="AM49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5" width="14.28515625" style="56" customWidth="1"/>
    <col min="26" max="26" width="19.5703125" style="57" customWidth="1"/>
    <col min="27" max="30" width="20.7109375" style="48" hidden="1" customWidth="1"/>
    <col min="31" max="31" width="23.85546875" style="49" hidden="1" customWidth="1"/>
    <col min="32" max="32" width="22.7109375" style="49" hidden="1" customWidth="1"/>
    <col min="33" max="16384" width="8.85546875" style="49"/>
  </cols>
  <sheetData>
    <row r="1" spans="2:32" ht="68.25">
      <c r="B1" s="83" t="s">
        <v>230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</row>
    <row r="2" spans="2:32" ht="49.9" customHeight="1">
      <c r="B2" s="99" t="s">
        <v>3</v>
      </c>
      <c r="C2" s="99" t="s">
        <v>4</v>
      </c>
      <c r="D2" s="85" t="s">
        <v>5</v>
      </c>
      <c r="E2" s="86"/>
      <c r="F2" s="87"/>
      <c r="G2" s="85" t="s">
        <v>6</v>
      </c>
      <c r="H2" s="86"/>
      <c r="I2" s="87"/>
      <c r="J2" s="85" t="s">
        <v>7</v>
      </c>
      <c r="K2" s="86"/>
      <c r="L2" s="87"/>
      <c r="M2" s="85" t="s">
        <v>8</v>
      </c>
      <c r="N2" s="86"/>
      <c r="O2" s="87"/>
      <c r="P2" s="85" t="s">
        <v>132</v>
      </c>
      <c r="Q2" s="86"/>
      <c r="R2" s="87"/>
      <c r="S2" s="85" t="s">
        <v>9</v>
      </c>
      <c r="T2" s="86"/>
      <c r="U2" s="87"/>
      <c r="V2" s="88" t="s">
        <v>131</v>
      </c>
      <c r="W2" s="89"/>
      <c r="X2" s="90"/>
      <c r="Y2" s="101" t="s">
        <v>134</v>
      </c>
      <c r="Z2" s="103" t="s">
        <v>204</v>
      </c>
      <c r="AA2" s="91" t="s">
        <v>145</v>
      </c>
      <c r="AB2" s="91" t="s">
        <v>146</v>
      </c>
      <c r="AC2" s="95" t="s">
        <v>147</v>
      </c>
      <c r="AD2" s="93" t="s">
        <v>148</v>
      </c>
      <c r="AE2" s="82" t="s">
        <v>212</v>
      </c>
    </row>
    <row r="3" spans="2:32" ht="49.9" customHeight="1">
      <c r="B3" s="100"/>
      <c r="C3" s="100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102"/>
      <c r="Z3" s="104"/>
      <c r="AA3" s="92"/>
      <c r="AB3" s="92"/>
      <c r="AC3" s="96"/>
      <c r="AD3" s="94"/>
      <c r="AE3" s="82"/>
    </row>
    <row r="4" spans="2:32">
      <c r="B4" s="50">
        <v>1004055</v>
      </c>
      <c r="C4" s="51" t="s">
        <v>149</v>
      </c>
      <c r="D4" s="52"/>
      <c r="E4" s="52"/>
      <c r="F4" s="65">
        <f>SUM(D4:E4)</f>
        <v>0</v>
      </c>
      <c r="G4" s="52">
        <v>1</v>
      </c>
      <c r="H4" s="52"/>
      <c r="I4" s="65">
        <f>SUM(G4:H4)</f>
        <v>1</v>
      </c>
      <c r="J4" s="52"/>
      <c r="K4" s="52"/>
      <c r="L4" s="65">
        <f>SUM(J4:K4)</f>
        <v>0</v>
      </c>
      <c r="M4" s="52">
        <v>27</v>
      </c>
      <c r="N4" s="52"/>
      <c r="O4" s="65">
        <f>SUM(M4:N4)</f>
        <v>27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71">
        <v>46</v>
      </c>
      <c r="Z4" s="63">
        <f>+F4+I4+L4+O4+R4+U4+X4+Y4</f>
        <v>74</v>
      </c>
      <c r="AA4" s="50">
        <v>105</v>
      </c>
      <c r="AB4" s="50"/>
      <c r="AC4" s="61">
        <f>+AA4+AB4-Z4</f>
        <v>31</v>
      </c>
      <c r="AD4" s="50">
        <v>65</v>
      </c>
      <c r="AE4" s="67">
        <f>AC4+AD4</f>
        <v>96</v>
      </c>
      <c r="AF4" s="49" t="s">
        <v>272</v>
      </c>
    </row>
    <row r="5" spans="2:32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41</v>
      </c>
      <c r="H5" s="52"/>
      <c r="I5" s="65">
        <f t="shared" ref="I5:I68" si="1">SUM(G5:H5)</f>
        <v>41</v>
      </c>
      <c r="J5" s="52">
        <v>1</v>
      </c>
      <c r="K5" s="52"/>
      <c r="L5" s="65">
        <f t="shared" ref="L5:L68" si="2">SUM(J5:K5)</f>
        <v>1</v>
      </c>
      <c r="M5" s="52">
        <v>4</v>
      </c>
      <c r="N5" s="52"/>
      <c r="O5" s="65">
        <f t="shared" ref="O5:O68" si="3">SUM(M5:N5)</f>
        <v>4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11</v>
      </c>
      <c r="Z5" s="63">
        <f t="shared" ref="Z5:Z68" si="7">+F5+I5+L5+O5+R5+U5+X5+Y5</f>
        <v>57</v>
      </c>
      <c r="AA5" s="58">
        <v>95</v>
      </c>
      <c r="AB5" s="58">
        <v>51</v>
      </c>
      <c r="AC5" s="61">
        <f t="shared" ref="AC5:AC68" si="8">+AA5+AB5-Z5</f>
        <v>89</v>
      </c>
      <c r="AD5" s="58">
        <v>80</v>
      </c>
      <c r="AE5" s="67">
        <f t="shared" ref="AE5:AE68" si="9">AC5+AD5</f>
        <v>169</v>
      </c>
    </row>
    <row r="6" spans="2:32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7">
        <f t="shared" si="9"/>
        <v>0</v>
      </c>
    </row>
    <row r="7" spans="2:32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7">
        <f t="shared" si="9"/>
        <v>0</v>
      </c>
    </row>
    <row r="8" spans="2:32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7">
        <f t="shared" si="9"/>
        <v>0</v>
      </c>
    </row>
    <row r="9" spans="2:32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8</v>
      </c>
      <c r="H9" s="52"/>
      <c r="I9" s="65">
        <f t="shared" si="1"/>
        <v>8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8</v>
      </c>
      <c r="AA9" s="50"/>
      <c r="AB9" s="50"/>
      <c r="AC9" s="61">
        <f t="shared" si="8"/>
        <v>-8</v>
      </c>
      <c r="AD9" s="50"/>
      <c r="AE9" s="67">
        <f t="shared" si="9"/>
        <v>-8</v>
      </c>
    </row>
    <row r="10" spans="2:32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>
        <v>8</v>
      </c>
      <c r="H10" s="52"/>
      <c r="I10" s="65">
        <f t="shared" si="1"/>
        <v>8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8</v>
      </c>
      <c r="AA10" s="50"/>
      <c r="AB10" s="50"/>
      <c r="AC10" s="61">
        <f t="shared" si="8"/>
        <v>-8</v>
      </c>
      <c r="AD10" s="50"/>
      <c r="AE10" s="67">
        <f t="shared" si="9"/>
        <v>-8</v>
      </c>
    </row>
    <row r="11" spans="2:32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8</v>
      </c>
      <c r="H11" s="52"/>
      <c r="I11" s="65">
        <f t="shared" si="1"/>
        <v>8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8</v>
      </c>
      <c r="AA11" s="50"/>
      <c r="AB11" s="50"/>
      <c r="AC11" s="61">
        <f t="shared" si="8"/>
        <v>-8</v>
      </c>
      <c r="AD11" s="50"/>
      <c r="AE11" s="67">
        <f t="shared" si="9"/>
        <v>-8</v>
      </c>
    </row>
    <row r="12" spans="2:32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8</v>
      </c>
      <c r="H12" s="52"/>
      <c r="I12" s="65">
        <f t="shared" si="1"/>
        <v>8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8</v>
      </c>
      <c r="AA12" s="50"/>
      <c r="AB12" s="50"/>
      <c r="AC12" s="61">
        <f t="shared" si="8"/>
        <v>-8</v>
      </c>
      <c r="AD12" s="50"/>
      <c r="AE12" s="67">
        <f t="shared" si="9"/>
        <v>-8</v>
      </c>
    </row>
    <row r="13" spans="2:32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8</v>
      </c>
      <c r="H13" s="52"/>
      <c r="I13" s="65">
        <f t="shared" si="1"/>
        <v>8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8</v>
      </c>
      <c r="AA13" s="50"/>
      <c r="AB13" s="50"/>
      <c r="AC13" s="61">
        <f t="shared" si="8"/>
        <v>-8</v>
      </c>
      <c r="AD13" s="50"/>
      <c r="AE13" s="67">
        <f t="shared" si="9"/>
        <v>-8</v>
      </c>
    </row>
    <row r="14" spans="2:32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8</v>
      </c>
      <c r="H14" s="52"/>
      <c r="I14" s="65">
        <f t="shared" si="1"/>
        <v>8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8</v>
      </c>
      <c r="AA14" s="50"/>
      <c r="AB14" s="50"/>
      <c r="AC14" s="61">
        <f t="shared" si="8"/>
        <v>-8</v>
      </c>
      <c r="AD14" s="50"/>
      <c r="AE14" s="67">
        <f t="shared" si="9"/>
        <v>-8</v>
      </c>
    </row>
    <row r="15" spans="2:32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8</v>
      </c>
      <c r="H15" s="52"/>
      <c r="I15" s="65">
        <f t="shared" si="1"/>
        <v>8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8</v>
      </c>
      <c r="AA15" s="50"/>
      <c r="AB15" s="50"/>
      <c r="AC15" s="61">
        <f t="shared" si="8"/>
        <v>-8</v>
      </c>
      <c r="AD15" s="50"/>
      <c r="AE15" s="67">
        <f t="shared" si="9"/>
        <v>-8</v>
      </c>
    </row>
    <row r="16" spans="2:32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8</v>
      </c>
      <c r="H16" s="52"/>
      <c r="I16" s="65">
        <f t="shared" si="1"/>
        <v>8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8</v>
      </c>
      <c r="AA16" s="50"/>
      <c r="AB16" s="50"/>
      <c r="AC16" s="61">
        <f t="shared" si="8"/>
        <v>-8</v>
      </c>
      <c r="AD16" s="50"/>
      <c r="AE16" s="67">
        <f t="shared" si="9"/>
        <v>-8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8</v>
      </c>
      <c r="H17" s="52"/>
      <c r="I17" s="65">
        <f t="shared" si="1"/>
        <v>8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8</v>
      </c>
      <c r="AA17" s="50"/>
      <c r="AB17" s="50"/>
      <c r="AC17" s="61">
        <f t="shared" si="8"/>
        <v>-8</v>
      </c>
      <c r="AD17" s="50"/>
      <c r="AE17" s="67">
        <f t="shared" si="9"/>
        <v>-8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7</v>
      </c>
      <c r="H18" s="52"/>
      <c r="I18" s="65">
        <f t="shared" si="1"/>
        <v>7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7</v>
      </c>
      <c r="AA18" s="50"/>
      <c r="AB18" s="50"/>
      <c r="AC18" s="61">
        <f t="shared" si="8"/>
        <v>-7</v>
      </c>
      <c r="AD18" s="50"/>
      <c r="AE18" s="67">
        <f t="shared" si="9"/>
        <v>-7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7</v>
      </c>
      <c r="H19" s="52"/>
      <c r="I19" s="65">
        <f t="shared" si="1"/>
        <v>7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7</v>
      </c>
      <c r="AA19" s="50"/>
      <c r="AB19" s="50"/>
      <c r="AC19" s="61">
        <f t="shared" si="8"/>
        <v>-7</v>
      </c>
      <c r="AD19" s="50"/>
      <c r="AE19" s="67">
        <f t="shared" si="9"/>
        <v>-7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>
        <v>7</v>
      </c>
      <c r="H20" s="52"/>
      <c r="I20" s="65">
        <f t="shared" si="1"/>
        <v>7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7</v>
      </c>
      <c r="AA20" s="50"/>
      <c r="AB20" s="50"/>
      <c r="AC20" s="61">
        <f t="shared" si="8"/>
        <v>-7</v>
      </c>
      <c r="AD20" s="50"/>
      <c r="AE20" s="67">
        <f t="shared" si="9"/>
        <v>-7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>
        <v>7</v>
      </c>
      <c r="H21" s="52"/>
      <c r="I21" s="65">
        <f t="shared" si="1"/>
        <v>7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7</v>
      </c>
      <c r="AA21" s="50"/>
      <c r="AB21" s="50"/>
      <c r="AC21" s="61">
        <f t="shared" si="8"/>
        <v>-7</v>
      </c>
      <c r="AD21" s="50"/>
      <c r="AE21" s="67">
        <f t="shared" si="9"/>
        <v>-7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7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7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7">
        <f t="shared" si="9"/>
        <v>0</v>
      </c>
    </row>
    <row r="25" spans="2:31">
      <c r="B25" s="50">
        <v>1111008</v>
      </c>
      <c r="C25" s="51" t="s">
        <v>156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52">
        <v>15</v>
      </c>
      <c r="N25" s="52"/>
      <c r="O25" s="65">
        <f t="shared" si="3"/>
        <v>15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>
        <v>10</v>
      </c>
      <c r="Z25" s="63">
        <f t="shared" si="7"/>
        <v>25</v>
      </c>
      <c r="AA25" s="50">
        <v>50</v>
      </c>
      <c r="AB25" s="50"/>
      <c r="AC25" s="61">
        <f t="shared" si="8"/>
        <v>25</v>
      </c>
      <c r="AD25" s="50">
        <v>50</v>
      </c>
      <c r="AE25" s="67">
        <f t="shared" si="9"/>
        <v>75</v>
      </c>
    </row>
    <row r="26" spans="2:31">
      <c r="B26" s="50">
        <v>1111009</v>
      </c>
      <c r="C26" s="51" t="s">
        <v>157</v>
      </c>
      <c r="D26" s="52"/>
      <c r="E26" s="52"/>
      <c r="F26" s="65">
        <f t="shared" si="0"/>
        <v>0</v>
      </c>
      <c r="G26" s="52">
        <v>3</v>
      </c>
      <c r="H26" s="52"/>
      <c r="I26" s="65">
        <f t="shared" si="1"/>
        <v>3</v>
      </c>
      <c r="J26" s="52">
        <v>2</v>
      </c>
      <c r="K26" s="52"/>
      <c r="L26" s="65">
        <f t="shared" si="2"/>
        <v>2</v>
      </c>
      <c r="M26" s="52"/>
      <c r="N26" s="52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5</v>
      </c>
      <c r="AA26" s="50">
        <v>30</v>
      </c>
      <c r="AB26" s="50"/>
      <c r="AC26" s="61">
        <f t="shared" si="8"/>
        <v>25</v>
      </c>
      <c r="AD26" s="50">
        <v>20</v>
      </c>
      <c r="AE26" s="67">
        <f t="shared" si="9"/>
        <v>45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7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7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7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7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7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7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7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7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7">
        <f t="shared" si="9"/>
        <v>0</v>
      </c>
    </row>
    <row r="36" spans="2:31" hidden="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7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7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7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7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7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8</v>
      </c>
      <c r="H41" s="52"/>
      <c r="I41" s="65">
        <f t="shared" si="1"/>
        <v>8</v>
      </c>
      <c r="J41" s="52"/>
      <c r="K41" s="52"/>
      <c r="L41" s="65">
        <f t="shared" si="2"/>
        <v>0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8</v>
      </c>
      <c r="AA41" s="50">
        <v>10</v>
      </c>
      <c r="AB41" s="50">
        <v>4</v>
      </c>
      <c r="AC41" s="61">
        <f t="shared" si="8"/>
        <v>6</v>
      </c>
      <c r="AD41" s="50"/>
      <c r="AE41" s="67">
        <f t="shared" si="9"/>
        <v>6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3</v>
      </c>
      <c r="H42" s="52"/>
      <c r="I42" s="65">
        <f t="shared" si="1"/>
        <v>3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3</v>
      </c>
      <c r="AA42" s="50"/>
      <c r="AB42" s="50"/>
      <c r="AC42" s="61">
        <f t="shared" si="8"/>
        <v>-3</v>
      </c>
      <c r="AD42" s="50"/>
      <c r="AE42" s="67">
        <f t="shared" si="9"/>
        <v>-3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3</v>
      </c>
      <c r="H43" s="52"/>
      <c r="I43" s="65">
        <f t="shared" si="1"/>
        <v>3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3</v>
      </c>
      <c r="AA43" s="50"/>
      <c r="AB43" s="50"/>
      <c r="AC43" s="61">
        <f t="shared" si="8"/>
        <v>-3</v>
      </c>
      <c r="AD43" s="50"/>
      <c r="AE43" s="67">
        <f t="shared" si="9"/>
        <v>-3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3</v>
      </c>
      <c r="H44" s="52"/>
      <c r="I44" s="65">
        <f t="shared" si="1"/>
        <v>3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3</v>
      </c>
      <c r="AA44" s="50"/>
      <c r="AB44" s="50"/>
      <c r="AC44" s="61">
        <f t="shared" si="8"/>
        <v>-3</v>
      </c>
      <c r="AD44" s="50"/>
      <c r="AE44" s="67">
        <f t="shared" si="9"/>
        <v>-3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3</v>
      </c>
      <c r="H45" s="52"/>
      <c r="I45" s="65">
        <f t="shared" si="1"/>
        <v>3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3</v>
      </c>
      <c r="AA45" s="50"/>
      <c r="AB45" s="50"/>
      <c r="AC45" s="61">
        <f t="shared" si="8"/>
        <v>-3</v>
      </c>
      <c r="AD45" s="50"/>
      <c r="AE45" s="67">
        <f t="shared" si="9"/>
        <v>-3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3</v>
      </c>
      <c r="H46" s="52"/>
      <c r="I46" s="65">
        <f t="shared" si="1"/>
        <v>3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3</v>
      </c>
      <c r="AA46" s="50"/>
      <c r="AB46" s="50"/>
      <c r="AC46" s="61">
        <f t="shared" si="8"/>
        <v>-3</v>
      </c>
      <c r="AD46" s="50"/>
      <c r="AE46" s="67">
        <f t="shared" si="9"/>
        <v>-3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3</v>
      </c>
      <c r="H47" s="52"/>
      <c r="I47" s="65">
        <f t="shared" si="1"/>
        <v>3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3</v>
      </c>
      <c r="AA47" s="50"/>
      <c r="AB47" s="50"/>
      <c r="AC47" s="61">
        <f t="shared" si="8"/>
        <v>-3</v>
      </c>
      <c r="AD47" s="50"/>
      <c r="AE47" s="67">
        <f t="shared" si="9"/>
        <v>-3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3</v>
      </c>
      <c r="H48" s="52"/>
      <c r="I48" s="65">
        <f t="shared" si="1"/>
        <v>3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70"/>
      <c r="Z48" s="63">
        <f t="shared" si="7"/>
        <v>3</v>
      </c>
      <c r="AA48" s="50"/>
      <c r="AB48" s="50"/>
      <c r="AC48" s="61">
        <f t="shared" si="8"/>
        <v>-3</v>
      </c>
      <c r="AD48" s="50"/>
      <c r="AE48" s="67">
        <f t="shared" si="9"/>
        <v>-3</v>
      </c>
    </row>
    <row r="49" spans="2:32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3</v>
      </c>
      <c r="H49" s="52"/>
      <c r="I49" s="65">
        <f t="shared" si="1"/>
        <v>3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3</v>
      </c>
      <c r="AA49" s="50"/>
      <c r="AB49" s="50"/>
      <c r="AC49" s="61">
        <f t="shared" si="8"/>
        <v>-3</v>
      </c>
      <c r="AD49" s="50"/>
      <c r="AE49" s="67">
        <f t="shared" si="9"/>
        <v>-3</v>
      </c>
    </row>
    <row r="50" spans="2:32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3</v>
      </c>
      <c r="H50" s="52"/>
      <c r="I50" s="65">
        <f t="shared" si="1"/>
        <v>3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3</v>
      </c>
      <c r="AA50" s="50"/>
      <c r="AB50" s="50"/>
      <c r="AC50" s="61">
        <f t="shared" si="8"/>
        <v>-3</v>
      </c>
      <c r="AD50" s="50"/>
      <c r="AE50" s="67">
        <f t="shared" si="9"/>
        <v>-3</v>
      </c>
    </row>
    <row r="51" spans="2:32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3</v>
      </c>
      <c r="H51" s="52"/>
      <c r="I51" s="65">
        <f t="shared" si="1"/>
        <v>3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3</v>
      </c>
      <c r="AA51" s="50"/>
      <c r="AB51" s="50"/>
      <c r="AC51" s="61">
        <f t="shared" si="8"/>
        <v>-3</v>
      </c>
      <c r="AD51" s="50"/>
      <c r="AE51" s="67">
        <f t="shared" si="9"/>
        <v>-3</v>
      </c>
    </row>
    <row r="52" spans="2:32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7">
        <f t="shared" si="9"/>
        <v>0</v>
      </c>
    </row>
    <row r="53" spans="2:32">
      <c r="B53" s="50">
        <v>1112003</v>
      </c>
      <c r="C53" s="51" t="s">
        <v>174</v>
      </c>
      <c r="D53" s="52">
        <v>6</v>
      </c>
      <c r="E53" s="52"/>
      <c r="F53" s="65">
        <f t="shared" si="0"/>
        <v>6</v>
      </c>
      <c r="G53" s="52">
        <v>3</v>
      </c>
      <c r="H53" s="52"/>
      <c r="I53" s="65">
        <f t="shared" si="1"/>
        <v>3</v>
      </c>
      <c r="J53" s="52">
        <v>1</v>
      </c>
      <c r="K53" s="52"/>
      <c r="L53" s="65">
        <f t="shared" si="2"/>
        <v>1</v>
      </c>
      <c r="M53" s="52">
        <v>40</v>
      </c>
      <c r="N53" s="52"/>
      <c r="O53" s="65">
        <f t="shared" si="3"/>
        <v>40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>
        <v>10</v>
      </c>
      <c r="Z53" s="63">
        <f t="shared" si="7"/>
        <v>60</v>
      </c>
      <c r="AA53" s="50">
        <v>70</v>
      </c>
      <c r="AB53" s="50">
        <v>21</v>
      </c>
      <c r="AC53" s="61">
        <f t="shared" si="8"/>
        <v>31</v>
      </c>
      <c r="AD53" s="50">
        <v>60</v>
      </c>
      <c r="AE53" s="67">
        <f t="shared" si="9"/>
        <v>91</v>
      </c>
    </row>
    <row r="54" spans="2:32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>
        <v>40</v>
      </c>
      <c r="Z54" s="63">
        <f t="shared" si="7"/>
        <v>40</v>
      </c>
      <c r="AA54" s="50">
        <v>40</v>
      </c>
      <c r="AB54" s="50"/>
      <c r="AC54" s="61">
        <f t="shared" si="8"/>
        <v>0</v>
      </c>
      <c r="AD54" s="50"/>
      <c r="AE54" s="67">
        <f t="shared" si="9"/>
        <v>0</v>
      </c>
    </row>
    <row r="55" spans="2:32">
      <c r="B55" s="50">
        <v>1112005</v>
      </c>
      <c r="C55" s="51" t="s">
        <v>176</v>
      </c>
      <c r="D55" s="52">
        <v>5</v>
      </c>
      <c r="E55" s="52"/>
      <c r="F55" s="65">
        <f t="shared" si="0"/>
        <v>5</v>
      </c>
      <c r="G55" s="52">
        <v>3</v>
      </c>
      <c r="H55" s="52"/>
      <c r="I55" s="65">
        <f t="shared" si="1"/>
        <v>3</v>
      </c>
      <c r="J55" s="52">
        <v>1</v>
      </c>
      <c r="K55" s="52"/>
      <c r="L55" s="65">
        <f t="shared" si="2"/>
        <v>1</v>
      </c>
      <c r="M55" s="52">
        <v>40</v>
      </c>
      <c r="N55" s="52"/>
      <c r="O55" s="65">
        <f t="shared" si="3"/>
        <v>40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>
        <v>25</v>
      </c>
      <c r="Z55" s="63">
        <f t="shared" si="7"/>
        <v>74</v>
      </c>
      <c r="AA55" s="50">
        <v>85</v>
      </c>
      <c r="AB55" s="50">
        <v>20</v>
      </c>
      <c r="AC55" s="61">
        <f t="shared" si="8"/>
        <v>31</v>
      </c>
      <c r="AD55" s="50">
        <v>60</v>
      </c>
      <c r="AE55" s="67">
        <f t="shared" si="9"/>
        <v>91</v>
      </c>
    </row>
    <row r="56" spans="2:32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7">
        <f t="shared" si="9"/>
        <v>0</v>
      </c>
    </row>
    <row r="57" spans="2:32">
      <c r="B57" s="50">
        <v>1112009</v>
      </c>
      <c r="C57" s="51" t="s">
        <v>178</v>
      </c>
      <c r="D57" s="52">
        <v>5</v>
      </c>
      <c r="E57" s="52"/>
      <c r="F57" s="65">
        <f t="shared" si="0"/>
        <v>5</v>
      </c>
      <c r="G57" s="52">
        <v>2</v>
      </c>
      <c r="H57" s="52"/>
      <c r="I57" s="65">
        <f t="shared" si="1"/>
        <v>2</v>
      </c>
      <c r="J57" s="52">
        <v>4</v>
      </c>
      <c r="K57" s="52"/>
      <c r="L57" s="65">
        <f t="shared" si="2"/>
        <v>4</v>
      </c>
      <c r="M57" s="52">
        <v>40</v>
      </c>
      <c r="N57" s="52"/>
      <c r="O57" s="65">
        <f t="shared" si="3"/>
        <v>40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>
        <v>5</v>
      </c>
      <c r="Z57" s="63">
        <f t="shared" si="7"/>
        <v>56</v>
      </c>
      <c r="AA57" s="50">
        <v>65</v>
      </c>
      <c r="AB57" s="50">
        <v>19</v>
      </c>
      <c r="AC57" s="61">
        <f t="shared" si="8"/>
        <v>28</v>
      </c>
      <c r="AD57" s="50">
        <v>60</v>
      </c>
      <c r="AE57" s="67">
        <f t="shared" si="9"/>
        <v>88</v>
      </c>
    </row>
    <row r="58" spans="2:32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7">
        <f t="shared" si="9"/>
        <v>0</v>
      </c>
    </row>
    <row r="59" spans="2:32">
      <c r="B59" s="50">
        <v>1112011</v>
      </c>
      <c r="C59" s="51" t="s">
        <v>180</v>
      </c>
      <c r="D59" s="52">
        <v>5</v>
      </c>
      <c r="E59" s="52"/>
      <c r="F59" s="65">
        <f t="shared" si="0"/>
        <v>5</v>
      </c>
      <c r="G59" s="52">
        <v>2</v>
      </c>
      <c r="H59" s="52"/>
      <c r="I59" s="65">
        <f t="shared" si="1"/>
        <v>2</v>
      </c>
      <c r="J59" s="52">
        <v>2</v>
      </c>
      <c r="K59" s="52"/>
      <c r="L59" s="65">
        <f t="shared" si="2"/>
        <v>2</v>
      </c>
      <c r="M59" s="52">
        <v>40</v>
      </c>
      <c r="N59" s="52"/>
      <c r="O59" s="65">
        <f t="shared" si="3"/>
        <v>40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71">
        <v>15</v>
      </c>
      <c r="Z59" s="63">
        <f t="shared" si="7"/>
        <v>64</v>
      </c>
      <c r="AA59" s="50">
        <v>65</v>
      </c>
      <c r="AB59" s="50"/>
      <c r="AC59" s="61">
        <f t="shared" si="8"/>
        <v>1</v>
      </c>
      <c r="AD59" s="50">
        <v>60</v>
      </c>
      <c r="AE59" s="67">
        <f t="shared" si="9"/>
        <v>61</v>
      </c>
      <c r="AF59" s="49" t="s">
        <v>273</v>
      </c>
    </row>
    <row r="60" spans="2:32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7">
        <f t="shared" si="9"/>
        <v>0</v>
      </c>
    </row>
    <row r="61" spans="2:32">
      <c r="B61" s="50">
        <v>1112013</v>
      </c>
      <c r="C61" s="51" t="s">
        <v>182</v>
      </c>
      <c r="D61" s="52">
        <v>5</v>
      </c>
      <c r="E61" s="52"/>
      <c r="F61" s="65">
        <f t="shared" si="0"/>
        <v>5</v>
      </c>
      <c r="G61" s="52">
        <v>2</v>
      </c>
      <c r="H61" s="52"/>
      <c r="I61" s="65">
        <f t="shared" si="1"/>
        <v>2</v>
      </c>
      <c r="J61" s="52">
        <v>1</v>
      </c>
      <c r="K61" s="52"/>
      <c r="L61" s="65">
        <f t="shared" si="2"/>
        <v>1</v>
      </c>
      <c r="M61" s="52">
        <v>40</v>
      </c>
      <c r="N61" s="52"/>
      <c r="O61" s="65">
        <f t="shared" si="3"/>
        <v>40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>
        <v>5</v>
      </c>
      <c r="Z61" s="63">
        <f t="shared" si="7"/>
        <v>53</v>
      </c>
      <c r="AA61" s="50">
        <v>65</v>
      </c>
      <c r="AB61" s="50">
        <v>19</v>
      </c>
      <c r="AC61" s="61">
        <f t="shared" si="8"/>
        <v>31</v>
      </c>
      <c r="AD61" s="50">
        <v>60</v>
      </c>
      <c r="AE61" s="67">
        <f t="shared" si="9"/>
        <v>91</v>
      </c>
    </row>
    <row r="62" spans="2:32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7">
        <f t="shared" si="9"/>
        <v>0</v>
      </c>
    </row>
    <row r="63" spans="2:32">
      <c r="B63" s="50">
        <v>1112015</v>
      </c>
      <c r="C63" s="51" t="s">
        <v>184</v>
      </c>
      <c r="D63" s="52">
        <v>5</v>
      </c>
      <c r="E63" s="52"/>
      <c r="F63" s="65">
        <f t="shared" si="0"/>
        <v>5</v>
      </c>
      <c r="G63" s="52">
        <v>2</v>
      </c>
      <c r="H63" s="52"/>
      <c r="I63" s="65">
        <f t="shared" si="1"/>
        <v>2</v>
      </c>
      <c r="J63" s="52"/>
      <c r="K63" s="52"/>
      <c r="L63" s="65">
        <f t="shared" si="2"/>
        <v>0</v>
      </c>
      <c r="M63" s="52">
        <v>40</v>
      </c>
      <c r="N63" s="52"/>
      <c r="O63" s="65">
        <f t="shared" si="3"/>
        <v>40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>
        <v>15</v>
      </c>
      <c r="Z63" s="63">
        <f t="shared" si="7"/>
        <v>62</v>
      </c>
      <c r="AA63" s="50">
        <v>75</v>
      </c>
      <c r="AB63" s="50">
        <v>12</v>
      </c>
      <c r="AC63" s="61">
        <f t="shared" si="8"/>
        <v>25</v>
      </c>
      <c r="AD63" s="50">
        <v>60</v>
      </c>
      <c r="AE63" s="67">
        <f t="shared" si="9"/>
        <v>85</v>
      </c>
    </row>
    <row r="64" spans="2:32">
      <c r="B64" s="50">
        <v>1112017</v>
      </c>
      <c r="C64" s="53" t="s">
        <v>185</v>
      </c>
      <c r="D64" s="52">
        <v>5</v>
      </c>
      <c r="E64" s="52"/>
      <c r="F64" s="65">
        <f t="shared" si="0"/>
        <v>5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5</v>
      </c>
      <c r="AA64" s="50"/>
      <c r="AB64" s="50">
        <v>5</v>
      </c>
      <c r="AC64" s="61">
        <f t="shared" si="8"/>
        <v>0</v>
      </c>
      <c r="AD64" s="50"/>
      <c r="AE64" s="67">
        <f t="shared" si="9"/>
        <v>0</v>
      </c>
    </row>
    <row r="65" spans="2:3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7">
        <f t="shared" si="9"/>
        <v>0</v>
      </c>
    </row>
    <row r="66" spans="2:3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7">
        <f t="shared" si="9"/>
        <v>0</v>
      </c>
    </row>
    <row r="67" spans="2:31">
      <c r="B67" s="50">
        <v>1114501</v>
      </c>
      <c r="C67" s="53" t="s">
        <v>187</v>
      </c>
      <c r="D67" s="52"/>
      <c r="E67" s="52"/>
      <c r="F67" s="65">
        <f t="shared" si="0"/>
        <v>0</v>
      </c>
      <c r="G67" s="52">
        <v>10</v>
      </c>
      <c r="H67" s="52"/>
      <c r="I67" s="65">
        <f t="shared" si="1"/>
        <v>10</v>
      </c>
      <c r="J67" s="52">
        <v>4</v>
      </c>
      <c r="K67" s="52"/>
      <c r="L67" s="65">
        <f t="shared" si="2"/>
        <v>4</v>
      </c>
      <c r="M67" s="52">
        <v>141</v>
      </c>
      <c r="N67" s="52"/>
      <c r="O67" s="65">
        <f t="shared" si="3"/>
        <v>141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155</v>
      </c>
      <c r="AA67" s="50">
        <v>95</v>
      </c>
      <c r="AB67" s="50">
        <v>285</v>
      </c>
      <c r="AC67" s="61">
        <f t="shared" si="8"/>
        <v>225</v>
      </c>
      <c r="AD67" s="50">
        <v>200</v>
      </c>
      <c r="AE67" s="67">
        <f t="shared" si="9"/>
        <v>425</v>
      </c>
    </row>
    <row r="68" spans="2:31">
      <c r="B68" s="50">
        <v>1114502</v>
      </c>
      <c r="C68" s="53" t="s">
        <v>188</v>
      </c>
      <c r="D68" s="52"/>
      <c r="E68" s="52"/>
      <c r="F68" s="65">
        <f t="shared" si="0"/>
        <v>0</v>
      </c>
      <c r="G68" s="52">
        <v>2</v>
      </c>
      <c r="H68" s="52"/>
      <c r="I68" s="65">
        <f t="shared" si="1"/>
        <v>2</v>
      </c>
      <c r="J68" s="52">
        <v>3</v>
      </c>
      <c r="K68" s="52"/>
      <c r="L68" s="65">
        <f t="shared" si="2"/>
        <v>3</v>
      </c>
      <c r="M68" s="52">
        <v>141</v>
      </c>
      <c r="N68" s="52"/>
      <c r="O68" s="65">
        <f t="shared" si="3"/>
        <v>141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146</v>
      </c>
      <c r="AA68" s="50">
        <v>117</v>
      </c>
      <c r="AB68" s="50">
        <v>15</v>
      </c>
      <c r="AC68" s="61">
        <f t="shared" si="8"/>
        <v>-14</v>
      </c>
      <c r="AD68" s="50">
        <v>150</v>
      </c>
      <c r="AE68" s="67">
        <f t="shared" si="9"/>
        <v>136</v>
      </c>
    </row>
    <row r="69" spans="2:31">
      <c r="B69" s="50">
        <v>1114503</v>
      </c>
      <c r="C69" s="53" t="s">
        <v>189</v>
      </c>
      <c r="D69" s="52"/>
      <c r="E69" s="52"/>
      <c r="F69" s="65">
        <f t="shared" ref="F69:F132" si="10">SUM(D69:E69)</f>
        <v>0</v>
      </c>
      <c r="G69" s="52">
        <v>2</v>
      </c>
      <c r="H69" s="52"/>
      <c r="I69" s="65">
        <f t="shared" ref="I69:I121" si="11">SUM(G69:H69)</f>
        <v>2</v>
      </c>
      <c r="J69" s="52">
        <v>3</v>
      </c>
      <c r="K69" s="52"/>
      <c r="L69" s="65">
        <f t="shared" ref="L69:L121" si="12">SUM(J69:K69)</f>
        <v>3</v>
      </c>
      <c r="M69" s="52">
        <v>141</v>
      </c>
      <c r="N69" s="52"/>
      <c r="O69" s="65">
        <f t="shared" ref="O69:O121" si="13">SUM(M69:N69)</f>
        <v>141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5" si="17">+F69+I69+L69+O69+R69+U69+X69+Y69</f>
        <v>146</v>
      </c>
      <c r="AA69" s="50">
        <v>136</v>
      </c>
      <c r="AB69" s="50">
        <v>22</v>
      </c>
      <c r="AC69" s="61">
        <f t="shared" ref="AC69:AC125" si="18">+AA69+AB69-Z69</f>
        <v>12</v>
      </c>
      <c r="AD69" s="50">
        <v>150</v>
      </c>
      <c r="AE69" s="67">
        <f t="shared" ref="AE69:AE125" si="19">AC69+AD69</f>
        <v>162</v>
      </c>
    </row>
    <row r="70" spans="2:31" hidden="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7">
        <f t="shared" si="19"/>
        <v>0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7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7">
        <f t="shared" si="19"/>
        <v>0</v>
      </c>
    </row>
    <row r="73" spans="2:31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7">
        <f t="shared" si="19"/>
        <v>0</v>
      </c>
    </row>
    <row r="74" spans="2:3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>
        <v>3</v>
      </c>
      <c r="Z74" s="63">
        <f t="shared" si="17"/>
        <v>3</v>
      </c>
      <c r="AA74" s="58">
        <v>3</v>
      </c>
      <c r="AB74" s="58"/>
      <c r="AC74" s="61">
        <f t="shared" si="18"/>
        <v>0</v>
      </c>
      <c r="AD74" s="58"/>
      <c r="AE74" s="67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52"/>
      <c r="N75" s="52"/>
      <c r="O75" s="65">
        <f t="shared" si="13"/>
        <v>0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/>
      <c r="AE75" s="67">
        <f t="shared" si="19"/>
        <v>0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/>
      <c r="AC76" s="61">
        <f t="shared" si="18"/>
        <v>0</v>
      </c>
      <c r="AD76" s="50"/>
      <c r="AE76" s="67">
        <f t="shared" si="19"/>
        <v>0</v>
      </c>
    </row>
    <row r="77" spans="2:31">
      <c r="B77" s="50">
        <v>1113172</v>
      </c>
      <c r="C77" s="53" t="s">
        <v>89</v>
      </c>
      <c r="D77" s="52">
        <v>6</v>
      </c>
      <c r="E77" s="52"/>
      <c r="F77" s="65">
        <f t="shared" si="10"/>
        <v>6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6</v>
      </c>
      <c r="AA77" s="50">
        <v>20</v>
      </c>
      <c r="AB77" s="50"/>
      <c r="AC77" s="61">
        <f t="shared" si="18"/>
        <v>14</v>
      </c>
      <c r="AD77" s="50"/>
      <c r="AE77" s="67">
        <f t="shared" si="19"/>
        <v>14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7">
        <f t="shared" si="19"/>
        <v>0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>
        <v>5</v>
      </c>
      <c r="Z79" s="63">
        <f t="shared" si="17"/>
        <v>5</v>
      </c>
      <c r="AA79" s="50">
        <v>5</v>
      </c>
      <c r="AB79" s="50"/>
      <c r="AC79" s="61">
        <f t="shared" si="18"/>
        <v>0</v>
      </c>
      <c r="AD79" s="50"/>
      <c r="AE79" s="67">
        <f t="shared" si="19"/>
        <v>0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>
        <v>12</v>
      </c>
      <c r="AC80" s="61">
        <f t="shared" si="18"/>
        <v>12</v>
      </c>
      <c r="AD80" s="50"/>
      <c r="AE80" s="67">
        <f t="shared" si="19"/>
        <v>12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>
        <v>3</v>
      </c>
      <c r="Z81" s="63">
        <f t="shared" si="17"/>
        <v>3</v>
      </c>
      <c r="AA81" s="50">
        <v>3</v>
      </c>
      <c r="AB81" s="50"/>
      <c r="AC81" s="61">
        <f t="shared" si="18"/>
        <v>0</v>
      </c>
      <c r="AD81" s="50"/>
      <c r="AE81" s="67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0</v>
      </c>
      <c r="AA82" s="50"/>
      <c r="AB82" s="50"/>
      <c r="AC82" s="61">
        <f t="shared" si="18"/>
        <v>0</v>
      </c>
      <c r="AD82" s="50"/>
      <c r="AE82" s="67">
        <f t="shared" si="19"/>
        <v>0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8</v>
      </c>
      <c r="H83" s="52"/>
      <c r="I83" s="65">
        <f t="shared" si="11"/>
        <v>8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8</v>
      </c>
      <c r="AA83" s="50"/>
      <c r="AB83" s="50"/>
      <c r="AC83" s="61">
        <f t="shared" si="18"/>
        <v>-8</v>
      </c>
      <c r="AD83" s="50"/>
      <c r="AE83" s="67">
        <f t="shared" si="19"/>
        <v>-8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7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7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7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7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7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7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7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7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7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7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7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7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7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7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7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7">
        <f t="shared" si="19"/>
        <v>0</v>
      </c>
    </row>
    <row r="100" spans="2:31" hidden="1">
      <c r="B100" s="50">
        <v>1004062</v>
      </c>
      <c r="C100" s="53" t="s">
        <v>238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7">
        <f t="shared" si="19"/>
        <v>0</v>
      </c>
    </row>
    <row r="101" spans="2:31">
      <c r="B101" s="50">
        <v>1004051</v>
      </c>
      <c r="C101" s="53" t="s">
        <v>239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>
        <v>15</v>
      </c>
      <c r="Z101" s="63">
        <f t="shared" si="17"/>
        <v>15</v>
      </c>
      <c r="AA101" s="50">
        <v>15</v>
      </c>
      <c r="AB101" s="50"/>
      <c r="AC101" s="61">
        <f t="shared" si="18"/>
        <v>0</v>
      </c>
      <c r="AD101" s="50"/>
      <c r="AE101" s="67">
        <f t="shared" si="19"/>
        <v>0</v>
      </c>
    </row>
    <row r="102" spans="2:31" hidden="1">
      <c r="B102" s="50">
        <v>1111005</v>
      </c>
      <c r="C102" s="53" t="s">
        <v>240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7">
        <f t="shared" si="19"/>
        <v>0</v>
      </c>
    </row>
    <row r="103" spans="2:31">
      <c r="B103" s="50">
        <v>1111006</v>
      </c>
      <c r="C103" s="53" t="s">
        <v>241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>
        <v>5</v>
      </c>
      <c r="Z103" s="63">
        <f t="shared" si="17"/>
        <v>5</v>
      </c>
      <c r="AA103" s="50">
        <v>5</v>
      </c>
      <c r="AB103" s="50"/>
      <c r="AC103" s="61">
        <f t="shared" si="18"/>
        <v>0</v>
      </c>
      <c r="AD103" s="50"/>
      <c r="AE103" s="67">
        <f t="shared" si="19"/>
        <v>0</v>
      </c>
    </row>
    <row r="104" spans="2:31" hidden="1">
      <c r="B104" s="50">
        <v>1004048</v>
      </c>
      <c r="C104" s="53" t="s">
        <v>242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7">
        <f t="shared" si="19"/>
        <v>0</v>
      </c>
    </row>
    <row r="105" spans="2:31" hidden="1">
      <c r="B105" s="50">
        <v>1113157</v>
      </c>
      <c r="C105" s="53" t="s">
        <v>243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7">
        <f t="shared" si="19"/>
        <v>0</v>
      </c>
    </row>
    <row r="106" spans="2:31">
      <c r="B106" s="50">
        <v>1004081</v>
      </c>
      <c r="C106" s="53" t="s">
        <v>244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>
        <v>32</v>
      </c>
      <c r="Z106" s="63">
        <f t="shared" si="17"/>
        <v>32</v>
      </c>
      <c r="AA106" s="50">
        <v>32</v>
      </c>
      <c r="AB106" s="50"/>
      <c r="AC106" s="61">
        <f t="shared" si="18"/>
        <v>0</v>
      </c>
      <c r="AD106" s="50"/>
      <c r="AE106" s="67">
        <f t="shared" si="19"/>
        <v>0</v>
      </c>
    </row>
    <row r="107" spans="2:31">
      <c r="B107" s="50">
        <v>1004080</v>
      </c>
      <c r="C107" s="53" t="s">
        <v>245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>
        <v>48</v>
      </c>
      <c r="Z107" s="63">
        <f t="shared" si="17"/>
        <v>48</v>
      </c>
      <c r="AA107" s="50">
        <v>48</v>
      </c>
      <c r="AB107" s="50"/>
      <c r="AC107" s="61">
        <f t="shared" si="18"/>
        <v>0</v>
      </c>
      <c r="AD107" s="50"/>
      <c r="AE107" s="67">
        <f t="shared" si="19"/>
        <v>0</v>
      </c>
    </row>
    <row r="108" spans="2:31" hidden="1">
      <c r="B108" s="50">
        <v>3001200</v>
      </c>
      <c r="C108" s="53" t="s">
        <v>246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7">
        <f t="shared" si="19"/>
        <v>0</v>
      </c>
    </row>
    <row r="109" spans="2:31" hidden="1">
      <c r="B109" s="50">
        <v>1004047</v>
      </c>
      <c r="C109" s="53" t="s">
        <v>247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7">
        <f t="shared" si="19"/>
        <v>0</v>
      </c>
    </row>
    <row r="110" spans="2:31" hidden="1">
      <c r="B110" s="50">
        <v>1004070</v>
      </c>
      <c r="C110" s="53" t="s">
        <v>248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7">
        <f t="shared" si="19"/>
        <v>0</v>
      </c>
    </row>
    <row r="111" spans="2:31">
      <c r="B111" s="50">
        <v>1004076</v>
      </c>
      <c r="C111" s="53" t="s">
        <v>249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>
        <v>63</v>
      </c>
      <c r="Z111" s="63">
        <f t="shared" si="17"/>
        <v>63</v>
      </c>
      <c r="AA111" s="50">
        <v>48</v>
      </c>
      <c r="AB111" s="50"/>
      <c r="AC111" s="61">
        <f t="shared" si="18"/>
        <v>-15</v>
      </c>
      <c r="AD111" s="50"/>
      <c r="AE111" s="67">
        <f t="shared" si="19"/>
        <v>-15</v>
      </c>
    </row>
    <row r="112" spans="2:31">
      <c r="B112" s="50">
        <v>1004050</v>
      </c>
      <c r="C112" s="53" t="s">
        <v>250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>
        <v>3</v>
      </c>
      <c r="Z112" s="63">
        <f t="shared" si="17"/>
        <v>3</v>
      </c>
      <c r="AA112" s="50">
        <v>3</v>
      </c>
      <c r="AB112" s="50"/>
      <c r="AC112" s="61">
        <f t="shared" si="18"/>
        <v>0</v>
      </c>
      <c r="AD112" s="50"/>
      <c r="AE112" s="67">
        <f t="shared" si="19"/>
        <v>0</v>
      </c>
    </row>
    <row r="113" spans="2:31" hidden="1">
      <c r="B113" s="50">
        <v>1004048</v>
      </c>
      <c r="C113" s="53" t="s">
        <v>251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7">
        <f t="shared" si="19"/>
        <v>0</v>
      </c>
    </row>
    <row r="114" spans="2:31">
      <c r="B114" s="50">
        <v>1007020</v>
      </c>
      <c r="C114" s="53" t="s">
        <v>253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>
        <v>2</v>
      </c>
      <c r="Z114" s="63">
        <f t="shared" si="17"/>
        <v>2</v>
      </c>
      <c r="AA114" s="50">
        <v>2</v>
      </c>
      <c r="AB114" s="50"/>
      <c r="AC114" s="61">
        <f t="shared" si="18"/>
        <v>0</v>
      </c>
      <c r="AD114" s="50"/>
      <c r="AE114" s="67">
        <f t="shared" si="19"/>
        <v>0</v>
      </c>
    </row>
    <row r="115" spans="2:31" hidden="1">
      <c r="B115" s="50">
        <v>1004063</v>
      </c>
      <c r="C115" s="53" t="s">
        <v>254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7">
        <f t="shared" si="19"/>
        <v>0</v>
      </c>
    </row>
    <row r="116" spans="2:31" hidden="1">
      <c r="B116" s="50">
        <v>1004065</v>
      </c>
      <c r="C116" s="53" t="s">
        <v>255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7">
        <f t="shared" si="19"/>
        <v>0</v>
      </c>
    </row>
    <row r="117" spans="2:31" hidden="1">
      <c r="B117" s="50">
        <v>1006982</v>
      </c>
      <c r="C117" s="53" t="s">
        <v>256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7">
        <f t="shared" si="19"/>
        <v>0</v>
      </c>
    </row>
    <row r="118" spans="2:31" hidden="1">
      <c r="B118" s="50">
        <v>1006000</v>
      </c>
      <c r="C118" s="53" t="s">
        <v>257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7">
        <f t="shared" si="19"/>
        <v>0</v>
      </c>
    </row>
    <row r="119" spans="2:31" hidden="1">
      <c r="B119" s="50">
        <v>1005998</v>
      </c>
      <c r="C119" s="53" t="s">
        <v>270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7">
        <f t="shared" si="19"/>
        <v>0</v>
      </c>
    </row>
    <row r="120" spans="2:31" hidden="1">
      <c r="B120" s="50">
        <v>1005995</v>
      </c>
      <c r="C120" s="53" t="s">
        <v>259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7">
        <f t="shared" si="19"/>
        <v>0</v>
      </c>
    </row>
    <row r="121" spans="2:31">
      <c r="B121" s="50">
        <v>1004061</v>
      </c>
      <c r="C121" s="53" t="s">
        <v>262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>
        <v>5</v>
      </c>
      <c r="Z121" s="63">
        <f t="shared" si="17"/>
        <v>5</v>
      </c>
      <c r="AA121" s="50">
        <v>5</v>
      </c>
      <c r="AB121" s="50"/>
      <c r="AC121" s="61">
        <f t="shared" si="18"/>
        <v>0</v>
      </c>
      <c r="AD121" s="50"/>
      <c r="AE121" s="67">
        <f t="shared" si="19"/>
        <v>0</v>
      </c>
    </row>
    <row r="122" spans="2:31">
      <c r="B122" s="50">
        <v>1005999</v>
      </c>
      <c r="C122" s="53" t="s">
        <v>264</v>
      </c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>
        <v>4</v>
      </c>
      <c r="Z122" s="63">
        <f t="shared" si="17"/>
        <v>4</v>
      </c>
      <c r="AA122" s="50">
        <v>4</v>
      </c>
      <c r="AB122" s="50"/>
      <c r="AC122" s="61">
        <f t="shared" si="18"/>
        <v>0</v>
      </c>
      <c r="AD122" s="50"/>
      <c r="AE122" s="67">
        <f t="shared" si="19"/>
        <v>0</v>
      </c>
    </row>
    <row r="123" spans="2:31">
      <c r="B123" s="50">
        <v>1111004</v>
      </c>
      <c r="C123" s="53" t="s">
        <v>271</v>
      </c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>
        <v>15</v>
      </c>
      <c r="Z123" s="63">
        <f t="shared" si="17"/>
        <v>15</v>
      </c>
      <c r="AA123" s="50">
        <v>15</v>
      </c>
      <c r="AB123" s="50"/>
      <c r="AC123" s="61">
        <f t="shared" si="18"/>
        <v>0</v>
      </c>
      <c r="AD123" s="50"/>
      <c r="AE123" s="67">
        <f t="shared" si="19"/>
        <v>0</v>
      </c>
    </row>
    <row r="124" spans="2:31" hidden="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7">
        <f t="shared" si="19"/>
        <v>0</v>
      </c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7">
        <f t="shared" si="19"/>
        <v>0</v>
      </c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7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7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7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7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7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7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7"/>
    </row>
    <row r="133" spans="2:31" hidden="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7"/>
    </row>
    <row r="134" spans="2:31" hidden="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7"/>
    </row>
    <row r="135" spans="2:31" hidden="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7"/>
    </row>
    <row r="136" spans="2:31" hidden="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7"/>
    </row>
    <row r="137" spans="2:31" hidden="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7"/>
    </row>
    <row r="138" spans="2:31" hidden="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7"/>
    </row>
    <row r="139" spans="2:31" hidden="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7"/>
    </row>
    <row r="140" spans="2:31" hidden="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7"/>
    </row>
    <row r="141" spans="2:31" hidden="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7"/>
    </row>
    <row r="142" spans="2:31" hidden="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7"/>
    </row>
    <row r="143" spans="2:31" hidden="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7"/>
    </row>
    <row r="144" spans="2:31" hidden="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7"/>
    </row>
    <row r="145" spans="2:31" hidden="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7"/>
    </row>
    <row r="146" spans="2:31" hidden="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7"/>
    </row>
    <row r="147" spans="2:31" hidden="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7"/>
    </row>
    <row r="148" spans="2:31" hidden="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7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7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7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7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7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7">
        <f t="shared" si="29"/>
        <v>0</v>
      </c>
    </row>
    <row r="154" spans="2:31" s="59" customFormat="1" ht="51.75">
      <c r="B154" s="97" t="s">
        <v>201</v>
      </c>
      <c r="C154" s="98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42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42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219</v>
      </c>
      <c r="H154" s="62">
        <f t="shared" si="31"/>
        <v>0</v>
      </c>
      <c r="I154" s="62">
        <f t="shared" si="31"/>
        <v>219</v>
      </c>
      <c r="J154" s="62">
        <f t="shared" si="31"/>
        <v>22</v>
      </c>
      <c r="K154" s="62">
        <f t="shared" si="31"/>
        <v>0</v>
      </c>
      <c r="L154" s="62">
        <f t="shared" si="31"/>
        <v>22</v>
      </c>
      <c r="M154" s="62">
        <f t="shared" si="31"/>
        <v>709</v>
      </c>
      <c r="N154" s="62">
        <f t="shared" si="31"/>
        <v>0</v>
      </c>
      <c r="O154" s="62">
        <f t="shared" si="31"/>
        <v>709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385</v>
      </c>
      <c r="Z154" s="62">
        <f t="shared" si="31"/>
        <v>1377</v>
      </c>
      <c r="AA154" s="62">
        <f t="shared" si="31"/>
        <v>1311</v>
      </c>
      <c r="AB154" s="62">
        <f t="shared" si="31"/>
        <v>485</v>
      </c>
      <c r="AC154" s="62">
        <f t="shared" si="31"/>
        <v>419</v>
      </c>
      <c r="AD154" s="62">
        <f t="shared" si="31"/>
        <v>1075</v>
      </c>
      <c r="AE154" s="62">
        <f t="shared" si="31"/>
        <v>1494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Y2:Y3"/>
    <mergeCell ref="Z2:Z3"/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4A42A-920D-45F5-8BCF-DECC9D473159}">
  <sheetPr codeName="Sheet28">
    <pageSetUpPr fitToPage="1"/>
  </sheetPr>
  <dimension ref="B1:AE159"/>
  <sheetViews>
    <sheetView tabSelected="1" topLeftCell="B1" zoomScale="50" zoomScaleNormal="50" workbookViewId="0">
      <selection activeCell="C25" sqref="C25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3" t="s">
        <v>231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</row>
    <row r="2" spans="2:31" ht="49.9" customHeight="1">
      <c r="B2" s="99" t="s">
        <v>3</v>
      </c>
      <c r="C2" s="99" t="s">
        <v>4</v>
      </c>
      <c r="D2" s="85" t="s">
        <v>5</v>
      </c>
      <c r="E2" s="86"/>
      <c r="F2" s="87"/>
      <c r="G2" s="85" t="s">
        <v>6</v>
      </c>
      <c r="H2" s="86"/>
      <c r="I2" s="87"/>
      <c r="J2" s="85" t="s">
        <v>7</v>
      </c>
      <c r="K2" s="86"/>
      <c r="L2" s="87"/>
      <c r="M2" s="85" t="s">
        <v>8</v>
      </c>
      <c r="N2" s="86"/>
      <c r="O2" s="87"/>
      <c r="P2" s="85" t="s">
        <v>132</v>
      </c>
      <c r="Q2" s="86"/>
      <c r="R2" s="87"/>
      <c r="S2" s="85" t="s">
        <v>9</v>
      </c>
      <c r="T2" s="86"/>
      <c r="U2" s="87"/>
      <c r="V2" s="88" t="s">
        <v>131</v>
      </c>
      <c r="W2" s="89"/>
      <c r="X2" s="90"/>
      <c r="Y2" s="101" t="s">
        <v>134</v>
      </c>
      <c r="Z2" s="103" t="s">
        <v>204</v>
      </c>
      <c r="AA2" s="91" t="s">
        <v>145</v>
      </c>
      <c r="AB2" s="91" t="s">
        <v>146</v>
      </c>
      <c r="AC2" s="95" t="s">
        <v>147</v>
      </c>
      <c r="AD2" s="93" t="s">
        <v>148</v>
      </c>
      <c r="AE2" s="82" t="s">
        <v>212</v>
      </c>
    </row>
    <row r="3" spans="2:31" ht="49.9" customHeight="1">
      <c r="B3" s="100"/>
      <c r="C3" s="100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102"/>
      <c r="Z3" s="104"/>
      <c r="AA3" s="92"/>
      <c r="AB3" s="92"/>
      <c r="AC3" s="96"/>
      <c r="AD3" s="94"/>
      <c r="AE3" s="82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>
        <v>10</v>
      </c>
      <c r="K4" s="52"/>
      <c r="L4" s="65">
        <f>SUM(J4:K4)</f>
        <v>10</v>
      </c>
      <c r="M4" s="52">
        <v>12</v>
      </c>
      <c r="N4" s="52"/>
      <c r="O4" s="65">
        <f>SUM(M4:N4)</f>
        <v>12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22</v>
      </c>
      <c r="AA4" s="50">
        <v>65</v>
      </c>
      <c r="AB4" s="50">
        <v>27</v>
      </c>
      <c r="AC4" s="61">
        <f>+AA4+AB4-Z4</f>
        <v>70</v>
      </c>
      <c r="AD4" s="50">
        <v>65</v>
      </c>
      <c r="AE4" s="67">
        <f>AC4+AD4</f>
        <v>135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57</v>
      </c>
      <c r="H5" s="52"/>
      <c r="I5" s="65">
        <f t="shared" ref="I5:I68" si="1">SUM(G5:H5)</f>
        <v>57</v>
      </c>
      <c r="J5" s="52">
        <v>13</v>
      </c>
      <c r="K5" s="52"/>
      <c r="L5" s="65">
        <f t="shared" ref="L5:L68" si="2">SUM(J5:K5)</f>
        <v>13</v>
      </c>
      <c r="M5" s="52"/>
      <c r="N5" s="52"/>
      <c r="O5" s="65">
        <f t="shared" ref="O5:O68" si="3">SUM(M5:N5)</f>
        <v>0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18</v>
      </c>
      <c r="Z5" s="63">
        <f t="shared" ref="Z5:Z68" si="7">+F5+I5+L5+O5+R5+U5+X5+Y5</f>
        <v>88</v>
      </c>
      <c r="AA5" s="58">
        <v>98</v>
      </c>
      <c r="AB5" s="58">
        <v>69</v>
      </c>
      <c r="AC5" s="61">
        <f t="shared" ref="AC5:AC68" si="8">+AA5+AB5-Z5</f>
        <v>79</v>
      </c>
      <c r="AD5" s="58">
        <v>80</v>
      </c>
      <c r="AE5" s="67">
        <f t="shared" ref="AE5:AE68" si="9">AC5+AD5</f>
        <v>159</v>
      </c>
    </row>
    <row r="6" spans="2:31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7">
        <f t="shared" si="9"/>
        <v>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7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7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3</v>
      </c>
      <c r="H9" s="52"/>
      <c r="I9" s="65">
        <f t="shared" si="1"/>
        <v>3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3</v>
      </c>
      <c r="AA9" s="50"/>
      <c r="AB9" s="50"/>
      <c r="AC9" s="61">
        <f t="shared" si="8"/>
        <v>-3</v>
      </c>
      <c r="AD9" s="50"/>
      <c r="AE9" s="67">
        <f t="shared" si="9"/>
        <v>-3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>
        <v>3</v>
      </c>
      <c r="H10" s="52"/>
      <c r="I10" s="65">
        <f t="shared" si="1"/>
        <v>3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3</v>
      </c>
      <c r="AA10" s="50"/>
      <c r="AB10" s="50"/>
      <c r="AC10" s="61">
        <f t="shared" si="8"/>
        <v>-3</v>
      </c>
      <c r="AD10" s="50"/>
      <c r="AE10" s="67">
        <f t="shared" si="9"/>
        <v>-3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3</v>
      </c>
      <c r="H11" s="52"/>
      <c r="I11" s="65">
        <f t="shared" si="1"/>
        <v>3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3</v>
      </c>
      <c r="AA11" s="50"/>
      <c r="AB11" s="50"/>
      <c r="AC11" s="61">
        <f t="shared" si="8"/>
        <v>-3</v>
      </c>
      <c r="AD11" s="50"/>
      <c r="AE11" s="67">
        <f t="shared" si="9"/>
        <v>-3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3</v>
      </c>
      <c r="H12" s="52"/>
      <c r="I12" s="65">
        <f t="shared" si="1"/>
        <v>3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3</v>
      </c>
      <c r="AA12" s="50"/>
      <c r="AB12" s="50"/>
      <c r="AC12" s="61">
        <f t="shared" si="8"/>
        <v>-3</v>
      </c>
      <c r="AD12" s="50"/>
      <c r="AE12" s="67">
        <f t="shared" si="9"/>
        <v>-3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2</v>
      </c>
      <c r="H13" s="52"/>
      <c r="I13" s="65">
        <f t="shared" si="1"/>
        <v>2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2</v>
      </c>
      <c r="AA13" s="50"/>
      <c r="AB13" s="50"/>
      <c r="AC13" s="61">
        <f t="shared" si="8"/>
        <v>-2</v>
      </c>
      <c r="AD13" s="50"/>
      <c r="AE13" s="67">
        <f t="shared" si="9"/>
        <v>-2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2</v>
      </c>
      <c r="H14" s="52"/>
      <c r="I14" s="65">
        <f t="shared" si="1"/>
        <v>2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2</v>
      </c>
      <c r="AA14" s="50"/>
      <c r="AB14" s="50"/>
      <c r="AC14" s="61">
        <f t="shared" si="8"/>
        <v>-2</v>
      </c>
      <c r="AD14" s="50"/>
      <c r="AE14" s="67">
        <f t="shared" si="9"/>
        <v>-2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2</v>
      </c>
      <c r="H15" s="52"/>
      <c r="I15" s="65">
        <f t="shared" si="1"/>
        <v>2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2</v>
      </c>
      <c r="AA15" s="50"/>
      <c r="AB15" s="50"/>
      <c r="AC15" s="61">
        <f t="shared" si="8"/>
        <v>-2</v>
      </c>
      <c r="AD15" s="50"/>
      <c r="AE15" s="67">
        <f t="shared" si="9"/>
        <v>-2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2</v>
      </c>
      <c r="H16" s="52"/>
      <c r="I16" s="65">
        <f t="shared" si="1"/>
        <v>2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2</v>
      </c>
      <c r="AA16" s="50"/>
      <c r="AB16" s="50"/>
      <c r="AC16" s="61">
        <f t="shared" si="8"/>
        <v>-2</v>
      </c>
      <c r="AD16" s="50"/>
      <c r="AE16" s="67">
        <f t="shared" si="9"/>
        <v>-2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2</v>
      </c>
      <c r="H17" s="52"/>
      <c r="I17" s="65">
        <f t="shared" si="1"/>
        <v>2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2</v>
      </c>
      <c r="AA17" s="50"/>
      <c r="AB17" s="50"/>
      <c r="AC17" s="61">
        <f t="shared" si="8"/>
        <v>-2</v>
      </c>
      <c r="AD17" s="50"/>
      <c r="AE17" s="67">
        <f t="shared" si="9"/>
        <v>-2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2</v>
      </c>
      <c r="H18" s="52"/>
      <c r="I18" s="65">
        <f t="shared" si="1"/>
        <v>2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2</v>
      </c>
      <c r="AA18" s="50"/>
      <c r="AB18" s="50"/>
      <c r="AC18" s="61">
        <f t="shared" si="8"/>
        <v>-2</v>
      </c>
      <c r="AD18" s="50"/>
      <c r="AE18" s="67">
        <f t="shared" si="9"/>
        <v>-2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2</v>
      </c>
      <c r="H19" s="52"/>
      <c r="I19" s="65">
        <f t="shared" si="1"/>
        <v>2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2</v>
      </c>
      <c r="AA19" s="50"/>
      <c r="AB19" s="50"/>
      <c r="AC19" s="61">
        <f t="shared" si="8"/>
        <v>-2</v>
      </c>
      <c r="AD19" s="50"/>
      <c r="AE19" s="67">
        <f t="shared" si="9"/>
        <v>-2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>
        <v>2</v>
      </c>
      <c r="H20" s="52"/>
      <c r="I20" s="65">
        <f t="shared" si="1"/>
        <v>2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2</v>
      </c>
      <c r="AA20" s="50"/>
      <c r="AB20" s="50"/>
      <c r="AC20" s="61">
        <f t="shared" si="8"/>
        <v>-2</v>
      </c>
      <c r="AD20" s="50"/>
      <c r="AE20" s="67">
        <f t="shared" si="9"/>
        <v>-2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>
        <v>2</v>
      </c>
      <c r="H21" s="52"/>
      <c r="I21" s="65">
        <f t="shared" si="1"/>
        <v>2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2</v>
      </c>
      <c r="AA21" s="50"/>
      <c r="AB21" s="50"/>
      <c r="AC21" s="61">
        <f t="shared" si="8"/>
        <v>-2</v>
      </c>
      <c r="AD21" s="50"/>
      <c r="AE21" s="67">
        <f t="shared" si="9"/>
        <v>-2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7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7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7">
        <f t="shared" si="9"/>
        <v>0</v>
      </c>
    </row>
    <row r="25" spans="2:31">
      <c r="B25" s="50">
        <v>1111008</v>
      </c>
      <c r="C25" s="51" t="s">
        <v>156</v>
      </c>
      <c r="D25" s="52"/>
      <c r="E25" s="52"/>
      <c r="F25" s="65">
        <f t="shared" si="0"/>
        <v>0</v>
      </c>
      <c r="G25" s="52">
        <v>1</v>
      </c>
      <c r="H25" s="52"/>
      <c r="I25" s="65">
        <f t="shared" si="1"/>
        <v>1</v>
      </c>
      <c r="J25" s="52"/>
      <c r="K25" s="52"/>
      <c r="L25" s="65">
        <f t="shared" si="2"/>
        <v>0</v>
      </c>
      <c r="M25" s="52">
        <v>21</v>
      </c>
      <c r="N25" s="52"/>
      <c r="O25" s="65">
        <f t="shared" si="3"/>
        <v>21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22</v>
      </c>
      <c r="AA25" s="50">
        <v>50</v>
      </c>
      <c r="AB25" s="50">
        <v>22</v>
      </c>
      <c r="AC25" s="61">
        <f t="shared" si="8"/>
        <v>50</v>
      </c>
      <c r="AD25" s="50">
        <v>50</v>
      </c>
      <c r="AE25" s="67">
        <f t="shared" si="9"/>
        <v>100</v>
      </c>
    </row>
    <row r="26" spans="2:31">
      <c r="B26" s="50">
        <v>1111009</v>
      </c>
      <c r="C26" s="51" t="s">
        <v>157</v>
      </c>
      <c r="D26" s="52"/>
      <c r="E26" s="52"/>
      <c r="F26" s="65">
        <f t="shared" si="0"/>
        <v>0</v>
      </c>
      <c r="G26" s="52">
        <v>4</v>
      </c>
      <c r="H26" s="52"/>
      <c r="I26" s="65">
        <f t="shared" si="1"/>
        <v>4</v>
      </c>
      <c r="J26" s="52">
        <v>1</v>
      </c>
      <c r="K26" s="52"/>
      <c r="L26" s="65">
        <f t="shared" si="2"/>
        <v>1</v>
      </c>
      <c r="M26" s="52"/>
      <c r="N26" s="52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>
        <v>10</v>
      </c>
      <c r="Z26" s="63">
        <f t="shared" si="7"/>
        <v>15</v>
      </c>
      <c r="AA26" s="50">
        <v>30</v>
      </c>
      <c r="AB26" s="50">
        <v>20</v>
      </c>
      <c r="AC26" s="61">
        <f t="shared" si="8"/>
        <v>35</v>
      </c>
      <c r="AD26" s="50">
        <v>20</v>
      </c>
      <c r="AE26" s="67">
        <f t="shared" si="9"/>
        <v>55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7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7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7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7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7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7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7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7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7">
        <f t="shared" si="9"/>
        <v>0</v>
      </c>
    </row>
    <row r="36" spans="2:3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>
        <v>29</v>
      </c>
      <c r="Z36" s="63">
        <f t="shared" si="7"/>
        <v>29</v>
      </c>
      <c r="AA36" s="50">
        <v>29</v>
      </c>
      <c r="AB36" s="50"/>
      <c r="AC36" s="61">
        <f t="shared" si="8"/>
        <v>0</v>
      </c>
      <c r="AD36" s="50"/>
      <c r="AE36" s="67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7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7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7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7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5</v>
      </c>
      <c r="H41" s="52"/>
      <c r="I41" s="65">
        <f t="shared" si="1"/>
        <v>5</v>
      </c>
      <c r="J41" s="52">
        <v>1</v>
      </c>
      <c r="K41" s="52"/>
      <c r="L41" s="65">
        <f t="shared" si="2"/>
        <v>1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6</v>
      </c>
      <c r="AA41" s="50">
        <v>10</v>
      </c>
      <c r="AB41" s="50">
        <v>6</v>
      </c>
      <c r="AC41" s="61">
        <f t="shared" si="8"/>
        <v>10</v>
      </c>
      <c r="AD41" s="50">
        <v>10</v>
      </c>
      <c r="AE41" s="67">
        <f t="shared" si="9"/>
        <v>20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13</v>
      </c>
      <c r="H42" s="52"/>
      <c r="I42" s="65">
        <f t="shared" si="1"/>
        <v>13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13</v>
      </c>
      <c r="AA42" s="50"/>
      <c r="AB42" s="50"/>
      <c r="AC42" s="61">
        <f t="shared" si="8"/>
        <v>-13</v>
      </c>
      <c r="AD42" s="50"/>
      <c r="AE42" s="67">
        <f t="shared" si="9"/>
        <v>-13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13</v>
      </c>
      <c r="H43" s="52"/>
      <c r="I43" s="65">
        <f t="shared" si="1"/>
        <v>13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13</v>
      </c>
      <c r="AA43" s="50"/>
      <c r="AB43" s="50"/>
      <c r="AC43" s="61">
        <f t="shared" si="8"/>
        <v>-13</v>
      </c>
      <c r="AD43" s="50"/>
      <c r="AE43" s="67">
        <f t="shared" si="9"/>
        <v>-13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13</v>
      </c>
      <c r="H44" s="52"/>
      <c r="I44" s="65">
        <f t="shared" si="1"/>
        <v>13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13</v>
      </c>
      <c r="AA44" s="50"/>
      <c r="AB44" s="50"/>
      <c r="AC44" s="61">
        <f t="shared" si="8"/>
        <v>-13</v>
      </c>
      <c r="AD44" s="50"/>
      <c r="AE44" s="67">
        <f t="shared" si="9"/>
        <v>-13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13</v>
      </c>
      <c r="H45" s="52"/>
      <c r="I45" s="65">
        <f t="shared" si="1"/>
        <v>13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13</v>
      </c>
      <c r="AA45" s="50"/>
      <c r="AB45" s="50"/>
      <c r="AC45" s="61">
        <f t="shared" si="8"/>
        <v>-13</v>
      </c>
      <c r="AD45" s="50"/>
      <c r="AE45" s="67">
        <f t="shared" si="9"/>
        <v>-13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13</v>
      </c>
      <c r="H46" s="52"/>
      <c r="I46" s="65">
        <f t="shared" si="1"/>
        <v>13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13</v>
      </c>
      <c r="AA46" s="50"/>
      <c r="AB46" s="50"/>
      <c r="AC46" s="61">
        <f t="shared" si="8"/>
        <v>-13</v>
      </c>
      <c r="AD46" s="50"/>
      <c r="AE46" s="67">
        <f t="shared" si="9"/>
        <v>-13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13</v>
      </c>
      <c r="H47" s="52"/>
      <c r="I47" s="65">
        <f t="shared" si="1"/>
        <v>13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13</v>
      </c>
      <c r="AA47" s="50"/>
      <c r="AB47" s="50"/>
      <c r="AC47" s="61">
        <f t="shared" si="8"/>
        <v>-13</v>
      </c>
      <c r="AD47" s="50"/>
      <c r="AE47" s="67">
        <f t="shared" si="9"/>
        <v>-13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13</v>
      </c>
      <c r="H48" s="52"/>
      <c r="I48" s="65">
        <f t="shared" si="1"/>
        <v>13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13</v>
      </c>
      <c r="AA48" s="50"/>
      <c r="AB48" s="50"/>
      <c r="AC48" s="61">
        <f t="shared" si="8"/>
        <v>-13</v>
      </c>
      <c r="AD48" s="50"/>
      <c r="AE48" s="67">
        <f t="shared" si="9"/>
        <v>-13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13</v>
      </c>
      <c r="H49" s="52"/>
      <c r="I49" s="65">
        <f t="shared" si="1"/>
        <v>13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13</v>
      </c>
      <c r="AA49" s="50"/>
      <c r="AB49" s="50"/>
      <c r="AC49" s="61">
        <f t="shared" si="8"/>
        <v>-13</v>
      </c>
      <c r="AD49" s="50"/>
      <c r="AE49" s="67">
        <f t="shared" si="9"/>
        <v>-13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13</v>
      </c>
      <c r="H50" s="52"/>
      <c r="I50" s="65">
        <f t="shared" si="1"/>
        <v>13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13</v>
      </c>
      <c r="AA50" s="50"/>
      <c r="AB50" s="50"/>
      <c r="AC50" s="61">
        <f t="shared" si="8"/>
        <v>-13</v>
      </c>
      <c r="AD50" s="50"/>
      <c r="AE50" s="67">
        <f t="shared" si="9"/>
        <v>-13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13</v>
      </c>
      <c r="H51" s="52"/>
      <c r="I51" s="65">
        <f t="shared" si="1"/>
        <v>13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13</v>
      </c>
      <c r="AA51" s="50"/>
      <c r="AB51" s="50"/>
      <c r="AC51" s="61">
        <f t="shared" si="8"/>
        <v>-13</v>
      </c>
      <c r="AD51" s="50"/>
      <c r="AE51" s="67">
        <f t="shared" si="9"/>
        <v>-13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7">
        <f t="shared" si="9"/>
        <v>0</v>
      </c>
    </row>
    <row r="53" spans="2:31">
      <c r="B53" s="50">
        <v>1112003</v>
      </c>
      <c r="C53" s="51" t="s">
        <v>174</v>
      </c>
      <c r="D53" s="52"/>
      <c r="E53" s="52"/>
      <c r="F53" s="65">
        <f t="shared" si="0"/>
        <v>0</v>
      </c>
      <c r="G53" s="52">
        <v>2</v>
      </c>
      <c r="H53" s="52"/>
      <c r="I53" s="65">
        <f t="shared" si="1"/>
        <v>2</v>
      </c>
      <c r="J53" s="52">
        <v>1</v>
      </c>
      <c r="K53" s="52"/>
      <c r="L53" s="65">
        <f t="shared" si="2"/>
        <v>1</v>
      </c>
      <c r="M53" s="52">
        <v>24</v>
      </c>
      <c r="N53" s="52"/>
      <c r="O53" s="65">
        <f t="shared" si="3"/>
        <v>24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27</v>
      </c>
      <c r="AA53" s="50">
        <v>60</v>
      </c>
      <c r="AB53" s="50">
        <v>25</v>
      </c>
      <c r="AC53" s="61">
        <f t="shared" si="8"/>
        <v>58</v>
      </c>
      <c r="AD53" s="50">
        <v>60</v>
      </c>
      <c r="AE53" s="67">
        <f t="shared" si="9"/>
        <v>118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7">
        <f t="shared" si="9"/>
        <v>0</v>
      </c>
    </row>
    <row r="55" spans="2:31">
      <c r="B55" s="50">
        <v>1112005</v>
      </c>
      <c r="C55" s="51" t="s">
        <v>176</v>
      </c>
      <c r="D55" s="52"/>
      <c r="E55" s="52"/>
      <c r="F55" s="65">
        <f t="shared" si="0"/>
        <v>0</v>
      </c>
      <c r="G55" s="52">
        <v>2</v>
      </c>
      <c r="H55" s="52"/>
      <c r="I55" s="65">
        <f t="shared" si="1"/>
        <v>2</v>
      </c>
      <c r="J55" s="52">
        <v>1</v>
      </c>
      <c r="K55" s="52"/>
      <c r="L55" s="65">
        <f t="shared" si="2"/>
        <v>1</v>
      </c>
      <c r="M55" s="52">
        <v>22</v>
      </c>
      <c r="N55" s="52"/>
      <c r="O55" s="65">
        <f t="shared" si="3"/>
        <v>22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25</v>
      </c>
      <c r="AA55" s="50">
        <v>60</v>
      </c>
      <c r="AB55" s="50">
        <v>22</v>
      </c>
      <c r="AC55" s="61">
        <f t="shared" si="8"/>
        <v>57</v>
      </c>
      <c r="AD55" s="50">
        <v>60</v>
      </c>
      <c r="AE55" s="67">
        <f t="shared" si="9"/>
        <v>117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7">
        <f t="shared" si="9"/>
        <v>0</v>
      </c>
    </row>
    <row r="57" spans="2:31">
      <c r="B57" s="50">
        <v>1112009</v>
      </c>
      <c r="C57" s="51" t="s">
        <v>178</v>
      </c>
      <c r="D57" s="52"/>
      <c r="E57" s="52"/>
      <c r="F57" s="65">
        <f t="shared" si="0"/>
        <v>0</v>
      </c>
      <c r="G57" s="52">
        <v>2</v>
      </c>
      <c r="H57" s="52"/>
      <c r="I57" s="65">
        <f t="shared" si="1"/>
        <v>2</v>
      </c>
      <c r="J57" s="52">
        <v>1</v>
      </c>
      <c r="K57" s="52"/>
      <c r="L57" s="65">
        <f t="shared" si="2"/>
        <v>1</v>
      </c>
      <c r="M57" s="52">
        <v>20</v>
      </c>
      <c r="N57" s="52"/>
      <c r="O57" s="65">
        <f t="shared" si="3"/>
        <v>20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>
        <v>5</v>
      </c>
      <c r="Z57" s="63">
        <f t="shared" si="7"/>
        <v>28</v>
      </c>
      <c r="AA57" s="50">
        <v>65</v>
      </c>
      <c r="AB57" s="50">
        <v>22</v>
      </c>
      <c r="AC57" s="61">
        <f t="shared" si="8"/>
        <v>59</v>
      </c>
      <c r="AD57" s="50">
        <v>60</v>
      </c>
      <c r="AE57" s="67">
        <f t="shared" si="9"/>
        <v>119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7">
        <f t="shared" si="9"/>
        <v>0</v>
      </c>
    </row>
    <row r="59" spans="2:31">
      <c r="B59" s="50">
        <v>1112011</v>
      </c>
      <c r="C59" s="51" t="s">
        <v>180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>
        <v>4</v>
      </c>
      <c r="K59" s="52"/>
      <c r="L59" s="65">
        <f t="shared" si="2"/>
        <v>4</v>
      </c>
      <c r="M59" s="52">
        <v>18</v>
      </c>
      <c r="N59" s="52"/>
      <c r="O59" s="65">
        <f t="shared" si="3"/>
        <v>18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>
        <v>3</v>
      </c>
      <c r="Z59" s="63">
        <f t="shared" si="7"/>
        <v>25</v>
      </c>
      <c r="AA59" s="50">
        <v>63</v>
      </c>
      <c r="AB59" s="50">
        <v>12</v>
      </c>
      <c r="AC59" s="61">
        <f t="shared" si="8"/>
        <v>50</v>
      </c>
      <c r="AD59" s="50">
        <v>60</v>
      </c>
      <c r="AE59" s="67">
        <f t="shared" si="9"/>
        <v>110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7">
        <f t="shared" si="9"/>
        <v>0</v>
      </c>
    </row>
    <row r="61" spans="2:31">
      <c r="B61" s="50">
        <v>1112013</v>
      </c>
      <c r="C61" s="51" t="s">
        <v>182</v>
      </c>
      <c r="D61" s="52"/>
      <c r="E61" s="52"/>
      <c r="F61" s="65">
        <f t="shared" si="0"/>
        <v>0</v>
      </c>
      <c r="G61" s="52">
        <v>2</v>
      </c>
      <c r="H61" s="52"/>
      <c r="I61" s="65">
        <f t="shared" si="1"/>
        <v>2</v>
      </c>
      <c r="J61" s="52">
        <v>1</v>
      </c>
      <c r="K61" s="52"/>
      <c r="L61" s="65">
        <f t="shared" si="2"/>
        <v>1</v>
      </c>
      <c r="M61" s="52">
        <v>20</v>
      </c>
      <c r="N61" s="52"/>
      <c r="O61" s="65">
        <f t="shared" si="3"/>
        <v>20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>
        <v>3</v>
      </c>
      <c r="Z61" s="63">
        <f t="shared" si="7"/>
        <v>26</v>
      </c>
      <c r="AA61" s="50">
        <v>63</v>
      </c>
      <c r="AB61" s="50">
        <v>20</v>
      </c>
      <c r="AC61" s="61">
        <f t="shared" si="8"/>
        <v>57</v>
      </c>
      <c r="AD61" s="50">
        <v>60</v>
      </c>
      <c r="AE61" s="67">
        <f t="shared" si="9"/>
        <v>117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7">
        <f t="shared" si="9"/>
        <v>0</v>
      </c>
    </row>
    <row r="63" spans="2:31">
      <c r="B63" s="50">
        <v>1112015</v>
      </c>
      <c r="C63" s="51" t="s">
        <v>184</v>
      </c>
      <c r="D63" s="52"/>
      <c r="E63" s="52"/>
      <c r="F63" s="65">
        <f t="shared" si="0"/>
        <v>0</v>
      </c>
      <c r="G63" s="52">
        <v>3</v>
      </c>
      <c r="H63" s="52"/>
      <c r="I63" s="65">
        <f t="shared" si="1"/>
        <v>3</v>
      </c>
      <c r="J63" s="52">
        <v>2</v>
      </c>
      <c r="K63" s="52"/>
      <c r="L63" s="65">
        <f t="shared" si="2"/>
        <v>2</v>
      </c>
      <c r="M63" s="52">
        <v>43</v>
      </c>
      <c r="N63" s="52"/>
      <c r="O63" s="65">
        <f t="shared" si="3"/>
        <v>43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48</v>
      </c>
      <c r="AA63" s="50">
        <v>60</v>
      </c>
      <c r="AB63" s="50">
        <v>48</v>
      </c>
      <c r="AC63" s="61">
        <f t="shared" si="8"/>
        <v>60</v>
      </c>
      <c r="AD63" s="50">
        <v>60</v>
      </c>
      <c r="AE63" s="67">
        <f t="shared" si="9"/>
        <v>120</v>
      </c>
    </row>
    <row r="64" spans="2:31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7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7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7">
        <f t="shared" si="9"/>
        <v>0</v>
      </c>
    </row>
    <row r="67" spans="2:31">
      <c r="B67" s="50">
        <v>1114501</v>
      </c>
      <c r="C67" s="53" t="s">
        <v>187</v>
      </c>
      <c r="D67" s="52"/>
      <c r="E67" s="52"/>
      <c r="F67" s="65">
        <f t="shared" si="0"/>
        <v>0</v>
      </c>
      <c r="G67" s="52">
        <v>3</v>
      </c>
      <c r="H67" s="52"/>
      <c r="I67" s="65">
        <f t="shared" si="1"/>
        <v>3</v>
      </c>
      <c r="J67" s="52">
        <v>6</v>
      </c>
      <c r="K67" s="52"/>
      <c r="L67" s="65">
        <f t="shared" si="2"/>
        <v>6</v>
      </c>
      <c r="M67" s="52">
        <v>83</v>
      </c>
      <c r="N67" s="52"/>
      <c r="O67" s="65">
        <f t="shared" si="3"/>
        <v>83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92</v>
      </c>
      <c r="AA67" s="50">
        <v>295</v>
      </c>
      <c r="AB67" s="50">
        <v>136</v>
      </c>
      <c r="AC67" s="61">
        <f t="shared" si="8"/>
        <v>339</v>
      </c>
      <c r="AD67" s="50">
        <v>250</v>
      </c>
      <c r="AE67" s="67">
        <f t="shared" si="9"/>
        <v>589</v>
      </c>
    </row>
    <row r="68" spans="2:31">
      <c r="B68" s="50">
        <v>1114502</v>
      </c>
      <c r="C68" s="53" t="s">
        <v>188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>
        <v>2</v>
      </c>
      <c r="K68" s="52"/>
      <c r="L68" s="65">
        <f t="shared" si="2"/>
        <v>2</v>
      </c>
      <c r="M68" s="52">
        <v>83</v>
      </c>
      <c r="N68" s="52"/>
      <c r="O68" s="65">
        <f t="shared" si="3"/>
        <v>83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85</v>
      </c>
      <c r="AA68" s="50">
        <v>117</v>
      </c>
      <c r="AB68" s="50">
        <v>22</v>
      </c>
      <c r="AC68" s="61">
        <f t="shared" si="8"/>
        <v>54</v>
      </c>
      <c r="AD68" s="50">
        <v>200</v>
      </c>
      <c r="AE68" s="67">
        <f t="shared" si="9"/>
        <v>254</v>
      </c>
    </row>
    <row r="69" spans="2:31">
      <c r="B69" s="50">
        <v>1114503</v>
      </c>
      <c r="C69" s="53" t="s">
        <v>189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21" si="11">SUM(G69:H69)</f>
        <v>0</v>
      </c>
      <c r="J69" s="52">
        <v>2</v>
      </c>
      <c r="K69" s="52"/>
      <c r="L69" s="65">
        <f t="shared" ref="L69:L121" si="12">SUM(J69:K69)</f>
        <v>2</v>
      </c>
      <c r="M69" s="52">
        <v>80</v>
      </c>
      <c r="N69" s="52"/>
      <c r="O69" s="65">
        <f t="shared" ref="O69:O121" si="13">SUM(M69:N69)</f>
        <v>80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82</v>
      </c>
      <c r="AA69" s="50">
        <v>134</v>
      </c>
      <c r="AB69" s="50">
        <v>31</v>
      </c>
      <c r="AC69" s="61">
        <f t="shared" ref="AC69:AC121" si="18">+AA69+AB69-Z69</f>
        <v>83</v>
      </c>
      <c r="AD69" s="50">
        <v>200</v>
      </c>
      <c r="AE69" s="67">
        <f t="shared" ref="AE69:AE121" si="19">AC69+AD69</f>
        <v>283</v>
      </c>
    </row>
    <row r="70" spans="2:3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7">
        <f t="shared" si="19"/>
        <v>0</v>
      </c>
    </row>
    <row r="71" spans="2:3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7">
        <f t="shared" si="19"/>
        <v>0</v>
      </c>
    </row>
    <row r="72" spans="2:3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7">
        <f t="shared" si="19"/>
        <v>0</v>
      </c>
    </row>
    <row r="73" spans="2:3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7">
        <f t="shared" si="19"/>
        <v>0</v>
      </c>
    </row>
    <row r="74" spans="2:3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7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52"/>
      <c r="N75" s="52"/>
      <c r="O75" s="65">
        <f t="shared" si="13"/>
        <v>0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>
        <v>30</v>
      </c>
      <c r="AE75" s="67">
        <f t="shared" si="19"/>
        <v>30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/>
      <c r="AC76" s="61">
        <f t="shared" si="18"/>
        <v>0</v>
      </c>
      <c r="AD76" s="50">
        <v>10</v>
      </c>
      <c r="AE76" s="67">
        <f t="shared" si="19"/>
        <v>10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>
        <v>1</v>
      </c>
      <c r="K77" s="52"/>
      <c r="L77" s="65">
        <f t="shared" si="12"/>
        <v>1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1</v>
      </c>
      <c r="AA77" s="50"/>
      <c r="AB77" s="50">
        <v>14</v>
      </c>
      <c r="AC77" s="61">
        <f t="shared" si="18"/>
        <v>13</v>
      </c>
      <c r="AD77" s="50"/>
      <c r="AE77" s="67">
        <f t="shared" si="19"/>
        <v>13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>
        <v>10</v>
      </c>
      <c r="AE78" s="67">
        <f t="shared" si="19"/>
        <v>10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7">
        <f t="shared" si="19"/>
        <v>0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>
        <v>11</v>
      </c>
      <c r="N80" s="52"/>
      <c r="O80" s="65">
        <f t="shared" si="13"/>
        <v>11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11</v>
      </c>
      <c r="AA80" s="50"/>
      <c r="AB80" s="50">
        <v>11</v>
      </c>
      <c r="AC80" s="61">
        <f t="shared" si="18"/>
        <v>0</v>
      </c>
      <c r="AD80" s="50"/>
      <c r="AE80" s="67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7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9</v>
      </c>
      <c r="H82" s="52"/>
      <c r="I82" s="65">
        <f t="shared" si="11"/>
        <v>9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9</v>
      </c>
      <c r="AA82" s="50"/>
      <c r="AB82" s="50"/>
      <c r="AC82" s="61">
        <f t="shared" si="18"/>
        <v>-9</v>
      </c>
      <c r="AD82" s="50"/>
      <c r="AE82" s="67">
        <f t="shared" si="19"/>
        <v>-9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3</v>
      </c>
      <c r="H83" s="52"/>
      <c r="I83" s="65">
        <f t="shared" si="11"/>
        <v>3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3</v>
      </c>
      <c r="AA83" s="50"/>
      <c r="AB83" s="50"/>
      <c r="AC83" s="61">
        <f t="shared" si="18"/>
        <v>-3</v>
      </c>
      <c r="AD83" s="50"/>
      <c r="AE83" s="67">
        <f t="shared" si="19"/>
        <v>-3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7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7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7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7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7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7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7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7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7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7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7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7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7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7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7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7">
        <f t="shared" si="19"/>
        <v>0</v>
      </c>
    </row>
    <row r="100" spans="2:31">
      <c r="B100" s="50">
        <v>1004062</v>
      </c>
      <c r="C100" s="53" t="s">
        <v>238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>
        <v>18</v>
      </c>
      <c r="Z100" s="63">
        <f t="shared" si="17"/>
        <v>18</v>
      </c>
      <c r="AA100" s="50">
        <v>18</v>
      </c>
      <c r="AB100" s="50"/>
      <c r="AC100" s="61">
        <f t="shared" si="18"/>
        <v>0</v>
      </c>
      <c r="AD100" s="50"/>
      <c r="AE100" s="67">
        <f t="shared" si="19"/>
        <v>0</v>
      </c>
    </row>
    <row r="101" spans="2:31">
      <c r="B101" s="50">
        <v>1004051</v>
      </c>
      <c r="C101" s="53" t="s">
        <v>239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>
        <v>3</v>
      </c>
      <c r="Z101" s="63">
        <f t="shared" si="17"/>
        <v>3</v>
      </c>
      <c r="AA101" s="50">
        <v>3</v>
      </c>
      <c r="AB101" s="50"/>
      <c r="AC101" s="61">
        <f t="shared" si="18"/>
        <v>0</v>
      </c>
      <c r="AD101" s="50"/>
      <c r="AE101" s="67">
        <f t="shared" si="19"/>
        <v>0</v>
      </c>
    </row>
    <row r="102" spans="2:31">
      <c r="B102" s="50">
        <v>1111005</v>
      </c>
      <c r="C102" s="53" t="s">
        <v>240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>
        <v>2</v>
      </c>
      <c r="Z102" s="63">
        <f t="shared" si="17"/>
        <v>2</v>
      </c>
      <c r="AA102" s="50">
        <v>2</v>
      </c>
      <c r="AB102" s="50"/>
      <c r="AC102" s="61">
        <f t="shared" si="18"/>
        <v>0</v>
      </c>
      <c r="AD102" s="50"/>
      <c r="AE102" s="67">
        <f t="shared" si="19"/>
        <v>0</v>
      </c>
    </row>
    <row r="103" spans="2:31">
      <c r="B103" s="50">
        <v>1111006</v>
      </c>
      <c r="C103" s="53" t="s">
        <v>241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>
        <v>5</v>
      </c>
      <c r="Z103" s="63">
        <f t="shared" si="17"/>
        <v>5</v>
      </c>
      <c r="AA103" s="50">
        <v>5</v>
      </c>
      <c r="AB103" s="50"/>
      <c r="AC103" s="61">
        <f t="shared" si="18"/>
        <v>0</v>
      </c>
      <c r="AD103" s="50"/>
      <c r="AE103" s="67">
        <f t="shared" si="19"/>
        <v>0</v>
      </c>
    </row>
    <row r="104" spans="2:31">
      <c r="B104" s="50">
        <v>1004078</v>
      </c>
      <c r="C104" s="53" t="s">
        <v>242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>
        <v>3</v>
      </c>
      <c r="Z104" s="63">
        <f t="shared" si="17"/>
        <v>3</v>
      </c>
      <c r="AA104" s="50">
        <v>3</v>
      </c>
      <c r="AB104" s="50"/>
      <c r="AC104" s="61">
        <f t="shared" si="18"/>
        <v>0</v>
      </c>
      <c r="AD104" s="50"/>
      <c r="AE104" s="67">
        <f t="shared" si="19"/>
        <v>0</v>
      </c>
    </row>
    <row r="105" spans="2:31" hidden="1">
      <c r="B105" s="50">
        <v>1113157</v>
      </c>
      <c r="C105" s="53" t="s">
        <v>243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7">
        <f t="shared" si="19"/>
        <v>0</v>
      </c>
    </row>
    <row r="106" spans="2:31" hidden="1">
      <c r="B106" s="50">
        <v>1004080</v>
      </c>
      <c r="C106" s="53" t="s">
        <v>244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7">
        <f t="shared" si="19"/>
        <v>0</v>
      </c>
    </row>
    <row r="107" spans="2:31" hidden="1">
      <c r="B107" s="50">
        <v>1004081</v>
      </c>
      <c r="C107" s="53" t="s">
        <v>245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7">
        <f t="shared" si="19"/>
        <v>0</v>
      </c>
    </row>
    <row r="108" spans="2:31" hidden="1">
      <c r="B108" s="50">
        <v>3001200</v>
      </c>
      <c r="C108" s="53" t="s">
        <v>246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7">
        <f t="shared" si="19"/>
        <v>0</v>
      </c>
    </row>
    <row r="109" spans="2:31" hidden="1">
      <c r="B109" s="50">
        <v>1004047</v>
      </c>
      <c r="C109" s="53" t="s">
        <v>247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7">
        <f t="shared" si="19"/>
        <v>0</v>
      </c>
    </row>
    <row r="110" spans="2:31" hidden="1">
      <c r="B110" s="50">
        <v>1004070</v>
      </c>
      <c r="C110" s="53" t="s">
        <v>248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7">
        <f t="shared" si="19"/>
        <v>0</v>
      </c>
    </row>
    <row r="111" spans="2:31" hidden="1">
      <c r="B111" s="50">
        <v>1004076</v>
      </c>
      <c r="C111" s="53" t="s">
        <v>249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7">
        <f t="shared" si="19"/>
        <v>0</v>
      </c>
    </row>
    <row r="112" spans="2:31" hidden="1">
      <c r="B112" s="50">
        <v>1004050</v>
      </c>
      <c r="C112" s="53" t="s">
        <v>250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7">
        <f t="shared" si="19"/>
        <v>0</v>
      </c>
    </row>
    <row r="113" spans="2:31" hidden="1">
      <c r="B113" s="50">
        <v>1004048</v>
      </c>
      <c r="C113" s="53" t="s">
        <v>251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7">
        <f t="shared" si="19"/>
        <v>0</v>
      </c>
    </row>
    <row r="114" spans="2:31" hidden="1">
      <c r="B114" s="50">
        <v>1007020</v>
      </c>
      <c r="C114" s="53" t="s">
        <v>253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7">
        <f t="shared" si="19"/>
        <v>0</v>
      </c>
    </row>
    <row r="115" spans="2:31" hidden="1">
      <c r="B115" s="50">
        <v>1004063</v>
      </c>
      <c r="C115" s="53" t="s">
        <v>254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7">
        <f t="shared" si="19"/>
        <v>0</v>
      </c>
    </row>
    <row r="116" spans="2:31" hidden="1">
      <c r="B116" s="50">
        <v>1004065</v>
      </c>
      <c r="C116" s="53" t="s">
        <v>255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7">
        <f t="shared" si="19"/>
        <v>0</v>
      </c>
    </row>
    <row r="117" spans="2:31" hidden="1">
      <c r="B117" s="50">
        <v>1006982</v>
      </c>
      <c r="C117" s="53" t="s">
        <v>256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7">
        <f t="shared" si="19"/>
        <v>0</v>
      </c>
    </row>
    <row r="118" spans="2:31" hidden="1">
      <c r="B118" s="50">
        <v>1006000</v>
      </c>
      <c r="C118" s="53" t="s">
        <v>257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7">
        <f t="shared" si="19"/>
        <v>0</v>
      </c>
    </row>
    <row r="119" spans="2:31" hidden="1">
      <c r="B119" s="50">
        <v>1005998</v>
      </c>
      <c r="C119" s="53" t="s">
        <v>258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7">
        <f t="shared" si="19"/>
        <v>0</v>
      </c>
    </row>
    <row r="120" spans="2:31" hidden="1">
      <c r="B120" s="50">
        <v>1005995</v>
      </c>
      <c r="C120" s="53" t="s">
        <v>259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7">
        <f t="shared" si="19"/>
        <v>0</v>
      </c>
    </row>
    <row r="121" spans="2:31" hidden="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7">
        <f t="shared" si="19"/>
        <v>0</v>
      </c>
    </row>
    <row r="122" spans="2:31" hidden="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7"/>
    </row>
    <row r="123" spans="2:31" hidden="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7"/>
    </row>
    <row r="124" spans="2:31" hidden="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7"/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7"/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7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7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7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7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7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7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7"/>
    </row>
    <row r="133" spans="2:31" hidden="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7"/>
    </row>
    <row r="134" spans="2:31" hidden="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7"/>
    </row>
    <row r="135" spans="2:31" hidden="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7"/>
    </row>
    <row r="136" spans="2:31" hidden="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7"/>
    </row>
    <row r="137" spans="2:31" hidden="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7"/>
    </row>
    <row r="138" spans="2:31" hidden="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7"/>
    </row>
    <row r="139" spans="2:31" hidden="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7"/>
    </row>
    <row r="140" spans="2:31" hidden="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7"/>
    </row>
    <row r="141" spans="2:31" hidden="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7"/>
    </row>
    <row r="142" spans="2:31" hidden="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7"/>
    </row>
    <row r="143" spans="2:31" hidden="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7"/>
    </row>
    <row r="144" spans="2:31" hidden="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7"/>
    </row>
    <row r="145" spans="2:31" hidden="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7"/>
    </row>
    <row r="146" spans="2:31" hidden="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7"/>
    </row>
    <row r="147" spans="2:31" hidden="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7"/>
    </row>
    <row r="148" spans="2:31" hidden="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7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7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7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7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7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7">
        <f t="shared" si="29"/>
        <v>0</v>
      </c>
    </row>
    <row r="154" spans="2:31" s="59" customFormat="1" ht="51.75">
      <c r="B154" s="97" t="s">
        <v>201</v>
      </c>
      <c r="C154" s="98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0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0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253</v>
      </c>
      <c r="H154" s="62">
        <f t="shared" si="31"/>
        <v>0</v>
      </c>
      <c r="I154" s="62">
        <f t="shared" si="31"/>
        <v>253</v>
      </c>
      <c r="J154" s="62">
        <f t="shared" si="31"/>
        <v>46</v>
      </c>
      <c r="K154" s="62">
        <f t="shared" si="31"/>
        <v>0</v>
      </c>
      <c r="L154" s="62">
        <f t="shared" si="31"/>
        <v>46</v>
      </c>
      <c r="M154" s="62">
        <f t="shared" si="31"/>
        <v>437</v>
      </c>
      <c r="N154" s="62">
        <f t="shared" si="31"/>
        <v>0</v>
      </c>
      <c r="O154" s="62">
        <f t="shared" si="31"/>
        <v>437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99</v>
      </c>
      <c r="Z154" s="62">
        <f t="shared" si="31"/>
        <v>835</v>
      </c>
      <c r="AA154" s="62">
        <f t="shared" si="31"/>
        <v>1230</v>
      </c>
      <c r="AB154" s="62">
        <f t="shared" si="31"/>
        <v>507</v>
      </c>
      <c r="AC154" s="62">
        <f t="shared" si="31"/>
        <v>902</v>
      </c>
      <c r="AD154" s="62">
        <f t="shared" si="31"/>
        <v>1285</v>
      </c>
      <c r="AE154" s="62">
        <f t="shared" si="31"/>
        <v>2187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Y2:Y3"/>
    <mergeCell ref="Z2:Z3"/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1F67-56EE-4890-A5D3-BC55B5510D9F}">
  <sheetPr codeName="Sheet29">
    <pageSetUpPr fitToPage="1"/>
  </sheetPr>
  <dimension ref="B1:AE159"/>
  <sheetViews>
    <sheetView topLeftCell="B101" zoomScale="50" zoomScaleNormal="50" workbookViewId="0">
      <selection activeCell="B111" sqref="A111:XFD159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5" width="14.28515625" style="56" customWidth="1"/>
    <col min="26" max="26" width="19.5703125" style="57" bestFit="1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3" t="s">
        <v>232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</row>
    <row r="2" spans="2:31" ht="49.9" customHeight="1">
      <c r="B2" s="99" t="s">
        <v>3</v>
      </c>
      <c r="C2" s="99" t="s">
        <v>4</v>
      </c>
      <c r="D2" s="85" t="s">
        <v>5</v>
      </c>
      <c r="E2" s="86"/>
      <c r="F2" s="87"/>
      <c r="G2" s="85" t="s">
        <v>6</v>
      </c>
      <c r="H2" s="86"/>
      <c r="I2" s="87"/>
      <c r="J2" s="85" t="s">
        <v>7</v>
      </c>
      <c r="K2" s="86"/>
      <c r="L2" s="87"/>
      <c r="M2" s="85" t="s">
        <v>8</v>
      </c>
      <c r="N2" s="86"/>
      <c r="O2" s="87"/>
      <c r="P2" s="85" t="s">
        <v>132</v>
      </c>
      <c r="Q2" s="86"/>
      <c r="R2" s="87"/>
      <c r="S2" s="85" t="s">
        <v>9</v>
      </c>
      <c r="T2" s="86"/>
      <c r="U2" s="87"/>
      <c r="V2" s="88" t="s">
        <v>131</v>
      </c>
      <c r="W2" s="89"/>
      <c r="X2" s="90"/>
      <c r="Y2" s="101" t="s">
        <v>134</v>
      </c>
      <c r="Z2" s="103" t="s">
        <v>204</v>
      </c>
      <c r="AA2" s="91" t="s">
        <v>145</v>
      </c>
      <c r="AB2" s="91" t="s">
        <v>146</v>
      </c>
      <c r="AC2" s="95" t="s">
        <v>147</v>
      </c>
      <c r="AD2" s="93" t="s">
        <v>148</v>
      </c>
      <c r="AE2" s="82" t="s">
        <v>212</v>
      </c>
    </row>
    <row r="3" spans="2:31" ht="49.9" customHeight="1">
      <c r="B3" s="100"/>
      <c r="C3" s="100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102"/>
      <c r="Z3" s="104"/>
      <c r="AA3" s="92"/>
      <c r="AB3" s="92"/>
      <c r="AC3" s="96"/>
      <c r="AD3" s="94"/>
      <c r="AE3" s="82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52"/>
      <c r="N4" s="52"/>
      <c r="O4" s="65">
        <f>SUM(M4:N4)</f>
        <v>0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0</v>
      </c>
      <c r="AA4" s="50"/>
      <c r="AB4" s="50"/>
      <c r="AC4" s="61">
        <f>+AA4+AB4-Z4</f>
        <v>0</v>
      </c>
      <c r="AD4" s="50"/>
      <c r="AE4" s="67">
        <f>AC4+AD4</f>
        <v>0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/>
      <c r="H5" s="52"/>
      <c r="I5" s="65">
        <f t="shared" ref="I5:I68" si="1">SUM(G5:H5)</f>
        <v>0</v>
      </c>
      <c r="J5" s="52"/>
      <c r="K5" s="52"/>
      <c r="L5" s="65">
        <f t="shared" ref="L5:L68" si="2">SUM(J5:K5)</f>
        <v>0</v>
      </c>
      <c r="M5" s="52"/>
      <c r="N5" s="52"/>
      <c r="O5" s="65">
        <f t="shared" ref="O5:O68" si="3">SUM(M5:N5)</f>
        <v>0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0</v>
      </c>
      <c r="AA5" s="58"/>
      <c r="AB5" s="58"/>
      <c r="AC5" s="61">
        <f t="shared" ref="AC5:AC68" si="8">+AA5+AB5-Z5</f>
        <v>0</v>
      </c>
      <c r="AD5" s="58"/>
      <c r="AE5" s="67">
        <f t="shared" ref="AE5:AE68" si="9">AC5+AD5</f>
        <v>0</v>
      </c>
    </row>
    <row r="6" spans="2:3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7">
        <f t="shared" si="9"/>
        <v>0</v>
      </c>
    </row>
    <row r="7" spans="2:3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7">
        <f t="shared" si="9"/>
        <v>0</v>
      </c>
    </row>
    <row r="8" spans="2:3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7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7">
        <f t="shared" si="9"/>
        <v>0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7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7">
        <f t="shared" si="9"/>
        <v>0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7">
        <f t="shared" si="9"/>
        <v>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7">
        <f t="shared" si="9"/>
        <v>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7">
        <f t="shared" si="9"/>
        <v>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7">
        <f t="shared" si="9"/>
        <v>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7">
        <f t="shared" si="9"/>
        <v>0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7">
        <f t="shared" si="9"/>
        <v>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7">
        <f t="shared" si="9"/>
        <v>0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7">
        <f t="shared" si="9"/>
        <v>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7">
        <f t="shared" si="9"/>
        <v>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7">
        <f t="shared" si="9"/>
        <v>0</v>
      </c>
    </row>
    <row r="22" spans="2:3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7">
        <f t="shared" si="9"/>
        <v>0</v>
      </c>
    </row>
    <row r="23" spans="2:3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7">
        <f t="shared" si="9"/>
        <v>0</v>
      </c>
    </row>
    <row r="24" spans="2:3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7">
        <f t="shared" si="9"/>
        <v>0</v>
      </c>
    </row>
    <row r="25" spans="2:31">
      <c r="B25" s="50">
        <v>1111008</v>
      </c>
      <c r="C25" s="51" t="s">
        <v>156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52"/>
      <c r="N25" s="52"/>
      <c r="O25" s="65">
        <f t="shared" si="3"/>
        <v>0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0</v>
      </c>
      <c r="AA25" s="50"/>
      <c r="AB25" s="50"/>
      <c r="AC25" s="61">
        <f t="shared" si="8"/>
        <v>0</v>
      </c>
      <c r="AD25" s="50"/>
      <c r="AE25" s="67">
        <f t="shared" si="9"/>
        <v>0</v>
      </c>
    </row>
    <row r="26" spans="2:31">
      <c r="B26" s="50">
        <v>1111009</v>
      </c>
      <c r="C26" s="51" t="s">
        <v>157</v>
      </c>
      <c r="D26" s="52"/>
      <c r="E26" s="52"/>
      <c r="F26" s="65">
        <f t="shared" si="0"/>
        <v>0</v>
      </c>
      <c r="G26" s="52"/>
      <c r="H26" s="52"/>
      <c r="I26" s="65">
        <f t="shared" si="1"/>
        <v>0</v>
      </c>
      <c r="J26" s="52"/>
      <c r="K26" s="52"/>
      <c r="L26" s="65">
        <f t="shared" si="2"/>
        <v>0</v>
      </c>
      <c r="M26" s="52"/>
      <c r="N26" s="52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0</v>
      </c>
      <c r="AA26" s="50"/>
      <c r="AB26" s="50"/>
      <c r="AC26" s="61">
        <f t="shared" si="8"/>
        <v>0</v>
      </c>
      <c r="AD26" s="50"/>
      <c r="AE26" s="67">
        <f t="shared" si="9"/>
        <v>0</v>
      </c>
    </row>
    <row r="27" spans="2:3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7">
        <f t="shared" si="9"/>
        <v>0</v>
      </c>
    </row>
    <row r="28" spans="2:3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7">
        <f t="shared" si="9"/>
        <v>0</v>
      </c>
    </row>
    <row r="29" spans="2:3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7">
        <f t="shared" si="9"/>
        <v>0</v>
      </c>
    </row>
    <row r="30" spans="2:3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7">
        <f t="shared" si="9"/>
        <v>0</v>
      </c>
    </row>
    <row r="31" spans="2:3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7">
        <f t="shared" si="9"/>
        <v>0</v>
      </c>
    </row>
    <row r="32" spans="2:3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7">
        <f t="shared" si="9"/>
        <v>0</v>
      </c>
    </row>
    <row r="33" spans="2:3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7">
        <f t="shared" si="9"/>
        <v>0</v>
      </c>
    </row>
    <row r="34" spans="2:3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7">
        <f t="shared" si="9"/>
        <v>0</v>
      </c>
    </row>
    <row r="35" spans="2:3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7">
        <f t="shared" si="9"/>
        <v>0</v>
      </c>
    </row>
    <row r="36" spans="2:3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7">
        <f t="shared" si="9"/>
        <v>0</v>
      </c>
    </row>
    <row r="37" spans="2:3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7">
        <f t="shared" si="9"/>
        <v>0</v>
      </c>
    </row>
    <row r="38" spans="2:3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7">
        <f t="shared" si="9"/>
        <v>0</v>
      </c>
    </row>
    <row r="39" spans="2:3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7">
        <f t="shared" si="9"/>
        <v>0</v>
      </c>
    </row>
    <row r="40" spans="2:3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7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/>
      <c r="H41" s="52"/>
      <c r="I41" s="65">
        <f t="shared" si="1"/>
        <v>0</v>
      </c>
      <c r="J41" s="52"/>
      <c r="K41" s="52"/>
      <c r="L41" s="65">
        <f t="shared" si="2"/>
        <v>0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0</v>
      </c>
      <c r="AA41" s="50"/>
      <c r="AB41" s="50"/>
      <c r="AC41" s="61">
        <f t="shared" si="8"/>
        <v>0</v>
      </c>
      <c r="AD41" s="50"/>
      <c r="AE41" s="67">
        <f t="shared" si="9"/>
        <v>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7">
        <f t="shared" si="9"/>
        <v>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7">
        <f t="shared" si="9"/>
        <v>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7">
        <f t="shared" si="9"/>
        <v>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7">
        <f t="shared" si="9"/>
        <v>0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7">
        <f t="shared" si="9"/>
        <v>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7">
        <f t="shared" si="9"/>
        <v>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7">
        <f t="shared" si="9"/>
        <v>0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7">
        <f t="shared" si="9"/>
        <v>0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7">
        <f t="shared" si="9"/>
        <v>0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7">
        <f t="shared" si="9"/>
        <v>0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7">
        <f t="shared" si="9"/>
        <v>0</v>
      </c>
    </row>
    <row r="53" spans="2:31">
      <c r="B53" s="50">
        <v>1112003</v>
      </c>
      <c r="C53" s="51" t="s">
        <v>174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52"/>
      <c r="N53" s="52"/>
      <c r="O53" s="65">
        <f t="shared" si="3"/>
        <v>0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0</v>
      </c>
      <c r="AA53" s="50"/>
      <c r="AB53" s="50"/>
      <c r="AC53" s="61">
        <f t="shared" si="8"/>
        <v>0</v>
      </c>
      <c r="AD53" s="50"/>
      <c r="AE53" s="67">
        <f t="shared" si="9"/>
        <v>0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7">
        <f t="shared" si="9"/>
        <v>0</v>
      </c>
    </row>
    <row r="55" spans="2:31">
      <c r="B55" s="50">
        <v>1112005</v>
      </c>
      <c r="C55" s="51" t="s">
        <v>176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52"/>
      <c r="N55" s="52"/>
      <c r="O55" s="65">
        <f t="shared" si="3"/>
        <v>0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0</v>
      </c>
      <c r="AA55" s="50"/>
      <c r="AB55" s="50"/>
      <c r="AC55" s="61">
        <f t="shared" si="8"/>
        <v>0</v>
      </c>
      <c r="AD55" s="50"/>
      <c r="AE55" s="67">
        <f t="shared" si="9"/>
        <v>0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7">
        <f t="shared" si="9"/>
        <v>0</v>
      </c>
    </row>
    <row r="57" spans="2:31">
      <c r="B57" s="50">
        <v>1112009</v>
      </c>
      <c r="C57" s="51" t="s">
        <v>178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52"/>
      <c r="N57" s="52"/>
      <c r="O57" s="65">
        <f t="shared" si="3"/>
        <v>0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0</v>
      </c>
      <c r="AA57" s="50"/>
      <c r="AB57" s="50"/>
      <c r="AC57" s="61">
        <f t="shared" si="8"/>
        <v>0</v>
      </c>
      <c r="AD57" s="50"/>
      <c r="AE57" s="67">
        <f t="shared" si="9"/>
        <v>0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7">
        <f t="shared" si="9"/>
        <v>0</v>
      </c>
    </row>
    <row r="59" spans="2:31">
      <c r="B59" s="50">
        <v>1112011</v>
      </c>
      <c r="C59" s="51" t="s">
        <v>180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/>
      <c r="K59" s="52"/>
      <c r="L59" s="65">
        <f t="shared" si="2"/>
        <v>0</v>
      </c>
      <c r="M59" s="52"/>
      <c r="N59" s="52"/>
      <c r="O59" s="65">
        <f t="shared" si="3"/>
        <v>0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0</v>
      </c>
      <c r="AA59" s="50"/>
      <c r="AB59" s="50"/>
      <c r="AC59" s="61">
        <f t="shared" si="8"/>
        <v>0</v>
      </c>
      <c r="AD59" s="50"/>
      <c r="AE59" s="67">
        <f t="shared" si="9"/>
        <v>0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7">
        <f t="shared" si="9"/>
        <v>0</v>
      </c>
    </row>
    <row r="61" spans="2:31">
      <c r="B61" s="50">
        <v>1112013</v>
      </c>
      <c r="C61" s="51" t="s">
        <v>182</v>
      </c>
      <c r="D61" s="52"/>
      <c r="E61" s="52"/>
      <c r="F61" s="65">
        <f t="shared" si="0"/>
        <v>0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52"/>
      <c r="N61" s="52"/>
      <c r="O61" s="65">
        <f t="shared" si="3"/>
        <v>0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0</v>
      </c>
      <c r="AA61" s="50"/>
      <c r="AB61" s="50"/>
      <c r="AC61" s="61">
        <f t="shared" si="8"/>
        <v>0</v>
      </c>
      <c r="AD61" s="50"/>
      <c r="AE61" s="67">
        <f t="shared" si="9"/>
        <v>0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7">
        <f t="shared" si="9"/>
        <v>0</v>
      </c>
    </row>
    <row r="63" spans="2:31">
      <c r="B63" s="50">
        <v>1112015</v>
      </c>
      <c r="C63" s="51" t="s">
        <v>184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52"/>
      <c r="N63" s="52"/>
      <c r="O63" s="65">
        <f t="shared" si="3"/>
        <v>0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0</v>
      </c>
      <c r="AA63" s="50"/>
      <c r="AB63" s="50"/>
      <c r="AC63" s="61">
        <f t="shared" si="8"/>
        <v>0</v>
      </c>
      <c r="AD63" s="50"/>
      <c r="AE63" s="67">
        <f t="shared" si="9"/>
        <v>0</v>
      </c>
    </row>
    <row r="64" spans="2:3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7">
        <f t="shared" si="9"/>
        <v>0</v>
      </c>
    </row>
    <row r="65" spans="2:3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7">
        <f t="shared" si="9"/>
        <v>0</v>
      </c>
    </row>
    <row r="66" spans="2:3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7">
        <f t="shared" si="9"/>
        <v>0</v>
      </c>
    </row>
    <row r="67" spans="2:31">
      <c r="B67" s="50">
        <v>1114501</v>
      </c>
      <c r="C67" s="53" t="s">
        <v>187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52"/>
      <c r="N67" s="52"/>
      <c r="O67" s="65">
        <f t="shared" si="3"/>
        <v>0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0</v>
      </c>
      <c r="AA67" s="50"/>
      <c r="AB67" s="50"/>
      <c r="AC67" s="61">
        <f t="shared" si="8"/>
        <v>0</v>
      </c>
      <c r="AD67" s="50"/>
      <c r="AE67" s="67">
        <f t="shared" si="9"/>
        <v>0</v>
      </c>
    </row>
    <row r="68" spans="2:31">
      <c r="B68" s="50">
        <v>1114502</v>
      </c>
      <c r="C68" s="53" t="s">
        <v>188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52"/>
      <c r="N68" s="52"/>
      <c r="O68" s="65">
        <f t="shared" si="3"/>
        <v>0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7">
        <f t="shared" si="9"/>
        <v>0</v>
      </c>
    </row>
    <row r="69" spans="2:31">
      <c r="B69" s="50">
        <v>1114503</v>
      </c>
      <c r="C69" s="53" t="s">
        <v>189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21" si="11">SUM(G69:H69)</f>
        <v>0</v>
      </c>
      <c r="J69" s="52"/>
      <c r="K69" s="52"/>
      <c r="L69" s="65">
        <f t="shared" ref="L69:L121" si="12">SUM(J69:K69)</f>
        <v>0</v>
      </c>
      <c r="M69" s="52"/>
      <c r="N69" s="52"/>
      <c r="O69" s="65">
        <f t="shared" ref="O69:O121" si="13">SUM(M69:N69)</f>
        <v>0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0</v>
      </c>
      <c r="AA69" s="50"/>
      <c r="AB69" s="50"/>
      <c r="AC69" s="61">
        <f t="shared" ref="AC69:AC121" si="18">+AA69+AB69-Z69</f>
        <v>0</v>
      </c>
      <c r="AD69" s="50"/>
      <c r="AE69" s="67">
        <f t="shared" ref="AE69:AE121" si="19">AC69+AD69</f>
        <v>0</v>
      </c>
    </row>
    <row r="70" spans="2:3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7">
        <f t="shared" si="19"/>
        <v>0</v>
      </c>
    </row>
    <row r="71" spans="2:3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7">
        <f t="shared" si="19"/>
        <v>0</v>
      </c>
    </row>
    <row r="72" spans="2:3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7">
        <f t="shared" si="19"/>
        <v>0</v>
      </c>
    </row>
    <row r="73" spans="2:3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7">
        <f t="shared" si="19"/>
        <v>0</v>
      </c>
    </row>
    <row r="74" spans="2:3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7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52"/>
      <c r="N75" s="52"/>
      <c r="O75" s="65">
        <f t="shared" si="13"/>
        <v>0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/>
      <c r="AE75" s="67">
        <f t="shared" si="19"/>
        <v>0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/>
      <c r="AC76" s="61">
        <f t="shared" si="18"/>
        <v>0</v>
      </c>
      <c r="AD76" s="50"/>
      <c r="AE76" s="67">
        <f t="shared" si="19"/>
        <v>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7">
        <f t="shared" si="19"/>
        <v>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7">
        <f t="shared" si="19"/>
        <v>0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7">
        <f t="shared" si="19"/>
        <v>0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7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7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0</v>
      </c>
      <c r="AA82" s="50"/>
      <c r="AB82" s="50"/>
      <c r="AC82" s="61">
        <f t="shared" si="18"/>
        <v>0</v>
      </c>
      <c r="AD82" s="50"/>
      <c r="AE82" s="67">
        <f t="shared" si="19"/>
        <v>0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/>
      <c r="H83" s="52"/>
      <c r="I83" s="65">
        <f t="shared" si="11"/>
        <v>0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0</v>
      </c>
      <c r="AA83" s="50"/>
      <c r="AB83" s="50"/>
      <c r="AC83" s="61">
        <f t="shared" si="18"/>
        <v>0</v>
      </c>
      <c r="AD83" s="50"/>
      <c r="AE83" s="67">
        <f t="shared" si="19"/>
        <v>0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7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7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7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7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7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7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7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7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7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7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7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7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7">
        <f t="shared" si="19"/>
        <v>0</v>
      </c>
    </row>
    <row r="97" spans="2:3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7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7">
        <f t="shared" si="19"/>
        <v>0</v>
      </c>
    </row>
    <row r="99" spans="2:3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7">
        <f t="shared" si="19"/>
        <v>0</v>
      </c>
    </row>
    <row r="100" spans="2:31">
      <c r="B100" s="50">
        <v>1004062</v>
      </c>
      <c r="C100" s="53" t="s">
        <v>238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7">
        <f t="shared" si="19"/>
        <v>0</v>
      </c>
    </row>
    <row r="101" spans="2:31">
      <c r="B101" s="50">
        <v>1004051</v>
      </c>
      <c r="C101" s="53" t="s">
        <v>239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7">
        <f t="shared" si="19"/>
        <v>0</v>
      </c>
    </row>
    <row r="102" spans="2:31">
      <c r="B102" s="50">
        <v>1111005</v>
      </c>
      <c r="C102" s="53" t="s">
        <v>240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7">
        <f t="shared" si="19"/>
        <v>0</v>
      </c>
    </row>
    <row r="103" spans="2:31">
      <c r="B103" s="50">
        <v>1111006</v>
      </c>
      <c r="C103" s="53" t="s">
        <v>241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7">
        <f t="shared" si="19"/>
        <v>0</v>
      </c>
    </row>
    <row r="104" spans="2:31">
      <c r="B104" s="50">
        <v>1004048</v>
      </c>
      <c r="C104" s="53" t="s">
        <v>242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7">
        <f t="shared" si="19"/>
        <v>0</v>
      </c>
    </row>
    <row r="105" spans="2:31">
      <c r="B105" s="50">
        <v>1113157</v>
      </c>
      <c r="C105" s="53" t="s">
        <v>243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7">
        <f t="shared" si="19"/>
        <v>0</v>
      </c>
    </row>
    <row r="106" spans="2:31">
      <c r="B106" s="50">
        <v>1004080</v>
      </c>
      <c r="C106" s="53" t="s">
        <v>244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7">
        <f t="shared" si="19"/>
        <v>0</v>
      </c>
    </row>
    <row r="107" spans="2:31">
      <c r="B107" s="50">
        <v>1004081</v>
      </c>
      <c r="C107" s="53" t="s">
        <v>245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7">
        <f t="shared" si="19"/>
        <v>0</v>
      </c>
    </row>
    <row r="108" spans="2:31">
      <c r="B108" s="50">
        <v>3001200</v>
      </c>
      <c r="C108" s="53" t="s">
        <v>246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7">
        <f t="shared" si="19"/>
        <v>0</v>
      </c>
    </row>
    <row r="109" spans="2:31">
      <c r="B109" s="50">
        <v>1004047</v>
      </c>
      <c r="C109" s="53" t="s">
        <v>247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7">
        <f t="shared" si="19"/>
        <v>0</v>
      </c>
    </row>
    <row r="110" spans="2:31">
      <c r="B110" s="50">
        <v>1004070</v>
      </c>
      <c r="C110" s="53" t="s">
        <v>248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7">
        <f t="shared" si="19"/>
        <v>0</v>
      </c>
    </row>
    <row r="111" spans="2:31">
      <c r="B111" s="50">
        <v>1004076</v>
      </c>
      <c r="C111" s="53" t="s">
        <v>249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7">
        <f t="shared" si="19"/>
        <v>0</v>
      </c>
    </row>
    <row r="112" spans="2:31">
      <c r="B112" s="50">
        <v>1004050</v>
      </c>
      <c r="C112" s="53" t="s">
        <v>250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7">
        <f t="shared" si="19"/>
        <v>0</v>
      </c>
    </row>
    <row r="113" spans="2:31">
      <c r="B113" s="50">
        <v>1004048</v>
      </c>
      <c r="C113" s="53" t="s">
        <v>251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7">
        <f t="shared" si="19"/>
        <v>0</v>
      </c>
    </row>
    <row r="114" spans="2:31">
      <c r="B114" s="50">
        <v>1007020</v>
      </c>
      <c r="C114" s="53" t="s">
        <v>253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7">
        <f t="shared" si="19"/>
        <v>0</v>
      </c>
    </row>
    <row r="115" spans="2:31">
      <c r="B115" s="50">
        <v>1004063</v>
      </c>
      <c r="C115" s="53" t="s">
        <v>254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7">
        <f t="shared" si="19"/>
        <v>0</v>
      </c>
    </row>
    <row r="116" spans="2:31">
      <c r="B116" s="50">
        <v>1004065</v>
      </c>
      <c r="C116" s="53" t="s">
        <v>255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7">
        <f t="shared" si="19"/>
        <v>0</v>
      </c>
    </row>
    <row r="117" spans="2:31">
      <c r="B117" s="50">
        <v>1006982</v>
      </c>
      <c r="C117" s="53" t="s">
        <v>256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7">
        <f t="shared" si="19"/>
        <v>0</v>
      </c>
    </row>
    <row r="118" spans="2:31">
      <c r="B118" s="50">
        <v>1006000</v>
      </c>
      <c r="C118" s="53" t="s">
        <v>257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7">
        <f t="shared" si="19"/>
        <v>0</v>
      </c>
    </row>
    <row r="119" spans="2:31">
      <c r="B119" s="50">
        <v>1005998</v>
      </c>
      <c r="C119" s="53" t="s">
        <v>258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7">
        <f t="shared" si="19"/>
        <v>0</v>
      </c>
    </row>
    <row r="120" spans="2:31">
      <c r="B120" s="50">
        <v>1005995</v>
      </c>
      <c r="C120" s="53" t="s">
        <v>259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7">
        <f t="shared" si="19"/>
        <v>0</v>
      </c>
    </row>
    <row r="121" spans="2:3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7">
        <f t="shared" si="19"/>
        <v>0</v>
      </c>
    </row>
    <row r="122" spans="2:3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7"/>
    </row>
    <row r="123" spans="2:3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7"/>
    </row>
    <row r="124" spans="2:3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7"/>
    </row>
    <row r="125" spans="2:3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7"/>
    </row>
    <row r="126" spans="2:3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7"/>
    </row>
    <row r="127" spans="2:3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7"/>
    </row>
    <row r="128" spans="2:3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7"/>
    </row>
    <row r="129" spans="2:3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7"/>
    </row>
    <row r="130" spans="2:3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7"/>
    </row>
    <row r="131" spans="2:3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7"/>
    </row>
    <row r="132" spans="2:3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7"/>
    </row>
    <row r="133" spans="2:3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7"/>
    </row>
    <row r="134" spans="2:3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7"/>
    </row>
    <row r="135" spans="2:3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7"/>
    </row>
    <row r="136" spans="2:3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7"/>
    </row>
    <row r="137" spans="2:3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7"/>
    </row>
    <row r="138" spans="2:3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7"/>
    </row>
    <row r="139" spans="2:3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7"/>
    </row>
    <row r="140" spans="2:3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7"/>
    </row>
    <row r="141" spans="2:3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7"/>
    </row>
    <row r="142" spans="2:3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7"/>
    </row>
    <row r="143" spans="2:3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7"/>
    </row>
    <row r="144" spans="2:3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7"/>
    </row>
    <row r="145" spans="2:3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7"/>
    </row>
    <row r="146" spans="2:3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7"/>
    </row>
    <row r="147" spans="2:3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7"/>
    </row>
    <row r="148" spans="2:3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7"/>
    </row>
    <row r="149" spans="2:3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7"/>
    </row>
    <row r="150" spans="2:3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7"/>
    </row>
    <row r="151" spans="2:3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7">
        <f t="shared" ref="AE151:AE153" si="29">AC151+AD151</f>
        <v>0</v>
      </c>
    </row>
    <row r="152" spans="2:3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7">
        <f t="shared" si="29"/>
        <v>0</v>
      </c>
    </row>
    <row r="153" spans="2:3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7">
        <f t="shared" si="29"/>
        <v>0</v>
      </c>
    </row>
    <row r="154" spans="2:31" s="59" customFormat="1" ht="51.75">
      <c r="B154" s="97" t="s">
        <v>201</v>
      </c>
      <c r="C154" s="98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0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0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0</v>
      </c>
      <c r="H154" s="62">
        <f t="shared" si="31"/>
        <v>0</v>
      </c>
      <c r="I154" s="62">
        <f t="shared" si="31"/>
        <v>0</v>
      </c>
      <c r="J154" s="62">
        <f t="shared" si="31"/>
        <v>0</v>
      </c>
      <c r="K154" s="62">
        <f t="shared" si="31"/>
        <v>0</v>
      </c>
      <c r="L154" s="62">
        <f t="shared" si="31"/>
        <v>0</v>
      </c>
      <c r="M154" s="62">
        <f t="shared" si="31"/>
        <v>0</v>
      </c>
      <c r="N154" s="62">
        <f t="shared" si="31"/>
        <v>0</v>
      </c>
      <c r="O154" s="62">
        <f t="shared" si="31"/>
        <v>0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0</v>
      </c>
      <c r="Z154" s="62">
        <f t="shared" si="31"/>
        <v>0</v>
      </c>
      <c r="AA154" s="62">
        <f t="shared" si="31"/>
        <v>0</v>
      </c>
      <c r="AB154" s="62">
        <f t="shared" si="31"/>
        <v>0</v>
      </c>
      <c r="AC154" s="62">
        <f t="shared" si="31"/>
        <v>0</v>
      </c>
      <c r="AD154" s="62">
        <f t="shared" si="31"/>
        <v>0</v>
      </c>
      <c r="AE154" s="62">
        <f t="shared" si="31"/>
        <v>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Y2:Y3"/>
    <mergeCell ref="Z2:Z3"/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200EA-7BB4-4CA6-AE3B-6D282E93AF71}">
  <sheetPr codeName="Sheet30">
    <pageSetUpPr fitToPage="1"/>
  </sheetPr>
  <dimension ref="B1:AE159"/>
  <sheetViews>
    <sheetView topLeftCell="B96" zoomScale="50" zoomScaleNormal="50" workbookViewId="0">
      <selection activeCell="B111" sqref="A111:XFD159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5" width="14.28515625" style="56" customWidth="1"/>
    <col min="26" max="26" width="19.5703125" style="57" bestFit="1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3" t="s">
        <v>233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</row>
    <row r="2" spans="2:31" ht="49.9" customHeight="1">
      <c r="B2" s="99" t="s">
        <v>3</v>
      </c>
      <c r="C2" s="99" t="s">
        <v>4</v>
      </c>
      <c r="D2" s="85" t="s">
        <v>5</v>
      </c>
      <c r="E2" s="86"/>
      <c r="F2" s="87"/>
      <c r="G2" s="85" t="s">
        <v>6</v>
      </c>
      <c r="H2" s="86"/>
      <c r="I2" s="87"/>
      <c r="J2" s="85" t="s">
        <v>7</v>
      </c>
      <c r="K2" s="86"/>
      <c r="L2" s="87"/>
      <c r="M2" s="85" t="s">
        <v>8</v>
      </c>
      <c r="N2" s="86"/>
      <c r="O2" s="87"/>
      <c r="P2" s="85" t="s">
        <v>132</v>
      </c>
      <c r="Q2" s="86"/>
      <c r="R2" s="87"/>
      <c r="S2" s="85" t="s">
        <v>9</v>
      </c>
      <c r="T2" s="86"/>
      <c r="U2" s="87"/>
      <c r="V2" s="88" t="s">
        <v>131</v>
      </c>
      <c r="W2" s="89"/>
      <c r="X2" s="90"/>
      <c r="Y2" s="101" t="s">
        <v>134</v>
      </c>
      <c r="Z2" s="103" t="s">
        <v>204</v>
      </c>
      <c r="AA2" s="91" t="s">
        <v>145</v>
      </c>
      <c r="AB2" s="91" t="s">
        <v>146</v>
      </c>
      <c r="AC2" s="95" t="s">
        <v>147</v>
      </c>
      <c r="AD2" s="93" t="s">
        <v>148</v>
      </c>
      <c r="AE2" s="82" t="s">
        <v>212</v>
      </c>
    </row>
    <row r="3" spans="2:31" ht="49.9" customHeight="1">
      <c r="B3" s="100"/>
      <c r="C3" s="100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102"/>
      <c r="Z3" s="104"/>
      <c r="AA3" s="92"/>
      <c r="AB3" s="92"/>
      <c r="AC3" s="96"/>
      <c r="AD3" s="94"/>
      <c r="AE3" s="82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52"/>
      <c r="N4" s="52"/>
      <c r="O4" s="65">
        <f>SUM(M4:N4)</f>
        <v>0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0</v>
      </c>
      <c r="AA4" s="50"/>
      <c r="AB4" s="50"/>
      <c r="AC4" s="61">
        <f>+AA4+AB4-Z4</f>
        <v>0</v>
      </c>
      <c r="AD4" s="50"/>
      <c r="AE4" s="67">
        <f>AC4+AD4</f>
        <v>0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/>
      <c r="H5" s="52"/>
      <c r="I5" s="65">
        <f t="shared" ref="I5:I68" si="1">SUM(G5:H5)</f>
        <v>0</v>
      </c>
      <c r="J5" s="52"/>
      <c r="K5" s="52"/>
      <c r="L5" s="65">
        <f t="shared" ref="L5:L68" si="2">SUM(J5:K5)</f>
        <v>0</v>
      </c>
      <c r="M5" s="52"/>
      <c r="N5" s="52"/>
      <c r="O5" s="65">
        <f t="shared" ref="O5:O68" si="3">SUM(M5:N5)</f>
        <v>0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0</v>
      </c>
      <c r="AA5" s="58"/>
      <c r="AB5" s="58"/>
      <c r="AC5" s="61">
        <f t="shared" ref="AC5:AC68" si="8">+AA5+AB5-Z5</f>
        <v>0</v>
      </c>
      <c r="AD5" s="58"/>
      <c r="AE5" s="67">
        <f t="shared" ref="AE5:AE68" si="9">AC5+AD5</f>
        <v>0</v>
      </c>
    </row>
    <row r="6" spans="2:3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7">
        <f t="shared" si="9"/>
        <v>0</v>
      </c>
    </row>
    <row r="7" spans="2:3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7">
        <f t="shared" si="9"/>
        <v>0</v>
      </c>
    </row>
    <row r="8" spans="2:3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7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7">
        <f t="shared" si="9"/>
        <v>0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7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7">
        <f t="shared" si="9"/>
        <v>0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7">
        <f t="shared" si="9"/>
        <v>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7">
        <f t="shared" si="9"/>
        <v>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7">
        <f t="shared" si="9"/>
        <v>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7">
        <f t="shared" si="9"/>
        <v>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7">
        <f t="shared" si="9"/>
        <v>0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7">
        <f t="shared" si="9"/>
        <v>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7">
        <f t="shared" si="9"/>
        <v>0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7">
        <f t="shared" si="9"/>
        <v>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7">
        <f t="shared" si="9"/>
        <v>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7">
        <f t="shared" si="9"/>
        <v>0</v>
      </c>
    </row>
    <row r="22" spans="2:3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7">
        <f t="shared" si="9"/>
        <v>0</v>
      </c>
    </row>
    <row r="23" spans="2:3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7">
        <f t="shared" si="9"/>
        <v>0</v>
      </c>
    </row>
    <row r="24" spans="2:3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7">
        <f t="shared" si="9"/>
        <v>0</v>
      </c>
    </row>
    <row r="25" spans="2:31">
      <c r="B25" s="50">
        <v>1111008</v>
      </c>
      <c r="C25" s="51" t="s">
        <v>156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52"/>
      <c r="N25" s="52"/>
      <c r="O25" s="65">
        <f t="shared" si="3"/>
        <v>0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0</v>
      </c>
      <c r="AA25" s="50"/>
      <c r="AB25" s="50"/>
      <c r="AC25" s="61">
        <f t="shared" si="8"/>
        <v>0</v>
      </c>
      <c r="AD25" s="50"/>
      <c r="AE25" s="67">
        <f t="shared" si="9"/>
        <v>0</v>
      </c>
    </row>
    <row r="26" spans="2:31">
      <c r="B26" s="50">
        <v>1111009</v>
      </c>
      <c r="C26" s="51" t="s">
        <v>157</v>
      </c>
      <c r="D26" s="52"/>
      <c r="E26" s="52"/>
      <c r="F26" s="65">
        <f t="shared" si="0"/>
        <v>0</v>
      </c>
      <c r="G26" s="52"/>
      <c r="H26" s="52"/>
      <c r="I26" s="65">
        <f t="shared" si="1"/>
        <v>0</v>
      </c>
      <c r="J26" s="52"/>
      <c r="K26" s="52"/>
      <c r="L26" s="65">
        <f t="shared" si="2"/>
        <v>0</v>
      </c>
      <c r="M26" s="52"/>
      <c r="N26" s="52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0</v>
      </c>
      <c r="AA26" s="50"/>
      <c r="AB26" s="50"/>
      <c r="AC26" s="61">
        <f t="shared" si="8"/>
        <v>0</v>
      </c>
      <c r="AD26" s="50"/>
      <c r="AE26" s="67">
        <f t="shared" si="9"/>
        <v>0</v>
      </c>
    </row>
    <row r="27" spans="2:3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7">
        <f t="shared" si="9"/>
        <v>0</v>
      </c>
    </row>
    <row r="28" spans="2:3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7">
        <f t="shared" si="9"/>
        <v>0</v>
      </c>
    </row>
    <row r="29" spans="2:3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7">
        <f t="shared" si="9"/>
        <v>0</v>
      </c>
    </row>
    <row r="30" spans="2:3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7">
        <f t="shared" si="9"/>
        <v>0</v>
      </c>
    </row>
    <row r="31" spans="2:3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7">
        <f t="shared" si="9"/>
        <v>0</v>
      </c>
    </row>
    <row r="32" spans="2:3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7">
        <f t="shared" si="9"/>
        <v>0</v>
      </c>
    </row>
    <row r="33" spans="2:3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7">
        <f t="shared" si="9"/>
        <v>0</v>
      </c>
    </row>
    <row r="34" spans="2:3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7">
        <f t="shared" si="9"/>
        <v>0</v>
      </c>
    </row>
    <row r="35" spans="2:3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7">
        <f t="shared" si="9"/>
        <v>0</v>
      </c>
    </row>
    <row r="36" spans="2:3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7">
        <f t="shared" si="9"/>
        <v>0</v>
      </c>
    </row>
    <row r="37" spans="2:3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7">
        <f t="shared" si="9"/>
        <v>0</v>
      </c>
    </row>
    <row r="38" spans="2:3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7">
        <f t="shared" si="9"/>
        <v>0</v>
      </c>
    </row>
    <row r="39" spans="2:3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7">
        <f t="shared" si="9"/>
        <v>0</v>
      </c>
    </row>
    <row r="40" spans="2:3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7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/>
      <c r="H41" s="52"/>
      <c r="I41" s="65">
        <f t="shared" si="1"/>
        <v>0</v>
      </c>
      <c r="J41" s="52"/>
      <c r="K41" s="52"/>
      <c r="L41" s="65">
        <f t="shared" si="2"/>
        <v>0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0</v>
      </c>
      <c r="AA41" s="50"/>
      <c r="AB41" s="50"/>
      <c r="AC41" s="61">
        <f t="shared" si="8"/>
        <v>0</v>
      </c>
      <c r="AD41" s="50"/>
      <c r="AE41" s="67">
        <f t="shared" si="9"/>
        <v>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7">
        <f t="shared" si="9"/>
        <v>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7">
        <f t="shared" si="9"/>
        <v>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7">
        <f t="shared" si="9"/>
        <v>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7">
        <f t="shared" si="9"/>
        <v>0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7">
        <f t="shared" si="9"/>
        <v>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7">
        <f t="shared" si="9"/>
        <v>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7">
        <f t="shared" si="9"/>
        <v>0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7">
        <f t="shared" si="9"/>
        <v>0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7">
        <f t="shared" si="9"/>
        <v>0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7">
        <f t="shared" si="9"/>
        <v>0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7">
        <f t="shared" si="9"/>
        <v>0</v>
      </c>
    </row>
    <row r="53" spans="2:31">
      <c r="B53" s="50">
        <v>1112003</v>
      </c>
      <c r="C53" s="51" t="s">
        <v>174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52"/>
      <c r="N53" s="52"/>
      <c r="O53" s="65">
        <f t="shared" si="3"/>
        <v>0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0</v>
      </c>
      <c r="AA53" s="50"/>
      <c r="AB53" s="50"/>
      <c r="AC53" s="61">
        <f t="shared" si="8"/>
        <v>0</v>
      </c>
      <c r="AD53" s="50"/>
      <c r="AE53" s="67">
        <f t="shared" si="9"/>
        <v>0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7">
        <f t="shared" si="9"/>
        <v>0</v>
      </c>
    </row>
    <row r="55" spans="2:31">
      <c r="B55" s="50">
        <v>1112005</v>
      </c>
      <c r="C55" s="51" t="s">
        <v>176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52"/>
      <c r="N55" s="52"/>
      <c r="O55" s="65">
        <f t="shared" si="3"/>
        <v>0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0</v>
      </c>
      <c r="AA55" s="50"/>
      <c r="AB55" s="50"/>
      <c r="AC55" s="61">
        <f t="shared" si="8"/>
        <v>0</v>
      </c>
      <c r="AD55" s="50"/>
      <c r="AE55" s="67">
        <f t="shared" si="9"/>
        <v>0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7">
        <f t="shared" si="9"/>
        <v>0</v>
      </c>
    </row>
    <row r="57" spans="2:31">
      <c r="B57" s="50">
        <v>1112009</v>
      </c>
      <c r="C57" s="51" t="s">
        <v>178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52"/>
      <c r="N57" s="52"/>
      <c r="O57" s="65">
        <f t="shared" si="3"/>
        <v>0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0</v>
      </c>
      <c r="AA57" s="50"/>
      <c r="AB57" s="50"/>
      <c r="AC57" s="61">
        <f t="shared" si="8"/>
        <v>0</v>
      </c>
      <c r="AD57" s="50"/>
      <c r="AE57" s="67">
        <f t="shared" si="9"/>
        <v>0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7">
        <f t="shared" si="9"/>
        <v>0</v>
      </c>
    </row>
    <row r="59" spans="2:31">
      <c r="B59" s="50">
        <v>1112011</v>
      </c>
      <c r="C59" s="51" t="s">
        <v>180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/>
      <c r="K59" s="52"/>
      <c r="L59" s="65">
        <f t="shared" si="2"/>
        <v>0</v>
      </c>
      <c r="M59" s="52"/>
      <c r="N59" s="52"/>
      <c r="O59" s="65">
        <f t="shared" si="3"/>
        <v>0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0</v>
      </c>
      <c r="AA59" s="50"/>
      <c r="AB59" s="50"/>
      <c r="AC59" s="61">
        <f t="shared" si="8"/>
        <v>0</v>
      </c>
      <c r="AD59" s="50"/>
      <c r="AE59" s="67">
        <f t="shared" si="9"/>
        <v>0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7">
        <f t="shared" si="9"/>
        <v>0</v>
      </c>
    </row>
    <row r="61" spans="2:31">
      <c r="B61" s="50">
        <v>1112013</v>
      </c>
      <c r="C61" s="51" t="s">
        <v>182</v>
      </c>
      <c r="D61" s="52"/>
      <c r="E61" s="52"/>
      <c r="F61" s="65">
        <f t="shared" si="0"/>
        <v>0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52"/>
      <c r="N61" s="52"/>
      <c r="O61" s="65">
        <f t="shared" si="3"/>
        <v>0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0</v>
      </c>
      <c r="AA61" s="50"/>
      <c r="AB61" s="50"/>
      <c r="AC61" s="61">
        <f t="shared" si="8"/>
        <v>0</v>
      </c>
      <c r="AD61" s="50"/>
      <c r="AE61" s="67">
        <f t="shared" si="9"/>
        <v>0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7">
        <f t="shared" si="9"/>
        <v>0</v>
      </c>
    </row>
    <row r="63" spans="2:31">
      <c r="B63" s="50">
        <v>1112015</v>
      </c>
      <c r="C63" s="51" t="s">
        <v>184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52"/>
      <c r="N63" s="52"/>
      <c r="O63" s="65">
        <f t="shared" si="3"/>
        <v>0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0</v>
      </c>
      <c r="AA63" s="50"/>
      <c r="AB63" s="50"/>
      <c r="AC63" s="61">
        <f t="shared" si="8"/>
        <v>0</v>
      </c>
      <c r="AD63" s="50"/>
      <c r="AE63" s="67">
        <f t="shared" si="9"/>
        <v>0</v>
      </c>
    </row>
    <row r="64" spans="2:3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7">
        <f t="shared" si="9"/>
        <v>0</v>
      </c>
    </row>
    <row r="65" spans="2:3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7">
        <f t="shared" si="9"/>
        <v>0</v>
      </c>
    </row>
    <row r="66" spans="2:3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7">
        <f t="shared" si="9"/>
        <v>0</v>
      </c>
    </row>
    <row r="67" spans="2:31">
      <c r="B67" s="50">
        <v>1114501</v>
      </c>
      <c r="C67" s="53" t="s">
        <v>187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52"/>
      <c r="N67" s="52"/>
      <c r="O67" s="65">
        <f t="shared" si="3"/>
        <v>0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0</v>
      </c>
      <c r="AA67" s="50"/>
      <c r="AB67" s="50"/>
      <c r="AC67" s="61">
        <f t="shared" si="8"/>
        <v>0</v>
      </c>
      <c r="AD67" s="50"/>
      <c r="AE67" s="67">
        <f t="shared" si="9"/>
        <v>0</v>
      </c>
    </row>
    <row r="68" spans="2:31">
      <c r="B68" s="50">
        <v>1114502</v>
      </c>
      <c r="C68" s="53" t="s">
        <v>188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52"/>
      <c r="N68" s="52"/>
      <c r="O68" s="65">
        <f t="shared" si="3"/>
        <v>0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7">
        <f t="shared" si="9"/>
        <v>0</v>
      </c>
    </row>
    <row r="69" spans="2:31">
      <c r="B69" s="50">
        <v>1114503</v>
      </c>
      <c r="C69" s="53" t="s">
        <v>189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21" si="11">SUM(G69:H69)</f>
        <v>0</v>
      </c>
      <c r="J69" s="52"/>
      <c r="K69" s="52"/>
      <c r="L69" s="65">
        <f t="shared" ref="L69:L121" si="12">SUM(J69:K69)</f>
        <v>0</v>
      </c>
      <c r="M69" s="52"/>
      <c r="N69" s="52"/>
      <c r="O69" s="65">
        <f t="shared" ref="O69:O121" si="13">SUM(M69:N69)</f>
        <v>0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0</v>
      </c>
      <c r="AA69" s="50"/>
      <c r="AB69" s="50"/>
      <c r="AC69" s="61">
        <f t="shared" ref="AC69:AC121" si="18">+AA69+AB69-Z69</f>
        <v>0</v>
      </c>
      <c r="AD69" s="50"/>
      <c r="AE69" s="67">
        <f t="shared" ref="AE69:AE121" si="19">AC69+AD69</f>
        <v>0</v>
      </c>
    </row>
    <row r="70" spans="2:3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7">
        <f t="shared" si="19"/>
        <v>0</v>
      </c>
    </row>
    <row r="71" spans="2:3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7">
        <f t="shared" si="19"/>
        <v>0</v>
      </c>
    </row>
    <row r="72" spans="2:3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7">
        <f t="shared" si="19"/>
        <v>0</v>
      </c>
    </row>
    <row r="73" spans="2:3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7">
        <f t="shared" si="19"/>
        <v>0</v>
      </c>
    </row>
    <row r="74" spans="2:3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7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52"/>
      <c r="N75" s="52"/>
      <c r="O75" s="65">
        <f t="shared" si="13"/>
        <v>0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/>
      <c r="AE75" s="67">
        <f t="shared" si="19"/>
        <v>0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/>
      <c r="AC76" s="61">
        <f t="shared" si="18"/>
        <v>0</v>
      </c>
      <c r="AD76" s="50"/>
      <c r="AE76" s="67">
        <f t="shared" si="19"/>
        <v>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7">
        <f t="shared" si="19"/>
        <v>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7">
        <f t="shared" si="19"/>
        <v>0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7">
        <f t="shared" si="19"/>
        <v>0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7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7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0</v>
      </c>
      <c r="AA82" s="50"/>
      <c r="AB82" s="50"/>
      <c r="AC82" s="61">
        <f t="shared" si="18"/>
        <v>0</v>
      </c>
      <c r="AD82" s="50"/>
      <c r="AE82" s="67">
        <f t="shared" si="19"/>
        <v>0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/>
      <c r="H83" s="52"/>
      <c r="I83" s="65">
        <f t="shared" si="11"/>
        <v>0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0</v>
      </c>
      <c r="AA83" s="50"/>
      <c r="AB83" s="50"/>
      <c r="AC83" s="61">
        <f t="shared" si="18"/>
        <v>0</v>
      </c>
      <c r="AD83" s="50"/>
      <c r="AE83" s="67">
        <f t="shared" si="19"/>
        <v>0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7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7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7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7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7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7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7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7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7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7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7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7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7">
        <f t="shared" si="19"/>
        <v>0</v>
      </c>
    </row>
    <row r="97" spans="2:3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7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7">
        <f t="shared" si="19"/>
        <v>0</v>
      </c>
    </row>
    <row r="99" spans="2:3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7">
        <f t="shared" si="19"/>
        <v>0</v>
      </c>
    </row>
    <row r="100" spans="2:31">
      <c r="B100" s="50">
        <v>1004062</v>
      </c>
      <c r="C100" s="53" t="s">
        <v>238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7">
        <f t="shared" si="19"/>
        <v>0</v>
      </c>
    </row>
    <row r="101" spans="2:31">
      <c r="B101" s="50">
        <v>1004051</v>
      </c>
      <c r="C101" s="53" t="s">
        <v>239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7">
        <f t="shared" si="19"/>
        <v>0</v>
      </c>
    </row>
    <row r="102" spans="2:31">
      <c r="B102" s="50">
        <v>1111005</v>
      </c>
      <c r="C102" s="53" t="s">
        <v>240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7">
        <f t="shared" si="19"/>
        <v>0</v>
      </c>
    </row>
    <row r="103" spans="2:31">
      <c r="B103" s="50">
        <v>1111006</v>
      </c>
      <c r="C103" s="53" t="s">
        <v>241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7">
        <f t="shared" si="19"/>
        <v>0</v>
      </c>
    </row>
    <row r="104" spans="2:31">
      <c r="B104" s="50">
        <v>1004048</v>
      </c>
      <c r="C104" s="53" t="s">
        <v>242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7">
        <f t="shared" si="19"/>
        <v>0</v>
      </c>
    </row>
    <row r="105" spans="2:31">
      <c r="B105" s="50">
        <v>1113157</v>
      </c>
      <c r="C105" s="53" t="s">
        <v>243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7">
        <f t="shared" si="19"/>
        <v>0</v>
      </c>
    </row>
    <row r="106" spans="2:31">
      <c r="B106" s="50">
        <v>1004080</v>
      </c>
      <c r="C106" s="53" t="s">
        <v>244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7">
        <f t="shared" si="19"/>
        <v>0</v>
      </c>
    </row>
    <row r="107" spans="2:31">
      <c r="B107" s="50">
        <v>1004081</v>
      </c>
      <c r="C107" s="53" t="s">
        <v>245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7">
        <f t="shared" si="19"/>
        <v>0</v>
      </c>
    </row>
    <row r="108" spans="2:31">
      <c r="B108" s="50">
        <v>3001200</v>
      </c>
      <c r="C108" s="53" t="s">
        <v>246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7">
        <f t="shared" si="19"/>
        <v>0</v>
      </c>
    </row>
    <row r="109" spans="2:31">
      <c r="B109" s="50">
        <v>1004047</v>
      </c>
      <c r="C109" s="53" t="s">
        <v>247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7">
        <f t="shared" si="19"/>
        <v>0</v>
      </c>
    </row>
    <row r="110" spans="2:31">
      <c r="B110" s="50">
        <v>1004070</v>
      </c>
      <c r="C110" s="53" t="s">
        <v>248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7">
        <f t="shared" si="19"/>
        <v>0</v>
      </c>
    </row>
    <row r="111" spans="2:31">
      <c r="B111" s="50">
        <v>1004076</v>
      </c>
      <c r="C111" s="53" t="s">
        <v>249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7">
        <f t="shared" si="19"/>
        <v>0</v>
      </c>
    </row>
    <row r="112" spans="2:31">
      <c r="B112" s="50">
        <v>1004050</v>
      </c>
      <c r="C112" s="53" t="s">
        <v>250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7">
        <f t="shared" si="19"/>
        <v>0</v>
      </c>
    </row>
    <row r="113" spans="2:31">
      <c r="B113" s="50">
        <v>1004048</v>
      </c>
      <c r="C113" s="53" t="s">
        <v>251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7">
        <f t="shared" si="19"/>
        <v>0</v>
      </c>
    </row>
    <row r="114" spans="2:31">
      <c r="B114" s="50">
        <v>1007020</v>
      </c>
      <c r="C114" s="53" t="s">
        <v>253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7">
        <f t="shared" si="19"/>
        <v>0</v>
      </c>
    </row>
    <row r="115" spans="2:31">
      <c r="B115" s="50">
        <v>1004063</v>
      </c>
      <c r="C115" s="53" t="s">
        <v>254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7">
        <f t="shared" si="19"/>
        <v>0</v>
      </c>
    </row>
    <row r="116" spans="2:31">
      <c r="B116" s="50">
        <v>1004065</v>
      </c>
      <c r="C116" s="53" t="s">
        <v>255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7">
        <f t="shared" si="19"/>
        <v>0</v>
      </c>
    </row>
    <row r="117" spans="2:31">
      <c r="B117" s="50">
        <v>1006982</v>
      </c>
      <c r="C117" s="53" t="s">
        <v>256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7">
        <f t="shared" si="19"/>
        <v>0</v>
      </c>
    </row>
    <row r="118" spans="2:31">
      <c r="B118" s="50">
        <v>1006000</v>
      </c>
      <c r="C118" s="53" t="s">
        <v>257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7">
        <f t="shared" si="19"/>
        <v>0</v>
      </c>
    </row>
    <row r="119" spans="2:31">
      <c r="B119" s="50">
        <v>1005998</v>
      </c>
      <c r="C119" s="53" t="s">
        <v>258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7">
        <f t="shared" si="19"/>
        <v>0</v>
      </c>
    </row>
    <row r="120" spans="2:31">
      <c r="B120" s="50">
        <v>1005995</v>
      </c>
      <c r="C120" s="53" t="s">
        <v>259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7">
        <f t="shared" si="19"/>
        <v>0</v>
      </c>
    </row>
    <row r="121" spans="2:3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7">
        <f t="shared" si="19"/>
        <v>0</v>
      </c>
    </row>
    <row r="122" spans="2:3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7"/>
    </row>
    <row r="123" spans="2:3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7"/>
    </row>
    <row r="124" spans="2:3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7"/>
    </row>
    <row r="125" spans="2:3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7"/>
    </row>
    <row r="126" spans="2:3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7"/>
    </row>
    <row r="127" spans="2:3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7"/>
    </row>
    <row r="128" spans="2:3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7"/>
    </row>
    <row r="129" spans="2:3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7"/>
    </row>
    <row r="130" spans="2:3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7"/>
    </row>
    <row r="131" spans="2:3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7"/>
    </row>
    <row r="132" spans="2:3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7"/>
    </row>
    <row r="133" spans="2:3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7"/>
    </row>
    <row r="134" spans="2:3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7"/>
    </row>
    <row r="135" spans="2:3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7"/>
    </row>
    <row r="136" spans="2:3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7"/>
    </row>
    <row r="137" spans="2:3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7"/>
    </row>
    <row r="138" spans="2:3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7"/>
    </row>
    <row r="139" spans="2:3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7"/>
    </row>
    <row r="140" spans="2:3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7"/>
    </row>
    <row r="141" spans="2:3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7"/>
    </row>
    <row r="142" spans="2:3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7"/>
    </row>
    <row r="143" spans="2:3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7"/>
    </row>
    <row r="144" spans="2:3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7"/>
    </row>
    <row r="145" spans="2:3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7"/>
    </row>
    <row r="146" spans="2:3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7"/>
    </row>
    <row r="147" spans="2:3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7"/>
    </row>
    <row r="148" spans="2:3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7"/>
    </row>
    <row r="149" spans="2:3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7"/>
    </row>
    <row r="150" spans="2:3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7"/>
    </row>
    <row r="151" spans="2:3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7">
        <f t="shared" ref="AE151:AE153" si="29">AC151+AD151</f>
        <v>0</v>
      </c>
    </row>
    <row r="152" spans="2:3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7">
        <f t="shared" si="29"/>
        <v>0</v>
      </c>
    </row>
    <row r="153" spans="2:3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7">
        <f t="shared" si="29"/>
        <v>0</v>
      </c>
    </row>
    <row r="154" spans="2:31" s="59" customFormat="1" ht="51.75">
      <c r="B154" s="97" t="s">
        <v>201</v>
      </c>
      <c r="C154" s="98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0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0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0</v>
      </c>
      <c r="H154" s="62">
        <f t="shared" si="31"/>
        <v>0</v>
      </c>
      <c r="I154" s="62">
        <f t="shared" si="31"/>
        <v>0</v>
      </c>
      <c r="J154" s="62">
        <f t="shared" si="31"/>
        <v>0</v>
      </c>
      <c r="K154" s="62">
        <f t="shared" si="31"/>
        <v>0</v>
      </c>
      <c r="L154" s="62">
        <f t="shared" si="31"/>
        <v>0</v>
      </c>
      <c r="M154" s="62">
        <f t="shared" si="31"/>
        <v>0</v>
      </c>
      <c r="N154" s="62">
        <f t="shared" si="31"/>
        <v>0</v>
      </c>
      <c r="O154" s="62">
        <f t="shared" si="31"/>
        <v>0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0</v>
      </c>
      <c r="Z154" s="62">
        <f t="shared" si="31"/>
        <v>0</v>
      </c>
      <c r="AA154" s="62">
        <f t="shared" si="31"/>
        <v>0</v>
      </c>
      <c r="AB154" s="62">
        <f t="shared" si="31"/>
        <v>0</v>
      </c>
      <c r="AC154" s="62">
        <f t="shared" si="31"/>
        <v>0</v>
      </c>
      <c r="AD154" s="62">
        <f t="shared" si="31"/>
        <v>0</v>
      </c>
      <c r="AE154" s="62">
        <f t="shared" si="31"/>
        <v>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Y2:Y3"/>
    <mergeCell ref="Z2:Z3"/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0E8EB-6A79-404E-88EF-45834DAFDF88}">
  <sheetPr codeName="Sheet31">
    <pageSetUpPr fitToPage="1"/>
  </sheetPr>
  <dimension ref="B1:AE159"/>
  <sheetViews>
    <sheetView topLeftCell="B96" zoomScale="50" zoomScaleNormal="50" workbookViewId="0">
      <selection activeCell="B111" sqref="A111:XFD159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5" width="14.28515625" style="56" customWidth="1"/>
    <col min="26" max="26" width="19.5703125" style="57" bestFit="1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3" t="s">
        <v>234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</row>
    <row r="2" spans="2:31" ht="49.9" customHeight="1">
      <c r="B2" s="99" t="s">
        <v>3</v>
      </c>
      <c r="C2" s="99" t="s">
        <v>4</v>
      </c>
      <c r="D2" s="85" t="s">
        <v>5</v>
      </c>
      <c r="E2" s="86"/>
      <c r="F2" s="87"/>
      <c r="G2" s="85" t="s">
        <v>6</v>
      </c>
      <c r="H2" s="86"/>
      <c r="I2" s="87"/>
      <c r="J2" s="85" t="s">
        <v>7</v>
      </c>
      <c r="K2" s="86"/>
      <c r="L2" s="87"/>
      <c r="M2" s="85" t="s">
        <v>8</v>
      </c>
      <c r="N2" s="86"/>
      <c r="O2" s="87"/>
      <c r="P2" s="85" t="s">
        <v>132</v>
      </c>
      <c r="Q2" s="86"/>
      <c r="R2" s="87"/>
      <c r="S2" s="85" t="s">
        <v>9</v>
      </c>
      <c r="T2" s="86"/>
      <c r="U2" s="87"/>
      <c r="V2" s="88" t="s">
        <v>131</v>
      </c>
      <c r="W2" s="89"/>
      <c r="X2" s="90"/>
      <c r="Y2" s="101" t="s">
        <v>134</v>
      </c>
      <c r="Z2" s="103" t="s">
        <v>204</v>
      </c>
      <c r="AA2" s="91" t="s">
        <v>145</v>
      </c>
      <c r="AB2" s="91" t="s">
        <v>146</v>
      </c>
      <c r="AC2" s="95" t="s">
        <v>147</v>
      </c>
      <c r="AD2" s="93" t="s">
        <v>148</v>
      </c>
      <c r="AE2" s="82" t="s">
        <v>212</v>
      </c>
    </row>
    <row r="3" spans="2:31" ht="49.9" customHeight="1">
      <c r="B3" s="100"/>
      <c r="C3" s="100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102"/>
      <c r="Z3" s="104"/>
      <c r="AA3" s="92"/>
      <c r="AB3" s="92"/>
      <c r="AC3" s="96"/>
      <c r="AD3" s="94"/>
      <c r="AE3" s="82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52"/>
      <c r="N4" s="52"/>
      <c r="O4" s="65">
        <f>SUM(M4:N4)</f>
        <v>0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0</v>
      </c>
      <c r="AA4" s="50"/>
      <c r="AB4" s="50"/>
      <c r="AC4" s="61">
        <f>+AA4+AB4-Z4</f>
        <v>0</v>
      </c>
      <c r="AD4" s="50"/>
      <c r="AE4" s="67">
        <f>AC4+AD4</f>
        <v>0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/>
      <c r="H5" s="52"/>
      <c r="I5" s="65">
        <f t="shared" ref="I5:I68" si="1">SUM(G5:H5)</f>
        <v>0</v>
      </c>
      <c r="J5" s="52"/>
      <c r="K5" s="52"/>
      <c r="L5" s="65">
        <f t="shared" ref="L5:L68" si="2">SUM(J5:K5)</f>
        <v>0</v>
      </c>
      <c r="M5" s="52"/>
      <c r="N5" s="52"/>
      <c r="O5" s="65">
        <f t="shared" ref="O5:O68" si="3">SUM(M5:N5)</f>
        <v>0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0</v>
      </c>
      <c r="AA5" s="58"/>
      <c r="AB5" s="58"/>
      <c r="AC5" s="61">
        <f t="shared" ref="AC5:AC68" si="8">+AA5+AB5-Z5</f>
        <v>0</v>
      </c>
      <c r="AD5" s="58"/>
      <c r="AE5" s="67">
        <f t="shared" ref="AE5:AE68" si="9">AC5+AD5</f>
        <v>0</v>
      </c>
    </row>
    <row r="6" spans="2:3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7">
        <f t="shared" si="9"/>
        <v>0</v>
      </c>
    </row>
    <row r="7" spans="2:3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7">
        <f t="shared" si="9"/>
        <v>0</v>
      </c>
    </row>
    <row r="8" spans="2:3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7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7">
        <f t="shared" si="9"/>
        <v>0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7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7">
        <f t="shared" si="9"/>
        <v>0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7">
        <f t="shared" si="9"/>
        <v>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7">
        <f t="shared" si="9"/>
        <v>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7">
        <f t="shared" si="9"/>
        <v>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7">
        <f t="shared" si="9"/>
        <v>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7">
        <f t="shared" si="9"/>
        <v>0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7">
        <f t="shared" si="9"/>
        <v>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7">
        <f t="shared" si="9"/>
        <v>0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7">
        <f t="shared" si="9"/>
        <v>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7">
        <f t="shared" si="9"/>
        <v>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7">
        <f t="shared" si="9"/>
        <v>0</v>
      </c>
    </row>
    <row r="22" spans="2:3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7">
        <f t="shared" si="9"/>
        <v>0</v>
      </c>
    </row>
    <row r="23" spans="2:3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7">
        <f t="shared" si="9"/>
        <v>0</v>
      </c>
    </row>
    <row r="24" spans="2:3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7">
        <f t="shared" si="9"/>
        <v>0</v>
      </c>
    </row>
    <row r="25" spans="2:31">
      <c r="B25" s="50">
        <v>1111008</v>
      </c>
      <c r="C25" s="51" t="s">
        <v>156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52"/>
      <c r="N25" s="52"/>
      <c r="O25" s="65">
        <f t="shared" si="3"/>
        <v>0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0</v>
      </c>
      <c r="AA25" s="50"/>
      <c r="AB25" s="50"/>
      <c r="AC25" s="61">
        <f t="shared" si="8"/>
        <v>0</v>
      </c>
      <c r="AD25" s="50"/>
      <c r="AE25" s="67">
        <f t="shared" si="9"/>
        <v>0</v>
      </c>
    </row>
    <row r="26" spans="2:31">
      <c r="B26" s="50">
        <v>1111009</v>
      </c>
      <c r="C26" s="51" t="s">
        <v>157</v>
      </c>
      <c r="D26" s="52"/>
      <c r="E26" s="52"/>
      <c r="F26" s="65">
        <f t="shared" si="0"/>
        <v>0</v>
      </c>
      <c r="G26" s="52"/>
      <c r="H26" s="52"/>
      <c r="I26" s="65">
        <f t="shared" si="1"/>
        <v>0</v>
      </c>
      <c r="J26" s="52"/>
      <c r="K26" s="52"/>
      <c r="L26" s="65">
        <f t="shared" si="2"/>
        <v>0</v>
      </c>
      <c r="M26" s="52"/>
      <c r="N26" s="52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0</v>
      </c>
      <c r="AA26" s="50"/>
      <c r="AB26" s="50"/>
      <c r="AC26" s="61">
        <f t="shared" si="8"/>
        <v>0</v>
      </c>
      <c r="AD26" s="50"/>
      <c r="AE26" s="67">
        <f t="shared" si="9"/>
        <v>0</v>
      </c>
    </row>
    <row r="27" spans="2:3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7">
        <f t="shared" si="9"/>
        <v>0</v>
      </c>
    </row>
    <row r="28" spans="2:3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7">
        <f t="shared" si="9"/>
        <v>0</v>
      </c>
    </row>
    <row r="29" spans="2:3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7">
        <f t="shared" si="9"/>
        <v>0</v>
      </c>
    </row>
    <row r="30" spans="2:3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7">
        <f t="shared" si="9"/>
        <v>0</v>
      </c>
    </row>
    <row r="31" spans="2:3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7">
        <f t="shared" si="9"/>
        <v>0</v>
      </c>
    </row>
    <row r="32" spans="2:3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7">
        <f t="shared" si="9"/>
        <v>0</v>
      </c>
    </row>
    <row r="33" spans="2:3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7">
        <f t="shared" si="9"/>
        <v>0</v>
      </c>
    </row>
    <row r="34" spans="2:3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7">
        <f t="shared" si="9"/>
        <v>0</v>
      </c>
    </row>
    <row r="35" spans="2:3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7">
        <f t="shared" si="9"/>
        <v>0</v>
      </c>
    </row>
    <row r="36" spans="2:3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7">
        <f t="shared" si="9"/>
        <v>0</v>
      </c>
    </row>
    <row r="37" spans="2:3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7">
        <f t="shared" si="9"/>
        <v>0</v>
      </c>
    </row>
    <row r="38" spans="2:3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7">
        <f t="shared" si="9"/>
        <v>0</v>
      </c>
    </row>
    <row r="39" spans="2:3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7">
        <f t="shared" si="9"/>
        <v>0</v>
      </c>
    </row>
    <row r="40" spans="2:3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7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/>
      <c r="H41" s="52"/>
      <c r="I41" s="65">
        <f t="shared" si="1"/>
        <v>0</v>
      </c>
      <c r="J41" s="52"/>
      <c r="K41" s="52"/>
      <c r="L41" s="65">
        <f t="shared" si="2"/>
        <v>0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0</v>
      </c>
      <c r="AA41" s="50"/>
      <c r="AB41" s="50"/>
      <c r="AC41" s="61">
        <f t="shared" si="8"/>
        <v>0</v>
      </c>
      <c r="AD41" s="50"/>
      <c r="AE41" s="67">
        <f t="shared" si="9"/>
        <v>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7">
        <f t="shared" si="9"/>
        <v>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7">
        <f t="shared" si="9"/>
        <v>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7">
        <f t="shared" si="9"/>
        <v>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7">
        <f t="shared" si="9"/>
        <v>0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7">
        <f t="shared" si="9"/>
        <v>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7">
        <f t="shared" si="9"/>
        <v>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7">
        <f t="shared" si="9"/>
        <v>0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7">
        <f t="shared" si="9"/>
        <v>0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7">
        <f t="shared" si="9"/>
        <v>0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7">
        <f t="shared" si="9"/>
        <v>0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7">
        <f t="shared" si="9"/>
        <v>0</v>
      </c>
    </row>
    <row r="53" spans="2:31">
      <c r="B53" s="50">
        <v>1112003</v>
      </c>
      <c r="C53" s="51" t="s">
        <v>174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52"/>
      <c r="N53" s="52"/>
      <c r="O53" s="65">
        <f t="shared" si="3"/>
        <v>0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0</v>
      </c>
      <c r="AA53" s="50"/>
      <c r="AB53" s="50"/>
      <c r="AC53" s="61">
        <f t="shared" si="8"/>
        <v>0</v>
      </c>
      <c r="AD53" s="50"/>
      <c r="AE53" s="67">
        <f t="shared" si="9"/>
        <v>0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7">
        <f t="shared" si="9"/>
        <v>0</v>
      </c>
    </row>
    <row r="55" spans="2:31">
      <c r="B55" s="50">
        <v>1112005</v>
      </c>
      <c r="C55" s="51" t="s">
        <v>176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52"/>
      <c r="N55" s="52"/>
      <c r="O55" s="65">
        <f t="shared" si="3"/>
        <v>0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0</v>
      </c>
      <c r="AA55" s="50"/>
      <c r="AB55" s="50"/>
      <c r="AC55" s="61">
        <f t="shared" si="8"/>
        <v>0</v>
      </c>
      <c r="AD55" s="50"/>
      <c r="AE55" s="67">
        <f t="shared" si="9"/>
        <v>0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7">
        <f t="shared" si="9"/>
        <v>0</v>
      </c>
    </row>
    <row r="57" spans="2:31">
      <c r="B57" s="50">
        <v>1112009</v>
      </c>
      <c r="C57" s="51" t="s">
        <v>178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52"/>
      <c r="N57" s="52"/>
      <c r="O57" s="65">
        <f t="shared" si="3"/>
        <v>0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0</v>
      </c>
      <c r="AA57" s="50"/>
      <c r="AB57" s="50"/>
      <c r="AC57" s="61">
        <f t="shared" si="8"/>
        <v>0</v>
      </c>
      <c r="AD57" s="50"/>
      <c r="AE57" s="67">
        <f t="shared" si="9"/>
        <v>0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7">
        <f t="shared" si="9"/>
        <v>0</v>
      </c>
    </row>
    <row r="59" spans="2:31">
      <c r="B59" s="50">
        <v>1112011</v>
      </c>
      <c r="C59" s="51" t="s">
        <v>180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/>
      <c r="K59" s="52"/>
      <c r="L59" s="65">
        <f t="shared" si="2"/>
        <v>0</v>
      </c>
      <c r="M59" s="52"/>
      <c r="N59" s="52"/>
      <c r="O59" s="65">
        <f t="shared" si="3"/>
        <v>0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0</v>
      </c>
      <c r="AA59" s="50"/>
      <c r="AB59" s="50"/>
      <c r="AC59" s="61">
        <f t="shared" si="8"/>
        <v>0</v>
      </c>
      <c r="AD59" s="50"/>
      <c r="AE59" s="67">
        <f t="shared" si="9"/>
        <v>0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7">
        <f t="shared" si="9"/>
        <v>0</v>
      </c>
    </row>
    <row r="61" spans="2:31">
      <c r="B61" s="50">
        <v>1112013</v>
      </c>
      <c r="C61" s="51" t="s">
        <v>182</v>
      </c>
      <c r="D61" s="52"/>
      <c r="E61" s="52"/>
      <c r="F61" s="65">
        <f t="shared" si="0"/>
        <v>0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52"/>
      <c r="N61" s="52"/>
      <c r="O61" s="65">
        <f t="shared" si="3"/>
        <v>0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0</v>
      </c>
      <c r="AA61" s="50"/>
      <c r="AB61" s="50"/>
      <c r="AC61" s="61">
        <f t="shared" si="8"/>
        <v>0</v>
      </c>
      <c r="AD61" s="50"/>
      <c r="AE61" s="67">
        <f t="shared" si="9"/>
        <v>0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7">
        <f t="shared" si="9"/>
        <v>0</v>
      </c>
    </row>
    <row r="63" spans="2:31">
      <c r="B63" s="50">
        <v>1112015</v>
      </c>
      <c r="C63" s="51" t="s">
        <v>184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52"/>
      <c r="N63" s="52"/>
      <c r="O63" s="65">
        <f t="shared" si="3"/>
        <v>0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0</v>
      </c>
      <c r="AA63" s="50"/>
      <c r="AB63" s="50"/>
      <c r="AC63" s="61">
        <f t="shared" si="8"/>
        <v>0</v>
      </c>
      <c r="AD63" s="50"/>
      <c r="AE63" s="67">
        <f t="shared" si="9"/>
        <v>0</v>
      </c>
    </row>
    <row r="64" spans="2:3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7">
        <f t="shared" si="9"/>
        <v>0</v>
      </c>
    </row>
    <row r="65" spans="2:3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7">
        <f t="shared" si="9"/>
        <v>0</v>
      </c>
    </row>
    <row r="66" spans="2:3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7">
        <f t="shared" si="9"/>
        <v>0</v>
      </c>
    </row>
    <row r="67" spans="2:31">
      <c r="B67" s="50">
        <v>1114501</v>
      </c>
      <c r="C67" s="53" t="s">
        <v>187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52"/>
      <c r="N67" s="52"/>
      <c r="O67" s="65">
        <f t="shared" si="3"/>
        <v>0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0</v>
      </c>
      <c r="AA67" s="50"/>
      <c r="AB67" s="50"/>
      <c r="AC67" s="61">
        <f t="shared" si="8"/>
        <v>0</v>
      </c>
      <c r="AD67" s="50"/>
      <c r="AE67" s="67">
        <f t="shared" si="9"/>
        <v>0</v>
      </c>
    </row>
    <row r="68" spans="2:31">
      <c r="B68" s="50">
        <v>1114502</v>
      </c>
      <c r="C68" s="53" t="s">
        <v>188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52"/>
      <c r="N68" s="52"/>
      <c r="O68" s="65">
        <f t="shared" si="3"/>
        <v>0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7">
        <f t="shared" si="9"/>
        <v>0</v>
      </c>
    </row>
    <row r="69" spans="2:31">
      <c r="B69" s="50">
        <v>1114503</v>
      </c>
      <c r="C69" s="53" t="s">
        <v>189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21" si="11">SUM(G69:H69)</f>
        <v>0</v>
      </c>
      <c r="J69" s="52"/>
      <c r="K69" s="52"/>
      <c r="L69" s="65">
        <f t="shared" ref="L69:L121" si="12">SUM(J69:K69)</f>
        <v>0</v>
      </c>
      <c r="M69" s="52"/>
      <c r="N69" s="52"/>
      <c r="O69" s="65">
        <f t="shared" ref="O69:O121" si="13">SUM(M69:N69)</f>
        <v>0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0</v>
      </c>
      <c r="AA69" s="50"/>
      <c r="AB69" s="50"/>
      <c r="AC69" s="61">
        <f t="shared" ref="AC69:AC121" si="18">+AA69+AB69-Z69</f>
        <v>0</v>
      </c>
      <c r="AD69" s="50"/>
      <c r="AE69" s="67">
        <f t="shared" ref="AE69:AE121" si="19">AC69+AD69</f>
        <v>0</v>
      </c>
    </row>
    <row r="70" spans="2:3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7">
        <f t="shared" si="19"/>
        <v>0</v>
      </c>
    </row>
    <row r="71" spans="2:3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7">
        <f t="shared" si="19"/>
        <v>0</v>
      </c>
    </row>
    <row r="72" spans="2:3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7">
        <f t="shared" si="19"/>
        <v>0</v>
      </c>
    </row>
    <row r="73" spans="2:3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7">
        <f t="shared" si="19"/>
        <v>0</v>
      </c>
    </row>
    <row r="74" spans="2:3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7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52"/>
      <c r="N75" s="52"/>
      <c r="O75" s="65">
        <f t="shared" si="13"/>
        <v>0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/>
      <c r="AE75" s="67">
        <f t="shared" si="19"/>
        <v>0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/>
      <c r="AC76" s="61">
        <f t="shared" si="18"/>
        <v>0</v>
      </c>
      <c r="AD76" s="50"/>
      <c r="AE76" s="67">
        <f t="shared" si="19"/>
        <v>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7">
        <f t="shared" si="19"/>
        <v>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7">
        <f t="shared" si="19"/>
        <v>0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7">
        <f t="shared" si="19"/>
        <v>0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7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7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0</v>
      </c>
      <c r="AA82" s="50"/>
      <c r="AB82" s="50"/>
      <c r="AC82" s="61">
        <f t="shared" si="18"/>
        <v>0</v>
      </c>
      <c r="AD82" s="50"/>
      <c r="AE82" s="67">
        <f t="shared" si="19"/>
        <v>0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/>
      <c r="H83" s="52"/>
      <c r="I83" s="65">
        <f t="shared" si="11"/>
        <v>0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0</v>
      </c>
      <c r="AA83" s="50"/>
      <c r="AB83" s="50"/>
      <c r="AC83" s="61">
        <f t="shared" si="18"/>
        <v>0</v>
      </c>
      <c r="AD83" s="50"/>
      <c r="AE83" s="67">
        <f t="shared" si="19"/>
        <v>0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7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7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7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7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7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7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7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7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7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7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7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7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7">
        <f t="shared" si="19"/>
        <v>0</v>
      </c>
    </row>
    <row r="97" spans="2:3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7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7">
        <f t="shared" si="19"/>
        <v>0</v>
      </c>
    </row>
    <row r="99" spans="2:3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7">
        <f t="shared" si="19"/>
        <v>0</v>
      </c>
    </row>
    <row r="100" spans="2:31">
      <c r="B100" s="50">
        <v>1004062</v>
      </c>
      <c r="C100" s="53" t="s">
        <v>238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7">
        <f t="shared" si="19"/>
        <v>0</v>
      </c>
    </row>
    <row r="101" spans="2:31">
      <c r="B101" s="50">
        <v>1004051</v>
      </c>
      <c r="C101" s="53" t="s">
        <v>239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7">
        <f t="shared" si="19"/>
        <v>0</v>
      </c>
    </row>
    <row r="102" spans="2:31">
      <c r="B102" s="50">
        <v>1111005</v>
      </c>
      <c r="C102" s="53" t="s">
        <v>240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7">
        <f t="shared" si="19"/>
        <v>0</v>
      </c>
    </row>
    <row r="103" spans="2:31">
      <c r="B103" s="50">
        <v>1111006</v>
      </c>
      <c r="C103" s="53" t="s">
        <v>241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7">
        <f t="shared" si="19"/>
        <v>0</v>
      </c>
    </row>
    <row r="104" spans="2:31">
      <c r="B104" s="50">
        <v>1004048</v>
      </c>
      <c r="C104" s="53" t="s">
        <v>242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7">
        <f t="shared" si="19"/>
        <v>0</v>
      </c>
    </row>
    <row r="105" spans="2:31">
      <c r="B105" s="50">
        <v>1113157</v>
      </c>
      <c r="C105" s="53" t="s">
        <v>243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7">
        <f t="shared" si="19"/>
        <v>0</v>
      </c>
    </row>
    <row r="106" spans="2:31">
      <c r="B106" s="50">
        <v>1004080</v>
      </c>
      <c r="C106" s="53" t="s">
        <v>244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7">
        <f t="shared" si="19"/>
        <v>0</v>
      </c>
    </row>
    <row r="107" spans="2:31">
      <c r="B107" s="50">
        <v>1004081</v>
      </c>
      <c r="C107" s="53" t="s">
        <v>245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7">
        <f t="shared" si="19"/>
        <v>0</v>
      </c>
    </row>
    <row r="108" spans="2:31">
      <c r="B108" s="50">
        <v>3001200</v>
      </c>
      <c r="C108" s="53" t="s">
        <v>246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7">
        <f t="shared" si="19"/>
        <v>0</v>
      </c>
    </row>
    <row r="109" spans="2:31">
      <c r="B109" s="50">
        <v>1004047</v>
      </c>
      <c r="C109" s="53" t="s">
        <v>247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7">
        <f t="shared" si="19"/>
        <v>0</v>
      </c>
    </row>
    <row r="110" spans="2:31">
      <c r="B110" s="50">
        <v>1004070</v>
      </c>
      <c r="C110" s="53" t="s">
        <v>248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7">
        <f t="shared" si="19"/>
        <v>0</v>
      </c>
    </row>
    <row r="111" spans="2:31">
      <c r="B111" s="50">
        <v>1004076</v>
      </c>
      <c r="C111" s="53" t="s">
        <v>249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7">
        <f t="shared" si="19"/>
        <v>0</v>
      </c>
    </row>
    <row r="112" spans="2:31">
      <c r="B112" s="50">
        <v>1004050</v>
      </c>
      <c r="C112" s="53" t="s">
        <v>250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7">
        <f t="shared" si="19"/>
        <v>0</v>
      </c>
    </row>
    <row r="113" spans="2:31">
      <c r="B113" s="50">
        <v>1004048</v>
      </c>
      <c r="C113" s="53" t="s">
        <v>251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7">
        <f t="shared" si="19"/>
        <v>0</v>
      </c>
    </row>
    <row r="114" spans="2:31">
      <c r="B114" s="50">
        <v>1007020</v>
      </c>
      <c r="C114" s="53" t="s">
        <v>253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7">
        <f t="shared" si="19"/>
        <v>0</v>
      </c>
    </row>
    <row r="115" spans="2:31">
      <c r="B115" s="50">
        <v>1004063</v>
      </c>
      <c r="C115" s="53" t="s">
        <v>254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7">
        <f t="shared" si="19"/>
        <v>0</v>
      </c>
    </row>
    <row r="116" spans="2:31">
      <c r="B116" s="50">
        <v>1004065</v>
      </c>
      <c r="C116" s="53" t="s">
        <v>255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7">
        <f t="shared" si="19"/>
        <v>0</v>
      </c>
    </row>
    <row r="117" spans="2:31">
      <c r="B117" s="50">
        <v>1006982</v>
      </c>
      <c r="C117" s="53" t="s">
        <v>256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7">
        <f t="shared" si="19"/>
        <v>0</v>
      </c>
    </row>
    <row r="118" spans="2:31">
      <c r="B118" s="50">
        <v>1006000</v>
      </c>
      <c r="C118" s="53" t="s">
        <v>257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7">
        <f t="shared" si="19"/>
        <v>0</v>
      </c>
    </row>
    <row r="119" spans="2:31">
      <c r="B119" s="50">
        <v>1005998</v>
      </c>
      <c r="C119" s="53" t="s">
        <v>258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7">
        <f t="shared" si="19"/>
        <v>0</v>
      </c>
    </row>
    <row r="120" spans="2:31">
      <c r="B120" s="50">
        <v>1005995</v>
      </c>
      <c r="C120" s="53" t="s">
        <v>259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7">
        <f t="shared" si="19"/>
        <v>0</v>
      </c>
    </row>
    <row r="121" spans="2:3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7">
        <f t="shared" si="19"/>
        <v>0</v>
      </c>
    </row>
    <row r="122" spans="2:3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7"/>
    </row>
    <row r="123" spans="2:3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7"/>
    </row>
    <row r="124" spans="2:3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7"/>
    </row>
    <row r="125" spans="2:3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7"/>
    </row>
    <row r="126" spans="2:3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7"/>
    </row>
    <row r="127" spans="2:3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7"/>
    </row>
    <row r="128" spans="2:3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7"/>
    </row>
    <row r="129" spans="2:3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7"/>
    </row>
    <row r="130" spans="2:3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7"/>
    </row>
    <row r="131" spans="2:3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7"/>
    </row>
    <row r="132" spans="2:3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7"/>
    </row>
    <row r="133" spans="2:3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7"/>
    </row>
    <row r="134" spans="2:3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7"/>
    </row>
    <row r="135" spans="2:3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7"/>
    </row>
    <row r="136" spans="2:3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7"/>
    </row>
    <row r="137" spans="2:3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7"/>
    </row>
    <row r="138" spans="2:3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7"/>
    </row>
    <row r="139" spans="2:3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7"/>
    </row>
    <row r="140" spans="2:3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7"/>
    </row>
    <row r="141" spans="2:3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7"/>
    </row>
    <row r="142" spans="2:3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7"/>
    </row>
    <row r="143" spans="2:3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7"/>
    </row>
    <row r="144" spans="2:3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7"/>
    </row>
    <row r="145" spans="2:3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7"/>
    </row>
    <row r="146" spans="2:3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7"/>
    </row>
    <row r="147" spans="2:3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7"/>
    </row>
    <row r="148" spans="2:3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7"/>
    </row>
    <row r="149" spans="2:3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7"/>
    </row>
    <row r="150" spans="2:3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7"/>
    </row>
    <row r="151" spans="2:3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7">
        <f t="shared" ref="AE151:AE153" si="29">AC151+AD151</f>
        <v>0</v>
      </c>
    </row>
    <row r="152" spans="2:3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7">
        <f t="shared" si="29"/>
        <v>0</v>
      </c>
    </row>
    <row r="153" spans="2:3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7">
        <f t="shared" si="29"/>
        <v>0</v>
      </c>
    </row>
    <row r="154" spans="2:31" s="59" customFormat="1" ht="51.75">
      <c r="B154" s="97" t="s">
        <v>201</v>
      </c>
      <c r="C154" s="98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0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0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0</v>
      </c>
      <c r="H154" s="62">
        <f t="shared" si="31"/>
        <v>0</v>
      </c>
      <c r="I154" s="62">
        <f t="shared" si="31"/>
        <v>0</v>
      </c>
      <c r="J154" s="62">
        <f t="shared" si="31"/>
        <v>0</v>
      </c>
      <c r="K154" s="62">
        <f t="shared" si="31"/>
        <v>0</v>
      </c>
      <c r="L154" s="62">
        <f t="shared" si="31"/>
        <v>0</v>
      </c>
      <c r="M154" s="62">
        <f t="shared" si="31"/>
        <v>0</v>
      </c>
      <c r="N154" s="62">
        <f t="shared" si="31"/>
        <v>0</v>
      </c>
      <c r="O154" s="62">
        <f t="shared" si="31"/>
        <v>0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0</v>
      </c>
      <c r="Z154" s="62">
        <f t="shared" si="31"/>
        <v>0</v>
      </c>
      <c r="AA154" s="62">
        <f t="shared" si="31"/>
        <v>0</v>
      </c>
      <c r="AB154" s="62">
        <f t="shared" si="31"/>
        <v>0</v>
      </c>
      <c r="AC154" s="62">
        <f t="shared" si="31"/>
        <v>0</v>
      </c>
      <c r="AD154" s="62">
        <f t="shared" si="31"/>
        <v>0</v>
      </c>
      <c r="AE154" s="62">
        <f t="shared" si="31"/>
        <v>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Y2:Y3"/>
    <mergeCell ref="Z2:Z3"/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325F-D85C-4129-B5B0-D641B47CAFF4}">
  <sheetPr codeName="Sheet32">
    <pageSetUpPr fitToPage="1"/>
  </sheetPr>
  <dimension ref="B1:AE159"/>
  <sheetViews>
    <sheetView topLeftCell="B106" zoomScale="50" zoomScaleNormal="50" workbookViewId="0">
      <selection activeCell="B111" sqref="A111:XFD159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5" width="14.28515625" style="56" customWidth="1"/>
    <col min="26" max="26" width="19.5703125" style="57" bestFit="1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3" t="s">
        <v>235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</row>
    <row r="2" spans="2:31" ht="49.9" customHeight="1">
      <c r="B2" s="99" t="s">
        <v>3</v>
      </c>
      <c r="C2" s="99" t="s">
        <v>4</v>
      </c>
      <c r="D2" s="85" t="s">
        <v>5</v>
      </c>
      <c r="E2" s="86"/>
      <c r="F2" s="87"/>
      <c r="G2" s="85" t="s">
        <v>6</v>
      </c>
      <c r="H2" s="86"/>
      <c r="I2" s="87"/>
      <c r="J2" s="85" t="s">
        <v>7</v>
      </c>
      <c r="K2" s="86"/>
      <c r="L2" s="87"/>
      <c r="M2" s="85" t="s">
        <v>8</v>
      </c>
      <c r="N2" s="86"/>
      <c r="O2" s="87"/>
      <c r="P2" s="85" t="s">
        <v>132</v>
      </c>
      <c r="Q2" s="86"/>
      <c r="R2" s="87"/>
      <c r="S2" s="85" t="s">
        <v>9</v>
      </c>
      <c r="T2" s="86"/>
      <c r="U2" s="87"/>
      <c r="V2" s="88" t="s">
        <v>131</v>
      </c>
      <c r="W2" s="89"/>
      <c r="X2" s="90"/>
      <c r="Y2" s="101" t="s">
        <v>134</v>
      </c>
      <c r="Z2" s="103" t="s">
        <v>204</v>
      </c>
      <c r="AA2" s="91" t="s">
        <v>145</v>
      </c>
      <c r="AB2" s="91" t="s">
        <v>146</v>
      </c>
      <c r="AC2" s="95" t="s">
        <v>147</v>
      </c>
      <c r="AD2" s="93" t="s">
        <v>148</v>
      </c>
      <c r="AE2" s="82" t="s">
        <v>212</v>
      </c>
    </row>
    <row r="3" spans="2:31" ht="49.9" customHeight="1">
      <c r="B3" s="100"/>
      <c r="C3" s="100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102"/>
      <c r="Z3" s="104"/>
      <c r="AA3" s="92"/>
      <c r="AB3" s="92"/>
      <c r="AC3" s="96"/>
      <c r="AD3" s="94"/>
      <c r="AE3" s="82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52"/>
      <c r="N4" s="52"/>
      <c r="O4" s="65">
        <f>SUM(M4:N4)</f>
        <v>0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0</v>
      </c>
      <c r="AA4" s="50"/>
      <c r="AB4" s="50"/>
      <c r="AC4" s="61">
        <f>+AA4+AB4-Z4</f>
        <v>0</v>
      </c>
      <c r="AD4" s="50"/>
      <c r="AE4" s="67">
        <f>AC4+AD4</f>
        <v>0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/>
      <c r="H5" s="52"/>
      <c r="I5" s="65">
        <f t="shared" ref="I5:I68" si="1">SUM(G5:H5)</f>
        <v>0</v>
      </c>
      <c r="J5" s="52"/>
      <c r="K5" s="52"/>
      <c r="L5" s="65">
        <f t="shared" ref="L5:L68" si="2">SUM(J5:K5)</f>
        <v>0</v>
      </c>
      <c r="M5" s="52"/>
      <c r="N5" s="52"/>
      <c r="O5" s="65">
        <f t="shared" ref="O5:O68" si="3">SUM(M5:N5)</f>
        <v>0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0</v>
      </c>
      <c r="AA5" s="58"/>
      <c r="AB5" s="58"/>
      <c r="AC5" s="61">
        <f t="shared" ref="AC5:AC68" si="8">+AA5+AB5-Z5</f>
        <v>0</v>
      </c>
      <c r="AD5" s="58"/>
      <c r="AE5" s="67">
        <f t="shared" ref="AE5:AE68" si="9">AC5+AD5</f>
        <v>0</v>
      </c>
    </row>
    <row r="6" spans="2:3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7">
        <f t="shared" si="9"/>
        <v>0</v>
      </c>
    </row>
    <row r="7" spans="2:3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7">
        <f t="shared" si="9"/>
        <v>0</v>
      </c>
    </row>
    <row r="8" spans="2:3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7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7">
        <f t="shared" si="9"/>
        <v>0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7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7">
        <f t="shared" si="9"/>
        <v>0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7">
        <f t="shared" si="9"/>
        <v>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7">
        <f t="shared" si="9"/>
        <v>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7">
        <f t="shared" si="9"/>
        <v>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7">
        <f t="shared" si="9"/>
        <v>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7">
        <f t="shared" si="9"/>
        <v>0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7">
        <f t="shared" si="9"/>
        <v>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7">
        <f t="shared" si="9"/>
        <v>0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7">
        <f t="shared" si="9"/>
        <v>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7">
        <f t="shared" si="9"/>
        <v>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7">
        <f t="shared" si="9"/>
        <v>0</v>
      </c>
    </row>
    <row r="22" spans="2:3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7">
        <f t="shared" si="9"/>
        <v>0</v>
      </c>
    </row>
    <row r="23" spans="2:3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7">
        <f t="shared" si="9"/>
        <v>0</v>
      </c>
    </row>
    <row r="24" spans="2:3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7">
        <f t="shared" si="9"/>
        <v>0</v>
      </c>
    </row>
    <row r="25" spans="2:31">
      <c r="B25" s="50">
        <v>1111008</v>
      </c>
      <c r="C25" s="51" t="s">
        <v>156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52"/>
      <c r="N25" s="52"/>
      <c r="O25" s="65">
        <f t="shared" si="3"/>
        <v>0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0</v>
      </c>
      <c r="AA25" s="50"/>
      <c r="AB25" s="50"/>
      <c r="AC25" s="61">
        <f t="shared" si="8"/>
        <v>0</v>
      </c>
      <c r="AD25" s="50"/>
      <c r="AE25" s="67">
        <f t="shared" si="9"/>
        <v>0</v>
      </c>
    </row>
    <row r="26" spans="2:31">
      <c r="B26" s="50">
        <v>1111009</v>
      </c>
      <c r="C26" s="51" t="s">
        <v>157</v>
      </c>
      <c r="D26" s="52"/>
      <c r="E26" s="52"/>
      <c r="F26" s="65">
        <f t="shared" si="0"/>
        <v>0</v>
      </c>
      <c r="G26" s="52"/>
      <c r="H26" s="52"/>
      <c r="I26" s="65">
        <f t="shared" si="1"/>
        <v>0</v>
      </c>
      <c r="J26" s="52"/>
      <c r="K26" s="52"/>
      <c r="L26" s="65">
        <f t="shared" si="2"/>
        <v>0</v>
      </c>
      <c r="M26" s="52"/>
      <c r="N26" s="52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0</v>
      </c>
      <c r="AA26" s="50"/>
      <c r="AB26" s="50"/>
      <c r="AC26" s="61">
        <f t="shared" si="8"/>
        <v>0</v>
      </c>
      <c r="AD26" s="50"/>
      <c r="AE26" s="67">
        <f t="shared" si="9"/>
        <v>0</v>
      </c>
    </row>
    <row r="27" spans="2:3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7">
        <f t="shared" si="9"/>
        <v>0</v>
      </c>
    </row>
    <row r="28" spans="2:3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7">
        <f t="shared" si="9"/>
        <v>0</v>
      </c>
    </row>
    <row r="29" spans="2:3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7">
        <f t="shared" si="9"/>
        <v>0</v>
      </c>
    </row>
    <row r="30" spans="2:3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7">
        <f t="shared" si="9"/>
        <v>0</v>
      </c>
    </row>
    <row r="31" spans="2:3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7">
        <f t="shared" si="9"/>
        <v>0</v>
      </c>
    </row>
    <row r="32" spans="2:3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7">
        <f t="shared" si="9"/>
        <v>0</v>
      </c>
    </row>
    <row r="33" spans="2:3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7">
        <f t="shared" si="9"/>
        <v>0</v>
      </c>
    </row>
    <row r="34" spans="2:3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7">
        <f t="shared" si="9"/>
        <v>0</v>
      </c>
    </row>
    <row r="35" spans="2:3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7">
        <f t="shared" si="9"/>
        <v>0</v>
      </c>
    </row>
    <row r="36" spans="2:3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7">
        <f t="shared" si="9"/>
        <v>0</v>
      </c>
    </row>
    <row r="37" spans="2:3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7">
        <f t="shared" si="9"/>
        <v>0</v>
      </c>
    </row>
    <row r="38" spans="2:3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7">
        <f t="shared" si="9"/>
        <v>0</v>
      </c>
    </row>
    <row r="39" spans="2:3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7">
        <f t="shared" si="9"/>
        <v>0</v>
      </c>
    </row>
    <row r="40" spans="2:3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7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/>
      <c r="H41" s="52"/>
      <c r="I41" s="65">
        <f t="shared" si="1"/>
        <v>0</v>
      </c>
      <c r="J41" s="52"/>
      <c r="K41" s="52"/>
      <c r="L41" s="65">
        <f t="shared" si="2"/>
        <v>0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0</v>
      </c>
      <c r="AA41" s="50"/>
      <c r="AB41" s="50"/>
      <c r="AC41" s="61">
        <f t="shared" si="8"/>
        <v>0</v>
      </c>
      <c r="AD41" s="50"/>
      <c r="AE41" s="67">
        <f t="shared" si="9"/>
        <v>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7">
        <f t="shared" si="9"/>
        <v>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7">
        <f t="shared" si="9"/>
        <v>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7">
        <f t="shared" si="9"/>
        <v>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7">
        <f t="shared" si="9"/>
        <v>0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7">
        <f t="shared" si="9"/>
        <v>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7">
        <f t="shared" si="9"/>
        <v>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7">
        <f t="shared" si="9"/>
        <v>0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7">
        <f t="shared" si="9"/>
        <v>0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7">
        <f t="shared" si="9"/>
        <v>0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7">
        <f t="shared" si="9"/>
        <v>0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7">
        <f t="shared" si="9"/>
        <v>0</v>
      </c>
    </row>
    <row r="53" spans="2:31">
      <c r="B53" s="50">
        <v>1112003</v>
      </c>
      <c r="C53" s="51" t="s">
        <v>174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52"/>
      <c r="N53" s="52"/>
      <c r="O53" s="65">
        <f t="shared" si="3"/>
        <v>0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0</v>
      </c>
      <c r="AA53" s="50"/>
      <c r="AB53" s="50"/>
      <c r="AC53" s="61">
        <f t="shared" si="8"/>
        <v>0</v>
      </c>
      <c r="AD53" s="50"/>
      <c r="AE53" s="67">
        <f t="shared" si="9"/>
        <v>0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7">
        <f t="shared" si="9"/>
        <v>0</v>
      </c>
    </row>
    <row r="55" spans="2:31">
      <c r="B55" s="50">
        <v>1112005</v>
      </c>
      <c r="C55" s="51" t="s">
        <v>176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52"/>
      <c r="N55" s="52"/>
      <c r="O55" s="65">
        <f t="shared" si="3"/>
        <v>0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0</v>
      </c>
      <c r="AA55" s="50"/>
      <c r="AB55" s="50"/>
      <c r="AC55" s="61">
        <f t="shared" si="8"/>
        <v>0</v>
      </c>
      <c r="AD55" s="50"/>
      <c r="AE55" s="67">
        <f t="shared" si="9"/>
        <v>0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7">
        <f t="shared" si="9"/>
        <v>0</v>
      </c>
    </row>
    <row r="57" spans="2:31">
      <c r="B57" s="50">
        <v>1112009</v>
      </c>
      <c r="C57" s="51" t="s">
        <v>178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52"/>
      <c r="N57" s="52"/>
      <c r="O57" s="65">
        <f t="shared" si="3"/>
        <v>0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0</v>
      </c>
      <c r="AA57" s="50"/>
      <c r="AB57" s="50"/>
      <c r="AC57" s="61">
        <f t="shared" si="8"/>
        <v>0</v>
      </c>
      <c r="AD57" s="50"/>
      <c r="AE57" s="67">
        <f t="shared" si="9"/>
        <v>0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7">
        <f t="shared" si="9"/>
        <v>0</v>
      </c>
    </row>
    <row r="59" spans="2:31">
      <c r="B59" s="50">
        <v>1112011</v>
      </c>
      <c r="C59" s="51" t="s">
        <v>180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/>
      <c r="K59" s="52"/>
      <c r="L59" s="65">
        <f t="shared" si="2"/>
        <v>0</v>
      </c>
      <c r="M59" s="52"/>
      <c r="N59" s="52"/>
      <c r="O59" s="65">
        <f t="shared" si="3"/>
        <v>0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0</v>
      </c>
      <c r="AA59" s="50"/>
      <c r="AB59" s="50"/>
      <c r="AC59" s="61">
        <f t="shared" si="8"/>
        <v>0</v>
      </c>
      <c r="AD59" s="50"/>
      <c r="AE59" s="67">
        <f t="shared" si="9"/>
        <v>0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7">
        <f t="shared" si="9"/>
        <v>0</v>
      </c>
    </row>
    <row r="61" spans="2:31">
      <c r="B61" s="50">
        <v>1112013</v>
      </c>
      <c r="C61" s="51" t="s">
        <v>182</v>
      </c>
      <c r="D61" s="52"/>
      <c r="E61" s="52"/>
      <c r="F61" s="65">
        <f t="shared" si="0"/>
        <v>0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52"/>
      <c r="N61" s="52"/>
      <c r="O61" s="65">
        <f t="shared" si="3"/>
        <v>0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0</v>
      </c>
      <c r="AA61" s="50"/>
      <c r="AB61" s="50"/>
      <c r="AC61" s="61">
        <f t="shared" si="8"/>
        <v>0</v>
      </c>
      <c r="AD61" s="50"/>
      <c r="AE61" s="67">
        <f t="shared" si="9"/>
        <v>0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7">
        <f t="shared" si="9"/>
        <v>0</v>
      </c>
    </row>
    <row r="63" spans="2:31">
      <c r="B63" s="50">
        <v>1112015</v>
      </c>
      <c r="C63" s="51" t="s">
        <v>184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52"/>
      <c r="N63" s="52"/>
      <c r="O63" s="65">
        <f t="shared" si="3"/>
        <v>0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0</v>
      </c>
      <c r="AA63" s="50"/>
      <c r="AB63" s="50"/>
      <c r="AC63" s="61">
        <f t="shared" si="8"/>
        <v>0</v>
      </c>
      <c r="AD63" s="50"/>
      <c r="AE63" s="67">
        <f t="shared" si="9"/>
        <v>0</v>
      </c>
    </row>
    <row r="64" spans="2:3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7">
        <f t="shared" si="9"/>
        <v>0</v>
      </c>
    </row>
    <row r="65" spans="2:3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7">
        <f t="shared" si="9"/>
        <v>0</v>
      </c>
    </row>
    <row r="66" spans="2:3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7">
        <f t="shared" si="9"/>
        <v>0</v>
      </c>
    </row>
    <row r="67" spans="2:31">
      <c r="B67" s="50">
        <v>1114501</v>
      </c>
      <c r="C67" s="53" t="s">
        <v>187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52"/>
      <c r="N67" s="52"/>
      <c r="O67" s="65">
        <f t="shared" si="3"/>
        <v>0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0</v>
      </c>
      <c r="AA67" s="50"/>
      <c r="AB67" s="50"/>
      <c r="AC67" s="61">
        <f t="shared" si="8"/>
        <v>0</v>
      </c>
      <c r="AD67" s="50"/>
      <c r="AE67" s="67">
        <f t="shared" si="9"/>
        <v>0</v>
      </c>
    </row>
    <row r="68" spans="2:31">
      <c r="B68" s="50">
        <v>1114502</v>
      </c>
      <c r="C68" s="53" t="s">
        <v>188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52"/>
      <c r="N68" s="52"/>
      <c r="O68" s="65">
        <f t="shared" si="3"/>
        <v>0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7">
        <f t="shared" si="9"/>
        <v>0</v>
      </c>
    </row>
    <row r="69" spans="2:31">
      <c r="B69" s="50">
        <v>1114503</v>
      </c>
      <c r="C69" s="53" t="s">
        <v>189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21" si="11">SUM(G69:H69)</f>
        <v>0</v>
      </c>
      <c r="J69" s="52"/>
      <c r="K69" s="52"/>
      <c r="L69" s="65">
        <f t="shared" ref="L69:L121" si="12">SUM(J69:K69)</f>
        <v>0</v>
      </c>
      <c r="M69" s="52"/>
      <c r="N69" s="52"/>
      <c r="O69" s="65">
        <f t="shared" ref="O69:O121" si="13">SUM(M69:N69)</f>
        <v>0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0</v>
      </c>
      <c r="AA69" s="50"/>
      <c r="AB69" s="50"/>
      <c r="AC69" s="61">
        <f t="shared" ref="AC69:AC121" si="18">+AA69+AB69-Z69</f>
        <v>0</v>
      </c>
      <c r="AD69" s="50"/>
      <c r="AE69" s="67">
        <f t="shared" ref="AE69:AE121" si="19">AC69+AD69</f>
        <v>0</v>
      </c>
    </row>
    <row r="70" spans="2:3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7">
        <f t="shared" si="19"/>
        <v>0</v>
      </c>
    </row>
    <row r="71" spans="2:3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7">
        <f t="shared" si="19"/>
        <v>0</v>
      </c>
    </row>
    <row r="72" spans="2:3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7">
        <f t="shared" si="19"/>
        <v>0</v>
      </c>
    </row>
    <row r="73" spans="2:3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7">
        <f t="shared" si="19"/>
        <v>0</v>
      </c>
    </row>
    <row r="74" spans="2:3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7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52"/>
      <c r="N75" s="52"/>
      <c r="O75" s="65">
        <f t="shared" si="13"/>
        <v>0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/>
      <c r="AE75" s="67">
        <f t="shared" si="19"/>
        <v>0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/>
      <c r="AC76" s="61">
        <f t="shared" si="18"/>
        <v>0</v>
      </c>
      <c r="AD76" s="50"/>
      <c r="AE76" s="67">
        <f t="shared" si="19"/>
        <v>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7">
        <f t="shared" si="19"/>
        <v>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7">
        <f t="shared" si="19"/>
        <v>0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7">
        <f t="shared" si="19"/>
        <v>0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7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7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0</v>
      </c>
      <c r="AA82" s="50"/>
      <c r="AB82" s="50"/>
      <c r="AC82" s="61">
        <f t="shared" si="18"/>
        <v>0</v>
      </c>
      <c r="AD82" s="50"/>
      <c r="AE82" s="67">
        <f t="shared" si="19"/>
        <v>0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/>
      <c r="H83" s="52"/>
      <c r="I83" s="65">
        <f t="shared" si="11"/>
        <v>0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0</v>
      </c>
      <c r="AA83" s="50"/>
      <c r="AB83" s="50"/>
      <c r="AC83" s="61">
        <f t="shared" si="18"/>
        <v>0</v>
      </c>
      <c r="AD83" s="50"/>
      <c r="AE83" s="67">
        <f t="shared" si="19"/>
        <v>0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7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7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7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7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7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7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7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7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7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7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7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7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7">
        <f t="shared" si="19"/>
        <v>0</v>
      </c>
    </row>
    <row r="97" spans="2:3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7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7">
        <f t="shared" si="19"/>
        <v>0</v>
      </c>
    </row>
    <row r="99" spans="2:3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7">
        <f t="shared" si="19"/>
        <v>0</v>
      </c>
    </row>
    <row r="100" spans="2:31">
      <c r="B100" s="50">
        <v>1004062</v>
      </c>
      <c r="C100" s="53" t="s">
        <v>238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7">
        <f t="shared" si="19"/>
        <v>0</v>
      </c>
    </row>
    <row r="101" spans="2:31">
      <c r="B101" s="50">
        <v>1004051</v>
      </c>
      <c r="C101" s="53" t="s">
        <v>239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7">
        <f t="shared" si="19"/>
        <v>0</v>
      </c>
    </row>
    <row r="102" spans="2:31">
      <c r="B102" s="50">
        <v>1111005</v>
      </c>
      <c r="C102" s="53" t="s">
        <v>240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7">
        <f t="shared" si="19"/>
        <v>0</v>
      </c>
    </row>
    <row r="103" spans="2:31">
      <c r="B103" s="50">
        <v>1111006</v>
      </c>
      <c r="C103" s="53" t="s">
        <v>241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7">
        <f t="shared" si="19"/>
        <v>0</v>
      </c>
    </row>
    <row r="104" spans="2:31">
      <c r="B104" s="50">
        <v>1004048</v>
      </c>
      <c r="C104" s="53" t="s">
        <v>242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7">
        <f t="shared" si="19"/>
        <v>0</v>
      </c>
    </row>
    <row r="105" spans="2:31">
      <c r="B105" s="50">
        <v>1113157</v>
      </c>
      <c r="C105" s="53" t="s">
        <v>243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7">
        <f t="shared" si="19"/>
        <v>0</v>
      </c>
    </row>
    <row r="106" spans="2:31">
      <c r="B106" s="50">
        <v>1004080</v>
      </c>
      <c r="C106" s="53" t="s">
        <v>244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7">
        <f t="shared" si="19"/>
        <v>0</v>
      </c>
    </row>
    <row r="107" spans="2:31">
      <c r="B107" s="50">
        <v>1004081</v>
      </c>
      <c r="C107" s="53" t="s">
        <v>245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7">
        <f t="shared" si="19"/>
        <v>0</v>
      </c>
    </row>
    <row r="108" spans="2:31">
      <c r="B108" s="50">
        <v>3001200</v>
      </c>
      <c r="C108" s="53" t="s">
        <v>246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7">
        <f t="shared" si="19"/>
        <v>0</v>
      </c>
    </row>
    <row r="109" spans="2:31">
      <c r="B109" s="50">
        <v>1004047</v>
      </c>
      <c r="C109" s="53" t="s">
        <v>247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7">
        <f t="shared" si="19"/>
        <v>0</v>
      </c>
    </row>
    <row r="110" spans="2:31">
      <c r="B110" s="50">
        <v>1004070</v>
      </c>
      <c r="C110" s="53" t="s">
        <v>248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7">
        <f t="shared" si="19"/>
        <v>0</v>
      </c>
    </row>
    <row r="111" spans="2:31">
      <c r="B111" s="50">
        <v>1004076</v>
      </c>
      <c r="C111" s="53" t="s">
        <v>249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7">
        <f t="shared" si="19"/>
        <v>0</v>
      </c>
    </row>
    <row r="112" spans="2:31">
      <c r="B112" s="50">
        <v>1004050</v>
      </c>
      <c r="C112" s="53" t="s">
        <v>250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7">
        <f t="shared" si="19"/>
        <v>0</v>
      </c>
    </row>
    <row r="113" spans="2:31">
      <c r="B113" s="50">
        <v>1004048</v>
      </c>
      <c r="C113" s="53" t="s">
        <v>251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7">
        <f t="shared" si="19"/>
        <v>0</v>
      </c>
    </row>
    <row r="114" spans="2:31">
      <c r="B114" s="50">
        <v>1007020</v>
      </c>
      <c r="C114" s="53" t="s">
        <v>253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7">
        <f t="shared" si="19"/>
        <v>0</v>
      </c>
    </row>
    <row r="115" spans="2:31">
      <c r="B115" s="50">
        <v>1004063</v>
      </c>
      <c r="C115" s="53" t="s">
        <v>254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7">
        <f t="shared" si="19"/>
        <v>0</v>
      </c>
    </row>
    <row r="116" spans="2:31">
      <c r="B116" s="50">
        <v>1004065</v>
      </c>
      <c r="C116" s="53" t="s">
        <v>255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7">
        <f t="shared" si="19"/>
        <v>0</v>
      </c>
    </row>
    <row r="117" spans="2:31">
      <c r="B117" s="50">
        <v>1006982</v>
      </c>
      <c r="C117" s="53" t="s">
        <v>256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7">
        <f t="shared" si="19"/>
        <v>0</v>
      </c>
    </row>
    <row r="118" spans="2:31">
      <c r="B118" s="50">
        <v>1006000</v>
      </c>
      <c r="C118" s="53" t="s">
        <v>257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7">
        <f t="shared" si="19"/>
        <v>0</v>
      </c>
    </row>
    <row r="119" spans="2:31">
      <c r="B119" s="50">
        <v>1005998</v>
      </c>
      <c r="C119" s="53" t="s">
        <v>258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7">
        <f t="shared" si="19"/>
        <v>0</v>
      </c>
    </row>
    <row r="120" spans="2:31">
      <c r="B120" s="50">
        <v>1005995</v>
      </c>
      <c r="C120" s="53" t="s">
        <v>259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7">
        <f t="shared" si="19"/>
        <v>0</v>
      </c>
    </row>
    <row r="121" spans="2:3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7">
        <f t="shared" si="19"/>
        <v>0</v>
      </c>
    </row>
    <row r="122" spans="2:3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7"/>
    </row>
    <row r="123" spans="2:3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7"/>
    </row>
    <row r="124" spans="2:3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7"/>
    </row>
    <row r="125" spans="2:3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7"/>
    </row>
    <row r="126" spans="2:3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7"/>
    </row>
    <row r="127" spans="2:3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7"/>
    </row>
    <row r="128" spans="2:3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7"/>
    </row>
    <row r="129" spans="2:3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7"/>
    </row>
    <row r="130" spans="2:3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7"/>
    </row>
    <row r="131" spans="2:3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7"/>
    </row>
    <row r="132" spans="2:3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7"/>
    </row>
    <row r="133" spans="2:3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7"/>
    </row>
    <row r="134" spans="2:3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7"/>
    </row>
    <row r="135" spans="2:3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7"/>
    </row>
    <row r="136" spans="2:3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7"/>
    </row>
    <row r="137" spans="2:3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7"/>
    </row>
    <row r="138" spans="2:3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7"/>
    </row>
    <row r="139" spans="2:3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7"/>
    </row>
    <row r="140" spans="2:3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7"/>
    </row>
    <row r="141" spans="2:3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7"/>
    </row>
    <row r="142" spans="2:3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7"/>
    </row>
    <row r="143" spans="2:3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7"/>
    </row>
    <row r="144" spans="2:3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7"/>
    </row>
    <row r="145" spans="2:3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7"/>
    </row>
    <row r="146" spans="2:3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7"/>
    </row>
    <row r="147" spans="2:3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7"/>
    </row>
    <row r="148" spans="2:3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7"/>
    </row>
    <row r="149" spans="2:3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7"/>
    </row>
    <row r="150" spans="2:3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7"/>
    </row>
    <row r="151" spans="2:3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7">
        <f t="shared" ref="AE151:AE153" si="29">AC151+AD151</f>
        <v>0</v>
      </c>
    </row>
    <row r="152" spans="2:3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7">
        <f t="shared" si="29"/>
        <v>0</v>
      </c>
    </row>
    <row r="153" spans="2:3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7">
        <f t="shared" si="29"/>
        <v>0</v>
      </c>
    </row>
    <row r="154" spans="2:31" s="59" customFormat="1" ht="51.75">
      <c r="B154" s="97" t="s">
        <v>201</v>
      </c>
      <c r="C154" s="98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0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0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0</v>
      </c>
      <c r="H154" s="62">
        <f t="shared" si="31"/>
        <v>0</v>
      </c>
      <c r="I154" s="62">
        <f t="shared" si="31"/>
        <v>0</v>
      </c>
      <c r="J154" s="62">
        <f t="shared" si="31"/>
        <v>0</v>
      </c>
      <c r="K154" s="62">
        <f t="shared" si="31"/>
        <v>0</v>
      </c>
      <c r="L154" s="62">
        <f t="shared" si="31"/>
        <v>0</v>
      </c>
      <c r="M154" s="62">
        <f t="shared" si="31"/>
        <v>0</v>
      </c>
      <c r="N154" s="62">
        <f t="shared" si="31"/>
        <v>0</v>
      </c>
      <c r="O154" s="62">
        <f t="shared" si="31"/>
        <v>0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0</v>
      </c>
      <c r="Z154" s="62">
        <f t="shared" si="31"/>
        <v>0</v>
      </c>
      <c r="AA154" s="62">
        <f t="shared" si="31"/>
        <v>0</v>
      </c>
      <c r="AB154" s="62">
        <f t="shared" si="31"/>
        <v>0</v>
      </c>
      <c r="AC154" s="62">
        <f t="shared" si="31"/>
        <v>0</v>
      </c>
      <c r="AD154" s="62">
        <f t="shared" si="31"/>
        <v>0</v>
      </c>
      <c r="AE154" s="62">
        <f t="shared" si="31"/>
        <v>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Y2:Y3"/>
    <mergeCell ref="Z2:Z3"/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4C91-BB58-4B5F-A3F6-0C00CE9305C7}">
  <sheetPr codeName="Sheet33">
    <pageSetUpPr fitToPage="1"/>
  </sheetPr>
  <dimension ref="B1:AE159"/>
  <sheetViews>
    <sheetView topLeftCell="A101" zoomScale="50" zoomScaleNormal="50" workbookViewId="0">
      <selection activeCell="A111" sqref="A111:XFD159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5" width="14.28515625" style="56" customWidth="1"/>
    <col min="26" max="26" width="19.5703125" style="57" bestFit="1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3" t="s">
        <v>236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</row>
    <row r="2" spans="2:31" ht="49.9" customHeight="1">
      <c r="B2" s="99" t="s">
        <v>3</v>
      </c>
      <c r="C2" s="99" t="s">
        <v>4</v>
      </c>
      <c r="D2" s="85" t="s">
        <v>5</v>
      </c>
      <c r="E2" s="86"/>
      <c r="F2" s="87"/>
      <c r="G2" s="85" t="s">
        <v>6</v>
      </c>
      <c r="H2" s="86"/>
      <c r="I2" s="87"/>
      <c r="J2" s="85" t="s">
        <v>7</v>
      </c>
      <c r="K2" s="86"/>
      <c r="L2" s="87"/>
      <c r="M2" s="85" t="s">
        <v>8</v>
      </c>
      <c r="N2" s="86"/>
      <c r="O2" s="87"/>
      <c r="P2" s="85" t="s">
        <v>132</v>
      </c>
      <c r="Q2" s="86"/>
      <c r="R2" s="87"/>
      <c r="S2" s="85" t="s">
        <v>9</v>
      </c>
      <c r="T2" s="86"/>
      <c r="U2" s="87"/>
      <c r="V2" s="88" t="s">
        <v>131</v>
      </c>
      <c r="W2" s="89"/>
      <c r="X2" s="90"/>
      <c r="Y2" s="101" t="s">
        <v>134</v>
      </c>
      <c r="Z2" s="103" t="s">
        <v>204</v>
      </c>
      <c r="AA2" s="91" t="s">
        <v>145</v>
      </c>
      <c r="AB2" s="91" t="s">
        <v>146</v>
      </c>
      <c r="AC2" s="95" t="s">
        <v>147</v>
      </c>
      <c r="AD2" s="93" t="s">
        <v>148</v>
      </c>
      <c r="AE2" s="82" t="s">
        <v>212</v>
      </c>
    </row>
    <row r="3" spans="2:31" ht="49.9" customHeight="1">
      <c r="B3" s="100"/>
      <c r="C3" s="100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102"/>
      <c r="Z3" s="104"/>
      <c r="AA3" s="92"/>
      <c r="AB3" s="92"/>
      <c r="AC3" s="96"/>
      <c r="AD3" s="94"/>
      <c r="AE3" s="82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52"/>
      <c r="N4" s="52"/>
      <c r="O4" s="65">
        <f>SUM(M4:N4)</f>
        <v>0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0</v>
      </c>
      <c r="AA4" s="50"/>
      <c r="AB4" s="50"/>
      <c r="AC4" s="61">
        <f>+AA4+AB4-Z4</f>
        <v>0</v>
      </c>
      <c r="AD4" s="50"/>
      <c r="AE4" s="67">
        <f>AC4+AD4</f>
        <v>0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/>
      <c r="H5" s="52"/>
      <c r="I5" s="65">
        <f t="shared" ref="I5:I68" si="1">SUM(G5:H5)</f>
        <v>0</v>
      </c>
      <c r="J5" s="52"/>
      <c r="K5" s="52"/>
      <c r="L5" s="65">
        <f t="shared" ref="L5:L68" si="2">SUM(J5:K5)</f>
        <v>0</v>
      </c>
      <c r="M5" s="52"/>
      <c r="N5" s="52"/>
      <c r="O5" s="65">
        <f t="shared" ref="O5:O68" si="3">SUM(M5:N5)</f>
        <v>0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0</v>
      </c>
      <c r="AA5" s="58"/>
      <c r="AB5" s="58"/>
      <c r="AC5" s="61">
        <f t="shared" ref="AC5:AC68" si="8">+AA5+AB5-Z5</f>
        <v>0</v>
      </c>
      <c r="AD5" s="58"/>
      <c r="AE5" s="67">
        <f t="shared" ref="AE5:AE68" si="9">AC5+AD5</f>
        <v>0</v>
      </c>
    </row>
    <row r="6" spans="2:3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7">
        <f t="shared" si="9"/>
        <v>0</v>
      </c>
    </row>
    <row r="7" spans="2:3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7">
        <f t="shared" si="9"/>
        <v>0</v>
      </c>
    </row>
    <row r="8" spans="2:3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7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7">
        <f t="shared" si="9"/>
        <v>0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7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7">
        <f t="shared" si="9"/>
        <v>0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7">
        <f t="shared" si="9"/>
        <v>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7">
        <f t="shared" si="9"/>
        <v>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7">
        <f t="shared" si="9"/>
        <v>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7">
        <f t="shared" si="9"/>
        <v>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7">
        <f t="shared" si="9"/>
        <v>0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7">
        <f t="shared" si="9"/>
        <v>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7">
        <f t="shared" si="9"/>
        <v>0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7">
        <f t="shared" si="9"/>
        <v>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7">
        <f t="shared" si="9"/>
        <v>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7">
        <f t="shared" si="9"/>
        <v>0</v>
      </c>
    </row>
    <row r="22" spans="2:3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7">
        <f t="shared" si="9"/>
        <v>0</v>
      </c>
    </row>
    <row r="23" spans="2:3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7">
        <f t="shared" si="9"/>
        <v>0</v>
      </c>
    </row>
    <row r="24" spans="2:3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7">
        <f t="shared" si="9"/>
        <v>0</v>
      </c>
    </row>
    <row r="25" spans="2:31">
      <c r="B25" s="50">
        <v>1111008</v>
      </c>
      <c r="C25" s="51" t="s">
        <v>156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52"/>
      <c r="N25" s="52"/>
      <c r="O25" s="65">
        <f t="shared" si="3"/>
        <v>0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0</v>
      </c>
      <c r="AA25" s="50"/>
      <c r="AB25" s="50"/>
      <c r="AC25" s="61">
        <f t="shared" si="8"/>
        <v>0</v>
      </c>
      <c r="AD25" s="50"/>
      <c r="AE25" s="67">
        <f t="shared" si="9"/>
        <v>0</v>
      </c>
    </row>
    <row r="26" spans="2:31">
      <c r="B26" s="50">
        <v>1111009</v>
      </c>
      <c r="C26" s="51" t="s">
        <v>157</v>
      </c>
      <c r="D26" s="52"/>
      <c r="E26" s="52"/>
      <c r="F26" s="65">
        <f t="shared" si="0"/>
        <v>0</v>
      </c>
      <c r="G26" s="52"/>
      <c r="H26" s="52"/>
      <c r="I26" s="65">
        <f t="shared" si="1"/>
        <v>0</v>
      </c>
      <c r="J26" s="52"/>
      <c r="K26" s="52"/>
      <c r="L26" s="65">
        <f t="shared" si="2"/>
        <v>0</v>
      </c>
      <c r="M26" s="52"/>
      <c r="N26" s="52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0</v>
      </c>
      <c r="AA26" s="50"/>
      <c r="AB26" s="50"/>
      <c r="AC26" s="61">
        <f t="shared" si="8"/>
        <v>0</v>
      </c>
      <c r="AD26" s="50"/>
      <c r="AE26" s="67">
        <f t="shared" si="9"/>
        <v>0</v>
      </c>
    </row>
    <row r="27" spans="2:3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7">
        <f t="shared" si="9"/>
        <v>0</v>
      </c>
    </row>
    <row r="28" spans="2:3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7">
        <f t="shared" si="9"/>
        <v>0</v>
      </c>
    </row>
    <row r="29" spans="2:3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7">
        <f t="shared" si="9"/>
        <v>0</v>
      </c>
    </row>
    <row r="30" spans="2:3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7">
        <f t="shared" si="9"/>
        <v>0</v>
      </c>
    </row>
    <row r="31" spans="2:3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7">
        <f t="shared" si="9"/>
        <v>0</v>
      </c>
    </row>
    <row r="32" spans="2:3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7">
        <f t="shared" si="9"/>
        <v>0</v>
      </c>
    </row>
    <row r="33" spans="2:3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7">
        <f t="shared" si="9"/>
        <v>0</v>
      </c>
    </row>
    <row r="34" spans="2:3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7">
        <f t="shared" si="9"/>
        <v>0</v>
      </c>
    </row>
    <row r="35" spans="2:3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7">
        <f t="shared" si="9"/>
        <v>0</v>
      </c>
    </row>
    <row r="36" spans="2:3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7">
        <f t="shared" si="9"/>
        <v>0</v>
      </c>
    </row>
    <row r="37" spans="2:3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7">
        <f t="shared" si="9"/>
        <v>0</v>
      </c>
    </row>
    <row r="38" spans="2:3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7">
        <f t="shared" si="9"/>
        <v>0</v>
      </c>
    </row>
    <row r="39" spans="2:3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7">
        <f t="shared" si="9"/>
        <v>0</v>
      </c>
    </row>
    <row r="40" spans="2:3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7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/>
      <c r="H41" s="52"/>
      <c r="I41" s="65">
        <f t="shared" si="1"/>
        <v>0</v>
      </c>
      <c r="J41" s="52"/>
      <c r="K41" s="52"/>
      <c r="L41" s="65">
        <f t="shared" si="2"/>
        <v>0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0</v>
      </c>
      <c r="AA41" s="50"/>
      <c r="AB41" s="50"/>
      <c r="AC41" s="61">
        <f t="shared" si="8"/>
        <v>0</v>
      </c>
      <c r="AD41" s="50"/>
      <c r="AE41" s="67">
        <f t="shared" si="9"/>
        <v>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7">
        <f t="shared" si="9"/>
        <v>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7">
        <f t="shared" si="9"/>
        <v>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7">
        <f t="shared" si="9"/>
        <v>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7">
        <f t="shared" si="9"/>
        <v>0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7">
        <f t="shared" si="9"/>
        <v>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7">
        <f t="shared" si="9"/>
        <v>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7">
        <f t="shared" si="9"/>
        <v>0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7">
        <f t="shared" si="9"/>
        <v>0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7">
        <f t="shared" si="9"/>
        <v>0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7">
        <f t="shared" si="9"/>
        <v>0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7">
        <f t="shared" si="9"/>
        <v>0</v>
      </c>
    </row>
    <row r="53" spans="2:31">
      <c r="B53" s="50">
        <v>1112003</v>
      </c>
      <c r="C53" s="51" t="s">
        <v>174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52"/>
      <c r="N53" s="52"/>
      <c r="O53" s="65">
        <f t="shared" si="3"/>
        <v>0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0</v>
      </c>
      <c r="AA53" s="50"/>
      <c r="AB53" s="50"/>
      <c r="AC53" s="61">
        <f t="shared" si="8"/>
        <v>0</v>
      </c>
      <c r="AD53" s="50"/>
      <c r="AE53" s="67">
        <f t="shared" si="9"/>
        <v>0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7">
        <f t="shared" si="9"/>
        <v>0</v>
      </c>
    </row>
    <row r="55" spans="2:31">
      <c r="B55" s="50">
        <v>1112005</v>
      </c>
      <c r="C55" s="51" t="s">
        <v>176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52"/>
      <c r="N55" s="52"/>
      <c r="O55" s="65">
        <f t="shared" si="3"/>
        <v>0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0</v>
      </c>
      <c r="AA55" s="50"/>
      <c r="AB55" s="50"/>
      <c r="AC55" s="61">
        <f t="shared" si="8"/>
        <v>0</v>
      </c>
      <c r="AD55" s="50"/>
      <c r="AE55" s="67">
        <f t="shared" si="9"/>
        <v>0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7">
        <f t="shared" si="9"/>
        <v>0</v>
      </c>
    </row>
    <row r="57" spans="2:31">
      <c r="B57" s="50">
        <v>1112009</v>
      </c>
      <c r="C57" s="51" t="s">
        <v>178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52"/>
      <c r="N57" s="52"/>
      <c r="O57" s="65">
        <f t="shared" si="3"/>
        <v>0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0</v>
      </c>
      <c r="AA57" s="50"/>
      <c r="AB57" s="50"/>
      <c r="AC57" s="61">
        <f t="shared" si="8"/>
        <v>0</v>
      </c>
      <c r="AD57" s="50"/>
      <c r="AE57" s="67">
        <f t="shared" si="9"/>
        <v>0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7">
        <f t="shared" si="9"/>
        <v>0</v>
      </c>
    </row>
    <row r="59" spans="2:31">
      <c r="B59" s="50">
        <v>1112011</v>
      </c>
      <c r="C59" s="51" t="s">
        <v>180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/>
      <c r="K59" s="52"/>
      <c r="L59" s="65">
        <f t="shared" si="2"/>
        <v>0</v>
      </c>
      <c r="M59" s="52"/>
      <c r="N59" s="52"/>
      <c r="O59" s="65">
        <f t="shared" si="3"/>
        <v>0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0</v>
      </c>
      <c r="AA59" s="50"/>
      <c r="AB59" s="50"/>
      <c r="AC59" s="61">
        <f t="shared" si="8"/>
        <v>0</v>
      </c>
      <c r="AD59" s="50"/>
      <c r="AE59" s="67">
        <f t="shared" si="9"/>
        <v>0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7">
        <f t="shared" si="9"/>
        <v>0</v>
      </c>
    </row>
    <row r="61" spans="2:31">
      <c r="B61" s="50">
        <v>1112013</v>
      </c>
      <c r="C61" s="51" t="s">
        <v>182</v>
      </c>
      <c r="D61" s="52"/>
      <c r="E61" s="52"/>
      <c r="F61" s="65">
        <f t="shared" si="0"/>
        <v>0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52"/>
      <c r="N61" s="52"/>
      <c r="O61" s="65">
        <f t="shared" si="3"/>
        <v>0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0</v>
      </c>
      <c r="AA61" s="50"/>
      <c r="AB61" s="50"/>
      <c r="AC61" s="61">
        <f t="shared" si="8"/>
        <v>0</v>
      </c>
      <c r="AD61" s="50"/>
      <c r="AE61" s="67">
        <f t="shared" si="9"/>
        <v>0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7">
        <f t="shared" si="9"/>
        <v>0</v>
      </c>
    </row>
    <row r="63" spans="2:31">
      <c r="B63" s="50">
        <v>1112015</v>
      </c>
      <c r="C63" s="51" t="s">
        <v>184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52"/>
      <c r="N63" s="52"/>
      <c r="O63" s="65">
        <f t="shared" si="3"/>
        <v>0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0</v>
      </c>
      <c r="AA63" s="50"/>
      <c r="AB63" s="50"/>
      <c r="AC63" s="61">
        <f t="shared" si="8"/>
        <v>0</v>
      </c>
      <c r="AD63" s="50"/>
      <c r="AE63" s="67">
        <f t="shared" si="9"/>
        <v>0</v>
      </c>
    </row>
    <row r="64" spans="2:3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7">
        <f t="shared" si="9"/>
        <v>0</v>
      </c>
    </row>
    <row r="65" spans="2:3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7">
        <f t="shared" si="9"/>
        <v>0</v>
      </c>
    </row>
    <row r="66" spans="2:3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7">
        <f t="shared" si="9"/>
        <v>0</v>
      </c>
    </row>
    <row r="67" spans="2:31">
      <c r="B67" s="50">
        <v>1114501</v>
      </c>
      <c r="C67" s="53" t="s">
        <v>187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52"/>
      <c r="N67" s="52"/>
      <c r="O67" s="65">
        <f t="shared" si="3"/>
        <v>0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0</v>
      </c>
      <c r="AA67" s="50"/>
      <c r="AB67" s="50"/>
      <c r="AC67" s="61">
        <f t="shared" si="8"/>
        <v>0</v>
      </c>
      <c r="AD67" s="50"/>
      <c r="AE67" s="67">
        <f t="shared" si="9"/>
        <v>0</v>
      </c>
    </row>
    <row r="68" spans="2:31">
      <c r="B68" s="50">
        <v>1114502</v>
      </c>
      <c r="C68" s="53" t="s">
        <v>188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52"/>
      <c r="N68" s="52"/>
      <c r="O68" s="65">
        <f t="shared" si="3"/>
        <v>0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7">
        <f t="shared" si="9"/>
        <v>0</v>
      </c>
    </row>
    <row r="69" spans="2:31">
      <c r="B69" s="50">
        <v>1114503</v>
      </c>
      <c r="C69" s="53" t="s">
        <v>189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21" si="11">SUM(G69:H69)</f>
        <v>0</v>
      </c>
      <c r="J69" s="52"/>
      <c r="K69" s="52"/>
      <c r="L69" s="65">
        <f t="shared" ref="L69:L121" si="12">SUM(J69:K69)</f>
        <v>0</v>
      </c>
      <c r="M69" s="52"/>
      <c r="N69" s="52"/>
      <c r="O69" s="65">
        <f t="shared" ref="O69:O121" si="13">SUM(M69:N69)</f>
        <v>0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0</v>
      </c>
      <c r="AA69" s="50"/>
      <c r="AB69" s="50"/>
      <c r="AC69" s="61">
        <f t="shared" ref="AC69:AC121" si="18">+AA69+AB69-Z69</f>
        <v>0</v>
      </c>
      <c r="AD69" s="50"/>
      <c r="AE69" s="67">
        <f t="shared" ref="AE69:AE121" si="19">AC69+AD69</f>
        <v>0</v>
      </c>
    </row>
    <row r="70" spans="2:3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7">
        <f t="shared" si="19"/>
        <v>0</v>
      </c>
    </row>
    <row r="71" spans="2:3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7">
        <f t="shared" si="19"/>
        <v>0</v>
      </c>
    </row>
    <row r="72" spans="2:3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7">
        <f t="shared" si="19"/>
        <v>0</v>
      </c>
    </row>
    <row r="73" spans="2:3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7">
        <f t="shared" si="19"/>
        <v>0</v>
      </c>
    </row>
    <row r="74" spans="2:3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7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52"/>
      <c r="N75" s="52"/>
      <c r="O75" s="65">
        <f t="shared" si="13"/>
        <v>0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/>
      <c r="AE75" s="67">
        <f t="shared" si="19"/>
        <v>0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/>
      <c r="AC76" s="61">
        <f t="shared" si="18"/>
        <v>0</v>
      </c>
      <c r="AD76" s="50"/>
      <c r="AE76" s="67">
        <f t="shared" si="19"/>
        <v>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7">
        <f t="shared" si="19"/>
        <v>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7">
        <f t="shared" si="19"/>
        <v>0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7">
        <f t="shared" si="19"/>
        <v>0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7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7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0</v>
      </c>
      <c r="AA82" s="50"/>
      <c r="AB82" s="50"/>
      <c r="AC82" s="61">
        <f t="shared" si="18"/>
        <v>0</v>
      </c>
      <c r="AD82" s="50"/>
      <c r="AE82" s="67">
        <f t="shared" si="19"/>
        <v>0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/>
      <c r="H83" s="52"/>
      <c r="I83" s="65">
        <f t="shared" si="11"/>
        <v>0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0</v>
      </c>
      <c r="AA83" s="50"/>
      <c r="AB83" s="50"/>
      <c r="AC83" s="61">
        <f t="shared" si="18"/>
        <v>0</v>
      </c>
      <c r="AD83" s="50"/>
      <c r="AE83" s="67">
        <f t="shared" si="19"/>
        <v>0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7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7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7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7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7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7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7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7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7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7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7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7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7">
        <f t="shared" si="19"/>
        <v>0</v>
      </c>
    </row>
    <row r="97" spans="2:3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7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7">
        <f t="shared" si="19"/>
        <v>0</v>
      </c>
    </row>
    <row r="99" spans="2:3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7">
        <f t="shared" si="19"/>
        <v>0</v>
      </c>
    </row>
    <row r="100" spans="2:31">
      <c r="B100" s="50">
        <v>1004062</v>
      </c>
      <c r="C100" s="53" t="s">
        <v>238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7">
        <f t="shared" si="19"/>
        <v>0</v>
      </c>
    </row>
    <row r="101" spans="2:31">
      <c r="B101" s="50">
        <v>1004051</v>
      </c>
      <c r="C101" s="53" t="s">
        <v>239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7">
        <f t="shared" si="19"/>
        <v>0</v>
      </c>
    </row>
    <row r="102" spans="2:31">
      <c r="B102" s="50">
        <v>1111005</v>
      </c>
      <c r="C102" s="53" t="s">
        <v>240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7">
        <f t="shared" si="19"/>
        <v>0</v>
      </c>
    </row>
    <row r="103" spans="2:31">
      <c r="B103" s="50">
        <v>1111006</v>
      </c>
      <c r="C103" s="53" t="s">
        <v>241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7">
        <f t="shared" si="19"/>
        <v>0</v>
      </c>
    </row>
    <row r="104" spans="2:31">
      <c r="B104" s="50">
        <v>1004048</v>
      </c>
      <c r="C104" s="53" t="s">
        <v>242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7">
        <f t="shared" si="19"/>
        <v>0</v>
      </c>
    </row>
    <row r="105" spans="2:31">
      <c r="B105" s="50">
        <v>1113157</v>
      </c>
      <c r="C105" s="53" t="s">
        <v>243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7">
        <f t="shared" si="19"/>
        <v>0</v>
      </c>
    </row>
    <row r="106" spans="2:31">
      <c r="B106" s="50">
        <v>1004080</v>
      </c>
      <c r="C106" s="53" t="s">
        <v>244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7">
        <f t="shared" si="19"/>
        <v>0</v>
      </c>
    </row>
    <row r="107" spans="2:31">
      <c r="B107" s="50">
        <v>1004081</v>
      </c>
      <c r="C107" s="53" t="s">
        <v>245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7">
        <f t="shared" si="19"/>
        <v>0</v>
      </c>
    </row>
    <row r="108" spans="2:31">
      <c r="B108" s="50">
        <v>3001200</v>
      </c>
      <c r="C108" s="53" t="s">
        <v>246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7">
        <f t="shared" si="19"/>
        <v>0</v>
      </c>
    </row>
    <row r="109" spans="2:31">
      <c r="B109" s="50">
        <v>1004047</v>
      </c>
      <c r="C109" s="53" t="s">
        <v>247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7">
        <f t="shared" si="19"/>
        <v>0</v>
      </c>
    </row>
    <row r="110" spans="2:31">
      <c r="B110" s="50">
        <v>1004070</v>
      </c>
      <c r="C110" s="53" t="s">
        <v>248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7">
        <f t="shared" si="19"/>
        <v>0</v>
      </c>
    </row>
    <row r="111" spans="2:31">
      <c r="B111" s="50">
        <v>1004076</v>
      </c>
      <c r="C111" s="53" t="s">
        <v>249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7">
        <f t="shared" si="19"/>
        <v>0</v>
      </c>
    </row>
    <row r="112" spans="2:31">
      <c r="B112" s="50">
        <v>1004050</v>
      </c>
      <c r="C112" s="53" t="s">
        <v>250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7">
        <f t="shared" si="19"/>
        <v>0</v>
      </c>
    </row>
    <row r="113" spans="2:31">
      <c r="B113" s="50">
        <v>1004048</v>
      </c>
      <c r="C113" s="53" t="s">
        <v>251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7">
        <f t="shared" si="19"/>
        <v>0</v>
      </c>
    </row>
    <row r="114" spans="2:31">
      <c r="B114" s="50">
        <v>1007020</v>
      </c>
      <c r="C114" s="53" t="s">
        <v>253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7">
        <f t="shared" si="19"/>
        <v>0</v>
      </c>
    </row>
    <row r="115" spans="2:31">
      <c r="B115" s="50">
        <v>1004063</v>
      </c>
      <c r="C115" s="53" t="s">
        <v>254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7">
        <f t="shared" si="19"/>
        <v>0</v>
      </c>
    </row>
    <row r="116" spans="2:31">
      <c r="B116" s="50">
        <v>1004065</v>
      </c>
      <c r="C116" s="53" t="s">
        <v>255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7">
        <f t="shared" si="19"/>
        <v>0</v>
      </c>
    </row>
    <row r="117" spans="2:31">
      <c r="B117" s="50">
        <v>1006982</v>
      </c>
      <c r="C117" s="53" t="s">
        <v>256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7">
        <f t="shared" si="19"/>
        <v>0</v>
      </c>
    </row>
    <row r="118" spans="2:31">
      <c r="B118" s="50">
        <v>1006000</v>
      </c>
      <c r="C118" s="53" t="s">
        <v>257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7">
        <f t="shared" si="19"/>
        <v>0</v>
      </c>
    </row>
    <row r="119" spans="2:31">
      <c r="B119" s="50">
        <v>1005998</v>
      </c>
      <c r="C119" s="53" t="s">
        <v>258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7">
        <f t="shared" si="19"/>
        <v>0</v>
      </c>
    </row>
    <row r="120" spans="2:31">
      <c r="B120" s="50">
        <v>1005995</v>
      </c>
      <c r="C120" s="53" t="s">
        <v>259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7">
        <f t="shared" si="19"/>
        <v>0</v>
      </c>
    </row>
    <row r="121" spans="2:3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7">
        <f t="shared" si="19"/>
        <v>0</v>
      </c>
    </row>
    <row r="122" spans="2:3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7"/>
    </row>
    <row r="123" spans="2:3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7"/>
    </row>
    <row r="124" spans="2:3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7"/>
    </row>
    <row r="125" spans="2:3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7"/>
    </row>
    <row r="126" spans="2:3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7"/>
    </row>
    <row r="127" spans="2:3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7"/>
    </row>
    <row r="128" spans="2:3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7"/>
    </row>
    <row r="129" spans="2:3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7"/>
    </row>
    <row r="130" spans="2:3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7"/>
    </row>
    <row r="131" spans="2:3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7"/>
    </row>
    <row r="132" spans="2:3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7"/>
    </row>
    <row r="133" spans="2:3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7"/>
    </row>
    <row r="134" spans="2:3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7"/>
    </row>
    <row r="135" spans="2:3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7"/>
    </row>
    <row r="136" spans="2:3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7"/>
    </row>
    <row r="137" spans="2:3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7"/>
    </row>
    <row r="138" spans="2:3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7"/>
    </row>
    <row r="139" spans="2:3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7"/>
    </row>
    <row r="140" spans="2:3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7"/>
    </row>
    <row r="141" spans="2:3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7"/>
    </row>
    <row r="142" spans="2:3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7"/>
    </row>
    <row r="143" spans="2:3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7"/>
    </row>
    <row r="144" spans="2:3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7"/>
    </row>
    <row r="145" spans="2:3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7"/>
    </row>
    <row r="146" spans="2:3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7"/>
    </row>
    <row r="147" spans="2:3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7"/>
    </row>
    <row r="148" spans="2:3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7"/>
    </row>
    <row r="149" spans="2:3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7"/>
    </row>
    <row r="150" spans="2:3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7"/>
    </row>
    <row r="151" spans="2:3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7">
        <f t="shared" ref="AE151:AE153" si="29">AC151+AD151</f>
        <v>0</v>
      </c>
    </row>
    <row r="152" spans="2:3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7">
        <f t="shared" si="29"/>
        <v>0</v>
      </c>
    </row>
    <row r="153" spans="2:3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7">
        <f t="shared" si="29"/>
        <v>0</v>
      </c>
    </row>
    <row r="154" spans="2:31" s="59" customFormat="1" ht="51.75">
      <c r="B154" s="97" t="s">
        <v>201</v>
      </c>
      <c r="C154" s="98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0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0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0</v>
      </c>
      <c r="H154" s="62">
        <f t="shared" si="31"/>
        <v>0</v>
      </c>
      <c r="I154" s="62">
        <f t="shared" si="31"/>
        <v>0</v>
      </c>
      <c r="J154" s="62">
        <f t="shared" si="31"/>
        <v>0</v>
      </c>
      <c r="K154" s="62">
        <f t="shared" si="31"/>
        <v>0</v>
      </c>
      <c r="L154" s="62">
        <f t="shared" si="31"/>
        <v>0</v>
      </c>
      <c r="M154" s="62">
        <f t="shared" si="31"/>
        <v>0</v>
      </c>
      <c r="N154" s="62">
        <f t="shared" si="31"/>
        <v>0</v>
      </c>
      <c r="O154" s="62">
        <f t="shared" si="31"/>
        <v>0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0</v>
      </c>
      <c r="Z154" s="62">
        <f t="shared" si="31"/>
        <v>0</v>
      </c>
      <c r="AA154" s="62">
        <f t="shared" si="31"/>
        <v>0</v>
      </c>
      <c r="AB154" s="62">
        <f t="shared" si="31"/>
        <v>0</v>
      </c>
      <c r="AC154" s="62">
        <f t="shared" si="31"/>
        <v>0</v>
      </c>
      <c r="AD154" s="62">
        <f t="shared" si="31"/>
        <v>0</v>
      </c>
      <c r="AE154" s="62">
        <f t="shared" si="31"/>
        <v>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Y2:Y3"/>
    <mergeCell ref="Z2:Z3"/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B315-48AA-405D-807A-978FB15B15D4}">
  <sheetPr codeName="Sheet22"/>
  <dimension ref="B1:AE159"/>
  <sheetViews>
    <sheetView zoomScale="50" zoomScaleNormal="50" workbookViewId="0">
      <pane xSplit="3" ySplit="2" topLeftCell="D143" activePane="bottomRight" state="frozen"/>
      <selection pane="topRight" activeCell="D1" sqref="D1"/>
      <selection pane="bottomLeft" activeCell="A3" sqref="A3"/>
      <selection pane="bottomRight" activeCell="H158" sqref="H158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5" width="14.28515625" style="56" customWidth="1"/>
    <col min="26" max="26" width="19.7109375" style="57" customWidth="1"/>
    <col min="27" max="16384" width="8.85546875" style="49"/>
  </cols>
  <sheetData>
    <row r="1" spans="2:26" ht="68.25">
      <c r="B1" s="105" t="s">
        <v>237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</row>
    <row r="2" spans="2:26" ht="49.9" customHeight="1">
      <c r="B2" s="99" t="s">
        <v>3</v>
      </c>
      <c r="C2" s="99" t="s">
        <v>4</v>
      </c>
      <c r="D2" s="106" t="s">
        <v>5</v>
      </c>
      <c r="E2" s="106"/>
      <c r="F2" s="106"/>
      <c r="G2" s="106" t="s">
        <v>6</v>
      </c>
      <c r="H2" s="106"/>
      <c r="I2" s="106"/>
      <c r="J2" s="106" t="s">
        <v>7</v>
      </c>
      <c r="K2" s="106"/>
      <c r="L2" s="106"/>
      <c r="M2" s="85" t="s">
        <v>8</v>
      </c>
      <c r="N2" s="86"/>
      <c r="O2" s="87"/>
      <c r="P2" s="85" t="s">
        <v>132</v>
      </c>
      <c r="Q2" s="86"/>
      <c r="R2" s="87"/>
      <c r="S2" s="85" t="s">
        <v>9</v>
      </c>
      <c r="T2" s="86"/>
      <c r="U2" s="87"/>
      <c r="V2" s="106" t="s">
        <v>131</v>
      </c>
      <c r="W2" s="106"/>
      <c r="X2" s="106"/>
      <c r="Y2" s="101" t="s">
        <v>134</v>
      </c>
      <c r="Z2" s="103" t="s">
        <v>204</v>
      </c>
    </row>
    <row r="3" spans="2:26" ht="49.9" customHeight="1">
      <c r="B3" s="100"/>
      <c r="C3" s="100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102"/>
      <c r="Z3" s="104"/>
    </row>
    <row r="4" spans="2:26">
      <c r="B4" s="50">
        <v>1004055</v>
      </c>
      <c r="C4" s="51" t="s">
        <v>149</v>
      </c>
      <c r="D4" s="52">
        <f>+'01.09.68'!D4+'02.09.68'!D4+'03.09.68'!D4+'04.09.68'!D4+'05.09.68'!D4+'06.09.68'!D4+'07.09.68'!D4+'08.09.68'!D4+'09.09.68'!D4+'10.09.68'!D4+'11.09.68'!D4+'12.09.68'!D4+'13.09.68'!D4+'14.09.68'!D4+'15.09.68'!D4+'16.09.68'!D4+'17.09.68'!D4+'18.09.68'!D4+'19.09.68'!D4+'20.09.68'!D4+'21.09.68'!D4+'22.09.68'!D4+'23.09.68'!D4+'24.09.68'!D4+'25.09.68'!D4+'26.09.68'!D4+'27.09.68'!D4+'28.09.68'!D4+'29.09.68'!D4+'30.09.68'!D4</f>
        <v>61</v>
      </c>
      <c r="E4" s="52">
        <f>+'01.09.68'!E4+'02.09.68'!E4+'03.09.68'!E4+'04.09.68'!E4+'05.09.68'!E4+'06.09.68'!E4+'07.09.68'!E4+'08.09.68'!E4+'09.09.68'!E4+'10.09.68'!E4+'11.09.68'!E4+'12.09.68'!E4+'13.09.68'!E4+'14.09.68'!E4+'15.09.68'!E4+'16.09.68'!E4+'17.09.68'!E4+'18.09.68'!E4+'19.09.68'!E4+'20.09.68'!E4+'21.09.68'!E4+'22.09.68'!E4+'23.09.68'!E4+'24.09.68'!E4+'25.09.68'!E4+'26.09.68'!E4+'27.09.68'!E4+'28.09.68'!E4+'29.09.68'!E4+'30.09.68'!E4</f>
        <v>0</v>
      </c>
      <c r="F4" s="65">
        <f>SUM(D4:E4)</f>
        <v>61</v>
      </c>
      <c r="G4" s="52">
        <f>+'01.09.68'!G4+'02.09.68'!G4+'03.09.68'!G4+'04.09.68'!G4+'05.09.68'!G4+'06.09.68'!G4+'07.09.68'!G4+'08.09.68'!G4+'09.09.68'!G4+'10.09.68'!G4+'11.09.68'!G4+'12.09.68'!G4+'13.09.68'!G4+'14.09.68'!G4+'15.09.68'!G4+'16.09.68'!G4+'17.09.68'!G4+'18.09.68'!G4+'19.09.68'!G4+'20.09.68'!G4+'21.09.68'!G4+'22.09.68'!G4+'23.09.68'!G4+'24.09.68'!G4+'25.09.68'!G4+'26.09.68'!G4+'27.09.68'!G4+'28.09.68'!G4+'29.09.68'!G4+'30.09.68'!G4</f>
        <v>59</v>
      </c>
      <c r="H4" s="52">
        <f>+'01.09.68'!H4+'02.09.68'!H4+'03.09.68'!H4+'04.09.68'!H4+'05.09.68'!H4+'06.09.68'!H4+'07.09.68'!H4+'08.09.68'!H4+'09.09.68'!H4+'10.09.68'!H4+'11.09.68'!H4+'12.09.68'!H4+'13.09.68'!H4+'14.09.68'!H4+'15.09.68'!H4+'16.09.68'!H4+'17.09.68'!H4+'18.09.68'!H4+'19.09.68'!H4+'20.09.68'!H4+'21.09.68'!H4+'22.09.68'!H4+'23.09.68'!H4+'24.09.68'!H4+'25.09.68'!H4+'26.09.68'!H4+'27.09.68'!H4+'28.09.68'!H4+'29.09.68'!H4+'30.09.68'!H4</f>
        <v>0</v>
      </c>
      <c r="I4" s="65">
        <f>SUM(G4:H4)</f>
        <v>59</v>
      </c>
      <c r="J4" s="52">
        <f>+'01.09.68'!J4+'02.09.68'!J4+'03.09.68'!J4+'04.09.68'!J4+'05.09.68'!J4+'06.09.68'!J4+'07.09.68'!J4+'08.09.68'!J4+'09.09.68'!J4+'10.09.68'!J4+'11.09.68'!J4+'12.09.68'!J4+'13.09.68'!J4+'14.09.68'!J4+'15.09.68'!J4+'16.09.68'!J4+'17.09.68'!J4+'18.09.68'!J4+'19.09.68'!J4+'20.09.68'!J4+'21.09.68'!J4+'22.09.68'!J4+'23.09.68'!J4+'24.09.68'!J4+'25.09.68'!J4+'26.09.68'!J4+'27.09.68'!J4+'28.09.68'!J4+'29.09.68'!J4+'30.09.68'!J4</f>
        <v>18</v>
      </c>
      <c r="K4" s="52">
        <f>+'01.09.68'!K4+'02.09.68'!K4+'03.09.68'!K4+'04.09.68'!K4+'05.09.68'!K4+'06.09.68'!K4+'07.09.68'!K4+'08.09.68'!K4+'09.09.68'!K4+'10.09.68'!K4+'11.09.68'!K4+'12.09.68'!K4+'13.09.68'!K4+'14.09.68'!K4+'15.09.68'!K4+'16.09.68'!K4+'17.09.68'!K4+'18.09.68'!K4+'19.09.68'!K4+'20.09.68'!K4+'21.09.68'!K4+'22.09.68'!K4+'23.09.68'!K4+'24.09.68'!K4+'25.09.68'!K4+'26.09.68'!K4+'27.09.68'!K4+'28.09.68'!K4+'29.09.68'!K4+'30.09.68'!K4</f>
        <v>0</v>
      </c>
      <c r="L4" s="65">
        <f>SUM(J4:K4)</f>
        <v>18</v>
      </c>
      <c r="M4" s="52">
        <f>+'01.09.68'!M4+'02.09.68'!M4+'03.09.68'!M4+'04.09.68'!M4+'05.09.68'!M4+'06.09.68'!M4+'07.09.68'!M4+'08.09.68'!M4+'09.09.68'!M4+'10.09.68'!M4+'11.09.68'!M4+'12.09.68'!M4+'13.09.68'!M4+'14.09.68'!M4+'15.09.68'!M4+'16.09.68'!M4+'17.09.68'!M4+'18.09.68'!M4+'19.09.68'!M4+'20.09.68'!M4+'21.09.68'!M4+'22.09.68'!M4+'23.09.68'!M4+'24.09.68'!M4+'25.09.68'!M4+'26.09.68'!M4+'27.09.68'!M4+'28.09.68'!M4+'29.09.68'!M4+'30.09.68'!M4</f>
        <v>1192</v>
      </c>
      <c r="N4" s="52">
        <f>+'01.09.68'!N4+'02.09.68'!N4+'03.09.68'!N4+'04.09.68'!N4+'05.09.68'!N4+'06.09.68'!N4+'07.09.68'!N4+'08.09.68'!N4+'09.09.68'!N4+'10.09.68'!N4+'11.09.68'!N4+'12.09.68'!N4+'13.09.68'!N4+'14.09.68'!N4+'15.09.68'!N4+'16.09.68'!N4+'17.09.68'!N4+'18.09.68'!N4+'19.09.68'!N4+'20.09.68'!N4+'21.09.68'!N4+'22.09.68'!N4+'23.09.68'!N4+'24.09.68'!N4+'25.09.68'!N4+'26.09.68'!N4+'27.09.68'!N4+'28.09.68'!N4+'29.09.68'!N4+'30.09.68'!N4</f>
        <v>0</v>
      </c>
      <c r="O4" s="65">
        <f>SUM(M4:N4)</f>
        <v>1192</v>
      </c>
      <c r="P4" s="52">
        <f>+'01.09.68'!P4+'02.09.68'!P4+'03.09.68'!P4+'04.09.68'!P4+'05.09.68'!P4+'06.09.68'!P4+'07.09.68'!P4+'08.09.68'!P4+'09.09.68'!P4+'10.09.68'!P4+'11.09.68'!P4+'12.09.68'!P4+'13.09.68'!P4+'14.09.68'!P4+'15.09.68'!P4+'16.09.68'!P4+'17.09.68'!P4+'18.09.68'!P4+'19.09.68'!P4+'20.09.68'!P4+'21.09.68'!P4+'22.09.68'!P4+'23.09.68'!P4+'24.09.68'!P4+'25.09.68'!P4+'26.09.68'!P4+'27.09.68'!P4+'28.09.68'!P4+'29.09.68'!P4+'30.09.68'!P4</f>
        <v>135</v>
      </c>
      <c r="Q4" s="52">
        <f>+'01.09.68'!Q4+'02.09.68'!Q4+'03.09.68'!Q4+'04.09.68'!Q4+'05.09.68'!Q4+'06.09.68'!Q4+'07.09.68'!Q4+'08.09.68'!Q4+'09.09.68'!Q4+'10.09.68'!Q4+'11.09.68'!Q4+'12.09.68'!Q4+'13.09.68'!Q4+'14.09.68'!Q4+'15.09.68'!Q4+'16.09.68'!Q4+'17.09.68'!Q4+'18.09.68'!Q4+'19.09.68'!Q4+'20.09.68'!Q4+'21.09.68'!Q4+'22.09.68'!Q4+'23.09.68'!Q4+'24.09.68'!Q4+'25.09.68'!Q4+'26.09.68'!Q4+'27.09.68'!Q4+'28.09.68'!Q4+'29.09.68'!Q4+'30.09.68'!Q4</f>
        <v>0</v>
      </c>
      <c r="R4" s="65">
        <f>SUM(P4:Q4)</f>
        <v>135</v>
      </c>
      <c r="S4" s="52">
        <f>+'01.09.68'!S4+'02.09.68'!S4+'03.09.68'!S4+'04.09.68'!S4+'05.09.68'!S4+'06.09.68'!S4+'07.09.68'!S4+'08.09.68'!S4+'09.09.68'!S4+'10.09.68'!S4+'11.09.68'!S4+'12.09.68'!S4+'13.09.68'!S4+'14.09.68'!S4+'15.09.68'!S4+'16.09.68'!S4+'17.09.68'!S4+'18.09.68'!S4+'19.09.68'!S4+'20.09.68'!S4+'21.09.68'!S4+'22.09.68'!S4+'23.09.68'!S4+'24.09.68'!S4+'25.09.68'!S4+'26.09.68'!S4+'27.09.68'!S4+'28.09.68'!S4+'29.09.68'!S4+'30.09.68'!S4</f>
        <v>0</v>
      </c>
      <c r="T4" s="52">
        <f>+'01.09.68'!T4+'02.09.68'!T4+'03.09.68'!T4+'04.09.68'!T4+'05.09.68'!T4+'06.09.68'!T4+'07.09.68'!T4+'08.09.68'!T4+'09.09.68'!T4+'10.09.68'!T4+'11.09.68'!T4+'12.09.68'!T4+'13.09.68'!T4+'14.09.68'!T4+'15.09.68'!T4+'16.09.68'!T4+'17.09.68'!T4+'18.09.68'!T4+'19.09.68'!T4+'20.09.68'!T4+'21.09.68'!T4+'22.09.68'!T4+'23.09.68'!T4+'24.09.68'!T4+'25.09.68'!T4+'26.09.68'!T4+'27.09.68'!T4+'28.09.68'!T4+'29.09.68'!T4+'30.09.68'!T4</f>
        <v>0</v>
      </c>
      <c r="U4" s="65">
        <f>SUM(S4:T4)</f>
        <v>0</v>
      </c>
      <c r="V4" s="52">
        <f>+'01.09.68'!V4+'02.09.68'!V4+'03.09.68'!V4+'04.09.68'!V4+'05.09.68'!V4+'06.09.68'!V4+'07.09.68'!V4+'08.09.68'!V4+'09.09.68'!V4+'10.09.68'!V4+'11.09.68'!V4+'12.09.68'!V4+'13.09.68'!V4+'14.09.68'!V4+'15.09.68'!V4+'16.09.68'!V4+'17.09.68'!V4+'18.09.68'!V4+'19.09.68'!V4+'20.09.68'!V4+'21.09.68'!V4+'22.09.68'!V4+'23.09.68'!V4+'24.09.68'!V4+'25.09.68'!V4+'26.09.68'!V4+'27.09.68'!V4+'28.09.68'!V4+'29.09.68'!V4+'30.09.68'!V4</f>
        <v>0</v>
      </c>
      <c r="W4" s="52">
        <f>+'01.09.68'!W4+'02.09.68'!W4+'03.09.68'!W4+'04.09.68'!W4+'05.09.68'!W4+'06.09.68'!W4+'07.09.68'!W4+'08.09.68'!W4+'09.09.68'!W4+'10.09.68'!W4+'11.09.68'!W4+'12.09.68'!W4+'13.09.68'!W4+'14.09.68'!W4+'15.09.68'!W4+'16.09.68'!W4+'17.09.68'!W4+'18.09.68'!W4+'19.09.68'!W4+'20.09.68'!W4+'21.09.68'!W4+'22.09.68'!W4+'23.09.68'!W4+'24.09.68'!W4+'25.09.68'!W4+'26.09.68'!W4+'27.09.68'!W4+'28.09.68'!W4+'29.09.68'!W4+'30.09.68'!W4</f>
        <v>0</v>
      </c>
      <c r="X4" s="65">
        <f>SUM(V4:W4)</f>
        <v>0</v>
      </c>
      <c r="Y4" s="52">
        <f>+'01.09.68'!Y4+'02.09.68'!Y4+'03.09.68'!Y4+'04.09.68'!Y4+'05.09.68'!Y4+'06.09.68'!Y4+'07.09.68'!Y4+'08.09.68'!Y4+'09.09.68'!Y4+'10.09.68'!Y4+'11.09.68'!Y4+'12.09.68'!Y4+'13.09.68'!Y4+'14.09.68'!Y4+'15.09.68'!Y4+'16.09.68'!Y4+'17.09.68'!Y4+'18.09.68'!Y4+'19.09.68'!Y4+'20.09.68'!Y4+'21.09.68'!Y4+'22.09.68'!Y4+'23.09.68'!Y4+'24.09.68'!Y4+'25.09.68'!Y4+'26.09.68'!Y4+'27.09.68'!Y4+'28.09.68'!Y4+'29.09.68'!Y4+'30.09.68'!Y4</f>
        <v>169</v>
      </c>
      <c r="Z4" s="66">
        <f>+F4+I4+L4+O4+R4+U4+X4+Y4</f>
        <v>1634</v>
      </c>
    </row>
    <row r="5" spans="2:26">
      <c r="B5" s="50">
        <v>1111002</v>
      </c>
      <c r="C5" s="51" t="s">
        <v>150</v>
      </c>
      <c r="D5" s="52">
        <f>+'01.09.68'!D5+'02.09.68'!D5+'03.09.68'!D5+'04.09.68'!D5+'05.09.68'!D5+'06.09.68'!D5+'07.09.68'!D5+'08.09.68'!D5+'09.09.68'!D5+'10.09.68'!D5+'11.09.68'!D5+'12.09.68'!D5+'13.09.68'!D5+'14.09.68'!D5+'15.09.68'!D5+'16.09.68'!D5+'17.09.68'!D5+'18.09.68'!D5+'19.09.68'!D5+'20.09.68'!D5+'21.09.68'!D5+'22.09.68'!D5+'23.09.68'!D5+'24.09.68'!D5+'25.09.68'!D5+'26.09.68'!D5+'27.09.68'!D5+'28.09.68'!D5+'29.09.68'!D5+'30.09.68'!D5</f>
        <v>33</v>
      </c>
      <c r="E5" s="52">
        <f>+'01.09.68'!E5+'02.09.68'!E5+'03.09.68'!E5+'04.09.68'!E5+'05.09.68'!E5+'06.09.68'!E5+'07.09.68'!E5+'08.09.68'!E5+'09.09.68'!E5+'10.09.68'!E5+'11.09.68'!E5+'12.09.68'!E5+'13.09.68'!E5+'14.09.68'!E5+'15.09.68'!E5+'16.09.68'!E5+'17.09.68'!E5+'18.09.68'!E5+'19.09.68'!E5+'20.09.68'!E5+'21.09.68'!E5+'22.09.68'!E5+'23.09.68'!E5+'24.09.68'!E5+'25.09.68'!E5+'26.09.68'!E5+'27.09.68'!E5+'28.09.68'!E5+'29.09.68'!E5+'30.09.68'!E5</f>
        <v>0</v>
      </c>
      <c r="F5" s="65">
        <f t="shared" ref="F5:F68" si="0">SUM(D5:E5)</f>
        <v>33</v>
      </c>
      <c r="G5" s="52">
        <f>+'01.09.68'!G5+'02.09.68'!G5+'03.09.68'!G5+'04.09.68'!G5+'05.09.68'!G5+'06.09.68'!G5+'07.09.68'!G5+'08.09.68'!G5+'09.09.68'!G5+'10.09.68'!G5+'11.09.68'!G5+'12.09.68'!G5+'13.09.68'!G5+'14.09.68'!G5+'15.09.68'!G5+'16.09.68'!G5+'17.09.68'!G5+'18.09.68'!G5+'19.09.68'!G5+'20.09.68'!G5+'21.09.68'!G5+'22.09.68'!G5+'23.09.68'!G5+'24.09.68'!G5+'25.09.68'!G5+'26.09.68'!G5+'27.09.68'!G5+'28.09.68'!G5+'29.09.68'!G5+'30.09.68'!G5</f>
        <v>1013</v>
      </c>
      <c r="H5" s="52">
        <f>+'01.09.68'!H5+'02.09.68'!H5+'03.09.68'!H5+'04.09.68'!H5+'05.09.68'!H5+'06.09.68'!H5+'07.09.68'!H5+'08.09.68'!H5+'09.09.68'!H5+'10.09.68'!H5+'11.09.68'!H5+'12.09.68'!H5+'13.09.68'!H5+'14.09.68'!H5+'15.09.68'!H5+'16.09.68'!H5+'17.09.68'!H5+'18.09.68'!H5+'19.09.68'!H5+'20.09.68'!H5+'21.09.68'!H5+'22.09.68'!H5+'23.09.68'!H5+'24.09.68'!H5+'25.09.68'!H5+'26.09.68'!H5+'27.09.68'!H5+'28.09.68'!H5+'29.09.68'!H5+'30.09.68'!H5</f>
        <v>0</v>
      </c>
      <c r="I5" s="65">
        <f t="shared" ref="I5:I68" si="1">SUM(G5:H5)</f>
        <v>1013</v>
      </c>
      <c r="J5" s="52">
        <f>+'01.09.68'!J5+'02.09.68'!J5+'03.09.68'!J5+'04.09.68'!J5+'05.09.68'!J5+'06.09.68'!J5+'07.09.68'!J5+'08.09.68'!J5+'09.09.68'!J5+'10.09.68'!J5+'11.09.68'!J5+'12.09.68'!J5+'13.09.68'!J5+'14.09.68'!J5+'15.09.68'!J5+'16.09.68'!J5+'17.09.68'!J5+'18.09.68'!J5+'19.09.68'!J5+'20.09.68'!J5+'21.09.68'!J5+'22.09.68'!J5+'23.09.68'!J5+'24.09.68'!J5+'25.09.68'!J5+'26.09.68'!J5+'27.09.68'!J5+'28.09.68'!J5+'29.09.68'!J5+'30.09.68'!J5</f>
        <v>508</v>
      </c>
      <c r="K5" s="52">
        <f>+'01.09.68'!K5+'02.09.68'!K5+'03.09.68'!K5+'04.09.68'!K5+'05.09.68'!K5+'06.09.68'!K5+'07.09.68'!K5+'08.09.68'!K5+'09.09.68'!K5+'10.09.68'!K5+'11.09.68'!K5+'12.09.68'!K5+'13.09.68'!K5+'14.09.68'!K5+'15.09.68'!K5+'16.09.68'!K5+'17.09.68'!K5+'18.09.68'!K5+'19.09.68'!K5+'20.09.68'!K5+'21.09.68'!K5+'22.09.68'!K5+'23.09.68'!K5+'24.09.68'!K5+'25.09.68'!K5+'26.09.68'!K5+'27.09.68'!K5+'28.09.68'!K5+'29.09.68'!K5+'30.09.68'!K5</f>
        <v>0</v>
      </c>
      <c r="L5" s="65">
        <f t="shared" ref="L5:L68" si="2">SUM(J5:K5)</f>
        <v>508</v>
      </c>
      <c r="M5" s="52">
        <f>+'01.09.68'!M5+'02.09.68'!M5+'03.09.68'!M5+'04.09.68'!M5+'05.09.68'!M5+'06.09.68'!M5+'07.09.68'!M5+'08.09.68'!M5+'09.09.68'!M5+'10.09.68'!M5+'11.09.68'!M5+'12.09.68'!M5+'13.09.68'!M5+'14.09.68'!M5+'15.09.68'!M5+'16.09.68'!M5+'17.09.68'!M5+'18.09.68'!M5+'19.09.68'!M5+'20.09.68'!M5+'21.09.68'!M5+'22.09.68'!M5+'23.09.68'!M5+'24.09.68'!M5+'25.09.68'!M5+'26.09.68'!M5+'27.09.68'!M5+'28.09.68'!M5+'29.09.68'!M5+'30.09.68'!M5</f>
        <v>127</v>
      </c>
      <c r="N5" s="52">
        <f>+'01.09.68'!N5+'02.09.68'!N5+'03.09.68'!N5+'04.09.68'!N5+'05.09.68'!N5+'06.09.68'!N5+'07.09.68'!N5+'08.09.68'!N5+'09.09.68'!N5+'10.09.68'!N5+'11.09.68'!N5+'12.09.68'!N5+'13.09.68'!N5+'14.09.68'!N5+'15.09.68'!N5+'16.09.68'!N5+'17.09.68'!N5+'18.09.68'!N5+'19.09.68'!N5+'20.09.68'!N5+'21.09.68'!N5+'22.09.68'!N5+'23.09.68'!N5+'24.09.68'!N5+'25.09.68'!N5+'26.09.68'!N5+'27.09.68'!N5+'28.09.68'!N5+'29.09.68'!N5+'30.09.68'!N5</f>
        <v>0</v>
      </c>
      <c r="O5" s="65">
        <f t="shared" ref="O5:O68" si="3">SUM(M5:N5)</f>
        <v>127</v>
      </c>
      <c r="P5" s="52">
        <f>+'01.09.68'!P5+'02.09.68'!P5+'03.09.68'!P5+'04.09.68'!P5+'05.09.68'!P5+'06.09.68'!P5+'07.09.68'!P5+'08.09.68'!P5+'09.09.68'!P5+'10.09.68'!P5+'11.09.68'!P5+'12.09.68'!P5+'13.09.68'!P5+'14.09.68'!P5+'15.09.68'!P5+'16.09.68'!P5+'17.09.68'!P5+'18.09.68'!P5+'19.09.68'!P5+'20.09.68'!P5+'21.09.68'!P5+'22.09.68'!P5+'23.09.68'!P5+'24.09.68'!P5+'25.09.68'!P5+'26.09.68'!P5+'27.09.68'!P5+'28.09.68'!P5+'29.09.68'!P5+'30.09.68'!P5</f>
        <v>16</v>
      </c>
      <c r="Q5" s="52">
        <f>+'01.09.68'!Q5+'02.09.68'!Q5+'03.09.68'!Q5+'04.09.68'!Q5+'05.09.68'!Q5+'06.09.68'!Q5+'07.09.68'!Q5+'08.09.68'!Q5+'09.09.68'!Q5+'10.09.68'!Q5+'11.09.68'!Q5+'12.09.68'!Q5+'13.09.68'!Q5+'14.09.68'!Q5+'15.09.68'!Q5+'16.09.68'!Q5+'17.09.68'!Q5+'18.09.68'!Q5+'19.09.68'!Q5+'20.09.68'!Q5+'21.09.68'!Q5+'22.09.68'!Q5+'23.09.68'!Q5+'24.09.68'!Q5+'25.09.68'!Q5+'26.09.68'!Q5+'27.09.68'!Q5+'28.09.68'!Q5+'29.09.68'!Q5+'30.09.68'!Q5</f>
        <v>0</v>
      </c>
      <c r="R5" s="65">
        <f t="shared" ref="R5:R68" si="4">SUM(P5:Q5)</f>
        <v>16</v>
      </c>
      <c r="S5" s="52">
        <f>+'01.09.68'!S5+'02.09.68'!S5+'03.09.68'!S5+'04.09.68'!S5+'05.09.68'!S5+'06.09.68'!S5+'07.09.68'!S5+'08.09.68'!S5+'09.09.68'!S5+'10.09.68'!S5+'11.09.68'!S5+'12.09.68'!S5+'13.09.68'!S5+'14.09.68'!S5+'15.09.68'!S5+'16.09.68'!S5+'17.09.68'!S5+'18.09.68'!S5+'19.09.68'!S5+'20.09.68'!S5+'21.09.68'!S5+'22.09.68'!S5+'23.09.68'!S5+'24.09.68'!S5+'25.09.68'!S5+'26.09.68'!S5+'27.09.68'!S5+'28.09.68'!S5+'29.09.68'!S5+'30.09.68'!S5</f>
        <v>0</v>
      </c>
      <c r="T5" s="52">
        <f>+'01.09.68'!T5+'02.09.68'!T5+'03.09.68'!T5+'04.09.68'!T5+'05.09.68'!T5+'06.09.68'!T5+'07.09.68'!T5+'08.09.68'!T5+'09.09.68'!T5+'10.09.68'!T5+'11.09.68'!T5+'12.09.68'!T5+'13.09.68'!T5+'14.09.68'!T5+'15.09.68'!T5+'16.09.68'!T5+'17.09.68'!T5+'18.09.68'!T5+'19.09.68'!T5+'20.09.68'!T5+'21.09.68'!T5+'22.09.68'!T5+'23.09.68'!T5+'24.09.68'!T5+'25.09.68'!T5+'26.09.68'!T5+'27.09.68'!T5+'28.09.68'!T5+'29.09.68'!T5+'30.09.68'!T5</f>
        <v>0</v>
      </c>
      <c r="U5" s="65">
        <f t="shared" ref="U5:U68" si="5">SUM(S5:T5)</f>
        <v>0</v>
      </c>
      <c r="V5" s="52">
        <f>+'01.09.68'!V5+'02.09.68'!V5+'03.09.68'!V5+'04.09.68'!V5+'05.09.68'!V5+'06.09.68'!V5+'07.09.68'!V5+'08.09.68'!V5+'09.09.68'!V5+'10.09.68'!V5+'11.09.68'!V5+'12.09.68'!V5+'13.09.68'!V5+'14.09.68'!V5+'15.09.68'!V5+'16.09.68'!V5+'17.09.68'!V5+'18.09.68'!V5+'19.09.68'!V5+'20.09.68'!V5+'21.09.68'!V5+'22.09.68'!V5+'23.09.68'!V5+'24.09.68'!V5+'25.09.68'!V5+'26.09.68'!V5+'27.09.68'!V5+'28.09.68'!V5+'29.09.68'!V5+'30.09.68'!V5</f>
        <v>0</v>
      </c>
      <c r="W5" s="52">
        <f>+'01.09.68'!W5+'02.09.68'!W5+'03.09.68'!W5+'04.09.68'!W5+'05.09.68'!W5+'06.09.68'!W5+'07.09.68'!W5+'08.09.68'!W5+'09.09.68'!W5+'10.09.68'!W5+'11.09.68'!W5+'12.09.68'!W5+'13.09.68'!W5+'14.09.68'!W5+'15.09.68'!W5+'16.09.68'!W5+'17.09.68'!W5+'18.09.68'!W5+'19.09.68'!W5+'20.09.68'!W5+'21.09.68'!W5+'22.09.68'!W5+'23.09.68'!W5+'24.09.68'!W5+'25.09.68'!W5+'26.09.68'!W5+'27.09.68'!W5+'28.09.68'!W5+'29.09.68'!W5+'30.09.68'!W5</f>
        <v>0</v>
      </c>
      <c r="X5" s="65">
        <f t="shared" ref="X5:X68" si="6">SUM(V5:W5)</f>
        <v>0</v>
      </c>
      <c r="Y5" s="52">
        <f>+'01.09.68'!Y5+'02.09.68'!Y5+'03.09.68'!Y5+'04.09.68'!Y5+'05.09.68'!Y5+'06.09.68'!Y5+'07.09.68'!Y5+'08.09.68'!Y5+'09.09.68'!Y5+'10.09.68'!Y5+'11.09.68'!Y5+'12.09.68'!Y5+'13.09.68'!Y5+'14.09.68'!Y5+'15.09.68'!Y5+'16.09.68'!Y5+'17.09.68'!Y5+'18.09.68'!Y5+'19.09.68'!Y5+'20.09.68'!Y5+'21.09.68'!Y5+'22.09.68'!Y5+'23.09.68'!Y5+'24.09.68'!Y5+'25.09.68'!Y5+'26.09.68'!Y5+'27.09.68'!Y5+'28.09.68'!Y5+'29.09.68'!Y5+'30.09.68'!Y5</f>
        <v>148</v>
      </c>
      <c r="Z5" s="66">
        <f t="shared" ref="Z5:Z68" si="7">+F5+I5+L5+O5+R5+U5+X5+Y5</f>
        <v>1845</v>
      </c>
    </row>
    <row r="6" spans="2:26">
      <c r="B6" s="50">
        <v>1111055</v>
      </c>
      <c r="C6" s="51" t="s">
        <v>151</v>
      </c>
      <c r="D6" s="52">
        <f>+'01.09.68'!D6+'02.09.68'!D6+'03.09.68'!D6+'04.09.68'!D6+'05.09.68'!D6+'06.09.68'!D6+'07.09.68'!D6+'08.09.68'!D6+'09.09.68'!D6+'10.09.68'!D6+'11.09.68'!D6+'12.09.68'!D6+'13.09.68'!D6+'14.09.68'!D6+'15.09.68'!D6+'16.09.68'!D6+'17.09.68'!D6+'18.09.68'!D6+'19.09.68'!D6+'20.09.68'!D6+'21.09.68'!D6+'22.09.68'!D6+'23.09.68'!D6+'24.09.68'!D6+'25.09.68'!D6+'26.09.68'!D6+'27.09.68'!D6+'28.09.68'!D6+'29.09.68'!D6+'30.09.68'!D6</f>
        <v>0</v>
      </c>
      <c r="E6" s="52">
        <f>+'01.09.68'!E6+'02.09.68'!E6+'03.09.68'!E6+'04.09.68'!E6+'05.09.68'!E6+'06.09.68'!E6+'07.09.68'!E6+'08.09.68'!E6+'09.09.68'!E6+'10.09.68'!E6+'11.09.68'!E6+'12.09.68'!E6+'13.09.68'!E6+'14.09.68'!E6+'15.09.68'!E6+'16.09.68'!E6+'17.09.68'!E6+'18.09.68'!E6+'19.09.68'!E6+'20.09.68'!E6+'21.09.68'!E6+'22.09.68'!E6+'23.09.68'!E6+'24.09.68'!E6+'25.09.68'!E6+'26.09.68'!E6+'27.09.68'!E6+'28.09.68'!E6+'29.09.68'!E6+'30.09.68'!E6</f>
        <v>0</v>
      </c>
      <c r="F6" s="65">
        <f t="shared" si="0"/>
        <v>0</v>
      </c>
      <c r="G6" s="52">
        <f>+'01.09.68'!G6+'02.09.68'!G6+'03.09.68'!G6+'04.09.68'!G6+'05.09.68'!G6+'06.09.68'!G6+'07.09.68'!G6+'08.09.68'!G6+'09.09.68'!G6+'10.09.68'!G6+'11.09.68'!G6+'12.09.68'!G6+'13.09.68'!G6+'14.09.68'!G6+'15.09.68'!G6+'16.09.68'!G6+'17.09.68'!G6+'18.09.68'!G6+'19.09.68'!G6+'20.09.68'!G6+'21.09.68'!G6+'22.09.68'!G6+'23.09.68'!G6+'24.09.68'!G6+'25.09.68'!G6+'26.09.68'!G6+'27.09.68'!G6+'28.09.68'!G6+'29.09.68'!G6+'30.09.68'!G6</f>
        <v>6</v>
      </c>
      <c r="H6" s="52">
        <f>+'01.09.68'!H6+'02.09.68'!H6+'03.09.68'!H6+'04.09.68'!H6+'05.09.68'!H6+'06.09.68'!H6+'07.09.68'!H6+'08.09.68'!H6+'09.09.68'!H6+'10.09.68'!H6+'11.09.68'!H6+'12.09.68'!H6+'13.09.68'!H6+'14.09.68'!H6+'15.09.68'!H6+'16.09.68'!H6+'17.09.68'!H6+'18.09.68'!H6+'19.09.68'!H6+'20.09.68'!H6+'21.09.68'!H6+'22.09.68'!H6+'23.09.68'!H6+'24.09.68'!H6+'25.09.68'!H6+'26.09.68'!H6+'27.09.68'!H6+'28.09.68'!H6+'29.09.68'!H6+'30.09.68'!H6</f>
        <v>0</v>
      </c>
      <c r="I6" s="65">
        <f t="shared" si="1"/>
        <v>6</v>
      </c>
      <c r="J6" s="52">
        <f>+'01.09.68'!J6+'02.09.68'!J6+'03.09.68'!J6+'04.09.68'!J6+'05.09.68'!J6+'06.09.68'!J6+'07.09.68'!J6+'08.09.68'!J6+'09.09.68'!J6+'10.09.68'!J6+'11.09.68'!J6+'12.09.68'!J6+'13.09.68'!J6+'14.09.68'!J6+'15.09.68'!J6+'16.09.68'!J6+'17.09.68'!J6+'18.09.68'!J6+'19.09.68'!J6+'20.09.68'!J6+'21.09.68'!J6+'22.09.68'!J6+'23.09.68'!J6+'24.09.68'!J6+'25.09.68'!J6+'26.09.68'!J6+'27.09.68'!J6+'28.09.68'!J6+'29.09.68'!J6+'30.09.68'!J6</f>
        <v>0</v>
      </c>
      <c r="K6" s="52">
        <f>+'01.09.68'!K6+'02.09.68'!K6+'03.09.68'!K6+'04.09.68'!K6+'05.09.68'!K6+'06.09.68'!K6+'07.09.68'!K6+'08.09.68'!K6+'09.09.68'!K6+'10.09.68'!K6+'11.09.68'!K6+'12.09.68'!K6+'13.09.68'!K6+'14.09.68'!K6+'15.09.68'!K6+'16.09.68'!K6+'17.09.68'!K6+'18.09.68'!K6+'19.09.68'!K6+'20.09.68'!K6+'21.09.68'!K6+'22.09.68'!K6+'23.09.68'!K6+'24.09.68'!K6+'25.09.68'!K6+'26.09.68'!K6+'27.09.68'!K6+'28.09.68'!K6+'29.09.68'!K6+'30.09.68'!K6</f>
        <v>0</v>
      </c>
      <c r="L6" s="65">
        <f t="shared" si="2"/>
        <v>0</v>
      </c>
      <c r="M6" s="52">
        <f>+'01.09.68'!M6+'02.09.68'!M6+'03.09.68'!M6+'04.09.68'!M6+'05.09.68'!M6+'06.09.68'!M6+'07.09.68'!M6+'08.09.68'!M6+'09.09.68'!M6+'10.09.68'!M6+'11.09.68'!M6+'12.09.68'!M6+'13.09.68'!M6+'14.09.68'!M6+'15.09.68'!M6+'16.09.68'!M6+'17.09.68'!M6+'18.09.68'!M6+'19.09.68'!M6+'20.09.68'!M6+'21.09.68'!M6+'22.09.68'!M6+'23.09.68'!M6+'24.09.68'!M6+'25.09.68'!M6+'26.09.68'!M6+'27.09.68'!M6+'28.09.68'!M6+'29.09.68'!M6+'30.09.68'!M6</f>
        <v>0</v>
      </c>
      <c r="N6" s="52">
        <f>+'01.09.68'!N6+'02.09.68'!N6+'03.09.68'!N6+'04.09.68'!N6+'05.09.68'!N6+'06.09.68'!N6+'07.09.68'!N6+'08.09.68'!N6+'09.09.68'!N6+'10.09.68'!N6+'11.09.68'!N6+'12.09.68'!N6+'13.09.68'!N6+'14.09.68'!N6+'15.09.68'!N6+'16.09.68'!N6+'17.09.68'!N6+'18.09.68'!N6+'19.09.68'!N6+'20.09.68'!N6+'21.09.68'!N6+'22.09.68'!N6+'23.09.68'!N6+'24.09.68'!N6+'25.09.68'!N6+'26.09.68'!N6+'27.09.68'!N6+'28.09.68'!N6+'29.09.68'!N6+'30.09.68'!N6</f>
        <v>0</v>
      </c>
      <c r="O6" s="65">
        <f t="shared" si="3"/>
        <v>0</v>
      </c>
      <c r="P6" s="52">
        <f>+'01.09.68'!P6+'02.09.68'!P6+'03.09.68'!P6+'04.09.68'!P6+'05.09.68'!P6+'06.09.68'!P6+'07.09.68'!P6+'08.09.68'!P6+'09.09.68'!P6+'10.09.68'!P6+'11.09.68'!P6+'12.09.68'!P6+'13.09.68'!P6+'14.09.68'!P6+'15.09.68'!P6+'16.09.68'!P6+'17.09.68'!P6+'18.09.68'!P6+'19.09.68'!P6+'20.09.68'!P6+'21.09.68'!P6+'22.09.68'!P6+'23.09.68'!P6+'24.09.68'!P6+'25.09.68'!P6+'26.09.68'!P6+'27.09.68'!P6+'28.09.68'!P6+'29.09.68'!P6+'30.09.68'!P6</f>
        <v>0</v>
      </c>
      <c r="Q6" s="52">
        <f>+'01.09.68'!Q6+'02.09.68'!Q6+'03.09.68'!Q6+'04.09.68'!Q6+'05.09.68'!Q6+'06.09.68'!Q6+'07.09.68'!Q6+'08.09.68'!Q6+'09.09.68'!Q6+'10.09.68'!Q6+'11.09.68'!Q6+'12.09.68'!Q6+'13.09.68'!Q6+'14.09.68'!Q6+'15.09.68'!Q6+'16.09.68'!Q6+'17.09.68'!Q6+'18.09.68'!Q6+'19.09.68'!Q6+'20.09.68'!Q6+'21.09.68'!Q6+'22.09.68'!Q6+'23.09.68'!Q6+'24.09.68'!Q6+'25.09.68'!Q6+'26.09.68'!Q6+'27.09.68'!Q6+'28.09.68'!Q6+'29.09.68'!Q6+'30.09.68'!Q6</f>
        <v>0</v>
      </c>
      <c r="R6" s="65">
        <f t="shared" si="4"/>
        <v>0</v>
      </c>
      <c r="S6" s="52">
        <f>+'01.09.68'!S6+'02.09.68'!S6+'03.09.68'!S6+'04.09.68'!S6+'05.09.68'!S6+'06.09.68'!S6+'07.09.68'!S6+'08.09.68'!S6+'09.09.68'!S6+'10.09.68'!S6+'11.09.68'!S6+'12.09.68'!S6+'13.09.68'!S6+'14.09.68'!S6+'15.09.68'!S6+'16.09.68'!S6+'17.09.68'!S6+'18.09.68'!S6+'19.09.68'!S6+'20.09.68'!S6+'21.09.68'!S6+'22.09.68'!S6+'23.09.68'!S6+'24.09.68'!S6+'25.09.68'!S6+'26.09.68'!S6+'27.09.68'!S6+'28.09.68'!S6+'29.09.68'!S6+'30.09.68'!S6</f>
        <v>0</v>
      </c>
      <c r="T6" s="52">
        <f>+'01.09.68'!T6+'02.09.68'!T6+'03.09.68'!T6+'04.09.68'!T6+'05.09.68'!T6+'06.09.68'!T6+'07.09.68'!T6+'08.09.68'!T6+'09.09.68'!T6+'10.09.68'!T6+'11.09.68'!T6+'12.09.68'!T6+'13.09.68'!T6+'14.09.68'!T6+'15.09.68'!T6+'16.09.68'!T6+'17.09.68'!T6+'18.09.68'!T6+'19.09.68'!T6+'20.09.68'!T6+'21.09.68'!T6+'22.09.68'!T6+'23.09.68'!T6+'24.09.68'!T6+'25.09.68'!T6+'26.09.68'!T6+'27.09.68'!T6+'28.09.68'!T6+'29.09.68'!T6+'30.09.68'!T6</f>
        <v>0</v>
      </c>
      <c r="U6" s="65">
        <f t="shared" si="5"/>
        <v>0</v>
      </c>
      <c r="V6" s="52">
        <f>+'01.09.68'!V6+'02.09.68'!V6+'03.09.68'!V6+'04.09.68'!V6+'05.09.68'!V6+'06.09.68'!V6+'07.09.68'!V6+'08.09.68'!V6+'09.09.68'!V6+'10.09.68'!V6+'11.09.68'!V6+'12.09.68'!V6+'13.09.68'!V6+'14.09.68'!V6+'15.09.68'!V6+'16.09.68'!V6+'17.09.68'!V6+'18.09.68'!V6+'19.09.68'!V6+'20.09.68'!V6+'21.09.68'!V6+'22.09.68'!V6+'23.09.68'!V6+'24.09.68'!V6+'25.09.68'!V6+'26.09.68'!V6+'27.09.68'!V6+'28.09.68'!V6+'29.09.68'!V6+'30.09.68'!V6</f>
        <v>0</v>
      </c>
      <c r="W6" s="52">
        <f>+'01.09.68'!W6+'02.09.68'!W6+'03.09.68'!W6+'04.09.68'!W6+'05.09.68'!W6+'06.09.68'!W6+'07.09.68'!W6+'08.09.68'!W6+'09.09.68'!W6+'10.09.68'!W6+'11.09.68'!W6+'12.09.68'!W6+'13.09.68'!W6+'14.09.68'!W6+'15.09.68'!W6+'16.09.68'!W6+'17.09.68'!W6+'18.09.68'!W6+'19.09.68'!W6+'20.09.68'!W6+'21.09.68'!W6+'22.09.68'!W6+'23.09.68'!W6+'24.09.68'!W6+'25.09.68'!W6+'26.09.68'!W6+'27.09.68'!W6+'28.09.68'!W6+'29.09.68'!W6+'30.09.68'!W6</f>
        <v>0</v>
      </c>
      <c r="X6" s="65">
        <f t="shared" si="6"/>
        <v>0</v>
      </c>
      <c r="Y6" s="52">
        <f>+'01.09.68'!Y6+'02.09.68'!Y6+'03.09.68'!Y6+'04.09.68'!Y6+'05.09.68'!Y6+'06.09.68'!Y6+'07.09.68'!Y6+'08.09.68'!Y6+'09.09.68'!Y6+'10.09.68'!Y6+'11.09.68'!Y6+'12.09.68'!Y6+'13.09.68'!Y6+'14.09.68'!Y6+'15.09.68'!Y6+'16.09.68'!Y6+'17.09.68'!Y6+'18.09.68'!Y6+'19.09.68'!Y6+'20.09.68'!Y6+'21.09.68'!Y6+'22.09.68'!Y6+'23.09.68'!Y6+'24.09.68'!Y6+'25.09.68'!Y6+'26.09.68'!Y6+'27.09.68'!Y6+'28.09.68'!Y6+'29.09.68'!Y6+'30.09.68'!Y6</f>
        <v>0</v>
      </c>
      <c r="Z6" s="66">
        <f t="shared" si="7"/>
        <v>6</v>
      </c>
    </row>
    <row r="7" spans="2:26">
      <c r="B7" s="50">
        <v>1111084</v>
      </c>
      <c r="C7" s="51" t="s">
        <v>152</v>
      </c>
      <c r="D7" s="52">
        <f>+'01.09.68'!D7+'02.09.68'!D7+'03.09.68'!D7+'04.09.68'!D7+'05.09.68'!D7+'06.09.68'!D7+'07.09.68'!D7+'08.09.68'!D7+'09.09.68'!D7+'10.09.68'!D7+'11.09.68'!D7+'12.09.68'!D7+'13.09.68'!D7+'14.09.68'!D7+'15.09.68'!D7+'16.09.68'!D7+'17.09.68'!D7+'18.09.68'!D7+'19.09.68'!D7+'20.09.68'!D7+'21.09.68'!D7+'22.09.68'!D7+'23.09.68'!D7+'24.09.68'!D7+'25.09.68'!D7+'26.09.68'!D7+'27.09.68'!D7+'28.09.68'!D7+'29.09.68'!D7+'30.09.68'!D7</f>
        <v>0</v>
      </c>
      <c r="E7" s="52">
        <f>+'01.09.68'!E7+'02.09.68'!E7+'03.09.68'!E7+'04.09.68'!E7+'05.09.68'!E7+'06.09.68'!E7+'07.09.68'!E7+'08.09.68'!E7+'09.09.68'!E7+'10.09.68'!E7+'11.09.68'!E7+'12.09.68'!E7+'13.09.68'!E7+'14.09.68'!E7+'15.09.68'!E7+'16.09.68'!E7+'17.09.68'!E7+'18.09.68'!E7+'19.09.68'!E7+'20.09.68'!E7+'21.09.68'!E7+'22.09.68'!E7+'23.09.68'!E7+'24.09.68'!E7+'25.09.68'!E7+'26.09.68'!E7+'27.09.68'!E7+'28.09.68'!E7+'29.09.68'!E7+'30.09.68'!E7</f>
        <v>0</v>
      </c>
      <c r="F7" s="65">
        <f t="shared" si="0"/>
        <v>0</v>
      </c>
      <c r="G7" s="52">
        <f>+'01.09.68'!G7+'02.09.68'!G7+'03.09.68'!G7+'04.09.68'!G7+'05.09.68'!G7+'06.09.68'!G7+'07.09.68'!G7+'08.09.68'!G7+'09.09.68'!G7+'10.09.68'!G7+'11.09.68'!G7+'12.09.68'!G7+'13.09.68'!G7+'14.09.68'!G7+'15.09.68'!G7+'16.09.68'!G7+'17.09.68'!G7+'18.09.68'!G7+'19.09.68'!G7+'20.09.68'!G7+'21.09.68'!G7+'22.09.68'!G7+'23.09.68'!G7+'24.09.68'!G7+'25.09.68'!G7+'26.09.68'!G7+'27.09.68'!G7+'28.09.68'!G7+'29.09.68'!G7+'30.09.68'!G7</f>
        <v>0</v>
      </c>
      <c r="H7" s="52">
        <f>+'01.09.68'!H7+'02.09.68'!H7+'03.09.68'!H7+'04.09.68'!H7+'05.09.68'!H7+'06.09.68'!H7+'07.09.68'!H7+'08.09.68'!H7+'09.09.68'!H7+'10.09.68'!H7+'11.09.68'!H7+'12.09.68'!H7+'13.09.68'!H7+'14.09.68'!H7+'15.09.68'!H7+'16.09.68'!H7+'17.09.68'!H7+'18.09.68'!H7+'19.09.68'!H7+'20.09.68'!H7+'21.09.68'!H7+'22.09.68'!H7+'23.09.68'!H7+'24.09.68'!H7+'25.09.68'!H7+'26.09.68'!H7+'27.09.68'!H7+'28.09.68'!H7+'29.09.68'!H7+'30.09.68'!H7</f>
        <v>0</v>
      </c>
      <c r="I7" s="65">
        <f t="shared" si="1"/>
        <v>0</v>
      </c>
      <c r="J7" s="52">
        <f>+'01.09.68'!J7+'02.09.68'!J7+'03.09.68'!J7+'04.09.68'!J7+'05.09.68'!J7+'06.09.68'!J7+'07.09.68'!J7+'08.09.68'!J7+'09.09.68'!J7+'10.09.68'!J7+'11.09.68'!J7+'12.09.68'!J7+'13.09.68'!J7+'14.09.68'!J7+'15.09.68'!J7+'16.09.68'!J7+'17.09.68'!J7+'18.09.68'!J7+'19.09.68'!J7+'20.09.68'!J7+'21.09.68'!J7+'22.09.68'!J7+'23.09.68'!J7+'24.09.68'!J7+'25.09.68'!J7+'26.09.68'!J7+'27.09.68'!J7+'28.09.68'!J7+'29.09.68'!J7+'30.09.68'!J7</f>
        <v>0</v>
      </c>
      <c r="K7" s="52">
        <f>+'01.09.68'!K7+'02.09.68'!K7+'03.09.68'!K7+'04.09.68'!K7+'05.09.68'!K7+'06.09.68'!K7+'07.09.68'!K7+'08.09.68'!K7+'09.09.68'!K7+'10.09.68'!K7+'11.09.68'!K7+'12.09.68'!K7+'13.09.68'!K7+'14.09.68'!K7+'15.09.68'!K7+'16.09.68'!K7+'17.09.68'!K7+'18.09.68'!K7+'19.09.68'!K7+'20.09.68'!K7+'21.09.68'!K7+'22.09.68'!K7+'23.09.68'!K7+'24.09.68'!K7+'25.09.68'!K7+'26.09.68'!K7+'27.09.68'!K7+'28.09.68'!K7+'29.09.68'!K7+'30.09.68'!K7</f>
        <v>0</v>
      </c>
      <c r="L7" s="65">
        <f t="shared" si="2"/>
        <v>0</v>
      </c>
      <c r="M7" s="52">
        <f>+'01.09.68'!M7+'02.09.68'!M7+'03.09.68'!M7+'04.09.68'!M7+'05.09.68'!M7+'06.09.68'!M7+'07.09.68'!M7+'08.09.68'!M7+'09.09.68'!M7+'10.09.68'!M7+'11.09.68'!M7+'12.09.68'!M7+'13.09.68'!M7+'14.09.68'!M7+'15.09.68'!M7+'16.09.68'!M7+'17.09.68'!M7+'18.09.68'!M7+'19.09.68'!M7+'20.09.68'!M7+'21.09.68'!M7+'22.09.68'!M7+'23.09.68'!M7+'24.09.68'!M7+'25.09.68'!M7+'26.09.68'!M7+'27.09.68'!M7+'28.09.68'!M7+'29.09.68'!M7+'30.09.68'!M7</f>
        <v>0</v>
      </c>
      <c r="N7" s="52">
        <f>+'01.09.68'!N7+'02.09.68'!N7+'03.09.68'!N7+'04.09.68'!N7+'05.09.68'!N7+'06.09.68'!N7+'07.09.68'!N7+'08.09.68'!N7+'09.09.68'!N7+'10.09.68'!N7+'11.09.68'!N7+'12.09.68'!N7+'13.09.68'!N7+'14.09.68'!N7+'15.09.68'!N7+'16.09.68'!N7+'17.09.68'!N7+'18.09.68'!N7+'19.09.68'!N7+'20.09.68'!N7+'21.09.68'!N7+'22.09.68'!N7+'23.09.68'!N7+'24.09.68'!N7+'25.09.68'!N7+'26.09.68'!N7+'27.09.68'!N7+'28.09.68'!N7+'29.09.68'!N7+'30.09.68'!N7</f>
        <v>0</v>
      </c>
      <c r="O7" s="65">
        <f t="shared" si="3"/>
        <v>0</v>
      </c>
      <c r="P7" s="52">
        <f>+'01.09.68'!P7+'02.09.68'!P7+'03.09.68'!P7+'04.09.68'!P7+'05.09.68'!P7+'06.09.68'!P7+'07.09.68'!P7+'08.09.68'!P7+'09.09.68'!P7+'10.09.68'!P7+'11.09.68'!P7+'12.09.68'!P7+'13.09.68'!P7+'14.09.68'!P7+'15.09.68'!P7+'16.09.68'!P7+'17.09.68'!P7+'18.09.68'!P7+'19.09.68'!P7+'20.09.68'!P7+'21.09.68'!P7+'22.09.68'!P7+'23.09.68'!P7+'24.09.68'!P7+'25.09.68'!P7+'26.09.68'!P7+'27.09.68'!P7+'28.09.68'!P7+'29.09.68'!P7+'30.09.68'!P7</f>
        <v>0</v>
      </c>
      <c r="Q7" s="52">
        <f>+'01.09.68'!Q7+'02.09.68'!Q7+'03.09.68'!Q7+'04.09.68'!Q7+'05.09.68'!Q7+'06.09.68'!Q7+'07.09.68'!Q7+'08.09.68'!Q7+'09.09.68'!Q7+'10.09.68'!Q7+'11.09.68'!Q7+'12.09.68'!Q7+'13.09.68'!Q7+'14.09.68'!Q7+'15.09.68'!Q7+'16.09.68'!Q7+'17.09.68'!Q7+'18.09.68'!Q7+'19.09.68'!Q7+'20.09.68'!Q7+'21.09.68'!Q7+'22.09.68'!Q7+'23.09.68'!Q7+'24.09.68'!Q7+'25.09.68'!Q7+'26.09.68'!Q7+'27.09.68'!Q7+'28.09.68'!Q7+'29.09.68'!Q7+'30.09.68'!Q7</f>
        <v>0</v>
      </c>
      <c r="R7" s="65">
        <f t="shared" si="4"/>
        <v>0</v>
      </c>
      <c r="S7" s="52">
        <f>+'01.09.68'!S7+'02.09.68'!S7+'03.09.68'!S7+'04.09.68'!S7+'05.09.68'!S7+'06.09.68'!S7+'07.09.68'!S7+'08.09.68'!S7+'09.09.68'!S7+'10.09.68'!S7+'11.09.68'!S7+'12.09.68'!S7+'13.09.68'!S7+'14.09.68'!S7+'15.09.68'!S7+'16.09.68'!S7+'17.09.68'!S7+'18.09.68'!S7+'19.09.68'!S7+'20.09.68'!S7+'21.09.68'!S7+'22.09.68'!S7+'23.09.68'!S7+'24.09.68'!S7+'25.09.68'!S7+'26.09.68'!S7+'27.09.68'!S7+'28.09.68'!S7+'29.09.68'!S7+'30.09.68'!S7</f>
        <v>0</v>
      </c>
      <c r="T7" s="52">
        <f>+'01.09.68'!T7+'02.09.68'!T7+'03.09.68'!T7+'04.09.68'!T7+'05.09.68'!T7+'06.09.68'!T7+'07.09.68'!T7+'08.09.68'!T7+'09.09.68'!T7+'10.09.68'!T7+'11.09.68'!T7+'12.09.68'!T7+'13.09.68'!T7+'14.09.68'!T7+'15.09.68'!T7+'16.09.68'!T7+'17.09.68'!T7+'18.09.68'!T7+'19.09.68'!T7+'20.09.68'!T7+'21.09.68'!T7+'22.09.68'!T7+'23.09.68'!T7+'24.09.68'!T7+'25.09.68'!T7+'26.09.68'!T7+'27.09.68'!T7+'28.09.68'!T7+'29.09.68'!T7+'30.09.68'!T7</f>
        <v>0</v>
      </c>
      <c r="U7" s="65">
        <f t="shared" si="5"/>
        <v>0</v>
      </c>
      <c r="V7" s="52">
        <f>+'01.09.68'!V7+'02.09.68'!V7+'03.09.68'!V7+'04.09.68'!V7+'05.09.68'!V7+'06.09.68'!V7+'07.09.68'!V7+'08.09.68'!V7+'09.09.68'!V7+'10.09.68'!V7+'11.09.68'!V7+'12.09.68'!V7+'13.09.68'!V7+'14.09.68'!V7+'15.09.68'!V7+'16.09.68'!V7+'17.09.68'!V7+'18.09.68'!V7+'19.09.68'!V7+'20.09.68'!V7+'21.09.68'!V7+'22.09.68'!V7+'23.09.68'!V7+'24.09.68'!V7+'25.09.68'!V7+'26.09.68'!V7+'27.09.68'!V7+'28.09.68'!V7+'29.09.68'!V7+'30.09.68'!V7</f>
        <v>0</v>
      </c>
      <c r="W7" s="52">
        <f>+'01.09.68'!W7+'02.09.68'!W7+'03.09.68'!W7+'04.09.68'!W7+'05.09.68'!W7+'06.09.68'!W7+'07.09.68'!W7+'08.09.68'!W7+'09.09.68'!W7+'10.09.68'!W7+'11.09.68'!W7+'12.09.68'!W7+'13.09.68'!W7+'14.09.68'!W7+'15.09.68'!W7+'16.09.68'!W7+'17.09.68'!W7+'18.09.68'!W7+'19.09.68'!W7+'20.09.68'!W7+'21.09.68'!W7+'22.09.68'!W7+'23.09.68'!W7+'24.09.68'!W7+'25.09.68'!W7+'26.09.68'!W7+'27.09.68'!W7+'28.09.68'!W7+'29.09.68'!W7+'30.09.68'!W7</f>
        <v>0</v>
      </c>
      <c r="X7" s="65">
        <f t="shared" si="6"/>
        <v>0</v>
      </c>
      <c r="Y7" s="52">
        <f>+'01.09.68'!Y7+'02.09.68'!Y7+'03.09.68'!Y7+'04.09.68'!Y7+'05.09.68'!Y7+'06.09.68'!Y7+'07.09.68'!Y7+'08.09.68'!Y7+'09.09.68'!Y7+'10.09.68'!Y7+'11.09.68'!Y7+'12.09.68'!Y7+'13.09.68'!Y7+'14.09.68'!Y7+'15.09.68'!Y7+'16.09.68'!Y7+'17.09.68'!Y7+'18.09.68'!Y7+'19.09.68'!Y7+'20.09.68'!Y7+'21.09.68'!Y7+'22.09.68'!Y7+'23.09.68'!Y7+'24.09.68'!Y7+'25.09.68'!Y7+'26.09.68'!Y7+'27.09.68'!Y7+'28.09.68'!Y7+'29.09.68'!Y7+'30.09.68'!Y7</f>
        <v>0</v>
      </c>
      <c r="Z7" s="66">
        <f t="shared" si="7"/>
        <v>0</v>
      </c>
    </row>
    <row r="8" spans="2:26">
      <c r="B8" s="50">
        <v>1111043</v>
      </c>
      <c r="C8" s="51" t="s">
        <v>153</v>
      </c>
      <c r="D8" s="52">
        <f>+'01.09.68'!D8+'02.09.68'!D8+'03.09.68'!D8+'04.09.68'!D8+'05.09.68'!D8+'06.09.68'!D8+'07.09.68'!D8+'08.09.68'!D8+'09.09.68'!D8+'10.09.68'!D8+'11.09.68'!D8+'12.09.68'!D8+'13.09.68'!D8+'14.09.68'!D8+'15.09.68'!D8+'16.09.68'!D8+'17.09.68'!D8+'18.09.68'!D8+'19.09.68'!D8+'20.09.68'!D8+'21.09.68'!D8+'22.09.68'!D8+'23.09.68'!D8+'24.09.68'!D8+'25.09.68'!D8+'26.09.68'!D8+'27.09.68'!D8+'28.09.68'!D8+'29.09.68'!D8+'30.09.68'!D8</f>
        <v>0</v>
      </c>
      <c r="E8" s="52">
        <f>+'01.09.68'!E8+'02.09.68'!E8+'03.09.68'!E8+'04.09.68'!E8+'05.09.68'!E8+'06.09.68'!E8+'07.09.68'!E8+'08.09.68'!E8+'09.09.68'!E8+'10.09.68'!E8+'11.09.68'!E8+'12.09.68'!E8+'13.09.68'!E8+'14.09.68'!E8+'15.09.68'!E8+'16.09.68'!E8+'17.09.68'!E8+'18.09.68'!E8+'19.09.68'!E8+'20.09.68'!E8+'21.09.68'!E8+'22.09.68'!E8+'23.09.68'!E8+'24.09.68'!E8+'25.09.68'!E8+'26.09.68'!E8+'27.09.68'!E8+'28.09.68'!E8+'29.09.68'!E8+'30.09.68'!E8</f>
        <v>0</v>
      </c>
      <c r="F8" s="65">
        <f t="shared" si="0"/>
        <v>0</v>
      </c>
      <c r="G8" s="52">
        <f>+'01.09.68'!G8+'02.09.68'!G8+'03.09.68'!G8+'04.09.68'!G8+'05.09.68'!G8+'06.09.68'!G8+'07.09.68'!G8+'08.09.68'!G8+'09.09.68'!G8+'10.09.68'!G8+'11.09.68'!G8+'12.09.68'!G8+'13.09.68'!G8+'14.09.68'!G8+'15.09.68'!G8+'16.09.68'!G8+'17.09.68'!G8+'18.09.68'!G8+'19.09.68'!G8+'20.09.68'!G8+'21.09.68'!G8+'22.09.68'!G8+'23.09.68'!G8+'24.09.68'!G8+'25.09.68'!G8+'26.09.68'!G8+'27.09.68'!G8+'28.09.68'!G8+'29.09.68'!G8+'30.09.68'!G8</f>
        <v>0</v>
      </c>
      <c r="H8" s="52">
        <f>+'01.09.68'!H8+'02.09.68'!H8+'03.09.68'!H8+'04.09.68'!H8+'05.09.68'!H8+'06.09.68'!H8+'07.09.68'!H8+'08.09.68'!H8+'09.09.68'!H8+'10.09.68'!H8+'11.09.68'!H8+'12.09.68'!H8+'13.09.68'!H8+'14.09.68'!H8+'15.09.68'!H8+'16.09.68'!H8+'17.09.68'!H8+'18.09.68'!H8+'19.09.68'!H8+'20.09.68'!H8+'21.09.68'!H8+'22.09.68'!H8+'23.09.68'!H8+'24.09.68'!H8+'25.09.68'!H8+'26.09.68'!H8+'27.09.68'!H8+'28.09.68'!H8+'29.09.68'!H8+'30.09.68'!H8</f>
        <v>0</v>
      </c>
      <c r="I8" s="65">
        <f t="shared" si="1"/>
        <v>0</v>
      </c>
      <c r="J8" s="52">
        <f>+'01.09.68'!J8+'02.09.68'!J8+'03.09.68'!J8+'04.09.68'!J8+'05.09.68'!J8+'06.09.68'!J8+'07.09.68'!J8+'08.09.68'!J8+'09.09.68'!J8+'10.09.68'!J8+'11.09.68'!J8+'12.09.68'!J8+'13.09.68'!J8+'14.09.68'!J8+'15.09.68'!J8+'16.09.68'!J8+'17.09.68'!J8+'18.09.68'!J8+'19.09.68'!J8+'20.09.68'!J8+'21.09.68'!J8+'22.09.68'!J8+'23.09.68'!J8+'24.09.68'!J8+'25.09.68'!J8+'26.09.68'!J8+'27.09.68'!J8+'28.09.68'!J8+'29.09.68'!J8+'30.09.68'!J8</f>
        <v>0</v>
      </c>
      <c r="K8" s="52">
        <f>+'01.09.68'!K8+'02.09.68'!K8+'03.09.68'!K8+'04.09.68'!K8+'05.09.68'!K8+'06.09.68'!K8+'07.09.68'!K8+'08.09.68'!K8+'09.09.68'!K8+'10.09.68'!K8+'11.09.68'!K8+'12.09.68'!K8+'13.09.68'!K8+'14.09.68'!K8+'15.09.68'!K8+'16.09.68'!K8+'17.09.68'!K8+'18.09.68'!K8+'19.09.68'!K8+'20.09.68'!K8+'21.09.68'!K8+'22.09.68'!K8+'23.09.68'!K8+'24.09.68'!K8+'25.09.68'!K8+'26.09.68'!K8+'27.09.68'!K8+'28.09.68'!K8+'29.09.68'!K8+'30.09.68'!K8</f>
        <v>0</v>
      </c>
      <c r="L8" s="65">
        <f t="shared" si="2"/>
        <v>0</v>
      </c>
      <c r="M8" s="52">
        <f>+'01.09.68'!M8+'02.09.68'!M8+'03.09.68'!M8+'04.09.68'!M8+'05.09.68'!M8+'06.09.68'!M8+'07.09.68'!M8+'08.09.68'!M8+'09.09.68'!M8+'10.09.68'!M8+'11.09.68'!M8+'12.09.68'!M8+'13.09.68'!M8+'14.09.68'!M8+'15.09.68'!M8+'16.09.68'!M8+'17.09.68'!M8+'18.09.68'!M8+'19.09.68'!M8+'20.09.68'!M8+'21.09.68'!M8+'22.09.68'!M8+'23.09.68'!M8+'24.09.68'!M8+'25.09.68'!M8+'26.09.68'!M8+'27.09.68'!M8+'28.09.68'!M8+'29.09.68'!M8+'30.09.68'!M8</f>
        <v>0</v>
      </c>
      <c r="N8" s="52">
        <f>+'01.09.68'!N8+'02.09.68'!N8+'03.09.68'!N8+'04.09.68'!N8+'05.09.68'!N8+'06.09.68'!N8+'07.09.68'!N8+'08.09.68'!N8+'09.09.68'!N8+'10.09.68'!N8+'11.09.68'!N8+'12.09.68'!N8+'13.09.68'!N8+'14.09.68'!N8+'15.09.68'!N8+'16.09.68'!N8+'17.09.68'!N8+'18.09.68'!N8+'19.09.68'!N8+'20.09.68'!N8+'21.09.68'!N8+'22.09.68'!N8+'23.09.68'!N8+'24.09.68'!N8+'25.09.68'!N8+'26.09.68'!N8+'27.09.68'!N8+'28.09.68'!N8+'29.09.68'!N8+'30.09.68'!N8</f>
        <v>0</v>
      </c>
      <c r="O8" s="65">
        <f t="shared" si="3"/>
        <v>0</v>
      </c>
      <c r="P8" s="52">
        <f>+'01.09.68'!P8+'02.09.68'!P8+'03.09.68'!P8+'04.09.68'!P8+'05.09.68'!P8+'06.09.68'!P8+'07.09.68'!P8+'08.09.68'!P8+'09.09.68'!P8+'10.09.68'!P8+'11.09.68'!P8+'12.09.68'!P8+'13.09.68'!P8+'14.09.68'!P8+'15.09.68'!P8+'16.09.68'!P8+'17.09.68'!P8+'18.09.68'!P8+'19.09.68'!P8+'20.09.68'!P8+'21.09.68'!P8+'22.09.68'!P8+'23.09.68'!P8+'24.09.68'!P8+'25.09.68'!P8+'26.09.68'!P8+'27.09.68'!P8+'28.09.68'!P8+'29.09.68'!P8+'30.09.68'!P8</f>
        <v>0</v>
      </c>
      <c r="Q8" s="52">
        <f>+'01.09.68'!Q8+'02.09.68'!Q8+'03.09.68'!Q8+'04.09.68'!Q8+'05.09.68'!Q8+'06.09.68'!Q8+'07.09.68'!Q8+'08.09.68'!Q8+'09.09.68'!Q8+'10.09.68'!Q8+'11.09.68'!Q8+'12.09.68'!Q8+'13.09.68'!Q8+'14.09.68'!Q8+'15.09.68'!Q8+'16.09.68'!Q8+'17.09.68'!Q8+'18.09.68'!Q8+'19.09.68'!Q8+'20.09.68'!Q8+'21.09.68'!Q8+'22.09.68'!Q8+'23.09.68'!Q8+'24.09.68'!Q8+'25.09.68'!Q8+'26.09.68'!Q8+'27.09.68'!Q8+'28.09.68'!Q8+'29.09.68'!Q8+'30.09.68'!Q8</f>
        <v>0</v>
      </c>
      <c r="R8" s="65">
        <f t="shared" si="4"/>
        <v>0</v>
      </c>
      <c r="S8" s="52">
        <f>+'01.09.68'!S8+'02.09.68'!S8+'03.09.68'!S8+'04.09.68'!S8+'05.09.68'!S8+'06.09.68'!S8+'07.09.68'!S8+'08.09.68'!S8+'09.09.68'!S8+'10.09.68'!S8+'11.09.68'!S8+'12.09.68'!S8+'13.09.68'!S8+'14.09.68'!S8+'15.09.68'!S8+'16.09.68'!S8+'17.09.68'!S8+'18.09.68'!S8+'19.09.68'!S8+'20.09.68'!S8+'21.09.68'!S8+'22.09.68'!S8+'23.09.68'!S8+'24.09.68'!S8+'25.09.68'!S8+'26.09.68'!S8+'27.09.68'!S8+'28.09.68'!S8+'29.09.68'!S8+'30.09.68'!S8</f>
        <v>0</v>
      </c>
      <c r="T8" s="52">
        <f>+'01.09.68'!T8+'02.09.68'!T8+'03.09.68'!T8+'04.09.68'!T8+'05.09.68'!T8+'06.09.68'!T8+'07.09.68'!T8+'08.09.68'!T8+'09.09.68'!T8+'10.09.68'!T8+'11.09.68'!T8+'12.09.68'!T8+'13.09.68'!T8+'14.09.68'!T8+'15.09.68'!T8+'16.09.68'!T8+'17.09.68'!T8+'18.09.68'!T8+'19.09.68'!T8+'20.09.68'!T8+'21.09.68'!T8+'22.09.68'!T8+'23.09.68'!T8+'24.09.68'!T8+'25.09.68'!T8+'26.09.68'!T8+'27.09.68'!T8+'28.09.68'!T8+'29.09.68'!T8+'30.09.68'!T8</f>
        <v>0</v>
      </c>
      <c r="U8" s="65">
        <f t="shared" si="5"/>
        <v>0</v>
      </c>
      <c r="V8" s="52">
        <f>+'01.09.68'!V8+'02.09.68'!V8+'03.09.68'!V8+'04.09.68'!V8+'05.09.68'!V8+'06.09.68'!V8+'07.09.68'!V8+'08.09.68'!V8+'09.09.68'!V8+'10.09.68'!V8+'11.09.68'!V8+'12.09.68'!V8+'13.09.68'!V8+'14.09.68'!V8+'15.09.68'!V8+'16.09.68'!V8+'17.09.68'!V8+'18.09.68'!V8+'19.09.68'!V8+'20.09.68'!V8+'21.09.68'!V8+'22.09.68'!V8+'23.09.68'!V8+'24.09.68'!V8+'25.09.68'!V8+'26.09.68'!V8+'27.09.68'!V8+'28.09.68'!V8+'29.09.68'!V8+'30.09.68'!V8</f>
        <v>0</v>
      </c>
      <c r="W8" s="52">
        <f>+'01.09.68'!W8+'02.09.68'!W8+'03.09.68'!W8+'04.09.68'!W8+'05.09.68'!W8+'06.09.68'!W8+'07.09.68'!W8+'08.09.68'!W8+'09.09.68'!W8+'10.09.68'!W8+'11.09.68'!W8+'12.09.68'!W8+'13.09.68'!W8+'14.09.68'!W8+'15.09.68'!W8+'16.09.68'!W8+'17.09.68'!W8+'18.09.68'!W8+'19.09.68'!W8+'20.09.68'!W8+'21.09.68'!W8+'22.09.68'!W8+'23.09.68'!W8+'24.09.68'!W8+'25.09.68'!W8+'26.09.68'!W8+'27.09.68'!W8+'28.09.68'!W8+'29.09.68'!W8+'30.09.68'!W8</f>
        <v>0</v>
      </c>
      <c r="X8" s="65">
        <f t="shared" si="6"/>
        <v>0</v>
      </c>
      <c r="Y8" s="52">
        <f>+'01.09.68'!Y8+'02.09.68'!Y8+'03.09.68'!Y8+'04.09.68'!Y8+'05.09.68'!Y8+'06.09.68'!Y8+'07.09.68'!Y8+'08.09.68'!Y8+'09.09.68'!Y8+'10.09.68'!Y8+'11.09.68'!Y8+'12.09.68'!Y8+'13.09.68'!Y8+'14.09.68'!Y8+'15.09.68'!Y8+'16.09.68'!Y8+'17.09.68'!Y8+'18.09.68'!Y8+'19.09.68'!Y8+'20.09.68'!Y8+'21.09.68'!Y8+'22.09.68'!Y8+'23.09.68'!Y8+'24.09.68'!Y8+'25.09.68'!Y8+'26.09.68'!Y8+'27.09.68'!Y8+'28.09.68'!Y8+'29.09.68'!Y8+'30.09.68'!Y8</f>
        <v>0</v>
      </c>
      <c r="Z8" s="66">
        <f t="shared" si="7"/>
        <v>0</v>
      </c>
    </row>
    <row r="9" spans="2:26">
      <c r="B9" s="50">
        <v>1111057</v>
      </c>
      <c r="C9" s="51" t="s">
        <v>30</v>
      </c>
      <c r="D9" s="52">
        <f>+'01.09.68'!D9+'02.09.68'!D9+'03.09.68'!D9+'04.09.68'!D9+'05.09.68'!D9+'06.09.68'!D9+'07.09.68'!D9+'08.09.68'!D9+'09.09.68'!D9+'10.09.68'!D9+'11.09.68'!D9+'12.09.68'!D9+'13.09.68'!D9+'14.09.68'!D9+'15.09.68'!D9+'16.09.68'!D9+'17.09.68'!D9+'18.09.68'!D9+'19.09.68'!D9+'20.09.68'!D9+'21.09.68'!D9+'22.09.68'!D9+'23.09.68'!D9+'24.09.68'!D9+'25.09.68'!D9+'26.09.68'!D9+'27.09.68'!D9+'28.09.68'!D9+'29.09.68'!D9+'30.09.68'!D9</f>
        <v>42</v>
      </c>
      <c r="E9" s="52">
        <f>+'01.09.68'!E9+'02.09.68'!E9+'03.09.68'!E9+'04.09.68'!E9+'05.09.68'!E9+'06.09.68'!E9+'07.09.68'!E9+'08.09.68'!E9+'09.09.68'!E9+'10.09.68'!E9+'11.09.68'!E9+'12.09.68'!E9+'13.09.68'!E9+'14.09.68'!E9+'15.09.68'!E9+'16.09.68'!E9+'17.09.68'!E9+'18.09.68'!E9+'19.09.68'!E9+'20.09.68'!E9+'21.09.68'!E9+'22.09.68'!E9+'23.09.68'!E9+'24.09.68'!E9+'25.09.68'!E9+'26.09.68'!E9+'27.09.68'!E9+'28.09.68'!E9+'29.09.68'!E9+'30.09.68'!E9</f>
        <v>0</v>
      </c>
      <c r="F9" s="65">
        <f t="shared" si="0"/>
        <v>42</v>
      </c>
      <c r="G9" s="52">
        <f>+'01.09.68'!G9+'02.09.68'!G9+'03.09.68'!G9+'04.09.68'!G9+'05.09.68'!G9+'06.09.68'!G9+'07.09.68'!G9+'08.09.68'!G9+'09.09.68'!G9+'10.09.68'!G9+'11.09.68'!G9+'12.09.68'!G9+'13.09.68'!G9+'14.09.68'!G9+'15.09.68'!G9+'16.09.68'!G9+'17.09.68'!G9+'18.09.68'!G9+'19.09.68'!G9+'20.09.68'!G9+'21.09.68'!G9+'22.09.68'!G9+'23.09.68'!G9+'24.09.68'!G9+'25.09.68'!G9+'26.09.68'!G9+'27.09.68'!G9+'28.09.68'!G9+'29.09.68'!G9+'30.09.68'!G9</f>
        <v>281</v>
      </c>
      <c r="H9" s="52">
        <f>+'01.09.68'!H9+'02.09.68'!H9+'03.09.68'!H9+'04.09.68'!H9+'05.09.68'!H9+'06.09.68'!H9+'07.09.68'!H9+'08.09.68'!H9+'09.09.68'!H9+'10.09.68'!H9+'11.09.68'!H9+'12.09.68'!H9+'13.09.68'!H9+'14.09.68'!H9+'15.09.68'!H9+'16.09.68'!H9+'17.09.68'!H9+'18.09.68'!H9+'19.09.68'!H9+'20.09.68'!H9+'21.09.68'!H9+'22.09.68'!H9+'23.09.68'!H9+'24.09.68'!H9+'25.09.68'!H9+'26.09.68'!H9+'27.09.68'!H9+'28.09.68'!H9+'29.09.68'!H9+'30.09.68'!H9</f>
        <v>0</v>
      </c>
      <c r="I9" s="65">
        <f t="shared" si="1"/>
        <v>281</v>
      </c>
      <c r="J9" s="52">
        <f>+'01.09.68'!J9+'02.09.68'!J9+'03.09.68'!J9+'04.09.68'!J9+'05.09.68'!J9+'06.09.68'!J9+'07.09.68'!J9+'08.09.68'!J9+'09.09.68'!J9+'10.09.68'!J9+'11.09.68'!J9+'12.09.68'!J9+'13.09.68'!J9+'14.09.68'!J9+'15.09.68'!J9+'16.09.68'!J9+'17.09.68'!J9+'18.09.68'!J9+'19.09.68'!J9+'20.09.68'!J9+'21.09.68'!J9+'22.09.68'!J9+'23.09.68'!J9+'24.09.68'!J9+'25.09.68'!J9+'26.09.68'!J9+'27.09.68'!J9+'28.09.68'!J9+'29.09.68'!J9+'30.09.68'!J9</f>
        <v>1</v>
      </c>
      <c r="K9" s="52">
        <f>+'01.09.68'!K9+'02.09.68'!K9+'03.09.68'!K9+'04.09.68'!K9+'05.09.68'!K9+'06.09.68'!K9+'07.09.68'!K9+'08.09.68'!K9+'09.09.68'!K9+'10.09.68'!K9+'11.09.68'!K9+'12.09.68'!K9+'13.09.68'!K9+'14.09.68'!K9+'15.09.68'!K9+'16.09.68'!K9+'17.09.68'!K9+'18.09.68'!K9+'19.09.68'!K9+'20.09.68'!K9+'21.09.68'!K9+'22.09.68'!K9+'23.09.68'!K9+'24.09.68'!K9+'25.09.68'!K9+'26.09.68'!K9+'27.09.68'!K9+'28.09.68'!K9+'29.09.68'!K9+'30.09.68'!K9</f>
        <v>0</v>
      </c>
      <c r="L9" s="65">
        <f t="shared" si="2"/>
        <v>1</v>
      </c>
      <c r="M9" s="52">
        <f>+'01.09.68'!M9+'02.09.68'!M9+'03.09.68'!M9+'04.09.68'!M9+'05.09.68'!M9+'06.09.68'!M9+'07.09.68'!M9+'08.09.68'!M9+'09.09.68'!M9+'10.09.68'!M9+'11.09.68'!M9+'12.09.68'!M9+'13.09.68'!M9+'14.09.68'!M9+'15.09.68'!M9+'16.09.68'!M9+'17.09.68'!M9+'18.09.68'!M9+'19.09.68'!M9+'20.09.68'!M9+'21.09.68'!M9+'22.09.68'!M9+'23.09.68'!M9+'24.09.68'!M9+'25.09.68'!M9+'26.09.68'!M9+'27.09.68'!M9+'28.09.68'!M9+'29.09.68'!M9+'30.09.68'!M9</f>
        <v>0</v>
      </c>
      <c r="N9" s="52">
        <f>+'01.09.68'!N9+'02.09.68'!N9+'03.09.68'!N9+'04.09.68'!N9+'05.09.68'!N9+'06.09.68'!N9+'07.09.68'!N9+'08.09.68'!N9+'09.09.68'!N9+'10.09.68'!N9+'11.09.68'!N9+'12.09.68'!N9+'13.09.68'!N9+'14.09.68'!N9+'15.09.68'!N9+'16.09.68'!N9+'17.09.68'!N9+'18.09.68'!N9+'19.09.68'!N9+'20.09.68'!N9+'21.09.68'!N9+'22.09.68'!N9+'23.09.68'!N9+'24.09.68'!N9+'25.09.68'!N9+'26.09.68'!N9+'27.09.68'!N9+'28.09.68'!N9+'29.09.68'!N9+'30.09.68'!N9</f>
        <v>0</v>
      </c>
      <c r="O9" s="65">
        <f t="shared" si="3"/>
        <v>0</v>
      </c>
      <c r="P9" s="52">
        <f>+'01.09.68'!P9+'02.09.68'!P9+'03.09.68'!P9+'04.09.68'!P9+'05.09.68'!P9+'06.09.68'!P9+'07.09.68'!P9+'08.09.68'!P9+'09.09.68'!P9+'10.09.68'!P9+'11.09.68'!P9+'12.09.68'!P9+'13.09.68'!P9+'14.09.68'!P9+'15.09.68'!P9+'16.09.68'!P9+'17.09.68'!P9+'18.09.68'!P9+'19.09.68'!P9+'20.09.68'!P9+'21.09.68'!P9+'22.09.68'!P9+'23.09.68'!P9+'24.09.68'!P9+'25.09.68'!P9+'26.09.68'!P9+'27.09.68'!P9+'28.09.68'!P9+'29.09.68'!P9+'30.09.68'!P9</f>
        <v>0</v>
      </c>
      <c r="Q9" s="52">
        <f>+'01.09.68'!Q9+'02.09.68'!Q9+'03.09.68'!Q9+'04.09.68'!Q9+'05.09.68'!Q9+'06.09.68'!Q9+'07.09.68'!Q9+'08.09.68'!Q9+'09.09.68'!Q9+'10.09.68'!Q9+'11.09.68'!Q9+'12.09.68'!Q9+'13.09.68'!Q9+'14.09.68'!Q9+'15.09.68'!Q9+'16.09.68'!Q9+'17.09.68'!Q9+'18.09.68'!Q9+'19.09.68'!Q9+'20.09.68'!Q9+'21.09.68'!Q9+'22.09.68'!Q9+'23.09.68'!Q9+'24.09.68'!Q9+'25.09.68'!Q9+'26.09.68'!Q9+'27.09.68'!Q9+'28.09.68'!Q9+'29.09.68'!Q9+'30.09.68'!Q9</f>
        <v>0</v>
      </c>
      <c r="R9" s="65">
        <f t="shared" si="4"/>
        <v>0</v>
      </c>
      <c r="S9" s="52">
        <f>+'01.09.68'!S9+'02.09.68'!S9+'03.09.68'!S9+'04.09.68'!S9+'05.09.68'!S9+'06.09.68'!S9+'07.09.68'!S9+'08.09.68'!S9+'09.09.68'!S9+'10.09.68'!S9+'11.09.68'!S9+'12.09.68'!S9+'13.09.68'!S9+'14.09.68'!S9+'15.09.68'!S9+'16.09.68'!S9+'17.09.68'!S9+'18.09.68'!S9+'19.09.68'!S9+'20.09.68'!S9+'21.09.68'!S9+'22.09.68'!S9+'23.09.68'!S9+'24.09.68'!S9+'25.09.68'!S9+'26.09.68'!S9+'27.09.68'!S9+'28.09.68'!S9+'29.09.68'!S9+'30.09.68'!S9</f>
        <v>0</v>
      </c>
      <c r="T9" s="52">
        <f>+'01.09.68'!T9+'02.09.68'!T9+'03.09.68'!T9+'04.09.68'!T9+'05.09.68'!T9+'06.09.68'!T9+'07.09.68'!T9+'08.09.68'!T9+'09.09.68'!T9+'10.09.68'!T9+'11.09.68'!T9+'12.09.68'!T9+'13.09.68'!T9+'14.09.68'!T9+'15.09.68'!T9+'16.09.68'!T9+'17.09.68'!T9+'18.09.68'!T9+'19.09.68'!T9+'20.09.68'!T9+'21.09.68'!T9+'22.09.68'!T9+'23.09.68'!T9+'24.09.68'!T9+'25.09.68'!T9+'26.09.68'!T9+'27.09.68'!T9+'28.09.68'!T9+'29.09.68'!T9+'30.09.68'!T9</f>
        <v>0</v>
      </c>
      <c r="U9" s="65">
        <f t="shared" si="5"/>
        <v>0</v>
      </c>
      <c r="V9" s="52">
        <f>+'01.09.68'!V9+'02.09.68'!V9+'03.09.68'!V9+'04.09.68'!V9+'05.09.68'!V9+'06.09.68'!V9+'07.09.68'!V9+'08.09.68'!V9+'09.09.68'!V9+'10.09.68'!V9+'11.09.68'!V9+'12.09.68'!V9+'13.09.68'!V9+'14.09.68'!V9+'15.09.68'!V9+'16.09.68'!V9+'17.09.68'!V9+'18.09.68'!V9+'19.09.68'!V9+'20.09.68'!V9+'21.09.68'!V9+'22.09.68'!V9+'23.09.68'!V9+'24.09.68'!V9+'25.09.68'!V9+'26.09.68'!V9+'27.09.68'!V9+'28.09.68'!V9+'29.09.68'!V9+'30.09.68'!V9</f>
        <v>0</v>
      </c>
      <c r="W9" s="52">
        <f>+'01.09.68'!W9+'02.09.68'!W9+'03.09.68'!W9+'04.09.68'!W9+'05.09.68'!W9+'06.09.68'!W9+'07.09.68'!W9+'08.09.68'!W9+'09.09.68'!W9+'10.09.68'!W9+'11.09.68'!W9+'12.09.68'!W9+'13.09.68'!W9+'14.09.68'!W9+'15.09.68'!W9+'16.09.68'!W9+'17.09.68'!W9+'18.09.68'!W9+'19.09.68'!W9+'20.09.68'!W9+'21.09.68'!W9+'22.09.68'!W9+'23.09.68'!W9+'24.09.68'!W9+'25.09.68'!W9+'26.09.68'!W9+'27.09.68'!W9+'28.09.68'!W9+'29.09.68'!W9+'30.09.68'!W9</f>
        <v>0</v>
      </c>
      <c r="X9" s="65">
        <f t="shared" si="6"/>
        <v>0</v>
      </c>
      <c r="Y9" s="52">
        <f>+'01.09.68'!Y9+'02.09.68'!Y9+'03.09.68'!Y9+'04.09.68'!Y9+'05.09.68'!Y9+'06.09.68'!Y9+'07.09.68'!Y9+'08.09.68'!Y9+'09.09.68'!Y9+'10.09.68'!Y9+'11.09.68'!Y9+'12.09.68'!Y9+'13.09.68'!Y9+'14.09.68'!Y9+'15.09.68'!Y9+'16.09.68'!Y9+'17.09.68'!Y9+'18.09.68'!Y9+'19.09.68'!Y9+'20.09.68'!Y9+'21.09.68'!Y9+'22.09.68'!Y9+'23.09.68'!Y9+'24.09.68'!Y9+'25.09.68'!Y9+'26.09.68'!Y9+'27.09.68'!Y9+'28.09.68'!Y9+'29.09.68'!Y9+'30.09.68'!Y9</f>
        <v>0</v>
      </c>
      <c r="Z9" s="66">
        <f t="shared" si="7"/>
        <v>324</v>
      </c>
    </row>
    <row r="10" spans="2:26">
      <c r="B10" s="50">
        <v>1111058</v>
      </c>
      <c r="C10" s="51" t="s">
        <v>154</v>
      </c>
      <c r="D10" s="52">
        <f>+'01.09.68'!D10+'02.09.68'!D10+'03.09.68'!D10+'04.09.68'!D10+'05.09.68'!D10+'06.09.68'!D10+'07.09.68'!D10+'08.09.68'!D10+'09.09.68'!D10+'10.09.68'!D10+'11.09.68'!D10+'12.09.68'!D10+'13.09.68'!D10+'14.09.68'!D10+'15.09.68'!D10+'16.09.68'!D10+'17.09.68'!D10+'18.09.68'!D10+'19.09.68'!D10+'20.09.68'!D10+'21.09.68'!D10+'22.09.68'!D10+'23.09.68'!D10+'24.09.68'!D10+'25.09.68'!D10+'26.09.68'!D10+'27.09.68'!D10+'28.09.68'!D10+'29.09.68'!D10+'30.09.68'!D10</f>
        <v>42</v>
      </c>
      <c r="E10" s="52">
        <f>+'01.09.68'!E10+'02.09.68'!E10+'03.09.68'!E10+'04.09.68'!E10+'05.09.68'!E10+'06.09.68'!E10+'07.09.68'!E10+'08.09.68'!E10+'09.09.68'!E10+'10.09.68'!E10+'11.09.68'!E10+'12.09.68'!E10+'13.09.68'!E10+'14.09.68'!E10+'15.09.68'!E10+'16.09.68'!E10+'17.09.68'!E10+'18.09.68'!E10+'19.09.68'!E10+'20.09.68'!E10+'21.09.68'!E10+'22.09.68'!E10+'23.09.68'!E10+'24.09.68'!E10+'25.09.68'!E10+'26.09.68'!E10+'27.09.68'!E10+'28.09.68'!E10+'29.09.68'!E10+'30.09.68'!E10</f>
        <v>0</v>
      </c>
      <c r="F10" s="65">
        <f t="shared" si="0"/>
        <v>42</v>
      </c>
      <c r="G10" s="52">
        <f>+'01.09.68'!G10+'02.09.68'!G10+'03.09.68'!G10+'04.09.68'!G10+'05.09.68'!G10+'06.09.68'!G10+'07.09.68'!G10+'08.09.68'!G10+'09.09.68'!G10+'10.09.68'!G10+'11.09.68'!G10+'12.09.68'!G10+'13.09.68'!G10+'14.09.68'!G10+'15.09.68'!G10+'16.09.68'!G10+'17.09.68'!G10+'18.09.68'!G10+'19.09.68'!G10+'20.09.68'!G10+'21.09.68'!G10+'22.09.68'!G10+'23.09.68'!G10+'24.09.68'!G10+'25.09.68'!G10+'26.09.68'!G10+'27.09.68'!G10+'28.09.68'!G10+'29.09.68'!G10+'30.09.68'!G10</f>
        <v>231</v>
      </c>
      <c r="H10" s="52">
        <f>+'01.09.68'!H10+'02.09.68'!H10+'03.09.68'!H10+'04.09.68'!H10+'05.09.68'!H10+'06.09.68'!H10+'07.09.68'!H10+'08.09.68'!H10+'09.09.68'!H10+'10.09.68'!H10+'11.09.68'!H10+'12.09.68'!H10+'13.09.68'!H10+'14.09.68'!H10+'15.09.68'!H10+'16.09.68'!H10+'17.09.68'!H10+'18.09.68'!H10+'19.09.68'!H10+'20.09.68'!H10+'21.09.68'!H10+'22.09.68'!H10+'23.09.68'!H10+'24.09.68'!H10+'25.09.68'!H10+'26.09.68'!H10+'27.09.68'!H10+'28.09.68'!H10+'29.09.68'!H10+'30.09.68'!H10</f>
        <v>0</v>
      </c>
      <c r="I10" s="65">
        <f t="shared" si="1"/>
        <v>231</v>
      </c>
      <c r="J10" s="52">
        <f>+'01.09.68'!J10+'02.09.68'!J10+'03.09.68'!J10+'04.09.68'!J10+'05.09.68'!J10+'06.09.68'!J10+'07.09.68'!J10+'08.09.68'!J10+'09.09.68'!J10+'10.09.68'!J10+'11.09.68'!J10+'12.09.68'!J10+'13.09.68'!J10+'14.09.68'!J10+'15.09.68'!J10+'16.09.68'!J10+'17.09.68'!J10+'18.09.68'!J10+'19.09.68'!J10+'20.09.68'!J10+'21.09.68'!J10+'22.09.68'!J10+'23.09.68'!J10+'24.09.68'!J10+'25.09.68'!J10+'26.09.68'!J10+'27.09.68'!J10+'28.09.68'!J10+'29.09.68'!J10+'30.09.68'!J10</f>
        <v>1</v>
      </c>
      <c r="K10" s="52">
        <f>+'01.09.68'!K10+'02.09.68'!K10+'03.09.68'!K10+'04.09.68'!K10+'05.09.68'!K10+'06.09.68'!K10+'07.09.68'!K10+'08.09.68'!K10+'09.09.68'!K10+'10.09.68'!K10+'11.09.68'!K10+'12.09.68'!K10+'13.09.68'!K10+'14.09.68'!K10+'15.09.68'!K10+'16.09.68'!K10+'17.09.68'!K10+'18.09.68'!K10+'19.09.68'!K10+'20.09.68'!K10+'21.09.68'!K10+'22.09.68'!K10+'23.09.68'!K10+'24.09.68'!K10+'25.09.68'!K10+'26.09.68'!K10+'27.09.68'!K10+'28.09.68'!K10+'29.09.68'!K10+'30.09.68'!K10</f>
        <v>0</v>
      </c>
      <c r="L10" s="65">
        <f t="shared" si="2"/>
        <v>1</v>
      </c>
      <c r="M10" s="52">
        <f>+'01.09.68'!M10+'02.09.68'!M10+'03.09.68'!M10+'04.09.68'!M10+'05.09.68'!M10+'06.09.68'!M10+'07.09.68'!M10+'08.09.68'!M10+'09.09.68'!M10+'10.09.68'!M10+'11.09.68'!M10+'12.09.68'!M10+'13.09.68'!M10+'14.09.68'!M10+'15.09.68'!M10+'16.09.68'!M10+'17.09.68'!M10+'18.09.68'!M10+'19.09.68'!M10+'20.09.68'!M10+'21.09.68'!M10+'22.09.68'!M10+'23.09.68'!M10+'24.09.68'!M10+'25.09.68'!M10+'26.09.68'!M10+'27.09.68'!M10+'28.09.68'!M10+'29.09.68'!M10+'30.09.68'!M10</f>
        <v>0</v>
      </c>
      <c r="N10" s="52">
        <f>+'01.09.68'!N10+'02.09.68'!N10+'03.09.68'!N10+'04.09.68'!N10+'05.09.68'!N10+'06.09.68'!N10+'07.09.68'!N10+'08.09.68'!N10+'09.09.68'!N10+'10.09.68'!N10+'11.09.68'!N10+'12.09.68'!N10+'13.09.68'!N10+'14.09.68'!N10+'15.09.68'!N10+'16.09.68'!N10+'17.09.68'!N10+'18.09.68'!N10+'19.09.68'!N10+'20.09.68'!N10+'21.09.68'!N10+'22.09.68'!N10+'23.09.68'!N10+'24.09.68'!N10+'25.09.68'!N10+'26.09.68'!N10+'27.09.68'!N10+'28.09.68'!N10+'29.09.68'!N10+'30.09.68'!N10</f>
        <v>0</v>
      </c>
      <c r="O10" s="65">
        <f t="shared" si="3"/>
        <v>0</v>
      </c>
      <c r="P10" s="52">
        <f>+'01.09.68'!P10+'02.09.68'!P10+'03.09.68'!P10+'04.09.68'!P10+'05.09.68'!P10+'06.09.68'!P10+'07.09.68'!P10+'08.09.68'!P10+'09.09.68'!P10+'10.09.68'!P10+'11.09.68'!P10+'12.09.68'!P10+'13.09.68'!P10+'14.09.68'!P10+'15.09.68'!P10+'16.09.68'!P10+'17.09.68'!P10+'18.09.68'!P10+'19.09.68'!P10+'20.09.68'!P10+'21.09.68'!P10+'22.09.68'!P10+'23.09.68'!P10+'24.09.68'!P10+'25.09.68'!P10+'26.09.68'!P10+'27.09.68'!P10+'28.09.68'!P10+'29.09.68'!P10+'30.09.68'!P10</f>
        <v>0</v>
      </c>
      <c r="Q10" s="52">
        <f>+'01.09.68'!Q10+'02.09.68'!Q10+'03.09.68'!Q10+'04.09.68'!Q10+'05.09.68'!Q10+'06.09.68'!Q10+'07.09.68'!Q10+'08.09.68'!Q10+'09.09.68'!Q10+'10.09.68'!Q10+'11.09.68'!Q10+'12.09.68'!Q10+'13.09.68'!Q10+'14.09.68'!Q10+'15.09.68'!Q10+'16.09.68'!Q10+'17.09.68'!Q10+'18.09.68'!Q10+'19.09.68'!Q10+'20.09.68'!Q10+'21.09.68'!Q10+'22.09.68'!Q10+'23.09.68'!Q10+'24.09.68'!Q10+'25.09.68'!Q10+'26.09.68'!Q10+'27.09.68'!Q10+'28.09.68'!Q10+'29.09.68'!Q10+'30.09.68'!Q10</f>
        <v>0</v>
      </c>
      <c r="R10" s="65">
        <f t="shared" si="4"/>
        <v>0</v>
      </c>
      <c r="S10" s="52">
        <f>+'01.09.68'!S10+'02.09.68'!S10+'03.09.68'!S10+'04.09.68'!S10+'05.09.68'!S10+'06.09.68'!S10+'07.09.68'!S10+'08.09.68'!S10+'09.09.68'!S10+'10.09.68'!S10+'11.09.68'!S10+'12.09.68'!S10+'13.09.68'!S10+'14.09.68'!S10+'15.09.68'!S10+'16.09.68'!S10+'17.09.68'!S10+'18.09.68'!S10+'19.09.68'!S10+'20.09.68'!S10+'21.09.68'!S10+'22.09.68'!S10+'23.09.68'!S10+'24.09.68'!S10+'25.09.68'!S10+'26.09.68'!S10+'27.09.68'!S10+'28.09.68'!S10+'29.09.68'!S10+'30.09.68'!S10</f>
        <v>0</v>
      </c>
      <c r="T10" s="52">
        <f>+'01.09.68'!T10+'02.09.68'!T10+'03.09.68'!T10+'04.09.68'!T10+'05.09.68'!T10+'06.09.68'!T10+'07.09.68'!T10+'08.09.68'!T10+'09.09.68'!T10+'10.09.68'!T10+'11.09.68'!T10+'12.09.68'!T10+'13.09.68'!T10+'14.09.68'!T10+'15.09.68'!T10+'16.09.68'!T10+'17.09.68'!T10+'18.09.68'!T10+'19.09.68'!T10+'20.09.68'!T10+'21.09.68'!T10+'22.09.68'!T10+'23.09.68'!T10+'24.09.68'!T10+'25.09.68'!T10+'26.09.68'!T10+'27.09.68'!T10+'28.09.68'!T10+'29.09.68'!T10+'30.09.68'!T10</f>
        <v>0</v>
      </c>
      <c r="U10" s="65">
        <f t="shared" si="5"/>
        <v>0</v>
      </c>
      <c r="V10" s="52">
        <f>+'01.09.68'!V10+'02.09.68'!V10+'03.09.68'!V10+'04.09.68'!V10+'05.09.68'!V10+'06.09.68'!V10+'07.09.68'!V10+'08.09.68'!V10+'09.09.68'!V10+'10.09.68'!V10+'11.09.68'!V10+'12.09.68'!V10+'13.09.68'!V10+'14.09.68'!V10+'15.09.68'!V10+'16.09.68'!V10+'17.09.68'!V10+'18.09.68'!V10+'19.09.68'!V10+'20.09.68'!V10+'21.09.68'!V10+'22.09.68'!V10+'23.09.68'!V10+'24.09.68'!V10+'25.09.68'!V10+'26.09.68'!V10+'27.09.68'!V10+'28.09.68'!V10+'29.09.68'!V10+'30.09.68'!V10</f>
        <v>0</v>
      </c>
      <c r="W10" s="52">
        <f>+'01.09.68'!W10+'02.09.68'!W10+'03.09.68'!W10+'04.09.68'!W10+'05.09.68'!W10+'06.09.68'!W10+'07.09.68'!W10+'08.09.68'!W10+'09.09.68'!W10+'10.09.68'!W10+'11.09.68'!W10+'12.09.68'!W10+'13.09.68'!W10+'14.09.68'!W10+'15.09.68'!W10+'16.09.68'!W10+'17.09.68'!W10+'18.09.68'!W10+'19.09.68'!W10+'20.09.68'!W10+'21.09.68'!W10+'22.09.68'!W10+'23.09.68'!W10+'24.09.68'!W10+'25.09.68'!W10+'26.09.68'!W10+'27.09.68'!W10+'28.09.68'!W10+'29.09.68'!W10+'30.09.68'!W10</f>
        <v>0</v>
      </c>
      <c r="X10" s="65">
        <f t="shared" si="6"/>
        <v>0</v>
      </c>
      <c r="Y10" s="52">
        <f>+'01.09.68'!Y10+'02.09.68'!Y10+'03.09.68'!Y10+'04.09.68'!Y10+'05.09.68'!Y10+'06.09.68'!Y10+'07.09.68'!Y10+'08.09.68'!Y10+'09.09.68'!Y10+'10.09.68'!Y10+'11.09.68'!Y10+'12.09.68'!Y10+'13.09.68'!Y10+'14.09.68'!Y10+'15.09.68'!Y10+'16.09.68'!Y10+'17.09.68'!Y10+'18.09.68'!Y10+'19.09.68'!Y10+'20.09.68'!Y10+'21.09.68'!Y10+'22.09.68'!Y10+'23.09.68'!Y10+'24.09.68'!Y10+'25.09.68'!Y10+'26.09.68'!Y10+'27.09.68'!Y10+'28.09.68'!Y10+'29.09.68'!Y10+'30.09.68'!Y10</f>
        <v>25</v>
      </c>
      <c r="Z10" s="66">
        <f t="shared" si="7"/>
        <v>299</v>
      </c>
    </row>
    <row r="11" spans="2:26">
      <c r="B11" s="50">
        <v>1111059</v>
      </c>
      <c r="C11" s="51" t="s">
        <v>32</v>
      </c>
      <c r="D11" s="52">
        <f>+'01.09.68'!D11+'02.09.68'!D11+'03.09.68'!D11+'04.09.68'!D11+'05.09.68'!D11+'06.09.68'!D11+'07.09.68'!D11+'08.09.68'!D11+'09.09.68'!D11+'10.09.68'!D11+'11.09.68'!D11+'12.09.68'!D11+'13.09.68'!D11+'14.09.68'!D11+'15.09.68'!D11+'16.09.68'!D11+'17.09.68'!D11+'18.09.68'!D11+'19.09.68'!D11+'20.09.68'!D11+'21.09.68'!D11+'22.09.68'!D11+'23.09.68'!D11+'24.09.68'!D11+'25.09.68'!D11+'26.09.68'!D11+'27.09.68'!D11+'28.09.68'!D11+'29.09.68'!D11+'30.09.68'!D11</f>
        <v>42</v>
      </c>
      <c r="E11" s="52">
        <f>+'01.09.68'!E11+'02.09.68'!E11+'03.09.68'!E11+'04.09.68'!E11+'05.09.68'!E11+'06.09.68'!E11+'07.09.68'!E11+'08.09.68'!E11+'09.09.68'!E11+'10.09.68'!E11+'11.09.68'!E11+'12.09.68'!E11+'13.09.68'!E11+'14.09.68'!E11+'15.09.68'!E11+'16.09.68'!E11+'17.09.68'!E11+'18.09.68'!E11+'19.09.68'!E11+'20.09.68'!E11+'21.09.68'!E11+'22.09.68'!E11+'23.09.68'!E11+'24.09.68'!E11+'25.09.68'!E11+'26.09.68'!E11+'27.09.68'!E11+'28.09.68'!E11+'29.09.68'!E11+'30.09.68'!E11</f>
        <v>0</v>
      </c>
      <c r="F11" s="65">
        <f t="shared" si="0"/>
        <v>42</v>
      </c>
      <c r="G11" s="52">
        <f>+'01.09.68'!G11+'02.09.68'!G11+'03.09.68'!G11+'04.09.68'!G11+'05.09.68'!G11+'06.09.68'!G11+'07.09.68'!G11+'08.09.68'!G11+'09.09.68'!G11+'10.09.68'!G11+'11.09.68'!G11+'12.09.68'!G11+'13.09.68'!G11+'14.09.68'!G11+'15.09.68'!G11+'16.09.68'!G11+'17.09.68'!G11+'18.09.68'!G11+'19.09.68'!G11+'20.09.68'!G11+'21.09.68'!G11+'22.09.68'!G11+'23.09.68'!G11+'24.09.68'!G11+'25.09.68'!G11+'26.09.68'!G11+'27.09.68'!G11+'28.09.68'!G11+'29.09.68'!G11+'30.09.68'!G11</f>
        <v>279</v>
      </c>
      <c r="H11" s="52">
        <f>+'01.09.68'!H11+'02.09.68'!H11+'03.09.68'!H11+'04.09.68'!H11+'05.09.68'!H11+'06.09.68'!H11+'07.09.68'!H11+'08.09.68'!H11+'09.09.68'!H11+'10.09.68'!H11+'11.09.68'!H11+'12.09.68'!H11+'13.09.68'!H11+'14.09.68'!H11+'15.09.68'!H11+'16.09.68'!H11+'17.09.68'!H11+'18.09.68'!H11+'19.09.68'!H11+'20.09.68'!H11+'21.09.68'!H11+'22.09.68'!H11+'23.09.68'!H11+'24.09.68'!H11+'25.09.68'!H11+'26.09.68'!H11+'27.09.68'!H11+'28.09.68'!H11+'29.09.68'!H11+'30.09.68'!H11</f>
        <v>0</v>
      </c>
      <c r="I11" s="65">
        <f t="shared" si="1"/>
        <v>279</v>
      </c>
      <c r="J11" s="52">
        <f>+'01.09.68'!J11+'02.09.68'!J11+'03.09.68'!J11+'04.09.68'!J11+'05.09.68'!J11+'06.09.68'!J11+'07.09.68'!J11+'08.09.68'!J11+'09.09.68'!J11+'10.09.68'!J11+'11.09.68'!J11+'12.09.68'!J11+'13.09.68'!J11+'14.09.68'!J11+'15.09.68'!J11+'16.09.68'!J11+'17.09.68'!J11+'18.09.68'!J11+'19.09.68'!J11+'20.09.68'!J11+'21.09.68'!J11+'22.09.68'!J11+'23.09.68'!J11+'24.09.68'!J11+'25.09.68'!J11+'26.09.68'!J11+'27.09.68'!J11+'28.09.68'!J11+'29.09.68'!J11+'30.09.68'!J11</f>
        <v>1</v>
      </c>
      <c r="K11" s="52">
        <f>+'01.09.68'!K11+'02.09.68'!K11+'03.09.68'!K11+'04.09.68'!K11+'05.09.68'!K11+'06.09.68'!K11+'07.09.68'!K11+'08.09.68'!K11+'09.09.68'!K11+'10.09.68'!K11+'11.09.68'!K11+'12.09.68'!K11+'13.09.68'!K11+'14.09.68'!K11+'15.09.68'!K11+'16.09.68'!K11+'17.09.68'!K11+'18.09.68'!K11+'19.09.68'!K11+'20.09.68'!K11+'21.09.68'!K11+'22.09.68'!K11+'23.09.68'!K11+'24.09.68'!K11+'25.09.68'!K11+'26.09.68'!K11+'27.09.68'!K11+'28.09.68'!K11+'29.09.68'!K11+'30.09.68'!K11</f>
        <v>0</v>
      </c>
      <c r="L11" s="65">
        <f t="shared" si="2"/>
        <v>1</v>
      </c>
      <c r="M11" s="52">
        <f>+'01.09.68'!M11+'02.09.68'!M11+'03.09.68'!M11+'04.09.68'!M11+'05.09.68'!M11+'06.09.68'!M11+'07.09.68'!M11+'08.09.68'!M11+'09.09.68'!M11+'10.09.68'!M11+'11.09.68'!M11+'12.09.68'!M11+'13.09.68'!M11+'14.09.68'!M11+'15.09.68'!M11+'16.09.68'!M11+'17.09.68'!M11+'18.09.68'!M11+'19.09.68'!M11+'20.09.68'!M11+'21.09.68'!M11+'22.09.68'!M11+'23.09.68'!M11+'24.09.68'!M11+'25.09.68'!M11+'26.09.68'!M11+'27.09.68'!M11+'28.09.68'!M11+'29.09.68'!M11+'30.09.68'!M11</f>
        <v>0</v>
      </c>
      <c r="N11" s="52">
        <f>+'01.09.68'!N11+'02.09.68'!N11+'03.09.68'!N11+'04.09.68'!N11+'05.09.68'!N11+'06.09.68'!N11+'07.09.68'!N11+'08.09.68'!N11+'09.09.68'!N11+'10.09.68'!N11+'11.09.68'!N11+'12.09.68'!N11+'13.09.68'!N11+'14.09.68'!N11+'15.09.68'!N11+'16.09.68'!N11+'17.09.68'!N11+'18.09.68'!N11+'19.09.68'!N11+'20.09.68'!N11+'21.09.68'!N11+'22.09.68'!N11+'23.09.68'!N11+'24.09.68'!N11+'25.09.68'!N11+'26.09.68'!N11+'27.09.68'!N11+'28.09.68'!N11+'29.09.68'!N11+'30.09.68'!N11</f>
        <v>0</v>
      </c>
      <c r="O11" s="65">
        <f t="shared" si="3"/>
        <v>0</v>
      </c>
      <c r="P11" s="52">
        <f>+'01.09.68'!P11+'02.09.68'!P11+'03.09.68'!P11+'04.09.68'!P11+'05.09.68'!P11+'06.09.68'!P11+'07.09.68'!P11+'08.09.68'!P11+'09.09.68'!P11+'10.09.68'!P11+'11.09.68'!P11+'12.09.68'!P11+'13.09.68'!P11+'14.09.68'!P11+'15.09.68'!P11+'16.09.68'!P11+'17.09.68'!P11+'18.09.68'!P11+'19.09.68'!P11+'20.09.68'!P11+'21.09.68'!P11+'22.09.68'!P11+'23.09.68'!P11+'24.09.68'!P11+'25.09.68'!P11+'26.09.68'!P11+'27.09.68'!P11+'28.09.68'!P11+'29.09.68'!P11+'30.09.68'!P11</f>
        <v>0</v>
      </c>
      <c r="Q11" s="52">
        <f>+'01.09.68'!Q11+'02.09.68'!Q11+'03.09.68'!Q11+'04.09.68'!Q11+'05.09.68'!Q11+'06.09.68'!Q11+'07.09.68'!Q11+'08.09.68'!Q11+'09.09.68'!Q11+'10.09.68'!Q11+'11.09.68'!Q11+'12.09.68'!Q11+'13.09.68'!Q11+'14.09.68'!Q11+'15.09.68'!Q11+'16.09.68'!Q11+'17.09.68'!Q11+'18.09.68'!Q11+'19.09.68'!Q11+'20.09.68'!Q11+'21.09.68'!Q11+'22.09.68'!Q11+'23.09.68'!Q11+'24.09.68'!Q11+'25.09.68'!Q11+'26.09.68'!Q11+'27.09.68'!Q11+'28.09.68'!Q11+'29.09.68'!Q11+'30.09.68'!Q11</f>
        <v>0</v>
      </c>
      <c r="R11" s="65">
        <f t="shared" si="4"/>
        <v>0</v>
      </c>
      <c r="S11" s="52">
        <f>+'01.09.68'!S11+'02.09.68'!S11+'03.09.68'!S11+'04.09.68'!S11+'05.09.68'!S11+'06.09.68'!S11+'07.09.68'!S11+'08.09.68'!S11+'09.09.68'!S11+'10.09.68'!S11+'11.09.68'!S11+'12.09.68'!S11+'13.09.68'!S11+'14.09.68'!S11+'15.09.68'!S11+'16.09.68'!S11+'17.09.68'!S11+'18.09.68'!S11+'19.09.68'!S11+'20.09.68'!S11+'21.09.68'!S11+'22.09.68'!S11+'23.09.68'!S11+'24.09.68'!S11+'25.09.68'!S11+'26.09.68'!S11+'27.09.68'!S11+'28.09.68'!S11+'29.09.68'!S11+'30.09.68'!S11</f>
        <v>0</v>
      </c>
      <c r="T11" s="52">
        <f>+'01.09.68'!T11+'02.09.68'!T11+'03.09.68'!T11+'04.09.68'!T11+'05.09.68'!T11+'06.09.68'!T11+'07.09.68'!T11+'08.09.68'!T11+'09.09.68'!T11+'10.09.68'!T11+'11.09.68'!T11+'12.09.68'!T11+'13.09.68'!T11+'14.09.68'!T11+'15.09.68'!T11+'16.09.68'!T11+'17.09.68'!T11+'18.09.68'!T11+'19.09.68'!T11+'20.09.68'!T11+'21.09.68'!T11+'22.09.68'!T11+'23.09.68'!T11+'24.09.68'!T11+'25.09.68'!T11+'26.09.68'!T11+'27.09.68'!T11+'28.09.68'!T11+'29.09.68'!T11+'30.09.68'!T11</f>
        <v>0</v>
      </c>
      <c r="U11" s="65">
        <f t="shared" si="5"/>
        <v>0</v>
      </c>
      <c r="V11" s="52">
        <f>+'01.09.68'!V11+'02.09.68'!V11+'03.09.68'!V11+'04.09.68'!V11+'05.09.68'!V11+'06.09.68'!V11+'07.09.68'!V11+'08.09.68'!V11+'09.09.68'!V11+'10.09.68'!V11+'11.09.68'!V11+'12.09.68'!V11+'13.09.68'!V11+'14.09.68'!V11+'15.09.68'!V11+'16.09.68'!V11+'17.09.68'!V11+'18.09.68'!V11+'19.09.68'!V11+'20.09.68'!V11+'21.09.68'!V11+'22.09.68'!V11+'23.09.68'!V11+'24.09.68'!V11+'25.09.68'!V11+'26.09.68'!V11+'27.09.68'!V11+'28.09.68'!V11+'29.09.68'!V11+'30.09.68'!V11</f>
        <v>0</v>
      </c>
      <c r="W11" s="52">
        <f>+'01.09.68'!W11+'02.09.68'!W11+'03.09.68'!W11+'04.09.68'!W11+'05.09.68'!W11+'06.09.68'!W11+'07.09.68'!W11+'08.09.68'!W11+'09.09.68'!W11+'10.09.68'!W11+'11.09.68'!W11+'12.09.68'!W11+'13.09.68'!W11+'14.09.68'!W11+'15.09.68'!W11+'16.09.68'!W11+'17.09.68'!W11+'18.09.68'!W11+'19.09.68'!W11+'20.09.68'!W11+'21.09.68'!W11+'22.09.68'!W11+'23.09.68'!W11+'24.09.68'!W11+'25.09.68'!W11+'26.09.68'!W11+'27.09.68'!W11+'28.09.68'!W11+'29.09.68'!W11+'30.09.68'!W11</f>
        <v>0</v>
      </c>
      <c r="X11" s="65">
        <f t="shared" si="6"/>
        <v>0</v>
      </c>
      <c r="Y11" s="52">
        <f>+'01.09.68'!Y11+'02.09.68'!Y11+'03.09.68'!Y11+'04.09.68'!Y11+'05.09.68'!Y11+'06.09.68'!Y11+'07.09.68'!Y11+'08.09.68'!Y11+'09.09.68'!Y11+'10.09.68'!Y11+'11.09.68'!Y11+'12.09.68'!Y11+'13.09.68'!Y11+'14.09.68'!Y11+'15.09.68'!Y11+'16.09.68'!Y11+'17.09.68'!Y11+'18.09.68'!Y11+'19.09.68'!Y11+'20.09.68'!Y11+'21.09.68'!Y11+'22.09.68'!Y11+'23.09.68'!Y11+'24.09.68'!Y11+'25.09.68'!Y11+'26.09.68'!Y11+'27.09.68'!Y11+'28.09.68'!Y11+'29.09.68'!Y11+'30.09.68'!Y11</f>
        <v>25</v>
      </c>
      <c r="Z11" s="66">
        <f t="shared" si="7"/>
        <v>347</v>
      </c>
    </row>
    <row r="12" spans="2:26">
      <c r="B12" s="50">
        <v>1111060</v>
      </c>
      <c r="C12" s="51" t="s">
        <v>33</v>
      </c>
      <c r="D12" s="52">
        <f>+'01.09.68'!D12+'02.09.68'!D12+'03.09.68'!D12+'04.09.68'!D12+'05.09.68'!D12+'06.09.68'!D12+'07.09.68'!D12+'08.09.68'!D12+'09.09.68'!D12+'10.09.68'!D12+'11.09.68'!D12+'12.09.68'!D12+'13.09.68'!D12+'14.09.68'!D12+'15.09.68'!D12+'16.09.68'!D12+'17.09.68'!D12+'18.09.68'!D12+'19.09.68'!D12+'20.09.68'!D12+'21.09.68'!D12+'22.09.68'!D12+'23.09.68'!D12+'24.09.68'!D12+'25.09.68'!D12+'26.09.68'!D12+'27.09.68'!D12+'28.09.68'!D12+'29.09.68'!D12+'30.09.68'!D12</f>
        <v>42</v>
      </c>
      <c r="E12" s="52">
        <f>+'01.09.68'!E12+'02.09.68'!E12+'03.09.68'!E12+'04.09.68'!E12+'05.09.68'!E12+'06.09.68'!E12+'07.09.68'!E12+'08.09.68'!E12+'09.09.68'!E12+'10.09.68'!E12+'11.09.68'!E12+'12.09.68'!E12+'13.09.68'!E12+'14.09.68'!E12+'15.09.68'!E12+'16.09.68'!E12+'17.09.68'!E12+'18.09.68'!E12+'19.09.68'!E12+'20.09.68'!E12+'21.09.68'!E12+'22.09.68'!E12+'23.09.68'!E12+'24.09.68'!E12+'25.09.68'!E12+'26.09.68'!E12+'27.09.68'!E12+'28.09.68'!E12+'29.09.68'!E12+'30.09.68'!E12</f>
        <v>0</v>
      </c>
      <c r="F12" s="65">
        <f t="shared" si="0"/>
        <v>42</v>
      </c>
      <c r="G12" s="52">
        <f>+'01.09.68'!G12+'02.09.68'!G12+'03.09.68'!G12+'04.09.68'!G12+'05.09.68'!G12+'06.09.68'!G12+'07.09.68'!G12+'08.09.68'!G12+'09.09.68'!G12+'10.09.68'!G12+'11.09.68'!G12+'12.09.68'!G12+'13.09.68'!G12+'14.09.68'!G12+'15.09.68'!G12+'16.09.68'!G12+'17.09.68'!G12+'18.09.68'!G12+'19.09.68'!G12+'20.09.68'!G12+'21.09.68'!G12+'22.09.68'!G12+'23.09.68'!G12+'24.09.68'!G12+'25.09.68'!G12+'26.09.68'!G12+'27.09.68'!G12+'28.09.68'!G12+'29.09.68'!G12+'30.09.68'!G12</f>
        <v>277</v>
      </c>
      <c r="H12" s="52">
        <f>+'01.09.68'!H12+'02.09.68'!H12+'03.09.68'!H12+'04.09.68'!H12+'05.09.68'!H12+'06.09.68'!H12+'07.09.68'!H12+'08.09.68'!H12+'09.09.68'!H12+'10.09.68'!H12+'11.09.68'!H12+'12.09.68'!H12+'13.09.68'!H12+'14.09.68'!H12+'15.09.68'!H12+'16.09.68'!H12+'17.09.68'!H12+'18.09.68'!H12+'19.09.68'!H12+'20.09.68'!H12+'21.09.68'!H12+'22.09.68'!H12+'23.09.68'!H12+'24.09.68'!H12+'25.09.68'!H12+'26.09.68'!H12+'27.09.68'!H12+'28.09.68'!H12+'29.09.68'!H12+'30.09.68'!H12</f>
        <v>0</v>
      </c>
      <c r="I12" s="65">
        <f t="shared" si="1"/>
        <v>277</v>
      </c>
      <c r="J12" s="52">
        <f>+'01.09.68'!J12+'02.09.68'!J12+'03.09.68'!J12+'04.09.68'!J12+'05.09.68'!J12+'06.09.68'!J12+'07.09.68'!J12+'08.09.68'!J12+'09.09.68'!J12+'10.09.68'!J12+'11.09.68'!J12+'12.09.68'!J12+'13.09.68'!J12+'14.09.68'!J12+'15.09.68'!J12+'16.09.68'!J12+'17.09.68'!J12+'18.09.68'!J12+'19.09.68'!J12+'20.09.68'!J12+'21.09.68'!J12+'22.09.68'!J12+'23.09.68'!J12+'24.09.68'!J12+'25.09.68'!J12+'26.09.68'!J12+'27.09.68'!J12+'28.09.68'!J12+'29.09.68'!J12+'30.09.68'!J12</f>
        <v>2</v>
      </c>
      <c r="K12" s="52">
        <f>+'01.09.68'!K12+'02.09.68'!K12+'03.09.68'!K12+'04.09.68'!K12+'05.09.68'!K12+'06.09.68'!K12+'07.09.68'!K12+'08.09.68'!K12+'09.09.68'!K12+'10.09.68'!K12+'11.09.68'!K12+'12.09.68'!K12+'13.09.68'!K12+'14.09.68'!K12+'15.09.68'!K12+'16.09.68'!K12+'17.09.68'!K12+'18.09.68'!K12+'19.09.68'!K12+'20.09.68'!K12+'21.09.68'!K12+'22.09.68'!K12+'23.09.68'!K12+'24.09.68'!K12+'25.09.68'!K12+'26.09.68'!K12+'27.09.68'!K12+'28.09.68'!K12+'29.09.68'!K12+'30.09.68'!K12</f>
        <v>0</v>
      </c>
      <c r="L12" s="65">
        <f t="shared" si="2"/>
        <v>2</v>
      </c>
      <c r="M12" s="52">
        <f>+'01.09.68'!M12+'02.09.68'!M12+'03.09.68'!M12+'04.09.68'!M12+'05.09.68'!M12+'06.09.68'!M12+'07.09.68'!M12+'08.09.68'!M12+'09.09.68'!M12+'10.09.68'!M12+'11.09.68'!M12+'12.09.68'!M12+'13.09.68'!M12+'14.09.68'!M12+'15.09.68'!M12+'16.09.68'!M12+'17.09.68'!M12+'18.09.68'!M12+'19.09.68'!M12+'20.09.68'!M12+'21.09.68'!M12+'22.09.68'!M12+'23.09.68'!M12+'24.09.68'!M12+'25.09.68'!M12+'26.09.68'!M12+'27.09.68'!M12+'28.09.68'!M12+'29.09.68'!M12+'30.09.68'!M12</f>
        <v>0</v>
      </c>
      <c r="N12" s="52">
        <f>+'01.09.68'!N12+'02.09.68'!N12+'03.09.68'!N12+'04.09.68'!N12+'05.09.68'!N12+'06.09.68'!N12+'07.09.68'!N12+'08.09.68'!N12+'09.09.68'!N12+'10.09.68'!N12+'11.09.68'!N12+'12.09.68'!N12+'13.09.68'!N12+'14.09.68'!N12+'15.09.68'!N12+'16.09.68'!N12+'17.09.68'!N12+'18.09.68'!N12+'19.09.68'!N12+'20.09.68'!N12+'21.09.68'!N12+'22.09.68'!N12+'23.09.68'!N12+'24.09.68'!N12+'25.09.68'!N12+'26.09.68'!N12+'27.09.68'!N12+'28.09.68'!N12+'29.09.68'!N12+'30.09.68'!N12</f>
        <v>0</v>
      </c>
      <c r="O12" s="65">
        <f t="shared" si="3"/>
        <v>0</v>
      </c>
      <c r="P12" s="52">
        <f>+'01.09.68'!P12+'02.09.68'!P12+'03.09.68'!P12+'04.09.68'!P12+'05.09.68'!P12+'06.09.68'!P12+'07.09.68'!P12+'08.09.68'!P12+'09.09.68'!P12+'10.09.68'!P12+'11.09.68'!P12+'12.09.68'!P12+'13.09.68'!P12+'14.09.68'!P12+'15.09.68'!P12+'16.09.68'!P12+'17.09.68'!P12+'18.09.68'!P12+'19.09.68'!P12+'20.09.68'!P12+'21.09.68'!P12+'22.09.68'!P12+'23.09.68'!P12+'24.09.68'!P12+'25.09.68'!P12+'26.09.68'!P12+'27.09.68'!P12+'28.09.68'!P12+'29.09.68'!P12+'30.09.68'!P12</f>
        <v>0</v>
      </c>
      <c r="Q12" s="52">
        <f>+'01.09.68'!Q12+'02.09.68'!Q12+'03.09.68'!Q12+'04.09.68'!Q12+'05.09.68'!Q12+'06.09.68'!Q12+'07.09.68'!Q12+'08.09.68'!Q12+'09.09.68'!Q12+'10.09.68'!Q12+'11.09.68'!Q12+'12.09.68'!Q12+'13.09.68'!Q12+'14.09.68'!Q12+'15.09.68'!Q12+'16.09.68'!Q12+'17.09.68'!Q12+'18.09.68'!Q12+'19.09.68'!Q12+'20.09.68'!Q12+'21.09.68'!Q12+'22.09.68'!Q12+'23.09.68'!Q12+'24.09.68'!Q12+'25.09.68'!Q12+'26.09.68'!Q12+'27.09.68'!Q12+'28.09.68'!Q12+'29.09.68'!Q12+'30.09.68'!Q12</f>
        <v>0</v>
      </c>
      <c r="R12" s="65">
        <f t="shared" si="4"/>
        <v>0</v>
      </c>
      <c r="S12" s="52">
        <f>+'01.09.68'!S12+'02.09.68'!S12+'03.09.68'!S12+'04.09.68'!S12+'05.09.68'!S12+'06.09.68'!S12+'07.09.68'!S12+'08.09.68'!S12+'09.09.68'!S12+'10.09.68'!S12+'11.09.68'!S12+'12.09.68'!S12+'13.09.68'!S12+'14.09.68'!S12+'15.09.68'!S12+'16.09.68'!S12+'17.09.68'!S12+'18.09.68'!S12+'19.09.68'!S12+'20.09.68'!S12+'21.09.68'!S12+'22.09.68'!S12+'23.09.68'!S12+'24.09.68'!S12+'25.09.68'!S12+'26.09.68'!S12+'27.09.68'!S12+'28.09.68'!S12+'29.09.68'!S12+'30.09.68'!S12</f>
        <v>0</v>
      </c>
      <c r="T12" s="52">
        <f>+'01.09.68'!T12+'02.09.68'!T12+'03.09.68'!T12+'04.09.68'!T12+'05.09.68'!T12+'06.09.68'!T12+'07.09.68'!T12+'08.09.68'!T12+'09.09.68'!T12+'10.09.68'!T12+'11.09.68'!T12+'12.09.68'!T12+'13.09.68'!T12+'14.09.68'!T12+'15.09.68'!T12+'16.09.68'!T12+'17.09.68'!T12+'18.09.68'!T12+'19.09.68'!T12+'20.09.68'!T12+'21.09.68'!T12+'22.09.68'!T12+'23.09.68'!T12+'24.09.68'!T12+'25.09.68'!T12+'26.09.68'!T12+'27.09.68'!T12+'28.09.68'!T12+'29.09.68'!T12+'30.09.68'!T12</f>
        <v>0</v>
      </c>
      <c r="U12" s="65">
        <f t="shared" si="5"/>
        <v>0</v>
      </c>
      <c r="V12" s="52">
        <f>+'01.09.68'!V12+'02.09.68'!V12+'03.09.68'!V12+'04.09.68'!V12+'05.09.68'!V12+'06.09.68'!V12+'07.09.68'!V12+'08.09.68'!V12+'09.09.68'!V12+'10.09.68'!V12+'11.09.68'!V12+'12.09.68'!V12+'13.09.68'!V12+'14.09.68'!V12+'15.09.68'!V12+'16.09.68'!V12+'17.09.68'!V12+'18.09.68'!V12+'19.09.68'!V12+'20.09.68'!V12+'21.09.68'!V12+'22.09.68'!V12+'23.09.68'!V12+'24.09.68'!V12+'25.09.68'!V12+'26.09.68'!V12+'27.09.68'!V12+'28.09.68'!V12+'29.09.68'!V12+'30.09.68'!V12</f>
        <v>0</v>
      </c>
      <c r="W12" s="52">
        <f>+'01.09.68'!W12+'02.09.68'!W12+'03.09.68'!W12+'04.09.68'!W12+'05.09.68'!W12+'06.09.68'!W12+'07.09.68'!W12+'08.09.68'!W12+'09.09.68'!W12+'10.09.68'!W12+'11.09.68'!W12+'12.09.68'!W12+'13.09.68'!W12+'14.09.68'!W12+'15.09.68'!W12+'16.09.68'!W12+'17.09.68'!W12+'18.09.68'!W12+'19.09.68'!W12+'20.09.68'!W12+'21.09.68'!W12+'22.09.68'!W12+'23.09.68'!W12+'24.09.68'!W12+'25.09.68'!W12+'26.09.68'!W12+'27.09.68'!W12+'28.09.68'!W12+'29.09.68'!W12+'30.09.68'!W12</f>
        <v>0</v>
      </c>
      <c r="X12" s="65">
        <f t="shared" si="6"/>
        <v>0</v>
      </c>
      <c r="Y12" s="52">
        <f>+'01.09.68'!Y12+'02.09.68'!Y12+'03.09.68'!Y12+'04.09.68'!Y12+'05.09.68'!Y12+'06.09.68'!Y12+'07.09.68'!Y12+'08.09.68'!Y12+'09.09.68'!Y12+'10.09.68'!Y12+'11.09.68'!Y12+'12.09.68'!Y12+'13.09.68'!Y12+'14.09.68'!Y12+'15.09.68'!Y12+'16.09.68'!Y12+'17.09.68'!Y12+'18.09.68'!Y12+'19.09.68'!Y12+'20.09.68'!Y12+'21.09.68'!Y12+'22.09.68'!Y12+'23.09.68'!Y12+'24.09.68'!Y12+'25.09.68'!Y12+'26.09.68'!Y12+'27.09.68'!Y12+'28.09.68'!Y12+'29.09.68'!Y12+'30.09.68'!Y12</f>
        <v>25</v>
      </c>
      <c r="Z12" s="66">
        <f t="shared" si="7"/>
        <v>346</v>
      </c>
    </row>
    <row r="13" spans="2:26">
      <c r="B13" s="50">
        <v>1111061</v>
      </c>
      <c r="C13" s="51" t="s">
        <v>34</v>
      </c>
      <c r="D13" s="52">
        <f>+'01.09.68'!D13+'02.09.68'!D13+'03.09.68'!D13+'04.09.68'!D13+'05.09.68'!D13+'06.09.68'!D13+'07.09.68'!D13+'08.09.68'!D13+'09.09.68'!D13+'10.09.68'!D13+'11.09.68'!D13+'12.09.68'!D13+'13.09.68'!D13+'14.09.68'!D13+'15.09.68'!D13+'16.09.68'!D13+'17.09.68'!D13+'18.09.68'!D13+'19.09.68'!D13+'20.09.68'!D13+'21.09.68'!D13+'22.09.68'!D13+'23.09.68'!D13+'24.09.68'!D13+'25.09.68'!D13+'26.09.68'!D13+'27.09.68'!D13+'28.09.68'!D13+'29.09.68'!D13+'30.09.68'!D13</f>
        <v>41</v>
      </c>
      <c r="E13" s="52">
        <f>+'01.09.68'!E13+'02.09.68'!E13+'03.09.68'!E13+'04.09.68'!E13+'05.09.68'!E13+'06.09.68'!E13+'07.09.68'!E13+'08.09.68'!E13+'09.09.68'!E13+'10.09.68'!E13+'11.09.68'!E13+'12.09.68'!E13+'13.09.68'!E13+'14.09.68'!E13+'15.09.68'!E13+'16.09.68'!E13+'17.09.68'!E13+'18.09.68'!E13+'19.09.68'!E13+'20.09.68'!E13+'21.09.68'!E13+'22.09.68'!E13+'23.09.68'!E13+'24.09.68'!E13+'25.09.68'!E13+'26.09.68'!E13+'27.09.68'!E13+'28.09.68'!E13+'29.09.68'!E13+'30.09.68'!E13</f>
        <v>0</v>
      </c>
      <c r="F13" s="65">
        <f t="shared" si="0"/>
        <v>41</v>
      </c>
      <c r="G13" s="52">
        <f>+'01.09.68'!G13+'02.09.68'!G13+'03.09.68'!G13+'04.09.68'!G13+'05.09.68'!G13+'06.09.68'!G13+'07.09.68'!G13+'08.09.68'!G13+'09.09.68'!G13+'10.09.68'!G13+'11.09.68'!G13+'12.09.68'!G13+'13.09.68'!G13+'14.09.68'!G13+'15.09.68'!G13+'16.09.68'!G13+'17.09.68'!G13+'18.09.68'!G13+'19.09.68'!G13+'20.09.68'!G13+'21.09.68'!G13+'22.09.68'!G13+'23.09.68'!G13+'24.09.68'!G13+'25.09.68'!G13+'26.09.68'!G13+'27.09.68'!G13+'28.09.68'!G13+'29.09.68'!G13+'30.09.68'!G13</f>
        <v>276</v>
      </c>
      <c r="H13" s="52">
        <f>+'01.09.68'!H13+'02.09.68'!H13+'03.09.68'!H13+'04.09.68'!H13+'05.09.68'!H13+'06.09.68'!H13+'07.09.68'!H13+'08.09.68'!H13+'09.09.68'!H13+'10.09.68'!H13+'11.09.68'!H13+'12.09.68'!H13+'13.09.68'!H13+'14.09.68'!H13+'15.09.68'!H13+'16.09.68'!H13+'17.09.68'!H13+'18.09.68'!H13+'19.09.68'!H13+'20.09.68'!H13+'21.09.68'!H13+'22.09.68'!H13+'23.09.68'!H13+'24.09.68'!H13+'25.09.68'!H13+'26.09.68'!H13+'27.09.68'!H13+'28.09.68'!H13+'29.09.68'!H13+'30.09.68'!H13</f>
        <v>0</v>
      </c>
      <c r="I13" s="65">
        <f t="shared" si="1"/>
        <v>276</v>
      </c>
      <c r="J13" s="52">
        <f>+'01.09.68'!J13+'02.09.68'!J13+'03.09.68'!J13+'04.09.68'!J13+'05.09.68'!J13+'06.09.68'!J13+'07.09.68'!J13+'08.09.68'!J13+'09.09.68'!J13+'10.09.68'!J13+'11.09.68'!J13+'12.09.68'!J13+'13.09.68'!J13+'14.09.68'!J13+'15.09.68'!J13+'16.09.68'!J13+'17.09.68'!J13+'18.09.68'!J13+'19.09.68'!J13+'20.09.68'!J13+'21.09.68'!J13+'22.09.68'!J13+'23.09.68'!J13+'24.09.68'!J13+'25.09.68'!J13+'26.09.68'!J13+'27.09.68'!J13+'28.09.68'!J13+'29.09.68'!J13+'30.09.68'!J13</f>
        <v>2</v>
      </c>
      <c r="K13" s="52">
        <f>+'01.09.68'!K13+'02.09.68'!K13+'03.09.68'!K13+'04.09.68'!K13+'05.09.68'!K13+'06.09.68'!K13+'07.09.68'!K13+'08.09.68'!K13+'09.09.68'!K13+'10.09.68'!K13+'11.09.68'!K13+'12.09.68'!K13+'13.09.68'!K13+'14.09.68'!K13+'15.09.68'!K13+'16.09.68'!K13+'17.09.68'!K13+'18.09.68'!K13+'19.09.68'!K13+'20.09.68'!K13+'21.09.68'!K13+'22.09.68'!K13+'23.09.68'!K13+'24.09.68'!K13+'25.09.68'!K13+'26.09.68'!K13+'27.09.68'!K13+'28.09.68'!K13+'29.09.68'!K13+'30.09.68'!K13</f>
        <v>0</v>
      </c>
      <c r="L13" s="65">
        <f t="shared" si="2"/>
        <v>2</v>
      </c>
      <c r="M13" s="52">
        <f>+'01.09.68'!M13+'02.09.68'!M13+'03.09.68'!M13+'04.09.68'!M13+'05.09.68'!M13+'06.09.68'!M13+'07.09.68'!M13+'08.09.68'!M13+'09.09.68'!M13+'10.09.68'!M13+'11.09.68'!M13+'12.09.68'!M13+'13.09.68'!M13+'14.09.68'!M13+'15.09.68'!M13+'16.09.68'!M13+'17.09.68'!M13+'18.09.68'!M13+'19.09.68'!M13+'20.09.68'!M13+'21.09.68'!M13+'22.09.68'!M13+'23.09.68'!M13+'24.09.68'!M13+'25.09.68'!M13+'26.09.68'!M13+'27.09.68'!M13+'28.09.68'!M13+'29.09.68'!M13+'30.09.68'!M13</f>
        <v>0</v>
      </c>
      <c r="N13" s="52">
        <f>+'01.09.68'!N13+'02.09.68'!N13+'03.09.68'!N13+'04.09.68'!N13+'05.09.68'!N13+'06.09.68'!N13+'07.09.68'!N13+'08.09.68'!N13+'09.09.68'!N13+'10.09.68'!N13+'11.09.68'!N13+'12.09.68'!N13+'13.09.68'!N13+'14.09.68'!N13+'15.09.68'!N13+'16.09.68'!N13+'17.09.68'!N13+'18.09.68'!N13+'19.09.68'!N13+'20.09.68'!N13+'21.09.68'!N13+'22.09.68'!N13+'23.09.68'!N13+'24.09.68'!N13+'25.09.68'!N13+'26.09.68'!N13+'27.09.68'!N13+'28.09.68'!N13+'29.09.68'!N13+'30.09.68'!N13</f>
        <v>0</v>
      </c>
      <c r="O13" s="65">
        <f t="shared" si="3"/>
        <v>0</v>
      </c>
      <c r="P13" s="52">
        <f>+'01.09.68'!P13+'02.09.68'!P13+'03.09.68'!P13+'04.09.68'!P13+'05.09.68'!P13+'06.09.68'!P13+'07.09.68'!P13+'08.09.68'!P13+'09.09.68'!P13+'10.09.68'!P13+'11.09.68'!P13+'12.09.68'!P13+'13.09.68'!P13+'14.09.68'!P13+'15.09.68'!P13+'16.09.68'!P13+'17.09.68'!P13+'18.09.68'!P13+'19.09.68'!P13+'20.09.68'!P13+'21.09.68'!P13+'22.09.68'!P13+'23.09.68'!P13+'24.09.68'!P13+'25.09.68'!P13+'26.09.68'!P13+'27.09.68'!P13+'28.09.68'!P13+'29.09.68'!P13+'30.09.68'!P13</f>
        <v>0</v>
      </c>
      <c r="Q13" s="52">
        <f>+'01.09.68'!Q13+'02.09.68'!Q13+'03.09.68'!Q13+'04.09.68'!Q13+'05.09.68'!Q13+'06.09.68'!Q13+'07.09.68'!Q13+'08.09.68'!Q13+'09.09.68'!Q13+'10.09.68'!Q13+'11.09.68'!Q13+'12.09.68'!Q13+'13.09.68'!Q13+'14.09.68'!Q13+'15.09.68'!Q13+'16.09.68'!Q13+'17.09.68'!Q13+'18.09.68'!Q13+'19.09.68'!Q13+'20.09.68'!Q13+'21.09.68'!Q13+'22.09.68'!Q13+'23.09.68'!Q13+'24.09.68'!Q13+'25.09.68'!Q13+'26.09.68'!Q13+'27.09.68'!Q13+'28.09.68'!Q13+'29.09.68'!Q13+'30.09.68'!Q13</f>
        <v>0</v>
      </c>
      <c r="R13" s="65">
        <f t="shared" si="4"/>
        <v>0</v>
      </c>
      <c r="S13" s="52">
        <f>+'01.09.68'!S13+'02.09.68'!S13+'03.09.68'!S13+'04.09.68'!S13+'05.09.68'!S13+'06.09.68'!S13+'07.09.68'!S13+'08.09.68'!S13+'09.09.68'!S13+'10.09.68'!S13+'11.09.68'!S13+'12.09.68'!S13+'13.09.68'!S13+'14.09.68'!S13+'15.09.68'!S13+'16.09.68'!S13+'17.09.68'!S13+'18.09.68'!S13+'19.09.68'!S13+'20.09.68'!S13+'21.09.68'!S13+'22.09.68'!S13+'23.09.68'!S13+'24.09.68'!S13+'25.09.68'!S13+'26.09.68'!S13+'27.09.68'!S13+'28.09.68'!S13+'29.09.68'!S13+'30.09.68'!S13</f>
        <v>0</v>
      </c>
      <c r="T13" s="52">
        <f>+'01.09.68'!T13+'02.09.68'!T13+'03.09.68'!T13+'04.09.68'!T13+'05.09.68'!T13+'06.09.68'!T13+'07.09.68'!T13+'08.09.68'!T13+'09.09.68'!T13+'10.09.68'!T13+'11.09.68'!T13+'12.09.68'!T13+'13.09.68'!T13+'14.09.68'!T13+'15.09.68'!T13+'16.09.68'!T13+'17.09.68'!T13+'18.09.68'!T13+'19.09.68'!T13+'20.09.68'!T13+'21.09.68'!T13+'22.09.68'!T13+'23.09.68'!T13+'24.09.68'!T13+'25.09.68'!T13+'26.09.68'!T13+'27.09.68'!T13+'28.09.68'!T13+'29.09.68'!T13+'30.09.68'!T13</f>
        <v>0</v>
      </c>
      <c r="U13" s="65">
        <f t="shared" si="5"/>
        <v>0</v>
      </c>
      <c r="V13" s="52">
        <f>+'01.09.68'!V13+'02.09.68'!V13+'03.09.68'!V13+'04.09.68'!V13+'05.09.68'!V13+'06.09.68'!V13+'07.09.68'!V13+'08.09.68'!V13+'09.09.68'!V13+'10.09.68'!V13+'11.09.68'!V13+'12.09.68'!V13+'13.09.68'!V13+'14.09.68'!V13+'15.09.68'!V13+'16.09.68'!V13+'17.09.68'!V13+'18.09.68'!V13+'19.09.68'!V13+'20.09.68'!V13+'21.09.68'!V13+'22.09.68'!V13+'23.09.68'!V13+'24.09.68'!V13+'25.09.68'!V13+'26.09.68'!V13+'27.09.68'!V13+'28.09.68'!V13+'29.09.68'!V13+'30.09.68'!V13</f>
        <v>0</v>
      </c>
      <c r="W13" s="52">
        <f>+'01.09.68'!W13+'02.09.68'!W13+'03.09.68'!W13+'04.09.68'!W13+'05.09.68'!W13+'06.09.68'!W13+'07.09.68'!W13+'08.09.68'!W13+'09.09.68'!W13+'10.09.68'!W13+'11.09.68'!W13+'12.09.68'!W13+'13.09.68'!W13+'14.09.68'!W13+'15.09.68'!W13+'16.09.68'!W13+'17.09.68'!W13+'18.09.68'!W13+'19.09.68'!W13+'20.09.68'!W13+'21.09.68'!W13+'22.09.68'!W13+'23.09.68'!W13+'24.09.68'!W13+'25.09.68'!W13+'26.09.68'!W13+'27.09.68'!W13+'28.09.68'!W13+'29.09.68'!W13+'30.09.68'!W13</f>
        <v>0</v>
      </c>
      <c r="X13" s="65">
        <f t="shared" si="6"/>
        <v>0</v>
      </c>
      <c r="Y13" s="52">
        <f>+'01.09.68'!Y13+'02.09.68'!Y13+'03.09.68'!Y13+'04.09.68'!Y13+'05.09.68'!Y13+'06.09.68'!Y13+'07.09.68'!Y13+'08.09.68'!Y13+'09.09.68'!Y13+'10.09.68'!Y13+'11.09.68'!Y13+'12.09.68'!Y13+'13.09.68'!Y13+'14.09.68'!Y13+'15.09.68'!Y13+'16.09.68'!Y13+'17.09.68'!Y13+'18.09.68'!Y13+'19.09.68'!Y13+'20.09.68'!Y13+'21.09.68'!Y13+'22.09.68'!Y13+'23.09.68'!Y13+'24.09.68'!Y13+'25.09.68'!Y13+'26.09.68'!Y13+'27.09.68'!Y13+'28.09.68'!Y13+'29.09.68'!Y13+'30.09.68'!Y13</f>
        <v>25</v>
      </c>
      <c r="Z13" s="66">
        <f t="shared" si="7"/>
        <v>344</v>
      </c>
    </row>
    <row r="14" spans="2:26">
      <c r="B14" s="50">
        <v>1111062</v>
      </c>
      <c r="C14" s="51" t="s">
        <v>35</v>
      </c>
      <c r="D14" s="52">
        <f>+'01.09.68'!D14+'02.09.68'!D14+'03.09.68'!D14+'04.09.68'!D14+'05.09.68'!D14+'06.09.68'!D14+'07.09.68'!D14+'08.09.68'!D14+'09.09.68'!D14+'10.09.68'!D14+'11.09.68'!D14+'12.09.68'!D14+'13.09.68'!D14+'14.09.68'!D14+'15.09.68'!D14+'16.09.68'!D14+'17.09.68'!D14+'18.09.68'!D14+'19.09.68'!D14+'20.09.68'!D14+'21.09.68'!D14+'22.09.68'!D14+'23.09.68'!D14+'24.09.68'!D14+'25.09.68'!D14+'26.09.68'!D14+'27.09.68'!D14+'28.09.68'!D14+'29.09.68'!D14+'30.09.68'!D14</f>
        <v>41</v>
      </c>
      <c r="E14" s="52">
        <f>+'01.09.68'!E14+'02.09.68'!E14+'03.09.68'!E14+'04.09.68'!E14+'05.09.68'!E14+'06.09.68'!E14+'07.09.68'!E14+'08.09.68'!E14+'09.09.68'!E14+'10.09.68'!E14+'11.09.68'!E14+'12.09.68'!E14+'13.09.68'!E14+'14.09.68'!E14+'15.09.68'!E14+'16.09.68'!E14+'17.09.68'!E14+'18.09.68'!E14+'19.09.68'!E14+'20.09.68'!E14+'21.09.68'!E14+'22.09.68'!E14+'23.09.68'!E14+'24.09.68'!E14+'25.09.68'!E14+'26.09.68'!E14+'27.09.68'!E14+'28.09.68'!E14+'29.09.68'!E14+'30.09.68'!E14</f>
        <v>0</v>
      </c>
      <c r="F14" s="65">
        <f t="shared" si="0"/>
        <v>41</v>
      </c>
      <c r="G14" s="52">
        <f>+'01.09.68'!G14+'02.09.68'!G14+'03.09.68'!G14+'04.09.68'!G14+'05.09.68'!G14+'06.09.68'!G14+'07.09.68'!G14+'08.09.68'!G14+'09.09.68'!G14+'10.09.68'!G14+'11.09.68'!G14+'12.09.68'!G14+'13.09.68'!G14+'14.09.68'!G14+'15.09.68'!G14+'16.09.68'!G14+'17.09.68'!G14+'18.09.68'!G14+'19.09.68'!G14+'20.09.68'!G14+'21.09.68'!G14+'22.09.68'!G14+'23.09.68'!G14+'24.09.68'!G14+'25.09.68'!G14+'26.09.68'!G14+'27.09.68'!G14+'28.09.68'!G14+'29.09.68'!G14+'30.09.68'!G14</f>
        <v>276</v>
      </c>
      <c r="H14" s="52">
        <f>+'01.09.68'!H14+'02.09.68'!H14+'03.09.68'!H14+'04.09.68'!H14+'05.09.68'!H14+'06.09.68'!H14+'07.09.68'!H14+'08.09.68'!H14+'09.09.68'!H14+'10.09.68'!H14+'11.09.68'!H14+'12.09.68'!H14+'13.09.68'!H14+'14.09.68'!H14+'15.09.68'!H14+'16.09.68'!H14+'17.09.68'!H14+'18.09.68'!H14+'19.09.68'!H14+'20.09.68'!H14+'21.09.68'!H14+'22.09.68'!H14+'23.09.68'!H14+'24.09.68'!H14+'25.09.68'!H14+'26.09.68'!H14+'27.09.68'!H14+'28.09.68'!H14+'29.09.68'!H14+'30.09.68'!H14</f>
        <v>0</v>
      </c>
      <c r="I14" s="65">
        <f t="shared" si="1"/>
        <v>276</v>
      </c>
      <c r="J14" s="52">
        <f>+'01.09.68'!J14+'02.09.68'!J14+'03.09.68'!J14+'04.09.68'!J14+'05.09.68'!J14+'06.09.68'!J14+'07.09.68'!J14+'08.09.68'!J14+'09.09.68'!J14+'10.09.68'!J14+'11.09.68'!J14+'12.09.68'!J14+'13.09.68'!J14+'14.09.68'!J14+'15.09.68'!J14+'16.09.68'!J14+'17.09.68'!J14+'18.09.68'!J14+'19.09.68'!J14+'20.09.68'!J14+'21.09.68'!J14+'22.09.68'!J14+'23.09.68'!J14+'24.09.68'!J14+'25.09.68'!J14+'26.09.68'!J14+'27.09.68'!J14+'28.09.68'!J14+'29.09.68'!J14+'30.09.68'!J14</f>
        <v>2</v>
      </c>
      <c r="K14" s="52">
        <f>+'01.09.68'!K14+'02.09.68'!K14+'03.09.68'!K14+'04.09.68'!K14+'05.09.68'!K14+'06.09.68'!K14+'07.09.68'!K14+'08.09.68'!K14+'09.09.68'!K14+'10.09.68'!K14+'11.09.68'!K14+'12.09.68'!K14+'13.09.68'!K14+'14.09.68'!K14+'15.09.68'!K14+'16.09.68'!K14+'17.09.68'!K14+'18.09.68'!K14+'19.09.68'!K14+'20.09.68'!K14+'21.09.68'!K14+'22.09.68'!K14+'23.09.68'!K14+'24.09.68'!K14+'25.09.68'!K14+'26.09.68'!K14+'27.09.68'!K14+'28.09.68'!K14+'29.09.68'!K14+'30.09.68'!K14</f>
        <v>0</v>
      </c>
      <c r="L14" s="65">
        <f t="shared" si="2"/>
        <v>2</v>
      </c>
      <c r="M14" s="52">
        <f>+'01.09.68'!M14+'02.09.68'!M14+'03.09.68'!M14+'04.09.68'!M14+'05.09.68'!M14+'06.09.68'!M14+'07.09.68'!M14+'08.09.68'!M14+'09.09.68'!M14+'10.09.68'!M14+'11.09.68'!M14+'12.09.68'!M14+'13.09.68'!M14+'14.09.68'!M14+'15.09.68'!M14+'16.09.68'!M14+'17.09.68'!M14+'18.09.68'!M14+'19.09.68'!M14+'20.09.68'!M14+'21.09.68'!M14+'22.09.68'!M14+'23.09.68'!M14+'24.09.68'!M14+'25.09.68'!M14+'26.09.68'!M14+'27.09.68'!M14+'28.09.68'!M14+'29.09.68'!M14+'30.09.68'!M14</f>
        <v>0</v>
      </c>
      <c r="N14" s="52">
        <f>+'01.09.68'!N14+'02.09.68'!N14+'03.09.68'!N14+'04.09.68'!N14+'05.09.68'!N14+'06.09.68'!N14+'07.09.68'!N14+'08.09.68'!N14+'09.09.68'!N14+'10.09.68'!N14+'11.09.68'!N14+'12.09.68'!N14+'13.09.68'!N14+'14.09.68'!N14+'15.09.68'!N14+'16.09.68'!N14+'17.09.68'!N14+'18.09.68'!N14+'19.09.68'!N14+'20.09.68'!N14+'21.09.68'!N14+'22.09.68'!N14+'23.09.68'!N14+'24.09.68'!N14+'25.09.68'!N14+'26.09.68'!N14+'27.09.68'!N14+'28.09.68'!N14+'29.09.68'!N14+'30.09.68'!N14</f>
        <v>0</v>
      </c>
      <c r="O14" s="65">
        <f t="shared" si="3"/>
        <v>0</v>
      </c>
      <c r="P14" s="52">
        <f>+'01.09.68'!P14+'02.09.68'!P14+'03.09.68'!P14+'04.09.68'!P14+'05.09.68'!P14+'06.09.68'!P14+'07.09.68'!P14+'08.09.68'!P14+'09.09.68'!P14+'10.09.68'!P14+'11.09.68'!P14+'12.09.68'!P14+'13.09.68'!P14+'14.09.68'!P14+'15.09.68'!P14+'16.09.68'!P14+'17.09.68'!P14+'18.09.68'!P14+'19.09.68'!P14+'20.09.68'!P14+'21.09.68'!P14+'22.09.68'!P14+'23.09.68'!P14+'24.09.68'!P14+'25.09.68'!P14+'26.09.68'!P14+'27.09.68'!P14+'28.09.68'!P14+'29.09.68'!P14+'30.09.68'!P14</f>
        <v>0</v>
      </c>
      <c r="Q14" s="52">
        <f>+'01.09.68'!Q14+'02.09.68'!Q14+'03.09.68'!Q14+'04.09.68'!Q14+'05.09.68'!Q14+'06.09.68'!Q14+'07.09.68'!Q14+'08.09.68'!Q14+'09.09.68'!Q14+'10.09.68'!Q14+'11.09.68'!Q14+'12.09.68'!Q14+'13.09.68'!Q14+'14.09.68'!Q14+'15.09.68'!Q14+'16.09.68'!Q14+'17.09.68'!Q14+'18.09.68'!Q14+'19.09.68'!Q14+'20.09.68'!Q14+'21.09.68'!Q14+'22.09.68'!Q14+'23.09.68'!Q14+'24.09.68'!Q14+'25.09.68'!Q14+'26.09.68'!Q14+'27.09.68'!Q14+'28.09.68'!Q14+'29.09.68'!Q14+'30.09.68'!Q14</f>
        <v>0</v>
      </c>
      <c r="R14" s="65">
        <f t="shared" si="4"/>
        <v>0</v>
      </c>
      <c r="S14" s="52">
        <f>+'01.09.68'!S14+'02.09.68'!S14+'03.09.68'!S14+'04.09.68'!S14+'05.09.68'!S14+'06.09.68'!S14+'07.09.68'!S14+'08.09.68'!S14+'09.09.68'!S14+'10.09.68'!S14+'11.09.68'!S14+'12.09.68'!S14+'13.09.68'!S14+'14.09.68'!S14+'15.09.68'!S14+'16.09.68'!S14+'17.09.68'!S14+'18.09.68'!S14+'19.09.68'!S14+'20.09.68'!S14+'21.09.68'!S14+'22.09.68'!S14+'23.09.68'!S14+'24.09.68'!S14+'25.09.68'!S14+'26.09.68'!S14+'27.09.68'!S14+'28.09.68'!S14+'29.09.68'!S14+'30.09.68'!S14</f>
        <v>0</v>
      </c>
      <c r="T14" s="52">
        <f>+'01.09.68'!T14+'02.09.68'!T14+'03.09.68'!T14+'04.09.68'!T14+'05.09.68'!T14+'06.09.68'!T14+'07.09.68'!T14+'08.09.68'!T14+'09.09.68'!T14+'10.09.68'!T14+'11.09.68'!T14+'12.09.68'!T14+'13.09.68'!T14+'14.09.68'!T14+'15.09.68'!T14+'16.09.68'!T14+'17.09.68'!T14+'18.09.68'!T14+'19.09.68'!T14+'20.09.68'!T14+'21.09.68'!T14+'22.09.68'!T14+'23.09.68'!T14+'24.09.68'!T14+'25.09.68'!T14+'26.09.68'!T14+'27.09.68'!T14+'28.09.68'!T14+'29.09.68'!T14+'30.09.68'!T14</f>
        <v>0</v>
      </c>
      <c r="U14" s="65">
        <f t="shared" si="5"/>
        <v>0</v>
      </c>
      <c r="V14" s="52">
        <f>+'01.09.68'!V14+'02.09.68'!V14+'03.09.68'!V14+'04.09.68'!V14+'05.09.68'!V14+'06.09.68'!V14+'07.09.68'!V14+'08.09.68'!V14+'09.09.68'!V14+'10.09.68'!V14+'11.09.68'!V14+'12.09.68'!V14+'13.09.68'!V14+'14.09.68'!V14+'15.09.68'!V14+'16.09.68'!V14+'17.09.68'!V14+'18.09.68'!V14+'19.09.68'!V14+'20.09.68'!V14+'21.09.68'!V14+'22.09.68'!V14+'23.09.68'!V14+'24.09.68'!V14+'25.09.68'!V14+'26.09.68'!V14+'27.09.68'!V14+'28.09.68'!V14+'29.09.68'!V14+'30.09.68'!V14</f>
        <v>0</v>
      </c>
      <c r="W14" s="52">
        <f>+'01.09.68'!W14+'02.09.68'!W14+'03.09.68'!W14+'04.09.68'!W14+'05.09.68'!W14+'06.09.68'!W14+'07.09.68'!W14+'08.09.68'!W14+'09.09.68'!W14+'10.09.68'!W14+'11.09.68'!W14+'12.09.68'!W14+'13.09.68'!W14+'14.09.68'!W14+'15.09.68'!W14+'16.09.68'!W14+'17.09.68'!W14+'18.09.68'!W14+'19.09.68'!W14+'20.09.68'!W14+'21.09.68'!W14+'22.09.68'!W14+'23.09.68'!W14+'24.09.68'!W14+'25.09.68'!W14+'26.09.68'!W14+'27.09.68'!W14+'28.09.68'!W14+'29.09.68'!W14+'30.09.68'!W14</f>
        <v>0</v>
      </c>
      <c r="X14" s="65">
        <f t="shared" si="6"/>
        <v>0</v>
      </c>
      <c r="Y14" s="52">
        <f>+'01.09.68'!Y14+'02.09.68'!Y14+'03.09.68'!Y14+'04.09.68'!Y14+'05.09.68'!Y14+'06.09.68'!Y14+'07.09.68'!Y14+'08.09.68'!Y14+'09.09.68'!Y14+'10.09.68'!Y14+'11.09.68'!Y14+'12.09.68'!Y14+'13.09.68'!Y14+'14.09.68'!Y14+'15.09.68'!Y14+'16.09.68'!Y14+'17.09.68'!Y14+'18.09.68'!Y14+'19.09.68'!Y14+'20.09.68'!Y14+'21.09.68'!Y14+'22.09.68'!Y14+'23.09.68'!Y14+'24.09.68'!Y14+'25.09.68'!Y14+'26.09.68'!Y14+'27.09.68'!Y14+'28.09.68'!Y14+'29.09.68'!Y14+'30.09.68'!Y14</f>
        <v>25</v>
      </c>
      <c r="Z14" s="66">
        <f t="shared" si="7"/>
        <v>344</v>
      </c>
    </row>
    <row r="15" spans="2:26">
      <c r="B15" s="50">
        <v>1111063</v>
      </c>
      <c r="C15" s="51" t="s">
        <v>36</v>
      </c>
      <c r="D15" s="52">
        <f>+'01.09.68'!D15+'02.09.68'!D15+'03.09.68'!D15+'04.09.68'!D15+'05.09.68'!D15+'06.09.68'!D15+'07.09.68'!D15+'08.09.68'!D15+'09.09.68'!D15+'10.09.68'!D15+'11.09.68'!D15+'12.09.68'!D15+'13.09.68'!D15+'14.09.68'!D15+'15.09.68'!D15+'16.09.68'!D15+'17.09.68'!D15+'18.09.68'!D15+'19.09.68'!D15+'20.09.68'!D15+'21.09.68'!D15+'22.09.68'!D15+'23.09.68'!D15+'24.09.68'!D15+'25.09.68'!D15+'26.09.68'!D15+'27.09.68'!D15+'28.09.68'!D15+'29.09.68'!D15+'30.09.68'!D15</f>
        <v>41</v>
      </c>
      <c r="E15" s="52">
        <f>+'01.09.68'!E15+'02.09.68'!E15+'03.09.68'!E15+'04.09.68'!E15+'05.09.68'!E15+'06.09.68'!E15+'07.09.68'!E15+'08.09.68'!E15+'09.09.68'!E15+'10.09.68'!E15+'11.09.68'!E15+'12.09.68'!E15+'13.09.68'!E15+'14.09.68'!E15+'15.09.68'!E15+'16.09.68'!E15+'17.09.68'!E15+'18.09.68'!E15+'19.09.68'!E15+'20.09.68'!E15+'21.09.68'!E15+'22.09.68'!E15+'23.09.68'!E15+'24.09.68'!E15+'25.09.68'!E15+'26.09.68'!E15+'27.09.68'!E15+'28.09.68'!E15+'29.09.68'!E15+'30.09.68'!E15</f>
        <v>0</v>
      </c>
      <c r="F15" s="65">
        <f t="shared" si="0"/>
        <v>41</v>
      </c>
      <c r="G15" s="52">
        <f>+'01.09.68'!G15+'02.09.68'!G15+'03.09.68'!G15+'04.09.68'!G15+'05.09.68'!G15+'06.09.68'!G15+'07.09.68'!G15+'08.09.68'!G15+'09.09.68'!G15+'10.09.68'!G15+'11.09.68'!G15+'12.09.68'!G15+'13.09.68'!G15+'14.09.68'!G15+'15.09.68'!G15+'16.09.68'!G15+'17.09.68'!G15+'18.09.68'!G15+'19.09.68'!G15+'20.09.68'!G15+'21.09.68'!G15+'22.09.68'!G15+'23.09.68'!G15+'24.09.68'!G15+'25.09.68'!G15+'26.09.68'!G15+'27.09.68'!G15+'28.09.68'!G15+'29.09.68'!G15+'30.09.68'!G15</f>
        <v>276</v>
      </c>
      <c r="H15" s="52">
        <f>+'01.09.68'!H15+'02.09.68'!H15+'03.09.68'!H15+'04.09.68'!H15+'05.09.68'!H15+'06.09.68'!H15+'07.09.68'!H15+'08.09.68'!H15+'09.09.68'!H15+'10.09.68'!H15+'11.09.68'!H15+'12.09.68'!H15+'13.09.68'!H15+'14.09.68'!H15+'15.09.68'!H15+'16.09.68'!H15+'17.09.68'!H15+'18.09.68'!H15+'19.09.68'!H15+'20.09.68'!H15+'21.09.68'!H15+'22.09.68'!H15+'23.09.68'!H15+'24.09.68'!H15+'25.09.68'!H15+'26.09.68'!H15+'27.09.68'!H15+'28.09.68'!H15+'29.09.68'!H15+'30.09.68'!H15</f>
        <v>0</v>
      </c>
      <c r="I15" s="65">
        <f t="shared" si="1"/>
        <v>276</v>
      </c>
      <c r="J15" s="52">
        <f>+'01.09.68'!J15+'02.09.68'!J15+'03.09.68'!J15+'04.09.68'!J15+'05.09.68'!J15+'06.09.68'!J15+'07.09.68'!J15+'08.09.68'!J15+'09.09.68'!J15+'10.09.68'!J15+'11.09.68'!J15+'12.09.68'!J15+'13.09.68'!J15+'14.09.68'!J15+'15.09.68'!J15+'16.09.68'!J15+'17.09.68'!J15+'18.09.68'!J15+'19.09.68'!J15+'20.09.68'!J15+'21.09.68'!J15+'22.09.68'!J15+'23.09.68'!J15+'24.09.68'!J15+'25.09.68'!J15+'26.09.68'!J15+'27.09.68'!J15+'28.09.68'!J15+'29.09.68'!J15+'30.09.68'!J15</f>
        <v>2</v>
      </c>
      <c r="K15" s="52">
        <f>+'01.09.68'!K15+'02.09.68'!K15+'03.09.68'!K15+'04.09.68'!K15+'05.09.68'!K15+'06.09.68'!K15+'07.09.68'!K15+'08.09.68'!K15+'09.09.68'!K15+'10.09.68'!K15+'11.09.68'!K15+'12.09.68'!K15+'13.09.68'!K15+'14.09.68'!K15+'15.09.68'!K15+'16.09.68'!K15+'17.09.68'!K15+'18.09.68'!K15+'19.09.68'!K15+'20.09.68'!K15+'21.09.68'!K15+'22.09.68'!K15+'23.09.68'!K15+'24.09.68'!K15+'25.09.68'!K15+'26.09.68'!K15+'27.09.68'!K15+'28.09.68'!K15+'29.09.68'!K15+'30.09.68'!K15</f>
        <v>0</v>
      </c>
      <c r="L15" s="65">
        <f t="shared" si="2"/>
        <v>2</v>
      </c>
      <c r="M15" s="52">
        <f>+'01.09.68'!M15+'02.09.68'!M15+'03.09.68'!M15+'04.09.68'!M15+'05.09.68'!M15+'06.09.68'!M15+'07.09.68'!M15+'08.09.68'!M15+'09.09.68'!M15+'10.09.68'!M15+'11.09.68'!M15+'12.09.68'!M15+'13.09.68'!M15+'14.09.68'!M15+'15.09.68'!M15+'16.09.68'!M15+'17.09.68'!M15+'18.09.68'!M15+'19.09.68'!M15+'20.09.68'!M15+'21.09.68'!M15+'22.09.68'!M15+'23.09.68'!M15+'24.09.68'!M15+'25.09.68'!M15+'26.09.68'!M15+'27.09.68'!M15+'28.09.68'!M15+'29.09.68'!M15+'30.09.68'!M15</f>
        <v>0</v>
      </c>
      <c r="N15" s="52">
        <f>+'01.09.68'!N15+'02.09.68'!N15+'03.09.68'!N15+'04.09.68'!N15+'05.09.68'!N15+'06.09.68'!N15+'07.09.68'!N15+'08.09.68'!N15+'09.09.68'!N15+'10.09.68'!N15+'11.09.68'!N15+'12.09.68'!N15+'13.09.68'!N15+'14.09.68'!N15+'15.09.68'!N15+'16.09.68'!N15+'17.09.68'!N15+'18.09.68'!N15+'19.09.68'!N15+'20.09.68'!N15+'21.09.68'!N15+'22.09.68'!N15+'23.09.68'!N15+'24.09.68'!N15+'25.09.68'!N15+'26.09.68'!N15+'27.09.68'!N15+'28.09.68'!N15+'29.09.68'!N15+'30.09.68'!N15</f>
        <v>0</v>
      </c>
      <c r="O15" s="65">
        <f t="shared" si="3"/>
        <v>0</v>
      </c>
      <c r="P15" s="52">
        <f>+'01.09.68'!P15+'02.09.68'!P15+'03.09.68'!P15+'04.09.68'!P15+'05.09.68'!P15+'06.09.68'!P15+'07.09.68'!P15+'08.09.68'!P15+'09.09.68'!P15+'10.09.68'!P15+'11.09.68'!P15+'12.09.68'!P15+'13.09.68'!P15+'14.09.68'!P15+'15.09.68'!P15+'16.09.68'!P15+'17.09.68'!P15+'18.09.68'!P15+'19.09.68'!P15+'20.09.68'!P15+'21.09.68'!P15+'22.09.68'!P15+'23.09.68'!P15+'24.09.68'!P15+'25.09.68'!P15+'26.09.68'!P15+'27.09.68'!P15+'28.09.68'!P15+'29.09.68'!P15+'30.09.68'!P15</f>
        <v>0</v>
      </c>
      <c r="Q15" s="52">
        <f>+'01.09.68'!Q15+'02.09.68'!Q15+'03.09.68'!Q15+'04.09.68'!Q15+'05.09.68'!Q15+'06.09.68'!Q15+'07.09.68'!Q15+'08.09.68'!Q15+'09.09.68'!Q15+'10.09.68'!Q15+'11.09.68'!Q15+'12.09.68'!Q15+'13.09.68'!Q15+'14.09.68'!Q15+'15.09.68'!Q15+'16.09.68'!Q15+'17.09.68'!Q15+'18.09.68'!Q15+'19.09.68'!Q15+'20.09.68'!Q15+'21.09.68'!Q15+'22.09.68'!Q15+'23.09.68'!Q15+'24.09.68'!Q15+'25.09.68'!Q15+'26.09.68'!Q15+'27.09.68'!Q15+'28.09.68'!Q15+'29.09.68'!Q15+'30.09.68'!Q15</f>
        <v>0</v>
      </c>
      <c r="R15" s="65">
        <f t="shared" si="4"/>
        <v>0</v>
      </c>
      <c r="S15" s="52">
        <f>+'01.09.68'!S15+'02.09.68'!S15+'03.09.68'!S15+'04.09.68'!S15+'05.09.68'!S15+'06.09.68'!S15+'07.09.68'!S15+'08.09.68'!S15+'09.09.68'!S15+'10.09.68'!S15+'11.09.68'!S15+'12.09.68'!S15+'13.09.68'!S15+'14.09.68'!S15+'15.09.68'!S15+'16.09.68'!S15+'17.09.68'!S15+'18.09.68'!S15+'19.09.68'!S15+'20.09.68'!S15+'21.09.68'!S15+'22.09.68'!S15+'23.09.68'!S15+'24.09.68'!S15+'25.09.68'!S15+'26.09.68'!S15+'27.09.68'!S15+'28.09.68'!S15+'29.09.68'!S15+'30.09.68'!S15</f>
        <v>0</v>
      </c>
      <c r="T15" s="52">
        <f>+'01.09.68'!T15+'02.09.68'!T15+'03.09.68'!T15+'04.09.68'!T15+'05.09.68'!T15+'06.09.68'!T15+'07.09.68'!T15+'08.09.68'!T15+'09.09.68'!T15+'10.09.68'!T15+'11.09.68'!T15+'12.09.68'!T15+'13.09.68'!T15+'14.09.68'!T15+'15.09.68'!T15+'16.09.68'!T15+'17.09.68'!T15+'18.09.68'!T15+'19.09.68'!T15+'20.09.68'!T15+'21.09.68'!T15+'22.09.68'!T15+'23.09.68'!T15+'24.09.68'!T15+'25.09.68'!T15+'26.09.68'!T15+'27.09.68'!T15+'28.09.68'!T15+'29.09.68'!T15+'30.09.68'!T15</f>
        <v>0</v>
      </c>
      <c r="U15" s="65">
        <f t="shared" si="5"/>
        <v>0</v>
      </c>
      <c r="V15" s="52">
        <f>+'01.09.68'!V15+'02.09.68'!V15+'03.09.68'!V15+'04.09.68'!V15+'05.09.68'!V15+'06.09.68'!V15+'07.09.68'!V15+'08.09.68'!V15+'09.09.68'!V15+'10.09.68'!V15+'11.09.68'!V15+'12.09.68'!V15+'13.09.68'!V15+'14.09.68'!V15+'15.09.68'!V15+'16.09.68'!V15+'17.09.68'!V15+'18.09.68'!V15+'19.09.68'!V15+'20.09.68'!V15+'21.09.68'!V15+'22.09.68'!V15+'23.09.68'!V15+'24.09.68'!V15+'25.09.68'!V15+'26.09.68'!V15+'27.09.68'!V15+'28.09.68'!V15+'29.09.68'!V15+'30.09.68'!V15</f>
        <v>0</v>
      </c>
      <c r="W15" s="52">
        <f>+'01.09.68'!W15+'02.09.68'!W15+'03.09.68'!W15+'04.09.68'!W15+'05.09.68'!W15+'06.09.68'!W15+'07.09.68'!W15+'08.09.68'!W15+'09.09.68'!W15+'10.09.68'!W15+'11.09.68'!W15+'12.09.68'!W15+'13.09.68'!W15+'14.09.68'!W15+'15.09.68'!W15+'16.09.68'!W15+'17.09.68'!W15+'18.09.68'!W15+'19.09.68'!W15+'20.09.68'!W15+'21.09.68'!W15+'22.09.68'!W15+'23.09.68'!W15+'24.09.68'!W15+'25.09.68'!W15+'26.09.68'!W15+'27.09.68'!W15+'28.09.68'!W15+'29.09.68'!W15+'30.09.68'!W15</f>
        <v>0</v>
      </c>
      <c r="X15" s="65">
        <f t="shared" si="6"/>
        <v>0</v>
      </c>
      <c r="Y15" s="52">
        <f>+'01.09.68'!Y15+'02.09.68'!Y15+'03.09.68'!Y15+'04.09.68'!Y15+'05.09.68'!Y15+'06.09.68'!Y15+'07.09.68'!Y15+'08.09.68'!Y15+'09.09.68'!Y15+'10.09.68'!Y15+'11.09.68'!Y15+'12.09.68'!Y15+'13.09.68'!Y15+'14.09.68'!Y15+'15.09.68'!Y15+'16.09.68'!Y15+'17.09.68'!Y15+'18.09.68'!Y15+'19.09.68'!Y15+'20.09.68'!Y15+'21.09.68'!Y15+'22.09.68'!Y15+'23.09.68'!Y15+'24.09.68'!Y15+'25.09.68'!Y15+'26.09.68'!Y15+'27.09.68'!Y15+'28.09.68'!Y15+'29.09.68'!Y15+'30.09.68'!Y15</f>
        <v>25</v>
      </c>
      <c r="Z15" s="66">
        <f t="shared" si="7"/>
        <v>344</v>
      </c>
    </row>
    <row r="16" spans="2:26">
      <c r="B16" s="50">
        <v>1111064</v>
      </c>
      <c r="C16" s="51" t="s">
        <v>37</v>
      </c>
      <c r="D16" s="52">
        <f>+'01.09.68'!D16+'02.09.68'!D16+'03.09.68'!D16+'04.09.68'!D16+'05.09.68'!D16+'06.09.68'!D16+'07.09.68'!D16+'08.09.68'!D16+'09.09.68'!D16+'10.09.68'!D16+'11.09.68'!D16+'12.09.68'!D16+'13.09.68'!D16+'14.09.68'!D16+'15.09.68'!D16+'16.09.68'!D16+'17.09.68'!D16+'18.09.68'!D16+'19.09.68'!D16+'20.09.68'!D16+'21.09.68'!D16+'22.09.68'!D16+'23.09.68'!D16+'24.09.68'!D16+'25.09.68'!D16+'26.09.68'!D16+'27.09.68'!D16+'28.09.68'!D16+'29.09.68'!D16+'30.09.68'!D16</f>
        <v>41</v>
      </c>
      <c r="E16" s="52">
        <f>+'01.09.68'!E16+'02.09.68'!E16+'03.09.68'!E16+'04.09.68'!E16+'05.09.68'!E16+'06.09.68'!E16+'07.09.68'!E16+'08.09.68'!E16+'09.09.68'!E16+'10.09.68'!E16+'11.09.68'!E16+'12.09.68'!E16+'13.09.68'!E16+'14.09.68'!E16+'15.09.68'!E16+'16.09.68'!E16+'17.09.68'!E16+'18.09.68'!E16+'19.09.68'!E16+'20.09.68'!E16+'21.09.68'!E16+'22.09.68'!E16+'23.09.68'!E16+'24.09.68'!E16+'25.09.68'!E16+'26.09.68'!E16+'27.09.68'!E16+'28.09.68'!E16+'29.09.68'!E16+'30.09.68'!E16</f>
        <v>0</v>
      </c>
      <c r="F16" s="65">
        <f t="shared" si="0"/>
        <v>41</v>
      </c>
      <c r="G16" s="52">
        <f>+'01.09.68'!G16+'02.09.68'!G16+'03.09.68'!G16+'04.09.68'!G16+'05.09.68'!G16+'06.09.68'!G16+'07.09.68'!G16+'08.09.68'!G16+'09.09.68'!G16+'10.09.68'!G16+'11.09.68'!G16+'12.09.68'!G16+'13.09.68'!G16+'14.09.68'!G16+'15.09.68'!G16+'16.09.68'!G16+'17.09.68'!G16+'18.09.68'!G16+'19.09.68'!G16+'20.09.68'!G16+'21.09.68'!G16+'22.09.68'!G16+'23.09.68'!G16+'24.09.68'!G16+'25.09.68'!G16+'26.09.68'!G16+'27.09.68'!G16+'28.09.68'!G16+'29.09.68'!G16+'30.09.68'!G16</f>
        <v>274</v>
      </c>
      <c r="H16" s="52">
        <f>+'01.09.68'!H16+'02.09.68'!H16+'03.09.68'!H16+'04.09.68'!H16+'05.09.68'!H16+'06.09.68'!H16+'07.09.68'!H16+'08.09.68'!H16+'09.09.68'!H16+'10.09.68'!H16+'11.09.68'!H16+'12.09.68'!H16+'13.09.68'!H16+'14.09.68'!H16+'15.09.68'!H16+'16.09.68'!H16+'17.09.68'!H16+'18.09.68'!H16+'19.09.68'!H16+'20.09.68'!H16+'21.09.68'!H16+'22.09.68'!H16+'23.09.68'!H16+'24.09.68'!H16+'25.09.68'!H16+'26.09.68'!H16+'27.09.68'!H16+'28.09.68'!H16+'29.09.68'!H16+'30.09.68'!H16</f>
        <v>0</v>
      </c>
      <c r="I16" s="65">
        <f t="shared" si="1"/>
        <v>274</v>
      </c>
      <c r="J16" s="52">
        <f>+'01.09.68'!J16+'02.09.68'!J16+'03.09.68'!J16+'04.09.68'!J16+'05.09.68'!J16+'06.09.68'!J16+'07.09.68'!J16+'08.09.68'!J16+'09.09.68'!J16+'10.09.68'!J16+'11.09.68'!J16+'12.09.68'!J16+'13.09.68'!J16+'14.09.68'!J16+'15.09.68'!J16+'16.09.68'!J16+'17.09.68'!J16+'18.09.68'!J16+'19.09.68'!J16+'20.09.68'!J16+'21.09.68'!J16+'22.09.68'!J16+'23.09.68'!J16+'24.09.68'!J16+'25.09.68'!J16+'26.09.68'!J16+'27.09.68'!J16+'28.09.68'!J16+'29.09.68'!J16+'30.09.68'!J16</f>
        <v>2</v>
      </c>
      <c r="K16" s="52">
        <f>+'01.09.68'!K16+'02.09.68'!K16+'03.09.68'!K16+'04.09.68'!K16+'05.09.68'!K16+'06.09.68'!K16+'07.09.68'!K16+'08.09.68'!K16+'09.09.68'!K16+'10.09.68'!K16+'11.09.68'!K16+'12.09.68'!K16+'13.09.68'!K16+'14.09.68'!K16+'15.09.68'!K16+'16.09.68'!K16+'17.09.68'!K16+'18.09.68'!K16+'19.09.68'!K16+'20.09.68'!K16+'21.09.68'!K16+'22.09.68'!K16+'23.09.68'!K16+'24.09.68'!K16+'25.09.68'!K16+'26.09.68'!K16+'27.09.68'!K16+'28.09.68'!K16+'29.09.68'!K16+'30.09.68'!K16</f>
        <v>0</v>
      </c>
      <c r="L16" s="65">
        <f t="shared" si="2"/>
        <v>2</v>
      </c>
      <c r="M16" s="52">
        <f>+'01.09.68'!M16+'02.09.68'!M16+'03.09.68'!M16+'04.09.68'!M16+'05.09.68'!M16+'06.09.68'!M16+'07.09.68'!M16+'08.09.68'!M16+'09.09.68'!M16+'10.09.68'!M16+'11.09.68'!M16+'12.09.68'!M16+'13.09.68'!M16+'14.09.68'!M16+'15.09.68'!M16+'16.09.68'!M16+'17.09.68'!M16+'18.09.68'!M16+'19.09.68'!M16+'20.09.68'!M16+'21.09.68'!M16+'22.09.68'!M16+'23.09.68'!M16+'24.09.68'!M16+'25.09.68'!M16+'26.09.68'!M16+'27.09.68'!M16+'28.09.68'!M16+'29.09.68'!M16+'30.09.68'!M16</f>
        <v>0</v>
      </c>
      <c r="N16" s="52">
        <f>+'01.09.68'!N16+'02.09.68'!N16+'03.09.68'!N16+'04.09.68'!N16+'05.09.68'!N16+'06.09.68'!N16+'07.09.68'!N16+'08.09.68'!N16+'09.09.68'!N16+'10.09.68'!N16+'11.09.68'!N16+'12.09.68'!N16+'13.09.68'!N16+'14.09.68'!N16+'15.09.68'!N16+'16.09.68'!N16+'17.09.68'!N16+'18.09.68'!N16+'19.09.68'!N16+'20.09.68'!N16+'21.09.68'!N16+'22.09.68'!N16+'23.09.68'!N16+'24.09.68'!N16+'25.09.68'!N16+'26.09.68'!N16+'27.09.68'!N16+'28.09.68'!N16+'29.09.68'!N16+'30.09.68'!N16</f>
        <v>0</v>
      </c>
      <c r="O16" s="65">
        <f t="shared" si="3"/>
        <v>0</v>
      </c>
      <c r="P16" s="52">
        <f>+'01.09.68'!P16+'02.09.68'!P16+'03.09.68'!P16+'04.09.68'!P16+'05.09.68'!P16+'06.09.68'!P16+'07.09.68'!P16+'08.09.68'!P16+'09.09.68'!P16+'10.09.68'!P16+'11.09.68'!P16+'12.09.68'!P16+'13.09.68'!P16+'14.09.68'!P16+'15.09.68'!P16+'16.09.68'!P16+'17.09.68'!P16+'18.09.68'!P16+'19.09.68'!P16+'20.09.68'!P16+'21.09.68'!P16+'22.09.68'!P16+'23.09.68'!P16+'24.09.68'!P16+'25.09.68'!P16+'26.09.68'!P16+'27.09.68'!P16+'28.09.68'!P16+'29.09.68'!P16+'30.09.68'!P16</f>
        <v>0</v>
      </c>
      <c r="Q16" s="52">
        <f>+'01.09.68'!Q16+'02.09.68'!Q16+'03.09.68'!Q16+'04.09.68'!Q16+'05.09.68'!Q16+'06.09.68'!Q16+'07.09.68'!Q16+'08.09.68'!Q16+'09.09.68'!Q16+'10.09.68'!Q16+'11.09.68'!Q16+'12.09.68'!Q16+'13.09.68'!Q16+'14.09.68'!Q16+'15.09.68'!Q16+'16.09.68'!Q16+'17.09.68'!Q16+'18.09.68'!Q16+'19.09.68'!Q16+'20.09.68'!Q16+'21.09.68'!Q16+'22.09.68'!Q16+'23.09.68'!Q16+'24.09.68'!Q16+'25.09.68'!Q16+'26.09.68'!Q16+'27.09.68'!Q16+'28.09.68'!Q16+'29.09.68'!Q16+'30.09.68'!Q16</f>
        <v>0</v>
      </c>
      <c r="R16" s="65">
        <f t="shared" si="4"/>
        <v>0</v>
      </c>
      <c r="S16" s="52">
        <f>+'01.09.68'!S16+'02.09.68'!S16+'03.09.68'!S16+'04.09.68'!S16+'05.09.68'!S16+'06.09.68'!S16+'07.09.68'!S16+'08.09.68'!S16+'09.09.68'!S16+'10.09.68'!S16+'11.09.68'!S16+'12.09.68'!S16+'13.09.68'!S16+'14.09.68'!S16+'15.09.68'!S16+'16.09.68'!S16+'17.09.68'!S16+'18.09.68'!S16+'19.09.68'!S16+'20.09.68'!S16+'21.09.68'!S16+'22.09.68'!S16+'23.09.68'!S16+'24.09.68'!S16+'25.09.68'!S16+'26.09.68'!S16+'27.09.68'!S16+'28.09.68'!S16+'29.09.68'!S16+'30.09.68'!S16</f>
        <v>0</v>
      </c>
      <c r="T16" s="52">
        <f>+'01.09.68'!T16+'02.09.68'!T16+'03.09.68'!T16+'04.09.68'!T16+'05.09.68'!T16+'06.09.68'!T16+'07.09.68'!T16+'08.09.68'!T16+'09.09.68'!T16+'10.09.68'!T16+'11.09.68'!T16+'12.09.68'!T16+'13.09.68'!T16+'14.09.68'!T16+'15.09.68'!T16+'16.09.68'!T16+'17.09.68'!T16+'18.09.68'!T16+'19.09.68'!T16+'20.09.68'!T16+'21.09.68'!T16+'22.09.68'!T16+'23.09.68'!T16+'24.09.68'!T16+'25.09.68'!T16+'26.09.68'!T16+'27.09.68'!T16+'28.09.68'!T16+'29.09.68'!T16+'30.09.68'!T16</f>
        <v>0</v>
      </c>
      <c r="U16" s="65">
        <f t="shared" si="5"/>
        <v>0</v>
      </c>
      <c r="V16" s="52">
        <f>+'01.09.68'!V16+'02.09.68'!V16+'03.09.68'!V16+'04.09.68'!V16+'05.09.68'!V16+'06.09.68'!V16+'07.09.68'!V16+'08.09.68'!V16+'09.09.68'!V16+'10.09.68'!V16+'11.09.68'!V16+'12.09.68'!V16+'13.09.68'!V16+'14.09.68'!V16+'15.09.68'!V16+'16.09.68'!V16+'17.09.68'!V16+'18.09.68'!V16+'19.09.68'!V16+'20.09.68'!V16+'21.09.68'!V16+'22.09.68'!V16+'23.09.68'!V16+'24.09.68'!V16+'25.09.68'!V16+'26.09.68'!V16+'27.09.68'!V16+'28.09.68'!V16+'29.09.68'!V16+'30.09.68'!V16</f>
        <v>0</v>
      </c>
      <c r="W16" s="52">
        <f>+'01.09.68'!W16+'02.09.68'!W16+'03.09.68'!W16+'04.09.68'!W16+'05.09.68'!W16+'06.09.68'!W16+'07.09.68'!W16+'08.09.68'!W16+'09.09.68'!W16+'10.09.68'!W16+'11.09.68'!W16+'12.09.68'!W16+'13.09.68'!W16+'14.09.68'!W16+'15.09.68'!W16+'16.09.68'!W16+'17.09.68'!W16+'18.09.68'!W16+'19.09.68'!W16+'20.09.68'!W16+'21.09.68'!W16+'22.09.68'!W16+'23.09.68'!W16+'24.09.68'!W16+'25.09.68'!W16+'26.09.68'!W16+'27.09.68'!W16+'28.09.68'!W16+'29.09.68'!W16+'30.09.68'!W16</f>
        <v>0</v>
      </c>
      <c r="X16" s="65">
        <f t="shared" si="6"/>
        <v>0</v>
      </c>
      <c r="Y16" s="52">
        <f>+'01.09.68'!Y16+'02.09.68'!Y16+'03.09.68'!Y16+'04.09.68'!Y16+'05.09.68'!Y16+'06.09.68'!Y16+'07.09.68'!Y16+'08.09.68'!Y16+'09.09.68'!Y16+'10.09.68'!Y16+'11.09.68'!Y16+'12.09.68'!Y16+'13.09.68'!Y16+'14.09.68'!Y16+'15.09.68'!Y16+'16.09.68'!Y16+'17.09.68'!Y16+'18.09.68'!Y16+'19.09.68'!Y16+'20.09.68'!Y16+'21.09.68'!Y16+'22.09.68'!Y16+'23.09.68'!Y16+'24.09.68'!Y16+'25.09.68'!Y16+'26.09.68'!Y16+'27.09.68'!Y16+'28.09.68'!Y16+'29.09.68'!Y16+'30.09.68'!Y16</f>
        <v>25</v>
      </c>
      <c r="Z16" s="66">
        <f t="shared" si="7"/>
        <v>342</v>
      </c>
    </row>
    <row r="17" spans="2:26">
      <c r="B17" s="50">
        <v>1111065</v>
      </c>
      <c r="C17" s="51" t="s">
        <v>38</v>
      </c>
      <c r="D17" s="52">
        <f>+'01.09.68'!D17+'02.09.68'!D17+'03.09.68'!D17+'04.09.68'!D17+'05.09.68'!D17+'06.09.68'!D17+'07.09.68'!D17+'08.09.68'!D17+'09.09.68'!D17+'10.09.68'!D17+'11.09.68'!D17+'12.09.68'!D17+'13.09.68'!D17+'14.09.68'!D17+'15.09.68'!D17+'16.09.68'!D17+'17.09.68'!D17+'18.09.68'!D17+'19.09.68'!D17+'20.09.68'!D17+'21.09.68'!D17+'22.09.68'!D17+'23.09.68'!D17+'24.09.68'!D17+'25.09.68'!D17+'26.09.68'!D17+'27.09.68'!D17+'28.09.68'!D17+'29.09.68'!D17+'30.09.68'!D17</f>
        <v>40</v>
      </c>
      <c r="E17" s="52">
        <f>+'01.09.68'!E17+'02.09.68'!E17+'03.09.68'!E17+'04.09.68'!E17+'05.09.68'!E17+'06.09.68'!E17+'07.09.68'!E17+'08.09.68'!E17+'09.09.68'!E17+'10.09.68'!E17+'11.09.68'!E17+'12.09.68'!E17+'13.09.68'!E17+'14.09.68'!E17+'15.09.68'!E17+'16.09.68'!E17+'17.09.68'!E17+'18.09.68'!E17+'19.09.68'!E17+'20.09.68'!E17+'21.09.68'!E17+'22.09.68'!E17+'23.09.68'!E17+'24.09.68'!E17+'25.09.68'!E17+'26.09.68'!E17+'27.09.68'!E17+'28.09.68'!E17+'29.09.68'!E17+'30.09.68'!E17</f>
        <v>0</v>
      </c>
      <c r="F17" s="65">
        <f t="shared" si="0"/>
        <v>40</v>
      </c>
      <c r="G17" s="52">
        <f>+'01.09.68'!G17+'02.09.68'!G17+'03.09.68'!G17+'04.09.68'!G17+'05.09.68'!G17+'06.09.68'!G17+'07.09.68'!G17+'08.09.68'!G17+'09.09.68'!G17+'10.09.68'!G17+'11.09.68'!G17+'12.09.68'!G17+'13.09.68'!G17+'14.09.68'!G17+'15.09.68'!G17+'16.09.68'!G17+'17.09.68'!G17+'18.09.68'!G17+'19.09.68'!G17+'20.09.68'!G17+'21.09.68'!G17+'22.09.68'!G17+'23.09.68'!G17+'24.09.68'!G17+'25.09.68'!G17+'26.09.68'!G17+'27.09.68'!G17+'28.09.68'!G17+'29.09.68'!G17+'30.09.68'!G17</f>
        <v>274</v>
      </c>
      <c r="H17" s="52">
        <f>+'01.09.68'!H17+'02.09.68'!H17+'03.09.68'!H17+'04.09.68'!H17+'05.09.68'!H17+'06.09.68'!H17+'07.09.68'!H17+'08.09.68'!H17+'09.09.68'!H17+'10.09.68'!H17+'11.09.68'!H17+'12.09.68'!H17+'13.09.68'!H17+'14.09.68'!H17+'15.09.68'!H17+'16.09.68'!H17+'17.09.68'!H17+'18.09.68'!H17+'19.09.68'!H17+'20.09.68'!H17+'21.09.68'!H17+'22.09.68'!H17+'23.09.68'!H17+'24.09.68'!H17+'25.09.68'!H17+'26.09.68'!H17+'27.09.68'!H17+'28.09.68'!H17+'29.09.68'!H17+'30.09.68'!H17</f>
        <v>0</v>
      </c>
      <c r="I17" s="65">
        <f t="shared" si="1"/>
        <v>274</v>
      </c>
      <c r="J17" s="52">
        <f>+'01.09.68'!J17+'02.09.68'!J17+'03.09.68'!J17+'04.09.68'!J17+'05.09.68'!J17+'06.09.68'!J17+'07.09.68'!J17+'08.09.68'!J17+'09.09.68'!J17+'10.09.68'!J17+'11.09.68'!J17+'12.09.68'!J17+'13.09.68'!J17+'14.09.68'!J17+'15.09.68'!J17+'16.09.68'!J17+'17.09.68'!J17+'18.09.68'!J17+'19.09.68'!J17+'20.09.68'!J17+'21.09.68'!J17+'22.09.68'!J17+'23.09.68'!J17+'24.09.68'!J17+'25.09.68'!J17+'26.09.68'!J17+'27.09.68'!J17+'28.09.68'!J17+'29.09.68'!J17+'30.09.68'!J17</f>
        <v>2</v>
      </c>
      <c r="K17" s="52">
        <f>+'01.09.68'!K17+'02.09.68'!K17+'03.09.68'!K17+'04.09.68'!K17+'05.09.68'!K17+'06.09.68'!K17+'07.09.68'!K17+'08.09.68'!K17+'09.09.68'!K17+'10.09.68'!K17+'11.09.68'!K17+'12.09.68'!K17+'13.09.68'!K17+'14.09.68'!K17+'15.09.68'!K17+'16.09.68'!K17+'17.09.68'!K17+'18.09.68'!K17+'19.09.68'!K17+'20.09.68'!K17+'21.09.68'!K17+'22.09.68'!K17+'23.09.68'!K17+'24.09.68'!K17+'25.09.68'!K17+'26.09.68'!K17+'27.09.68'!K17+'28.09.68'!K17+'29.09.68'!K17+'30.09.68'!K17</f>
        <v>0</v>
      </c>
      <c r="L17" s="65">
        <f t="shared" si="2"/>
        <v>2</v>
      </c>
      <c r="M17" s="52">
        <f>+'01.09.68'!M17+'02.09.68'!M17+'03.09.68'!M17+'04.09.68'!M17+'05.09.68'!M17+'06.09.68'!M17+'07.09.68'!M17+'08.09.68'!M17+'09.09.68'!M17+'10.09.68'!M17+'11.09.68'!M17+'12.09.68'!M17+'13.09.68'!M17+'14.09.68'!M17+'15.09.68'!M17+'16.09.68'!M17+'17.09.68'!M17+'18.09.68'!M17+'19.09.68'!M17+'20.09.68'!M17+'21.09.68'!M17+'22.09.68'!M17+'23.09.68'!M17+'24.09.68'!M17+'25.09.68'!M17+'26.09.68'!M17+'27.09.68'!M17+'28.09.68'!M17+'29.09.68'!M17+'30.09.68'!M17</f>
        <v>0</v>
      </c>
      <c r="N17" s="52">
        <f>+'01.09.68'!N17+'02.09.68'!N17+'03.09.68'!N17+'04.09.68'!N17+'05.09.68'!N17+'06.09.68'!N17+'07.09.68'!N17+'08.09.68'!N17+'09.09.68'!N17+'10.09.68'!N17+'11.09.68'!N17+'12.09.68'!N17+'13.09.68'!N17+'14.09.68'!N17+'15.09.68'!N17+'16.09.68'!N17+'17.09.68'!N17+'18.09.68'!N17+'19.09.68'!N17+'20.09.68'!N17+'21.09.68'!N17+'22.09.68'!N17+'23.09.68'!N17+'24.09.68'!N17+'25.09.68'!N17+'26.09.68'!N17+'27.09.68'!N17+'28.09.68'!N17+'29.09.68'!N17+'30.09.68'!N17</f>
        <v>0</v>
      </c>
      <c r="O17" s="65">
        <f t="shared" si="3"/>
        <v>0</v>
      </c>
      <c r="P17" s="52">
        <f>+'01.09.68'!P17+'02.09.68'!P17+'03.09.68'!P17+'04.09.68'!P17+'05.09.68'!P17+'06.09.68'!P17+'07.09.68'!P17+'08.09.68'!P17+'09.09.68'!P17+'10.09.68'!P17+'11.09.68'!P17+'12.09.68'!P17+'13.09.68'!P17+'14.09.68'!P17+'15.09.68'!P17+'16.09.68'!P17+'17.09.68'!P17+'18.09.68'!P17+'19.09.68'!P17+'20.09.68'!P17+'21.09.68'!P17+'22.09.68'!P17+'23.09.68'!P17+'24.09.68'!P17+'25.09.68'!P17+'26.09.68'!P17+'27.09.68'!P17+'28.09.68'!P17+'29.09.68'!P17+'30.09.68'!P17</f>
        <v>0</v>
      </c>
      <c r="Q17" s="52">
        <f>+'01.09.68'!Q17+'02.09.68'!Q17+'03.09.68'!Q17+'04.09.68'!Q17+'05.09.68'!Q17+'06.09.68'!Q17+'07.09.68'!Q17+'08.09.68'!Q17+'09.09.68'!Q17+'10.09.68'!Q17+'11.09.68'!Q17+'12.09.68'!Q17+'13.09.68'!Q17+'14.09.68'!Q17+'15.09.68'!Q17+'16.09.68'!Q17+'17.09.68'!Q17+'18.09.68'!Q17+'19.09.68'!Q17+'20.09.68'!Q17+'21.09.68'!Q17+'22.09.68'!Q17+'23.09.68'!Q17+'24.09.68'!Q17+'25.09.68'!Q17+'26.09.68'!Q17+'27.09.68'!Q17+'28.09.68'!Q17+'29.09.68'!Q17+'30.09.68'!Q17</f>
        <v>0</v>
      </c>
      <c r="R17" s="65">
        <f t="shared" si="4"/>
        <v>0</v>
      </c>
      <c r="S17" s="52">
        <f>+'01.09.68'!S17+'02.09.68'!S17+'03.09.68'!S17+'04.09.68'!S17+'05.09.68'!S17+'06.09.68'!S17+'07.09.68'!S17+'08.09.68'!S17+'09.09.68'!S17+'10.09.68'!S17+'11.09.68'!S17+'12.09.68'!S17+'13.09.68'!S17+'14.09.68'!S17+'15.09.68'!S17+'16.09.68'!S17+'17.09.68'!S17+'18.09.68'!S17+'19.09.68'!S17+'20.09.68'!S17+'21.09.68'!S17+'22.09.68'!S17+'23.09.68'!S17+'24.09.68'!S17+'25.09.68'!S17+'26.09.68'!S17+'27.09.68'!S17+'28.09.68'!S17+'29.09.68'!S17+'30.09.68'!S17</f>
        <v>0</v>
      </c>
      <c r="T17" s="52">
        <f>+'01.09.68'!T17+'02.09.68'!T17+'03.09.68'!T17+'04.09.68'!T17+'05.09.68'!T17+'06.09.68'!T17+'07.09.68'!T17+'08.09.68'!T17+'09.09.68'!T17+'10.09.68'!T17+'11.09.68'!T17+'12.09.68'!T17+'13.09.68'!T17+'14.09.68'!T17+'15.09.68'!T17+'16.09.68'!T17+'17.09.68'!T17+'18.09.68'!T17+'19.09.68'!T17+'20.09.68'!T17+'21.09.68'!T17+'22.09.68'!T17+'23.09.68'!T17+'24.09.68'!T17+'25.09.68'!T17+'26.09.68'!T17+'27.09.68'!T17+'28.09.68'!T17+'29.09.68'!T17+'30.09.68'!T17</f>
        <v>0</v>
      </c>
      <c r="U17" s="65">
        <f t="shared" si="5"/>
        <v>0</v>
      </c>
      <c r="V17" s="52">
        <f>+'01.09.68'!V17+'02.09.68'!V17+'03.09.68'!V17+'04.09.68'!V17+'05.09.68'!V17+'06.09.68'!V17+'07.09.68'!V17+'08.09.68'!V17+'09.09.68'!V17+'10.09.68'!V17+'11.09.68'!V17+'12.09.68'!V17+'13.09.68'!V17+'14.09.68'!V17+'15.09.68'!V17+'16.09.68'!V17+'17.09.68'!V17+'18.09.68'!V17+'19.09.68'!V17+'20.09.68'!V17+'21.09.68'!V17+'22.09.68'!V17+'23.09.68'!V17+'24.09.68'!V17+'25.09.68'!V17+'26.09.68'!V17+'27.09.68'!V17+'28.09.68'!V17+'29.09.68'!V17+'30.09.68'!V17</f>
        <v>0</v>
      </c>
      <c r="W17" s="52">
        <f>+'01.09.68'!W17+'02.09.68'!W17+'03.09.68'!W17+'04.09.68'!W17+'05.09.68'!W17+'06.09.68'!W17+'07.09.68'!W17+'08.09.68'!W17+'09.09.68'!W17+'10.09.68'!W17+'11.09.68'!W17+'12.09.68'!W17+'13.09.68'!W17+'14.09.68'!W17+'15.09.68'!W17+'16.09.68'!W17+'17.09.68'!W17+'18.09.68'!W17+'19.09.68'!W17+'20.09.68'!W17+'21.09.68'!W17+'22.09.68'!W17+'23.09.68'!W17+'24.09.68'!W17+'25.09.68'!W17+'26.09.68'!W17+'27.09.68'!W17+'28.09.68'!W17+'29.09.68'!W17+'30.09.68'!W17</f>
        <v>0</v>
      </c>
      <c r="X17" s="65">
        <f t="shared" si="6"/>
        <v>0</v>
      </c>
      <c r="Y17" s="52">
        <f>+'01.09.68'!Y17+'02.09.68'!Y17+'03.09.68'!Y17+'04.09.68'!Y17+'05.09.68'!Y17+'06.09.68'!Y17+'07.09.68'!Y17+'08.09.68'!Y17+'09.09.68'!Y17+'10.09.68'!Y17+'11.09.68'!Y17+'12.09.68'!Y17+'13.09.68'!Y17+'14.09.68'!Y17+'15.09.68'!Y17+'16.09.68'!Y17+'17.09.68'!Y17+'18.09.68'!Y17+'19.09.68'!Y17+'20.09.68'!Y17+'21.09.68'!Y17+'22.09.68'!Y17+'23.09.68'!Y17+'24.09.68'!Y17+'25.09.68'!Y17+'26.09.68'!Y17+'27.09.68'!Y17+'28.09.68'!Y17+'29.09.68'!Y17+'30.09.68'!Y17</f>
        <v>25</v>
      </c>
      <c r="Z17" s="66">
        <f t="shared" si="7"/>
        <v>341</v>
      </c>
    </row>
    <row r="18" spans="2:26">
      <c r="B18" s="50">
        <v>1111066</v>
      </c>
      <c r="C18" s="51" t="s">
        <v>39</v>
      </c>
      <c r="D18" s="52">
        <f>+'01.09.68'!D18+'02.09.68'!D18+'03.09.68'!D18+'04.09.68'!D18+'05.09.68'!D18+'06.09.68'!D18+'07.09.68'!D18+'08.09.68'!D18+'09.09.68'!D18+'10.09.68'!D18+'11.09.68'!D18+'12.09.68'!D18+'13.09.68'!D18+'14.09.68'!D18+'15.09.68'!D18+'16.09.68'!D18+'17.09.68'!D18+'18.09.68'!D18+'19.09.68'!D18+'20.09.68'!D18+'21.09.68'!D18+'22.09.68'!D18+'23.09.68'!D18+'24.09.68'!D18+'25.09.68'!D18+'26.09.68'!D18+'27.09.68'!D18+'28.09.68'!D18+'29.09.68'!D18+'30.09.68'!D18</f>
        <v>40</v>
      </c>
      <c r="E18" s="52">
        <f>+'01.09.68'!E18+'02.09.68'!E18+'03.09.68'!E18+'04.09.68'!E18+'05.09.68'!E18+'06.09.68'!E18+'07.09.68'!E18+'08.09.68'!E18+'09.09.68'!E18+'10.09.68'!E18+'11.09.68'!E18+'12.09.68'!E18+'13.09.68'!E18+'14.09.68'!E18+'15.09.68'!E18+'16.09.68'!E18+'17.09.68'!E18+'18.09.68'!E18+'19.09.68'!E18+'20.09.68'!E18+'21.09.68'!E18+'22.09.68'!E18+'23.09.68'!E18+'24.09.68'!E18+'25.09.68'!E18+'26.09.68'!E18+'27.09.68'!E18+'28.09.68'!E18+'29.09.68'!E18+'30.09.68'!E18</f>
        <v>0</v>
      </c>
      <c r="F18" s="65">
        <f t="shared" si="0"/>
        <v>40</v>
      </c>
      <c r="G18" s="52">
        <f>+'01.09.68'!G18+'02.09.68'!G18+'03.09.68'!G18+'04.09.68'!G18+'05.09.68'!G18+'06.09.68'!G18+'07.09.68'!G18+'08.09.68'!G18+'09.09.68'!G18+'10.09.68'!G18+'11.09.68'!G18+'12.09.68'!G18+'13.09.68'!G18+'14.09.68'!G18+'15.09.68'!G18+'16.09.68'!G18+'17.09.68'!G18+'18.09.68'!G18+'19.09.68'!G18+'20.09.68'!G18+'21.09.68'!G18+'22.09.68'!G18+'23.09.68'!G18+'24.09.68'!G18+'25.09.68'!G18+'26.09.68'!G18+'27.09.68'!G18+'28.09.68'!G18+'29.09.68'!G18+'30.09.68'!G18</f>
        <v>272</v>
      </c>
      <c r="H18" s="52">
        <f>+'01.09.68'!H18+'02.09.68'!H18+'03.09.68'!H18+'04.09.68'!H18+'05.09.68'!H18+'06.09.68'!H18+'07.09.68'!H18+'08.09.68'!H18+'09.09.68'!H18+'10.09.68'!H18+'11.09.68'!H18+'12.09.68'!H18+'13.09.68'!H18+'14.09.68'!H18+'15.09.68'!H18+'16.09.68'!H18+'17.09.68'!H18+'18.09.68'!H18+'19.09.68'!H18+'20.09.68'!H18+'21.09.68'!H18+'22.09.68'!H18+'23.09.68'!H18+'24.09.68'!H18+'25.09.68'!H18+'26.09.68'!H18+'27.09.68'!H18+'28.09.68'!H18+'29.09.68'!H18+'30.09.68'!H18</f>
        <v>0</v>
      </c>
      <c r="I18" s="65">
        <f t="shared" si="1"/>
        <v>272</v>
      </c>
      <c r="J18" s="52">
        <f>+'01.09.68'!J18+'02.09.68'!J18+'03.09.68'!J18+'04.09.68'!J18+'05.09.68'!J18+'06.09.68'!J18+'07.09.68'!J18+'08.09.68'!J18+'09.09.68'!J18+'10.09.68'!J18+'11.09.68'!J18+'12.09.68'!J18+'13.09.68'!J18+'14.09.68'!J18+'15.09.68'!J18+'16.09.68'!J18+'17.09.68'!J18+'18.09.68'!J18+'19.09.68'!J18+'20.09.68'!J18+'21.09.68'!J18+'22.09.68'!J18+'23.09.68'!J18+'24.09.68'!J18+'25.09.68'!J18+'26.09.68'!J18+'27.09.68'!J18+'28.09.68'!J18+'29.09.68'!J18+'30.09.68'!J18</f>
        <v>2</v>
      </c>
      <c r="K18" s="52">
        <f>+'01.09.68'!K18+'02.09.68'!K18+'03.09.68'!K18+'04.09.68'!K18+'05.09.68'!K18+'06.09.68'!K18+'07.09.68'!K18+'08.09.68'!K18+'09.09.68'!K18+'10.09.68'!K18+'11.09.68'!K18+'12.09.68'!K18+'13.09.68'!K18+'14.09.68'!K18+'15.09.68'!K18+'16.09.68'!K18+'17.09.68'!K18+'18.09.68'!K18+'19.09.68'!K18+'20.09.68'!K18+'21.09.68'!K18+'22.09.68'!K18+'23.09.68'!K18+'24.09.68'!K18+'25.09.68'!K18+'26.09.68'!K18+'27.09.68'!K18+'28.09.68'!K18+'29.09.68'!K18+'30.09.68'!K18</f>
        <v>0</v>
      </c>
      <c r="L18" s="65">
        <f t="shared" si="2"/>
        <v>2</v>
      </c>
      <c r="M18" s="52">
        <f>+'01.09.68'!M18+'02.09.68'!M18+'03.09.68'!M18+'04.09.68'!M18+'05.09.68'!M18+'06.09.68'!M18+'07.09.68'!M18+'08.09.68'!M18+'09.09.68'!M18+'10.09.68'!M18+'11.09.68'!M18+'12.09.68'!M18+'13.09.68'!M18+'14.09.68'!M18+'15.09.68'!M18+'16.09.68'!M18+'17.09.68'!M18+'18.09.68'!M18+'19.09.68'!M18+'20.09.68'!M18+'21.09.68'!M18+'22.09.68'!M18+'23.09.68'!M18+'24.09.68'!M18+'25.09.68'!M18+'26.09.68'!M18+'27.09.68'!M18+'28.09.68'!M18+'29.09.68'!M18+'30.09.68'!M18</f>
        <v>0</v>
      </c>
      <c r="N18" s="52">
        <f>+'01.09.68'!N18+'02.09.68'!N18+'03.09.68'!N18+'04.09.68'!N18+'05.09.68'!N18+'06.09.68'!N18+'07.09.68'!N18+'08.09.68'!N18+'09.09.68'!N18+'10.09.68'!N18+'11.09.68'!N18+'12.09.68'!N18+'13.09.68'!N18+'14.09.68'!N18+'15.09.68'!N18+'16.09.68'!N18+'17.09.68'!N18+'18.09.68'!N18+'19.09.68'!N18+'20.09.68'!N18+'21.09.68'!N18+'22.09.68'!N18+'23.09.68'!N18+'24.09.68'!N18+'25.09.68'!N18+'26.09.68'!N18+'27.09.68'!N18+'28.09.68'!N18+'29.09.68'!N18+'30.09.68'!N18</f>
        <v>0</v>
      </c>
      <c r="O18" s="65">
        <f t="shared" si="3"/>
        <v>0</v>
      </c>
      <c r="P18" s="52">
        <f>+'01.09.68'!P18+'02.09.68'!P18+'03.09.68'!P18+'04.09.68'!P18+'05.09.68'!P18+'06.09.68'!P18+'07.09.68'!P18+'08.09.68'!P18+'09.09.68'!P18+'10.09.68'!P18+'11.09.68'!P18+'12.09.68'!P18+'13.09.68'!P18+'14.09.68'!P18+'15.09.68'!P18+'16.09.68'!P18+'17.09.68'!P18+'18.09.68'!P18+'19.09.68'!P18+'20.09.68'!P18+'21.09.68'!P18+'22.09.68'!P18+'23.09.68'!P18+'24.09.68'!P18+'25.09.68'!P18+'26.09.68'!P18+'27.09.68'!P18+'28.09.68'!P18+'29.09.68'!P18+'30.09.68'!P18</f>
        <v>0</v>
      </c>
      <c r="Q18" s="52">
        <f>+'01.09.68'!Q18+'02.09.68'!Q18+'03.09.68'!Q18+'04.09.68'!Q18+'05.09.68'!Q18+'06.09.68'!Q18+'07.09.68'!Q18+'08.09.68'!Q18+'09.09.68'!Q18+'10.09.68'!Q18+'11.09.68'!Q18+'12.09.68'!Q18+'13.09.68'!Q18+'14.09.68'!Q18+'15.09.68'!Q18+'16.09.68'!Q18+'17.09.68'!Q18+'18.09.68'!Q18+'19.09.68'!Q18+'20.09.68'!Q18+'21.09.68'!Q18+'22.09.68'!Q18+'23.09.68'!Q18+'24.09.68'!Q18+'25.09.68'!Q18+'26.09.68'!Q18+'27.09.68'!Q18+'28.09.68'!Q18+'29.09.68'!Q18+'30.09.68'!Q18</f>
        <v>0</v>
      </c>
      <c r="R18" s="65">
        <f t="shared" si="4"/>
        <v>0</v>
      </c>
      <c r="S18" s="52">
        <f>+'01.09.68'!S18+'02.09.68'!S18+'03.09.68'!S18+'04.09.68'!S18+'05.09.68'!S18+'06.09.68'!S18+'07.09.68'!S18+'08.09.68'!S18+'09.09.68'!S18+'10.09.68'!S18+'11.09.68'!S18+'12.09.68'!S18+'13.09.68'!S18+'14.09.68'!S18+'15.09.68'!S18+'16.09.68'!S18+'17.09.68'!S18+'18.09.68'!S18+'19.09.68'!S18+'20.09.68'!S18+'21.09.68'!S18+'22.09.68'!S18+'23.09.68'!S18+'24.09.68'!S18+'25.09.68'!S18+'26.09.68'!S18+'27.09.68'!S18+'28.09.68'!S18+'29.09.68'!S18+'30.09.68'!S18</f>
        <v>0</v>
      </c>
      <c r="T18" s="52">
        <f>+'01.09.68'!T18+'02.09.68'!T18+'03.09.68'!T18+'04.09.68'!T18+'05.09.68'!T18+'06.09.68'!T18+'07.09.68'!T18+'08.09.68'!T18+'09.09.68'!T18+'10.09.68'!T18+'11.09.68'!T18+'12.09.68'!T18+'13.09.68'!T18+'14.09.68'!T18+'15.09.68'!T18+'16.09.68'!T18+'17.09.68'!T18+'18.09.68'!T18+'19.09.68'!T18+'20.09.68'!T18+'21.09.68'!T18+'22.09.68'!T18+'23.09.68'!T18+'24.09.68'!T18+'25.09.68'!T18+'26.09.68'!T18+'27.09.68'!T18+'28.09.68'!T18+'29.09.68'!T18+'30.09.68'!T18</f>
        <v>0</v>
      </c>
      <c r="U18" s="65">
        <f t="shared" si="5"/>
        <v>0</v>
      </c>
      <c r="V18" s="52">
        <f>+'01.09.68'!V18+'02.09.68'!V18+'03.09.68'!V18+'04.09.68'!V18+'05.09.68'!V18+'06.09.68'!V18+'07.09.68'!V18+'08.09.68'!V18+'09.09.68'!V18+'10.09.68'!V18+'11.09.68'!V18+'12.09.68'!V18+'13.09.68'!V18+'14.09.68'!V18+'15.09.68'!V18+'16.09.68'!V18+'17.09.68'!V18+'18.09.68'!V18+'19.09.68'!V18+'20.09.68'!V18+'21.09.68'!V18+'22.09.68'!V18+'23.09.68'!V18+'24.09.68'!V18+'25.09.68'!V18+'26.09.68'!V18+'27.09.68'!V18+'28.09.68'!V18+'29.09.68'!V18+'30.09.68'!V18</f>
        <v>0</v>
      </c>
      <c r="W18" s="52">
        <f>+'01.09.68'!W18+'02.09.68'!W18+'03.09.68'!W18+'04.09.68'!W18+'05.09.68'!W18+'06.09.68'!W18+'07.09.68'!W18+'08.09.68'!W18+'09.09.68'!W18+'10.09.68'!W18+'11.09.68'!W18+'12.09.68'!W18+'13.09.68'!W18+'14.09.68'!W18+'15.09.68'!W18+'16.09.68'!W18+'17.09.68'!W18+'18.09.68'!W18+'19.09.68'!W18+'20.09.68'!W18+'21.09.68'!W18+'22.09.68'!W18+'23.09.68'!W18+'24.09.68'!W18+'25.09.68'!W18+'26.09.68'!W18+'27.09.68'!W18+'28.09.68'!W18+'29.09.68'!W18+'30.09.68'!W18</f>
        <v>0</v>
      </c>
      <c r="X18" s="65">
        <f t="shared" si="6"/>
        <v>0</v>
      </c>
      <c r="Y18" s="52">
        <f>+'01.09.68'!Y18+'02.09.68'!Y18+'03.09.68'!Y18+'04.09.68'!Y18+'05.09.68'!Y18+'06.09.68'!Y18+'07.09.68'!Y18+'08.09.68'!Y18+'09.09.68'!Y18+'10.09.68'!Y18+'11.09.68'!Y18+'12.09.68'!Y18+'13.09.68'!Y18+'14.09.68'!Y18+'15.09.68'!Y18+'16.09.68'!Y18+'17.09.68'!Y18+'18.09.68'!Y18+'19.09.68'!Y18+'20.09.68'!Y18+'21.09.68'!Y18+'22.09.68'!Y18+'23.09.68'!Y18+'24.09.68'!Y18+'25.09.68'!Y18+'26.09.68'!Y18+'27.09.68'!Y18+'28.09.68'!Y18+'29.09.68'!Y18+'30.09.68'!Y18</f>
        <v>25</v>
      </c>
      <c r="Z18" s="66">
        <f t="shared" si="7"/>
        <v>339</v>
      </c>
    </row>
    <row r="19" spans="2:26">
      <c r="B19" s="50">
        <v>1111067</v>
      </c>
      <c r="C19" s="51" t="s">
        <v>40</v>
      </c>
      <c r="D19" s="52">
        <f>+'01.09.68'!D19+'02.09.68'!D19+'03.09.68'!D19+'04.09.68'!D19+'05.09.68'!D19+'06.09.68'!D19+'07.09.68'!D19+'08.09.68'!D19+'09.09.68'!D19+'10.09.68'!D19+'11.09.68'!D19+'12.09.68'!D19+'13.09.68'!D19+'14.09.68'!D19+'15.09.68'!D19+'16.09.68'!D19+'17.09.68'!D19+'18.09.68'!D19+'19.09.68'!D19+'20.09.68'!D19+'21.09.68'!D19+'22.09.68'!D19+'23.09.68'!D19+'24.09.68'!D19+'25.09.68'!D19+'26.09.68'!D19+'27.09.68'!D19+'28.09.68'!D19+'29.09.68'!D19+'30.09.68'!D19</f>
        <v>40</v>
      </c>
      <c r="E19" s="52">
        <f>+'01.09.68'!E19+'02.09.68'!E19+'03.09.68'!E19+'04.09.68'!E19+'05.09.68'!E19+'06.09.68'!E19+'07.09.68'!E19+'08.09.68'!E19+'09.09.68'!E19+'10.09.68'!E19+'11.09.68'!E19+'12.09.68'!E19+'13.09.68'!E19+'14.09.68'!E19+'15.09.68'!E19+'16.09.68'!E19+'17.09.68'!E19+'18.09.68'!E19+'19.09.68'!E19+'20.09.68'!E19+'21.09.68'!E19+'22.09.68'!E19+'23.09.68'!E19+'24.09.68'!E19+'25.09.68'!E19+'26.09.68'!E19+'27.09.68'!E19+'28.09.68'!E19+'29.09.68'!E19+'30.09.68'!E19</f>
        <v>1</v>
      </c>
      <c r="F19" s="65">
        <f t="shared" si="0"/>
        <v>41</v>
      </c>
      <c r="G19" s="52">
        <f>+'01.09.68'!G19+'02.09.68'!G19+'03.09.68'!G19+'04.09.68'!G19+'05.09.68'!G19+'06.09.68'!G19+'07.09.68'!G19+'08.09.68'!G19+'09.09.68'!G19+'10.09.68'!G19+'11.09.68'!G19+'12.09.68'!G19+'13.09.68'!G19+'14.09.68'!G19+'15.09.68'!G19+'16.09.68'!G19+'17.09.68'!G19+'18.09.68'!G19+'19.09.68'!G19+'20.09.68'!G19+'21.09.68'!G19+'22.09.68'!G19+'23.09.68'!G19+'24.09.68'!G19+'25.09.68'!G19+'26.09.68'!G19+'27.09.68'!G19+'28.09.68'!G19+'29.09.68'!G19+'30.09.68'!G19</f>
        <v>216</v>
      </c>
      <c r="H19" s="52">
        <f>+'01.09.68'!H19+'02.09.68'!H19+'03.09.68'!H19+'04.09.68'!H19+'05.09.68'!H19+'06.09.68'!H19+'07.09.68'!H19+'08.09.68'!H19+'09.09.68'!H19+'10.09.68'!H19+'11.09.68'!H19+'12.09.68'!H19+'13.09.68'!H19+'14.09.68'!H19+'15.09.68'!H19+'16.09.68'!H19+'17.09.68'!H19+'18.09.68'!H19+'19.09.68'!H19+'20.09.68'!H19+'21.09.68'!H19+'22.09.68'!H19+'23.09.68'!H19+'24.09.68'!H19+'25.09.68'!H19+'26.09.68'!H19+'27.09.68'!H19+'28.09.68'!H19+'29.09.68'!H19+'30.09.68'!H19</f>
        <v>0</v>
      </c>
      <c r="I19" s="65">
        <f t="shared" si="1"/>
        <v>216</v>
      </c>
      <c r="J19" s="52">
        <f>+'01.09.68'!J19+'02.09.68'!J19+'03.09.68'!J19+'04.09.68'!J19+'05.09.68'!J19+'06.09.68'!J19+'07.09.68'!J19+'08.09.68'!J19+'09.09.68'!J19+'10.09.68'!J19+'11.09.68'!J19+'12.09.68'!J19+'13.09.68'!J19+'14.09.68'!J19+'15.09.68'!J19+'16.09.68'!J19+'17.09.68'!J19+'18.09.68'!J19+'19.09.68'!J19+'20.09.68'!J19+'21.09.68'!J19+'22.09.68'!J19+'23.09.68'!J19+'24.09.68'!J19+'25.09.68'!J19+'26.09.68'!J19+'27.09.68'!J19+'28.09.68'!J19+'29.09.68'!J19+'30.09.68'!J19</f>
        <v>1</v>
      </c>
      <c r="K19" s="52">
        <f>+'01.09.68'!K19+'02.09.68'!K19+'03.09.68'!K19+'04.09.68'!K19+'05.09.68'!K19+'06.09.68'!K19+'07.09.68'!K19+'08.09.68'!K19+'09.09.68'!K19+'10.09.68'!K19+'11.09.68'!K19+'12.09.68'!K19+'13.09.68'!K19+'14.09.68'!K19+'15.09.68'!K19+'16.09.68'!K19+'17.09.68'!K19+'18.09.68'!K19+'19.09.68'!K19+'20.09.68'!K19+'21.09.68'!K19+'22.09.68'!K19+'23.09.68'!K19+'24.09.68'!K19+'25.09.68'!K19+'26.09.68'!K19+'27.09.68'!K19+'28.09.68'!K19+'29.09.68'!K19+'30.09.68'!K19</f>
        <v>0</v>
      </c>
      <c r="L19" s="65">
        <f t="shared" si="2"/>
        <v>1</v>
      </c>
      <c r="M19" s="52">
        <f>+'01.09.68'!M19+'02.09.68'!M19+'03.09.68'!M19+'04.09.68'!M19+'05.09.68'!M19+'06.09.68'!M19+'07.09.68'!M19+'08.09.68'!M19+'09.09.68'!M19+'10.09.68'!M19+'11.09.68'!M19+'12.09.68'!M19+'13.09.68'!M19+'14.09.68'!M19+'15.09.68'!M19+'16.09.68'!M19+'17.09.68'!M19+'18.09.68'!M19+'19.09.68'!M19+'20.09.68'!M19+'21.09.68'!M19+'22.09.68'!M19+'23.09.68'!M19+'24.09.68'!M19+'25.09.68'!M19+'26.09.68'!M19+'27.09.68'!M19+'28.09.68'!M19+'29.09.68'!M19+'30.09.68'!M19</f>
        <v>0</v>
      </c>
      <c r="N19" s="52">
        <f>+'01.09.68'!N19+'02.09.68'!N19+'03.09.68'!N19+'04.09.68'!N19+'05.09.68'!N19+'06.09.68'!N19+'07.09.68'!N19+'08.09.68'!N19+'09.09.68'!N19+'10.09.68'!N19+'11.09.68'!N19+'12.09.68'!N19+'13.09.68'!N19+'14.09.68'!N19+'15.09.68'!N19+'16.09.68'!N19+'17.09.68'!N19+'18.09.68'!N19+'19.09.68'!N19+'20.09.68'!N19+'21.09.68'!N19+'22.09.68'!N19+'23.09.68'!N19+'24.09.68'!N19+'25.09.68'!N19+'26.09.68'!N19+'27.09.68'!N19+'28.09.68'!N19+'29.09.68'!N19+'30.09.68'!N19</f>
        <v>0</v>
      </c>
      <c r="O19" s="65">
        <f t="shared" si="3"/>
        <v>0</v>
      </c>
      <c r="P19" s="52">
        <f>+'01.09.68'!P19+'02.09.68'!P19+'03.09.68'!P19+'04.09.68'!P19+'05.09.68'!P19+'06.09.68'!P19+'07.09.68'!P19+'08.09.68'!P19+'09.09.68'!P19+'10.09.68'!P19+'11.09.68'!P19+'12.09.68'!P19+'13.09.68'!P19+'14.09.68'!P19+'15.09.68'!P19+'16.09.68'!P19+'17.09.68'!P19+'18.09.68'!P19+'19.09.68'!P19+'20.09.68'!P19+'21.09.68'!P19+'22.09.68'!P19+'23.09.68'!P19+'24.09.68'!P19+'25.09.68'!P19+'26.09.68'!P19+'27.09.68'!P19+'28.09.68'!P19+'29.09.68'!P19+'30.09.68'!P19</f>
        <v>0</v>
      </c>
      <c r="Q19" s="52">
        <f>+'01.09.68'!Q19+'02.09.68'!Q19+'03.09.68'!Q19+'04.09.68'!Q19+'05.09.68'!Q19+'06.09.68'!Q19+'07.09.68'!Q19+'08.09.68'!Q19+'09.09.68'!Q19+'10.09.68'!Q19+'11.09.68'!Q19+'12.09.68'!Q19+'13.09.68'!Q19+'14.09.68'!Q19+'15.09.68'!Q19+'16.09.68'!Q19+'17.09.68'!Q19+'18.09.68'!Q19+'19.09.68'!Q19+'20.09.68'!Q19+'21.09.68'!Q19+'22.09.68'!Q19+'23.09.68'!Q19+'24.09.68'!Q19+'25.09.68'!Q19+'26.09.68'!Q19+'27.09.68'!Q19+'28.09.68'!Q19+'29.09.68'!Q19+'30.09.68'!Q19</f>
        <v>0</v>
      </c>
      <c r="R19" s="65">
        <f t="shared" si="4"/>
        <v>0</v>
      </c>
      <c r="S19" s="52">
        <f>+'01.09.68'!S19+'02.09.68'!S19+'03.09.68'!S19+'04.09.68'!S19+'05.09.68'!S19+'06.09.68'!S19+'07.09.68'!S19+'08.09.68'!S19+'09.09.68'!S19+'10.09.68'!S19+'11.09.68'!S19+'12.09.68'!S19+'13.09.68'!S19+'14.09.68'!S19+'15.09.68'!S19+'16.09.68'!S19+'17.09.68'!S19+'18.09.68'!S19+'19.09.68'!S19+'20.09.68'!S19+'21.09.68'!S19+'22.09.68'!S19+'23.09.68'!S19+'24.09.68'!S19+'25.09.68'!S19+'26.09.68'!S19+'27.09.68'!S19+'28.09.68'!S19+'29.09.68'!S19+'30.09.68'!S19</f>
        <v>0</v>
      </c>
      <c r="T19" s="52">
        <f>+'01.09.68'!T19+'02.09.68'!T19+'03.09.68'!T19+'04.09.68'!T19+'05.09.68'!T19+'06.09.68'!T19+'07.09.68'!T19+'08.09.68'!T19+'09.09.68'!T19+'10.09.68'!T19+'11.09.68'!T19+'12.09.68'!T19+'13.09.68'!T19+'14.09.68'!T19+'15.09.68'!T19+'16.09.68'!T19+'17.09.68'!T19+'18.09.68'!T19+'19.09.68'!T19+'20.09.68'!T19+'21.09.68'!T19+'22.09.68'!T19+'23.09.68'!T19+'24.09.68'!T19+'25.09.68'!T19+'26.09.68'!T19+'27.09.68'!T19+'28.09.68'!T19+'29.09.68'!T19+'30.09.68'!T19</f>
        <v>0</v>
      </c>
      <c r="U19" s="65">
        <f t="shared" si="5"/>
        <v>0</v>
      </c>
      <c r="V19" s="52">
        <f>+'01.09.68'!V19+'02.09.68'!V19+'03.09.68'!V19+'04.09.68'!V19+'05.09.68'!V19+'06.09.68'!V19+'07.09.68'!V19+'08.09.68'!V19+'09.09.68'!V19+'10.09.68'!V19+'11.09.68'!V19+'12.09.68'!V19+'13.09.68'!V19+'14.09.68'!V19+'15.09.68'!V19+'16.09.68'!V19+'17.09.68'!V19+'18.09.68'!V19+'19.09.68'!V19+'20.09.68'!V19+'21.09.68'!V19+'22.09.68'!V19+'23.09.68'!V19+'24.09.68'!V19+'25.09.68'!V19+'26.09.68'!V19+'27.09.68'!V19+'28.09.68'!V19+'29.09.68'!V19+'30.09.68'!V19</f>
        <v>0</v>
      </c>
      <c r="W19" s="52">
        <f>+'01.09.68'!W19+'02.09.68'!W19+'03.09.68'!W19+'04.09.68'!W19+'05.09.68'!W19+'06.09.68'!W19+'07.09.68'!W19+'08.09.68'!W19+'09.09.68'!W19+'10.09.68'!W19+'11.09.68'!W19+'12.09.68'!W19+'13.09.68'!W19+'14.09.68'!W19+'15.09.68'!W19+'16.09.68'!W19+'17.09.68'!W19+'18.09.68'!W19+'19.09.68'!W19+'20.09.68'!W19+'21.09.68'!W19+'22.09.68'!W19+'23.09.68'!W19+'24.09.68'!W19+'25.09.68'!W19+'26.09.68'!W19+'27.09.68'!W19+'28.09.68'!W19+'29.09.68'!W19+'30.09.68'!W19</f>
        <v>0</v>
      </c>
      <c r="X19" s="65">
        <f t="shared" si="6"/>
        <v>0</v>
      </c>
      <c r="Y19" s="52">
        <f>+'01.09.68'!Y19+'02.09.68'!Y19+'03.09.68'!Y19+'04.09.68'!Y19+'05.09.68'!Y19+'06.09.68'!Y19+'07.09.68'!Y19+'08.09.68'!Y19+'09.09.68'!Y19+'10.09.68'!Y19+'11.09.68'!Y19+'12.09.68'!Y19+'13.09.68'!Y19+'14.09.68'!Y19+'15.09.68'!Y19+'16.09.68'!Y19+'17.09.68'!Y19+'18.09.68'!Y19+'19.09.68'!Y19+'20.09.68'!Y19+'21.09.68'!Y19+'22.09.68'!Y19+'23.09.68'!Y19+'24.09.68'!Y19+'25.09.68'!Y19+'26.09.68'!Y19+'27.09.68'!Y19+'28.09.68'!Y19+'29.09.68'!Y19+'30.09.68'!Y19</f>
        <v>25</v>
      </c>
      <c r="Z19" s="66">
        <f t="shared" si="7"/>
        <v>283</v>
      </c>
    </row>
    <row r="20" spans="2:26">
      <c r="B20" s="50">
        <v>1111068</v>
      </c>
      <c r="C20" s="51" t="s">
        <v>41</v>
      </c>
      <c r="D20" s="52">
        <f>+'01.09.68'!D20+'02.09.68'!D20+'03.09.68'!D20+'04.09.68'!D20+'05.09.68'!D20+'06.09.68'!D20+'07.09.68'!D20+'08.09.68'!D20+'09.09.68'!D20+'10.09.68'!D20+'11.09.68'!D20+'12.09.68'!D20+'13.09.68'!D20+'14.09.68'!D20+'15.09.68'!D20+'16.09.68'!D20+'17.09.68'!D20+'18.09.68'!D20+'19.09.68'!D20+'20.09.68'!D20+'21.09.68'!D20+'22.09.68'!D20+'23.09.68'!D20+'24.09.68'!D20+'25.09.68'!D20+'26.09.68'!D20+'27.09.68'!D20+'28.09.68'!D20+'29.09.68'!D20+'30.09.68'!D20</f>
        <v>39</v>
      </c>
      <c r="E20" s="52">
        <f>+'01.09.68'!E20+'02.09.68'!E20+'03.09.68'!E20+'04.09.68'!E20+'05.09.68'!E20+'06.09.68'!E20+'07.09.68'!E20+'08.09.68'!E20+'09.09.68'!E20+'10.09.68'!E20+'11.09.68'!E20+'12.09.68'!E20+'13.09.68'!E20+'14.09.68'!E20+'15.09.68'!E20+'16.09.68'!E20+'17.09.68'!E20+'18.09.68'!E20+'19.09.68'!E20+'20.09.68'!E20+'21.09.68'!E20+'22.09.68'!E20+'23.09.68'!E20+'24.09.68'!E20+'25.09.68'!E20+'26.09.68'!E20+'27.09.68'!E20+'28.09.68'!E20+'29.09.68'!E20+'30.09.68'!E20</f>
        <v>0</v>
      </c>
      <c r="F20" s="65">
        <f t="shared" si="0"/>
        <v>39</v>
      </c>
      <c r="G20" s="52">
        <f>+'01.09.68'!G20+'02.09.68'!G20+'03.09.68'!G20+'04.09.68'!G20+'05.09.68'!G20+'06.09.68'!G20+'07.09.68'!G20+'08.09.68'!G20+'09.09.68'!G20+'10.09.68'!G20+'11.09.68'!G20+'12.09.68'!G20+'13.09.68'!G20+'14.09.68'!G20+'15.09.68'!G20+'16.09.68'!G20+'17.09.68'!G20+'18.09.68'!G20+'19.09.68'!G20+'20.09.68'!G20+'21.09.68'!G20+'22.09.68'!G20+'23.09.68'!G20+'24.09.68'!G20+'25.09.68'!G20+'26.09.68'!G20+'27.09.68'!G20+'28.09.68'!G20+'29.09.68'!G20+'30.09.68'!G20</f>
        <v>147</v>
      </c>
      <c r="H20" s="52">
        <f>+'01.09.68'!H20+'02.09.68'!H20+'03.09.68'!H20+'04.09.68'!H20+'05.09.68'!H20+'06.09.68'!H20+'07.09.68'!H20+'08.09.68'!H20+'09.09.68'!H20+'10.09.68'!H20+'11.09.68'!H20+'12.09.68'!H20+'13.09.68'!H20+'14.09.68'!H20+'15.09.68'!H20+'16.09.68'!H20+'17.09.68'!H20+'18.09.68'!H20+'19.09.68'!H20+'20.09.68'!H20+'21.09.68'!H20+'22.09.68'!H20+'23.09.68'!H20+'24.09.68'!H20+'25.09.68'!H20+'26.09.68'!H20+'27.09.68'!H20+'28.09.68'!H20+'29.09.68'!H20+'30.09.68'!H20</f>
        <v>0</v>
      </c>
      <c r="I20" s="65">
        <f t="shared" si="1"/>
        <v>147</v>
      </c>
      <c r="J20" s="52">
        <f>+'01.09.68'!J20+'02.09.68'!J20+'03.09.68'!J20+'04.09.68'!J20+'05.09.68'!J20+'06.09.68'!J20+'07.09.68'!J20+'08.09.68'!J20+'09.09.68'!J20+'10.09.68'!J20+'11.09.68'!J20+'12.09.68'!J20+'13.09.68'!J20+'14.09.68'!J20+'15.09.68'!J20+'16.09.68'!J20+'17.09.68'!J20+'18.09.68'!J20+'19.09.68'!J20+'20.09.68'!J20+'21.09.68'!J20+'22.09.68'!J20+'23.09.68'!J20+'24.09.68'!J20+'25.09.68'!J20+'26.09.68'!J20+'27.09.68'!J20+'28.09.68'!J20+'29.09.68'!J20+'30.09.68'!J20</f>
        <v>1</v>
      </c>
      <c r="K20" s="52">
        <f>+'01.09.68'!K20+'02.09.68'!K20+'03.09.68'!K20+'04.09.68'!K20+'05.09.68'!K20+'06.09.68'!K20+'07.09.68'!K20+'08.09.68'!K20+'09.09.68'!K20+'10.09.68'!K20+'11.09.68'!K20+'12.09.68'!K20+'13.09.68'!K20+'14.09.68'!K20+'15.09.68'!K20+'16.09.68'!K20+'17.09.68'!K20+'18.09.68'!K20+'19.09.68'!K20+'20.09.68'!K20+'21.09.68'!K20+'22.09.68'!K20+'23.09.68'!K20+'24.09.68'!K20+'25.09.68'!K20+'26.09.68'!K20+'27.09.68'!K20+'28.09.68'!K20+'29.09.68'!K20+'30.09.68'!K20</f>
        <v>0</v>
      </c>
      <c r="L20" s="65">
        <f t="shared" si="2"/>
        <v>1</v>
      </c>
      <c r="M20" s="52">
        <f>+'01.09.68'!M20+'02.09.68'!M20+'03.09.68'!M20+'04.09.68'!M20+'05.09.68'!M20+'06.09.68'!M20+'07.09.68'!M20+'08.09.68'!M20+'09.09.68'!M20+'10.09.68'!M20+'11.09.68'!M20+'12.09.68'!M20+'13.09.68'!M20+'14.09.68'!M20+'15.09.68'!M20+'16.09.68'!M20+'17.09.68'!M20+'18.09.68'!M20+'19.09.68'!M20+'20.09.68'!M20+'21.09.68'!M20+'22.09.68'!M20+'23.09.68'!M20+'24.09.68'!M20+'25.09.68'!M20+'26.09.68'!M20+'27.09.68'!M20+'28.09.68'!M20+'29.09.68'!M20+'30.09.68'!M20</f>
        <v>0</v>
      </c>
      <c r="N20" s="52">
        <f>+'01.09.68'!N20+'02.09.68'!N20+'03.09.68'!N20+'04.09.68'!N20+'05.09.68'!N20+'06.09.68'!N20+'07.09.68'!N20+'08.09.68'!N20+'09.09.68'!N20+'10.09.68'!N20+'11.09.68'!N20+'12.09.68'!N20+'13.09.68'!N20+'14.09.68'!N20+'15.09.68'!N20+'16.09.68'!N20+'17.09.68'!N20+'18.09.68'!N20+'19.09.68'!N20+'20.09.68'!N20+'21.09.68'!N20+'22.09.68'!N20+'23.09.68'!N20+'24.09.68'!N20+'25.09.68'!N20+'26.09.68'!N20+'27.09.68'!N20+'28.09.68'!N20+'29.09.68'!N20+'30.09.68'!N20</f>
        <v>0</v>
      </c>
      <c r="O20" s="65">
        <f t="shared" si="3"/>
        <v>0</v>
      </c>
      <c r="P20" s="52">
        <f>+'01.09.68'!P20+'02.09.68'!P20+'03.09.68'!P20+'04.09.68'!P20+'05.09.68'!P20+'06.09.68'!P20+'07.09.68'!P20+'08.09.68'!P20+'09.09.68'!P20+'10.09.68'!P20+'11.09.68'!P20+'12.09.68'!P20+'13.09.68'!P20+'14.09.68'!P20+'15.09.68'!P20+'16.09.68'!P20+'17.09.68'!P20+'18.09.68'!P20+'19.09.68'!P20+'20.09.68'!P20+'21.09.68'!P20+'22.09.68'!P20+'23.09.68'!P20+'24.09.68'!P20+'25.09.68'!P20+'26.09.68'!P20+'27.09.68'!P20+'28.09.68'!P20+'29.09.68'!P20+'30.09.68'!P20</f>
        <v>0</v>
      </c>
      <c r="Q20" s="52">
        <f>+'01.09.68'!Q20+'02.09.68'!Q20+'03.09.68'!Q20+'04.09.68'!Q20+'05.09.68'!Q20+'06.09.68'!Q20+'07.09.68'!Q20+'08.09.68'!Q20+'09.09.68'!Q20+'10.09.68'!Q20+'11.09.68'!Q20+'12.09.68'!Q20+'13.09.68'!Q20+'14.09.68'!Q20+'15.09.68'!Q20+'16.09.68'!Q20+'17.09.68'!Q20+'18.09.68'!Q20+'19.09.68'!Q20+'20.09.68'!Q20+'21.09.68'!Q20+'22.09.68'!Q20+'23.09.68'!Q20+'24.09.68'!Q20+'25.09.68'!Q20+'26.09.68'!Q20+'27.09.68'!Q20+'28.09.68'!Q20+'29.09.68'!Q20+'30.09.68'!Q20</f>
        <v>0</v>
      </c>
      <c r="R20" s="65">
        <f t="shared" si="4"/>
        <v>0</v>
      </c>
      <c r="S20" s="52">
        <f>+'01.09.68'!S20+'02.09.68'!S20+'03.09.68'!S20+'04.09.68'!S20+'05.09.68'!S20+'06.09.68'!S20+'07.09.68'!S20+'08.09.68'!S20+'09.09.68'!S20+'10.09.68'!S20+'11.09.68'!S20+'12.09.68'!S20+'13.09.68'!S20+'14.09.68'!S20+'15.09.68'!S20+'16.09.68'!S20+'17.09.68'!S20+'18.09.68'!S20+'19.09.68'!S20+'20.09.68'!S20+'21.09.68'!S20+'22.09.68'!S20+'23.09.68'!S20+'24.09.68'!S20+'25.09.68'!S20+'26.09.68'!S20+'27.09.68'!S20+'28.09.68'!S20+'29.09.68'!S20+'30.09.68'!S20</f>
        <v>0</v>
      </c>
      <c r="T20" s="52">
        <f>+'01.09.68'!T20+'02.09.68'!T20+'03.09.68'!T20+'04.09.68'!T20+'05.09.68'!T20+'06.09.68'!T20+'07.09.68'!T20+'08.09.68'!T20+'09.09.68'!T20+'10.09.68'!T20+'11.09.68'!T20+'12.09.68'!T20+'13.09.68'!T20+'14.09.68'!T20+'15.09.68'!T20+'16.09.68'!T20+'17.09.68'!T20+'18.09.68'!T20+'19.09.68'!T20+'20.09.68'!T20+'21.09.68'!T20+'22.09.68'!T20+'23.09.68'!T20+'24.09.68'!T20+'25.09.68'!T20+'26.09.68'!T20+'27.09.68'!T20+'28.09.68'!T20+'29.09.68'!T20+'30.09.68'!T20</f>
        <v>0</v>
      </c>
      <c r="U20" s="65">
        <f t="shared" si="5"/>
        <v>0</v>
      </c>
      <c r="V20" s="52">
        <f>+'01.09.68'!V20+'02.09.68'!V20+'03.09.68'!V20+'04.09.68'!V20+'05.09.68'!V20+'06.09.68'!V20+'07.09.68'!V20+'08.09.68'!V20+'09.09.68'!V20+'10.09.68'!V20+'11.09.68'!V20+'12.09.68'!V20+'13.09.68'!V20+'14.09.68'!V20+'15.09.68'!V20+'16.09.68'!V20+'17.09.68'!V20+'18.09.68'!V20+'19.09.68'!V20+'20.09.68'!V20+'21.09.68'!V20+'22.09.68'!V20+'23.09.68'!V20+'24.09.68'!V20+'25.09.68'!V20+'26.09.68'!V20+'27.09.68'!V20+'28.09.68'!V20+'29.09.68'!V20+'30.09.68'!V20</f>
        <v>0</v>
      </c>
      <c r="W20" s="52">
        <f>+'01.09.68'!W20+'02.09.68'!W20+'03.09.68'!W20+'04.09.68'!W20+'05.09.68'!W20+'06.09.68'!W20+'07.09.68'!W20+'08.09.68'!W20+'09.09.68'!W20+'10.09.68'!W20+'11.09.68'!W20+'12.09.68'!W20+'13.09.68'!W20+'14.09.68'!W20+'15.09.68'!W20+'16.09.68'!W20+'17.09.68'!W20+'18.09.68'!W20+'19.09.68'!W20+'20.09.68'!W20+'21.09.68'!W20+'22.09.68'!W20+'23.09.68'!W20+'24.09.68'!W20+'25.09.68'!W20+'26.09.68'!W20+'27.09.68'!W20+'28.09.68'!W20+'29.09.68'!W20+'30.09.68'!W20</f>
        <v>0</v>
      </c>
      <c r="X20" s="65">
        <f t="shared" si="6"/>
        <v>0</v>
      </c>
      <c r="Y20" s="52">
        <f>+'01.09.68'!Y20+'02.09.68'!Y20+'03.09.68'!Y20+'04.09.68'!Y20+'05.09.68'!Y20+'06.09.68'!Y20+'07.09.68'!Y20+'08.09.68'!Y20+'09.09.68'!Y20+'10.09.68'!Y20+'11.09.68'!Y20+'12.09.68'!Y20+'13.09.68'!Y20+'14.09.68'!Y20+'15.09.68'!Y20+'16.09.68'!Y20+'17.09.68'!Y20+'18.09.68'!Y20+'19.09.68'!Y20+'20.09.68'!Y20+'21.09.68'!Y20+'22.09.68'!Y20+'23.09.68'!Y20+'24.09.68'!Y20+'25.09.68'!Y20+'26.09.68'!Y20+'27.09.68'!Y20+'28.09.68'!Y20+'29.09.68'!Y20+'30.09.68'!Y20</f>
        <v>25</v>
      </c>
      <c r="Z20" s="66">
        <f t="shared" si="7"/>
        <v>212</v>
      </c>
    </row>
    <row r="21" spans="2:26">
      <c r="B21" s="50">
        <v>1111069</v>
      </c>
      <c r="C21" s="51" t="s">
        <v>42</v>
      </c>
      <c r="D21" s="52">
        <f>+'01.09.68'!D21+'02.09.68'!D21+'03.09.68'!D21+'04.09.68'!D21+'05.09.68'!D21+'06.09.68'!D21+'07.09.68'!D21+'08.09.68'!D21+'09.09.68'!D21+'10.09.68'!D21+'11.09.68'!D21+'12.09.68'!D21+'13.09.68'!D21+'14.09.68'!D21+'15.09.68'!D21+'16.09.68'!D21+'17.09.68'!D21+'18.09.68'!D21+'19.09.68'!D21+'20.09.68'!D21+'21.09.68'!D21+'22.09.68'!D21+'23.09.68'!D21+'24.09.68'!D21+'25.09.68'!D21+'26.09.68'!D21+'27.09.68'!D21+'28.09.68'!D21+'29.09.68'!D21+'30.09.68'!D21</f>
        <v>39</v>
      </c>
      <c r="E21" s="52">
        <f>+'01.09.68'!E21+'02.09.68'!E21+'03.09.68'!E21+'04.09.68'!E21+'05.09.68'!E21+'06.09.68'!E21+'07.09.68'!E21+'08.09.68'!E21+'09.09.68'!E21+'10.09.68'!E21+'11.09.68'!E21+'12.09.68'!E21+'13.09.68'!E21+'14.09.68'!E21+'15.09.68'!E21+'16.09.68'!E21+'17.09.68'!E21+'18.09.68'!E21+'19.09.68'!E21+'20.09.68'!E21+'21.09.68'!E21+'22.09.68'!E21+'23.09.68'!E21+'24.09.68'!E21+'25.09.68'!E21+'26.09.68'!E21+'27.09.68'!E21+'28.09.68'!E21+'29.09.68'!E21+'30.09.68'!E21</f>
        <v>0</v>
      </c>
      <c r="F21" s="65">
        <f t="shared" si="0"/>
        <v>39</v>
      </c>
      <c r="G21" s="52">
        <f>+'01.09.68'!G21+'02.09.68'!G21+'03.09.68'!G21+'04.09.68'!G21+'05.09.68'!G21+'06.09.68'!G21+'07.09.68'!G21+'08.09.68'!G21+'09.09.68'!G21+'10.09.68'!G21+'11.09.68'!G21+'12.09.68'!G21+'13.09.68'!G21+'14.09.68'!G21+'15.09.68'!G21+'16.09.68'!G21+'17.09.68'!G21+'18.09.68'!G21+'19.09.68'!G21+'20.09.68'!G21+'21.09.68'!G21+'22.09.68'!G21+'23.09.68'!G21+'24.09.68'!G21+'25.09.68'!G21+'26.09.68'!G21+'27.09.68'!G21+'28.09.68'!G21+'29.09.68'!G21+'30.09.68'!G21</f>
        <v>141</v>
      </c>
      <c r="H21" s="52">
        <f>+'01.09.68'!H21+'02.09.68'!H21+'03.09.68'!H21+'04.09.68'!H21+'05.09.68'!H21+'06.09.68'!H21+'07.09.68'!H21+'08.09.68'!H21+'09.09.68'!H21+'10.09.68'!H21+'11.09.68'!H21+'12.09.68'!H21+'13.09.68'!H21+'14.09.68'!H21+'15.09.68'!H21+'16.09.68'!H21+'17.09.68'!H21+'18.09.68'!H21+'19.09.68'!H21+'20.09.68'!H21+'21.09.68'!H21+'22.09.68'!H21+'23.09.68'!H21+'24.09.68'!H21+'25.09.68'!H21+'26.09.68'!H21+'27.09.68'!H21+'28.09.68'!H21+'29.09.68'!H21+'30.09.68'!H21</f>
        <v>0</v>
      </c>
      <c r="I21" s="65">
        <f t="shared" si="1"/>
        <v>141</v>
      </c>
      <c r="J21" s="52">
        <f>+'01.09.68'!J21+'02.09.68'!J21+'03.09.68'!J21+'04.09.68'!J21+'05.09.68'!J21+'06.09.68'!J21+'07.09.68'!J21+'08.09.68'!J21+'09.09.68'!J21+'10.09.68'!J21+'11.09.68'!J21+'12.09.68'!J21+'13.09.68'!J21+'14.09.68'!J21+'15.09.68'!J21+'16.09.68'!J21+'17.09.68'!J21+'18.09.68'!J21+'19.09.68'!J21+'20.09.68'!J21+'21.09.68'!J21+'22.09.68'!J21+'23.09.68'!J21+'24.09.68'!J21+'25.09.68'!J21+'26.09.68'!J21+'27.09.68'!J21+'28.09.68'!J21+'29.09.68'!J21+'30.09.68'!J21</f>
        <v>1</v>
      </c>
      <c r="K21" s="52">
        <f>+'01.09.68'!K21+'02.09.68'!K21+'03.09.68'!K21+'04.09.68'!K21+'05.09.68'!K21+'06.09.68'!K21+'07.09.68'!K21+'08.09.68'!K21+'09.09.68'!K21+'10.09.68'!K21+'11.09.68'!K21+'12.09.68'!K21+'13.09.68'!K21+'14.09.68'!K21+'15.09.68'!K21+'16.09.68'!K21+'17.09.68'!K21+'18.09.68'!K21+'19.09.68'!K21+'20.09.68'!K21+'21.09.68'!K21+'22.09.68'!K21+'23.09.68'!K21+'24.09.68'!K21+'25.09.68'!K21+'26.09.68'!K21+'27.09.68'!K21+'28.09.68'!K21+'29.09.68'!K21+'30.09.68'!K21</f>
        <v>0</v>
      </c>
      <c r="L21" s="65">
        <f t="shared" si="2"/>
        <v>1</v>
      </c>
      <c r="M21" s="52">
        <f>+'01.09.68'!M21+'02.09.68'!M21+'03.09.68'!M21+'04.09.68'!M21+'05.09.68'!M21+'06.09.68'!M21+'07.09.68'!M21+'08.09.68'!M21+'09.09.68'!M21+'10.09.68'!M21+'11.09.68'!M21+'12.09.68'!M21+'13.09.68'!M21+'14.09.68'!M21+'15.09.68'!M21+'16.09.68'!M21+'17.09.68'!M21+'18.09.68'!M21+'19.09.68'!M21+'20.09.68'!M21+'21.09.68'!M21+'22.09.68'!M21+'23.09.68'!M21+'24.09.68'!M21+'25.09.68'!M21+'26.09.68'!M21+'27.09.68'!M21+'28.09.68'!M21+'29.09.68'!M21+'30.09.68'!M21</f>
        <v>0</v>
      </c>
      <c r="N21" s="52">
        <f>+'01.09.68'!N21+'02.09.68'!N21+'03.09.68'!N21+'04.09.68'!N21+'05.09.68'!N21+'06.09.68'!N21+'07.09.68'!N21+'08.09.68'!N21+'09.09.68'!N21+'10.09.68'!N21+'11.09.68'!N21+'12.09.68'!N21+'13.09.68'!N21+'14.09.68'!N21+'15.09.68'!N21+'16.09.68'!N21+'17.09.68'!N21+'18.09.68'!N21+'19.09.68'!N21+'20.09.68'!N21+'21.09.68'!N21+'22.09.68'!N21+'23.09.68'!N21+'24.09.68'!N21+'25.09.68'!N21+'26.09.68'!N21+'27.09.68'!N21+'28.09.68'!N21+'29.09.68'!N21+'30.09.68'!N21</f>
        <v>0</v>
      </c>
      <c r="O21" s="65">
        <f t="shared" si="3"/>
        <v>0</v>
      </c>
      <c r="P21" s="52">
        <f>+'01.09.68'!P21+'02.09.68'!P21+'03.09.68'!P21+'04.09.68'!P21+'05.09.68'!P21+'06.09.68'!P21+'07.09.68'!P21+'08.09.68'!P21+'09.09.68'!P21+'10.09.68'!P21+'11.09.68'!P21+'12.09.68'!P21+'13.09.68'!P21+'14.09.68'!P21+'15.09.68'!P21+'16.09.68'!P21+'17.09.68'!P21+'18.09.68'!P21+'19.09.68'!P21+'20.09.68'!P21+'21.09.68'!P21+'22.09.68'!P21+'23.09.68'!P21+'24.09.68'!P21+'25.09.68'!P21+'26.09.68'!P21+'27.09.68'!P21+'28.09.68'!P21+'29.09.68'!P21+'30.09.68'!P21</f>
        <v>0</v>
      </c>
      <c r="Q21" s="52">
        <f>+'01.09.68'!Q21+'02.09.68'!Q21+'03.09.68'!Q21+'04.09.68'!Q21+'05.09.68'!Q21+'06.09.68'!Q21+'07.09.68'!Q21+'08.09.68'!Q21+'09.09.68'!Q21+'10.09.68'!Q21+'11.09.68'!Q21+'12.09.68'!Q21+'13.09.68'!Q21+'14.09.68'!Q21+'15.09.68'!Q21+'16.09.68'!Q21+'17.09.68'!Q21+'18.09.68'!Q21+'19.09.68'!Q21+'20.09.68'!Q21+'21.09.68'!Q21+'22.09.68'!Q21+'23.09.68'!Q21+'24.09.68'!Q21+'25.09.68'!Q21+'26.09.68'!Q21+'27.09.68'!Q21+'28.09.68'!Q21+'29.09.68'!Q21+'30.09.68'!Q21</f>
        <v>0</v>
      </c>
      <c r="R21" s="65">
        <f t="shared" si="4"/>
        <v>0</v>
      </c>
      <c r="S21" s="52">
        <f>+'01.09.68'!S21+'02.09.68'!S21+'03.09.68'!S21+'04.09.68'!S21+'05.09.68'!S21+'06.09.68'!S21+'07.09.68'!S21+'08.09.68'!S21+'09.09.68'!S21+'10.09.68'!S21+'11.09.68'!S21+'12.09.68'!S21+'13.09.68'!S21+'14.09.68'!S21+'15.09.68'!S21+'16.09.68'!S21+'17.09.68'!S21+'18.09.68'!S21+'19.09.68'!S21+'20.09.68'!S21+'21.09.68'!S21+'22.09.68'!S21+'23.09.68'!S21+'24.09.68'!S21+'25.09.68'!S21+'26.09.68'!S21+'27.09.68'!S21+'28.09.68'!S21+'29.09.68'!S21+'30.09.68'!S21</f>
        <v>0</v>
      </c>
      <c r="T21" s="52">
        <f>+'01.09.68'!T21+'02.09.68'!T21+'03.09.68'!T21+'04.09.68'!T21+'05.09.68'!T21+'06.09.68'!T21+'07.09.68'!T21+'08.09.68'!T21+'09.09.68'!T21+'10.09.68'!T21+'11.09.68'!T21+'12.09.68'!T21+'13.09.68'!T21+'14.09.68'!T21+'15.09.68'!T21+'16.09.68'!T21+'17.09.68'!T21+'18.09.68'!T21+'19.09.68'!T21+'20.09.68'!T21+'21.09.68'!T21+'22.09.68'!T21+'23.09.68'!T21+'24.09.68'!T21+'25.09.68'!T21+'26.09.68'!T21+'27.09.68'!T21+'28.09.68'!T21+'29.09.68'!T21+'30.09.68'!T21</f>
        <v>0</v>
      </c>
      <c r="U21" s="65">
        <f t="shared" si="5"/>
        <v>0</v>
      </c>
      <c r="V21" s="52">
        <f>+'01.09.68'!V21+'02.09.68'!V21+'03.09.68'!V21+'04.09.68'!V21+'05.09.68'!V21+'06.09.68'!V21+'07.09.68'!V21+'08.09.68'!V21+'09.09.68'!V21+'10.09.68'!V21+'11.09.68'!V21+'12.09.68'!V21+'13.09.68'!V21+'14.09.68'!V21+'15.09.68'!V21+'16.09.68'!V21+'17.09.68'!V21+'18.09.68'!V21+'19.09.68'!V21+'20.09.68'!V21+'21.09.68'!V21+'22.09.68'!V21+'23.09.68'!V21+'24.09.68'!V21+'25.09.68'!V21+'26.09.68'!V21+'27.09.68'!V21+'28.09.68'!V21+'29.09.68'!V21+'30.09.68'!V21</f>
        <v>0</v>
      </c>
      <c r="W21" s="52">
        <f>+'01.09.68'!W21+'02.09.68'!W21+'03.09.68'!W21+'04.09.68'!W21+'05.09.68'!W21+'06.09.68'!W21+'07.09.68'!W21+'08.09.68'!W21+'09.09.68'!W21+'10.09.68'!W21+'11.09.68'!W21+'12.09.68'!W21+'13.09.68'!W21+'14.09.68'!W21+'15.09.68'!W21+'16.09.68'!W21+'17.09.68'!W21+'18.09.68'!W21+'19.09.68'!W21+'20.09.68'!W21+'21.09.68'!W21+'22.09.68'!W21+'23.09.68'!W21+'24.09.68'!W21+'25.09.68'!W21+'26.09.68'!W21+'27.09.68'!W21+'28.09.68'!W21+'29.09.68'!W21+'30.09.68'!W21</f>
        <v>0</v>
      </c>
      <c r="X21" s="65">
        <f t="shared" si="6"/>
        <v>0</v>
      </c>
      <c r="Y21" s="52">
        <f>+'01.09.68'!Y21+'02.09.68'!Y21+'03.09.68'!Y21+'04.09.68'!Y21+'05.09.68'!Y21+'06.09.68'!Y21+'07.09.68'!Y21+'08.09.68'!Y21+'09.09.68'!Y21+'10.09.68'!Y21+'11.09.68'!Y21+'12.09.68'!Y21+'13.09.68'!Y21+'14.09.68'!Y21+'15.09.68'!Y21+'16.09.68'!Y21+'17.09.68'!Y21+'18.09.68'!Y21+'19.09.68'!Y21+'20.09.68'!Y21+'21.09.68'!Y21+'22.09.68'!Y21+'23.09.68'!Y21+'24.09.68'!Y21+'25.09.68'!Y21+'26.09.68'!Y21+'27.09.68'!Y21+'28.09.68'!Y21+'29.09.68'!Y21+'30.09.68'!Y21</f>
        <v>25</v>
      </c>
      <c r="Z21" s="66">
        <f t="shared" si="7"/>
        <v>206</v>
      </c>
    </row>
    <row r="22" spans="2:26">
      <c r="B22" s="50">
        <v>1111070</v>
      </c>
      <c r="C22" s="51" t="s">
        <v>127</v>
      </c>
      <c r="D22" s="52">
        <f>+'01.09.68'!D22+'02.09.68'!D22+'03.09.68'!D22+'04.09.68'!D22+'05.09.68'!D22+'06.09.68'!D22+'07.09.68'!D22+'08.09.68'!D22+'09.09.68'!D22+'10.09.68'!D22+'11.09.68'!D22+'12.09.68'!D22+'13.09.68'!D22+'14.09.68'!D22+'15.09.68'!D22+'16.09.68'!D22+'17.09.68'!D22+'18.09.68'!D22+'19.09.68'!D22+'20.09.68'!D22+'21.09.68'!D22+'22.09.68'!D22+'23.09.68'!D22+'24.09.68'!D22+'25.09.68'!D22+'26.09.68'!D22+'27.09.68'!D22+'28.09.68'!D22+'29.09.68'!D22+'30.09.68'!D22</f>
        <v>0</v>
      </c>
      <c r="E22" s="52">
        <f>+'01.09.68'!E22+'02.09.68'!E22+'03.09.68'!E22+'04.09.68'!E22+'05.09.68'!E22+'06.09.68'!E22+'07.09.68'!E22+'08.09.68'!E22+'09.09.68'!E22+'10.09.68'!E22+'11.09.68'!E22+'12.09.68'!E22+'13.09.68'!E22+'14.09.68'!E22+'15.09.68'!E22+'16.09.68'!E22+'17.09.68'!E22+'18.09.68'!E22+'19.09.68'!E22+'20.09.68'!E22+'21.09.68'!E22+'22.09.68'!E22+'23.09.68'!E22+'24.09.68'!E22+'25.09.68'!E22+'26.09.68'!E22+'27.09.68'!E22+'28.09.68'!E22+'29.09.68'!E22+'30.09.68'!E22</f>
        <v>0</v>
      </c>
      <c r="F22" s="65">
        <f t="shared" si="0"/>
        <v>0</v>
      </c>
      <c r="G22" s="52">
        <f>+'01.09.68'!G22+'02.09.68'!G22+'03.09.68'!G22+'04.09.68'!G22+'05.09.68'!G22+'06.09.68'!G22+'07.09.68'!G22+'08.09.68'!G22+'09.09.68'!G22+'10.09.68'!G22+'11.09.68'!G22+'12.09.68'!G22+'13.09.68'!G22+'14.09.68'!G22+'15.09.68'!G22+'16.09.68'!G22+'17.09.68'!G22+'18.09.68'!G22+'19.09.68'!G22+'20.09.68'!G22+'21.09.68'!G22+'22.09.68'!G22+'23.09.68'!G22+'24.09.68'!G22+'25.09.68'!G22+'26.09.68'!G22+'27.09.68'!G22+'28.09.68'!G22+'29.09.68'!G22+'30.09.68'!G22</f>
        <v>0</v>
      </c>
      <c r="H22" s="52">
        <f>+'01.09.68'!H22+'02.09.68'!H22+'03.09.68'!H22+'04.09.68'!H22+'05.09.68'!H22+'06.09.68'!H22+'07.09.68'!H22+'08.09.68'!H22+'09.09.68'!H22+'10.09.68'!H22+'11.09.68'!H22+'12.09.68'!H22+'13.09.68'!H22+'14.09.68'!H22+'15.09.68'!H22+'16.09.68'!H22+'17.09.68'!H22+'18.09.68'!H22+'19.09.68'!H22+'20.09.68'!H22+'21.09.68'!H22+'22.09.68'!H22+'23.09.68'!H22+'24.09.68'!H22+'25.09.68'!H22+'26.09.68'!H22+'27.09.68'!H22+'28.09.68'!H22+'29.09.68'!H22+'30.09.68'!H22</f>
        <v>0</v>
      </c>
      <c r="I22" s="65">
        <f t="shared" si="1"/>
        <v>0</v>
      </c>
      <c r="J22" s="52">
        <f>+'01.09.68'!J22+'02.09.68'!J22+'03.09.68'!J22+'04.09.68'!J22+'05.09.68'!J22+'06.09.68'!J22+'07.09.68'!J22+'08.09.68'!J22+'09.09.68'!J22+'10.09.68'!J22+'11.09.68'!J22+'12.09.68'!J22+'13.09.68'!J22+'14.09.68'!J22+'15.09.68'!J22+'16.09.68'!J22+'17.09.68'!J22+'18.09.68'!J22+'19.09.68'!J22+'20.09.68'!J22+'21.09.68'!J22+'22.09.68'!J22+'23.09.68'!J22+'24.09.68'!J22+'25.09.68'!J22+'26.09.68'!J22+'27.09.68'!J22+'28.09.68'!J22+'29.09.68'!J22+'30.09.68'!J22</f>
        <v>0</v>
      </c>
      <c r="K22" s="52">
        <f>+'01.09.68'!K22+'02.09.68'!K22+'03.09.68'!K22+'04.09.68'!K22+'05.09.68'!K22+'06.09.68'!K22+'07.09.68'!K22+'08.09.68'!K22+'09.09.68'!K22+'10.09.68'!K22+'11.09.68'!K22+'12.09.68'!K22+'13.09.68'!K22+'14.09.68'!K22+'15.09.68'!K22+'16.09.68'!K22+'17.09.68'!K22+'18.09.68'!K22+'19.09.68'!K22+'20.09.68'!K22+'21.09.68'!K22+'22.09.68'!K22+'23.09.68'!K22+'24.09.68'!K22+'25.09.68'!K22+'26.09.68'!K22+'27.09.68'!K22+'28.09.68'!K22+'29.09.68'!K22+'30.09.68'!K22</f>
        <v>0</v>
      </c>
      <c r="L22" s="65">
        <f t="shared" si="2"/>
        <v>0</v>
      </c>
      <c r="M22" s="52">
        <f>+'01.09.68'!M22+'02.09.68'!M22+'03.09.68'!M22+'04.09.68'!M22+'05.09.68'!M22+'06.09.68'!M22+'07.09.68'!M22+'08.09.68'!M22+'09.09.68'!M22+'10.09.68'!M22+'11.09.68'!M22+'12.09.68'!M22+'13.09.68'!M22+'14.09.68'!M22+'15.09.68'!M22+'16.09.68'!M22+'17.09.68'!M22+'18.09.68'!M22+'19.09.68'!M22+'20.09.68'!M22+'21.09.68'!M22+'22.09.68'!M22+'23.09.68'!M22+'24.09.68'!M22+'25.09.68'!M22+'26.09.68'!M22+'27.09.68'!M22+'28.09.68'!M22+'29.09.68'!M22+'30.09.68'!M22</f>
        <v>0</v>
      </c>
      <c r="N22" s="52">
        <f>+'01.09.68'!N22+'02.09.68'!N22+'03.09.68'!N22+'04.09.68'!N22+'05.09.68'!N22+'06.09.68'!N22+'07.09.68'!N22+'08.09.68'!N22+'09.09.68'!N22+'10.09.68'!N22+'11.09.68'!N22+'12.09.68'!N22+'13.09.68'!N22+'14.09.68'!N22+'15.09.68'!N22+'16.09.68'!N22+'17.09.68'!N22+'18.09.68'!N22+'19.09.68'!N22+'20.09.68'!N22+'21.09.68'!N22+'22.09.68'!N22+'23.09.68'!N22+'24.09.68'!N22+'25.09.68'!N22+'26.09.68'!N22+'27.09.68'!N22+'28.09.68'!N22+'29.09.68'!N22+'30.09.68'!N22</f>
        <v>0</v>
      </c>
      <c r="O22" s="65">
        <f t="shared" si="3"/>
        <v>0</v>
      </c>
      <c r="P22" s="52">
        <f>+'01.09.68'!P22+'02.09.68'!P22+'03.09.68'!P22+'04.09.68'!P22+'05.09.68'!P22+'06.09.68'!P22+'07.09.68'!P22+'08.09.68'!P22+'09.09.68'!P22+'10.09.68'!P22+'11.09.68'!P22+'12.09.68'!P22+'13.09.68'!P22+'14.09.68'!P22+'15.09.68'!P22+'16.09.68'!P22+'17.09.68'!P22+'18.09.68'!P22+'19.09.68'!P22+'20.09.68'!P22+'21.09.68'!P22+'22.09.68'!P22+'23.09.68'!P22+'24.09.68'!P22+'25.09.68'!P22+'26.09.68'!P22+'27.09.68'!P22+'28.09.68'!P22+'29.09.68'!P22+'30.09.68'!P22</f>
        <v>0</v>
      </c>
      <c r="Q22" s="52">
        <f>+'01.09.68'!Q22+'02.09.68'!Q22+'03.09.68'!Q22+'04.09.68'!Q22+'05.09.68'!Q22+'06.09.68'!Q22+'07.09.68'!Q22+'08.09.68'!Q22+'09.09.68'!Q22+'10.09.68'!Q22+'11.09.68'!Q22+'12.09.68'!Q22+'13.09.68'!Q22+'14.09.68'!Q22+'15.09.68'!Q22+'16.09.68'!Q22+'17.09.68'!Q22+'18.09.68'!Q22+'19.09.68'!Q22+'20.09.68'!Q22+'21.09.68'!Q22+'22.09.68'!Q22+'23.09.68'!Q22+'24.09.68'!Q22+'25.09.68'!Q22+'26.09.68'!Q22+'27.09.68'!Q22+'28.09.68'!Q22+'29.09.68'!Q22+'30.09.68'!Q22</f>
        <v>0</v>
      </c>
      <c r="R22" s="65">
        <f t="shared" si="4"/>
        <v>0</v>
      </c>
      <c r="S22" s="52">
        <f>+'01.09.68'!S22+'02.09.68'!S22+'03.09.68'!S22+'04.09.68'!S22+'05.09.68'!S22+'06.09.68'!S22+'07.09.68'!S22+'08.09.68'!S22+'09.09.68'!S22+'10.09.68'!S22+'11.09.68'!S22+'12.09.68'!S22+'13.09.68'!S22+'14.09.68'!S22+'15.09.68'!S22+'16.09.68'!S22+'17.09.68'!S22+'18.09.68'!S22+'19.09.68'!S22+'20.09.68'!S22+'21.09.68'!S22+'22.09.68'!S22+'23.09.68'!S22+'24.09.68'!S22+'25.09.68'!S22+'26.09.68'!S22+'27.09.68'!S22+'28.09.68'!S22+'29.09.68'!S22+'30.09.68'!S22</f>
        <v>0</v>
      </c>
      <c r="T22" s="52">
        <f>+'01.09.68'!T22+'02.09.68'!T22+'03.09.68'!T22+'04.09.68'!T22+'05.09.68'!T22+'06.09.68'!T22+'07.09.68'!T22+'08.09.68'!T22+'09.09.68'!T22+'10.09.68'!T22+'11.09.68'!T22+'12.09.68'!T22+'13.09.68'!T22+'14.09.68'!T22+'15.09.68'!T22+'16.09.68'!T22+'17.09.68'!T22+'18.09.68'!T22+'19.09.68'!T22+'20.09.68'!T22+'21.09.68'!T22+'22.09.68'!T22+'23.09.68'!T22+'24.09.68'!T22+'25.09.68'!T22+'26.09.68'!T22+'27.09.68'!T22+'28.09.68'!T22+'29.09.68'!T22+'30.09.68'!T22</f>
        <v>0</v>
      </c>
      <c r="U22" s="65">
        <f t="shared" si="5"/>
        <v>0</v>
      </c>
      <c r="V22" s="52">
        <f>+'01.09.68'!V22+'02.09.68'!V22+'03.09.68'!V22+'04.09.68'!V22+'05.09.68'!V22+'06.09.68'!V22+'07.09.68'!V22+'08.09.68'!V22+'09.09.68'!V22+'10.09.68'!V22+'11.09.68'!V22+'12.09.68'!V22+'13.09.68'!V22+'14.09.68'!V22+'15.09.68'!V22+'16.09.68'!V22+'17.09.68'!V22+'18.09.68'!V22+'19.09.68'!V22+'20.09.68'!V22+'21.09.68'!V22+'22.09.68'!V22+'23.09.68'!V22+'24.09.68'!V22+'25.09.68'!V22+'26.09.68'!V22+'27.09.68'!V22+'28.09.68'!V22+'29.09.68'!V22+'30.09.68'!V22</f>
        <v>0</v>
      </c>
      <c r="W22" s="52">
        <f>+'01.09.68'!W22+'02.09.68'!W22+'03.09.68'!W22+'04.09.68'!W22+'05.09.68'!W22+'06.09.68'!W22+'07.09.68'!W22+'08.09.68'!W22+'09.09.68'!W22+'10.09.68'!W22+'11.09.68'!W22+'12.09.68'!W22+'13.09.68'!W22+'14.09.68'!W22+'15.09.68'!W22+'16.09.68'!W22+'17.09.68'!W22+'18.09.68'!W22+'19.09.68'!W22+'20.09.68'!W22+'21.09.68'!W22+'22.09.68'!W22+'23.09.68'!W22+'24.09.68'!W22+'25.09.68'!W22+'26.09.68'!W22+'27.09.68'!W22+'28.09.68'!W22+'29.09.68'!W22+'30.09.68'!W22</f>
        <v>0</v>
      </c>
      <c r="X22" s="65">
        <f t="shared" si="6"/>
        <v>0</v>
      </c>
      <c r="Y22" s="52">
        <f>+'01.09.68'!Y22+'02.09.68'!Y22+'03.09.68'!Y22+'04.09.68'!Y22+'05.09.68'!Y22+'06.09.68'!Y22+'07.09.68'!Y22+'08.09.68'!Y22+'09.09.68'!Y22+'10.09.68'!Y22+'11.09.68'!Y22+'12.09.68'!Y22+'13.09.68'!Y22+'14.09.68'!Y22+'15.09.68'!Y22+'16.09.68'!Y22+'17.09.68'!Y22+'18.09.68'!Y22+'19.09.68'!Y22+'20.09.68'!Y22+'21.09.68'!Y22+'22.09.68'!Y22+'23.09.68'!Y22+'24.09.68'!Y22+'25.09.68'!Y22+'26.09.68'!Y22+'27.09.68'!Y22+'28.09.68'!Y22+'29.09.68'!Y22+'30.09.68'!Y22</f>
        <v>0</v>
      </c>
      <c r="Z22" s="66">
        <f t="shared" si="7"/>
        <v>0</v>
      </c>
    </row>
    <row r="23" spans="2:26">
      <c r="B23" s="50">
        <v>1111071</v>
      </c>
      <c r="C23" s="51" t="s">
        <v>128</v>
      </c>
      <c r="D23" s="52">
        <f>+'01.09.68'!D23+'02.09.68'!D23+'03.09.68'!D23+'04.09.68'!D23+'05.09.68'!D23+'06.09.68'!D23+'07.09.68'!D23+'08.09.68'!D23+'09.09.68'!D23+'10.09.68'!D23+'11.09.68'!D23+'12.09.68'!D23+'13.09.68'!D23+'14.09.68'!D23+'15.09.68'!D23+'16.09.68'!D23+'17.09.68'!D23+'18.09.68'!D23+'19.09.68'!D23+'20.09.68'!D23+'21.09.68'!D23+'22.09.68'!D23+'23.09.68'!D23+'24.09.68'!D23+'25.09.68'!D23+'26.09.68'!D23+'27.09.68'!D23+'28.09.68'!D23+'29.09.68'!D23+'30.09.68'!D23</f>
        <v>0</v>
      </c>
      <c r="E23" s="52">
        <f>+'01.09.68'!E23+'02.09.68'!E23+'03.09.68'!E23+'04.09.68'!E23+'05.09.68'!E23+'06.09.68'!E23+'07.09.68'!E23+'08.09.68'!E23+'09.09.68'!E23+'10.09.68'!E23+'11.09.68'!E23+'12.09.68'!E23+'13.09.68'!E23+'14.09.68'!E23+'15.09.68'!E23+'16.09.68'!E23+'17.09.68'!E23+'18.09.68'!E23+'19.09.68'!E23+'20.09.68'!E23+'21.09.68'!E23+'22.09.68'!E23+'23.09.68'!E23+'24.09.68'!E23+'25.09.68'!E23+'26.09.68'!E23+'27.09.68'!E23+'28.09.68'!E23+'29.09.68'!E23+'30.09.68'!E23</f>
        <v>0</v>
      </c>
      <c r="F23" s="65">
        <f t="shared" si="0"/>
        <v>0</v>
      </c>
      <c r="G23" s="52">
        <f>+'01.09.68'!G23+'02.09.68'!G23+'03.09.68'!G23+'04.09.68'!G23+'05.09.68'!G23+'06.09.68'!G23+'07.09.68'!G23+'08.09.68'!G23+'09.09.68'!G23+'10.09.68'!G23+'11.09.68'!G23+'12.09.68'!G23+'13.09.68'!G23+'14.09.68'!G23+'15.09.68'!G23+'16.09.68'!G23+'17.09.68'!G23+'18.09.68'!G23+'19.09.68'!G23+'20.09.68'!G23+'21.09.68'!G23+'22.09.68'!G23+'23.09.68'!G23+'24.09.68'!G23+'25.09.68'!G23+'26.09.68'!G23+'27.09.68'!G23+'28.09.68'!G23+'29.09.68'!G23+'30.09.68'!G23</f>
        <v>0</v>
      </c>
      <c r="H23" s="52">
        <f>+'01.09.68'!H23+'02.09.68'!H23+'03.09.68'!H23+'04.09.68'!H23+'05.09.68'!H23+'06.09.68'!H23+'07.09.68'!H23+'08.09.68'!H23+'09.09.68'!H23+'10.09.68'!H23+'11.09.68'!H23+'12.09.68'!H23+'13.09.68'!H23+'14.09.68'!H23+'15.09.68'!H23+'16.09.68'!H23+'17.09.68'!H23+'18.09.68'!H23+'19.09.68'!H23+'20.09.68'!H23+'21.09.68'!H23+'22.09.68'!H23+'23.09.68'!H23+'24.09.68'!H23+'25.09.68'!H23+'26.09.68'!H23+'27.09.68'!H23+'28.09.68'!H23+'29.09.68'!H23+'30.09.68'!H23</f>
        <v>0</v>
      </c>
      <c r="I23" s="65">
        <f t="shared" si="1"/>
        <v>0</v>
      </c>
      <c r="J23" s="52">
        <f>+'01.09.68'!J23+'02.09.68'!J23+'03.09.68'!J23+'04.09.68'!J23+'05.09.68'!J23+'06.09.68'!J23+'07.09.68'!J23+'08.09.68'!J23+'09.09.68'!J23+'10.09.68'!J23+'11.09.68'!J23+'12.09.68'!J23+'13.09.68'!J23+'14.09.68'!J23+'15.09.68'!J23+'16.09.68'!J23+'17.09.68'!J23+'18.09.68'!J23+'19.09.68'!J23+'20.09.68'!J23+'21.09.68'!J23+'22.09.68'!J23+'23.09.68'!J23+'24.09.68'!J23+'25.09.68'!J23+'26.09.68'!J23+'27.09.68'!J23+'28.09.68'!J23+'29.09.68'!J23+'30.09.68'!J23</f>
        <v>0</v>
      </c>
      <c r="K23" s="52">
        <f>+'01.09.68'!K23+'02.09.68'!K23+'03.09.68'!K23+'04.09.68'!K23+'05.09.68'!K23+'06.09.68'!K23+'07.09.68'!K23+'08.09.68'!K23+'09.09.68'!K23+'10.09.68'!K23+'11.09.68'!K23+'12.09.68'!K23+'13.09.68'!K23+'14.09.68'!K23+'15.09.68'!K23+'16.09.68'!K23+'17.09.68'!K23+'18.09.68'!K23+'19.09.68'!K23+'20.09.68'!K23+'21.09.68'!K23+'22.09.68'!K23+'23.09.68'!K23+'24.09.68'!K23+'25.09.68'!K23+'26.09.68'!K23+'27.09.68'!K23+'28.09.68'!K23+'29.09.68'!K23+'30.09.68'!K23</f>
        <v>0</v>
      </c>
      <c r="L23" s="65">
        <f t="shared" si="2"/>
        <v>0</v>
      </c>
      <c r="M23" s="52">
        <f>+'01.09.68'!M23+'02.09.68'!M23+'03.09.68'!M23+'04.09.68'!M23+'05.09.68'!M23+'06.09.68'!M23+'07.09.68'!M23+'08.09.68'!M23+'09.09.68'!M23+'10.09.68'!M23+'11.09.68'!M23+'12.09.68'!M23+'13.09.68'!M23+'14.09.68'!M23+'15.09.68'!M23+'16.09.68'!M23+'17.09.68'!M23+'18.09.68'!M23+'19.09.68'!M23+'20.09.68'!M23+'21.09.68'!M23+'22.09.68'!M23+'23.09.68'!M23+'24.09.68'!M23+'25.09.68'!M23+'26.09.68'!M23+'27.09.68'!M23+'28.09.68'!M23+'29.09.68'!M23+'30.09.68'!M23</f>
        <v>0</v>
      </c>
      <c r="N23" s="52">
        <f>+'01.09.68'!N23+'02.09.68'!N23+'03.09.68'!N23+'04.09.68'!N23+'05.09.68'!N23+'06.09.68'!N23+'07.09.68'!N23+'08.09.68'!N23+'09.09.68'!N23+'10.09.68'!N23+'11.09.68'!N23+'12.09.68'!N23+'13.09.68'!N23+'14.09.68'!N23+'15.09.68'!N23+'16.09.68'!N23+'17.09.68'!N23+'18.09.68'!N23+'19.09.68'!N23+'20.09.68'!N23+'21.09.68'!N23+'22.09.68'!N23+'23.09.68'!N23+'24.09.68'!N23+'25.09.68'!N23+'26.09.68'!N23+'27.09.68'!N23+'28.09.68'!N23+'29.09.68'!N23+'30.09.68'!N23</f>
        <v>0</v>
      </c>
      <c r="O23" s="65">
        <f t="shared" si="3"/>
        <v>0</v>
      </c>
      <c r="P23" s="52">
        <f>+'01.09.68'!P23+'02.09.68'!P23+'03.09.68'!P23+'04.09.68'!P23+'05.09.68'!P23+'06.09.68'!P23+'07.09.68'!P23+'08.09.68'!P23+'09.09.68'!P23+'10.09.68'!P23+'11.09.68'!P23+'12.09.68'!P23+'13.09.68'!P23+'14.09.68'!P23+'15.09.68'!P23+'16.09.68'!P23+'17.09.68'!P23+'18.09.68'!P23+'19.09.68'!P23+'20.09.68'!P23+'21.09.68'!P23+'22.09.68'!P23+'23.09.68'!P23+'24.09.68'!P23+'25.09.68'!P23+'26.09.68'!P23+'27.09.68'!P23+'28.09.68'!P23+'29.09.68'!P23+'30.09.68'!P23</f>
        <v>0</v>
      </c>
      <c r="Q23" s="52">
        <f>+'01.09.68'!Q23+'02.09.68'!Q23+'03.09.68'!Q23+'04.09.68'!Q23+'05.09.68'!Q23+'06.09.68'!Q23+'07.09.68'!Q23+'08.09.68'!Q23+'09.09.68'!Q23+'10.09.68'!Q23+'11.09.68'!Q23+'12.09.68'!Q23+'13.09.68'!Q23+'14.09.68'!Q23+'15.09.68'!Q23+'16.09.68'!Q23+'17.09.68'!Q23+'18.09.68'!Q23+'19.09.68'!Q23+'20.09.68'!Q23+'21.09.68'!Q23+'22.09.68'!Q23+'23.09.68'!Q23+'24.09.68'!Q23+'25.09.68'!Q23+'26.09.68'!Q23+'27.09.68'!Q23+'28.09.68'!Q23+'29.09.68'!Q23+'30.09.68'!Q23</f>
        <v>0</v>
      </c>
      <c r="R23" s="65">
        <f t="shared" si="4"/>
        <v>0</v>
      </c>
      <c r="S23" s="52">
        <f>+'01.09.68'!S23+'02.09.68'!S23+'03.09.68'!S23+'04.09.68'!S23+'05.09.68'!S23+'06.09.68'!S23+'07.09.68'!S23+'08.09.68'!S23+'09.09.68'!S23+'10.09.68'!S23+'11.09.68'!S23+'12.09.68'!S23+'13.09.68'!S23+'14.09.68'!S23+'15.09.68'!S23+'16.09.68'!S23+'17.09.68'!S23+'18.09.68'!S23+'19.09.68'!S23+'20.09.68'!S23+'21.09.68'!S23+'22.09.68'!S23+'23.09.68'!S23+'24.09.68'!S23+'25.09.68'!S23+'26.09.68'!S23+'27.09.68'!S23+'28.09.68'!S23+'29.09.68'!S23+'30.09.68'!S23</f>
        <v>0</v>
      </c>
      <c r="T23" s="52">
        <f>+'01.09.68'!T23+'02.09.68'!T23+'03.09.68'!T23+'04.09.68'!T23+'05.09.68'!T23+'06.09.68'!T23+'07.09.68'!T23+'08.09.68'!T23+'09.09.68'!T23+'10.09.68'!T23+'11.09.68'!T23+'12.09.68'!T23+'13.09.68'!T23+'14.09.68'!T23+'15.09.68'!T23+'16.09.68'!T23+'17.09.68'!T23+'18.09.68'!T23+'19.09.68'!T23+'20.09.68'!T23+'21.09.68'!T23+'22.09.68'!T23+'23.09.68'!T23+'24.09.68'!T23+'25.09.68'!T23+'26.09.68'!T23+'27.09.68'!T23+'28.09.68'!T23+'29.09.68'!T23+'30.09.68'!T23</f>
        <v>0</v>
      </c>
      <c r="U23" s="65">
        <f t="shared" si="5"/>
        <v>0</v>
      </c>
      <c r="V23" s="52">
        <f>+'01.09.68'!V23+'02.09.68'!V23+'03.09.68'!V23+'04.09.68'!V23+'05.09.68'!V23+'06.09.68'!V23+'07.09.68'!V23+'08.09.68'!V23+'09.09.68'!V23+'10.09.68'!V23+'11.09.68'!V23+'12.09.68'!V23+'13.09.68'!V23+'14.09.68'!V23+'15.09.68'!V23+'16.09.68'!V23+'17.09.68'!V23+'18.09.68'!V23+'19.09.68'!V23+'20.09.68'!V23+'21.09.68'!V23+'22.09.68'!V23+'23.09.68'!V23+'24.09.68'!V23+'25.09.68'!V23+'26.09.68'!V23+'27.09.68'!V23+'28.09.68'!V23+'29.09.68'!V23+'30.09.68'!V23</f>
        <v>0</v>
      </c>
      <c r="W23" s="52">
        <f>+'01.09.68'!W23+'02.09.68'!W23+'03.09.68'!W23+'04.09.68'!W23+'05.09.68'!W23+'06.09.68'!W23+'07.09.68'!W23+'08.09.68'!W23+'09.09.68'!W23+'10.09.68'!W23+'11.09.68'!W23+'12.09.68'!W23+'13.09.68'!W23+'14.09.68'!W23+'15.09.68'!W23+'16.09.68'!W23+'17.09.68'!W23+'18.09.68'!W23+'19.09.68'!W23+'20.09.68'!W23+'21.09.68'!W23+'22.09.68'!W23+'23.09.68'!W23+'24.09.68'!W23+'25.09.68'!W23+'26.09.68'!W23+'27.09.68'!W23+'28.09.68'!W23+'29.09.68'!W23+'30.09.68'!W23</f>
        <v>0</v>
      </c>
      <c r="X23" s="65">
        <f t="shared" si="6"/>
        <v>0</v>
      </c>
      <c r="Y23" s="52">
        <f>+'01.09.68'!Y23+'02.09.68'!Y23+'03.09.68'!Y23+'04.09.68'!Y23+'05.09.68'!Y23+'06.09.68'!Y23+'07.09.68'!Y23+'08.09.68'!Y23+'09.09.68'!Y23+'10.09.68'!Y23+'11.09.68'!Y23+'12.09.68'!Y23+'13.09.68'!Y23+'14.09.68'!Y23+'15.09.68'!Y23+'16.09.68'!Y23+'17.09.68'!Y23+'18.09.68'!Y23+'19.09.68'!Y23+'20.09.68'!Y23+'21.09.68'!Y23+'22.09.68'!Y23+'23.09.68'!Y23+'24.09.68'!Y23+'25.09.68'!Y23+'26.09.68'!Y23+'27.09.68'!Y23+'28.09.68'!Y23+'29.09.68'!Y23+'30.09.68'!Y23</f>
        <v>0</v>
      </c>
      <c r="Z23" s="66">
        <f t="shared" si="7"/>
        <v>0</v>
      </c>
    </row>
    <row r="24" spans="2:26">
      <c r="B24" s="50">
        <v>1111010</v>
      </c>
      <c r="C24" s="51" t="s">
        <v>155</v>
      </c>
      <c r="D24" s="52">
        <f>+'01.09.68'!D24+'02.09.68'!D24+'03.09.68'!D24+'04.09.68'!D24+'05.09.68'!D24+'06.09.68'!D24+'07.09.68'!D24+'08.09.68'!D24+'09.09.68'!D24+'10.09.68'!D24+'11.09.68'!D24+'12.09.68'!D24+'13.09.68'!D24+'14.09.68'!D24+'15.09.68'!D24+'16.09.68'!D24+'17.09.68'!D24+'18.09.68'!D24+'19.09.68'!D24+'20.09.68'!D24+'21.09.68'!D24+'22.09.68'!D24+'23.09.68'!D24+'24.09.68'!D24+'25.09.68'!D24+'26.09.68'!D24+'27.09.68'!D24+'28.09.68'!D24+'29.09.68'!D24+'30.09.68'!D24</f>
        <v>0</v>
      </c>
      <c r="E24" s="52">
        <f>+'01.09.68'!E24+'02.09.68'!E24+'03.09.68'!E24+'04.09.68'!E24+'05.09.68'!E24+'06.09.68'!E24+'07.09.68'!E24+'08.09.68'!E24+'09.09.68'!E24+'10.09.68'!E24+'11.09.68'!E24+'12.09.68'!E24+'13.09.68'!E24+'14.09.68'!E24+'15.09.68'!E24+'16.09.68'!E24+'17.09.68'!E24+'18.09.68'!E24+'19.09.68'!E24+'20.09.68'!E24+'21.09.68'!E24+'22.09.68'!E24+'23.09.68'!E24+'24.09.68'!E24+'25.09.68'!E24+'26.09.68'!E24+'27.09.68'!E24+'28.09.68'!E24+'29.09.68'!E24+'30.09.68'!E24</f>
        <v>0</v>
      </c>
      <c r="F24" s="65">
        <f t="shared" si="0"/>
        <v>0</v>
      </c>
      <c r="G24" s="52">
        <f>+'01.09.68'!G24+'02.09.68'!G24+'03.09.68'!G24+'04.09.68'!G24+'05.09.68'!G24+'06.09.68'!G24+'07.09.68'!G24+'08.09.68'!G24+'09.09.68'!G24+'10.09.68'!G24+'11.09.68'!G24+'12.09.68'!G24+'13.09.68'!G24+'14.09.68'!G24+'15.09.68'!G24+'16.09.68'!G24+'17.09.68'!G24+'18.09.68'!G24+'19.09.68'!G24+'20.09.68'!G24+'21.09.68'!G24+'22.09.68'!G24+'23.09.68'!G24+'24.09.68'!G24+'25.09.68'!G24+'26.09.68'!G24+'27.09.68'!G24+'28.09.68'!G24+'29.09.68'!G24+'30.09.68'!G24</f>
        <v>0</v>
      </c>
      <c r="H24" s="52">
        <f>+'01.09.68'!H24+'02.09.68'!H24+'03.09.68'!H24+'04.09.68'!H24+'05.09.68'!H24+'06.09.68'!H24+'07.09.68'!H24+'08.09.68'!H24+'09.09.68'!H24+'10.09.68'!H24+'11.09.68'!H24+'12.09.68'!H24+'13.09.68'!H24+'14.09.68'!H24+'15.09.68'!H24+'16.09.68'!H24+'17.09.68'!H24+'18.09.68'!H24+'19.09.68'!H24+'20.09.68'!H24+'21.09.68'!H24+'22.09.68'!H24+'23.09.68'!H24+'24.09.68'!H24+'25.09.68'!H24+'26.09.68'!H24+'27.09.68'!H24+'28.09.68'!H24+'29.09.68'!H24+'30.09.68'!H24</f>
        <v>0</v>
      </c>
      <c r="I24" s="65">
        <f t="shared" si="1"/>
        <v>0</v>
      </c>
      <c r="J24" s="52">
        <f>+'01.09.68'!J24+'02.09.68'!J24+'03.09.68'!J24+'04.09.68'!J24+'05.09.68'!J24+'06.09.68'!J24+'07.09.68'!J24+'08.09.68'!J24+'09.09.68'!J24+'10.09.68'!J24+'11.09.68'!J24+'12.09.68'!J24+'13.09.68'!J24+'14.09.68'!J24+'15.09.68'!J24+'16.09.68'!J24+'17.09.68'!J24+'18.09.68'!J24+'19.09.68'!J24+'20.09.68'!J24+'21.09.68'!J24+'22.09.68'!J24+'23.09.68'!J24+'24.09.68'!J24+'25.09.68'!J24+'26.09.68'!J24+'27.09.68'!J24+'28.09.68'!J24+'29.09.68'!J24+'30.09.68'!J24</f>
        <v>0</v>
      </c>
      <c r="K24" s="52">
        <f>+'01.09.68'!K24+'02.09.68'!K24+'03.09.68'!K24+'04.09.68'!K24+'05.09.68'!K24+'06.09.68'!K24+'07.09.68'!K24+'08.09.68'!K24+'09.09.68'!K24+'10.09.68'!K24+'11.09.68'!K24+'12.09.68'!K24+'13.09.68'!K24+'14.09.68'!K24+'15.09.68'!K24+'16.09.68'!K24+'17.09.68'!K24+'18.09.68'!K24+'19.09.68'!K24+'20.09.68'!K24+'21.09.68'!K24+'22.09.68'!K24+'23.09.68'!K24+'24.09.68'!K24+'25.09.68'!K24+'26.09.68'!K24+'27.09.68'!K24+'28.09.68'!K24+'29.09.68'!K24+'30.09.68'!K24</f>
        <v>0</v>
      </c>
      <c r="L24" s="65">
        <f t="shared" si="2"/>
        <v>0</v>
      </c>
      <c r="M24" s="52">
        <f>+'01.09.68'!M24+'02.09.68'!M24+'03.09.68'!M24+'04.09.68'!M24+'05.09.68'!M24+'06.09.68'!M24+'07.09.68'!M24+'08.09.68'!M24+'09.09.68'!M24+'10.09.68'!M24+'11.09.68'!M24+'12.09.68'!M24+'13.09.68'!M24+'14.09.68'!M24+'15.09.68'!M24+'16.09.68'!M24+'17.09.68'!M24+'18.09.68'!M24+'19.09.68'!M24+'20.09.68'!M24+'21.09.68'!M24+'22.09.68'!M24+'23.09.68'!M24+'24.09.68'!M24+'25.09.68'!M24+'26.09.68'!M24+'27.09.68'!M24+'28.09.68'!M24+'29.09.68'!M24+'30.09.68'!M24</f>
        <v>0</v>
      </c>
      <c r="N24" s="52">
        <f>+'01.09.68'!N24+'02.09.68'!N24+'03.09.68'!N24+'04.09.68'!N24+'05.09.68'!N24+'06.09.68'!N24+'07.09.68'!N24+'08.09.68'!N24+'09.09.68'!N24+'10.09.68'!N24+'11.09.68'!N24+'12.09.68'!N24+'13.09.68'!N24+'14.09.68'!N24+'15.09.68'!N24+'16.09.68'!N24+'17.09.68'!N24+'18.09.68'!N24+'19.09.68'!N24+'20.09.68'!N24+'21.09.68'!N24+'22.09.68'!N24+'23.09.68'!N24+'24.09.68'!N24+'25.09.68'!N24+'26.09.68'!N24+'27.09.68'!N24+'28.09.68'!N24+'29.09.68'!N24+'30.09.68'!N24</f>
        <v>0</v>
      </c>
      <c r="O24" s="65">
        <f t="shared" si="3"/>
        <v>0</v>
      </c>
      <c r="P24" s="52">
        <f>+'01.09.68'!P24+'02.09.68'!P24+'03.09.68'!P24+'04.09.68'!P24+'05.09.68'!P24+'06.09.68'!P24+'07.09.68'!P24+'08.09.68'!P24+'09.09.68'!P24+'10.09.68'!P24+'11.09.68'!P24+'12.09.68'!P24+'13.09.68'!P24+'14.09.68'!P24+'15.09.68'!P24+'16.09.68'!P24+'17.09.68'!P24+'18.09.68'!P24+'19.09.68'!P24+'20.09.68'!P24+'21.09.68'!P24+'22.09.68'!P24+'23.09.68'!P24+'24.09.68'!P24+'25.09.68'!P24+'26.09.68'!P24+'27.09.68'!P24+'28.09.68'!P24+'29.09.68'!P24+'30.09.68'!P24</f>
        <v>0</v>
      </c>
      <c r="Q24" s="52">
        <f>+'01.09.68'!Q24+'02.09.68'!Q24+'03.09.68'!Q24+'04.09.68'!Q24+'05.09.68'!Q24+'06.09.68'!Q24+'07.09.68'!Q24+'08.09.68'!Q24+'09.09.68'!Q24+'10.09.68'!Q24+'11.09.68'!Q24+'12.09.68'!Q24+'13.09.68'!Q24+'14.09.68'!Q24+'15.09.68'!Q24+'16.09.68'!Q24+'17.09.68'!Q24+'18.09.68'!Q24+'19.09.68'!Q24+'20.09.68'!Q24+'21.09.68'!Q24+'22.09.68'!Q24+'23.09.68'!Q24+'24.09.68'!Q24+'25.09.68'!Q24+'26.09.68'!Q24+'27.09.68'!Q24+'28.09.68'!Q24+'29.09.68'!Q24+'30.09.68'!Q24</f>
        <v>0</v>
      </c>
      <c r="R24" s="65">
        <f t="shared" si="4"/>
        <v>0</v>
      </c>
      <c r="S24" s="52">
        <f>+'01.09.68'!S24+'02.09.68'!S24+'03.09.68'!S24+'04.09.68'!S24+'05.09.68'!S24+'06.09.68'!S24+'07.09.68'!S24+'08.09.68'!S24+'09.09.68'!S24+'10.09.68'!S24+'11.09.68'!S24+'12.09.68'!S24+'13.09.68'!S24+'14.09.68'!S24+'15.09.68'!S24+'16.09.68'!S24+'17.09.68'!S24+'18.09.68'!S24+'19.09.68'!S24+'20.09.68'!S24+'21.09.68'!S24+'22.09.68'!S24+'23.09.68'!S24+'24.09.68'!S24+'25.09.68'!S24+'26.09.68'!S24+'27.09.68'!S24+'28.09.68'!S24+'29.09.68'!S24+'30.09.68'!S24</f>
        <v>0</v>
      </c>
      <c r="T24" s="52">
        <f>+'01.09.68'!T24+'02.09.68'!T24+'03.09.68'!T24+'04.09.68'!T24+'05.09.68'!T24+'06.09.68'!T24+'07.09.68'!T24+'08.09.68'!T24+'09.09.68'!T24+'10.09.68'!T24+'11.09.68'!T24+'12.09.68'!T24+'13.09.68'!T24+'14.09.68'!T24+'15.09.68'!T24+'16.09.68'!T24+'17.09.68'!T24+'18.09.68'!T24+'19.09.68'!T24+'20.09.68'!T24+'21.09.68'!T24+'22.09.68'!T24+'23.09.68'!T24+'24.09.68'!T24+'25.09.68'!T24+'26.09.68'!T24+'27.09.68'!T24+'28.09.68'!T24+'29.09.68'!T24+'30.09.68'!T24</f>
        <v>0</v>
      </c>
      <c r="U24" s="65">
        <f t="shared" si="5"/>
        <v>0</v>
      </c>
      <c r="V24" s="52">
        <f>+'01.09.68'!V24+'02.09.68'!V24+'03.09.68'!V24+'04.09.68'!V24+'05.09.68'!V24+'06.09.68'!V24+'07.09.68'!V24+'08.09.68'!V24+'09.09.68'!V24+'10.09.68'!V24+'11.09.68'!V24+'12.09.68'!V24+'13.09.68'!V24+'14.09.68'!V24+'15.09.68'!V24+'16.09.68'!V24+'17.09.68'!V24+'18.09.68'!V24+'19.09.68'!V24+'20.09.68'!V24+'21.09.68'!V24+'22.09.68'!V24+'23.09.68'!V24+'24.09.68'!V24+'25.09.68'!V24+'26.09.68'!V24+'27.09.68'!V24+'28.09.68'!V24+'29.09.68'!V24+'30.09.68'!V24</f>
        <v>0</v>
      </c>
      <c r="W24" s="52">
        <f>+'01.09.68'!W24+'02.09.68'!W24+'03.09.68'!W24+'04.09.68'!W24+'05.09.68'!W24+'06.09.68'!W24+'07.09.68'!W24+'08.09.68'!W24+'09.09.68'!W24+'10.09.68'!W24+'11.09.68'!W24+'12.09.68'!W24+'13.09.68'!W24+'14.09.68'!W24+'15.09.68'!W24+'16.09.68'!W24+'17.09.68'!W24+'18.09.68'!W24+'19.09.68'!W24+'20.09.68'!W24+'21.09.68'!W24+'22.09.68'!W24+'23.09.68'!W24+'24.09.68'!W24+'25.09.68'!W24+'26.09.68'!W24+'27.09.68'!W24+'28.09.68'!W24+'29.09.68'!W24+'30.09.68'!W24</f>
        <v>0</v>
      </c>
      <c r="X24" s="65">
        <f t="shared" si="6"/>
        <v>0</v>
      </c>
      <c r="Y24" s="52">
        <f>+'01.09.68'!Y24+'02.09.68'!Y24+'03.09.68'!Y24+'04.09.68'!Y24+'05.09.68'!Y24+'06.09.68'!Y24+'07.09.68'!Y24+'08.09.68'!Y24+'09.09.68'!Y24+'10.09.68'!Y24+'11.09.68'!Y24+'12.09.68'!Y24+'13.09.68'!Y24+'14.09.68'!Y24+'15.09.68'!Y24+'16.09.68'!Y24+'17.09.68'!Y24+'18.09.68'!Y24+'19.09.68'!Y24+'20.09.68'!Y24+'21.09.68'!Y24+'22.09.68'!Y24+'23.09.68'!Y24+'24.09.68'!Y24+'25.09.68'!Y24+'26.09.68'!Y24+'27.09.68'!Y24+'28.09.68'!Y24+'29.09.68'!Y24+'30.09.68'!Y24</f>
        <v>0</v>
      </c>
      <c r="Z24" s="66">
        <f t="shared" si="7"/>
        <v>0</v>
      </c>
    </row>
    <row r="25" spans="2:26">
      <c r="B25" s="50">
        <v>1111008</v>
      </c>
      <c r="C25" s="51" t="s">
        <v>156</v>
      </c>
      <c r="D25" s="52">
        <f>+'01.09.68'!D25+'02.09.68'!D25+'03.09.68'!D25+'04.09.68'!D25+'05.09.68'!D25+'06.09.68'!D25+'07.09.68'!D25+'08.09.68'!D25+'09.09.68'!D25+'10.09.68'!D25+'11.09.68'!D25+'12.09.68'!D25+'13.09.68'!D25+'14.09.68'!D25+'15.09.68'!D25+'16.09.68'!D25+'17.09.68'!D25+'18.09.68'!D25+'19.09.68'!D25+'20.09.68'!D25+'21.09.68'!D25+'22.09.68'!D25+'23.09.68'!D25+'24.09.68'!D25+'25.09.68'!D25+'26.09.68'!D25+'27.09.68'!D25+'28.09.68'!D25+'29.09.68'!D25+'30.09.68'!D25</f>
        <v>14</v>
      </c>
      <c r="E25" s="52">
        <f>+'01.09.68'!E25+'02.09.68'!E25+'03.09.68'!E25+'04.09.68'!E25+'05.09.68'!E25+'06.09.68'!E25+'07.09.68'!E25+'08.09.68'!E25+'09.09.68'!E25+'10.09.68'!E25+'11.09.68'!E25+'12.09.68'!E25+'13.09.68'!E25+'14.09.68'!E25+'15.09.68'!E25+'16.09.68'!E25+'17.09.68'!E25+'18.09.68'!E25+'19.09.68'!E25+'20.09.68'!E25+'21.09.68'!E25+'22.09.68'!E25+'23.09.68'!E25+'24.09.68'!E25+'25.09.68'!E25+'26.09.68'!E25+'27.09.68'!E25+'28.09.68'!E25+'29.09.68'!E25+'30.09.68'!E25</f>
        <v>0</v>
      </c>
      <c r="F25" s="65">
        <f t="shared" si="0"/>
        <v>14</v>
      </c>
      <c r="G25" s="52">
        <f>+'01.09.68'!G25+'02.09.68'!G25+'03.09.68'!G25+'04.09.68'!G25+'05.09.68'!G25+'06.09.68'!G25+'07.09.68'!G25+'08.09.68'!G25+'09.09.68'!G25+'10.09.68'!G25+'11.09.68'!G25+'12.09.68'!G25+'13.09.68'!G25+'14.09.68'!G25+'15.09.68'!G25+'16.09.68'!G25+'17.09.68'!G25+'18.09.68'!G25+'19.09.68'!G25+'20.09.68'!G25+'21.09.68'!G25+'22.09.68'!G25+'23.09.68'!G25+'24.09.68'!G25+'25.09.68'!G25+'26.09.68'!G25+'27.09.68'!G25+'28.09.68'!G25+'29.09.68'!G25+'30.09.68'!G25</f>
        <v>188</v>
      </c>
      <c r="H25" s="52">
        <f>+'01.09.68'!H25+'02.09.68'!H25+'03.09.68'!H25+'04.09.68'!H25+'05.09.68'!H25+'06.09.68'!H25+'07.09.68'!H25+'08.09.68'!H25+'09.09.68'!H25+'10.09.68'!H25+'11.09.68'!H25+'12.09.68'!H25+'13.09.68'!H25+'14.09.68'!H25+'15.09.68'!H25+'16.09.68'!H25+'17.09.68'!H25+'18.09.68'!H25+'19.09.68'!H25+'20.09.68'!H25+'21.09.68'!H25+'22.09.68'!H25+'23.09.68'!H25+'24.09.68'!H25+'25.09.68'!H25+'26.09.68'!H25+'27.09.68'!H25+'28.09.68'!H25+'29.09.68'!H25+'30.09.68'!H25</f>
        <v>0</v>
      </c>
      <c r="I25" s="65">
        <f t="shared" si="1"/>
        <v>188</v>
      </c>
      <c r="J25" s="52">
        <f>+'01.09.68'!J25+'02.09.68'!J25+'03.09.68'!J25+'04.09.68'!J25+'05.09.68'!J25+'06.09.68'!J25+'07.09.68'!J25+'08.09.68'!J25+'09.09.68'!J25+'10.09.68'!J25+'11.09.68'!J25+'12.09.68'!J25+'13.09.68'!J25+'14.09.68'!J25+'15.09.68'!J25+'16.09.68'!J25+'17.09.68'!J25+'18.09.68'!J25+'19.09.68'!J25+'20.09.68'!J25+'21.09.68'!J25+'22.09.68'!J25+'23.09.68'!J25+'24.09.68'!J25+'25.09.68'!J25+'26.09.68'!J25+'27.09.68'!J25+'28.09.68'!J25+'29.09.68'!J25+'30.09.68'!J25</f>
        <v>33</v>
      </c>
      <c r="K25" s="52">
        <f>+'01.09.68'!K25+'02.09.68'!K25+'03.09.68'!K25+'04.09.68'!K25+'05.09.68'!K25+'06.09.68'!K25+'07.09.68'!K25+'08.09.68'!K25+'09.09.68'!K25+'10.09.68'!K25+'11.09.68'!K25+'12.09.68'!K25+'13.09.68'!K25+'14.09.68'!K25+'15.09.68'!K25+'16.09.68'!K25+'17.09.68'!K25+'18.09.68'!K25+'19.09.68'!K25+'20.09.68'!K25+'21.09.68'!K25+'22.09.68'!K25+'23.09.68'!K25+'24.09.68'!K25+'25.09.68'!K25+'26.09.68'!K25+'27.09.68'!K25+'28.09.68'!K25+'29.09.68'!K25+'30.09.68'!K25</f>
        <v>0</v>
      </c>
      <c r="L25" s="65">
        <f t="shared" si="2"/>
        <v>33</v>
      </c>
      <c r="M25" s="52">
        <f>+'01.09.68'!M25+'02.09.68'!M25+'03.09.68'!M25+'04.09.68'!M25+'05.09.68'!M25+'06.09.68'!M25+'07.09.68'!M25+'08.09.68'!M25+'09.09.68'!M25+'10.09.68'!M25+'11.09.68'!M25+'12.09.68'!M25+'13.09.68'!M25+'14.09.68'!M25+'15.09.68'!M25+'16.09.68'!M25+'17.09.68'!M25+'18.09.68'!M25+'19.09.68'!M25+'20.09.68'!M25+'21.09.68'!M25+'22.09.68'!M25+'23.09.68'!M25+'24.09.68'!M25+'25.09.68'!M25+'26.09.68'!M25+'27.09.68'!M25+'28.09.68'!M25+'29.09.68'!M25+'30.09.68'!M25</f>
        <v>807</v>
      </c>
      <c r="N25" s="52">
        <f>+'01.09.68'!N25+'02.09.68'!N25+'03.09.68'!N25+'04.09.68'!N25+'05.09.68'!N25+'06.09.68'!N25+'07.09.68'!N25+'08.09.68'!N25+'09.09.68'!N25+'10.09.68'!N25+'11.09.68'!N25+'12.09.68'!N25+'13.09.68'!N25+'14.09.68'!N25+'15.09.68'!N25+'16.09.68'!N25+'17.09.68'!N25+'18.09.68'!N25+'19.09.68'!N25+'20.09.68'!N25+'21.09.68'!N25+'22.09.68'!N25+'23.09.68'!N25+'24.09.68'!N25+'25.09.68'!N25+'26.09.68'!N25+'27.09.68'!N25+'28.09.68'!N25+'29.09.68'!N25+'30.09.68'!N25</f>
        <v>0</v>
      </c>
      <c r="O25" s="65">
        <f t="shared" si="3"/>
        <v>807</v>
      </c>
      <c r="P25" s="52">
        <f>+'01.09.68'!P25+'02.09.68'!P25+'03.09.68'!P25+'04.09.68'!P25+'05.09.68'!P25+'06.09.68'!P25+'07.09.68'!P25+'08.09.68'!P25+'09.09.68'!P25+'10.09.68'!P25+'11.09.68'!P25+'12.09.68'!P25+'13.09.68'!P25+'14.09.68'!P25+'15.09.68'!P25+'16.09.68'!P25+'17.09.68'!P25+'18.09.68'!P25+'19.09.68'!P25+'20.09.68'!P25+'21.09.68'!P25+'22.09.68'!P25+'23.09.68'!P25+'24.09.68'!P25+'25.09.68'!P25+'26.09.68'!P25+'27.09.68'!P25+'28.09.68'!P25+'29.09.68'!P25+'30.09.68'!P25</f>
        <v>75</v>
      </c>
      <c r="Q25" s="52">
        <f>+'01.09.68'!Q25+'02.09.68'!Q25+'03.09.68'!Q25+'04.09.68'!Q25+'05.09.68'!Q25+'06.09.68'!Q25+'07.09.68'!Q25+'08.09.68'!Q25+'09.09.68'!Q25+'10.09.68'!Q25+'11.09.68'!Q25+'12.09.68'!Q25+'13.09.68'!Q25+'14.09.68'!Q25+'15.09.68'!Q25+'16.09.68'!Q25+'17.09.68'!Q25+'18.09.68'!Q25+'19.09.68'!Q25+'20.09.68'!Q25+'21.09.68'!Q25+'22.09.68'!Q25+'23.09.68'!Q25+'24.09.68'!Q25+'25.09.68'!Q25+'26.09.68'!Q25+'27.09.68'!Q25+'28.09.68'!Q25+'29.09.68'!Q25+'30.09.68'!Q25</f>
        <v>0</v>
      </c>
      <c r="R25" s="65">
        <f t="shared" si="4"/>
        <v>75</v>
      </c>
      <c r="S25" s="52">
        <f>+'01.09.68'!S25+'02.09.68'!S25+'03.09.68'!S25+'04.09.68'!S25+'05.09.68'!S25+'06.09.68'!S25+'07.09.68'!S25+'08.09.68'!S25+'09.09.68'!S25+'10.09.68'!S25+'11.09.68'!S25+'12.09.68'!S25+'13.09.68'!S25+'14.09.68'!S25+'15.09.68'!S25+'16.09.68'!S25+'17.09.68'!S25+'18.09.68'!S25+'19.09.68'!S25+'20.09.68'!S25+'21.09.68'!S25+'22.09.68'!S25+'23.09.68'!S25+'24.09.68'!S25+'25.09.68'!S25+'26.09.68'!S25+'27.09.68'!S25+'28.09.68'!S25+'29.09.68'!S25+'30.09.68'!S25</f>
        <v>0</v>
      </c>
      <c r="T25" s="52">
        <f>+'01.09.68'!T25+'02.09.68'!T25+'03.09.68'!T25+'04.09.68'!T25+'05.09.68'!T25+'06.09.68'!T25+'07.09.68'!T25+'08.09.68'!T25+'09.09.68'!T25+'10.09.68'!T25+'11.09.68'!T25+'12.09.68'!T25+'13.09.68'!T25+'14.09.68'!T25+'15.09.68'!T25+'16.09.68'!T25+'17.09.68'!T25+'18.09.68'!T25+'19.09.68'!T25+'20.09.68'!T25+'21.09.68'!T25+'22.09.68'!T25+'23.09.68'!T25+'24.09.68'!T25+'25.09.68'!T25+'26.09.68'!T25+'27.09.68'!T25+'28.09.68'!T25+'29.09.68'!T25+'30.09.68'!T25</f>
        <v>0</v>
      </c>
      <c r="U25" s="65">
        <f t="shared" si="5"/>
        <v>0</v>
      </c>
      <c r="V25" s="52">
        <f>+'01.09.68'!V25+'02.09.68'!V25+'03.09.68'!V25+'04.09.68'!V25+'05.09.68'!V25+'06.09.68'!V25+'07.09.68'!V25+'08.09.68'!V25+'09.09.68'!V25+'10.09.68'!V25+'11.09.68'!V25+'12.09.68'!V25+'13.09.68'!V25+'14.09.68'!V25+'15.09.68'!V25+'16.09.68'!V25+'17.09.68'!V25+'18.09.68'!V25+'19.09.68'!V25+'20.09.68'!V25+'21.09.68'!V25+'22.09.68'!V25+'23.09.68'!V25+'24.09.68'!V25+'25.09.68'!V25+'26.09.68'!V25+'27.09.68'!V25+'28.09.68'!V25+'29.09.68'!V25+'30.09.68'!V25</f>
        <v>0</v>
      </c>
      <c r="W25" s="52">
        <f>+'01.09.68'!W25+'02.09.68'!W25+'03.09.68'!W25+'04.09.68'!W25+'05.09.68'!W25+'06.09.68'!W25+'07.09.68'!W25+'08.09.68'!W25+'09.09.68'!W25+'10.09.68'!W25+'11.09.68'!W25+'12.09.68'!W25+'13.09.68'!W25+'14.09.68'!W25+'15.09.68'!W25+'16.09.68'!W25+'17.09.68'!W25+'18.09.68'!W25+'19.09.68'!W25+'20.09.68'!W25+'21.09.68'!W25+'22.09.68'!W25+'23.09.68'!W25+'24.09.68'!W25+'25.09.68'!W25+'26.09.68'!W25+'27.09.68'!W25+'28.09.68'!W25+'29.09.68'!W25+'30.09.68'!W25</f>
        <v>0</v>
      </c>
      <c r="X25" s="65">
        <f t="shared" si="6"/>
        <v>0</v>
      </c>
      <c r="Y25" s="52">
        <f>+'01.09.68'!Y25+'02.09.68'!Y25+'03.09.68'!Y25+'04.09.68'!Y25+'05.09.68'!Y25+'06.09.68'!Y25+'07.09.68'!Y25+'08.09.68'!Y25+'09.09.68'!Y25+'10.09.68'!Y25+'11.09.68'!Y25+'12.09.68'!Y25+'13.09.68'!Y25+'14.09.68'!Y25+'15.09.68'!Y25+'16.09.68'!Y25+'17.09.68'!Y25+'18.09.68'!Y25+'19.09.68'!Y25+'20.09.68'!Y25+'21.09.68'!Y25+'22.09.68'!Y25+'23.09.68'!Y25+'24.09.68'!Y25+'25.09.68'!Y25+'26.09.68'!Y25+'27.09.68'!Y25+'28.09.68'!Y25+'29.09.68'!Y25+'30.09.68'!Y25</f>
        <v>20</v>
      </c>
      <c r="Z25" s="66">
        <f t="shared" si="7"/>
        <v>1137</v>
      </c>
    </row>
    <row r="26" spans="2:26">
      <c r="B26" s="50">
        <v>1111009</v>
      </c>
      <c r="C26" s="51" t="s">
        <v>157</v>
      </c>
      <c r="D26" s="52">
        <f>+'01.09.68'!D26+'02.09.68'!D26+'03.09.68'!D26+'04.09.68'!D26+'05.09.68'!D26+'06.09.68'!D26+'07.09.68'!D26+'08.09.68'!D26+'09.09.68'!D26+'10.09.68'!D26+'11.09.68'!D26+'12.09.68'!D26+'13.09.68'!D26+'14.09.68'!D26+'15.09.68'!D26+'16.09.68'!D26+'17.09.68'!D26+'18.09.68'!D26+'19.09.68'!D26+'20.09.68'!D26+'21.09.68'!D26+'22.09.68'!D26+'23.09.68'!D26+'24.09.68'!D26+'25.09.68'!D26+'26.09.68'!D26+'27.09.68'!D26+'28.09.68'!D26+'29.09.68'!D26+'30.09.68'!D26</f>
        <v>28</v>
      </c>
      <c r="E26" s="52">
        <f>+'01.09.68'!E26+'02.09.68'!E26+'03.09.68'!E26+'04.09.68'!E26+'05.09.68'!E26+'06.09.68'!E26+'07.09.68'!E26+'08.09.68'!E26+'09.09.68'!E26+'10.09.68'!E26+'11.09.68'!E26+'12.09.68'!E26+'13.09.68'!E26+'14.09.68'!E26+'15.09.68'!E26+'16.09.68'!E26+'17.09.68'!E26+'18.09.68'!E26+'19.09.68'!E26+'20.09.68'!E26+'21.09.68'!E26+'22.09.68'!E26+'23.09.68'!E26+'24.09.68'!E26+'25.09.68'!E26+'26.09.68'!E26+'27.09.68'!E26+'28.09.68'!E26+'29.09.68'!E26+'30.09.68'!E26</f>
        <v>0</v>
      </c>
      <c r="F26" s="65">
        <f t="shared" si="0"/>
        <v>28</v>
      </c>
      <c r="G26" s="52">
        <f>+'01.09.68'!G26+'02.09.68'!G26+'03.09.68'!G26+'04.09.68'!G26+'05.09.68'!G26+'06.09.68'!G26+'07.09.68'!G26+'08.09.68'!G26+'09.09.68'!G26+'10.09.68'!G26+'11.09.68'!G26+'12.09.68'!G26+'13.09.68'!G26+'14.09.68'!G26+'15.09.68'!G26+'16.09.68'!G26+'17.09.68'!G26+'18.09.68'!G26+'19.09.68'!G26+'20.09.68'!G26+'21.09.68'!G26+'22.09.68'!G26+'23.09.68'!G26+'24.09.68'!G26+'25.09.68'!G26+'26.09.68'!G26+'27.09.68'!G26+'28.09.68'!G26+'29.09.68'!G26+'30.09.68'!G26</f>
        <v>167</v>
      </c>
      <c r="H26" s="52">
        <f>+'01.09.68'!H26+'02.09.68'!H26+'03.09.68'!H26+'04.09.68'!H26+'05.09.68'!H26+'06.09.68'!H26+'07.09.68'!H26+'08.09.68'!H26+'09.09.68'!H26+'10.09.68'!H26+'11.09.68'!H26+'12.09.68'!H26+'13.09.68'!H26+'14.09.68'!H26+'15.09.68'!H26+'16.09.68'!H26+'17.09.68'!H26+'18.09.68'!H26+'19.09.68'!H26+'20.09.68'!H26+'21.09.68'!H26+'22.09.68'!H26+'23.09.68'!H26+'24.09.68'!H26+'25.09.68'!H26+'26.09.68'!H26+'27.09.68'!H26+'28.09.68'!H26+'29.09.68'!H26+'30.09.68'!H26</f>
        <v>0</v>
      </c>
      <c r="I26" s="65">
        <f t="shared" si="1"/>
        <v>167</v>
      </c>
      <c r="J26" s="52">
        <f>+'01.09.68'!J26+'02.09.68'!J26+'03.09.68'!J26+'04.09.68'!J26+'05.09.68'!J26+'06.09.68'!J26+'07.09.68'!J26+'08.09.68'!J26+'09.09.68'!J26+'10.09.68'!J26+'11.09.68'!J26+'12.09.68'!J26+'13.09.68'!J26+'14.09.68'!J26+'15.09.68'!J26+'16.09.68'!J26+'17.09.68'!J26+'18.09.68'!J26+'19.09.68'!J26+'20.09.68'!J26+'21.09.68'!J26+'22.09.68'!J26+'23.09.68'!J26+'24.09.68'!J26+'25.09.68'!J26+'26.09.68'!J26+'27.09.68'!J26+'28.09.68'!J26+'29.09.68'!J26+'30.09.68'!J26</f>
        <v>76</v>
      </c>
      <c r="K26" s="52">
        <f>+'01.09.68'!K26+'02.09.68'!K26+'03.09.68'!K26+'04.09.68'!K26+'05.09.68'!K26+'06.09.68'!K26+'07.09.68'!K26+'08.09.68'!K26+'09.09.68'!K26+'10.09.68'!K26+'11.09.68'!K26+'12.09.68'!K26+'13.09.68'!K26+'14.09.68'!K26+'15.09.68'!K26+'16.09.68'!K26+'17.09.68'!K26+'18.09.68'!K26+'19.09.68'!K26+'20.09.68'!K26+'21.09.68'!K26+'22.09.68'!K26+'23.09.68'!K26+'24.09.68'!K26+'25.09.68'!K26+'26.09.68'!K26+'27.09.68'!K26+'28.09.68'!K26+'29.09.68'!K26+'30.09.68'!K26</f>
        <v>0</v>
      </c>
      <c r="L26" s="65">
        <f t="shared" si="2"/>
        <v>76</v>
      </c>
      <c r="M26" s="52">
        <f>+'01.09.68'!M26+'02.09.68'!M26+'03.09.68'!M26+'04.09.68'!M26+'05.09.68'!M26+'06.09.68'!M26+'07.09.68'!M26+'08.09.68'!M26+'09.09.68'!M26+'10.09.68'!M26+'11.09.68'!M26+'12.09.68'!M26+'13.09.68'!M26+'14.09.68'!M26+'15.09.68'!M26+'16.09.68'!M26+'17.09.68'!M26+'18.09.68'!M26+'19.09.68'!M26+'20.09.68'!M26+'21.09.68'!M26+'22.09.68'!M26+'23.09.68'!M26+'24.09.68'!M26+'25.09.68'!M26+'26.09.68'!M26+'27.09.68'!M26+'28.09.68'!M26+'29.09.68'!M26+'30.09.68'!M26</f>
        <v>47</v>
      </c>
      <c r="N26" s="52">
        <f>+'01.09.68'!N26+'02.09.68'!N26+'03.09.68'!N26+'04.09.68'!N26+'05.09.68'!N26+'06.09.68'!N26+'07.09.68'!N26+'08.09.68'!N26+'09.09.68'!N26+'10.09.68'!N26+'11.09.68'!N26+'12.09.68'!N26+'13.09.68'!N26+'14.09.68'!N26+'15.09.68'!N26+'16.09.68'!N26+'17.09.68'!N26+'18.09.68'!N26+'19.09.68'!N26+'20.09.68'!N26+'21.09.68'!N26+'22.09.68'!N26+'23.09.68'!N26+'24.09.68'!N26+'25.09.68'!N26+'26.09.68'!N26+'27.09.68'!N26+'28.09.68'!N26+'29.09.68'!N26+'30.09.68'!N26</f>
        <v>0</v>
      </c>
      <c r="O26" s="65">
        <f t="shared" si="3"/>
        <v>47</v>
      </c>
      <c r="P26" s="52">
        <f>+'01.09.68'!P26+'02.09.68'!P26+'03.09.68'!P26+'04.09.68'!P26+'05.09.68'!P26+'06.09.68'!P26+'07.09.68'!P26+'08.09.68'!P26+'09.09.68'!P26+'10.09.68'!P26+'11.09.68'!P26+'12.09.68'!P26+'13.09.68'!P26+'14.09.68'!P26+'15.09.68'!P26+'16.09.68'!P26+'17.09.68'!P26+'18.09.68'!P26+'19.09.68'!P26+'20.09.68'!P26+'21.09.68'!P26+'22.09.68'!P26+'23.09.68'!P26+'24.09.68'!P26+'25.09.68'!P26+'26.09.68'!P26+'27.09.68'!P26+'28.09.68'!P26+'29.09.68'!P26+'30.09.68'!P26</f>
        <v>7</v>
      </c>
      <c r="Q26" s="52">
        <f>+'01.09.68'!Q26+'02.09.68'!Q26+'03.09.68'!Q26+'04.09.68'!Q26+'05.09.68'!Q26+'06.09.68'!Q26+'07.09.68'!Q26+'08.09.68'!Q26+'09.09.68'!Q26+'10.09.68'!Q26+'11.09.68'!Q26+'12.09.68'!Q26+'13.09.68'!Q26+'14.09.68'!Q26+'15.09.68'!Q26+'16.09.68'!Q26+'17.09.68'!Q26+'18.09.68'!Q26+'19.09.68'!Q26+'20.09.68'!Q26+'21.09.68'!Q26+'22.09.68'!Q26+'23.09.68'!Q26+'24.09.68'!Q26+'25.09.68'!Q26+'26.09.68'!Q26+'27.09.68'!Q26+'28.09.68'!Q26+'29.09.68'!Q26+'30.09.68'!Q26</f>
        <v>0</v>
      </c>
      <c r="R26" s="65">
        <f t="shared" si="4"/>
        <v>7</v>
      </c>
      <c r="S26" s="52">
        <f>+'01.09.68'!S26+'02.09.68'!S26+'03.09.68'!S26+'04.09.68'!S26+'05.09.68'!S26+'06.09.68'!S26+'07.09.68'!S26+'08.09.68'!S26+'09.09.68'!S26+'10.09.68'!S26+'11.09.68'!S26+'12.09.68'!S26+'13.09.68'!S26+'14.09.68'!S26+'15.09.68'!S26+'16.09.68'!S26+'17.09.68'!S26+'18.09.68'!S26+'19.09.68'!S26+'20.09.68'!S26+'21.09.68'!S26+'22.09.68'!S26+'23.09.68'!S26+'24.09.68'!S26+'25.09.68'!S26+'26.09.68'!S26+'27.09.68'!S26+'28.09.68'!S26+'29.09.68'!S26+'30.09.68'!S26</f>
        <v>0</v>
      </c>
      <c r="T26" s="52">
        <f>+'01.09.68'!T26+'02.09.68'!T26+'03.09.68'!T26+'04.09.68'!T26+'05.09.68'!T26+'06.09.68'!T26+'07.09.68'!T26+'08.09.68'!T26+'09.09.68'!T26+'10.09.68'!T26+'11.09.68'!T26+'12.09.68'!T26+'13.09.68'!T26+'14.09.68'!T26+'15.09.68'!T26+'16.09.68'!T26+'17.09.68'!T26+'18.09.68'!T26+'19.09.68'!T26+'20.09.68'!T26+'21.09.68'!T26+'22.09.68'!T26+'23.09.68'!T26+'24.09.68'!T26+'25.09.68'!T26+'26.09.68'!T26+'27.09.68'!T26+'28.09.68'!T26+'29.09.68'!T26+'30.09.68'!T26</f>
        <v>0</v>
      </c>
      <c r="U26" s="65">
        <f t="shared" si="5"/>
        <v>0</v>
      </c>
      <c r="V26" s="52">
        <f>+'01.09.68'!V26+'02.09.68'!V26+'03.09.68'!V26+'04.09.68'!V26+'05.09.68'!V26+'06.09.68'!V26+'07.09.68'!V26+'08.09.68'!V26+'09.09.68'!V26+'10.09.68'!V26+'11.09.68'!V26+'12.09.68'!V26+'13.09.68'!V26+'14.09.68'!V26+'15.09.68'!V26+'16.09.68'!V26+'17.09.68'!V26+'18.09.68'!V26+'19.09.68'!V26+'20.09.68'!V26+'21.09.68'!V26+'22.09.68'!V26+'23.09.68'!V26+'24.09.68'!V26+'25.09.68'!V26+'26.09.68'!V26+'27.09.68'!V26+'28.09.68'!V26+'29.09.68'!V26+'30.09.68'!V26</f>
        <v>0</v>
      </c>
      <c r="W26" s="52">
        <f>+'01.09.68'!W26+'02.09.68'!W26+'03.09.68'!W26+'04.09.68'!W26+'05.09.68'!W26+'06.09.68'!W26+'07.09.68'!W26+'08.09.68'!W26+'09.09.68'!W26+'10.09.68'!W26+'11.09.68'!W26+'12.09.68'!W26+'13.09.68'!W26+'14.09.68'!W26+'15.09.68'!W26+'16.09.68'!W26+'17.09.68'!W26+'18.09.68'!W26+'19.09.68'!W26+'20.09.68'!W26+'21.09.68'!W26+'22.09.68'!W26+'23.09.68'!W26+'24.09.68'!W26+'25.09.68'!W26+'26.09.68'!W26+'27.09.68'!W26+'28.09.68'!W26+'29.09.68'!W26+'30.09.68'!W26</f>
        <v>0</v>
      </c>
      <c r="X26" s="65">
        <f t="shared" si="6"/>
        <v>0</v>
      </c>
      <c r="Y26" s="52">
        <f>+'01.09.68'!Y26+'02.09.68'!Y26+'03.09.68'!Y26+'04.09.68'!Y26+'05.09.68'!Y26+'06.09.68'!Y26+'07.09.68'!Y26+'08.09.68'!Y26+'09.09.68'!Y26+'10.09.68'!Y26+'11.09.68'!Y26+'12.09.68'!Y26+'13.09.68'!Y26+'14.09.68'!Y26+'15.09.68'!Y26+'16.09.68'!Y26+'17.09.68'!Y26+'18.09.68'!Y26+'19.09.68'!Y26+'20.09.68'!Y26+'21.09.68'!Y26+'22.09.68'!Y26+'23.09.68'!Y26+'24.09.68'!Y26+'25.09.68'!Y26+'26.09.68'!Y26+'27.09.68'!Y26+'28.09.68'!Y26+'29.09.68'!Y26+'30.09.68'!Y26</f>
        <v>24</v>
      </c>
      <c r="Z26" s="66">
        <f t="shared" si="7"/>
        <v>349</v>
      </c>
    </row>
    <row r="27" spans="2:26">
      <c r="B27" s="50">
        <v>1111011</v>
      </c>
      <c r="C27" s="51" t="s">
        <v>158</v>
      </c>
      <c r="D27" s="52">
        <f>+'01.09.68'!D27+'02.09.68'!D27+'03.09.68'!D27+'04.09.68'!D27+'05.09.68'!D27+'06.09.68'!D27+'07.09.68'!D27+'08.09.68'!D27+'09.09.68'!D27+'10.09.68'!D27+'11.09.68'!D27+'12.09.68'!D27+'13.09.68'!D27+'14.09.68'!D27+'15.09.68'!D27+'16.09.68'!D27+'17.09.68'!D27+'18.09.68'!D27+'19.09.68'!D27+'20.09.68'!D27+'21.09.68'!D27+'22.09.68'!D27+'23.09.68'!D27+'24.09.68'!D27+'25.09.68'!D27+'26.09.68'!D27+'27.09.68'!D27+'28.09.68'!D27+'29.09.68'!D27+'30.09.68'!D27</f>
        <v>0</v>
      </c>
      <c r="E27" s="52">
        <f>+'01.09.68'!E27+'02.09.68'!E27+'03.09.68'!E27+'04.09.68'!E27+'05.09.68'!E27+'06.09.68'!E27+'07.09.68'!E27+'08.09.68'!E27+'09.09.68'!E27+'10.09.68'!E27+'11.09.68'!E27+'12.09.68'!E27+'13.09.68'!E27+'14.09.68'!E27+'15.09.68'!E27+'16.09.68'!E27+'17.09.68'!E27+'18.09.68'!E27+'19.09.68'!E27+'20.09.68'!E27+'21.09.68'!E27+'22.09.68'!E27+'23.09.68'!E27+'24.09.68'!E27+'25.09.68'!E27+'26.09.68'!E27+'27.09.68'!E27+'28.09.68'!E27+'29.09.68'!E27+'30.09.68'!E27</f>
        <v>0</v>
      </c>
      <c r="F27" s="65">
        <f t="shared" si="0"/>
        <v>0</v>
      </c>
      <c r="G27" s="52">
        <f>+'01.09.68'!G27+'02.09.68'!G27+'03.09.68'!G27+'04.09.68'!G27+'05.09.68'!G27+'06.09.68'!G27+'07.09.68'!G27+'08.09.68'!G27+'09.09.68'!G27+'10.09.68'!G27+'11.09.68'!G27+'12.09.68'!G27+'13.09.68'!G27+'14.09.68'!G27+'15.09.68'!G27+'16.09.68'!G27+'17.09.68'!G27+'18.09.68'!G27+'19.09.68'!G27+'20.09.68'!G27+'21.09.68'!G27+'22.09.68'!G27+'23.09.68'!G27+'24.09.68'!G27+'25.09.68'!G27+'26.09.68'!G27+'27.09.68'!G27+'28.09.68'!G27+'29.09.68'!G27+'30.09.68'!G27</f>
        <v>0</v>
      </c>
      <c r="H27" s="52">
        <f>+'01.09.68'!H27+'02.09.68'!H27+'03.09.68'!H27+'04.09.68'!H27+'05.09.68'!H27+'06.09.68'!H27+'07.09.68'!H27+'08.09.68'!H27+'09.09.68'!H27+'10.09.68'!H27+'11.09.68'!H27+'12.09.68'!H27+'13.09.68'!H27+'14.09.68'!H27+'15.09.68'!H27+'16.09.68'!H27+'17.09.68'!H27+'18.09.68'!H27+'19.09.68'!H27+'20.09.68'!H27+'21.09.68'!H27+'22.09.68'!H27+'23.09.68'!H27+'24.09.68'!H27+'25.09.68'!H27+'26.09.68'!H27+'27.09.68'!H27+'28.09.68'!H27+'29.09.68'!H27+'30.09.68'!H27</f>
        <v>0</v>
      </c>
      <c r="I27" s="65">
        <f t="shared" si="1"/>
        <v>0</v>
      </c>
      <c r="J27" s="52">
        <f>+'01.09.68'!J27+'02.09.68'!J27+'03.09.68'!J27+'04.09.68'!J27+'05.09.68'!J27+'06.09.68'!J27+'07.09.68'!J27+'08.09.68'!J27+'09.09.68'!J27+'10.09.68'!J27+'11.09.68'!J27+'12.09.68'!J27+'13.09.68'!J27+'14.09.68'!J27+'15.09.68'!J27+'16.09.68'!J27+'17.09.68'!J27+'18.09.68'!J27+'19.09.68'!J27+'20.09.68'!J27+'21.09.68'!J27+'22.09.68'!J27+'23.09.68'!J27+'24.09.68'!J27+'25.09.68'!J27+'26.09.68'!J27+'27.09.68'!J27+'28.09.68'!J27+'29.09.68'!J27+'30.09.68'!J27</f>
        <v>0</v>
      </c>
      <c r="K27" s="52">
        <f>+'01.09.68'!K27+'02.09.68'!K27+'03.09.68'!K27+'04.09.68'!K27+'05.09.68'!K27+'06.09.68'!K27+'07.09.68'!K27+'08.09.68'!K27+'09.09.68'!K27+'10.09.68'!K27+'11.09.68'!K27+'12.09.68'!K27+'13.09.68'!K27+'14.09.68'!K27+'15.09.68'!K27+'16.09.68'!K27+'17.09.68'!K27+'18.09.68'!K27+'19.09.68'!K27+'20.09.68'!K27+'21.09.68'!K27+'22.09.68'!K27+'23.09.68'!K27+'24.09.68'!K27+'25.09.68'!K27+'26.09.68'!K27+'27.09.68'!K27+'28.09.68'!K27+'29.09.68'!K27+'30.09.68'!K27</f>
        <v>0</v>
      </c>
      <c r="L27" s="65">
        <f t="shared" si="2"/>
        <v>0</v>
      </c>
      <c r="M27" s="52">
        <f>+'01.09.68'!M27+'02.09.68'!M27+'03.09.68'!M27+'04.09.68'!M27+'05.09.68'!M27+'06.09.68'!M27+'07.09.68'!M27+'08.09.68'!M27+'09.09.68'!M27+'10.09.68'!M27+'11.09.68'!M27+'12.09.68'!M27+'13.09.68'!M27+'14.09.68'!M27+'15.09.68'!M27+'16.09.68'!M27+'17.09.68'!M27+'18.09.68'!M27+'19.09.68'!M27+'20.09.68'!M27+'21.09.68'!M27+'22.09.68'!M27+'23.09.68'!M27+'24.09.68'!M27+'25.09.68'!M27+'26.09.68'!M27+'27.09.68'!M27+'28.09.68'!M27+'29.09.68'!M27+'30.09.68'!M27</f>
        <v>0</v>
      </c>
      <c r="N27" s="52">
        <f>+'01.09.68'!N27+'02.09.68'!N27+'03.09.68'!N27+'04.09.68'!N27+'05.09.68'!N27+'06.09.68'!N27+'07.09.68'!N27+'08.09.68'!N27+'09.09.68'!N27+'10.09.68'!N27+'11.09.68'!N27+'12.09.68'!N27+'13.09.68'!N27+'14.09.68'!N27+'15.09.68'!N27+'16.09.68'!N27+'17.09.68'!N27+'18.09.68'!N27+'19.09.68'!N27+'20.09.68'!N27+'21.09.68'!N27+'22.09.68'!N27+'23.09.68'!N27+'24.09.68'!N27+'25.09.68'!N27+'26.09.68'!N27+'27.09.68'!N27+'28.09.68'!N27+'29.09.68'!N27+'30.09.68'!N27</f>
        <v>0</v>
      </c>
      <c r="O27" s="65">
        <f t="shared" si="3"/>
        <v>0</v>
      </c>
      <c r="P27" s="52">
        <f>+'01.09.68'!P27+'02.09.68'!P27+'03.09.68'!P27+'04.09.68'!P27+'05.09.68'!P27+'06.09.68'!P27+'07.09.68'!P27+'08.09.68'!P27+'09.09.68'!P27+'10.09.68'!P27+'11.09.68'!P27+'12.09.68'!P27+'13.09.68'!P27+'14.09.68'!P27+'15.09.68'!P27+'16.09.68'!P27+'17.09.68'!P27+'18.09.68'!P27+'19.09.68'!P27+'20.09.68'!P27+'21.09.68'!P27+'22.09.68'!P27+'23.09.68'!P27+'24.09.68'!P27+'25.09.68'!P27+'26.09.68'!P27+'27.09.68'!P27+'28.09.68'!P27+'29.09.68'!P27+'30.09.68'!P27</f>
        <v>0</v>
      </c>
      <c r="Q27" s="52">
        <f>+'01.09.68'!Q27+'02.09.68'!Q27+'03.09.68'!Q27+'04.09.68'!Q27+'05.09.68'!Q27+'06.09.68'!Q27+'07.09.68'!Q27+'08.09.68'!Q27+'09.09.68'!Q27+'10.09.68'!Q27+'11.09.68'!Q27+'12.09.68'!Q27+'13.09.68'!Q27+'14.09.68'!Q27+'15.09.68'!Q27+'16.09.68'!Q27+'17.09.68'!Q27+'18.09.68'!Q27+'19.09.68'!Q27+'20.09.68'!Q27+'21.09.68'!Q27+'22.09.68'!Q27+'23.09.68'!Q27+'24.09.68'!Q27+'25.09.68'!Q27+'26.09.68'!Q27+'27.09.68'!Q27+'28.09.68'!Q27+'29.09.68'!Q27+'30.09.68'!Q27</f>
        <v>0</v>
      </c>
      <c r="R27" s="65">
        <f t="shared" si="4"/>
        <v>0</v>
      </c>
      <c r="S27" s="52">
        <f>+'01.09.68'!S27+'02.09.68'!S27+'03.09.68'!S27+'04.09.68'!S27+'05.09.68'!S27+'06.09.68'!S27+'07.09.68'!S27+'08.09.68'!S27+'09.09.68'!S27+'10.09.68'!S27+'11.09.68'!S27+'12.09.68'!S27+'13.09.68'!S27+'14.09.68'!S27+'15.09.68'!S27+'16.09.68'!S27+'17.09.68'!S27+'18.09.68'!S27+'19.09.68'!S27+'20.09.68'!S27+'21.09.68'!S27+'22.09.68'!S27+'23.09.68'!S27+'24.09.68'!S27+'25.09.68'!S27+'26.09.68'!S27+'27.09.68'!S27+'28.09.68'!S27+'29.09.68'!S27+'30.09.68'!S27</f>
        <v>0</v>
      </c>
      <c r="T27" s="52">
        <f>+'01.09.68'!T27+'02.09.68'!T27+'03.09.68'!T27+'04.09.68'!T27+'05.09.68'!T27+'06.09.68'!T27+'07.09.68'!T27+'08.09.68'!T27+'09.09.68'!T27+'10.09.68'!T27+'11.09.68'!T27+'12.09.68'!T27+'13.09.68'!T27+'14.09.68'!T27+'15.09.68'!T27+'16.09.68'!T27+'17.09.68'!T27+'18.09.68'!T27+'19.09.68'!T27+'20.09.68'!T27+'21.09.68'!T27+'22.09.68'!T27+'23.09.68'!T27+'24.09.68'!T27+'25.09.68'!T27+'26.09.68'!T27+'27.09.68'!T27+'28.09.68'!T27+'29.09.68'!T27+'30.09.68'!T27</f>
        <v>0</v>
      </c>
      <c r="U27" s="65">
        <f t="shared" si="5"/>
        <v>0</v>
      </c>
      <c r="V27" s="52">
        <f>+'01.09.68'!V27+'02.09.68'!V27+'03.09.68'!V27+'04.09.68'!V27+'05.09.68'!V27+'06.09.68'!V27+'07.09.68'!V27+'08.09.68'!V27+'09.09.68'!V27+'10.09.68'!V27+'11.09.68'!V27+'12.09.68'!V27+'13.09.68'!V27+'14.09.68'!V27+'15.09.68'!V27+'16.09.68'!V27+'17.09.68'!V27+'18.09.68'!V27+'19.09.68'!V27+'20.09.68'!V27+'21.09.68'!V27+'22.09.68'!V27+'23.09.68'!V27+'24.09.68'!V27+'25.09.68'!V27+'26.09.68'!V27+'27.09.68'!V27+'28.09.68'!V27+'29.09.68'!V27+'30.09.68'!V27</f>
        <v>0</v>
      </c>
      <c r="W27" s="52">
        <f>+'01.09.68'!W27+'02.09.68'!W27+'03.09.68'!W27+'04.09.68'!W27+'05.09.68'!W27+'06.09.68'!W27+'07.09.68'!W27+'08.09.68'!W27+'09.09.68'!W27+'10.09.68'!W27+'11.09.68'!W27+'12.09.68'!W27+'13.09.68'!W27+'14.09.68'!W27+'15.09.68'!W27+'16.09.68'!W27+'17.09.68'!W27+'18.09.68'!W27+'19.09.68'!W27+'20.09.68'!W27+'21.09.68'!W27+'22.09.68'!W27+'23.09.68'!W27+'24.09.68'!W27+'25.09.68'!W27+'26.09.68'!W27+'27.09.68'!W27+'28.09.68'!W27+'29.09.68'!W27+'30.09.68'!W27</f>
        <v>0</v>
      </c>
      <c r="X27" s="65">
        <f t="shared" si="6"/>
        <v>0</v>
      </c>
      <c r="Y27" s="52">
        <f>+'01.09.68'!Y27+'02.09.68'!Y27+'03.09.68'!Y27+'04.09.68'!Y27+'05.09.68'!Y27+'06.09.68'!Y27+'07.09.68'!Y27+'08.09.68'!Y27+'09.09.68'!Y27+'10.09.68'!Y27+'11.09.68'!Y27+'12.09.68'!Y27+'13.09.68'!Y27+'14.09.68'!Y27+'15.09.68'!Y27+'16.09.68'!Y27+'17.09.68'!Y27+'18.09.68'!Y27+'19.09.68'!Y27+'20.09.68'!Y27+'21.09.68'!Y27+'22.09.68'!Y27+'23.09.68'!Y27+'24.09.68'!Y27+'25.09.68'!Y27+'26.09.68'!Y27+'27.09.68'!Y27+'28.09.68'!Y27+'29.09.68'!Y27+'30.09.68'!Y27</f>
        <v>0</v>
      </c>
      <c r="Z27" s="66">
        <f t="shared" si="7"/>
        <v>0</v>
      </c>
    </row>
    <row r="28" spans="2:26">
      <c r="B28" s="50">
        <v>1111012</v>
      </c>
      <c r="C28" s="51" t="s">
        <v>159</v>
      </c>
      <c r="D28" s="52">
        <f>+'01.09.68'!D28+'02.09.68'!D28+'03.09.68'!D28+'04.09.68'!D28+'05.09.68'!D28+'06.09.68'!D28+'07.09.68'!D28+'08.09.68'!D28+'09.09.68'!D28+'10.09.68'!D28+'11.09.68'!D28+'12.09.68'!D28+'13.09.68'!D28+'14.09.68'!D28+'15.09.68'!D28+'16.09.68'!D28+'17.09.68'!D28+'18.09.68'!D28+'19.09.68'!D28+'20.09.68'!D28+'21.09.68'!D28+'22.09.68'!D28+'23.09.68'!D28+'24.09.68'!D28+'25.09.68'!D28+'26.09.68'!D28+'27.09.68'!D28+'28.09.68'!D28+'29.09.68'!D28+'30.09.68'!D28</f>
        <v>0</v>
      </c>
      <c r="E28" s="52">
        <f>+'01.09.68'!E28+'02.09.68'!E28+'03.09.68'!E28+'04.09.68'!E28+'05.09.68'!E28+'06.09.68'!E28+'07.09.68'!E28+'08.09.68'!E28+'09.09.68'!E28+'10.09.68'!E28+'11.09.68'!E28+'12.09.68'!E28+'13.09.68'!E28+'14.09.68'!E28+'15.09.68'!E28+'16.09.68'!E28+'17.09.68'!E28+'18.09.68'!E28+'19.09.68'!E28+'20.09.68'!E28+'21.09.68'!E28+'22.09.68'!E28+'23.09.68'!E28+'24.09.68'!E28+'25.09.68'!E28+'26.09.68'!E28+'27.09.68'!E28+'28.09.68'!E28+'29.09.68'!E28+'30.09.68'!E28</f>
        <v>0</v>
      </c>
      <c r="F28" s="65">
        <f t="shared" si="0"/>
        <v>0</v>
      </c>
      <c r="G28" s="52">
        <f>+'01.09.68'!G28+'02.09.68'!G28+'03.09.68'!G28+'04.09.68'!G28+'05.09.68'!G28+'06.09.68'!G28+'07.09.68'!G28+'08.09.68'!G28+'09.09.68'!G28+'10.09.68'!G28+'11.09.68'!G28+'12.09.68'!G28+'13.09.68'!G28+'14.09.68'!G28+'15.09.68'!G28+'16.09.68'!G28+'17.09.68'!G28+'18.09.68'!G28+'19.09.68'!G28+'20.09.68'!G28+'21.09.68'!G28+'22.09.68'!G28+'23.09.68'!G28+'24.09.68'!G28+'25.09.68'!G28+'26.09.68'!G28+'27.09.68'!G28+'28.09.68'!G28+'29.09.68'!G28+'30.09.68'!G28</f>
        <v>0</v>
      </c>
      <c r="H28" s="52">
        <f>+'01.09.68'!H28+'02.09.68'!H28+'03.09.68'!H28+'04.09.68'!H28+'05.09.68'!H28+'06.09.68'!H28+'07.09.68'!H28+'08.09.68'!H28+'09.09.68'!H28+'10.09.68'!H28+'11.09.68'!H28+'12.09.68'!H28+'13.09.68'!H28+'14.09.68'!H28+'15.09.68'!H28+'16.09.68'!H28+'17.09.68'!H28+'18.09.68'!H28+'19.09.68'!H28+'20.09.68'!H28+'21.09.68'!H28+'22.09.68'!H28+'23.09.68'!H28+'24.09.68'!H28+'25.09.68'!H28+'26.09.68'!H28+'27.09.68'!H28+'28.09.68'!H28+'29.09.68'!H28+'30.09.68'!H28</f>
        <v>0</v>
      </c>
      <c r="I28" s="65">
        <f t="shared" si="1"/>
        <v>0</v>
      </c>
      <c r="J28" s="52">
        <f>+'01.09.68'!J28+'02.09.68'!J28+'03.09.68'!J28+'04.09.68'!J28+'05.09.68'!J28+'06.09.68'!J28+'07.09.68'!J28+'08.09.68'!J28+'09.09.68'!J28+'10.09.68'!J28+'11.09.68'!J28+'12.09.68'!J28+'13.09.68'!J28+'14.09.68'!J28+'15.09.68'!J28+'16.09.68'!J28+'17.09.68'!J28+'18.09.68'!J28+'19.09.68'!J28+'20.09.68'!J28+'21.09.68'!J28+'22.09.68'!J28+'23.09.68'!J28+'24.09.68'!J28+'25.09.68'!J28+'26.09.68'!J28+'27.09.68'!J28+'28.09.68'!J28+'29.09.68'!J28+'30.09.68'!J28</f>
        <v>0</v>
      </c>
      <c r="K28" s="52">
        <f>+'01.09.68'!K28+'02.09.68'!K28+'03.09.68'!K28+'04.09.68'!K28+'05.09.68'!K28+'06.09.68'!K28+'07.09.68'!K28+'08.09.68'!K28+'09.09.68'!K28+'10.09.68'!K28+'11.09.68'!K28+'12.09.68'!K28+'13.09.68'!K28+'14.09.68'!K28+'15.09.68'!K28+'16.09.68'!K28+'17.09.68'!K28+'18.09.68'!K28+'19.09.68'!K28+'20.09.68'!K28+'21.09.68'!K28+'22.09.68'!K28+'23.09.68'!K28+'24.09.68'!K28+'25.09.68'!K28+'26.09.68'!K28+'27.09.68'!K28+'28.09.68'!K28+'29.09.68'!K28+'30.09.68'!K28</f>
        <v>0</v>
      </c>
      <c r="L28" s="65">
        <f t="shared" si="2"/>
        <v>0</v>
      </c>
      <c r="M28" s="52">
        <f>+'01.09.68'!M28+'02.09.68'!M28+'03.09.68'!M28+'04.09.68'!M28+'05.09.68'!M28+'06.09.68'!M28+'07.09.68'!M28+'08.09.68'!M28+'09.09.68'!M28+'10.09.68'!M28+'11.09.68'!M28+'12.09.68'!M28+'13.09.68'!M28+'14.09.68'!M28+'15.09.68'!M28+'16.09.68'!M28+'17.09.68'!M28+'18.09.68'!M28+'19.09.68'!M28+'20.09.68'!M28+'21.09.68'!M28+'22.09.68'!M28+'23.09.68'!M28+'24.09.68'!M28+'25.09.68'!M28+'26.09.68'!M28+'27.09.68'!M28+'28.09.68'!M28+'29.09.68'!M28+'30.09.68'!M28</f>
        <v>0</v>
      </c>
      <c r="N28" s="52">
        <f>+'01.09.68'!N28+'02.09.68'!N28+'03.09.68'!N28+'04.09.68'!N28+'05.09.68'!N28+'06.09.68'!N28+'07.09.68'!N28+'08.09.68'!N28+'09.09.68'!N28+'10.09.68'!N28+'11.09.68'!N28+'12.09.68'!N28+'13.09.68'!N28+'14.09.68'!N28+'15.09.68'!N28+'16.09.68'!N28+'17.09.68'!N28+'18.09.68'!N28+'19.09.68'!N28+'20.09.68'!N28+'21.09.68'!N28+'22.09.68'!N28+'23.09.68'!N28+'24.09.68'!N28+'25.09.68'!N28+'26.09.68'!N28+'27.09.68'!N28+'28.09.68'!N28+'29.09.68'!N28+'30.09.68'!N28</f>
        <v>0</v>
      </c>
      <c r="O28" s="65">
        <f t="shared" si="3"/>
        <v>0</v>
      </c>
      <c r="P28" s="52">
        <f>+'01.09.68'!P28+'02.09.68'!P28+'03.09.68'!P28+'04.09.68'!P28+'05.09.68'!P28+'06.09.68'!P28+'07.09.68'!P28+'08.09.68'!P28+'09.09.68'!P28+'10.09.68'!P28+'11.09.68'!P28+'12.09.68'!P28+'13.09.68'!P28+'14.09.68'!P28+'15.09.68'!P28+'16.09.68'!P28+'17.09.68'!P28+'18.09.68'!P28+'19.09.68'!P28+'20.09.68'!P28+'21.09.68'!P28+'22.09.68'!P28+'23.09.68'!P28+'24.09.68'!P28+'25.09.68'!P28+'26.09.68'!P28+'27.09.68'!P28+'28.09.68'!P28+'29.09.68'!P28+'30.09.68'!P28</f>
        <v>0</v>
      </c>
      <c r="Q28" s="52">
        <f>+'01.09.68'!Q28+'02.09.68'!Q28+'03.09.68'!Q28+'04.09.68'!Q28+'05.09.68'!Q28+'06.09.68'!Q28+'07.09.68'!Q28+'08.09.68'!Q28+'09.09.68'!Q28+'10.09.68'!Q28+'11.09.68'!Q28+'12.09.68'!Q28+'13.09.68'!Q28+'14.09.68'!Q28+'15.09.68'!Q28+'16.09.68'!Q28+'17.09.68'!Q28+'18.09.68'!Q28+'19.09.68'!Q28+'20.09.68'!Q28+'21.09.68'!Q28+'22.09.68'!Q28+'23.09.68'!Q28+'24.09.68'!Q28+'25.09.68'!Q28+'26.09.68'!Q28+'27.09.68'!Q28+'28.09.68'!Q28+'29.09.68'!Q28+'30.09.68'!Q28</f>
        <v>0</v>
      </c>
      <c r="R28" s="65">
        <f t="shared" si="4"/>
        <v>0</v>
      </c>
      <c r="S28" s="52">
        <f>+'01.09.68'!S28+'02.09.68'!S28+'03.09.68'!S28+'04.09.68'!S28+'05.09.68'!S28+'06.09.68'!S28+'07.09.68'!S28+'08.09.68'!S28+'09.09.68'!S28+'10.09.68'!S28+'11.09.68'!S28+'12.09.68'!S28+'13.09.68'!S28+'14.09.68'!S28+'15.09.68'!S28+'16.09.68'!S28+'17.09.68'!S28+'18.09.68'!S28+'19.09.68'!S28+'20.09.68'!S28+'21.09.68'!S28+'22.09.68'!S28+'23.09.68'!S28+'24.09.68'!S28+'25.09.68'!S28+'26.09.68'!S28+'27.09.68'!S28+'28.09.68'!S28+'29.09.68'!S28+'30.09.68'!S28</f>
        <v>0</v>
      </c>
      <c r="T28" s="52">
        <f>+'01.09.68'!T28+'02.09.68'!T28+'03.09.68'!T28+'04.09.68'!T28+'05.09.68'!T28+'06.09.68'!T28+'07.09.68'!T28+'08.09.68'!T28+'09.09.68'!T28+'10.09.68'!T28+'11.09.68'!T28+'12.09.68'!T28+'13.09.68'!T28+'14.09.68'!T28+'15.09.68'!T28+'16.09.68'!T28+'17.09.68'!T28+'18.09.68'!T28+'19.09.68'!T28+'20.09.68'!T28+'21.09.68'!T28+'22.09.68'!T28+'23.09.68'!T28+'24.09.68'!T28+'25.09.68'!T28+'26.09.68'!T28+'27.09.68'!T28+'28.09.68'!T28+'29.09.68'!T28+'30.09.68'!T28</f>
        <v>0</v>
      </c>
      <c r="U28" s="65">
        <f t="shared" si="5"/>
        <v>0</v>
      </c>
      <c r="V28" s="52">
        <f>+'01.09.68'!V28+'02.09.68'!V28+'03.09.68'!V28+'04.09.68'!V28+'05.09.68'!V28+'06.09.68'!V28+'07.09.68'!V28+'08.09.68'!V28+'09.09.68'!V28+'10.09.68'!V28+'11.09.68'!V28+'12.09.68'!V28+'13.09.68'!V28+'14.09.68'!V28+'15.09.68'!V28+'16.09.68'!V28+'17.09.68'!V28+'18.09.68'!V28+'19.09.68'!V28+'20.09.68'!V28+'21.09.68'!V28+'22.09.68'!V28+'23.09.68'!V28+'24.09.68'!V28+'25.09.68'!V28+'26.09.68'!V28+'27.09.68'!V28+'28.09.68'!V28+'29.09.68'!V28+'30.09.68'!V28</f>
        <v>0</v>
      </c>
      <c r="W28" s="52">
        <f>+'01.09.68'!W28+'02.09.68'!W28+'03.09.68'!W28+'04.09.68'!W28+'05.09.68'!W28+'06.09.68'!W28+'07.09.68'!W28+'08.09.68'!W28+'09.09.68'!W28+'10.09.68'!W28+'11.09.68'!W28+'12.09.68'!W28+'13.09.68'!W28+'14.09.68'!W28+'15.09.68'!W28+'16.09.68'!W28+'17.09.68'!W28+'18.09.68'!W28+'19.09.68'!W28+'20.09.68'!W28+'21.09.68'!W28+'22.09.68'!W28+'23.09.68'!W28+'24.09.68'!W28+'25.09.68'!W28+'26.09.68'!W28+'27.09.68'!W28+'28.09.68'!W28+'29.09.68'!W28+'30.09.68'!W28</f>
        <v>0</v>
      </c>
      <c r="X28" s="65">
        <f t="shared" si="6"/>
        <v>0</v>
      </c>
      <c r="Y28" s="52">
        <f>+'01.09.68'!Y28+'02.09.68'!Y28+'03.09.68'!Y28+'04.09.68'!Y28+'05.09.68'!Y28+'06.09.68'!Y28+'07.09.68'!Y28+'08.09.68'!Y28+'09.09.68'!Y28+'10.09.68'!Y28+'11.09.68'!Y28+'12.09.68'!Y28+'13.09.68'!Y28+'14.09.68'!Y28+'15.09.68'!Y28+'16.09.68'!Y28+'17.09.68'!Y28+'18.09.68'!Y28+'19.09.68'!Y28+'20.09.68'!Y28+'21.09.68'!Y28+'22.09.68'!Y28+'23.09.68'!Y28+'24.09.68'!Y28+'25.09.68'!Y28+'26.09.68'!Y28+'27.09.68'!Y28+'28.09.68'!Y28+'29.09.68'!Y28+'30.09.68'!Y28</f>
        <v>0</v>
      </c>
      <c r="Z28" s="66">
        <f t="shared" si="7"/>
        <v>0</v>
      </c>
    </row>
    <row r="29" spans="2:26">
      <c r="B29" s="50">
        <v>1111013</v>
      </c>
      <c r="C29" s="51" t="s">
        <v>160</v>
      </c>
      <c r="D29" s="52">
        <f>+'01.09.68'!D29+'02.09.68'!D29+'03.09.68'!D29+'04.09.68'!D29+'05.09.68'!D29+'06.09.68'!D29+'07.09.68'!D29+'08.09.68'!D29+'09.09.68'!D29+'10.09.68'!D29+'11.09.68'!D29+'12.09.68'!D29+'13.09.68'!D29+'14.09.68'!D29+'15.09.68'!D29+'16.09.68'!D29+'17.09.68'!D29+'18.09.68'!D29+'19.09.68'!D29+'20.09.68'!D29+'21.09.68'!D29+'22.09.68'!D29+'23.09.68'!D29+'24.09.68'!D29+'25.09.68'!D29+'26.09.68'!D29+'27.09.68'!D29+'28.09.68'!D29+'29.09.68'!D29+'30.09.68'!D29</f>
        <v>0</v>
      </c>
      <c r="E29" s="52">
        <f>+'01.09.68'!E29+'02.09.68'!E29+'03.09.68'!E29+'04.09.68'!E29+'05.09.68'!E29+'06.09.68'!E29+'07.09.68'!E29+'08.09.68'!E29+'09.09.68'!E29+'10.09.68'!E29+'11.09.68'!E29+'12.09.68'!E29+'13.09.68'!E29+'14.09.68'!E29+'15.09.68'!E29+'16.09.68'!E29+'17.09.68'!E29+'18.09.68'!E29+'19.09.68'!E29+'20.09.68'!E29+'21.09.68'!E29+'22.09.68'!E29+'23.09.68'!E29+'24.09.68'!E29+'25.09.68'!E29+'26.09.68'!E29+'27.09.68'!E29+'28.09.68'!E29+'29.09.68'!E29+'30.09.68'!E29</f>
        <v>0</v>
      </c>
      <c r="F29" s="65">
        <f t="shared" si="0"/>
        <v>0</v>
      </c>
      <c r="G29" s="52">
        <f>+'01.09.68'!G29+'02.09.68'!G29+'03.09.68'!G29+'04.09.68'!G29+'05.09.68'!G29+'06.09.68'!G29+'07.09.68'!G29+'08.09.68'!G29+'09.09.68'!G29+'10.09.68'!G29+'11.09.68'!G29+'12.09.68'!G29+'13.09.68'!G29+'14.09.68'!G29+'15.09.68'!G29+'16.09.68'!G29+'17.09.68'!G29+'18.09.68'!G29+'19.09.68'!G29+'20.09.68'!G29+'21.09.68'!G29+'22.09.68'!G29+'23.09.68'!G29+'24.09.68'!G29+'25.09.68'!G29+'26.09.68'!G29+'27.09.68'!G29+'28.09.68'!G29+'29.09.68'!G29+'30.09.68'!G29</f>
        <v>0</v>
      </c>
      <c r="H29" s="52">
        <f>+'01.09.68'!H29+'02.09.68'!H29+'03.09.68'!H29+'04.09.68'!H29+'05.09.68'!H29+'06.09.68'!H29+'07.09.68'!H29+'08.09.68'!H29+'09.09.68'!H29+'10.09.68'!H29+'11.09.68'!H29+'12.09.68'!H29+'13.09.68'!H29+'14.09.68'!H29+'15.09.68'!H29+'16.09.68'!H29+'17.09.68'!H29+'18.09.68'!H29+'19.09.68'!H29+'20.09.68'!H29+'21.09.68'!H29+'22.09.68'!H29+'23.09.68'!H29+'24.09.68'!H29+'25.09.68'!H29+'26.09.68'!H29+'27.09.68'!H29+'28.09.68'!H29+'29.09.68'!H29+'30.09.68'!H29</f>
        <v>0</v>
      </c>
      <c r="I29" s="65">
        <f t="shared" si="1"/>
        <v>0</v>
      </c>
      <c r="J29" s="52">
        <f>+'01.09.68'!J29+'02.09.68'!J29+'03.09.68'!J29+'04.09.68'!J29+'05.09.68'!J29+'06.09.68'!J29+'07.09.68'!J29+'08.09.68'!J29+'09.09.68'!J29+'10.09.68'!J29+'11.09.68'!J29+'12.09.68'!J29+'13.09.68'!J29+'14.09.68'!J29+'15.09.68'!J29+'16.09.68'!J29+'17.09.68'!J29+'18.09.68'!J29+'19.09.68'!J29+'20.09.68'!J29+'21.09.68'!J29+'22.09.68'!J29+'23.09.68'!J29+'24.09.68'!J29+'25.09.68'!J29+'26.09.68'!J29+'27.09.68'!J29+'28.09.68'!J29+'29.09.68'!J29+'30.09.68'!J29</f>
        <v>0</v>
      </c>
      <c r="K29" s="52">
        <f>+'01.09.68'!K29+'02.09.68'!K29+'03.09.68'!K29+'04.09.68'!K29+'05.09.68'!K29+'06.09.68'!K29+'07.09.68'!K29+'08.09.68'!K29+'09.09.68'!K29+'10.09.68'!K29+'11.09.68'!K29+'12.09.68'!K29+'13.09.68'!K29+'14.09.68'!K29+'15.09.68'!K29+'16.09.68'!K29+'17.09.68'!K29+'18.09.68'!K29+'19.09.68'!K29+'20.09.68'!K29+'21.09.68'!K29+'22.09.68'!K29+'23.09.68'!K29+'24.09.68'!K29+'25.09.68'!K29+'26.09.68'!K29+'27.09.68'!K29+'28.09.68'!K29+'29.09.68'!K29+'30.09.68'!K29</f>
        <v>0</v>
      </c>
      <c r="L29" s="65">
        <f t="shared" si="2"/>
        <v>0</v>
      </c>
      <c r="M29" s="52">
        <f>+'01.09.68'!M29+'02.09.68'!M29+'03.09.68'!M29+'04.09.68'!M29+'05.09.68'!M29+'06.09.68'!M29+'07.09.68'!M29+'08.09.68'!M29+'09.09.68'!M29+'10.09.68'!M29+'11.09.68'!M29+'12.09.68'!M29+'13.09.68'!M29+'14.09.68'!M29+'15.09.68'!M29+'16.09.68'!M29+'17.09.68'!M29+'18.09.68'!M29+'19.09.68'!M29+'20.09.68'!M29+'21.09.68'!M29+'22.09.68'!M29+'23.09.68'!M29+'24.09.68'!M29+'25.09.68'!M29+'26.09.68'!M29+'27.09.68'!M29+'28.09.68'!M29+'29.09.68'!M29+'30.09.68'!M29</f>
        <v>0</v>
      </c>
      <c r="N29" s="52">
        <f>+'01.09.68'!N29+'02.09.68'!N29+'03.09.68'!N29+'04.09.68'!N29+'05.09.68'!N29+'06.09.68'!N29+'07.09.68'!N29+'08.09.68'!N29+'09.09.68'!N29+'10.09.68'!N29+'11.09.68'!N29+'12.09.68'!N29+'13.09.68'!N29+'14.09.68'!N29+'15.09.68'!N29+'16.09.68'!N29+'17.09.68'!N29+'18.09.68'!N29+'19.09.68'!N29+'20.09.68'!N29+'21.09.68'!N29+'22.09.68'!N29+'23.09.68'!N29+'24.09.68'!N29+'25.09.68'!N29+'26.09.68'!N29+'27.09.68'!N29+'28.09.68'!N29+'29.09.68'!N29+'30.09.68'!N29</f>
        <v>0</v>
      </c>
      <c r="O29" s="65">
        <f t="shared" si="3"/>
        <v>0</v>
      </c>
      <c r="P29" s="52">
        <f>+'01.09.68'!P29+'02.09.68'!P29+'03.09.68'!P29+'04.09.68'!P29+'05.09.68'!P29+'06.09.68'!P29+'07.09.68'!P29+'08.09.68'!P29+'09.09.68'!P29+'10.09.68'!P29+'11.09.68'!P29+'12.09.68'!P29+'13.09.68'!P29+'14.09.68'!P29+'15.09.68'!P29+'16.09.68'!P29+'17.09.68'!P29+'18.09.68'!P29+'19.09.68'!P29+'20.09.68'!P29+'21.09.68'!P29+'22.09.68'!P29+'23.09.68'!P29+'24.09.68'!P29+'25.09.68'!P29+'26.09.68'!P29+'27.09.68'!P29+'28.09.68'!P29+'29.09.68'!P29+'30.09.68'!P29</f>
        <v>0</v>
      </c>
      <c r="Q29" s="52">
        <f>+'01.09.68'!Q29+'02.09.68'!Q29+'03.09.68'!Q29+'04.09.68'!Q29+'05.09.68'!Q29+'06.09.68'!Q29+'07.09.68'!Q29+'08.09.68'!Q29+'09.09.68'!Q29+'10.09.68'!Q29+'11.09.68'!Q29+'12.09.68'!Q29+'13.09.68'!Q29+'14.09.68'!Q29+'15.09.68'!Q29+'16.09.68'!Q29+'17.09.68'!Q29+'18.09.68'!Q29+'19.09.68'!Q29+'20.09.68'!Q29+'21.09.68'!Q29+'22.09.68'!Q29+'23.09.68'!Q29+'24.09.68'!Q29+'25.09.68'!Q29+'26.09.68'!Q29+'27.09.68'!Q29+'28.09.68'!Q29+'29.09.68'!Q29+'30.09.68'!Q29</f>
        <v>0</v>
      </c>
      <c r="R29" s="65">
        <f t="shared" si="4"/>
        <v>0</v>
      </c>
      <c r="S29" s="52">
        <f>+'01.09.68'!S29+'02.09.68'!S29+'03.09.68'!S29+'04.09.68'!S29+'05.09.68'!S29+'06.09.68'!S29+'07.09.68'!S29+'08.09.68'!S29+'09.09.68'!S29+'10.09.68'!S29+'11.09.68'!S29+'12.09.68'!S29+'13.09.68'!S29+'14.09.68'!S29+'15.09.68'!S29+'16.09.68'!S29+'17.09.68'!S29+'18.09.68'!S29+'19.09.68'!S29+'20.09.68'!S29+'21.09.68'!S29+'22.09.68'!S29+'23.09.68'!S29+'24.09.68'!S29+'25.09.68'!S29+'26.09.68'!S29+'27.09.68'!S29+'28.09.68'!S29+'29.09.68'!S29+'30.09.68'!S29</f>
        <v>0</v>
      </c>
      <c r="T29" s="52">
        <f>+'01.09.68'!T29+'02.09.68'!T29+'03.09.68'!T29+'04.09.68'!T29+'05.09.68'!T29+'06.09.68'!T29+'07.09.68'!T29+'08.09.68'!T29+'09.09.68'!T29+'10.09.68'!T29+'11.09.68'!T29+'12.09.68'!T29+'13.09.68'!T29+'14.09.68'!T29+'15.09.68'!T29+'16.09.68'!T29+'17.09.68'!T29+'18.09.68'!T29+'19.09.68'!T29+'20.09.68'!T29+'21.09.68'!T29+'22.09.68'!T29+'23.09.68'!T29+'24.09.68'!T29+'25.09.68'!T29+'26.09.68'!T29+'27.09.68'!T29+'28.09.68'!T29+'29.09.68'!T29+'30.09.68'!T29</f>
        <v>0</v>
      </c>
      <c r="U29" s="65">
        <f t="shared" si="5"/>
        <v>0</v>
      </c>
      <c r="V29" s="52">
        <f>+'01.09.68'!V29+'02.09.68'!V29+'03.09.68'!V29+'04.09.68'!V29+'05.09.68'!V29+'06.09.68'!V29+'07.09.68'!V29+'08.09.68'!V29+'09.09.68'!V29+'10.09.68'!V29+'11.09.68'!V29+'12.09.68'!V29+'13.09.68'!V29+'14.09.68'!V29+'15.09.68'!V29+'16.09.68'!V29+'17.09.68'!V29+'18.09.68'!V29+'19.09.68'!V29+'20.09.68'!V29+'21.09.68'!V29+'22.09.68'!V29+'23.09.68'!V29+'24.09.68'!V29+'25.09.68'!V29+'26.09.68'!V29+'27.09.68'!V29+'28.09.68'!V29+'29.09.68'!V29+'30.09.68'!V29</f>
        <v>0</v>
      </c>
      <c r="W29" s="52">
        <f>+'01.09.68'!W29+'02.09.68'!W29+'03.09.68'!W29+'04.09.68'!W29+'05.09.68'!W29+'06.09.68'!W29+'07.09.68'!W29+'08.09.68'!W29+'09.09.68'!W29+'10.09.68'!W29+'11.09.68'!W29+'12.09.68'!W29+'13.09.68'!W29+'14.09.68'!W29+'15.09.68'!W29+'16.09.68'!W29+'17.09.68'!W29+'18.09.68'!W29+'19.09.68'!W29+'20.09.68'!W29+'21.09.68'!W29+'22.09.68'!W29+'23.09.68'!W29+'24.09.68'!W29+'25.09.68'!W29+'26.09.68'!W29+'27.09.68'!W29+'28.09.68'!W29+'29.09.68'!W29+'30.09.68'!W29</f>
        <v>0</v>
      </c>
      <c r="X29" s="65">
        <f t="shared" si="6"/>
        <v>0</v>
      </c>
      <c r="Y29" s="52">
        <f>+'01.09.68'!Y29+'02.09.68'!Y29+'03.09.68'!Y29+'04.09.68'!Y29+'05.09.68'!Y29+'06.09.68'!Y29+'07.09.68'!Y29+'08.09.68'!Y29+'09.09.68'!Y29+'10.09.68'!Y29+'11.09.68'!Y29+'12.09.68'!Y29+'13.09.68'!Y29+'14.09.68'!Y29+'15.09.68'!Y29+'16.09.68'!Y29+'17.09.68'!Y29+'18.09.68'!Y29+'19.09.68'!Y29+'20.09.68'!Y29+'21.09.68'!Y29+'22.09.68'!Y29+'23.09.68'!Y29+'24.09.68'!Y29+'25.09.68'!Y29+'26.09.68'!Y29+'27.09.68'!Y29+'28.09.68'!Y29+'29.09.68'!Y29+'30.09.68'!Y29</f>
        <v>0</v>
      </c>
      <c r="Z29" s="66">
        <f t="shared" si="7"/>
        <v>0</v>
      </c>
    </row>
    <row r="30" spans="2:26">
      <c r="B30" s="50">
        <v>1111014</v>
      </c>
      <c r="C30" s="51" t="s">
        <v>161</v>
      </c>
      <c r="D30" s="52">
        <f>+'01.09.68'!D30+'02.09.68'!D30+'03.09.68'!D30+'04.09.68'!D30+'05.09.68'!D30+'06.09.68'!D30+'07.09.68'!D30+'08.09.68'!D30+'09.09.68'!D30+'10.09.68'!D30+'11.09.68'!D30+'12.09.68'!D30+'13.09.68'!D30+'14.09.68'!D30+'15.09.68'!D30+'16.09.68'!D30+'17.09.68'!D30+'18.09.68'!D30+'19.09.68'!D30+'20.09.68'!D30+'21.09.68'!D30+'22.09.68'!D30+'23.09.68'!D30+'24.09.68'!D30+'25.09.68'!D30+'26.09.68'!D30+'27.09.68'!D30+'28.09.68'!D30+'29.09.68'!D30+'30.09.68'!D30</f>
        <v>0</v>
      </c>
      <c r="E30" s="52">
        <f>+'01.09.68'!E30+'02.09.68'!E30+'03.09.68'!E30+'04.09.68'!E30+'05.09.68'!E30+'06.09.68'!E30+'07.09.68'!E30+'08.09.68'!E30+'09.09.68'!E30+'10.09.68'!E30+'11.09.68'!E30+'12.09.68'!E30+'13.09.68'!E30+'14.09.68'!E30+'15.09.68'!E30+'16.09.68'!E30+'17.09.68'!E30+'18.09.68'!E30+'19.09.68'!E30+'20.09.68'!E30+'21.09.68'!E30+'22.09.68'!E30+'23.09.68'!E30+'24.09.68'!E30+'25.09.68'!E30+'26.09.68'!E30+'27.09.68'!E30+'28.09.68'!E30+'29.09.68'!E30+'30.09.68'!E30</f>
        <v>0</v>
      </c>
      <c r="F30" s="65">
        <f t="shared" si="0"/>
        <v>0</v>
      </c>
      <c r="G30" s="52">
        <f>+'01.09.68'!G30+'02.09.68'!G30+'03.09.68'!G30+'04.09.68'!G30+'05.09.68'!G30+'06.09.68'!G30+'07.09.68'!G30+'08.09.68'!G30+'09.09.68'!G30+'10.09.68'!G30+'11.09.68'!G30+'12.09.68'!G30+'13.09.68'!G30+'14.09.68'!G30+'15.09.68'!G30+'16.09.68'!G30+'17.09.68'!G30+'18.09.68'!G30+'19.09.68'!G30+'20.09.68'!G30+'21.09.68'!G30+'22.09.68'!G30+'23.09.68'!G30+'24.09.68'!G30+'25.09.68'!G30+'26.09.68'!G30+'27.09.68'!G30+'28.09.68'!G30+'29.09.68'!G30+'30.09.68'!G30</f>
        <v>0</v>
      </c>
      <c r="H30" s="52">
        <f>+'01.09.68'!H30+'02.09.68'!H30+'03.09.68'!H30+'04.09.68'!H30+'05.09.68'!H30+'06.09.68'!H30+'07.09.68'!H30+'08.09.68'!H30+'09.09.68'!H30+'10.09.68'!H30+'11.09.68'!H30+'12.09.68'!H30+'13.09.68'!H30+'14.09.68'!H30+'15.09.68'!H30+'16.09.68'!H30+'17.09.68'!H30+'18.09.68'!H30+'19.09.68'!H30+'20.09.68'!H30+'21.09.68'!H30+'22.09.68'!H30+'23.09.68'!H30+'24.09.68'!H30+'25.09.68'!H30+'26.09.68'!H30+'27.09.68'!H30+'28.09.68'!H30+'29.09.68'!H30+'30.09.68'!H30</f>
        <v>0</v>
      </c>
      <c r="I30" s="65">
        <f t="shared" si="1"/>
        <v>0</v>
      </c>
      <c r="J30" s="52">
        <f>+'01.09.68'!J30+'02.09.68'!J30+'03.09.68'!J30+'04.09.68'!J30+'05.09.68'!J30+'06.09.68'!J30+'07.09.68'!J30+'08.09.68'!J30+'09.09.68'!J30+'10.09.68'!J30+'11.09.68'!J30+'12.09.68'!J30+'13.09.68'!J30+'14.09.68'!J30+'15.09.68'!J30+'16.09.68'!J30+'17.09.68'!J30+'18.09.68'!J30+'19.09.68'!J30+'20.09.68'!J30+'21.09.68'!J30+'22.09.68'!J30+'23.09.68'!J30+'24.09.68'!J30+'25.09.68'!J30+'26.09.68'!J30+'27.09.68'!J30+'28.09.68'!J30+'29.09.68'!J30+'30.09.68'!J30</f>
        <v>0</v>
      </c>
      <c r="K30" s="52">
        <f>+'01.09.68'!K30+'02.09.68'!K30+'03.09.68'!K30+'04.09.68'!K30+'05.09.68'!K30+'06.09.68'!K30+'07.09.68'!K30+'08.09.68'!K30+'09.09.68'!K30+'10.09.68'!K30+'11.09.68'!K30+'12.09.68'!K30+'13.09.68'!K30+'14.09.68'!K30+'15.09.68'!K30+'16.09.68'!K30+'17.09.68'!K30+'18.09.68'!K30+'19.09.68'!K30+'20.09.68'!K30+'21.09.68'!K30+'22.09.68'!K30+'23.09.68'!K30+'24.09.68'!K30+'25.09.68'!K30+'26.09.68'!K30+'27.09.68'!K30+'28.09.68'!K30+'29.09.68'!K30+'30.09.68'!K30</f>
        <v>0</v>
      </c>
      <c r="L30" s="65">
        <f t="shared" si="2"/>
        <v>0</v>
      </c>
      <c r="M30" s="52">
        <f>+'01.09.68'!M30+'02.09.68'!M30+'03.09.68'!M30+'04.09.68'!M30+'05.09.68'!M30+'06.09.68'!M30+'07.09.68'!M30+'08.09.68'!M30+'09.09.68'!M30+'10.09.68'!M30+'11.09.68'!M30+'12.09.68'!M30+'13.09.68'!M30+'14.09.68'!M30+'15.09.68'!M30+'16.09.68'!M30+'17.09.68'!M30+'18.09.68'!M30+'19.09.68'!M30+'20.09.68'!M30+'21.09.68'!M30+'22.09.68'!M30+'23.09.68'!M30+'24.09.68'!M30+'25.09.68'!M30+'26.09.68'!M30+'27.09.68'!M30+'28.09.68'!M30+'29.09.68'!M30+'30.09.68'!M30</f>
        <v>0</v>
      </c>
      <c r="N30" s="52">
        <f>+'01.09.68'!N30+'02.09.68'!N30+'03.09.68'!N30+'04.09.68'!N30+'05.09.68'!N30+'06.09.68'!N30+'07.09.68'!N30+'08.09.68'!N30+'09.09.68'!N30+'10.09.68'!N30+'11.09.68'!N30+'12.09.68'!N30+'13.09.68'!N30+'14.09.68'!N30+'15.09.68'!N30+'16.09.68'!N30+'17.09.68'!N30+'18.09.68'!N30+'19.09.68'!N30+'20.09.68'!N30+'21.09.68'!N30+'22.09.68'!N30+'23.09.68'!N30+'24.09.68'!N30+'25.09.68'!N30+'26.09.68'!N30+'27.09.68'!N30+'28.09.68'!N30+'29.09.68'!N30+'30.09.68'!N30</f>
        <v>0</v>
      </c>
      <c r="O30" s="65">
        <f t="shared" si="3"/>
        <v>0</v>
      </c>
      <c r="P30" s="52">
        <f>+'01.09.68'!P30+'02.09.68'!P30+'03.09.68'!P30+'04.09.68'!P30+'05.09.68'!P30+'06.09.68'!P30+'07.09.68'!P30+'08.09.68'!P30+'09.09.68'!P30+'10.09.68'!P30+'11.09.68'!P30+'12.09.68'!P30+'13.09.68'!P30+'14.09.68'!P30+'15.09.68'!P30+'16.09.68'!P30+'17.09.68'!P30+'18.09.68'!P30+'19.09.68'!P30+'20.09.68'!P30+'21.09.68'!P30+'22.09.68'!P30+'23.09.68'!P30+'24.09.68'!P30+'25.09.68'!P30+'26.09.68'!P30+'27.09.68'!P30+'28.09.68'!P30+'29.09.68'!P30+'30.09.68'!P30</f>
        <v>0</v>
      </c>
      <c r="Q30" s="52">
        <f>+'01.09.68'!Q30+'02.09.68'!Q30+'03.09.68'!Q30+'04.09.68'!Q30+'05.09.68'!Q30+'06.09.68'!Q30+'07.09.68'!Q30+'08.09.68'!Q30+'09.09.68'!Q30+'10.09.68'!Q30+'11.09.68'!Q30+'12.09.68'!Q30+'13.09.68'!Q30+'14.09.68'!Q30+'15.09.68'!Q30+'16.09.68'!Q30+'17.09.68'!Q30+'18.09.68'!Q30+'19.09.68'!Q30+'20.09.68'!Q30+'21.09.68'!Q30+'22.09.68'!Q30+'23.09.68'!Q30+'24.09.68'!Q30+'25.09.68'!Q30+'26.09.68'!Q30+'27.09.68'!Q30+'28.09.68'!Q30+'29.09.68'!Q30+'30.09.68'!Q30</f>
        <v>0</v>
      </c>
      <c r="R30" s="65">
        <f t="shared" si="4"/>
        <v>0</v>
      </c>
      <c r="S30" s="52">
        <f>+'01.09.68'!S30+'02.09.68'!S30+'03.09.68'!S30+'04.09.68'!S30+'05.09.68'!S30+'06.09.68'!S30+'07.09.68'!S30+'08.09.68'!S30+'09.09.68'!S30+'10.09.68'!S30+'11.09.68'!S30+'12.09.68'!S30+'13.09.68'!S30+'14.09.68'!S30+'15.09.68'!S30+'16.09.68'!S30+'17.09.68'!S30+'18.09.68'!S30+'19.09.68'!S30+'20.09.68'!S30+'21.09.68'!S30+'22.09.68'!S30+'23.09.68'!S30+'24.09.68'!S30+'25.09.68'!S30+'26.09.68'!S30+'27.09.68'!S30+'28.09.68'!S30+'29.09.68'!S30+'30.09.68'!S30</f>
        <v>0</v>
      </c>
      <c r="T30" s="52">
        <f>+'01.09.68'!T30+'02.09.68'!T30+'03.09.68'!T30+'04.09.68'!T30+'05.09.68'!T30+'06.09.68'!T30+'07.09.68'!T30+'08.09.68'!T30+'09.09.68'!T30+'10.09.68'!T30+'11.09.68'!T30+'12.09.68'!T30+'13.09.68'!T30+'14.09.68'!T30+'15.09.68'!T30+'16.09.68'!T30+'17.09.68'!T30+'18.09.68'!T30+'19.09.68'!T30+'20.09.68'!T30+'21.09.68'!T30+'22.09.68'!T30+'23.09.68'!T30+'24.09.68'!T30+'25.09.68'!T30+'26.09.68'!T30+'27.09.68'!T30+'28.09.68'!T30+'29.09.68'!T30+'30.09.68'!T30</f>
        <v>0</v>
      </c>
      <c r="U30" s="65">
        <f t="shared" si="5"/>
        <v>0</v>
      </c>
      <c r="V30" s="52">
        <f>+'01.09.68'!V30+'02.09.68'!V30+'03.09.68'!V30+'04.09.68'!V30+'05.09.68'!V30+'06.09.68'!V30+'07.09.68'!V30+'08.09.68'!V30+'09.09.68'!V30+'10.09.68'!V30+'11.09.68'!V30+'12.09.68'!V30+'13.09.68'!V30+'14.09.68'!V30+'15.09.68'!V30+'16.09.68'!V30+'17.09.68'!V30+'18.09.68'!V30+'19.09.68'!V30+'20.09.68'!V30+'21.09.68'!V30+'22.09.68'!V30+'23.09.68'!V30+'24.09.68'!V30+'25.09.68'!V30+'26.09.68'!V30+'27.09.68'!V30+'28.09.68'!V30+'29.09.68'!V30+'30.09.68'!V30</f>
        <v>0</v>
      </c>
      <c r="W30" s="52">
        <f>+'01.09.68'!W30+'02.09.68'!W30+'03.09.68'!W30+'04.09.68'!W30+'05.09.68'!W30+'06.09.68'!W30+'07.09.68'!W30+'08.09.68'!W30+'09.09.68'!W30+'10.09.68'!W30+'11.09.68'!W30+'12.09.68'!W30+'13.09.68'!W30+'14.09.68'!W30+'15.09.68'!W30+'16.09.68'!W30+'17.09.68'!W30+'18.09.68'!W30+'19.09.68'!W30+'20.09.68'!W30+'21.09.68'!W30+'22.09.68'!W30+'23.09.68'!W30+'24.09.68'!W30+'25.09.68'!W30+'26.09.68'!W30+'27.09.68'!W30+'28.09.68'!W30+'29.09.68'!W30+'30.09.68'!W30</f>
        <v>0</v>
      </c>
      <c r="X30" s="65">
        <f t="shared" si="6"/>
        <v>0</v>
      </c>
      <c r="Y30" s="52">
        <f>+'01.09.68'!Y30+'02.09.68'!Y30+'03.09.68'!Y30+'04.09.68'!Y30+'05.09.68'!Y30+'06.09.68'!Y30+'07.09.68'!Y30+'08.09.68'!Y30+'09.09.68'!Y30+'10.09.68'!Y30+'11.09.68'!Y30+'12.09.68'!Y30+'13.09.68'!Y30+'14.09.68'!Y30+'15.09.68'!Y30+'16.09.68'!Y30+'17.09.68'!Y30+'18.09.68'!Y30+'19.09.68'!Y30+'20.09.68'!Y30+'21.09.68'!Y30+'22.09.68'!Y30+'23.09.68'!Y30+'24.09.68'!Y30+'25.09.68'!Y30+'26.09.68'!Y30+'27.09.68'!Y30+'28.09.68'!Y30+'29.09.68'!Y30+'30.09.68'!Y30</f>
        <v>0</v>
      </c>
      <c r="Z30" s="66">
        <f t="shared" si="7"/>
        <v>0</v>
      </c>
    </row>
    <row r="31" spans="2:26">
      <c r="B31" s="50">
        <v>1111015</v>
      </c>
      <c r="C31" s="51" t="s">
        <v>162</v>
      </c>
      <c r="D31" s="52">
        <f>+'01.09.68'!D31+'02.09.68'!D31+'03.09.68'!D31+'04.09.68'!D31+'05.09.68'!D31+'06.09.68'!D31+'07.09.68'!D31+'08.09.68'!D31+'09.09.68'!D31+'10.09.68'!D31+'11.09.68'!D31+'12.09.68'!D31+'13.09.68'!D31+'14.09.68'!D31+'15.09.68'!D31+'16.09.68'!D31+'17.09.68'!D31+'18.09.68'!D31+'19.09.68'!D31+'20.09.68'!D31+'21.09.68'!D31+'22.09.68'!D31+'23.09.68'!D31+'24.09.68'!D31+'25.09.68'!D31+'26.09.68'!D31+'27.09.68'!D31+'28.09.68'!D31+'29.09.68'!D31+'30.09.68'!D31</f>
        <v>0</v>
      </c>
      <c r="E31" s="52">
        <f>+'01.09.68'!E31+'02.09.68'!E31+'03.09.68'!E31+'04.09.68'!E31+'05.09.68'!E31+'06.09.68'!E31+'07.09.68'!E31+'08.09.68'!E31+'09.09.68'!E31+'10.09.68'!E31+'11.09.68'!E31+'12.09.68'!E31+'13.09.68'!E31+'14.09.68'!E31+'15.09.68'!E31+'16.09.68'!E31+'17.09.68'!E31+'18.09.68'!E31+'19.09.68'!E31+'20.09.68'!E31+'21.09.68'!E31+'22.09.68'!E31+'23.09.68'!E31+'24.09.68'!E31+'25.09.68'!E31+'26.09.68'!E31+'27.09.68'!E31+'28.09.68'!E31+'29.09.68'!E31+'30.09.68'!E31</f>
        <v>0</v>
      </c>
      <c r="F31" s="65">
        <f t="shared" si="0"/>
        <v>0</v>
      </c>
      <c r="G31" s="52">
        <f>+'01.09.68'!G31+'02.09.68'!G31+'03.09.68'!G31+'04.09.68'!G31+'05.09.68'!G31+'06.09.68'!G31+'07.09.68'!G31+'08.09.68'!G31+'09.09.68'!G31+'10.09.68'!G31+'11.09.68'!G31+'12.09.68'!G31+'13.09.68'!G31+'14.09.68'!G31+'15.09.68'!G31+'16.09.68'!G31+'17.09.68'!G31+'18.09.68'!G31+'19.09.68'!G31+'20.09.68'!G31+'21.09.68'!G31+'22.09.68'!G31+'23.09.68'!G31+'24.09.68'!G31+'25.09.68'!G31+'26.09.68'!G31+'27.09.68'!G31+'28.09.68'!G31+'29.09.68'!G31+'30.09.68'!G31</f>
        <v>0</v>
      </c>
      <c r="H31" s="52">
        <f>+'01.09.68'!H31+'02.09.68'!H31+'03.09.68'!H31+'04.09.68'!H31+'05.09.68'!H31+'06.09.68'!H31+'07.09.68'!H31+'08.09.68'!H31+'09.09.68'!H31+'10.09.68'!H31+'11.09.68'!H31+'12.09.68'!H31+'13.09.68'!H31+'14.09.68'!H31+'15.09.68'!H31+'16.09.68'!H31+'17.09.68'!H31+'18.09.68'!H31+'19.09.68'!H31+'20.09.68'!H31+'21.09.68'!H31+'22.09.68'!H31+'23.09.68'!H31+'24.09.68'!H31+'25.09.68'!H31+'26.09.68'!H31+'27.09.68'!H31+'28.09.68'!H31+'29.09.68'!H31+'30.09.68'!H31</f>
        <v>0</v>
      </c>
      <c r="I31" s="65">
        <f t="shared" si="1"/>
        <v>0</v>
      </c>
      <c r="J31" s="52">
        <f>+'01.09.68'!J31+'02.09.68'!J31+'03.09.68'!J31+'04.09.68'!J31+'05.09.68'!J31+'06.09.68'!J31+'07.09.68'!J31+'08.09.68'!J31+'09.09.68'!J31+'10.09.68'!J31+'11.09.68'!J31+'12.09.68'!J31+'13.09.68'!J31+'14.09.68'!J31+'15.09.68'!J31+'16.09.68'!J31+'17.09.68'!J31+'18.09.68'!J31+'19.09.68'!J31+'20.09.68'!J31+'21.09.68'!J31+'22.09.68'!J31+'23.09.68'!J31+'24.09.68'!J31+'25.09.68'!J31+'26.09.68'!J31+'27.09.68'!J31+'28.09.68'!J31+'29.09.68'!J31+'30.09.68'!J31</f>
        <v>0</v>
      </c>
      <c r="K31" s="52">
        <f>+'01.09.68'!K31+'02.09.68'!K31+'03.09.68'!K31+'04.09.68'!K31+'05.09.68'!K31+'06.09.68'!K31+'07.09.68'!K31+'08.09.68'!K31+'09.09.68'!K31+'10.09.68'!K31+'11.09.68'!K31+'12.09.68'!K31+'13.09.68'!K31+'14.09.68'!K31+'15.09.68'!K31+'16.09.68'!K31+'17.09.68'!K31+'18.09.68'!K31+'19.09.68'!K31+'20.09.68'!K31+'21.09.68'!K31+'22.09.68'!K31+'23.09.68'!K31+'24.09.68'!K31+'25.09.68'!K31+'26.09.68'!K31+'27.09.68'!K31+'28.09.68'!K31+'29.09.68'!K31+'30.09.68'!K31</f>
        <v>0</v>
      </c>
      <c r="L31" s="65">
        <f t="shared" si="2"/>
        <v>0</v>
      </c>
      <c r="M31" s="52">
        <f>+'01.09.68'!M31+'02.09.68'!M31+'03.09.68'!M31+'04.09.68'!M31+'05.09.68'!M31+'06.09.68'!M31+'07.09.68'!M31+'08.09.68'!M31+'09.09.68'!M31+'10.09.68'!M31+'11.09.68'!M31+'12.09.68'!M31+'13.09.68'!M31+'14.09.68'!M31+'15.09.68'!M31+'16.09.68'!M31+'17.09.68'!M31+'18.09.68'!M31+'19.09.68'!M31+'20.09.68'!M31+'21.09.68'!M31+'22.09.68'!M31+'23.09.68'!M31+'24.09.68'!M31+'25.09.68'!M31+'26.09.68'!M31+'27.09.68'!M31+'28.09.68'!M31+'29.09.68'!M31+'30.09.68'!M31</f>
        <v>0</v>
      </c>
      <c r="N31" s="52">
        <f>+'01.09.68'!N31+'02.09.68'!N31+'03.09.68'!N31+'04.09.68'!N31+'05.09.68'!N31+'06.09.68'!N31+'07.09.68'!N31+'08.09.68'!N31+'09.09.68'!N31+'10.09.68'!N31+'11.09.68'!N31+'12.09.68'!N31+'13.09.68'!N31+'14.09.68'!N31+'15.09.68'!N31+'16.09.68'!N31+'17.09.68'!N31+'18.09.68'!N31+'19.09.68'!N31+'20.09.68'!N31+'21.09.68'!N31+'22.09.68'!N31+'23.09.68'!N31+'24.09.68'!N31+'25.09.68'!N31+'26.09.68'!N31+'27.09.68'!N31+'28.09.68'!N31+'29.09.68'!N31+'30.09.68'!N31</f>
        <v>0</v>
      </c>
      <c r="O31" s="65">
        <f t="shared" si="3"/>
        <v>0</v>
      </c>
      <c r="P31" s="52">
        <f>+'01.09.68'!P31+'02.09.68'!P31+'03.09.68'!P31+'04.09.68'!P31+'05.09.68'!P31+'06.09.68'!P31+'07.09.68'!P31+'08.09.68'!P31+'09.09.68'!P31+'10.09.68'!P31+'11.09.68'!P31+'12.09.68'!P31+'13.09.68'!P31+'14.09.68'!P31+'15.09.68'!P31+'16.09.68'!P31+'17.09.68'!P31+'18.09.68'!P31+'19.09.68'!P31+'20.09.68'!P31+'21.09.68'!P31+'22.09.68'!P31+'23.09.68'!P31+'24.09.68'!P31+'25.09.68'!P31+'26.09.68'!P31+'27.09.68'!P31+'28.09.68'!P31+'29.09.68'!P31+'30.09.68'!P31</f>
        <v>0</v>
      </c>
      <c r="Q31" s="52">
        <f>+'01.09.68'!Q31+'02.09.68'!Q31+'03.09.68'!Q31+'04.09.68'!Q31+'05.09.68'!Q31+'06.09.68'!Q31+'07.09.68'!Q31+'08.09.68'!Q31+'09.09.68'!Q31+'10.09.68'!Q31+'11.09.68'!Q31+'12.09.68'!Q31+'13.09.68'!Q31+'14.09.68'!Q31+'15.09.68'!Q31+'16.09.68'!Q31+'17.09.68'!Q31+'18.09.68'!Q31+'19.09.68'!Q31+'20.09.68'!Q31+'21.09.68'!Q31+'22.09.68'!Q31+'23.09.68'!Q31+'24.09.68'!Q31+'25.09.68'!Q31+'26.09.68'!Q31+'27.09.68'!Q31+'28.09.68'!Q31+'29.09.68'!Q31+'30.09.68'!Q31</f>
        <v>0</v>
      </c>
      <c r="R31" s="65">
        <f t="shared" si="4"/>
        <v>0</v>
      </c>
      <c r="S31" s="52">
        <f>+'01.09.68'!S31+'02.09.68'!S31+'03.09.68'!S31+'04.09.68'!S31+'05.09.68'!S31+'06.09.68'!S31+'07.09.68'!S31+'08.09.68'!S31+'09.09.68'!S31+'10.09.68'!S31+'11.09.68'!S31+'12.09.68'!S31+'13.09.68'!S31+'14.09.68'!S31+'15.09.68'!S31+'16.09.68'!S31+'17.09.68'!S31+'18.09.68'!S31+'19.09.68'!S31+'20.09.68'!S31+'21.09.68'!S31+'22.09.68'!S31+'23.09.68'!S31+'24.09.68'!S31+'25.09.68'!S31+'26.09.68'!S31+'27.09.68'!S31+'28.09.68'!S31+'29.09.68'!S31+'30.09.68'!S31</f>
        <v>0</v>
      </c>
      <c r="T31" s="52">
        <f>+'01.09.68'!T31+'02.09.68'!T31+'03.09.68'!T31+'04.09.68'!T31+'05.09.68'!T31+'06.09.68'!T31+'07.09.68'!T31+'08.09.68'!T31+'09.09.68'!T31+'10.09.68'!T31+'11.09.68'!T31+'12.09.68'!T31+'13.09.68'!T31+'14.09.68'!T31+'15.09.68'!T31+'16.09.68'!T31+'17.09.68'!T31+'18.09.68'!T31+'19.09.68'!T31+'20.09.68'!T31+'21.09.68'!T31+'22.09.68'!T31+'23.09.68'!T31+'24.09.68'!T31+'25.09.68'!T31+'26.09.68'!T31+'27.09.68'!T31+'28.09.68'!T31+'29.09.68'!T31+'30.09.68'!T31</f>
        <v>0</v>
      </c>
      <c r="U31" s="65">
        <f t="shared" si="5"/>
        <v>0</v>
      </c>
      <c r="V31" s="52">
        <f>+'01.09.68'!V31+'02.09.68'!V31+'03.09.68'!V31+'04.09.68'!V31+'05.09.68'!V31+'06.09.68'!V31+'07.09.68'!V31+'08.09.68'!V31+'09.09.68'!V31+'10.09.68'!V31+'11.09.68'!V31+'12.09.68'!V31+'13.09.68'!V31+'14.09.68'!V31+'15.09.68'!V31+'16.09.68'!V31+'17.09.68'!V31+'18.09.68'!V31+'19.09.68'!V31+'20.09.68'!V31+'21.09.68'!V31+'22.09.68'!V31+'23.09.68'!V31+'24.09.68'!V31+'25.09.68'!V31+'26.09.68'!V31+'27.09.68'!V31+'28.09.68'!V31+'29.09.68'!V31+'30.09.68'!V31</f>
        <v>0</v>
      </c>
      <c r="W31" s="52">
        <f>+'01.09.68'!W31+'02.09.68'!W31+'03.09.68'!W31+'04.09.68'!W31+'05.09.68'!W31+'06.09.68'!W31+'07.09.68'!W31+'08.09.68'!W31+'09.09.68'!W31+'10.09.68'!W31+'11.09.68'!W31+'12.09.68'!W31+'13.09.68'!W31+'14.09.68'!W31+'15.09.68'!W31+'16.09.68'!W31+'17.09.68'!W31+'18.09.68'!W31+'19.09.68'!W31+'20.09.68'!W31+'21.09.68'!W31+'22.09.68'!W31+'23.09.68'!W31+'24.09.68'!W31+'25.09.68'!W31+'26.09.68'!W31+'27.09.68'!W31+'28.09.68'!W31+'29.09.68'!W31+'30.09.68'!W31</f>
        <v>0</v>
      </c>
      <c r="X31" s="65">
        <f t="shared" si="6"/>
        <v>0</v>
      </c>
      <c r="Y31" s="52">
        <f>+'01.09.68'!Y31+'02.09.68'!Y31+'03.09.68'!Y31+'04.09.68'!Y31+'05.09.68'!Y31+'06.09.68'!Y31+'07.09.68'!Y31+'08.09.68'!Y31+'09.09.68'!Y31+'10.09.68'!Y31+'11.09.68'!Y31+'12.09.68'!Y31+'13.09.68'!Y31+'14.09.68'!Y31+'15.09.68'!Y31+'16.09.68'!Y31+'17.09.68'!Y31+'18.09.68'!Y31+'19.09.68'!Y31+'20.09.68'!Y31+'21.09.68'!Y31+'22.09.68'!Y31+'23.09.68'!Y31+'24.09.68'!Y31+'25.09.68'!Y31+'26.09.68'!Y31+'27.09.68'!Y31+'28.09.68'!Y31+'29.09.68'!Y31+'30.09.68'!Y31</f>
        <v>0</v>
      </c>
      <c r="Z31" s="66">
        <f t="shared" si="7"/>
        <v>0</v>
      </c>
    </row>
    <row r="32" spans="2:26">
      <c r="B32" s="50">
        <v>1111016</v>
      </c>
      <c r="C32" s="51" t="s">
        <v>163</v>
      </c>
      <c r="D32" s="52">
        <f>+'01.09.68'!D32+'02.09.68'!D32+'03.09.68'!D32+'04.09.68'!D32+'05.09.68'!D32+'06.09.68'!D32+'07.09.68'!D32+'08.09.68'!D32+'09.09.68'!D32+'10.09.68'!D32+'11.09.68'!D32+'12.09.68'!D32+'13.09.68'!D32+'14.09.68'!D32+'15.09.68'!D32+'16.09.68'!D32+'17.09.68'!D32+'18.09.68'!D32+'19.09.68'!D32+'20.09.68'!D32+'21.09.68'!D32+'22.09.68'!D32+'23.09.68'!D32+'24.09.68'!D32+'25.09.68'!D32+'26.09.68'!D32+'27.09.68'!D32+'28.09.68'!D32+'29.09.68'!D32+'30.09.68'!D32</f>
        <v>1</v>
      </c>
      <c r="E32" s="52">
        <f>+'01.09.68'!E32+'02.09.68'!E32+'03.09.68'!E32+'04.09.68'!E32+'05.09.68'!E32+'06.09.68'!E32+'07.09.68'!E32+'08.09.68'!E32+'09.09.68'!E32+'10.09.68'!E32+'11.09.68'!E32+'12.09.68'!E32+'13.09.68'!E32+'14.09.68'!E32+'15.09.68'!E32+'16.09.68'!E32+'17.09.68'!E32+'18.09.68'!E32+'19.09.68'!E32+'20.09.68'!E32+'21.09.68'!E32+'22.09.68'!E32+'23.09.68'!E32+'24.09.68'!E32+'25.09.68'!E32+'26.09.68'!E32+'27.09.68'!E32+'28.09.68'!E32+'29.09.68'!E32+'30.09.68'!E32</f>
        <v>0</v>
      </c>
      <c r="F32" s="65">
        <f t="shared" si="0"/>
        <v>1</v>
      </c>
      <c r="G32" s="52">
        <f>+'01.09.68'!G32+'02.09.68'!G32+'03.09.68'!G32+'04.09.68'!G32+'05.09.68'!G32+'06.09.68'!G32+'07.09.68'!G32+'08.09.68'!G32+'09.09.68'!G32+'10.09.68'!G32+'11.09.68'!G32+'12.09.68'!G32+'13.09.68'!G32+'14.09.68'!G32+'15.09.68'!G32+'16.09.68'!G32+'17.09.68'!G32+'18.09.68'!G32+'19.09.68'!G32+'20.09.68'!G32+'21.09.68'!G32+'22.09.68'!G32+'23.09.68'!G32+'24.09.68'!G32+'25.09.68'!G32+'26.09.68'!G32+'27.09.68'!G32+'28.09.68'!G32+'29.09.68'!G32+'30.09.68'!G32</f>
        <v>0</v>
      </c>
      <c r="H32" s="52">
        <f>+'01.09.68'!H32+'02.09.68'!H32+'03.09.68'!H32+'04.09.68'!H32+'05.09.68'!H32+'06.09.68'!H32+'07.09.68'!H32+'08.09.68'!H32+'09.09.68'!H32+'10.09.68'!H32+'11.09.68'!H32+'12.09.68'!H32+'13.09.68'!H32+'14.09.68'!H32+'15.09.68'!H32+'16.09.68'!H32+'17.09.68'!H32+'18.09.68'!H32+'19.09.68'!H32+'20.09.68'!H32+'21.09.68'!H32+'22.09.68'!H32+'23.09.68'!H32+'24.09.68'!H32+'25.09.68'!H32+'26.09.68'!H32+'27.09.68'!H32+'28.09.68'!H32+'29.09.68'!H32+'30.09.68'!H32</f>
        <v>0</v>
      </c>
      <c r="I32" s="65">
        <f t="shared" si="1"/>
        <v>0</v>
      </c>
      <c r="J32" s="52">
        <f>+'01.09.68'!J32+'02.09.68'!J32+'03.09.68'!J32+'04.09.68'!J32+'05.09.68'!J32+'06.09.68'!J32+'07.09.68'!J32+'08.09.68'!J32+'09.09.68'!J32+'10.09.68'!J32+'11.09.68'!J32+'12.09.68'!J32+'13.09.68'!J32+'14.09.68'!J32+'15.09.68'!J32+'16.09.68'!J32+'17.09.68'!J32+'18.09.68'!J32+'19.09.68'!J32+'20.09.68'!J32+'21.09.68'!J32+'22.09.68'!J32+'23.09.68'!J32+'24.09.68'!J32+'25.09.68'!J32+'26.09.68'!J32+'27.09.68'!J32+'28.09.68'!J32+'29.09.68'!J32+'30.09.68'!J32</f>
        <v>0</v>
      </c>
      <c r="K32" s="52">
        <f>+'01.09.68'!K32+'02.09.68'!K32+'03.09.68'!K32+'04.09.68'!K32+'05.09.68'!K32+'06.09.68'!K32+'07.09.68'!K32+'08.09.68'!K32+'09.09.68'!K32+'10.09.68'!K32+'11.09.68'!K32+'12.09.68'!K32+'13.09.68'!K32+'14.09.68'!K32+'15.09.68'!K32+'16.09.68'!K32+'17.09.68'!K32+'18.09.68'!K32+'19.09.68'!K32+'20.09.68'!K32+'21.09.68'!K32+'22.09.68'!K32+'23.09.68'!K32+'24.09.68'!K32+'25.09.68'!K32+'26.09.68'!K32+'27.09.68'!K32+'28.09.68'!K32+'29.09.68'!K32+'30.09.68'!K32</f>
        <v>0</v>
      </c>
      <c r="L32" s="65">
        <f t="shared" si="2"/>
        <v>0</v>
      </c>
      <c r="M32" s="52">
        <f>+'01.09.68'!M32+'02.09.68'!M32+'03.09.68'!M32+'04.09.68'!M32+'05.09.68'!M32+'06.09.68'!M32+'07.09.68'!M32+'08.09.68'!M32+'09.09.68'!M32+'10.09.68'!M32+'11.09.68'!M32+'12.09.68'!M32+'13.09.68'!M32+'14.09.68'!M32+'15.09.68'!M32+'16.09.68'!M32+'17.09.68'!M32+'18.09.68'!M32+'19.09.68'!M32+'20.09.68'!M32+'21.09.68'!M32+'22.09.68'!M32+'23.09.68'!M32+'24.09.68'!M32+'25.09.68'!M32+'26.09.68'!M32+'27.09.68'!M32+'28.09.68'!M32+'29.09.68'!M32+'30.09.68'!M32</f>
        <v>0</v>
      </c>
      <c r="N32" s="52">
        <f>+'01.09.68'!N32+'02.09.68'!N32+'03.09.68'!N32+'04.09.68'!N32+'05.09.68'!N32+'06.09.68'!N32+'07.09.68'!N32+'08.09.68'!N32+'09.09.68'!N32+'10.09.68'!N32+'11.09.68'!N32+'12.09.68'!N32+'13.09.68'!N32+'14.09.68'!N32+'15.09.68'!N32+'16.09.68'!N32+'17.09.68'!N32+'18.09.68'!N32+'19.09.68'!N32+'20.09.68'!N32+'21.09.68'!N32+'22.09.68'!N32+'23.09.68'!N32+'24.09.68'!N32+'25.09.68'!N32+'26.09.68'!N32+'27.09.68'!N32+'28.09.68'!N32+'29.09.68'!N32+'30.09.68'!N32</f>
        <v>0</v>
      </c>
      <c r="O32" s="65">
        <f t="shared" si="3"/>
        <v>0</v>
      </c>
      <c r="P32" s="52">
        <f>+'01.09.68'!P32+'02.09.68'!P32+'03.09.68'!P32+'04.09.68'!P32+'05.09.68'!P32+'06.09.68'!P32+'07.09.68'!P32+'08.09.68'!P32+'09.09.68'!P32+'10.09.68'!P32+'11.09.68'!P32+'12.09.68'!P32+'13.09.68'!P32+'14.09.68'!P32+'15.09.68'!P32+'16.09.68'!P32+'17.09.68'!P32+'18.09.68'!P32+'19.09.68'!P32+'20.09.68'!P32+'21.09.68'!P32+'22.09.68'!P32+'23.09.68'!P32+'24.09.68'!P32+'25.09.68'!P32+'26.09.68'!P32+'27.09.68'!P32+'28.09.68'!P32+'29.09.68'!P32+'30.09.68'!P32</f>
        <v>0</v>
      </c>
      <c r="Q32" s="52">
        <f>+'01.09.68'!Q32+'02.09.68'!Q32+'03.09.68'!Q32+'04.09.68'!Q32+'05.09.68'!Q32+'06.09.68'!Q32+'07.09.68'!Q32+'08.09.68'!Q32+'09.09.68'!Q32+'10.09.68'!Q32+'11.09.68'!Q32+'12.09.68'!Q32+'13.09.68'!Q32+'14.09.68'!Q32+'15.09.68'!Q32+'16.09.68'!Q32+'17.09.68'!Q32+'18.09.68'!Q32+'19.09.68'!Q32+'20.09.68'!Q32+'21.09.68'!Q32+'22.09.68'!Q32+'23.09.68'!Q32+'24.09.68'!Q32+'25.09.68'!Q32+'26.09.68'!Q32+'27.09.68'!Q32+'28.09.68'!Q32+'29.09.68'!Q32+'30.09.68'!Q32</f>
        <v>0</v>
      </c>
      <c r="R32" s="65">
        <f t="shared" si="4"/>
        <v>0</v>
      </c>
      <c r="S32" s="52">
        <f>+'01.09.68'!S32+'02.09.68'!S32+'03.09.68'!S32+'04.09.68'!S32+'05.09.68'!S32+'06.09.68'!S32+'07.09.68'!S32+'08.09.68'!S32+'09.09.68'!S32+'10.09.68'!S32+'11.09.68'!S32+'12.09.68'!S32+'13.09.68'!S32+'14.09.68'!S32+'15.09.68'!S32+'16.09.68'!S32+'17.09.68'!S32+'18.09.68'!S32+'19.09.68'!S32+'20.09.68'!S32+'21.09.68'!S32+'22.09.68'!S32+'23.09.68'!S32+'24.09.68'!S32+'25.09.68'!S32+'26.09.68'!S32+'27.09.68'!S32+'28.09.68'!S32+'29.09.68'!S32+'30.09.68'!S32</f>
        <v>0</v>
      </c>
      <c r="T32" s="52">
        <f>+'01.09.68'!T32+'02.09.68'!T32+'03.09.68'!T32+'04.09.68'!T32+'05.09.68'!T32+'06.09.68'!T32+'07.09.68'!T32+'08.09.68'!T32+'09.09.68'!T32+'10.09.68'!T32+'11.09.68'!T32+'12.09.68'!T32+'13.09.68'!T32+'14.09.68'!T32+'15.09.68'!T32+'16.09.68'!T32+'17.09.68'!T32+'18.09.68'!T32+'19.09.68'!T32+'20.09.68'!T32+'21.09.68'!T32+'22.09.68'!T32+'23.09.68'!T32+'24.09.68'!T32+'25.09.68'!T32+'26.09.68'!T32+'27.09.68'!T32+'28.09.68'!T32+'29.09.68'!T32+'30.09.68'!T32</f>
        <v>0</v>
      </c>
      <c r="U32" s="65">
        <f t="shared" si="5"/>
        <v>0</v>
      </c>
      <c r="V32" s="52">
        <f>+'01.09.68'!V32+'02.09.68'!V32+'03.09.68'!V32+'04.09.68'!V32+'05.09.68'!V32+'06.09.68'!V32+'07.09.68'!V32+'08.09.68'!V32+'09.09.68'!V32+'10.09.68'!V32+'11.09.68'!V32+'12.09.68'!V32+'13.09.68'!V32+'14.09.68'!V32+'15.09.68'!V32+'16.09.68'!V32+'17.09.68'!V32+'18.09.68'!V32+'19.09.68'!V32+'20.09.68'!V32+'21.09.68'!V32+'22.09.68'!V32+'23.09.68'!V32+'24.09.68'!V32+'25.09.68'!V32+'26.09.68'!V32+'27.09.68'!V32+'28.09.68'!V32+'29.09.68'!V32+'30.09.68'!V32</f>
        <v>0</v>
      </c>
      <c r="W32" s="52">
        <f>+'01.09.68'!W32+'02.09.68'!W32+'03.09.68'!W32+'04.09.68'!W32+'05.09.68'!W32+'06.09.68'!W32+'07.09.68'!W32+'08.09.68'!W32+'09.09.68'!W32+'10.09.68'!W32+'11.09.68'!W32+'12.09.68'!W32+'13.09.68'!W32+'14.09.68'!W32+'15.09.68'!W32+'16.09.68'!W32+'17.09.68'!W32+'18.09.68'!W32+'19.09.68'!W32+'20.09.68'!W32+'21.09.68'!W32+'22.09.68'!W32+'23.09.68'!W32+'24.09.68'!W32+'25.09.68'!W32+'26.09.68'!W32+'27.09.68'!W32+'28.09.68'!W32+'29.09.68'!W32+'30.09.68'!W32</f>
        <v>0</v>
      </c>
      <c r="X32" s="65">
        <f t="shared" si="6"/>
        <v>0</v>
      </c>
      <c r="Y32" s="52">
        <f>+'01.09.68'!Y32+'02.09.68'!Y32+'03.09.68'!Y32+'04.09.68'!Y32+'05.09.68'!Y32+'06.09.68'!Y32+'07.09.68'!Y32+'08.09.68'!Y32+'09.09.68'!Y32+'10.09.68'!Y32+'11.09.68'!Y32+'12.09.68'!Y32+'13.09.68'!Y32+'14.09.68'!Y32+'15.09.68'!Y32+'16.09.68'!Y32+'17.09.68'!Y32+'18.09.68'!Y32+'19.09.68'!Y32+'20.09.68'!Y32+'21.09.68'!Y32+'22.09.68'!Y32+'23.09.68'!Y32+'24.09.68'!Y32+'25.09.68'!Y32+'26.09.68'!Y32+'27.09.68'!Y32+'28.09.68'!Y32+'29.09.68'!Y32+'30.09.68'!Y32</f>
        <v>0</v>
      </c>
      <c r="Z32" s="66">
        <f t="shared" si="7"/>
        <v>1</v>
      </c>
    </row>
    <row r="33" spans="2:26">
      <c r="B33" s="50">
        <v>1111017</v>
      </c>
      <c r="C33" s="51" t="s">
        <v>164</v>
      </c>
      <c r="D33" s="52">
        <f>+'01.09.68'!D33+'02.09.68'!D33+'03.09.68'!D33+'04.09.68'!D33+'05.09.68'!D33+'06.09.68'!D33+'07.09.68'!D33+'08.09.68'!D33+'09.09.68'!D33+'10.09.68'!D33+'11.09.68'!D33+'12.09.68'!D33+'13.09.68'!D33+'14.09.68'!D33+'15.09.68'!D33+'16.09.68'!D33+'17.09.68'!D33+'18.09.68'!D33+'19.09.68'!D33+'20.09.68'!D33+'21.09.68'!D33+'22.09.68'!D33+'23.09.68'!D33+'24.09.68'!D33+'25.09.68'!D33+'26.09.68'!D33+'27.09.68'!D33+'28.09.68'!D33+'29.09.68'!D33+'30.09.68'!D33</f>
        <v>0</v>
      </c>
      <c r="E33" s="52">
        <f>+'01.09.68'!E33+'02.09.68'!E33+'03.09.68'!E33+'04.09.68'!E33+'05.09.68'!E33+'06.09.68'!E33+'07.09.68'!E33+'08.09.68'!E33+'09.09.68'!E33+'10.09.68'!E33+'11.09.68'!E33+'12.09.68'!E33+'13.09.68'!E33+'14.09.68'!E33+'15.09.68'!E33+'16.09.68'!E33+'17.09.68'!E33+'18.09.68'!E33+'19.09.68'!E33+'20.09.68'!E33+'21.09.68'!E33+'22.09.68'!E33+'23.09.68'!E33+'24.09.68'!E33+'25.09.68'!E33+'26.09.68'!E33+'27.09.68'!E33+'28.09.68'!E33+'29.09.68'!E33+'30.09.68'!E33</f>
        <v>0</v>
      </c>
      <c r="F33" s="65">
        <f t="shared" si="0"/>
        <v>0</v>
      </c>
      <c r="G33" s="52">
        <f>+'01.09.68'!G33+'02.09.68'!G33+'03.09.68'!G33+'04.09.68'!G33+'05.09.68'!G33+'06.09.68'!G33+'07.09.68'!G33+'08.09.68'!G33+'09.09.68'!G33+'10.09.68'!G33+'11.09.68'!G33+'12.09.68'!G33+'13.09.68'!G33+'14.09.68'!G33+'15.09.68'!G33+'16.09.68'!G33+'17.09.68'!G33+'18.09.68'!G33+'19.09.68'!G33+'20.09.68'!G33+'21.09.68'!G33+'22.09.68'!G33+'23.09.68'!G33+'24.09.68'!G33+'25.09.68'!G33+'26.09.68'!G33+'27.09.68'!G33+'28.09.68'!G33+'29.09.68'!G33+'30.09.68'!G33</f>
        <v>0</v>
      </c>
      <c r="H33" s="52">
        <f>+'01.09.68'!H33+'02.09.68'!H33+'03.09.68'!H33+'04.09.68'!H33+'05.09.68'!H33+'06.09.68'!H33+'07.09.68'!H33+'08.09.68'!H33+'09.09.68'!H33+'10.09.68'!H33+'11.09.68'!H33+'12.09.68'!H33+'13.09.68'!H33+'14.09.68'!H33+'15.09.68'!H33+'16.09.68'!H33+'17.09.68'!H33+'18.09.68'!H33+'19.09.68'!H33+'20.09.68'!H33+'21.09.68'!H33+'22.09.68'!H33+'23.09.68'!H33+'24.09.68'!H33+'25.09.68'!H33+'26.09.68'!H33+'27.09.68'!H33+'28.09.68'!H33+'29.09.68'!H33+'30.09.68'!H33</f>
        <v>0</v>
      </c>
      <c r="I33" s="65">
        <f t="shared" si="1"/>
        <v>0</v>
      </c>
      <c r="J33" s="52">
        <f>+'01.09.68'!J33+'02.09.68'!J33+'03.09.68'!J33+'04.09.68'!J33+'05.09.68'!J33+'06.09.68'!J33+'07.09.68'!J33+'08.09.68'!J33+'09.09.68'!J33+'10.09.68'!J33+'11.09.68'!J33+'12.09.68'!J33+'13.09.68'!J33+'14.09.68'!J33+'15.09.68'!J33+'16.09.68'!J33+'17.09.68'!J33+'18.09.68'!J33+'19.09.68'!J33+'20.09.68'!J33+'21.09.68'!J33+'22.09.68'!J33+'23.09.68'!J33+'24.09.68'!J33+'25.09.68'!J33+'26.09.68'!J33+'27.09.68'!J33+'28.09.68'!J33+'29.09.68'!J33+'30.09.68'!J33</f>
        <v>0</v>
      </c>
      <c r="K33" s="52">
        <f>+'01.09.68'!K33+'02.09.68'!K33+'03.09.68'!K33+'04.09.68'!K33+'05.09.68'!K33+'06.09.68'!K33+'07.09.68'!K33+'08.09.68'!K33+'09.09.68'!K33+'10.09.68'!K33+'11.09.68'!K33+'12.09.68'!K33+'13.09.68'!K33+'14.09.68'!K33+'15.09.68'!K33+'16.09.68'!K33+'17.09.68'!K33+'18.09.68'!K33+'19.09.68'!K33+'20.09.68'!K33+'21.09.68'!K33+'22.09.68'!K33+'23.09.68'!K33+'24.09.68'!K33+'25.09.68'!K33+'26.09.68'!K33+'27.09.68'!K33+'28.09.68'!K33+'29.09.68'!K33+'30.09.68'!K33</f>
        <v>0</v>
      </c>
      <c r="L33" s="65">
        <f t="shared" si="2"/>
        <v>0</v>
      </c>
      <c r="M33" s="52">
        <f>+'01.09.68'!M33+'02.09.68'!M33+'03.09.68'!M33+'04.09.68'!M33+'05.09.68'!M33+'06.09.68'!M33+'07.09.68'!M33+'08.09.68'!M33+'09.09.68'!M33+'10.09.68'!M33+'11.09.68'!M33+'12.09.68'!M33+'13.09.68'!M33+'14.09.68'!M33+'15.09.68'!M33+'16.09.68'!M33+'17.09.68'!M33+'18.09.68'!M33+'19.09.68'!M33+'20.09.68'!M33+'21.09.68'!M33+'22.09.68'!M33+'23.09.68'!M33+'24.09.68'!M33+'25.09.68'!M33+'26.09.68'!M33+'27.09.68'!M33+'28.09.68'!M33+'29.09.68'!M33+'30.09.68'!M33</f>
        <v>0</v>
      </c>
      <c r="N33" s="52">
        <f>+'01.09.68'!N33+'02.09.68'!N33+'03.09.68'!N33+'04.09.68'!N33+'05.09.68'!N33+'06.09.68'!N33+'07.09.68'!N33+'08.09.68'!N33+'09.09.68'!N33+'10.09.68'!N33+'11.09.68'!N33+'12.09.68'!N33+'13.09.68'!N33+'14.09.68'!N33+'15.09.68'!N33+'16.09.68'!N33+'17.09.68'!N33+'18.09.68'!N33+'19.09.68'!N33+'20.09.68'!N33+'21.09.68'!N33+'22.09.68'!N33+'23.09.68'!N33+'24.09.68'!N33+'25.09.68'!N33+'26.09.68'!N33+'27.09.68'!N33+'28.09.68'!N33+'29.09.68'!N33+'30.09.68'!N33</f>
        <v>0</v>
      </c>
      <c r="O33" s="65">
        <f t="shared" si="3"/>
        <v>0</v>
      </c>
      <c r="P33" s="52">
        <f>+'01.09.68'!P33+'02.09.68'!P33+'03.09.68'!P33+'04.09.68'!P33+'05.09.68'!P33+'06.09.68'!P33+'07.09.68'!P33+'08.09.68'!P33+'09.09.68'!P33+'10.09.68'!P33+'11.09.68'!P33+'12.09.68'!P33+'13.09.68'!P33+'14.09.68'!P33+'15.09.68'!P33+'16.09.68'!P33+'17.09.68'!P33+'18.09.68'!P33+'19.09.68'!P33+'20.09.68'!P33+'21.09.68'!P33+'22.09.68'!P33+'23.09.68'!P33+'24.09.68'!P33+'25.09.68'!P33+'26.09.68'!P33+'27.09.68'!P33+'28.09.68'!P33+'29.09.68'!P33+'30.09.68'!P33</f>
        <v>0</v>
      </c>
      <c r="Q33" s="52">
        <f>+'01.09.68'!Q33+'02.09.68'!Q33+'03.09.68'!Q33+'04.09.68'!Q33+'05.09.68'!Q33+'06.09.68'!Q33+'07.09.68'!Q33+'08.09.68'!Q33+'09.09.68'!Q33+'10.09.68'!Q33+'11.09.68'!Q33+'12.09.68'!Q33+'13.09.68'!Q33+'14.09.68'!Q33+'15.09.68'!Q33+'16.09.68'!Q33+'17.09.68'!Q33+'18.09.68'!Q33+'19.09.68'!Q33+'20.09.68'!Q33+'21.09.68'!Q33+'22.09.68'!Q33+'23.09.68'!Q33+'24.09.68'!Q33+'25.09.68'!Q33+'26.09.68'!Q33+'27.09.68'!Q33+'28.09.68'!Q33+'29.09.68'!Q33+'30.09.68'!Q33</f>
        <v>0</v>
      </c>
      <c r="R33" s="65">
        <f t="shared" si="4"/>
        <v>0</v>
      </c>
      <c r="S33" s="52">
        <f>+'01.09.68'!S33+'02.09.68'!S33+'03.09.68'!S33+'04.09.68'!S33+'05.09.68'!S33+'06.09.68'!S33+'07.09.68'!S33+'08.09.68'!S33+'09.09.68'!S33+'10.09.68'!S33+'11.09.68'!S33+'12.09.68'!S33+'13.09.68'!S33+'14.09.68'!S33+'15.09.68'!S33+'16.09.68'!S33+'17.09.68'!S33+'18.09.68'!S33+'19.09.68'!S33+'20.09.68'!S33+'21.09.68'!S33+'22.09.68'!S33+'23.09.68'!S33+'24.09.68'!S33+'25.09.68'!S33+'26.09.68'!S33+'27.09.68'!S33+'28.09.68'!S33+'29.09.68'!S33+'30.09.68'!S33</f>
        <v>0</v>
      </c>
      <c r="T33" s="52">
        <f>+'01.09.68'!T33+'02.09.68'!T33+'03.09.68'!T33+'04.09.68'!T33+'05.09.68'!T33+'06.09.68'!T33+'07.09.68'!T33+'08.09.68'!T33+'09.09.68'!T33+'10.09.68'!T33+'11.09.68'!T33+'12.09.68'!T33+'13.09.68'!T33+'14.09.68'!T33+'15.09.68'!T33+'16.09.68'!T33+'17.09.68'!T33+'18.09.68'!T33+'19.09.68'!T33+'20.09.68'!T33+'21.09.68'!T33+'22.09.68'!T33+'23.09.68'!T33+'24.09.68'!T33+'25.09.68'!T33+'26.09.68'!T33+'27.09.68'!T33+'28.09.68'!T33+'29.09.68'!T33+'30.09.68'!T33</f>
        <v>0</v>
      </c>
      <c r="U33" s="65">
        <f t="shared" si="5"/>
        <v>0</v>
      </c>
      <c r="V33" s="52">
        <f>+'01.09.68'!V33+'02.09.68'!V33+'03.09.68'!V33+'04.09.68'!V33+'05.09.68'!V33+'06.09.68'!V33+'07.09.68'!V33+'08.09.68'!V33+'09.09.68'!V33+'10.09.68'!V33+'11.09.68'!V33+'12.09.68'!V33+'13.09.68'!V33+'14.09.68'!V33+'15.09.68'!V33+'16.09.68'!V33+'17.09.68'!V33+'18.09.68'!V33+'19.09.68'!V33+'20.09.68'!V33+'21.09.68'!V33+'22.09.68'!V33+'23.09.68'!V33+'24.09.68'!V33+'25.09.68'!V33+'26.09.68'!V33+'27.09.68'!V33+'28.09.68'!V33+'29.09.68'!V33+'30.09.68'!V33</f>
        <v>0</v>
      </c>
      <c r="W33" s="52">
        <f>+'01.09.68'!W33+'02.09.68'!W33+'03.09.68'!W33+'04.09.68'!W33+'05.09.68'!W33+'06.09.68'!W33+'07.09.68'!W33+'08.09.68'!W33+'09.09.68'!W33+'10.09.68'!W33+'11.09.68'!W33+'12.09.68'!W33+'13.09.68'!W33+'14.09.68'!W33+'15.09.68'!W33+'16.09.68'!W33+'17.09.68'!W33+'18.09.68'!W33+'19.09.68'!W33+'20.09.68'!W33+'21.09.68'!W33+'22.09.68'!W33+'23.09.68'!W33+'24.09.68'!W33+'25.09.68'!W33+'26.09.68'!W33+'27.09.68'!W33+'28.09.68'!W33+'29.09.68'!W33+'30.09.68'!W33</f>
        <v>0</v>
      </c>
      <c r="X33" s="65">
        <f t="shared" si="6"/>
        <v>0</v>
      </c>
      <c r="Y33" s="52">
        <f>+'01.09.68'!Y33+'02.09.68'!Y33+'03.09.68'!Y33+'04.09.68'!Y33+'05.09.68'!Y33+'06.09.68'!Y33+'07.09.68'!Y33+'08.09.68'!Y33+'09.09.68'!Y33+'10.09.68'!Y33+'11.09.68'!Y33+'12.09.68'!Y33+'13.09.68'!Y33+'14.09.68'!Y33+'15.09.68'!Y33+'16.09.68'!Y33+'17.09.68'!Y33+'18.09.68'!Y33+'19.09.68'!Y33+'20.09.68'!Y33+'21.09.68'!Y33+'22.09.68'!Y33+'23.09.68'!Y33+'24.09.68'!Y33+'25.09.68'!Y33+'26.09.68'!Y33+'27.09.68'!Y33+'28.09.68'!Y33+'29.09.68'!Y33+'30.09.68'!Y33</f>
        <v>0</v>
      </c>
      <c r="Z33" s="66">
        <f t="shared" si="7"/>
        <v>0</v>
      </c>
    </row>
    <row r="34" spans="2:26">
      <c r="B34" s="50">
        <v>1111018</v>
      </c>
      <c r="C34" s="51" t="s">
        <v>165</v>
      </c>
      <c r="D34" s="52">
        <f>+'01.09.68'!D34+'02.09.68'!D34+'03.09.68'!D34+'04.09.68'!D34+'05.09.68'!D34+'06.09.68'!D34+'07.09.68'!D34+'08.09.68'!D34+'09.09.68'!D34+'10.09.68'!D34+'11.09.68'!D34+'12.09.68'!D34+'13.09.68'!D34+'14.09.68'!D34+'15.09.68'!D34+'16.09.68'!D34+'17.09.68'!D34+'18.09.68'!D34+'19.09.68'!D34+'20.09.68'!D34+'21.09.68'!D34+'22.09.68'!D34+'23.09.68'!D34+'24.09.68'!D34+'25.09.68'!D34+'26.09.68'!D34+'27.09.68'!D34+'28.09.68'!D34+'29.09.68'!D34+'30.09.68'!D34</f>
        <v>0</v>
      </c>
      <c r="E34" s="52">
        <f>+'01.09.68'!E34+'02.09.68'!E34+'03.09.68'!E34+'04.09.68'!E34+'05.09.68'!E34+'06.09.68'!E34+'07.09.68'!E34+'08.09.68'!E34+'09.09.68'!E34+'10.09.68'!E34+'11.09.68'!E34+'12.09.68'!E34+'13.09.68'!E34+'14.09.68'!E34+'15.09.68'!E34+'16.09.68'!E34+'17.09.68'!E34+'18.09.68'!E34+'19.09.68'!E34+'20.09.68'!E34+'21.09.68'!E34+'22.09.68'!E34+'23.09.68'!E34+'24.09.68'!E34+'25.09.68'!E34+'26.09.68'!E34+'27.09.68'!E34+'28.09.68'!E34+'29.09.68'!E34+'30.09.68'!E34</f>
        <v>0</v>
      </c>
      <c r="F34" s="65">
        <f t="shared" si="0"/>
        <v>0</v>
      </c>
      <c r="G34" s="52">
        <f>+'01.09.68'!G34+'02.09.68'!G34+'03.09.68'!G34+'04.09.68'!G34+'05.09.68'!G34+'06.09.68'!G34+'07.09.68'!G34+'08.09.68'!G34+'09.09.68'!G34+'10.09.68'!G34+'11.09.68'!G34+'12.09.68'!G34+'13.09.68'!G34+'14.09.68'!G34+'15.09.68'!G34+'16.09.68'!G34+'17.09.68'!G34+'18.09.68'!G34+'19.09.68'!G34+'20.09.68'!G34+'21.09.68'!G34+'22.09.68'!G34+'23.09.68'!G34+'24.09.68'!G34+'25.09.68'!G34+'26.09.68'!G34+'27.09.68'!G34+'28.09.68'!G34+'29.09.68'!G34+'30.09.68'!G34</f>
        <v>0</v>
      </c>
      <c r="H34" s="52">
        <f>+'01.09.68'!H34+'02.09.68'!H34+'03.09.68'!H34+'04.09.68'!H34+'05.09.68'!H34+'06.09.68'!H34+'07.09.68'!H34+'08.09.68'!H34+'09.09.68'!H34+'10.09.68'!H34+'11.09.68'!H34+'12.09.68'!H34+'13.09.68'!H34+'14.09.68'!H34+'15.09.68'!H34+'16.09.68'!H34+'17.09.68'!H34+'18.09.68'!H34+'19.09.68'!H34+'20.09.68'!H34+'21.09.68'!H34+'22.09.68'!H34+'23.09.68'!H34+'24.09.68'!H34+'25.09.68'!H34+'26.09.68'!H34+'27.09.68'!H34+'28.09.68'!H34+'29.09.68'!H34+'30.09.68'!H34</f>
        <v>0</v>
      </c>
      <c r="I34" s="65">
        <f t="shared" si="1"/>
        <v>0</v>
      </c>
      <c r="J34" s="52">
        <f>+'01.09.68'!J34+'02.09.68'!J34+'03.09.68'!J34+'04.09.68'!J34+'05.09.68'!J34+'06.09.68'!J34+'07.09.68'!J34+'08.09.68'!J34+'09.09.68'!J34+'10.09.68'!J34+'11.09.68'!J34+'12.09.68'!J34+'13.09.68'!J34+'14.09.68'!J34+'15.09.68'!J34+'16.09.68'!J34+'17.09.68'!J34+'18.09.68'!J34+'19.09.68'!J34+'20.09.68'!J34+'21.09.68'!J34+'22.09.68'!J34+'23.09.68'!J34+'24.09.68'!J34+'25.09.68'!J34+'26.09.68'!J34+'27.09.68'!J34+'28.09.68'!J34+'29.09.68'!J34+'30.09.68'!J34</f>
        <v>0</v>
      </c>
      <c r="K34" s="52">
        <f>+'01.09.68'!K34+'02.09.68'!K34+'03.09.68'!K34+'04.09.68'!K34+'05.09.68'!K34+'06.09.68'!K34+'07.09.68'!K34+'08.09.68'!K34+'09.09.68'!K34+'10.09.68'!K34+'11.09.68'!K34+'12.09.68'!K34+'13.09.68'!K34+'14.09.68'!K34+'15.09.68'!K34+'16.09.68'!K34+'17.09.68'!K34+'18.09.68'!K34+'19.09.68'!K34+'20.09.68'!K34+'21.09.68'!K34+'22.09.68'!K34+'23.09.68'!K34+'24.09.68'!K34+'25.09.68'!K34+'26.09.68'!K34+'27.09.68'!K34+'28.09.68'!K34+'29.09.68'!K34+'30.09.68'!K34</f>
        <v>0</v>
      </c>
      <c r="L34" s="65">
        <f t="shared" si="2"/>
        <v>0</v>
      </c>
      <c r="M34" s="52">
        <f>+'01.09.68'!M34+'02.09.68'!M34+'03.09.68'!M34+'04.09.68'!M34+'05.09.68'!M34+'06.09.68'!M34+'07.09.68'!M34+'08.09.68'!M34+'09.09.68'!M34+'10.09.68'!M34+'11.09.68'!M34+'12.09.68'!M34+'13.09.68'!M34+'14.09.68'!M34+'15.09.68'!M34+'16.09.68'!M34+'17.09.68'!M34+'18.09.68'!M34+'19.09.68'!M34+'20.09.68'!M34+'21.09.68'!M34+'22.09.68'!M34+'23.09.68'!M34+'24.09.68'!M34+'25.09.68'!M34+'26.09.68'!M34+'27.09.68'!M34+'28.09.68'!M34+'29.09.68'!M34+'30.09.68'!M34</f>
        <v>0</v>
      </c>
      <c r="N34" s="52">
        <f>+'01.09.68'!N34+'02.09.68'!N34+'03.09.68'!N34+'04.09.68'!N34+'05.09.68'!N34+'06.09.68'!N34+'07.09.68'!N34+'08.09.68'!N34+'09.09.68'!N34+'10.09.68'!N34+'11.09.68'!N34+'12.09.68'!N34+'13.09.68'!N34+'14.09.68'!N34+'15.09.68'!N34+'16.09.68'!N34+'17.09.68'!N34+'18.09.68'!N34+'19.09.68'!N34+'20.09.68'!N34+'21.09.68'!N34+'22.09.68'!N34+'23.09.68'!N34+'24.09.68'!N34+'25.09.68'!N34+'26.09.68'!N34+'27.09.68'!N34+'28.09.68'!N34+'29.09.68'!N34+'30.09.68'!N34</f>
        <v>0</v>
      </c>
      <c r="O34" s="65">
        <f t="shared" si="3"/>
        <v>0</v>
      </c>
      <c r="P34" s="52">
        <f>+'01.09.68'!P34+'02.09.68'!P34+'03.09.68'!P34+'04.09.68'!P34+'05.09.68'!P34+'06.09.68'!P34+'07.09.68'!P34+'08.09.68'!P34+'09.09.68'!P34+'10.09.68'!P34+'11.09.68'!P34+'12.09.68'!P34+'13.09.68'!P34+'14.09.68'!P34+'15.09.68'!P34+'16.09.68'!P34+'17.09.68'!P34+'18.09.68'!P34+'19.09.68'!P34+'20.09.68'!P34+'21.09.68'!P34+'22.09.68'!P34+'23.09.68'!P34+'24.09.68'!P34+'25.09.68'!P34+'26.09.68'!P34+'27.09.68'!P34+'28.09.68'!P34+'29.09.68'!P34+'30.09.68'!P34</f>
        <v>0</v>
      </c>
      <c r="Q34" s="52">
        <f>+'01.09.68'!Q34+'02.09.68'!Q34+'03.09.68'!Q34+'04.09.68'!Q34+'05.09.68'!Q34+'06.09.68'!Q34+'07.09.68'!Q34+'08.09.68'!Q34+'09.09.68'!Q34+'10.09.68'!Q34+'11.09.68'!Q34+'12.09.68'!Q34+'13.09.68'!Q34+'14.09.68'!Q34+'15.09.68'!Q34+'16.09.68'!Q34+'17.09.68'!Q34+'18.09.68'!Q34+'19.09.68'!Q34+'20.09.68'!Q34+'21.09.68'!Q34+'22.09.68'!Q34+'23.09.68'!Q34+'24.09.68'!Q34+'25.09.68'!Q34+'26.09.68'!Q34+'27.09.68'!Q34+'28.09.68'!Q34+'29.09.68'!Q34+'30.09.68'!Q34</f>
        <v>0</v>
      </c>
      <c r="R34" s="65">
        <f t="shared" si="4"/>
        <v>0</v>
      </c>
      <c r="S34" s="52">
        <f>+'01.09.68'!S34+'02.09.68'!S34+'03.09.68'!S34+'04.09.68'!S34+'05.09.68'!S34+'06.09.68'!S34+'07.09.68'!S34+'08.09.68'!S34+'09.09.68'!S34+'10.09.68'!S34+'11.09.68'!S34+'12.09.68'!S34+'13.09.68'!S34+'14.09.68'!S34+'15.09.68'!S34+'16.09.68'!S34+'17.09.68'!S34+'18.09.68'!S34+'19.09.68'!S34+'20.09.68'!S34+'21.09.68'!S34+'22.09.68'!S34+'23.09.68'!S34+'24.09.68'!S34+'25.09.68'!S34+'26.09.68'!S34+'27.09.68'!S34+'28.09.68'!S34+'29.09.68'!S34+'30.09.68'!S34</f>
        <v>0</v>
      </c>
      <c r="T34" s="52">
        <f>+'01.09.68'!T34+'02.09.68'!T34+'03.09.68'!T34+'04.09.68'!T34+'05.09.68'!T34+'06.09.68'!T34+'07.09.68'!T34+'08.09.68'!T34+'09.09.68'!T34+'10.09.68'!T34+'11.09.68'!T34+'12.09.68'!T34+'13.09.68'!T34+'14.09.68'!T34+'15.09.68'!T34+'16.09.68'!T34+'17.09.68'!T34+'18.09.68'!T34+'19.09.68'!T34+'20.09.68'!T34+'21.09.68'!T34+'22.09.68'!T34+'23.09.68'!T34+'24.09.68'!T34+'25.09.68'!T34+'26.09.68'!T34+'27.09.68'!T34+'28.09.68'!T34+'29.09.68'!T34+'30.09.68'!T34</f>
        <v>0</v>
      </c>
      <c r="U34" s="65">
        <f t="shared" si="5"/>
        <v>0</v>
      </c>
      <c r="V34" s="52">
        <f>+'01.09.68'!V34+'02.09.68'!V34+'03.09.68'!V34+'04.09.68'!V34+'05.09.68'!V34+'06.09.68'!V34+'07.09.68'!V34+'08.09.68'!V34+'09.09.68'!V34+'10.09.68'!V34+'11.09.68'!V34+'12.09.68'!V34+'13.09.68'!V34+'14.09.68'!V34+'15.09.68'!V34+'16.09.68'!V34+'17.09.68'!V34+'18.09.68'!V34+'19.09.68'!V34+'20.09.68'!V34+'21.09.68'!V34+'22.09.68'!V34+'23.09.68'!V34+'24.09.68'!V34+'25.09.68'!V34+'26.09.68'!V34+'27.09.68'!V34+'28.09.68'!V34+'29.09.68'!V34+'30.09.68'!V34</f>
        <v>0</v>
      </c>
      <c r="W34" s="52">
        <f>+'01.09.68'!W34+'02.09.68'!W34+'03.09.68'!W34+'04.09.68'!W34+'05.09.68'!W34+'06.09.68'!W34+'07.09.68'!W34+'08.09.68'!W34+'09.09.68'!W34+'10.09.68'!W34+'11.09.68'!W34+'12.09.68'!W34+'13.09.68'!W34+'14.09.68'!W34+'15.09.68'!W34+'16.09.68'!W34+'17.09.68'!W34+'18.09.68'!W34+'19.09.68'!W34+'20.09.68'!W34+'21.09.68'!W34+'22.09.68'!W34+'23.09.68'!W34+'24.09.68'!W34+'25.09.68'!W34+'26.09.68'!W34+'27.09.68'!W34+'28.09.68'!W34+'29.09.68'!W34+'30.09.68'!W34</f>
        <v>0</v>
      </c>
      <c r="X34" s="65">
        <f t="shared" si="6"/>
        <v>0</v>
      </c>
      <c r="Y34" s="52">
        <f>+'01.09.68'!Y34+'02.09.68'!Y34+'03.09.68'!Y34+'04.09.68'!Y34+'05.09.68'!Y34+'06.09.68'!Y34+'07.09.68'!Y34+'08.09.68'!Y34+'09.09.68'!Y34+'10.09.68'!Y34+'11.09.68'!Y34+'12.09.68'!Y34+'13.09.68'!Y34+'14.09.68'!Y34+'15.09.68'!Y34+'16.09.68'!Y34+'17.09.68'!Y34+'18.09.68'!Y34+'19.09.68'!Y34+'20.09.68'!Y34+'21.09.68'!Y34+'22.09.68'!Y34+'23.09.68'!Y34+'24.09.68'!Y34+'25.09.68'!Y34+'26.09.68'!Y34+'27.09.68'!Y34+'28.09.68'!Y34+'29.09.68'!Y34+'30.09.68'!Y34</f>
        <v>0</v>
      </c>
      <c r="Z34" s="66">
        <f t="shared" si="7"/>
        <v>0</v>
      </c>
    </row>
    <row r="35" spans="2:26">
      <c r="B35" s="50">
        <v>1111019</v>
      </c>
      <c r="C35" s="51" t="s">
        <v>166</v>
      </c>
      <c r="D35" s="52">
        <f>+'01.09.68'!D35+'02.09.68'!D35+'03.09.68'!D35+'04.09.68'!D35+'05.09.68'!D35+'06.09.68'!D35+'07.09.68'!D35+'08.09.68'!D35+'09.09.68'!D35+'10.09.68'!D35+'11.09.68'!D35+'12.09.68'!D35+'13.09.68'!D35+'14.09.68'!D35+'15.09.68'!D35+'16.09.68'!D35+'17.09.68'!D35+'18.09.68'!D35+'19.09.68'!D35+'20.09.68'!D35+'21.09.68'!D35+'22.09.68'!D35+'23.09.68'!D35+'24.09.68'!D35+'25.09.68'!D35+'26.09.68'!D35+'27.09.68'!D35+'28.09.68'!D35+'29.09.68'!D35+'30.09.68'!D35</f>
        <v>0</v>
      </c>
      <c r="E35" s="52">
        <f>+'01.09.68'!E35+'02.09.68'!E35+'03.09.68'!E35+'04.09.68'!E35+'05.09.68'!E35+'06.09.68'!E35+'07.09.68'!E35+'08.09.68'!E35+'09.09.68'!E35+'10.09.68'!E35+'11.09.68'!E35+'12.09.68'!E35+'13.09.68'!E35+'14.09.68'!E35+'15.09.68'!E35+'16.09.68'!E35+'17.09.68'!E35+'18.09.68'!E35+'19.09.68'!E35+'20.09.68'!E35+'21.09.68'!E35+'22.09.68'!E35+'23.09.68'!E35+'24.09.68'!E35+'25.09.68'!E35+'26.09.68'!E35+'27.09.68'!E35+'28.09.68'!E35+'29.09.68'!E35+'30.09.68'!E35</f>
        <v>0</v>
      </c>
      <c r="F35" s="65">
        <f t="shared" si="0"/>
        <v>0</v>
      </c>
      <c r="G35" s="52">
        <f>+'01.09.68'!G35+'02.09.68'!G35+'03.09.68'!G35+'04.09.68'!G35+'05.09.68'!G35+'06.09.68'!G35+'07.09.68'!G35+'08.09.68'!G35+'09.09.68'!G35+'10.09.68'!G35+'11.09.68'!G35+'12.09.68'!G35+'13.09.68'!G35+'14.09.68'!G35+'15.09.68'!G35+'16.09.68'!G35+'17.09.68'!G35+'18.09.68'!G35+'19.09.68'!G35+'20.09.68'!G35+'21.09.68'!G35+'22.09.68'!G35+'23.09.68'!G35+'24.09.68'!G35+'25.09.68'!G35+'26.09.68'!G35+'27.09.68'!G35+'28.09.68'!G35+'29.09.68'!G35+'30.09.68'!G35</f>
        <v>0</v>
      </c>
      <c r="H35" s="52">
        <f>+'01.09.68'!H35+'02.09.68'!H35+'03.09.68'!H35+'04.09.68'!H35+'05.09.68'!H35+'06.09.68'!H35+'07.09.68'!H35+'08.09.68'!H35+'09.09.68'!H35+'10.09.68'!H35+'11.09.68'!H35+'12.09.68'!H35+'13.09.68'!H35+'14.09.68'!H35+'15.09.68'!H35+'16.09.68'!H35+'17.09.68'!H35+'18.09.68'!H35+'19.09.68'!H35+'20.09.68'!H35+'21.09.68'!H35+'22.09.68'!H35+'23.09.68'!H35+'24.09.68'!H35+'25.09.68'!H35+'26.09.68'!H35+'27.09.68'!H35+'28.09.68'!H35+'29.09.68'!H35+'30.09.68'!H35</f>
        <v>0</v>
      </c>
      <c r="I35" s="65">
        <f t="shared" si="1"/>
        <v>0</v>
      </c>
      <c r="J35" s="52">
        <f>+'01.09.68'!J35+'02.09.68'!J35+'03.09.68'!J35+'04.09.68'!J35+'05.09.68'!J35+'06.09.68'!J35+'07.09.68'!J35+'08.09.68'!J35+'09.09.68'!J35+'10.09.68'!J35+'11.09.68'!J35+'12.09.68'!J35+'13.09.68'!J35+'14.09.68'!J35+'15.09.68'!J35+'16.09.68'!J35+'17.09.68'!J35+'18.09.68'!J35+'19.09.68'!J35+'20.09.68'!J35+'21.09.68'!J35+'22.09.68'!J35+'23.09.68'!J35+'24.09.68'!J35+'25.09.68'!J35+'26.09.68'!J35+'27.09.68'!J35+'28.09.68'!J35+'29.09.68'!J35+'30.09.68'!J35</f>
        <v>0</v>
      </c>
      <c r="K35" s="52">
        <f>+'01.09.68'!K35+'02.09.68'!K35+'03.09.68'!K35+'04.09.68'!K35+'05.09.68'!K35+'06.09.68'!K35+'07.09.68'!K35+'08.09.68'!K35+'09.09.68'!K35+'10.09.68'!K35+'11.09.68'!K35+'12.09.68'!K35+'13.09.68'!K35+'14.09.68'!K35+'15.09.68'!K35+'16.09.68'!K35+'17.09.68'!K35+'18.09.68'!K35+'19.09.68'!K35+'20.09.68'!K35+'21.09.68'!K35+'22.09.68'!K35+'23.09.68'!K35+'24.09.68'!K35+'25.09.68'!K35+'26.09.68'!K35+'27.09.68'!K35+'28.09.68'!K35+'29.09.68'!K35+'30.09.68'!K35</f>
        <v>0</v>
      </c>
      <c r="L35" s="65">
        <f t="shared" si="2"/>
        <v>0</v>
      </c>
      <c r="M35" s="52">
        <f>+'01.09.68'!M35+'02.09.68'!M35+'03.09.68'!M35+'04.09.68'!M35+'05.09.68'!M35+'06.09.68'!M35+'07.09.68'!M35+'08.09.68'!M35+'09.09.68'!M35+'10.09.68'!M35+'11.09.68'!M35+'12.09.68'!M35+'13.09.68'!M35+'14.09.68'!M35+'15.09.68'!M35+'16.09.68'!M35+'17.09.68'!M35+'18.09.68'!M35+'19.09.68'!M35+'20.09.68'!M35+'21.09.68'!M35+'22.09.68'!M35+'23.09.68'!M35+'24.09.68'!M35+'25.09.68'!M35+'26.09.68'!M35+'27.09.68'!M35+'28.09.68'!M35+'29.09.68'!M35+'30.09.68'!M35</f>
        <v>0</v>
      </c>
      <c r="N35" s="52">
        <f>+'01.09.68'!N35+'02.09.68'!N35+'03.09.68'!N35+'04.09.68'!N35+'05.09.68'!N35+'06.09.68'!N35+'07.09.68'!N35+'08.09.68'!N35+'09.09.68'!N35+'10.09.68'!N35+'11.09.68'!N35+'12.09.68'!N35+'13.09.68'!N35+'14.09.68'!N35+'15.09.68'!N35+'16.09.68'!N35+'17.09.68'!N35+'18.09.68'!N35+'19.09.68'!N35+'20.09.68'!N35+'21.09.68'!N35+'22.09.68'!N35+'23.09.68'!N35+'24.09.68'!N35+'25.09.68'!N35+'26.09.68'!N35+'27.09.68'!N35+'28.09.68'!N35+'29.09.68'!N35+'30.09.68'!N35</f>
        <v>0</v>
      </c>
      <c r="O35" s="65">
        <f t="shared" si="3"/>
        <v>0</v>
      </c>
      <c r="P35" s="52">
        <f>+'01.09.68'!P35+'02.09.68'!P35+'03.09.68'!P35+'04.09.68'!P35+'05.09.68'!P35+'06.09.68'!P35+'07.09.68'!P35+'08.09.68'!P35+'09.09.68'!P35+'10.09.68'!P35+'11.09.68'!P35+'12.09.68'!P35+'13.09.68'!P35+'14.09.68'!P35+'15.09.68'!P35+'16.09.68'!P35+'17.09.68'!P35+'18.09.68'!P35+'19.09.68'!P35+'20.09.68'!P35+'21.09.68'!P35+'22.09.68'!P35+'23.09.68'!P35+'24.09.68'!P35+'25.09.68'!P35+'26.09.68'!P35+'27.09.68'!P35+'28.09.68'!P35+'29.09.68'!P35+'30.09.68'!P35</f>
        <v>0</v>
      </c>
      <c r="Q35" s="52">
        <f>+'01.09.68'!Q35+'02.09.68'!Q35+'03.09.68'!Q35+'04.09.68'!Q35+'05.09.68'!Q35+'06.09.68'!Q35+'07.09.68'!Q35+'08.09.68'!Q35+'09.09.68'!Q35+'10.09.68'!Q35+'11.09.68'!Q35+'12.09.68'!Q35+'13.09.68'!Q35+'14.09.68'!Q35+'15.09.68'!Q35+'16.09.68'!Q35+'17.09.68'!Q35+'18.09.68'!Q35+'19.09.68'!Q35+'20.09.68'!Q35+'21.09.68'!Q35+'22.09.68'!Q35+'23.09.68'!Q35+'24.09.68'!Q35+'25.09.68'!Q35+'26.09.68'!Q35+'27.09.68'!Q35+'28.09.68'!Q35+'29.09.68'!Q35+'30.09.68'!Q35</f>
        <v>0</v>
      </c>
      <c r="R35" s="65">
        <f t="shared" si="4"/>
        <v>0</v>
      </c>
      <c r="S35" s="52">
        <f>+'01.09.68'!S35+'02.09.68'!S35+'03.09.68'!S35+'04.09.68'!S35+'05.09.68'!S35+'06.09.68'!S35+'07.09.68'!S35+'08.09.68'!S35+'09.09.68'!S35+'10.09.68'!S35+'11.09.68'!S35+'12.09.68'!S35+'13.09.68'!S35+'14.09.68'!S35+'15.09.68'!S35+'16.09.68'!S35+'17.09.68'!S35+'18.09.68'!S35+'19.09.68'!S35+'20.09.68'!S35+'21.09.68'!S35+'22.09.68'!S35+'23.09.68'!S35+'24.09.68'!S35+'25.09.68'!S35+'26.09.68'!S35+'27.09.68'!S35+'28.09.68'!S35+'29.09.68'!S35+'30.09.68'!S35</f>
        <v>0</v>
      </c>
      <c r="T35" s="52">
        <f>+'01.09.68'!T35+'02.09.68'!T35+'03.09.68'!T35+'04.09.68'!T35+'05.09.68'!T35+'06.09.68'!T35+'07.09.68'!T35+'08.09.68'!T35+'09.09.68'!T35+'10.09.68'!T35+'11.09.68'!T35+'12.09.68'!T35+'13.09.68'!T35+'14.09.68'!T35+'15.09.68'!T35+'16.09.68'!T35+'17.09.68'!T35+'18.09.68'!T35+'19.09.68'!T35+'20.09.68'!T35+'21.09.68'!T35+'22.09.68'!T35+'23.09.68'!T35+'24.09.68'!T35+'25.09.68'!T35+'26.09.68'!T35+'27.09.68'!T35+'28.09.68'!T35+'29.09.68'!T35+'30.09.68'!T35</f>
        <v>0</v>
      </c>
      <c r="U35" s="65">
        <f t="shared" si="5"/>
        <v>0</v>
      </c>
      <c r="V35" s="52">
        <f>+'01.09.68'!V35+'02.09.68'!V35+'03.09.68'!V35+'04.09.68'!V35+'05.09.68'!V35+'06.09.68'!V35+'07.09.68'!V35+'08.09.68'!V35+'09.09.68'!V35+'10.09.68'!V35+'11.09.68'!V35+'12.09.68'!V35+'13.09.68'!V35+'14.09.68'!V35+'15.09.68'!V35+'16.09.68'!V35+'17.09.68'!V35+'18.09.68'!V35+'19.09.68'!V35+'20.09.68'!V35+'21.09.68'!V35+'22.09.68'!V35+'23.09.68'!V35+'24.09.68'!V35+'25.09.68'!V35+'26.09.68'!V35+'27.09.68'!V35+'28.09.68'!V35+'29.09.68'!V35+'30.09.68'!V35</f>
        <v>0</v>
      </c>
      <c r="W35" s="52">
        <f>+'01.09.68'!W35+'02.09.68'!W35+'03.09.68'!W35+'04.09.68'!W35+'05.09.68'!W35+'06.09.68'!W35+'07.09.68'!W35+'08.09.68'!W35+'09.09.68'!W35+'10.09.68'!W35+'11.09.68'!W35+'12.09.68'!W35+'13.09.68'!W35+'14.09.68'!W35+'15.09.68'!W35+'16.09.68'!W35+'17.09.68'!W35+'18.09.68'!W35+'19.09.68'!W35+'20.09.68'!W35+'21.09.68'!W35+'22.09.68'!W35+'23.09.68'!W35+'24.09.68'!W35+'25.09.68'!W35+'26.09.68'!W35+'27.09.68'!W35+'28.09.68'!W35+'29.09.68'!W35+'30.09.68'!W35</f>
        <v>0</v>
      </c>
      <c r="X35" s="65">
        <f t="shared" si="6"/>
        <v>0</v>
      </c>
      <c r="Y35" s="52">
        <f>+'01.09.68'!Y35+'02.09.68'!Y35+'03.09.68'!Y35+'04.09.68'!Y35+'05.09.68'!Y35+'06.09.68'!Y35+'07.09.68'!Y35+'08.09.68'!Y35+'09.09.68'!Y35+'10.09.68'!Y35+'11.09.68'!Y35+'12.09.68'!Y35+'13.09.68'!Y35+'14.09.68'!Y35+'15.09.68'!Y35+'16.09.68'!Y35+'17.09.68'!Y35+'18.09.68'!Y35+'19.09.68'!Y35+'20.09.68'!Y35+'21.09.68'!Y35+'22.09.68'!Y35+'23.09.68'!Y35+'24.09.68'!Y35+'25.09.68'!Y35+'26.09.68'!Y35+'27.09.68'!Y35+'28.09.68'!Y35+'29.09.68'!Y35+'30.09.68'!Y35</f>
        <v>0</v>
      </c>
      <c r="Z35" s="66">
        <f t="shared" si="7"/>
        <v>0</v>
      </c>
    </row>
    <row r="36" spans="2:26">
      <c r="B36" s="50">
        <v>1111020</v>
      </c>
      <c r="C36" s="51" t="s">
        <v>167</v>
      </c>
      <c r="D36" s="52">
        <f>+'01.09.68'!D36+'02.09.68'!D36+'03.09.68'!D36+'04.09.68'!D36+'05.09.68'!D36+'06.09.68'!D36+'07.09.68'!D36+'08.09.68'!D36+'09.09.68'!D36+'10.09.68'!D36+'11.09.68'!D36+'12.09.68'!D36+'13.09.68'!D36+'14.09.68'!D36+'15.09.68'!D36+'16.09.68'!D36+'17.09.68'!D36+'18.09.68'!D36+'19.09.68'!D36+'20.09.68'!D36+'21.09.68'!D36+'22.09.68'!D36+'23.09.68'!D36+'24.09.68'!D36+'25.09.68'!D36+'26.09.68'!D36+'27.09.68'!D36+'28.09.68'!D36+'29.09.68'!D36+'30.09.68'!D36</f>
        <v>0</v>
      </c>
      <c r="E36" s="52">
        <f>+'01.09.68'!E36+'02.09.68'!E36+'03.09.68'!E36+'04.09.68'!E36+'05.09.68'!E36+'06.09.68'!E36+'07.09.68'!E36+'08.09.68'!E36+'09.09.68'!E36+'10.09.68'!E36+'11.09.68'!E36+'12.09.68'!E36+'13.09.68'!E36+'14.09.68'!E36+'15.09.68'!E36+'16.09.68'!E36+'17.09.68'!E36+'18.09.68'!E36+'19.09.68'!E36+'20.09.68'!E36+'21.09.68'!E36+'22.09.68'!E36+'23.09.68'!E36+'24.09.68'!E36+'25.09.68'!E36+'26.09.68'!E36+'27.09.68'!E36+'28.09.68'!E36+'29.09.68'!E36+'30.09.68'!E36</f>
        <v>0</v>
      </c>
      <c r="F36" s="65">
        <f t="shared" si="0"/>
        <v>0</v>
      </c>
      <c r="G36" s="52">
        <f>+'01.09.68'!G36+'02.09.68'!G36+'03.09.68'!G36+'04.09.68'!G36+'05.09.68'!G36+'06.09.68'!G36+'07.09.68'!G36+'08.09.68'!G36+'09.09.68'!G36+'10.09.68'!G36+'11.09.68'!G36+'12.09.68'!G36+'13.09.68'!G36+'14.09.68'!G36+'15.09.68'!G36+'16.09.68'!G36+'17.09.68'!G36+'18.09.68'!G36+'19.09.68'!G36+'20.09.68'!G36+'21.09.68'!G36+'22.09.68'!G36+'23.09.68'!G36+'24.09.68'!G36+'25.09.68'!G36+'26.09.68'!G36+'27.09.68'!G36+'28.09.68'!G36+'29.09.68'!G36+'30.09.68'!G36</f>
        <v>0</v>
      </c>
      <c r="H36" s="52">
        <f>+'01.09.68'!H36+'02.09.68'!H36+'03.09.68'!H36+'04.09.68'!H36+'05.09.68'!H36+'06.09.68'!H36+'07.09.68'!H36+'08.09.68'!H36+'09.09.68'!H36+'10.09.68'!H36+'11.09.68'!H36+'12.09.68'!H36+'13.09.68'!H36+'14.09.68'!H36+'15.09.68'!H36+'16.09.68'!H36+'17.09.68'!H36+'18.09.68'!H36+'19.09.68'!H36+'20.09.68'!H36+'21.09.68'!H36+'22.09.68'!H36+'23.09.68'!H36+'24.09.68'!H36+'25.09.68'!H36+'26.09.68'!H36+'27.09.68'!H36+'28.09.68'!H36+'29.09.68'!H36+'30.09.68'!H36</f>
        <v>0</v>
      </c>
      <c r="I36" s="65">
        <f t="shared" si="1"/>
        <v>0</v>
      </c>
      <c r="J36" s="52">
        <f>+'01.09.68'!J36+'02.09.68'!J36+'03.09.68'!J36+'04.09.68'!J36+'05.09.68'!J36+'06.09.68'!J36+'07.09.68'!J36+'08.09.68'!J36+'09.09.68'!J36+'10.09.68'!J36+'11.09.68'!J36+'12.09.68'!J36+'13.09.68'!J36+'14.09.68'!J36+'15.09.68'!J36+'16.09.68'!J36+'17.09.68'!J36+'18.09.68'!J36+'19.09.68'!J36+'20.09.68'!J36+'21.09.68'!J36+'22.09.68'!J36+'23.09.68'!J36+'24.09.68'!J36+'25.09.68'!J36+'26.09.68'!J36+'27.09.68'!J36+'28.09.68'!J36+'29.09.68'!J36+'30.09.68'!J36</f>
        <v>0</v>
      </c>
      <c r="K36" s="52">
        <f>+'01.09.68'!K36+'02.09.68'!K36+'03.09.68'!K36+'04.09.68'!K36+'05.09.68'!K36+'06.09.68'!K36+'07.09.68'!K36+'08.09.68'!K36+'09.09.68'!K36+'10.09.68'!K36+'11.09.68'!K36+'12.09.68'!K36+'13.09.68'!K36+'14.09.68'!K36+'15.09.68'!K36+'16.09.68'!K36+'17.09.68'!K36+'18.09.68'!K36+'19.09.68'!K36+'20.09.68'!K36+'21.09.68'!K36+'22.09.68'!K36+'23.09.68'!K36+'24.09.68'!K36+'25.09.68'!K36+'26.09.68'!K36+'27.09.68'!K36+'28.09.68'!K36+'29.09.68'!K36+'30.09.68'!K36</f>
        <v>0</v>
      </c>
      <c r="L36" s="65">
        <f t="shared" si="2"/>
        <v>0</v>
      </c>
      <c r="M36" s="52">
        <f>+'01.09.68'!M36+'02.09.68'!M36+'03.09.68'!M36+'04.09.68'!M36+'05.09.68'!M36+'06.09.68'!M36+'07.09.68'!M36+'08.09.68'!M36+'09.09.68'!M36+'10.09.68'!M36+'11.09.68'!M36+'12.09.68'!M36+'13.09.68'!M36+'14.09.68'!M36+'15.09.68'!M36+'16.09.68'!M36+'17.09.68'!M36+'18.09.68'!M36+'19.09.68'!M36+'20.09.68'!M36+'21.09.68'!M36+'22.09.68'!M36+'23.09.68'!M36+'24.09.68'!M36+'25.09.68'!M36+'26.09.68'!M36+'27.09.68'!M36+'28.09.68'!M36+'29.09.68'!M36+'30.09.68'!M36</f>
        <v>0</v>
      </c>
      <c r="N36" s="52">
        <f>+'01.09.68'!N36+'02.09.68'!N36+'03.09.68'!N36+'04.09.68'!N36+'05.09.68'!N36+'06.09.68'!N36+'07.09.68'!N36+'08.09.68'!N36+'09.09.68'!N36+'10.09.68'!N36+'11.09.68'!N36+'12.09.68'!N36+'13.09.68'!N36+'14.09.68'!N36+'15.09.68'!N36+'16.09.68'!N36+'17.09.68'!N36+'18.09.68'!N36+'19.09.68'!N36+'20.09.68'!N36+'21.09.68'!N36+'22.09.68'!N36+'23.09.68'!N36+'24.09.68'!N36+'25.09.68'!N36+'26.09.68'!N36+'27.09.68'!N36+'28.09.68'!N36+'29.09.68'!N36+'30.09.68'!N36</f>
        <v>0</v>
      </c>
      <c r="O36" s="65">
        <f t="shared" si="3"/>
        <v>0</v>
      </c>
      <c r="P36" s="52">
        <f>+'01.09.68'!P36+'02.09.68'!P36+'03.09.68'!P36+'04.09.68'!P36+'05.09.68'!P36+'06.09.68'!P36+'07.09.68'!P36+'08.09.68'!P36+'09.09.68'!P36+'10.09.68'!P36+'11.09.68'!P36+'12.09.68'!P36+'13.09.68'!P36+'14.09.68'!P36+'15.09.68'!P36+'16.09.68'!P36+'17.09.68'!P36+'18.09.68'!P36+'19.09.68'!P36+'20.09.68'!P36+'21.09.68'!P36+'22.09.68'!P36+'23.09.68'!P36+'24.09.68'!P36+'25.09.68'!P36+'26.09.68'!P36+'27.09.68'!P36+'28.09.68'!P36+'29.09.68'!P36+'30.09.68'!P36</f>
        <v>0</v>
      </c>
      <c r="Q36" s="52">
        <f>+'01.09.68'!Q36+'02.09.68'!Q36+'03.09.68'!Q36+'04.09.68'!Q36+'05.09.68'!Q36+'06.09.68'!Q36+'07.09.68'!Q36+'08.09.68'!Q36+'09.09.68'!Q36+'10.09.68'!Q36+'11.09.68'!Q36+'12.09.68'!Q36+'13.09.68'!Q36+'14.09.68'!Q36+'15.09.68'!Q36+'16.09.68'!Q36+'17.09.68'!Q36+'18.09.68'!Q36+'19.09.68'!Q36+'20.09.68'!Q36+'21.09.68'!Q36+'22.09.68'!Q36+'23.09.68'!Q36+'24.09.68'!Q36+'25.09.68'!Q36+'26.09.68'!Q36+'27.09.68'!Q36+'28.09.68'!Q36+'29.09.68'!Q36+'30.09.68'!Q36</f>
        <v>0</v>
      </c>
      <c r="R36" s="65">
        <f t="shared" si="4"/>
        <v>0</v>
      </c>
      <c r="S36" s="52">
        <f>+'01.09.68'!S36+'02.09.68'!S36+'03.09.68'!S36+'04.09.68'!S36+'05.09.68'!S36+'06.09.68'!S36+'07.09.68'!S36+'08.09.68'!S36+'09.09.68'!S36+'10.09.68'!S36+'11.09.68'!S36+'12.09.68'!S36+'13.09.68'!S36+'14.09.68'!S36+'15.09.68'!S36+'16.09.68'!S36+'17.09.68'!S36+'18.09.68'!S36+'19.09.68'!S36+'20.09.68'!S36+'21.09.68'!S36+'22.09.68'!S36+'23.09.68'!S36+'24.09.68'!S36+'25.09.68'!S36+'26.09.68'!S36+'27.09.68'!S36+'28.09.68'!S36+'29.09.68'!S36+'30.09.68'!S36</f>
        <v>0</v>
      </c>
      <c r="T36" s="52">
        <f>+'01.09.68'!T36+'02.09.68'!T36+'03.09.68'!T36+'04.09.68'!T36+'05.09.68'!T36+'06.09.68'!T36+'07.09.68'!T36+'08.09.68'!T36+'09.09.68'!T36+'10.09.68'!T36+'11.09.68'!T36+'12.09.68'!T36+'13.09.68'!T36+'14.09.68'!T36+'15.09.68'!T36+'16.09.68'!T36+'17.09.68'!T36+'18.09.68'!T36+'19.09.68'!T36+'20.09.68'!T36+'21.09.68'!T36+'22.09.68'!T36+'23.09.68'!T36+'24.09.68'!T36+'25.09.68'!T36+'26.09.68'!T36+'27.09.68'!T36+'28.09.68'!T36+'29.09.68'!T36+'30.09.68'!T36</f>
        <v>0</v>
      </c>
      <c r="U36" s="65">
        <f t="shared" si="5"/>
        <v>0</v>
      </c>
      <c r="V36" s="52">
        <f>+'01.09.68'!V36+'02.09.68'!V36+'03.09.68'!V36+'04.09.68'!V36+'05.09.68'!V36+'06.09.68'!V36+'07.09.68'!V36+'08.09.68'!V36+'09.09.68'!V36+'10.09.68'!V36+'11.09.68'!V36+'12.09.68'!V36+'13.09.68'!V36+'14.09.68'!V36+'15.09.68'!V36+'16.09.68'!V36+'17.09.68'!V36+'18.09.68'!V36+'19.09.68'!V36+'20.09.68'!V36+'21.09.68'!V36+'22.09.68'!V36+'23.09.68'!V36+'24.09.68'!V36+'25.09.68'!V36+'26.09.68'!V36+'27.09.68'!V36+'28.09.68'!V36+'29.09.68'!V36+'30.09.68'!V36</f>
        <v>0</v>
      </c>
      <c r="W36" s="52">
        <f>+'01.09.68'!W36+'02.09.68'!W36+'03.09.68'!W36+'04.09.68'!W36+'05.09.68'!W36+'06.09.68'!W36+'07.09.68'!W36+'08.09.68'!W36+'09.09.68'!W36+'10.09.68'!W36+'11.09.68'!W36+'12.09.68'!W36+'13.09.68'!W36+'14.09.68'!W36+'15.09.68'!W36+'16.09.68'!W36+'17.09.68'!W36+'18.09.68'!W36+'19.09.68'!W36+'20.09.68'!W36+'21.09.68'!W36+'22.09.68'!W36+'23.09.68'!W36+'24.09.68'!W36+'25.09.68'!W36+'26.09.68'!W36+'27.09.68'!W36+'28.09.68'!W36+'29.09.68'!W36+'30.09.68'!W36</f>
        <v>0</v>
      </c>
      <c r="X36" s="65">
        <f t="shared" si="6"/>
        <v>0</v>
      </c>
      <c r="Y36" s="52">
        <f>+'01.09.68'!Y36+'02.09.68'!Y36+'03.09.68'!Y36+'04.09.68'!Y36+'05.09.68'!Y36+'06.09.68'!Y36+'07.09.68'!Y36+'08.09.68'!Y36+'09.09.68'!Y36+'10.09.68'!Y36+'11.09.68'!Y36+'12.09.68'!Y36+'13.09.68'!Y36+'14.09.68'!Y36+'15.09.68'!Y36+'16.09.68'!Y36+'17.09.68'!Y36+'18.09.68'!Y36+'19.09.68'!Y36+'20.09.68'!Y36+'21.09.68'!Y36+'22.09.68'!Y36+'23.09.68'!Y36+'24.09.68'!Y36+'25.09.68'!Y36+'26.09.68'!Y36+'27.09.68'!Y36+'28.09.68'!Y36+'29.09.68'!Y36+'30.09.68'!Y36</f>
        <v>42</v>
      </c>
      <c r="Z36" s="66">
        <f t="shared" si="7"/>
        <v>42</v>
      </c>
    </row>
    <row r="37" spans="2:26">
      <c r="B37" s="50">
        <v>1111022</v>
      </c>
      <c r="C37" s="51" t="s">
        <v>168</v>
      </c>
      <c r="D37" s="52">
        <f>+'01.09.68'!D37+'02.09.68'!D37+'03.09.68'!D37+'04.09.68'!D37+'05.09.68'!D37+'06.09.68'!D37+'07.09.68'!D37+'08.09.68'!D37+'09.09.68'!D37+'10.09.68'!D37+'11.09.68'!D37+'12.09.68'!D37+'13.09.68'!D37+'14.09.68'!D37+'15.09.68'!D37+'16.09.68'!D37+'17.09.68'!D37+'18.09.68'!D37+'19.09.68'!D37+'20.09.68'!D37+'21.09.68'!D37+'22.09.68'!D37+'23.09.68'!D37+'24.09.68'!D37+'25.09.68'!D37+'26.09.68'!D37+'27.09.68'!D37+'28.09.68'!D37+'29.09.68'!D37+'30.09.68'!D37</f>
        <v>0</v>
      </c>
      <c r="E37" s="52">
        <f>+'01.09.68'!E37+'02.09.68'!E37+'03.09.68'!E37+'04.09.68'!E37+'05.09.68'!E37+'06.09.68'!E37+'07.09.68'!E37+'08.09.68'!E37+'09.09.68'!E37+'10.09.68'!E37+'11.09.68'!E37+'12.09.68'!E37+'13.09.68'!E37+'14.09.68'!E37+'15.09.68'!E37+'16.09.68'!E37+'17.09.68'!E37+'18.09.68'!E37+'19.09.68'!E37+'20.09.68'!E37+'21.09.68'!E37+'22.09.68'!E37+'23.09.68'!E37+'24.09.68'!E37+'25.09.68'!E37+'26.09.68'!E37+'27.09.68'!E37+'28.09.68'!E37+'29.09.68'!E37+'30.09.68'!E37</f>
        <v>0</v>
      </c>
      <c r="F37" s="65">
        <f t="shared" si="0"/>
        <v>0</v>
      </c>
      <c r="G37" s="52">
        <f>+'01.09.68'!G37+'02.09.68'!G37+'03.09.68'!G37+'04.09.68'!G37+'05.09.68'!G37+'06.09.68'!G37+'07.09.68'!G37+'08.09.68'!G37+'09.09.68'!G37+'10.09.68'!G37+'11.09.68'!G37+'12.09.68'!G37+'13.09.68'!G37+'14.09.68'!G37+'15.09.68'!G37+'16.09.68'!G37+'17.09.68'!G37+'18.09.68'!G37+'19.09.68'!G37+'20.09.68'!G37+'21.09.68'!G37+'22.09.68'!G37+'23.09.68'!G37+'24.09.68'!G37+'25.09.68'!G37+'26.09.68'!G37+'27.09.68'!G37+'28.09.68'!G37+'29.09.68'!G37+'30.09.68'!G37</f>
        <v>0</v>
      </c>
      <c r="H37" s="52">
        <f>+'01.09.68'!H37+'02.09.68'!H37+'03.09.68'!H37+'04.09.68'!H37+'05.09.68'!H37+'06.09.68'!H37+'07.09.68'!H37+'08.09.68'!H37+'09.09.68'!H37+'10.09.68'!H37+'11.09.68'!H37+'12.09.68'!H37+'13.09.68'!H37+'14.09.68'!H37+'15.09.68'!H37+'16.09.68'!H37+'17.09.68'!H37+'18.09.68'!H37+'19.09.68'!H37+'20.09.68'!H37+'21.09.68'!H37+'22.09.68'!H37+'23.09.68'!H37+'24.09.68'!H37+'25.09.68'!H37+'26.09.68'!H37+'27.09.68'!H37+'28.09.68'!H37+'29.09.68'!H37+'30.09.68'!H37</f>
        <v>0</v>
      </c>
      <c r="I37" s="65">
        <f t="shared" si="1"/>
        <v>0</v>
      </c>
      <c r="J37" s="52">
        <f>+'01.09.68'!J37+'02.09.68'!J37+'03.09.68'!J37+'04.09.68'!J37+'05.09.68'!J37+'06.09.68'!J37+'07.09.68'!J37+'08.09.68'!J37+'09.09.68'!J37+'10.09.68'!J37+'11.09.68'!J37+'12.09.68'!J37+'13.09.68'!J37+'14.09.68'!J37+'15.09.68'!J37+'16.09.68'!J37+'17.09.68'!J37+'18.09.68'!J37+'19.09.68'!J37+'20.09.68'!J37+'21.09.68'!J37+'22.09.68'!J37+'23.09.68'!J37+'24.09.68'!J37+'25.09.68'!J37+'26.09.68'!J37+'27.09.68'!J37+'28.09.68'!J37+'29.09.68'!J37+'30.09.68'!J37</f>
        <v>0</v>
      </c>
      <c r="K37" s="52">
        <f>+'01.09.68'!K37+'02.09.68'!K37+'03.09.68'!K37+'04.09.68'!K37+'05.09.68'!K37+'06.09.68'!K37+'07.09.68'!K37+'08.09.68'!K37+'09.09.68'!K37+'10.09.68'!K37+'11.09.68'!K37+'12.09.68'!K37+'13.09.68'!K37+'14.09.68'!K37+'15.09.68'!K37+'16.09.68'!K37+'17.09.68'!K37+'18.09.68'!K37+'19.09.68'!K37+'20.09.68'!K37+'21.09.68'!K37+'22.09.68'!K37+'23.09.68'!K37+'24.09.68'!K37+'25.09.68'!K37+'26.09.68'!K37+'27.09.68'!K37+'28.09.68'!K37+'29.09.68'!K37+'30.09.68'!K37</f>
        <v>0</v>
      </c>
      <c r="L37" s="65">
        <f t="shared" si="2"/>
        <v>0</v>
      </c>
      <c r="M37" s="52">
        <f>+'01.09.68'!M37+'02.09.68'!M37+'03.09.68'!M37+'04.09.68'!M37+'05.09.68'!M37+'06.09.68'!M37+'07.09.68'!M37+'08.09.68'!M37+'09.09.68'!M37+'10.09.68'!M37+'11.09.68'!M37+'12.09.68'!M37+'13.09.68'!M37+'14.09.68'!M37+'15.09.68'!M37+'16.09.68'!M37+'17.09.68'!M37+'18.09.68'!M37+'19.09.68'!M37+'20.09.68'!M37+'21.09.68'!M37+'22.09.68'!M37+'23.09.68'!M37+'24.09.68'!M37+'25.09.68'!M37+'26.09.68'!M37+'27.09.68'!M37+'28.09.68'!M37+'29.09.68'!M37+'30.09.68'!M37</f>
        <v>0</v>
      </c>
      <c r="N37" s="52">
        <f>+'01.09.68'!N37+'02.09.68'!N37+'03.09.68'!N37+'04.09.68'!N37+'05.09.68'!N37+'06.09.68'!N37+'07.09.68'!N37+'08.09.68'!N37+'09.09.68'!N37+'10.09.68'!N37+'11.09.68'!N37+'12.09.68'!N37+'13.09.68'!N37+'14.09.68'!N37+'15.09.68'!N37+'16.09.68'!N37+'17.09.68'!N37+'18.09.68'!N37+'19.09.68'!N37+'20.09.68'!N37+'21.09.68'!N37+'22.09.68'!N37+'23.09.68'!N37+'24.09.68'!N37+'25.09.68'!N37+'26.09.68'!N37+'27.09.68'!N37+'28.09.68'!N37+'29.09.68'!N37+'30.09.68'!N37</f>
        <v>0</v>
      </c>
      <c r="O37" s="65">
        <f t="shared" si="3"/>
        <v>0</v>
      </c>
      <c r="P37" s="52">
        <f>+'01.09.68'!P37+'02.09.68'!P37+'03.09.68'!P37+'04.09.68'!P37+'05.09.68'!P37+'06.09.68'!P37+'07.09.68'!P37+'08.09.68'!P37+'09.09.68'!P37+'10.09.68'!P37+'11.09.68'!P37+'12.09.68'!P37+'13.09.68'!P37+'14.09.68'!P37+'15.09.68'!P37+'16.09.68'!P37+'17.09.68'!P37+'18.09.68'!P37+'19.09.68'!P37+'20.09.68'!P37+'21.09.68'!P37+'22.09.68'!P37+'23.09.68'!P37+'24.09.68'!P37+'25.09.68'!P37+'26.09.68'!P37+'27.09.68'!P37+'28.09.68'!P37+'29.09.68'!P37+'30.09.68'!P37</f>
        <v>0</v>
      </c>
      <c r="Q37" s="52">
        <f>+'01.09.68'!Q37+'02.09.68'!Q37+'03.09.68'!Q37+'04.09.68'!Q37+'05.09.68'!Q37+'06.09.68'!Q37+'07.09.68'!Q37+'08.09.68'!Q37+'09.09.68'!Q37+'10.09.68'!Q37+'11.09.68'!Q37+'12.09.68'!Q37+'13.09.68'!Q37+'14.09.68'!Q37+'15.09.68'!Q37+'16.09.68'!Q37+'17.09.68'!Q37+'18.09.68'!Q37+'19.09.68'!Q37+'20.09.68'!Q37+'21.09.68'!Q37+'22.09.68'!Q37+'23.09.68'!Q37+'24.09.68'!Q37+'25.09.68'!Q37+'26.09.68'!Q37+'27.09.68'!Q37+'28.09.68'!Q37+'29.09.68'!Q37+'30.09.68'!Q37</f>
        <v>0</v>
      </c>
      <c r="R37" s="65">
        <f t="shared" si="4"/>
        <v>0</v>
      </c>
      <c r="S37" s="52">
        <f>+'01.09.68'!S37+'02.09.68'!S37+'03.09.68'!S37+'04.09.68'!S37+'05.09.68'!S37+'06.09.68'!S37+'07.09.68'!S37+'08.09.68'!S37+'09.09.68'!S37+'10.09.68'!S37+'11.09.68'!S37+'12.09.68'!S37+'13.09.68'!S37+'14.09.68'!S37+'15.09.68'!S37+'16.09.68'!S37+'17.09.68'!S37+'18.09.68'!S37+'19.09.68'!S37+'20.09.68'!S37+'21.09.68'!S37+'22.09.68'!S37+'23.09.68'!S37+'24.09.68'!S37+'25.09.68'!S37+'26.09.68'!S37+'27.09.68'!S37+'28.09.68'!S37+'29.09.68'!S37+'30.09.68'!S37</f>
        <v>0</v>
      </c>
      <c r="T37" s="52">
        <f>+'01.09.68'!T37+'02.09.68'!T37+'03.09.68'!T37+'04.09.68'!T37+'05.09.68'!T37+'06.09.68'!T37+'07.09.68'!T37+'08.09.68'!T37+'09.09.68'!T37+'10.09.68'!T37+'11.09.68'!T37+'12.09.68'!T37+'13.09.68'!T37+'14.09.68'!T37+'15.09.68'!T37+'16.09.68'!T37+'17.09.68'!T37+'18.09.68'!T37+'19.09.68'!T37+'20.09.68'!T37+'21.09.68'!T37+'22.09.68'!T37+'23.09.68'!T37+'24.09.68'!T37+'25.09.68'!T37+'26.09.68'!T37+'27.09.68'!T37+'28.09.68'!T37+'29.09.68'!T37+'30.09.68'!T37</f>
        <v>0</v>
      </c>
      <c r="U37" s="65">
        <f t="shared" si="5"/>
        <v>0</v>
      </c>
      <c r="V37" s="52">
        <f>+'01.09.68'!V37+'02.09.68'!V37+'03.09.68'!V37+'04.09.68'!V37+'05.09.68'!V37+'06.09.68'!V37+'07.09.68'!V37+'08.09.68'!V37+'09.09.68'!V37+'10.09.68'!V37+'11.09.68'!V37+'12.09.68'!V37+'13.09.68'!V37+'14.09.68'!V37+'15.09.68'!V37+'16.09.68'!V37+'17.09.68'!V37+'18.09.68'!V37+'19.09.68'!V37+'20.09.68'!V37+'21.09.68'!V37+'22.09.68'!V37+'23.09.68'!V37+'24.09.68'!V37+'25.09.68'!V37+'26.09.68'!V37+'27.09.68'!V37+'28.09.68'!V37+'29.09.68'!V37+'30.09.68'!V37</f>
        <v>0</v>
      </c>
      <c r="W37" s="52">
        <f>+'01.09.68'!W37+'02.09.68'!W37+'03.09.68'!W37+'04.09.68'!W37+'05.09.68'!W37+'06.09.68'!W37+'07.09.68'!W37+'08.09.68'!W37+'09.09.68'!W37+'10.09.68'!W37+'11.09.68'!W37+'12.09.68'!W37+'13.09.68'!W37+'14.09.68'!W37+'15.09.68'!W37+'16.09.68'!W37+'17.09.68'!W37+'18.09.68'!W37+'19.09.68'!W37+'20.09.68'!W37+'21.09.68'!W37+'22.09.68'!W37+'23.09.68'!W37+'24.09.68'!W37+'25.09.68'!W37+'26.09.68'!W37+'27.09.68'!W37+'28.09.68'!W37+'29.09.68'!W37+'30.09.68'!W37</f>
        <v>0</v>
      </c>
      <c r="X37" s="65">
        <f t="shared" si="6"/>
        <v>0</v>
      </c>
      <c r="Y37" s="52">
        <f>+'01.09.68'!Y37+'02.09.68'!Y37+'03.09.68'!Y37+'04.09.68'!Y37+'05.09.68'!Y37+'06.09.68'!Y37+'07.09.68'!Y37+'08.09.68'!Y37+'09.09.68'!Y37+'10.09.68'!Y37+'11.09.68'!Y37+'12.09.68'!Y37+'13.09.68'!Y37+'14.09.68'!Y37+'15.09.68'!Y37+'16.09.68'!Y37+'17.09.68'!Y37+'18.09.68'!Y37+'19.09.68'!Y37+'20.09.68'!Y37+'21.09.68'!Y37+'22.09.68'!Y37+'23.09.68'!Y37+'24.09.68'!Y37+'25.09.68'!Y37+'26.09.68'!Y37+'27.09.68'!Y37+'28.09.68'!Y37+'29.09.68'!Y37+'30.09.68'!Y37</f>
        <v>0</v>
      </c>
      <c r="Z37" s="66">
        <f t="shared" si="7"/>
        <v>0</v>
      </c>
    </row>
    <row r="38" spans="2:26">
      <c r="B38" s="50">
        <v>1111023</v>
      </c>
      <c r="C38" s="51" t="s">
        <v>169</v>
      </c>
      <c r="D38" s="52">
        <f>+'01.09.68'!D38+'02.09.68'!D38+'03.09.68'!D38+'04.09.68'!D38+'05.09.68'!D38+'06.09.68'!D38+'07.09.68'!D38+'08.09.68'!D38+'09.09.68'!D38+'10.09.68'!D38+'11.09.68'!D38+'12.09.68'!D38+'13.09.68'!D38+'14.09.68'!D38+'15.09.68'!D38+'16.09.68'!D38+'17.09.68'!D38+'18.09.68'!D38+'19.09.68'!D38+'20.09.68'!D38+'21.09.68'!D38+'22.09.68'!D38+'23.09.68'!D38+'24.09.68'!D38+'25.09.68'!D38+'26.09.68'!D38+'27.09.68'!D38+'28.09.68'!D38+'29.09.68'!D38+'30.09.68'!D38</f>
        <v>0</v>
      </c>
      <c r="E38" s="52">
        <f>+'01.09.68'!E38+'02.09.68'!E38+'03.09.68'!E38+'04.09.68'!E38+'05.09.68'!E38+'06.09.68'!E38+'07.09.68'!E38+'08.09.68'!E38+'09.09.68'!E38+'10.09.68'!E38+'11.09.68'!E38+'12.09.68'!E38+'13.09.68'!E38+'14.09.68'!E38+'15.09.68'!E38+'16.09.68'!E38+'17.09.68'!E38+'18.09.68'!E38+'19.09.68'!E38+'20.09.68'!E38+'21.09.68'!E38+'22.09.68'!E38+'23.09.68'!E38+'24.09.68'!E38+'25.09.68'!E38+'26.09.68'!E38+'27.09.68'!E38+'28.09.68'!E38+'29.09.68'!E38+'30.09.68'!E38</f>
        <v>0</v>
      </c>
      <c r="F38" s="65">
        <f t="shared" si="0"/>
        <v>0</v>
      </c>
      <c r="G38" s="52">
        <f>+'01.09.68'!G38+'02.09.68'!G38+'03.09.68'!G38+'04.09.68'!G38+'05.09.68'!G38+'06.09.68'!G38+'07.09.68'!G38+'08.09.68'!G38+'09.09.68'!G38+'10.09.68'!G38+'11.09.68'!G38+'12.09.68'!G38+'13.09.68'!G38+'14.09.68'!G38+'15.09.68'!G38+'16.09.68'!G38+'17.09.68'!G38+'18.09.68'!G38+'19.09.68'!G38+'20.09.68'!G38+'21.09.68'!G38+'22.09.68'!G38+'23.09.68'!G38+'24.09.68'!G38+'25.09.68'!G38+'26.09.68'!G38+'27.09.68'!G38+'28.09.68'!G38+'29.09.68'!G38+'30.09.68'!G38</f>
        <v>0</v>
      </c>
      <c r="H38" s="52">
        <f>+'01.09.68'!H38+'02.09.68'!H38+'03.09.68'!H38+'04.09.68'!H38+'05.09.68'!H38+'06.09.68'!H38+'07.09.68'!H38+'08.09.68'!H38+'09.09.68'!H38+'10.09.68'!H38+'11.09.68'!H38+'12.09.68'!H38+'13.09.68'!H38+'14.09.68'!H38+'15.09.68'!H38+'16.09.68'!H38+'17.09.68'!H38+'18.09.68'!H38+'19.09.68'!H38+'20.09.68'!H38+'21.09.68'!H38+'22.09.68'!H38+'23.09.68'!H38+'24.09.68'!H38+'25.09.68'!H38+'26.09.68'!H38+'27.09.68'!H38+'28.09.68'!H38+'29.09.68'!H38+'30.09.68'!H38</f>
        <v>0</v>
      </c>
      <c r="I38" s="65">
        <f t="shared" si="1"/>
        <v>0</v>
      </c>
      <c r="J38" s="52">
        <f>+'01.09.68'!J38+'02.09.68'!J38+'03.09.68'!J38+'04.09.68'!J38+'05.09.68'!J38+'06.09.68'!J38+'07.09.68'!J38+'08.09.68'!J38+'09.09.68'!J38+'10.09.68'!J38+'11.09.68'!J38+'12.09.68'!J38+'13.09.68'!J38+'14.09.68'!J38+'15.09.68'!J38+'16.09.68'!J38+'17.09.68'!J38+'18.09.68'!J38+'19.09.68'!J38+'20.09.68'!J38+'21.09.68'!J38+'22.09.68'!J38+'23.09.68'!J38+'24.09.68'!J38+'25.09.68'!J38+'26.09.68'!J38+'27.09.68'!J38+'28.09.68'!J38+'29.09.68'!J38+'30.09.68'!J38</f>
        <v>0</v>
      </c>
      <c r="K38" s="52">
        <f>+'01.09.68'!K38+'02.09.68'!K38+'03.09.68'!K38+'04.09.68'!K38+'05.09.68'!K38+'06.09.68'!K38+'07.09.68'!K38+'08.09.68'!K38+'09.09.68'!K38+'10.09.68'!K38+'11.09.68'!K38+'12.09.68'!K38+'13.09.68'!K38+'14.09.68'!K38+'15.09.68'!K38+'16.09.68'!K38+'17.09.68'!K38+'18.09.68'!K38+'19.09.68'!K38+'20.09.68'!K38+'21.09.68'!K38+'22.09.68'!K38+'23.09.68'!K38+'24.09.68'!K38+'25.09.68'!K38+'26.09.68'!K38+'27.09.68'!K38+'28.09.68'!K38+'29.09.68'!K38+'30.09.68'!K38</f>
        <v>0</v>
      </c>
      <c r="L38" s="65">
        <f t="shared" si="2"/>
        <v>0</v>
      </c>
      <c r="M38" s="52">
        <f>+'01.09.68'!M38+'02.09.68'!M38+'03.09.68'!M38+'04.09.68'!M38+'05.09.68'!M38+'06.09.68'!M38+'07.09.68'!M38+'08.09.68'!M38+'09.09.68'!M38+'10.09.68'!M38+'11.09.68'!M38+'12.09.68'!M38+'13.09.68'!M38+'14.09.68'!M38+'15.09.68'!M38+'16.09.68'!M38+'17.09.68'!M38+'18.09.68'!M38+'19.09.68'!M38+'20.09.68'!M38+'21.09.68'!M38+'22.09.68'!M38+'23.09.68'!M38+'24.09.68'!M38+'25.09.68'!M38+'26.09.68'!M38+'27.09.68'!M38+'28.09.68'!M38+'29.09.68'!M38+'30.09.68'!M38</f>
        <v>0</v>
      </c>
      <c r="N38" s="52">
        <f>+'01.09.68'!N38+'02.09.68'!N38+'03.09.68'!N38+'04.09.68'!N38+'05.09.68'!N38+'06.09.68'!N38+'07.09.68'!N38+'08.09.68'!N38+'09.09.68'!N38+'10.09.68'!N38+'11.09.68'!N38+'12.09.68'!N38+'13.09.68'!N38+'14.09.68'!N38+'15.09.68'!N38+'16.09.68'!N38+'17.09.68'!N38+'18.09.68'!N38+'19.09.68'!N38+'20.09.68'!N38+'21.09.68'!N38+'22.09.68'!N38+'23.09.68'!N38+'24.09.68'!N38+'25.09.68'!N38+'26.09.68'!N38+'27.09.68'!N38+'28.09.68'!N38+'29.09.68'!N38+'30.09.68'!N38</f>
        <v>0</v>
      </c>
      <c r="O38" s="65">
        <f t="shared" si="3"/>
        <v>0</v>
      </c>
      <c r="P38" s="52">
        <f>+'01.09.68'!P38+'02.09.68'!P38+'03.09.68'!P38+'04.09.68'!P38+'05.09.68'!P38+'06.09.68'!P38+'07.09.68'!P38+'08.09.68'!P38+'09.09.68'!P38+'10.09.68'!P38+'11.09.68'!P38+'12.09.68'!P38+'13.09.68'!P38+'14.09.68'!P38+'15.09.68'!P38+'16.09.68'!P38+'17.09.68'!P38+'18.09.68'!P38+'19.09.68'!P38+'20.09.68'!P38+'21.09.68'!P38+'22.09.68'!P38+'23.09.68'!P38+'24.09.68'!P38+'25.09.68'!P38+'26.09.68'!P38+'27.09.68'!P38+'28.09.68'!P38+'29.09.68'!P38+'30.09.68'!P38</f>
        <v>0</v>
      </c>
      <c r="Q38" s="52">
        <f>+'01.09.68'!Q38+'02.09.68'!Q38+'03.09.68'!Q38+'04.09.68'!Q38+'05.09.68'!Q38+'06.09.68'!Q38+'07.09.68'!Q38+'08.09.68'!Q38+'09.09.68'!Q38+'10.09.68'!Q38+'11.09.68'!Q38+'12.09.68'!Q38+'13.09.68'!Q38+'14.09.68'!Q38+'15.09.68'!Q38+'16.09.68'!Q38+'17.09.68'!Q38+'18.09.68'!Q38+'19.09.68'!Q38+'20.09.68'!Q38+'21.09.68'!Q38+'22.09.68'!Q38+'23.09.68'!Q38+'24.09.68'!Q38+'25.09.68'!Q38+'26.09.68'!Q38+'27.09.68'!Q38+'28.09.68'!Q38+'29.09.68'!Q38+'30.09.68'!Q38</f>
        <v>0</v>
      </c>
      <c r="R38" s="65">
        <f t="shared" si="4"/>
        <v>0</v>
      </c>
      <c r="S38" s="52">
        <f>+'01.09.68'!S38+'02.09.68'!S38+'03.09.68'!S38+'04.09.68'!S38+'05.09.68'!S38+'06.09.68'!S38+'07.09.68'!S38+'08.09.68'!S38+'09.09.68'!S38+'10.09.68'!S38+'11.09.68'!S38+'12.09.68'!S38+'13.09.68'!S38+'14.09.68'!S38+'15.09.68'!S38+'16.09.68'!S38+'17.09.68'!S38+'18.09.68'!S38+'19.09.68'!S38+'20.09.68'!S38+'21.09.68'!S38+'22.09.68'!S38+'23.09.68'!S38+'24.09.68'!S38+'25.09.68'!S38+'26.09.68'!S38+'27.09.68'!S38+'28.09.68'!S38+'29.09.68'!S38+'30.09.68'!S38</f>
        <v>0</v>
      </c>
      <c r="T38" s="52">
        <f>+'01.09.68'!T38+'02.09.68'!T38+'03.09.68'!T38+'04.09.68'!T38+'05.09.68'!T38+'06.09.68'!T38+'07.09.68'!T38+'08.09.68'!T38+'09.09.68'!T38+'10.09.68'!T38+'11.09.68'!T38+'12.09.68'!T38+'13.09.68'!T38+'14.09.68'!T38+'15.09.68'!T38+'16.09.68'!T38+'17.09.68'!T38+'18.09.68'!T38+'19.09.68'!T38+'20.09.68'!T38+'21.09.68'!T38+'22.09.68'!T38+'23.09.68'!T38+'24.09.68'!T38+'25.09.68'!T38+'26.09.68'!T38+'27.09.68'!T38+'28.09.68'!T38+'29.09.68'!T38+'30.09.68'!T38</f>
        <v>0</v>
      </c>
      <c r="U38" s="65">
        <f t="shared" si="5"/>
        <v>0</v>
      </c>
      <c r="V38" s="52">
        <f>+'01.09.68'!V38+'02.09.68'!V38+'03.09.68'!V38+'04.09.68'!V38+'05.09.68'!V38+'06.09.68'!V38+'07.09.68'!V38+'08.09.68'!V38+'09.09.68'!V38+'10.09.68'!V38+'11.09.68'!V38+'12.09.68'!V38+'13.09.68'!V38+'14.09.68'!V38+'15.09.68'!V38+'16.09.68'!V38+'17.09.68'!V38+'18.09.68'!V38+'19.09.68'!V38+'20.09.68'!V38+'21.09.68'!V38+'22.09.68'!V38+'23.09.68'!V38+'24.09.68'!V38+'25.09.68'!V38+'26.09.68'!V38+'27.09.68'!V38+'28.09.68'!V38+'29.09.68'!V38+'30.09.68'!V38</f>
        <v>0</v>
      </c>
      <c r="W38" s="52">
        <f>+'01.09.68'!W38+'02.09.68'!W38+'03.09.68'!W38+'04.09.68'!W38+'05.09.68'!W38+'06.09.68'!W38+'07.09.68'!W38+'08.09.68'!W38+'09.09.68'!W38+'10.09.68'!W38+'11.09.68'!W38+'12.09.68'!W38+'13.09.68'!W38+'14.09.68'!W38+'15.09.68'!W38+'16.09.68'!W38+'17.09.68'!W38+'18.09.68'!W38+'19.09.68'!W38+'20.09.68'!W38+'21.09.68'!W38+'22.09.68'!W38+'23.09.68'!W38+'24.09.68'!W38+'25.09.68'!W38+'26.09.68'!W38+'27.09.68'!W38+'28.09.68'!W38+'29.09.68'!W38+'30.09.68'!W38</f>
        <v>0</v>
      </c>
      <c r="X38" s="65">
        <f t="shared" si="6"/>
        <v>0</v>
      </c>
      <c r="Y38" s="52">
        <f>+'01.09.68'!Y38+'02.09.68'!Y38+'03.09.68'!Y38+'04.09.68'!Y38+'05.09.68'!Y38+'06.09.68'!Y38+'07.09.68'!Y38+'08.09.68'!Y38+'09.09.68'!Y38+'10.09.68'!Y38+'11.09.68'!Y38+'12.09.68'!Y38+'13.09.68'!Y38+'14.09.68'!Y38+'15.09.68'!Y38+'16.09.68'!Y38+'17.09.68'!Y38+'18.09.68'!Y38+'19.09.68'!Y38+'20.09.68'!Y38+'21.09.68'!Y38+'22.09.68'!Y38+'23.09.68'!Y38+'24.09.68'!Y38+'25.09.68'!Y38+'26.09.68'!Y38+'27.09.68'!Y38+'28.09.68'!Y38+'29.09.68'!Y38+'30.09.68'!Y38</f>
        <v>0</v>
      </c>
      <c r="Z38" s="66">
        <f t="shared" si="7"/>
        <v>0</v>
      </c>
    </row>
    <row r="39" spans="2:26">
      <c r="B39" s="50">
        <v>1111024</v>
      </c>
      <c r="C39" s="51" t="s">
        <v>170</v>
      </c>
      <c r="D39" s="52">
        <f>+'01.09.68'!D39+'02.09.68'!D39+'03.09.68'!D39+'04.09.68'!D39+'05.09.68'!D39+'06.09.68'!D39+'07.09.68'!D39+'08.09.68'!D39+'09.09.68'!D39+'10.09.68'!D39+'11.09.68'!D39+'12.09.68'!D39+'13.09.68'!D39+'14.09.68'!D39+'15.09.68'!D39+'16.09.68'!D39+'17.09.68'!D39+'18.09.68'!D39+'19.09.68'!D39+'20.09.68'!D39+'21.09.68'!D39+'22.09.68'!D39+'23.09.68'!D39+'24.09.68'!D39+'25.09.68'!D39+'26.09.68'!D39+'27.09.68'!D39+'28.09.68'!D39+'29.09.68'!D39+'30.09.68'!D39</f>
        <v>0</v>
      </c>
      <c r="E39" s="52">
        <f>+'01.09.68'!E39+'02.09.68'!E39+'03.09.68'!E39+'04.09.68'!E39+'05.09.68'!E39+'06.09.68'!E39+'07.09.68'!E39+'08.09.68'!E39+'09.09.68'!E39+'10.09.68'!E39+'11.09.68'!E39+'12.09.68'!E39+'13.09.68'!E39+'14.09.68'!E39+'15.09.68'!E39+'16.09.68'!E39+'17.09.68'!E39+'18.09.68'!E39+'19.09.68'!E39+'20.09.68'!E39+'21.09.68'!E39+'22.09.68'!E39+'23.09.68'!E39+'24.09.68'!E39+'25.09.68'!E39+'26.09.68'!E39+'27.09.68'!E39+'28.09.68'!E39+'29.09.68'!E39+'30.09.68'!E39</f>
        <v>0</v>
      </c>
      <c r="F39" s="65">
        <f t="shared" si="0"/>
        <v>0</v>
      </c>
      <c r="G39" s="52">
        <f>+'01.09.68'!G39+'02.09.68'!G39+'03.09.68'!G39+'04.09.68'!G39+'05.09.68'!G39+'06.09.68'!G39+'07.09.68'!G39+'08.09.68'!G39+'09.09.68'!G39+'10.09.68'!G39+'11.09.68'!G39+'12.09.68'!G39+'13.09.68'!G39+'14.09.68'!G39+'15.09.68'!G39+'16.09.68'!G39+'17.09.68'!G39+'18.09.68'!G39+'19.09.68'!G39+'20.09.68'!G39+'21.09.68'!G39+'22.09.68'!G39+'23.09.68'!G39+'24.09.68'!G39+'25.09.68'!G39+'26.09.68'!G39+'27.09.68'!G39+'28.09.68'!G39+'29.09.68'!G39+'30.09.68'!G39</f>
        <v>0</v>
      </c>
      <c r="H39" s="52">
        <f>+'01.09.68'!H39+'02.09.68'!H39+'03.09.68'!H39+'04.09.68'!H39+'05.09.68'!H39+'06.09.68'!H39+'07.09.68'!H39+'08.09.68'!H39+'09.09.68'!H39+'10.09.68'!H39+'11.09.68'!H39+'12.09.68'!H39+'13.09.68'!H39+'14.09.68'!H39+'15.09.68'!H39+'16.09.68'!H39+'17.09.68'!H39+'18.09.68'!H39+'19.09.68'!H39+'20.09.68'!H39+'21.09.68'!H39+'22.09.68'!H39+'23.09.68'!H39+'24.09.68'!H39+'25.09.68'!H39+'26.09.68'!H39+'27.09.68'!H39+'28.09.68'!H39+'29.09.68'!H39+'30.09.68'!H39</f>
        <v>0</v>
      </c>
      <c r="I39" s="65">
        <f t="shared" si="1"/>
        <v>0</v>
      </c>
      <c r="J39" s="52">
        <f>+'01.09.68'!J39+'02.09.68'!J39+'03.09.68'!J39+'04.09.68'!J39+'05.09.68'!J39+'06.09.68'!J39+'07.09.68'!J39+'08.09.68'!J39+'09.09.68'!J39+'10.09.68'!J39+'11.09.68'!J39+'12.09.68'!J39+'13.09.68'!J39+'14.09.68'!J39+'15.09.68'!J39+'16.09.68'!J39+'17.09.68'!J39+'18.09.68'!J39+'19.09.68'!J39+'20.09.68'!J39+'21.09.68'!J39+'22.09.68'!J39+'23.09.68'!J39+'24.09.68'!J39+'25.09.68'!J39+'26.09.68'!J39+'27.09.68'!J39+'28.09.68'!J39+'29.09.68'!J39+'30.09.68'!J39</f>
        <v>0</v>
      </c>
      <c r="K39" s="52">
        <f>+'01.09.68'!K39+'02.09.68'!K39+'03.09.68'!K39+'04.09.68'!K39+'05.09.68'!K39+'06.09.68'!K39+'07.09.68'!K39+'08.09.68'!K39+'09.09.68'!K39+'10.09.68'!K39+'11.09.68'!K39+'12.09.68'!K39+'13.09.68'!K39+'14.09.68'!K39+'15.09.68'!K39+'16.09.68'!K39+'17.09.68'!K39+'18.09.68'!K39+'19.09.68'!K39+'20.09.68'!K39+'21.09.68'!K39+'22.09.68'!K39+'23.09.68'!K39+'24.09.68'!K39+'25.09.68'!K39+'26.09.68'!K39+'27.09.68'!K39+'28.09.68'!K39+'29.09.68'!K39+'30.09.68'!K39</f>
        <v>0</v>
      </c>
      <c r="L39" s="65">
        <f t="shared" si="2"/>
        <v>0</v>
      </c>
      <c r="M39" s="52">
        <f>+'01.09.68'!M39+'02.09.68'!M39+'03.09.68'!M39+'04.09.68'!M39+'05.09.68'!M39+'06.09.68'!M39+'07.09.68'!M39+'08.09.68'!M39+'09.09.68'!M39+'10.09.68'!M39+'11.09.68'!M39+'12.09.68'!M39+'13.09.68'!M39+'14.09.68'!M39+'15.09.68'!M39+'16.09.68'!M39+'17.09.68'!M39+'18.09.68'!M39+'19.09.68'!M39+'20.09.68'!M39+'21.09.68'!M39+'22.09.68'!M39+'23.09.68'!M39+'24.09.68'!M39+'25.09.68'!M39+'26.09.68'!M39+'27.09.68'!M39+'28.09.68'!M39+'29.09.68'!M39+'30.09.68'!M39</f>
        <v>0</v>
      </c>
      <c r="N39" s="52">
        <f>+'01.09.68'!N39+'02.09.68'!N39+'03.09.68'!N39+'04.09.68'!N39+'05.09.68'!N39+'06.09.68'!N39+'07.09.68'!N39+'08.09.68'!N39+'09.09.68'!N39+'10.09.68'!N39+'11.09.68'!N39+'12.09.68'!N39+'13.09.68'!N39+'14.09.68'!N39+'15.09.68'!N39+'16.09.68'!N39+'17.09.68'!N39+'18.09.68'!N39+'19.09.68'!N39+'20.09.68'!N39+'21.09.68'!N39+'22.09.68'!N39+'23.09.68'!N39+'24.09.68'!N39+'25.09.68'!N39+'26.09.68'!N39+'27.09.68'!N39+'28.09.68'!N39+'29.09.68'!N39+'30.09.68'!N39</f>
        <v>0</v>
      </c>
      <c r="O39" s="65">
        <f t="shared" si="3"/>
        <v>0</v>
      </c>
      <c r="P39" s="52">
        <f>+'01.09.68'!P39+'02.09.68'!P39+'03.09.68'!P39+'04.09.68'!P39+'05.09.68'!P39+'06.09.68'!P39+'07.09.68'!P39+'08.09.68'!P39+'09.09.68'!P39+'10.09.68'!P39+'11.09.68'!P39+'12.09.68'!P39+'13.09.68'!P39+'14.09.68'!P39+'15.09.68'!P39+'16.09.68'!P39+'17.09.68'!P39+'18.09.68'!P39+'19.09.68'!P39+'20.09.68'!P39+'21.09.68'!P39+'22.09.68'!P39+'23.09.68'!P39+'24.09.68'!P39+'25.09.68'!P39+'26.09.68'!P39+'27.09.68'!P39+'28.09.68'!P39+'29.09.68'!P39+'30.09.68'!P39</f>
        <v>0</v>
      </c>
      <c r="Q39" s="52">
        <f>+'01.09.68'!Q39+'02.09.68'!Q39+'03.09.68'!Q39+'04.09.68'!Q39+'05.09.68'!Q39+'06.09.68'!Q39+'07.09.68'!Q39+'08.09.68'!Q39+'09.09.68'!Q39+'10.09.68'!Q39+'11.09.68'!Q39+'12.09.68'!Q39+'13.09.68'!Q39+'14.09.68'!Q39+'15.09.68'!Q39+'16.09.68'!Q39+'17.09.68'!Q39+'18.09.68'!Q39+'19.09.68'!Q39+'20.09.68'!Q39+'21.09.68'!Q39+'22.09.68'!Q39+'23.09.68'!Q39+'24.09.68'!Q39+'25.09.68'!Q39+'26.09.68'!Q39+'27.09.68'!Q39+'28.09.68'!Q39+'29.09.68'!Q39+'30.09.68'!Q39</f>
        <v>0</v>
      </c>
      <c r="R39" s="65">
        <f t="shared" si="4"/>
        <v>0</v>
      </c>
      <c r="S39" s="52">
        <f>+'01.09.68'!S39+'02.09.68'!S39+'03.09.68'!S39+'04.09.68'!S39+'05.09.68'!S39+'06.09.68'!S39+'07.09.68'!S39+'08.09.68'!S39+'09.09.68'!S39+'10.09.68'!S39+'11.09.68'!S39+'12.09.68'!S39+'13.09.68'!S39+'14.09.68'!S39+'15.09.68'!S39+'16.09.68'!S39+'17.09.68'!S39+'18.09.68'!S39+'19.09.68'!S39+'20.09.68'!S39+'21.09.68'!S39+'22.09.68'!S39+'23.09.68'!S39+'24.09.68'!S39+'25.09.68'!S39+'26.09.68'!S39+'27.09.68'!S39+'28.09.68'!S39+'29.09.68'!S39+'30.09.68'!S39</f>
        <v>0</v>
      </c>
      <c r="T39" s="52">
        <f>+'01.09.68'!T39+'02.09.68'!T39+'03.09.68'!T39+'04.09.68'!T39+'05.09.68'!T39+'06.09.68'!T39+'07.09.68'!T39+'08.09.68'!T39+'09.09.68'!T39+'10.09.68'!T39+'11.09.68'!T39+'12.09.68'!T39+'13.09.68'!T39+'14.09.68'!T39+'15.09.68'!T39+'16.09.68'!T39+'17.09.68'!T39+'18.09.68'!T39+'19.09.68'!T39+'20.09.68'!T39+'21.09.68'!T39+'22.09.68'!T39+'23.09.68'!T39+'24.09.68'!T39+'25.09.68'!T39+'26.09.68'!T39+'27.09.68'!T39+'28.09.68'!T39+'29.09.68'!T39+'30.09.68'!T39</f>
        <v>0</v>
      </c>
      <c r="U39" s="65">
        <f t="shared" si="5"/>
        <v>0</v>
      </c>
      <c r="V39" s="52">
        <f>+'01.09.68'!V39+'02.09.68'!V39+'03.09.68'!V39+'04.09.68'!V39+'05.09.68'!V39+'06.09.68'!V39+'07.09.68'!V39+'08.09.68'!V39+'09.09.68'!V39+'10.09.68'!V39+'11.09.68'!V39+'12.09.68'!V39+'13.09.68'!V39+'14.09.68'!V39+'15.09.68'!V39+'16.09.68'!V39+'17.09.68'!V39+'18.09.68'!V39+'19.09.68'!V39+'20.09.68'!V39+'21.09.68'!V39+'22.09.68'!V39+'23.09.68'!V39+'24.09.68'!V39+'25.09.68'!V39+'26.09.68'!V39+'27.09.68'!V39+'28.09.68'!V39+'29.09.68'!V39+'30.09.68'!V39</f>
        <v>0</v>
      </c>
      <c r="W39" s="52">
        <f>+'01.09.68'!W39+'02.09.68'!W39+'03.09.68'!W39+'04.09.68'!W39+'05.09.68'!W39+'06.09.68'!W39+'07.09.68'!W39+'08.09.68'!W39+'09.09.68'!W39+'10.09.68'!W39+'11.09.68'!W39+'12.09.68'!W39+'13.09.68'!W39+'14.09.68'!W39+'15.09.68'!W39+'16.09.68'!W39+'17.09.68'!W39+'18.09.68'!W39+'19.09.68'!W39+'20.09.68'!W39+'21.09.68'!W39+'22.09.68'!W39+'23.09.68'!W39+'24.09.68'!W39+'25.09.68'!W39+'26.09.68'!W39+'27.09.68'!W39+'28.09.68'!W39+'29.09.68'!W39+'30.09.68'!W39</f>
        <v>0</v>
      </c>
      <c r="X39" s="65">
        <f t="shared" si="6"/>
        <v>0</v>
      </c>
      <c r="Y39" s="52">
        <f>+'01.09.68'!Y39+'02.09.68'!Y39+'03.09.68'!Y39+'04.09.68'!Y39+'05.09.68'!Y39+'06.09.68'!Y39+'07.09.68'!Y39+'08.09.68'!Y39+'09.09.68'!Y39+'10.09.68'!Y39+'11.09.68'!Y39+'12.09.68'!Y39+'13.09.68'!Y39+'14.09.68'!Y39+'15.09.68'!Y39+'16.09.68'!Y39+'17.09.68'!Y39+'18.09.68'!Y39+'19.09.68'!Y39+'20.09.68'!Y39+'21.09.68'!Y39+'22.09.68'!Y39+'23.09.68'!Y39+'24.09.68'!Y39+'25.09.68'!Y39+'26.09.68'!Y39+'27.09.68'!Y39+'28.09.68'!Y39+'29.09.68'!Y39+'30.09.68'!Y39</f>
        <v>0</v>
      </c>
      <c r="Z39" s="66">
        <f t="shared" si="7"/>
        <v>0</v>
      </c>
    </row>
    <row r="40" spans="2:26">
      <c r="B40" s="50">
        <v>1111025</v>
      </c>
      <c r="C40" s="51" t="s">
        <v>171</v>
      </c>
      <c r="D40" s="52">
        <f>+'01.09.68'!D40+'02.09.68'!D40+'03.09.68'!D40+'04.09.68'!D40+'05.09.68'!D40+'06.09.68'!D40+'07.09.68'!D40+'08.09.68'!D40+'09.09.68'!D40+'10.09.68'!D40+'11.09.68'!D40+'12.09.68'!D40+'13.09.68'!D40+'14.09.68'!D40+'15.09.68'!D40+'16.09.68'!D40+'17.09.68'!D40+'18.09.68'!D40+'19.09.68'!D40+'20.09.68'!D40+'21.09.68'!D40+'22.09.68'!D40+'23.09.68'!D40+'24.09.68'!D40+'25.09.68'!D40+'26.09.68'!D40+'27.09.68'!D40+'28.09.68'!D40+'29.09.68'!D40+'30.09.68'!D40</f>
        <v>0</v>
      </c>
      <c r="E40" s="52">
        <f>+'01.09.68'!E40+'02.09.68'!E40+'03.09.68'!E40+'04.09.68'!E40+'05.09.68'!E40+'06.09.68'!E40+'07.09.68'!E40+'08.09.68'!E40+'09.09.68'!E40+'10.09.68'!E40+'11.09.68'!E40+'12.09.68'!E40+'13.09.68'!E40+'14.09.68'!E40+'15.09.68'!E40+'16.09.68'!E40+'17.09.68'!E40+'18.09.68'!E40+'19.09.68'!E40+'20.09.68'!E40+'21.09.68'!E40+'22.09.68'!E40+'23.09.68'!E40+'24.09.68'!E40+'25.09.68'!E40+'26.09.68'!E40+'27.09.68'!E40+'28.09.68'!E40+'29.09.68'!E40+'30.09.68'!E40</f>
        <v>0</v>
      </c>
      <c r="F40" s="65">
        <f t="shared" si="0"/>
        <v>0</v>
      </c>
      <c r="G40" s="52">
        <f>+'01.09.68'!G40+'02.09.68'!G40+'03.09.68'!G40+'04.09.68'!G40+'05.09.68'!G40+'06.09.68'!G40+'07.09.68'!G40+'08.09.68'!G40+'09.09.68'!G40+'10.09.68'!G40+'11.09.68'!G40+'12.09.68'!G40+'13.09.68'!G40+'14.09.68'!G40+'15.09.68'!G40+'16.09.68'!G40+'17.09.68'!G40+'18.09.68'!G40+'19.09.68'!G40+'20.09.68'!G40+'21.09.68'!G40+'22.09.68'!G40+'23.09.68'!G40+'24.09.68'!G40+'25.09.68'!G40+'26.09.68'!G40+'27.09.68'!G40+'28.09.68'!G40+'29.09.68'!G40+'30.09.68'!G40</f>
        <v>0</v>
      </c>
      <c r="H40" s="52">
        <f>+'01.09.68'!H40+'02.09.68'!H40+'03.09.68'!H40+'04.09.68'!H40+'05.09.68'!H40+'06.09.68'!H40+'07.09.68'!H40+'08.09.68'!H40+'09.09.68'!H40+'10.09.68'!H40+'11.09.68'!H40+'12.09.68'!H40+'13.09.68'!H40+'14.09.68'!H40+'15.09.68'!H40+'16.09.68'!H40+'17.09.68'!H40+'18.09.68'!H40+'19.09.68'!H40+'20.09.68'!H40+'21.09.68'!H40+'22.09.68'!H40+'23.09.68'!H40+'24.09.68'!H40+'25.09.68'!H40+'26.09.68'!H40+'27.09.68'!H40+'28.09.68'!H40+'29.09.68'!H40+'30.09.68'!H40</f>
        <v>0</v>
      </c>
      <c r="I40" s="65">
        <f t="shared" si="1"/>
        <v>0</v>
      </c>
      <c r="J40" s="52">
        <f>+'01.09.68'!J40+'02.09.68'!J40+'03.09.68'!J40+'04.09.68'!J40+'05.09.68'!J40+'06.09.68'!J40+'07.09.68'!J40+'08.09.68'!J40+'09.09.68'!J40+'10.09.68'!J40+'11.09.68'!J40+'12.09.68'!J40+'13.09.68'!J40+'14.09.68'!J40+'15.09.68'!J40+'16.09.68'!J40+'17.09.68'!J40+'18.09.68'!J40+'19.09.68'!J40+'20.09.68'!J40+'21.09.68'!J40+'22.09.68'!J40+'23.09.68'!J40+'24.09.68'!J40+'25.09.68'!J40+'26.09.68'!J40+'27.09.68'!J40+'28.09.68'!J40+'29.09.68'!J40+'30.09.68'!J40</f>
        <v>0</v>
      </c>
      <c r="K40" s="52">
        <f>+'01.09.68'!K40+'02.09.68'!K40+'03.09.68'!K40+'04.09.68'!K40+'05.09.68'!K40+'06.09.68'!K40+'07.09.68'!K40+'08.09.68'!K40+'09.09.68'!K40+'10.09.68'!K40+'11.09.68'!K40+'12.09.68'!K40+'13.09.68'!K40+'14.09.68'!K40+'15.09.68'!K40+'16.09.68'!K40+'17.09.68'!K40+'18.09.68'!K40+'19.09.68'!K40+'20.09.68'!K40+'21.09.68'!K40+'22.09.68'!K40+'23.09.68'!K40+'24.09.68'!K40+'25.09.68'!K40+'26.09.68'!K40+'27.09.68'!K40+'28.09.68'!K40+'29.09.68'!K40+'30.09.68'!K40</f>
        <v>0</v>
      </c>
      <c r="L40" s="65">
        <f t="shared" si="2"/>
        <v>0</v>
      </c>
      <c r="M40" s="52">
        <f>+'01.09.68'!M40+'02.09.68'!M40+'03.09.68'!M40+'04.09.68'!M40+'05.09.68'!M40+'06.09.68'!M40+'07.09.68'!M40+'08.09.68'!M40+'09.09.68'!M40+'10.09.68'!M40+'11.09.68'!M40+'12.09.68'!M40+'13.09.68'!M40+'14.09.68'!M40+'15.09.68'!M40+'16.09.68'!M40+'17.09.68'!M40+'18.09.68'!M40+'19.09.68'!M40+'20.09.68'!M40+'21.09.68'!M40+'22.09.68'!M40+'23.09.68'!M40+'24.09.68'!M40+'25.09.68'!M40+'26.09.68'!M40+'27.09.68'!M40+'28.09.68'!M40+'29.09.68'!M40+'30.09.68'!M40</f>
        <v>0</v>
      </c>
      <c r="N40" s="52">
        <f>+'01.09.68'!N40+'02.09.68'!N40+'03.09.68'!N40+'04.09.68'!N40+'05.09.68'!N40+'06.09.68'!N40+'07.09.68'!N40+'08.09.68'!N40+'09.09.68'!N40+'10.09.68'!N40+'11.09.68'!N40+'12.09.68'!N40+'13.09.68'!N40+'14.09.68'!N40+'15.09.68'!N40+'16.09.68'!N40+'17.09.68'!N40+'18.09.68'!N40+'19.09.68'!N40+'20.09.68'!N40+'21.09.68'!N40+'22.09.68'!N40+'23.09.68'!N40+'24.09.68'!N40+'25.09.68'!N40+'26.09.68'!N40+'27.09.68'!N40+'28.09.68'!N40+'29.09.68'!N40+'30.09.68'!N40</f>
        <v>0</v>
      </c>
      <c r="O40" s="65">
        <f t="shared" si="3"/>
        <v>0</v>
      </c>
      <c r="P40" s="52">
        <f>+'01.09.68'!P40+'02.09.68'!P40+'03.09.68'!P40+'04.09.68'!P40+'05.09.68'!P40+'06.09.68'!P40+'07.09.68'!P40+'08.09.68'!P40+'09.09.68'!P40+'10.09.68'!P40+'11.09.68'!P40+'12.09.68'!P40+'13.09.68'!P40+'14.09.68'!P40+'15.09.68'!P40+'16.09.68'!P40+'17.09.68'!P40+'18.09.68'!P40+'19.09.68'!P40+'20.09.68'!P40+'21.09.68'!P40+'22.09.68'!P40+'23.09.68'!P40+'24.09.68'!P40+'25.09.68'!P40+'26.09.68'!P40+'27.09.68'!P40+'28.09.68'!P40+'29.09.68'!P40+'30.09.68'!P40</f>
        <v>0</v>
      </c>
      <c r="Q40" s="52">
        <f>+'01.09.68'!Q40+'02.09.68'!Q40+'03.09.68'!Q40+'04.09.68'!Q40+'05.09.68'!Q40+'06.09.68'!Q40+'07.09.68'!Q40+'08.09.68'!Q40+'09.09.68'!Q40+'10.09.68'!Q40+'11.09.68'!Q40+'12.09.68'!Q40+'13.09.68'!Q40+'14.09.68'!Q40+'15.09.68'!Q40+'16.09.68'!Q40+'17.09.68'!Q40+'18.09.68'!Q40+'19.09.68'!Q40+'20.09.68'!Q40+'21.09.68'!Q40+'22.09.68'!Q40+'23.09.68'!Q40+'24.09.68'!Q40+'25.09.68'!Q40+'26.09.68'!Q40+'27.09.68'!Q40+'28.09.68'!Q40+'29.09.68'!Q40+'30.09.68'!Q40</f>
        <v>0</v>
      </c>
      <c r="R40" s="65">
        <f t="shared" si="4"/>
        <v>0</v>
      </c>
      <c r="S40" s="52">
        <f>+'01.09.68'!S40+'02.09.68'!S40+'03.09.68'!S40+'04.09.68'!S40+'05.09.68'!S40+'06.09.68'!S40+'07.09.68'!S40+'08.09.68'!S40+'09.09.68'!S40+'10.09.68'!S40+'11.09.68'!S40+'12.09.68'!S40+'13.09.68'!S40+'14.09.68'!S40+'15.09.68'!S40+'16.09.68'!S40+'17.09.68'!S40+'18.09.68'!S40+'19.09.68'!S40+'20.09.68'!S40+'21.09.68'!S40+'22.09.68'!S40+'23.09.68'!S40+'24.09.68'!S40+'25.09.68'!S40+'26.09.68'!S40+'27.09.68'!S40+'28.09.68'!S40+'29.09.68'!S40+'30.09.68'!S40</f>
        <v>0</v>
      </c>
      <c r="T40" s="52">
        <f>+'01.09.68'!T40+'02.09.68'!T40+'03.09.68'!T40+'04.09.68'!T40+'05.09.68'!T40+'06.09.68'!T40+'07.09.68'!T40+'08.09.68'!T40+'09.09.68'!T40+'10.09.68'!T40+'11.09.68'!T40+'12.09.68'!T40+'13.09.68'!T40+'14.09.68'!T40+'15.09.68'!T40+'16.09.68'!T40+'17.09.68'!T40+'18.09.68'!T40+'19.09.68'!T40+'20.09.68'!T40+'21.09.68'!T40+'22.09.68'!T40+'23.09.68'!T40+'24.09.68'!T40+'25.09.68'!T40+'26.09.68'!T40+'27.09.68'!T40+'28.09.68'!T40+'29.09.68'!T40+'30.09.68'!T40</f>
        <v>0</v>
      </c>
      <c r="U40" s="65">
        <f t="shared" si="5"/>
        <v>0</v>
      </c>
      <c r="V40" s="52">
        <f>+'01.09.68'!V40+'02.09.68'!V40+'03.09.68'!V40+'04.09.68'!V40+'05.09.68'!V40+'06.09.68'!V40+'07.09.68'!V40+'08.09.68'!V40+'09.09.68'!V40+'10.09.68'!V40+'11.09.68'!V40+'12.09.68'!V40+'13.09.68'!V40+'14.09.68'!V40+'15.09.68'!V40+'16.09.68'!V40+'17.09.68'!V40+'18.09.68'!V40+'19.09.68'!V40+'20.09.68'!V40+'21.09.68'!V40+'22.09.68'!V40+'23.09.68'!V40+'24.09.68'!V40+'25.09.68'!V40+'26.09.68'!V40+'27.09.68'!V40+'28.09.68'!V40+'29.09.68'!V40+'30.09.68'!V40</f>
        <v>0</v>
      </c>
      <c r="W40" s="52">
        <f>+'01.09.68'!W40+'02.09.68'!W40+'03.09.68'!W40+'04.09.68'!W40+'05.09.68'!W40+'06.09.68'!W40+'07.09.68'!W40+'08.09.68'!W40+'09.09.68'!W40+'10.09.68'!W40+'11.09.68'!W40+'12.09.68'!W40+'13.09.68'!W40+'14.09.68'!W40+'15.09.68'!W40+'16.09.68'!W40+'17.09.68'!W40+'18.09.68'!W40+'19.09.68'!W40+'20.09.68'!W40+'21.09.68'!W40+'22.09.68'!W40+'23.09.68'!W40+'24.09.68'!W40+'25.09.68'!W40+'26.09.68'!W40+'27.09.68'!W40+'28.09.68'!W40+'29.09.68'!W40+'30.09.68'!W40</f>
        <v>0</v>
      </c>
      <c r="X40" s="65">
        <f t="shared" si="6"/>
        <v>0</v>
      </c>
      <c r="Y40" s="52">
        <f>+'01.09.68'!Y40+'02.09.68'!Y40+'03.09.68'!Y40+'04.09.68'!Y40+'05.09.68'!Y40+'06.09.68'!Y40+'07.09.68'!Y40+'08.09.68'!Y40+'09.09.68'!Y40+'10.09.68'!Y40+'11.09.68'!Y40+'12.09.68'!Y40+'13.09.68'!Y40+'14.09.68'!Y40+'15.09.68'!Y40+'16.09.68'!Y40+'17.09.68'!Y40+'18.09.68'!Y40+'19.09.68'!Y40+'20.09.68'!Y40+'21.09.68'!Y40+'22.09.68'!Y40+'23.09.68'!Y40+'24.09.68'!Y40+'25.09.68'!Y40+'26.09.68'!Y40+'27.09.68'!Y40+'28.09.68'!Y40+'29.09.68'!Y40+'30.09.68'!Y40</f>
        <v>0</v>
      </c>
      <c r="Z40" s="66">
        <f t="shared" si="7"/>
        <v>0</v>
      </c>
    </row>
    <row r="41" spans="2:26">
      <c r="B41" s="50">
        <v>1111056</v>
      </c>
      <c r="C41" s="51" t="s">
        <v>172</v>
      </c>
      <c r="D41" s="52">
        <f>+'01.09.68'!D41+'02.09.68'!D41+'03.09.68'!D41+'04.09.68'!D41+'05.09.68'!D41+'06.09.68'!D41+'07.09.68'!D41+'08.09.68'!D41+'09.09.68'!D41+'10.09.68'!D41+'11.09.68'!D41+'12.09.68'!D41+'13.09.68'!D41+'14.09.68'!D41+'15.09.68'!D41+'16.09.68'!D41+'17.09.68'!D41+'18.09.68'!D41+'19.09.68'!D41+'20.09.68'!D41+'21.09.68'!D41+'22.09.68'!D41+'23.09.68'!D41+'24.09.68'!D41+'25.09.68'!D41+'26.09.68'!D41+'27.09.68'!D41+'28.09.68'!D41+'29.09.68'!D41+'30.09.68'!D41</f>
        <v>8</v>
      </c>
      <c r="E41" s="52">
        <f>+'01.09.68'!E41+'02.09.68'!E41+'03.09.68'!E41+'04.09.68'!E41+'05.09.68'!E41+'06.09.68'!E41+'07.09.68'!E41+'08.09.68'!E41+'09.09.68'!E41+'10.09.68'!E41+'11.09.68'!E41+'12.09.68'!E41+'13.09.68'!E41+'14.09.68'!E41+'15.09.68'!E41+'16.09.68'!E41+'17.09.68'!E41+'18.09.68'!E41+'19.09.68'!E41+'20.09.68'!E41+'21.09.68'!E41+'22.09.68'!E41+'23.09.68'!E41+'24.09.68'!E41+'25.09.68'!E41+'26.09.68'!E41+'27.09.68'!E41+'28.09.68'!E41+'29.09.68'!E41+'30.09.68'!E41</f>
        <v>0</v>
      </c>
      <c r="F41" s="65">
        <f t="shared" si="0"/>
        <v>8</v>
      </c>
      <c r="G41" s="52">
        <f>+'01.09.68'!G41+'02.09.68'!G41+'03.09.68'!G41+'04.09.68'!G41+'05.09.68'!G41+'06.09.68'!G41+'07.09.68'!G41+'08.09.68'!G41+'09.09.68'!G41+'10.09.68'!G41+'11.09.68'!G41+'12.09.68'!G41+'13.09.68'!G41+'14.09.68'!G41+'15.09.68'!G41+'16.09.68'!G41+'17.09.68'!G41+'18.09.68'!G41+'19.09.68'!G41+'20.09.68'!G41+'21.09.68'!G41+'22.09.68'!G41+'23.09.68'!G41+'24.09.68'!G41+'25.09.68'!G41+'26.09.68'!G41+'27.09.68'!G41+'28.09.68'!G41+'29.09.68'!G41+'30.09.68'!G41</f>
        <v>143</v>
      </c>
      <c r="H41" s="52">
        <f>+'01.09.68'!H41+'02.09.68'!H41+'03.09.68'!H41+'04.09.68'!H41+'05.09.68'!H41+'06.09.68'!H41+'07.09.68'!H41+'08.09.68'!H41+'09.09.68'!H41+'10.09.68'!H41+'11.09.68'!H41+'12.09.68'!H41+'13.09.68'!H41+'14.09.68'!H41+'15.09.68'!H41+'16.09.68'!H41+'17.09.68'!H41+'18.09.68'!H41+'19.09.68'!H41+'20.09.68'!H41+'21.09.68'!H41+'22.09.68'!H41+'23.09.68'!H41+'24.09.68'!H41+'25.09.68'!H41+'26.09.68'!H41+'27.09.68'!H41+'28.09.68'!H41+'29.09.68'!H41+'30.09.68'!H41</f>
        <v>0</v>
      </c>
      <c r="I41" s="65">
        <f t="shared" si="1"/>
        <v>143</v>
      </c>
      <c r="J41" s="52">
        <f>+'01.09.68'!J41+'02.09.68'!J41+'03.09.68'!J41+'04.09.68'!J41+'05.09.68'!J41+'06.09.68'!J41+'07.09.68'!J41+'08.09.68'!J41+'09.09.68'!J41+'10.09.68'!J41+'11.09.68'!J41+'12.09.68'!J41+'13.09.68'!J41+'14.09.68'!J41+'15.09.68'!J41+'16.09.68'!J41+'17.09.68'!J41+'18.09.68'!J41+'19.09.68'!J41+'20.09.68'!J41+'21.09.68'!J41+'22.09.68'!J41+'23.09.68'!J41+'24.09.68'!J41+'25.09.68'!J41+'26.09.68'!J41+'27.09.68'!J41+'28.09.68'!J41+'29.09.68'!J41+'30.09.68'!J41</f>
        <v>31</v>
      </c>
      <c r="K41" s="52">
        <f>+'01.09.68'!K41+'02.09.68'!K41+'03.09.68'!K41+'04.09.68'!K41+'05.09.68'!K41+'06.09.68'!K41+'07.09.68'!K41+'08.09.68'!K41+'09.09.68'!K41+'10.09.68'!K41+'11.09.68'!K41+'12.09.68'!K41+'13.09.68'!K41+'14.09.68'!K41+'15.09.68'!K41+'16.09.68'!K41+'17.09.68'!K41+'18.09.68'!K41+'19.09.68'!K41+'20.09.68'!K41+'21.09.68'!K41+'22.09.68'!K41+'23.09.68'!K41+'24.09.68'!K41+'25.09.68'!K41+'26.09.68'!K41+'27.09.68'!K41+'28.09.68'!K41+'29.09.68'!K41+'30.09.68'!K41</f>
        <v>0</v>
      </c>
      <c r="L41" s="65">
        <f t="shared" si="2"/>
        <v>31</v>
      </c>
      <c r="M41" s="52">
        <f>+'01.09.68'!M41+'02.09.68'!M41+'03.09.68'!M41+'04.09.68'!M41+'05.09.68'!M41+'06.09.68'!M41+'07.09.68'!M41+'08.09.68'!M41+'09.09.68'!M41+'10.09.68'!M41+'11.09.68'!M41+'12.09.68'!M41+'13.09.68'!M41+'14.09.68'!M41+'15.09.68'!M41+'16.09.68'!M41+'17.09.68'!M41+'18.09.68'!M41+'19.09.68'!M41+'20.09.68'!M41+'21.09.68'!M41+'22.09.68'!M41+'23.09.68'!M41+'24.09.68'!M41+'25.09.68'!M41+'26.09.68'!M41+'27.09.68'!M41+'28.09.68'!M41+'29.09.68'!M41+'30.09.68'!M41</f>
        <v>0</v>
      </c>
      <c r="N41" s="52">
        <f>+'01.09.68'!N41+'02.09.68'!N41+'03.09.68'!N41+'04.09.68'!N41+'05.09.68'!N41+'06.09.68'!N41+'07.09.68'!N41+'08.09.68'!N41+'09.09.68'!N41+'10.09.68'!N41+'11.09.68'!N41+'12.09.68'!N41+'13.09.68'!N41+'14.09.68'!N41+'15.09.68'!N41+'16.09.68'!N41+'17.09.68'!N41+'18.09.68'!N41+'19.09.68'!N41+'20.09.68'!N41+'21.09.68'!N41+'22.09.68'!N41+'23.09.68'!N41+'24.09.68'!N41+'25.09.68'!N41+'26.09.68'!N41+'27.09.68'!N41+'28.09.68'!N41+'29.09.68'!N41+'30.09.68'!N41</f>
        <v>0</v>
      </c>
      <c r="O41" s="65">
        <f t="shared" si="3"/>
        <v>0</v>
      </c>
      <c r="P41" s="52">
        <f>+'01.09.68'!P41+'02.09.68'!P41+'03.09.68'!P41+'04.09.68'!P41+'05.09.68'!P41+'06.09.68'!P41+'07.09.68'!P41+'08.09.68'!P41+'09.09.68'!P41+'10.09.68'!P41+'11.09.68'!P41+'12.09.68'!P41+'13.09.68'!P41+'14.09.68'!P41+'15.09.68'!P41+'16.09.68'!P41+'17.09.68'!P41+'18.09.68'!P41+'19.09.68'!P41+'20.09.68'!P41+'21.09.68'!P41+'22.09.68'!P41+'23.09.68'!P41+'24.09.68'!P41+'25.09.68'!P41+'26.09.68'!P41+'27.09.68'!P41+'28.09.68'!P41+'29.09.68'!P41+'30.09.68'!P41</f>
        <v>0</v>
      </c>
      <c r="Q41" s="52">
        <f>+'01.09.68'!Q41+'02.09.68'!Q41+'03.09.68'!Q41+'04.09.68'!Q41+'05.09.68'!Q41+'06.09.68'!Q41+'07.09.68'!Q41+'08.09.68'!Q41+'09.09.68'!Q41+'10.09.68'!Q41+'11.09.68'!Q41+'12.09.68'!Q41+'13.09.68'!Q41+'14.09.68'!Q41+'15.09.68'!Q41+'16.09.68'!Q41+'17.09.68'!Q41+'18.09.68'!Q41+'19.09.68'!Q41+'20.09.68'!Q41+'21.09.68'!Q41+'22.09.68'!Q41+'23.09.68'!Q41+'24.09.68'!Q41+'25.09.68'!Q41+'26.09.68'!Q41+'27.09.68'!Q41+'28.09.68'!Q41+'29.09.68'!Q41+'30.09.68'!Q41</f>
        <v>0</v>
      </c>
      <c r="R41" s="65">
        <f t="shared" si="4"/>
        <v>0</v>
      </c>
      <c r="S41" s="52">
        <f>+'01.09.68'!S41+'02.09.68'!S41+'03.09.68'!S41+'04.09.68'!S41+'05.09.68'!S41+'06.09.68'!S41+'07.09.68'!S41+'08.09.68'!S41+'09.09.68'!S41+'10.09.68'!S41+'11.09.68'!S41+'12.09.68'!S41+'13.09.68'!S41+'14.09.68'!S41+'15.09.68'!S41+'16.09.68'!S41+'17.09.68'!S41+'18.09.68'!S41+'19.09.68'!S41+'20.09.68'!S41+'21.09.68'!S41+'22.09.68'!S41+'23.09.68'!S41+'24.09.68'!S41+'25.09.68'!S41+'26.09.68'!S41+'27.09.68'!S41+'28.09.68'!S41+'29.09.68'!S41+'30.09.68'!S41</f>
        <v>0</v>
      </c>
      <c r="T41" s="52">
        <f>+'01.09.68'!T41+'02.09.68'!T41+'03.09.68'!T41+'04.09.68'!T41+'05.09.68'!T41+'06.09.68'!T41+'07.09.68'!T41+'08.09.68'!T41+'09.09.68'!T41+'10.09.68'!T41+'11.09.68'!T41+'12.09.68'!T41+'13.09.68'!T41+'14.09.68'!T41+'15.09.68'!T41+'16.09.68'!T41+'17.09.68'!T41+'18.09.68'!T41+'19.09.68'!T41+'20.09.68'!T41+'21.09.68'!T41+'22.09.68'!T41+'23.09.68'!T41+'24.09.68'!T41+'25.09.68'!T41+'26.09.68'!T41+'27.09.68'!T41+'28.09.68'!T41+'29.09.68'!T41+'30.09.68'!T41</f>
        <v>0</v>
      </c>
      <c r="U41" s="65">
        <f t="shared" si="5"/>
        <v>0</v>
      </c>
      <c r="V41" s="52">
        <f>+'01.09.68'!V41+'02.09.68'!V41+'03.09.68'!V41+'04.09.68'!V41+'05.09.68'!V41+'06.09.68'!V41+'07.09.68'!V41+'08.09.68'!V41+'09.09.68'!V41+'10.09.68'!V41+'11.09.68'!V41+'12.09.68'!V41+'13.09.68'!V41+'14.09.68'!V41+'15.09.68'!V41+'16.09.68'!V41+'17.09.68'!V41+'18.09.68'!V41+'19.09.68'!V41+'20.09.68'!V41+'21.09.68'!V41+'22.09.68'!V41+'23.09.68'!V41+'24.09.68'!V41+'25.09.68'!V41+'26.09.68'!V41+'27.09.68'!V41+'28.09.68'!V41+'29.09.68'!V41+'30.09.68'!V41</f>
        <v>0</v>
      </c>
      <c r="W41" s="52">
        <f>+'01.09.68'!W41+'02.09.68'!W41+'03.09.68'!W41+'04.09.68'!W41+'05.09.68'!W41+'06.09.68'!W41+'07.09.68'!W41+'08.09.68'!W41+'09.09.68'!W41+'10.09.68'!W41+'11.09.68'!W41+'12.09.68'!W41+'13.09.68'!W41+'14.09.68'!W41+'15.09.68'!W41+'16.09.68'!W41+'17.09.68'!W41+'18.09.68'!W41+'19.09.68'!W41+'20.09.68'!W41+'21.09.68'!W41+'22.09.68'!W41+'23.09.68'!W41+'24.09.68'!W41+'25.09.68'!W41+'26.09.68'!W41+'27.09.68'!W41+'28.09.68'!W41+'29.09.68'!W41+'30.09.68'!W41</f>
        <v>0</v>
      </c>
      <c r="X41" s="65">
        <f t="shared" si="6"/>
        <v>0</v>
      </c>
      <c r="Y41" s="52">
        <f>+'01.09.68'!Y41+'02.09.68'!Y41+'03.09.68'!Y41+'04.09.68'!Y41+'05.09.68'!Y41+'06.09.68'!Y41+'07.09.68'!Y41+'08.09.68'!Y41+'09.09.68'!Y41+'10.09.68'!Y41+'11.09.68'!Y41+'12.09.68'!Y41+'13.09.68'!Y41+'14.09.68'!Y41+'15.09.68'!Y41+'16.09.68'!Y41+'17.09.68'!Y41+'18.09.68'!Y41+'19.09.68'!Y41+'20.09.68'!Y41+'21.09.68'!Y41+'22.09.68'!Y41+'23.09.68'!Y41+'24.09.68'!Y41+'25.09.68'!Y41+'26.09.68'!Y41+'27.09.68'!Y41+'28.09.68'!Y41+'29.09.68'!Y41+'30.09.68'!Y41</f>
        <v>0</v>
      </c>
      <c r="Z41" s="66">
        <f t="shared" si="7"/>
        <v>182</v>
      </c>
    </row>
    <row r="42" spans="2:26">
      <c r="B42" s="50">
        <v>1111074</v>
      </c>
      <c r="C42" s="51" t="s">
        <v>44</v>
      </c>
      <c r="D42" s="52">
        <f>+'01.09.68'!D42+'02.09.68'!D42+'03.09.68'!D42+'04.09.68'!D42+'05.09.68'!D42+'06.09.68'!D42+'07.09.68'!D42+'08.09.68'!D42+'09.09.68'!D42+'10.09.68'!D42+'11.09.68'!D42+'12.09.68'!D42+'13.09.68'!D42+'14.09.68'!D42+'15.09.68'!D42+'16.09.68'!D42+'17.09.68'!D42+'18.09.68'!D42+'19.09.68'!D42+'20.09.68'!D42+'21.09.68'!D42+'22.09.68'!D42+'23.09.68'!D42+'24.09.68'!D42+'25.09.68'!D42+'26.09.68'!D42+'27.09.68'!D42+'28.09.68'!D42+'29.09.68'!D42+'30.09.68'!D42</f>
        <v>7</v>
      </c>
      <c r="E42" s="52">
        <f>+'01.09.68'!E42+'02.09.68'!E42+'03.09.68'!E42+'04.09.68'!E42+'05.09.68'!E42+'06.09.68'!E42+'07.09.68'!E42+'08.09.68'!E42+'09.09.68'!E42+'10.09.68'!E42+'11.09.68'!E42+'12.09.68'!E42+'13.09.68'!E42+'14.09.68'!E42+'15.09.68'!E42+'16.09.68'!E42+'17.09.68'!E42+'18.09.68'!E42+'19.09.68'!E42+'20.09.68'!E42+'21.09.68'!E42+'22.09.68'!E42+'23.09.68'!E42+'24.09.68'!E42+'25.09.68'!E42+'26.09.68'!E42+'27.09.68'!E42+'28.09.68'!E42+'29.09.68'!E42+'30.09.68'!E42</f>
        <v>0</v>
      </c>
      <c r="F42" s="65">
        <f t="shared" si="0"/>
        <v>7</v>
      </c>
      <c r="G42" s="52">
        <f>+'01.09.68'!G42+'02.09.68'!G42+'03.09.68'!G42+'04.09.68'!G42+'05.09.68'!G42+'06.09.68'!G42+'07.09.68'!G42+'08.09.68'!G42+'09.09.68'!G42+'10.09.68'!G42+'11.09.68'!G42+'12.09.68'!G42+'13.09.68'!G42+'14.09.68'!G42+'15.09.68'!G42+'16.09.68'!G42+'17.09.68'!G42+'18.09.68'!G42+'19.09.68'!G42+'20.09.68'!G42+'21.09.68'!G42+'22.09.68'!G42+'23.09.68'!G42+'24.09.68'!G42+'25.09.68'!G42+'26.09.68'!G42+'27.09.68'!G42+'28.09.68'!G42+'29.09.68'!G42+'30.09.68'!G42</f>
        <v>269</v>
      </c>
      <c r="H42" s="52">
        <f>+'01.09.68'!H42+'02.09.68'!H42+'03.09.68'!H42+'04.09.68'!H42+'05.09.68'!H42+'06.09.68'!H42+'07.09.68'!H42+'08.09.68'!H42+'09.09.68'!H42+'10.09.68'!H42+'11.09.68'!H42+'12.09.68'!H42+'13.09.68'!H42+'14.09.68'!H42+'15.09.68'!H42+'16.09.68'!H42+'17.09.68'!H42+'18.09.68'!H42+'19.09.68'!H42+'20.09.68'!H42+'21.09.68'!H42+'22.09.68'!H42+'23.09.68'!H42+'24.09.68'!H42+'25.09.68'!H42+'26.09.68'!H42+'27.09.68'!H42+'28.09.68'!H42+'29.09.68'!H42+'30.09.68'!H42</f>
        <v>0</v>
      </c>
      <c r="I42" s="65">
        <f t="shared" si="1"/>
        <v>269</v>
      </c>
      <c r="J42" s="52">
        <f>+'01.09.68'!J42+'02.09.68'!J42+'03.09.68'!J42+'04.09.68'!J42+'05.09.68'!J42+'06.09.68'!J42+'07.09.68'!J42+'08.09.68'!J42+'09.09.68'!J42+'10.09.68'!J42+'11.09.68'!J42+'12.09.68'!J42+'13.09.68'!J42+'14.09.68'!J42+'15.09.68'!J42+'16.09.68'!J42+'17.09.68'!J42+'18.09.68'!J42+'19.09.68'!J42+'20.09.68'!J42+'21.09.68'!J42+'22.09.68'!J42+'23.09.68'!J42+'24.09.68'!J42+'25.09.68'!J42+'26.09.68'!J42+'27.09.68'!J42+'28.09.68'!J42+'29.09.68'!J42+'30.09.68'!J42</f>
        <v>7</v>
      </c>
      <c r="K42" s="52">
        <f>+'01.09.68'!K42+'02.09.68'!K42+'03.09.68'!K42+'04.09.68'!K42+'05.09.68'!K42+'06.09.68'!K42+'07.09.68'!K42+'08.09.68'!K42+'09.09.68'!K42+'10.09.68'!K42+'11.09.68'!K42+'12.09.68'!K42+'13.09.68'!K42+'14.09.68'!K42+'15.09.68'!K42+'16.09.68'!K42+'17.09.68'!K42+'18.09.68'!K42+'19.09.68'!K42+'20.09.68'!K42+'21.09.68'!K42+'22.09.68'!K42+'23.09.68'!K42+'24.09.68'!K42+'25.09.68'!K42+'26.09.68'!K42+'27.09.68'!K42+'28.09.68'!K42+'29.09.68'!K42+'30.09.68'!K42</f>
        <v>0</v>
      </c>
      <c r="L42" s="65">
        <f t="shared" si="2"/>
        <v>7</v>
      </c>
      <c r="M42" s="52">
        <f>+'01.09.68'!M42+'02.09.68'!M42+'03.09.68'!M42+'04.09.68'!M42+'05.09.68'!M42+'06.09.68'!M42+'07.09.68'!M42+'08.09.68'!M42+'09.09.68'!M42+'10.09.68'!M42+'11.09.68'!M42+'12.09.68'!M42+'13.09.68'!M42+'14.09.68'!M42+'15.09.68'!M42+'16.09.68'!M42+'17.09.68'!M42+'18.09.68'!M42+'19.09.68'!M42+'20.09.68'!M42+'21.09.68'!M42+'22.09.68'!M42+'23.09.68'!M42+'24.09.68'!M42+'25.09.68'!M42+'26.09.68'!M42+'27.09.68'!M42+'28.09.68'!M42+'29.09.68'!M42+'30.09.68'!M42</f>
        <v>0</v>
      </c>
      <c r="N42" s="52">
        <f>+'01.09.68'!N42+'02.09.68'!N42+'03.09.68'!N42+'04.09.68'!N42+'05.09.68'!N42+'06.09.68'!N42+'07.09.68'!N42+'08.09.68'!N42+'09.09.68'!N42+'10.09.68'!N42+'11.09.68'!N42+'12.09.68'!N42+'13.09.68'!N42+'14.09.68'!N42+'15.09.68'!N42+'16.09.68'!N42+'17.09.68'!N42+'18.09.68'!N42+'19.09.68'!N42+'20.09.68'!N42+'21.09.68'!N42+'22.09.68'!N42+'23.09.68'!N42+'24.09.68'!N42+'25.09.68'!N42+'26.09.68'!N42+'27.09.68'!N42+'28.09.68'!N42+'29.09.68'!N42+'30.09.68'!N42</f>
        <v>0</v>
      </c>
      <c r="O42" s="65">
        <f t="shared" si="3"/>
        <v>0</v>
      </c>
      <c r="P42" s="52">
        <f>+'01.09.68'!P42+'02.09.68'!P42+'03.09.68'!P42+'04.09.68'!P42+'05.09.68'!P42+'06.09.68'!P42+'07.09.68'!P42+'08.09.68'!P42+'09.09.68'!P42+'10.09.68'!P42+'11.09.68'!P42+'12.09.68'!P42+'13.09.68'!P42+'14.09.68'!P42+'15.09.68'!P42+'16.09.68'!P42+'17.09.68'!P42+'18.09.68'!P42+'19.09.68'!P42+'20.09.68'!P42+'21.09.68'!P42+'22.09.68'!P42+'23.09.68'!P42+'24.09.68'!P42+'25.09.68'!P42+'26.09.68'!P42+'27.09.68'!P42+'28.09.68'!P42+'29.09.68'!P42+'30.09.68'!P42</f>
        <v>0</v>
      </c>
      <c r="Q42" s="52">
        <f>+'01.09.68'!Q42+'02.09.68'!Q42+'03.09.68'!Q42+'04.09.68'!Q42+'05.09.68'!Q42+'06.09.68'!Q42+'07.09.68'!Q42+'08.09.68'!Q42+'09.09.68'!Q42+'10.09.68'!Q42+'11.09.68'!Q42+'12.09.68'!Q42+'13.09.68'!Q42+'14.09.68'!Q42+'15.09.68'!Q42+'16.09.68'!Q42+'17.09.68'!Q42+'18.09.68'!Q42+'19.09.68'!Q42+'20.09.68'!Q42+'21.09.68'!Q42+'22.09.68'!Q42+'23.09.68'!Q42+'24.09.68'!Q42+'25.09.68'!Q42+'26.09.68'!Q42+'27.09.68'!Q42+'28.09.68'!Q42+'29.09.68'!Q42+'30.09.68'!Q42</f>
        <v>0</v>
      </c>
      <c r="R42" s="65">
        <f t="shared" si="4"/>
        <v>0</v>
      </c>
      <c r="S42" s="52">
        <f>+'01.09.68'!S42+'02.09.68'!S42+'03.09.68'!S42+'04.09.68'!S42+'05.09.68'!S42+'06.09.68'!S42+'07.09.68'!S42+'08.09.68'!S42+'09.09.68'!S42+'10.09.68'!S42+'11.09.68'!S42+'12.09.68'!S42+'13.09.68'!S42+'14.09.68'!S42+'15.09.68'!S42+'16.09.68'!S42+'17.09.68'!S42+'18.09.68'!S42+'19.09.68'!S42+'20.09.68'!S42+'21.09.68'!S42+'22.09.68'!S42+'23.09.68'!S42+'24.09.68'!S42+'25.09.68'!S42+'26.09.68'!S42+'27.09.68'!S42+'28.09.68'!S42+'29.09.68'!S42+'30.09.68'!S42</f>
        <v>0</v>
      </c>
      <c r="T42" s="52">
        <f>+'01.09.68'!T42+'02.09.68'!T42+'03.09.68'!T42+'04.09.68'!T42+'05.09.68'!T42+'06.09.68'!T42+'07.09.68'!T42+'08.09.68'!T42+'09.09.68'!T42+'10.09.68'!T42+'11.09.68'!T42+'12.09.68'!T42+'13.09.68'!T42+'14.09.68'!T42+'15.09.68'!T42+'16.09.68'!T42+'17.09.68'!T42+'18.09.68'!T42+'19.09.68'!T42+'20.09.68'!T42+'21.09.68'!T42+'22.09.68'!T42+'23.09.68'!T42+'24.09.68'!T42+'25.09.68'!T42+'26.09.68'!T42+'27.09.68'!T42+'28.09.68'!T42+'29.09.68'!T42+'30.09.68'!T42</f>
        <v>0</v>
      </c>
      <c r="U42" s="65">
        <f t="shared" si="5"/>
        <v>0</v>
      </c>
      <c r="V42" s="52">
        <f>+'01.09.68'!V42+'02.09.68'!V42+'03.09.68'!V42+'04.09.68'!V42+'05.09.68'!V42+'06.09.68'!V42+'07.09.68'!V42+'08.09.68'!V42+'09.09.68'!V42+'10.09.68'!V42+'11.09.68'!V42+'12.09.68'!V42+'13.09.68'!V42+'14.09.68'!V42+'15.09.68'!V42+'16.09.68'!V42+'17.09.68'!V42+'18.09.68'!V42+'19.09.68'!V42+'20.09.68'!V42+'21.09.68'!V42+'22.09.68'!V42+'23.09.68'!V42+'24.09.68'!V42+'25.09.68'!V42+'26.09.68'!V42+'27.09.68'!V42+'28.09.68'!V42+'29.09.68'!V42+'30.09.68'!V42</f>
        <v>0</v>
      </c>
      <c r="W42" s="52">
        <f>+'01.09.68'!W42+'02.09.68'!W42+'03.09.68'!W42+'04.09.68'!W42+'05.09.68'!W42+'06.09.68'!W42+'07.09.68'!W42+'08.09.68'!W42+'09.09.68'!W42+'10.09.68'!W42+'11.09.68'!W42+'12.09.68'!W42+'13.09.68'!W42+'14.09.68'!W42+'15.09.68'!W42+'16.09.68'!W42+'17.09.68'!W42+'18.09.68'!W42+'19.09.68'!W42+'20.09.68'!W42+'21.09.68'!W42+'22.09.68'!W42+'23.09.68'!W42+'24.09.68'!W42+'25.09.68'!W42+'26.09.68'!W42+'27.09.68'!W42+'28.09.68'!W42+'29.09.68'!W42+'30.09.68'!W42</f>
        <v>0</v>
      </c>
      <c r="X42" s="65">
        <f t="shared" si="6"/>
        <v>0</v>
      </c>
      <c r="Y42" s="52">
        <f>+'01.09.68'!Y42+'02.09.68'!Y42+'03.09.68'!Y42+'04.09.68'!Y42+'05.09.68'!Y42+'06.09.68'!Y42+'07.09.68'!Y42+'08.09.68'!Y42+'09.09.68'!Y42+'10.09.68'!Y42+'11.09.68'!Y42+'12.09.68'!Y42+'13.09.68'!Y42+'14.09.68'!Y42+'15.09.68'!Y42+'16.09.68'!Y42+'17.09.68'!Y42+'18.09.68'!Y42+'19.09.68'!Y42+'20.09.68'!Y42+'21.09.68'!Y42+'22.09.68'!Y42+'23.09.68'!Y42+'24.09.68'!Y42+'25.09.68'!Y42+'26.09.68'!Y42+'27.09.68'!Y42+'28.09.68'!Y42+'29.09.68'!Y42+'30.09.68'!Y42</f>
        <v>0</v>
      </c>
      <c r="Z42" s="66">
        <f t="shared" si="7"/>
        <v>283</v>
      </c>
    </row>
    <row r="43" spans="2:26">
      <c r="B43" s="50">
        <v>1111075</v>
      </c>
      <c r="C43" s="51" t="s">
        <v>45</v>
      </c>
      <c r="D43" s="52">
        <f>+'01.09.68'!D43+'02.09.68'!D43+'03.09.68'!D43+'04.09.68'!D43+'05.09.68'!D43+'06.09.68'!D43+'07.09.68'!D43+'08.09.68'!D43+'09.09.68'!D43+'10.09.68'!D43+'11.09.68'!D43+'12.09.68'!D43+'13.09.68'!D43+'14.09.68'!D43+'15.09.68'!D43+'16.09.68'!D43+'17.09.68'!D43+'18.09.68'!D43+'19.09.68'!D43+'20.09.68'!D43+'21.09.68'!D43+'22.09.68'!D43+'23.09.68'!D43+'24.09.68'!D43+'25.09.68'!D43+'26.09.68'!D43+'27.09.68'!D43+'28.09.68'!D43+'29.09.68'!D43+'30.09.68'!D43</f>
        <v>7</v>
      </c>
      <c r="E43" s="52">
        <f>+'01.09.68'!E43+'02.09.68'!E43+'03.09.68'!E43+'04.09.68'!E43+'05.09.68'!E43+'06.09.68'!E43+'07.09.68'!E43+'08.09.68'!E43+'09.09.68'!E43+'10.09.68'!E43+'11.09.68'!E43+'12.09.68'!E43+'13.09.68'!E43+'14.09.68'!E43+'15.09.68'!E43+'16.09.68'!E43+'17.09.68'!E43+'18.09.68'!E43+'19.09.68'!E43+'20.09.68'!E43+'21.09.68'!E43+'22.09.68'!E43+'23.09.68'!E43+'24.09.68'!E43+'25.09.68'!E43+'26.09.68'!E43+'27.09.68'!E43+'28.09.68'!E43+'29.09.68'!E43+'30.09.68'!E43</f>
        <v>0</v>
      </c>
      <c r="F43" s="65">
        <f t="shared" si="0"/>
        <v>7</v>
      </c>
      <c r="G43" s="52">
        <f>+'01.09.68'!G43+'02.09.68'!G43+'03.09.68'!G43+'04.09.68'!G43+'05.09.68'!G43+'06.09.68'!G43+'07.09.68'!G43+'08.09.68'!G43+'09.09.68'!G43+'10.09.68'!G43+'11.09.68'!G43+'12.09.68'!G43+'13.09.68'!G43+'14.09.68'!G43+'15.09.68'!G43+'16.09.68'!G43+'17.09.68'!G43+'18.09.68'!G43+'19.09.68'!G43+'20.09.68'!G43+'21.09.68'!G43+'22.09.68'!G43+'23.09.68'!G43+'24.09.68'!G43+'25.09.68'!G43+'26.09.68'!G43+'27.09.68'!G43+'28.09.68'!G43+'29.09.68'!G43+'30.09.68'!G43</f>
        <v>265</v>
      </c>
      <c r="H43" s="52">
        <f>+'01.09.68'!H43+'02.09.68'!H43+'03.09.68'!H43+'04.09.68'!H43+'05.09.68'!H43+'06.09.68'!H43+'07.09.68'!H43+'08.09.68'!H43+'09.09.68'!H43+'10.09.68'!H43+'11.09.68'!H43+'12.09.68'!H43+'13.09.68'!H43+'14.09.68'!H43+'15.09.68'!H43+'16.09.68'!H43+'17.09.68'!H43+'18.09.68'!H43+'19.09.68'!H43+'20.09.68'!H43+'21.09.68'!H43+'22.09.68'!H43+'23.09.68'!H43+'24.09.68'!H43+'25.09.68'!H43+'26.09.68'!H43+'27.09.68'!H43+'28.09.68'!H43+'29.09.68'!H43+'30.09.68'!H43</f>
        <v>0</v>
      </c>
      <c r="I43" s="65">
        <f t="shared" si="1"/>
        <v>265</v>
      </c>
      <c r="J43" s="52">
        <f>+'01.09.68'!J43+'02.09.68'!J43+'03.09.68'!J43+'04.09.68'!J43+'05.09.68'!J43+'06.09.68'!J43+'07.09.68'!J43+'08.09.68'!J43+'09.09.68'!J43+'10.09.68'!J43+'11.09.68'!J43+'12.09.68'!J43+'13.09.68'!J43+'14.09.68'!J43+'15.09.68'!J43+'16.09.68'!J43+'17.09.68'!J43+'18.09.68'!J43+'19.09.68'!J43+'20.09.68'!J43+'21.09.68'!J43+'22.09.68'!J43+'23.09.68'!J43+'24.09.68'!J43+'25.09.68'!J43+'26.09.68'!J43+'27.09.68'!J43+'28.09.68'!J43+'29.09.68'!J43+'30.09.68'!J43</f>
        <v>7</v>
      </c>
      <c r="K43" s="52">
        <f>+'01.09.68'!K43+'02.09.68'!K43+'03.09.68'!K43+'04.09.68'!K43+'05.09.68'!K43+'06.09.68'!K43+'07.09.68'!K43+'08.09.68'!K43+'09.09.68'!K43+'10.09.68'!K43+'11.09.68'!K43+'12.09.68'!K43+'13.09.68'!K43+'14.09.68'!K43+'15.09.68'!K43+'16.09.68'!K43+'17.09.68'!K43+'18.09.68'!K43+'19.09.68'!K43+'20.09.68'!K43+'21.09.68'!K43+'22.09.68'!K43+'23.09.68'!K43+'24.09.68'!K43+'25.09.68'!K43+'26.09.68'!K43+'27.09.68'!K43+'28.09.68'!K43+'29.09.68'!K43+'30.09.68'!K43</f>
        <v>0</v>
      </c>
      <c r="L43" s="65">
        <f t="shared" si="2"/>
        <v>7</v>
      </c>
      <c r="M43" s="52">
        <f>+'01.09.68'!M43+'02.09.68'!M43+'03.09.68'!M43+'04.09.68'!M43+'05.09.68'!M43+'06.09.68'!M43+'07.09.68'!M43+'08.09.68'!M43+'09.09.68'!M43+'10.09.68'!M43+'11.09.68'!M43+'12.09.68'!M43+'13.09.68'!M43+'14.09.68'!M43+'15.09.68'!M43+'16.09.68'!M43+'17.09.68'!M43+'18.09.68'!M43+'19.09.68'!M43+'20.09.68'!M43+'21.09.68'!M43+'22.09.68'!M43+'23.09.68'!M43+'24.09.68'!M43+'25.09.68'!M43+'26.09.68'!M43+'27.09.68'!M43+'28.09.68'!M43+'29.09.68'!M43+'30.09.68'!M43</f>
        <v>0</v>
      </c>
      <c r="N43" s="52">
        <f>+'01.09.68'!N43+'02.09.68'!N43+'03.09.68'!N43+'04.09.68'!N43+'05.09.68'!N43+'06.09.68'!N43+'07.09.68'!N43+'08.09.68'!N43+'09.09.68'!N43+'10.09.68'!N43+'11.09.68'!N43+'12.09.68'!N43+'13.09.68'!N43+'14.09.68'!N43+'15.09.68'!N43+'16.09.68'!N43+'17.09.68'!N43+'18.09.68'!N43+'19.09.68'!N43+'20.09.68'!N43+'21.09.68'!N43+'22.09.68'!N43+'23.09.68'!N43+'24.09.68'!N43+'25.09.68'!N43+'26.09.68'!N43+'27.09.68'!N43+'28.09.68'!N43+'29.09.68'!N43+'30.09.68'!N43</f>
        <v>0</v>
      </c>
      <c r="O43" s="65">
        <f t="shared" si="3"/>
        <v>0</v>
      </c>
      <c r="P43" s="52">
        <f>+'01.09.68'!P43+'02.09.68'!P43+'03.09.68'!P43+'04.09.68'!P43+'05.09.68'!P43+'06.09.68'!P43+'07.09.68'!P43+'08.09.68'!P43+'09.09.68'!P43+'10.09.68'!P43+'11.09.68'!P43+'12.09.68'!P43+'13.09.68'!P43+'14.09.68'!P43+'15.09.68'!P43+'16.09.68'!P43+'17.09.68'!P43+'18.09.68'!P43+'19.09.68'!P43+'20.09.68'!P43+'21.09.68'!P43+'22.09.68'!P43+'23.09.68'!P43+'24.09.68'!P43+'25.09.68'!P43+'26.09.68'!P43+'27.09.68'!P43+'28.09.68'!P43+'29.09.68'!P43+'30.09.68'!P43</f>
        <v>0</v>
      </c>
      <c r="Q43" s="52">
        <f>+'01.09.68'!Q43+'02.09.68'!Q43+'03.09.68'!Q43+'04.09.68'!Q43+'05.09.68'!Q43+'06.09.68'!Q43+'07.09.68'!Q43+'08.09.68'!Q43+'09.09.68'!Q43+'10.09.68'!Q43+'11.09.68'!Q43+'12.09.68'!Q43+'13.09.68'!Q43+'14.09.68'!Q43+'15.09.68'!Q43+'16.09.68'!Q43+'17.09.68'!Q43+'18.09.68'!Q43+'19.09.68'!Q43+'20.09.68'!Q43+'21.09.68'!Q43+'22.09.68'!Q43+'23.09.68'!Q43+'24.09.68'!Q43+'25.09.68'!Q43+'26.09.68'!Q43+'27.09.68'!Q43+'28.09.68'!Q43+'29.09.68'!Q43+'30.09.68'!Q43</f>
        <v>0</v>
      </c>
      <c r="R43" s="65">
        <f t="shared" si="4"/>
        <v>0</v>
      </c>
      <c r="S43" s="52">
        <f>+'01.09.68'!S43+'02.09.68'!S43+'03.09.68'!S43+'04.09.68'!S43+'05.09.68'!S43+'06.09.68'!S43+'07.09.68'!S43+'08.09.68'!S43+'09.09.68'!S43+'10.09.68'!S43+'11.09.68'!S43+'12.09.68'!S43+'13.09.68'!S43+'14.09.68'!S43+'15.09.68'!S43+'16.09.68'!S43+'17.09.68'!S43+'18.09.68'!S43+'19.09.68'!S43+'20.09.68'!S43+'21.09.68'!S43+'22.09.68'!S43+'23.09.68'!S43+'24.09.68'!S43+'25.09.68'!S43+'26.09.68'!S43+'27.09.68'!S43+'28.09.68'!S43+'29.09.68'!S43+'30.09.68'!S43</f>
        <v>0</v>
      </c>
      <c r="T43" s="52">
        <f>+'01.09.68'!T43+'02.09.68'!T43+'03.09.68'!T43+'04.09.68'!T43+'05.09.68'!T43+'06.09.68'!T43+'07.09.68'!T43+'08.09.68'!T43+'09.09.68'!T43+'10.09.68'!T43+'11.09.68'!T43+'12.09.68'!T43+'13.09.68'!T43+'14.09.68'!T43+'15.09.68'!T43+'16.09.68'!T43+'17.09.68'!T43+'18.09.68'!T43+'19.09.68'!T43+'20.09.68'!T43+'21.09.68'!T43+'22.09.68'!T43+'23.09.68'!T43+'24.09.68'!T43+'25.09.68'!T43+'26.09.68'!T43+'27.09.68'!T43+'28.09.68'!T43+'29.09.68'!T43+'30.09.68'!T43</f>
        <v>0</v>
      </c>
      <c r="U43" s="65">
        <f t="shared" si="5"/>
        <v>0</v>
      </c>
      <c r="V43" s="52">
        <f>+'01.09.68'!V43+'02.09.68'!V43+'03.09.68'!V43+'04.09.68'!V43+'05.09.68'!V43+'06.09.68'!V43+'07.09.68'!V43+'08.09.68'!V43+'09.09.68'!V43+'10.09.68'!V43+'11.09.68'!V43+'12.09.68'!V43+'13.09.68'!V43+'14.09.68'!V43+'15.09.68'!V43+'16.09.68'!V43+'17.09.68'!V43+'18.09.68'!V43+'19.09.68'!V43+'20.09.68'!V43+'21.09.68'!V43+'22.09.68'!V43+'23.09.68'!V43+'24.09.68'!V43+'25.09.68'!V43+'26.09.68'!V43+'27.09.68'!V43+'28.09.68'!V43+'29.09.68'!V43+'30.09.68'!V43</f>
        <v>0</v>
      </c>
      <c r="W43" s="52">
        <f>+'01.09.68'!W43+'02.09.68'!W43+'03.09.68'!W43+'04.09.68'!W43+'05.09.68'!W43+'06.09.68'!W43+'07.09.68'!W43+'08.09.68'!W43+'09.09.68'!W43+'10.09.68'!W43+'11.09.68'!W43+'12.09.68'!W43+'13.09.68'!W43+'14.09.68'!W43+'15.09.68'!W43+'16.09.68'!W43+'17.09.68'!W43+'18.09.68'!W43+'19.09.68'!W43+'20.09.68'!W43+'21.09.68'!W43+'22.09.68'!W43+'23.09.68'!W43+'24.09.68'!W43+'25.09.68'!W43+'26.09.68'!W43+'27.09.68'!W43+'28.09.68'!W43+'29.09.68'!W43+'30.09.68'!W43</f>
        <v>0</v>
      </c>
      <c r="X43" s="65">
        <f t="shared" si="6"/>
        <v>0</v>
      </c>
      <c r="Y43" s="52">
        <f>+'01.09.68'!Y43+'02.09.68'!Y43+'03.09.68'!Y43+'04.09.68'!Y43+'05.09.68'!Y43+'06.09.68'!Y43+'07.09.68'!Y43+'08.09.68'!Y43+'09.09.68'!Y43+'10.09.68'!Y43+'11.09.68'!Y43+'12.09.68'!Y43+'13.09.68'!Y43+'14.09.68'!Y43+'15.09.68'!Y43+'16.09.68'!Y43+'17.09.68'!Y43+'18.09.68'!Y43+'19.09.68'!Y43+'20.09.68'!Y43+'21.09.68'!Y43+'22.09.68'!Y43+'23.09.68'!Y43+'24.09.68'!Y43+'25.09.68'!Y43+'26.09.68'!Y43+'27.09.68'!Y43+'28.09.68'!Y43+'29.09.68'!Y43+'30.09.68'!Y43</f>
        <v>0</v>
      </c>
      <c r="Z43" s="66">
        <f t="shared" si="7"/>
        <v>279</v>
      </c>
    </row>
    <row r="44" spans="2:26">
      <c r="B44" s="50">
        <v>1111076</v>
      </c>
      <c r="C44" s="51" t="s">
        <v>46</v>
      </c>
      <c r="D44" s="52">
        <f>+'01.09.68'!D44+'02.09.68'!D44+'03.09.68'!D44+'04.09.68'!D44+'05.09.68'!D44+'06.09.68'!D44+'07.09.68'!D44+'08.09.68'!D44+'09.09.68'!D44+'10.09.68'!D44+'11.09.68'!D44+'12.09.68'!D44+'13.09.68'!D44+'14.09.68'!D44+'15.09.68'!D44+'16.09.68'!D44+'17.09.68'!D44+'18.09.68'!D44+'19.09.68'!D44+'20.09.68'!D44+'21.09.68'!D44+'22.09.68'!D44+'23.09.68'!D44+'24.09.68'!D44+'25.09.68'!D44+'26.09.68'!D44+'27.09.68'!D44+'28.09.68'!D44+'29.09.68'!D44+'30.09.68'!D44</f>
        <v>7</v>
      </c>
      <c r="E44" s="52">
        <f>+'01.09.68'!E44+'02.09.68'!E44+'03.09.68'!E44+'04.09.68'!E44+'05.09.68'!E44+'06.09.68'!E44+'07.09.68'!E44+'08.09.68'!E44+'09.09.68'!E44+'10.09.68'!E44+'11.09.68'!E44+'12.09.68'!E44+'13.09.68'!E44+'14.09.68'!E44+'15.09.68'!E44+'16.09.68'!E44+'17.09.68'!E44+'18.09.68'!E44+'19.09.68'!E44+'20.09.68'!E44+'21.09.68'!E44+'22.09.68'!E44+'23.09.68'!E44+'24.09.68'!E44+'25.09.68'!E44+'26.09.68'!E44+'27.09.68'!E44+'28.09.68'!E44+'29.09.68'!E44+'30.09.68'!E44</f>
        <v>0</v>
      </c>
      <c r="F44" s="65">
        <f t="shared" si="0"/>
        <v>7</v>
      </c>
      <c r="G44" s="52">
        <f>+'01.09.68'!G44+'02.09.68'!G44+'03.09.68'!G44+'04.09.68'!G44+'05.09.68'!G44+'06.09.68'!G44+'07.09.68'!G44+'08.09.68'!G44+'09.09.68'!G44+'10.09.68'!G44+'11.09.68'!G44+'12.09.68'!G44+'13.09.68'!G44+'14.09.68'!G44+'15.09.68'!G44+'16.09.68'!G44+'17.09.68'!G44+'18.09.68'!G44+'19.09.68'!G44+'20.09.68'!G44+'21.09.68'!G44+'22.09.68'!G44+'23.09.68'!G44+'24.09.68'!G44+'25.09.68'!G44+'26.09.68'!G44+'27.09.68'!G44+'28.09.68'!G44+'29.09.68'!G44+'30.09.68'!G44</f>
        <v>265</v>
      </c>
      <c r="H44" s="52">
        <f>+'01.09.68'!H44+'02.09.68'!H44+'03.09.68'!H44+'04.09.68'!H44+'05.09.68'!H44+'06.09.68'!H44+'07.09.68'!H44+'08.09.68'!H44+'09.09.68'!H44+'10.09.68'!H44+'11.09.68'!H44+'12.09.68'!H44+'13.09.68'!H44+'14.09.68'!H44+'15.09.68'!H44+'16.09.68'!H44+'17.09.68'!H44+'18.09.68'!H44+'19.09.68'!H44+'20.09.68'!H44+'21.09.68'!H44+'22.09.68'!H44+'23.09.68'!H44+'24.09.68'!H44+'25.09.68'!H44+'26.09.68'!H44+'27.09.68'!H44+'28.09.68'!H44+'29.09.68'!H44+'30.09.68'!H44</f>
        <v>0</v>
      </c>
      <c r="I44" s="65">
        <f t="shared" si="1"/>
        <v>265</v>
      </c>
      <c r="J44" s="52">
        <f>+'01.09.68'!J44+'02.09.68'!J44+'03.09.68'!J44+'04.09.68'!J44+'05.09.68'!J44+'06.09.68'!J44+'07.09.68'!J44+'08.09.68'!J44+'09.09.68'!J44+'10.09.68'!J44+'11.09.68'!J44+'12.09.68'!J44+'13.09.68'!J44+'14.09.68'!J44+'15.09.68'!J44+'16.09.68'!J44+'17.09.68'!J44+'18.09.68'!J44+'19.09.68'!J44+'20.09.68'!J44+'21.09.68'!J44+'22.09.68'!J44+'23.09.68'!J44+'24.09.68'!J44+'25.09.68'!J44+'26.09.68'!J44+'27.09.68'!J44+'28.09.68'!J44+'29.09.68'!J44+'30.09.68'!J44</f>
        <v>7</v>
      </c>
      <c r="K44" s="52">
        <f>+'01.09.68'!K44+'02.09.68'!K44+'03.09.68'!K44+'04.09.68'!K44+'05.09.68'!K44+'06.09.68'!K44+'07.09.68'!K44+'08.09.68'!K44+'09.09.68'!K44+'10.09.68'!K44+'11.09.68'!K44+'12.09.68'!K44+'13.09.68'!K44+'14.09.68'!K44+'15.09.68'!K44+'16.09.68'!K44+'17.09.68'!K44+'18.09.68'!K44+'19.09.68'!K44+'20.09.68'!K44+'21.09.68'!K44+'22.09.68'!K44+'23.09.68'!K44+'24.09.68'!K44+'25.09.68'!K44+'26.09.68'!K44+'27.09.68'!K44+'28.09.68'!K44+'29.09.68'!K44+'30.09.68'!K44</f>
        <v>0</v>
      </c>
      <c r="L44" s="65">
        <f t="shared" si="2"/>
        <v>7</v>
      </c>
      <c r="M44" s="52">
        <f>+'01.09.68'!M44+'02.09.68'!M44+'03.09.68'!M44+'04.09.68'!M44+'05.09.68'!M44+'06.09.68'!M44+'07.09.68'!M44+'08.09.68'!M44+'09.09.68'!M44+'10.09.68'!M44+'11.09.68'!M44+'12.09.68'!M44+'13.09.68'!M44+'14.09.68'!M44+'15.09.68'!M44+'16.09.68'!M44+'17.09.68'!M44+'18.09.68'!M44+'19.09.68'!M44+'20.09.68'!M44+'21.09.68'!M44+'22.09.68'!M44+'23.09.68'!M44+'24.09.68'!M44+'25.09.68'!M44+'26.09.68'!M44+'27.09.68'!M44+'28.09.68'!M44+'29.09.68'!M44+'30.09.68'!M44</f>
        <v>0</v>
      </c>
      <c r="N44" s="52">
        <f>+'01.09.68'!N44+'02.09.68'!N44+'03.09.68'!N44+'04.09.68'!N44+'05.09.68'!N44+'06.09.68'!N44+'07.09.68'!N44+'08.09.68'!N44+'09.09.68'!N44+'10.09.68'!N44+'11.09.68'!N44+'12.09.68'!N44+'13.09.68'!N44+'14.09.68'!N44+'15.09.68'!N44+'16.09.68'!N44+'17.09.68'!N44+'18.09.68'!N44+'19.09.68'!N44+'20.09.68'!N44+'21.09.68'!N44+'22.09.68'!N44+'23.09.68'!N44+'24.09.68'!N44+'25.09.68'!N44+'26.09.68'!N44+'27.09.68'!N44+'28.09.68'!N44+'29.09.68'!N44+'30.09.68'!N44</f>
        <v>0</v>
      </c>
      <c r="O44" s="65">
        <f t="shared" si="3"/>
        <v>0</v>
      </c>
      <c r="P44" s="52">
        <f>+'01.09.68'!P44+'02.09.68'!P44+'03.09.68'!P44+'04.09.68'!P44+'05.09.68'!P44+'06.09.68'!P44+'07.09.68'!P44+'08.09.68'!P44+'09.09.68'!P44+'10.09.68'!P44+'11.09.68'!P44+'12.09.68'!P44+'13.09.68'!P44+'14.09.68'!P44+'15.09.68'!P44+'16.09.68'!P44+'17.09.68'!P44+'18.09.68'!P44+'19.09.68'!P44+'20.09.68'!P44+'21.09.68'!P44+'22.09.68'!P44+'23.09.68'!P44+'24.09.68'!P44+'25.09.68'!P44+'26.09.68'!P44+'27.09.68'!P44+'28.09.68'!P44+'29.09.68'!P44+'30.09.68'!P44</f>
        <v>0</v>
      </c>
      <c r="Q44" s="52">
        <f>+'01.09.68'!Q44+'02.09.68'!Q44+'03.09.68'!Q44+'04.09.68'!Q44+'05.09.68'!Q44+'06.09.68'!Q44+'07.09.68'!Q44+'08.09.68'!Q44+'09.09.68'!Q44+'10.09.68'!Q44+'11.09.68'!Q44+'12.09.68'!Q44+'13.09.68'!Q44+'14.09.68'!Q44+'15.09.68'!Q44+'16.09.68'!Q44+'17.09.68'!Q44+'18.09.68'!Q44+'19.09.68'!Q44+'20.09.68'!Q44+'21.09.68'!Q44+'22.09.68'!Q44+'23.09.68'!Q44+'24.09.68'!Q44+'25.09.68'!Q44+'26.09.68'!Q44+'27.09.68'!Q44+'28.09.68'!Q44+'29.09.68'!Q44+'30.09.68'!Q44</f>
        <v>0</v>
      </c>
      <c r="R44" s="65">
        <f t="shared" si="4"/>
        <v>0</v>
      </c>
      <c r="S44" s="52">
        <f>+'01.09.68'!S44+'02.09.68'!S44+'03.09.68'!S44+'04.09.68'!S44+'05.09.68'!S44+'06.09.68'!S44+'07.09.68'!S44+'08.09.68'!S44+'09.09.68'!S44+'10.09.68'!S44+'11.09.68'!S44+'12.09.68'!S44+'13.09.68'!S44+'14.09.68'!S44+'15.09.68'!S44+'16.09.68'!S44+'17.09.68'!S44+'18.09.68'!S44+'19.09.68'!S44+'20.09.68'!S44+'21.09.68'!S44+'22.09.68'!S44+'23.09.68'!S44+'24.09.68'!S44+'25.09.68'!S44+'26.09.68'!S44+'27.09.68'!S44+'28.09.68'!S44+'29.09.68'!S44+'30.09.68'!S44</f>
        <v>0</v>
      </c>
      <c r="T44" s="52">
        <f>+'01.09.68'!T44+'02.09.68'!T44+'03.09.68'!T44+'04.09.68'!T44+'05.09.68'!T44+'06.09.68'!T44+'07.09.68'!T44+'08.09.68'!T44+'09.09.68'!T44+'10.09.68'!T44+'11.09.68'!T44+'12.09.68'!T44+'13.09.68'!T44+'14.09.68'!T44+'15.09.68'!T44+'16.09.68'!T44+'17.09.68'!T44+'18.09.68'!T44+'19.09.68'!T44+'20.09.68'!T44+'21.09.68'!T44+'22.09.68'!T44+'23.09.68'!T44+'24.09.68'!T44+'25.09.68'!T44+'26.09.68'!T44+'27.09.68'!T44+'28.09.68'!T44+'29.09.68'!T44+'30.09.68'!T44</f>
        <v>0</v>
      </c>
      <c r="U44" s="65">
        <f t="shared" si="5"/>
        <v>0</v>
      </c>
      <c r="V44" s="52">
        <f>+'01.09.68'!V44+'02.09.68'!V44+'03.09.68'!V44+'04.09.68'!V44+'05.09.68'!V44+'06.09.68'!V44+'07.09.68'!V44+'08.09.68'!V44+'09.09.68'!V44+'10.09.68'!V44+'11.09.68'!V44+'12.09.68'!V44+'13.09.68'!V44+'14.09.68'!V44+'15.09.68'!V44+'16.09.68'!V44+'17.09.68'!V44+'18.09.68'!V44+'19.09.68'!V44+'20.09.68'!V44+'21.09.68'!V44+'22.09.68'!V44+'23.09.68'!V44+'24.09.68'!V44+'25.09.68'!V44+'26.09.68'!V44+'27.09.68'!V44+'28.09.68'!V44+'29.09.68'!V44+'30.09.68'!V44</f>
        <v>0</v>
      </c>
      <c r="W44" s="52">
        <f>+'01.09.68'!W44+'02.09.68'!W44+'03.09.68'!W44+'04.09.68'!W44+'05.09.68'!W44+'06.09.68'!W44+'07.09.68'!W44+'08.09.68'!W44+'09.09.68'!W44+'10.09.68'!W44+'11.09.68'!W44+'12.09.68'!W44+'13.09.68'!W44+'14.09.68'!W44+'15.09.68'!W44+'16.09.68'!W44+'17.09.68'!W44+'18.09.68'!W44+'19.09.68'!W44+'20.09.68'!W44+'21.09.68'!W44+'22.09.68'!W44+'23.09.68'!W44+'24.09.68'!W44+'25.09.68'!W44+'26.09.68'!W44+'27.09.68'!W44+'28.09.68'!W44+'29.09.68'!W44+'30.09.68'!W44</f>
        <v>0</v>
      </c>
      <c r="X44" s="65">
        <f t="shared" si="6"/>
        <v>0</v>
      </c>
      <c r="Y44" s="52">
        <f>+'01.09.68'!Y44+'02.09.68'!Y44+'03.09.68'!Y44+'04.09.68'!Y44+'05.09.68'!Y44+'06.09.68'!Y44+'07.09.68'!Y44+'08.09.68'!Y44+'09.09.68'!Y44+'10.09.68'!Y44+'11.09.68'!Y44+'12.09.68'!Y44+'13.09.68'!Y44+'14.09.68'!Y44+'15.09.68'!Y44+'16.09.68'!Y44+'17.09.68'!Y44+'18.09.68'!Y44+'19.09.68'!Y44+'20.09.68'!Y44+'21.09.68'!Y44+'22.09.68'!Y44+'23.09.68'!Y44+'24.09.68'!Y44+'25.09.68'!Y44+'26.09.68'!Y44+'27.09.68'!Y44+'28.09.68'!Y44+'29.09.68'!Y44+'30.09.68'!Y44</f>
        <v>0</v>
      </c>
      <c r="Z44" s="66">
        <f t="shared" si="7"/>
        <v>279</v>
      </c>
    </row>
    <row r="45" spans="2:26">
      <c r="B45" s="50">
        <v>1111077</v>
      </c>
      <c r="C45" s="51" t="s">
        <v>47</v>
      </c>
      <c r="D45" s="52">
        <f>+'01.09.68'!D45+'02.09.68'!D45+'03.09.68'!D45+'04.09.68'!D45+'05.09.68'!D45+'06.09.68'!D45+'07.09.68'!D45+'08.09.68'!D45+'09.09.68'!D45+'10.09.68'!D45+'11.09.68'!D45+'12.09.68'!D45+'13.09.68'!D45+'14.09.68'!D45+'15.09.68'!D45+'16.09.68'!D45+'17.09.68'!D45+'18.09.68'!D45+'19.09.68'!D45+'20.09.68'!D45+'21.09.68'!D45+'22.09.68'!D45+'23.09.68'!D45+'24.09.68'!D45+'25.09.68'!D45+'26.09.68'!D45+'27.09.68'!D45+'28.09.68'!D45+'29.09.68'!D45+'30.09.68'!D45</f>
        <v>7</v>
      </c>
      <c r="E45" s="52">
        <f>+'01.09.68'!E45+'02.09.68'!E45+'03.09.68'!E45+'04.09.68'!E45+'05.09.68'!E45+'06.09.68'!E45+'07.09.68'!E45+'08.09.68'!E45+'09.09.68'!E45+'10.09.68'!E45+'11.09.68'!E45+'12.09.68'!E45+'13.09.68'!E45+'14.09.68'!E45+'15.09.68'!E45+'16.09.68'!E45+'17.09.68'!E45+'18.09.68'!E45+'19.09.68'!E45+'20.09.68'!E45+'21.09.68'!E45+'22.09.68'!E45+'23.09.68'!E45+'24.09.68'!E45+'25.09.68'!E45+'26.09.68'!E45+'27.09.68'!E45+'28.09.68'!E45+'29.09.68'!E45+'30.09.68'!E45</f>
        <v>0</v>
      </c>
      <c r="F45" s="65">
        <f t="shared" si="0"/>
        <v>7</v>
      </c>
      <c r="G45" s="52">
        <f>+'01.09.68'!G45+'02.09.68'!G45+'03.09.68'!G45+'04.09.68'!G45+'05.09.68'!G45+'06.09.68'!G45+'07.09.68'!G45+'08.09.68'!G45+'09.09.68'!G45+'10.09.68'!G45+'11.09.68'!G45+'12.09.68'!G45+'13.09.68'!G45+'14.09.68'!G45+'15.09.68'!G45+'16.09.68'!G45+'17.09.68'!G45+'18.09.68'!G45+'19.09.68'!G45+'20.09.68'!G45+'21.09.68'!G45+'22.09.68'!G45+'23.09.68'!G45+'24.09.68'!G45+'25.09.68'!G45+'26.09.68'!G45+'27.09.68'!G45+'28.09.68'!G45+'29.09.68'!G45+'30.09.68'!G45</f>
        <v>265</v>
      </c>
      <c r="H45" s="52">
        <f>+'01.09.68'!H45+'02.09.68'!H45+'03.09.68'!H45+'04.09.68'!H45+'05.09.68'!H45+'06.09.68'!H45+'07.09.68'!H45+'08.09.68'!H45+'09.09.68'!H45+'10.09.68'!H45+'11.09.68'!H45+'12.09.68'!H45+'13.09.68'!H45+'14.09.68'!H45+'15.09.68'!H45+'16.09.68'!H45+'17.09.68'!H45+'18.09.68'!H45+'19.09.68'!H45+'20.09.68'!H45+'21.09.68'!H45+'22.09.68'!H45+'23.09.68'!H45+'24.09.68'!H45+'25.09.68'!H45+'26.09.68'!H45+'27.09.68'!H45+'28.09.68'!H45+'29.09.68'!H45+'30.09.68'!H45</f>
        <v>0</v>
      </c>
      <c r="I45" s="65">
        <f t="shared" si="1"/>
        <v>265</v>
      </c>
      <c r="J45" s="52">
        <f>+'01.09.68'!J45+'02.09.68'!J45+'03.09.68'!J45+'04.09.68'!J45+'05.09.68'!J45+'06.09.68'!J45+'07.09.68'!J45+'08.09.68'!J45+'09.09.68'!J45+'10.09.68'!J45+'11.09.68'!J45+'12.09.68'!J45+'13.09.68'!J45+'14.09.68'!J45+'15.09.68'!J45+'16.09.68'!J45+'17.09.68'!J45+'18.09.68'!J45+'19.09.68'!J45+'20.09.68'!J45+'21.09.68'!J45+'22.09.68'!J45+'23.09.68'!J45+'24.09.68'!J45+'25.09.68'!J45+'26.09.68'!J45+'27.09.68'!J45+'28.09.68'!J45+'29.09.68'!J45+'30.09.68'!J45</f>
        <v>7</v>
      </c>
      <c r="K45" s="52">
        <f>+'01.09.68'!K45+'02.09.68'!K45+'03.09.68'!K45+'04.09.68'!K45+'05.09.68'!K45+'06.09.68'!K45+'07.09.68'!K45+'08.09.68'!K45+'09.09.68'!K45+'10.09.68'!K45+'11.09.68'!K45+'12.09.68'!K45+'13.09.68'!K45+'14.09.68'!K45+'15.09.68'!K45+'16.09.68'!K45+'17.09.68'!K45+'18.09.68'!K45+'19.09.68'!K45+'20.09.68'!K45+'21.09.68'!K45+'22.09.68'!K45+'23.09.68'!K45+'24.09.68'!K45+'25.09.68'!K45+'26.09.68'!K45+'27.09.68'!K45+'28.09.68'!K45+'29.09.68'!K45+'30.09.68'!K45</f>
        <v>0</v>
      </c>
      <c r="L45" s="65">
        <f t="shared" si="2"/>
        <v>7</v>
      </c>
      <c r="M45" s="52">
        <f>+'01.09.68'!M45+'02.09.68'!M45+'03.09.68'!M45+'04.09.68'!M45+'05.09.68'!M45+'06.09.68'!M45+'07.09.68'!M45+'08.09.68'!M45+'09.09.68'!M45+'10.09.68'!M45+'11.09.68'!M45+'12.09.68'!M45+'13.09.68'!M45+'14.09.68'!M45+'15.09.68'!M45+'16.09.68'!M45+'17.09.68'!M45+'18.09.68'!M45+'19.09.68'!M45+'20.09.68'!M45+'21.09.68'!M45+'22.09.68'!M45+'23.09.68'!M45+'24.09.68'!M45+'25.09.68'!M45+'26.09.68'!M45+'27.09.68'!M45+'28.09.68'!M45+'29.09.68'!M45+'30.09.68'!M45</f>
        <v>0</v>
      </c>
      <c r="N45" s="52">
        <f>+'01.09.68'!N45+'02.09.68'!N45+'03.09.68'!N45+'04.09.68'!N45+'05.09.68'!N45+'06.09.68'!N45+'07.09.68'!N45+'08.09.68'!N45+'09.09.68'!N45+'10.09.68'!N45+'11.09.68'!N45+'12.09.68'!N45+'13.09.68'!N45+'14.09.68'!N45+'15.09.68'!N45+'16.09.68'!N45+'17.09.68'!N45+'18.09.68'!N45+'19.09.68'!N45+'20.09.68'!N45+'21.09.68'!N45+'22.09.68'!N45+'23.09.68'!N45+'24.09.68'!N45+'25.09.68'!N45+'26.09.68'!N45+'27.09.68'!N45+'28.09.68'!N45+'29.09.68'!N45+'30.09.68'!N45</f>
        <v>0</v>
      </c>
      <c r="O45" s="65">
        <f t="shared" si="3"/>
        <v>0</v>
      </c>
      <c r="P45" s="52">
        <f>+'01.09.68'!P45+'02.09.68'!P45+'03.09.68'!P45+'04.09.68'!P45+'05.09.68'!P45+'06.09.68'!P45+'07.09.68'!P45+'08.09.68'!P45+'09.09.68'!P45+'10.09.68'!P45+'11.09.68'!P45+'12.09.68'!P45+'13.09.68'!P45+'14.09.68'!P45+'15.09.68'!P45+'16.09.68'!P45+'17.09.68'!P45+'18.09.68'!P45+'19.09.68'!P45+'20.09.68'!P45+'21.09.68'!P45+'22.09.68'!P45+'23.09.68'!P45+'24.09.68'!P45+'25.09.68'!P45+'26.09.68'!P45+'27.09.68'!P45+'28.09.68'!P45+'29.09.68'!P45+'30.09.68'!P45</f>
        <v>0</v>
      </c>
      <c r="Q45" s="52">
        <f>+'01.09.68'!Q45+'02.09.68'!Q45+'03.09.68'!Q45+'04.09.68'!Q45+'05.09.68'!Q45+'06.09.68'!Q45+'07.09.68'!Q45+'08.09.68'!Q45+'09.09.68'!Q45+'10.09.68'!Q45+'11.09.68'!Q45+'12.09.68'!Q45+'13.09.68'!Q45+'14.09.68'!Q45+'15.09.68'!Q45+'16.09.68'!Q45+'17.09.68'!Q45+'18.09.68'!Q45+'19.09.68'!Q45+'20.09.68'!Q45+'21.09.68'!Q45+'22.09.68'!Q45+'23.09.68'!Q45+'24.09.68'!Q45+'25.09.68'!Q45+'26.09.68'!Q45+'27.09.68'!Q45+'28.09.68'!Q45+'29.09.68'!Q45+'30.09.68'!Q45</f>
        <v>0</v>
      </c>
      <c r="R45" s="65">
        <f t="shared" si="4"/>
        <v>0</v>
      </c>
      <c r="S45" s="52">
        <f>+'01.09.68'!S45+'02.09.68'!S45+'03.09.68'!S45+'04.09.68'!S45+'05.09.68'!S45+'06.09.68'!S45+'07.09.68'!S45+'08.09.68'!S45+'09.09.68'!S45+'10.09.68'!S45+'11.09.68'!S45+'12.09.68'!S45+'13.09.68'!S45+'14.09.68'!S45+'15.09.68'!S45+'16.09.68'!S45+'17.09.68'!S45+'18.09.68'!S45+'19.09.68'!S45+'20.09.68'!S45+'21.09.68'!S45+'22.09.68'!S45+'23.09.68'!S45+'24.09.68'!S45+'25.09.68'!S45+'26.09.68'!S45+'27.09.68'!S45+'28.09.68'!S45+'29.09.68'!S45+'30.09.68'!S45</f>
        <v>0</v>
      </c>
      <c r="T45" s="52">
        <f>+'01.09.68'!T45+'02.09.68'!T45+'03.09.68'!T45+'04.09.68'!T45+'05.09.68'!T45+'06.09.68'!T45+'07.09.68'!T45+'08.09.68'!T45+'09.09.68'!T45+'10.09.68'!T45+'11.09.68'!T45+'12.09.68'!T45+'13.09.68'!T45+'14.09.68'!T45+'15.09.68'!T45+'16.09.68'!T45+'17.09.68'!T45+'18.09.68'!T45+'19.09.68'!T45+'20.09.68'!T45+'21.09.68'!T45+'22.09.68'!T45+'23.09.68'!T45+'24.09.68'!T45+'25.09.68'!T45+'26.09.68'!T45+'27.09.68'!T45+'28.09.68'!T45+'29.09.68'!T45+'30.09.68'!T45</f>
        <v>0</v>
      </c>
      <c r="U45" s="65">
        <f t="shared" si="5"/>
        <v>0</v>
      </c>
      <c r="V45" s="52">
        <f>+'01.09.68'!V45+'02.09.68'!V45+'03.09.68'!V45+'04.09.68'!V45+'05.09.68'!V45+'06.09.68'!V45+'07.09.68'!V45+'08.09.68'!V45+'09.09.68'!V45+'10.09.68'!V45+'11.09.68'!V45+'12.09.68'!V45+'13.09.68'!V45+'14.09.68'!V45+'15.09.68'!V45+'16.09.68'!V45+'17.09.68'!V45+'18.09.68'!V45+'19.09.68'!V45+'20.09.68'!V45+'21.09.68'!V45+'22.09.68'!V45+'23.09.68'!V45+'24.09.68'!V45+'25.09.68'!V45+'26.09.68'!V45+'27.09.68'!V45+'28.09.68'!V45+'29.09.68'!V45+'30.09.68'!V45</f>
        <v>0</v>
      </c>
      <c r="W45" s="52">
        <f>+'01.09.68'!W45+'02.09.68'!W45+'03.09.68'!W45+'04.09.68'!W45+'05.09.68'!W45+'06.09.68'!W45+'07.09.68'!W45+'08.09.68'!W45+'09.09.68'!W45+'10.09.68'!W45+'11.09.68'!W45+'12.09.68'!W45+'13.09.68'!W45+'14.09.68'!W45+'15.09.68'!W45+'16.09.68'!W45+'17.09.68'!W45+'18.09.68'!W45+'19.09.68'!W45+'20.09.68'!W45+'21.09.68'!W45+'22.09.68'!W45+'23.09.68'!W45+'24.09.68'!W45+'25.09.68'!W45+'26.09.68'!W45+'27.09.68'!W45+'28.09.68'!W45+'29.09.68'!W45+'30.09.68'!W45</f>
        <v>0</v>
      </c>
      <c r="X45" s="65">
        <f t="shared" si="6"/>
        <v>0</v>
      </c>
      <c r="Y45" s="52">
        <f>+'01.09.68'!Y45+'02.09.68'!Y45+'03.09.68'!Y45+'04.09.68'!Y45+'05.09.68'!Y45+'06.09.68'!Y45+'07.09.68'!Y45+'08.09.68'!Y45+'09.09.68'!Y45+'10.09.68'!Y45+'11.09.68'!Y45+'12.09.68'!Y45+'13.09.68'!Y45+'14.09.68'!Y45+'15.09.68'!Y45+'16.09.68'!Y45+'17.09.68'!Y45+'18.09.68'!Y45+'19.09.68'!Y45+'20.09.68'!Y45+'21.09.68'!Y45+'22.09.68'!Y45+'23.09.68'!Y45+'24.09.68'!Y45+'25.09.68'!Y45+'26.09.68'!Y45+'27.09.68'!Y45+'28.09.68'!Y45+'29.09.68'!Y45+'30.09.68'!Y45</f>
        <v>0</v>
      </c>
      <c r="Z45" s="66">
        <f t="shared" si="7"/>
        <v>279</v>
      </c>
    </row>
    <row r="46" spans="2:26">
      <c r="B46" s="50">
        <v>1111078</v>
      </c>
      <c r="C46" s="51" t="s">
        <v>48</v>
      </c>
      <c r="D46" s="52">
        <f>+'01.09.68'!D46+'02.09.68'!D46+'03.09.68'!D46+'04.09.68'!D46+'05.09.68'!D46+'06.09.68'!D46+'07.09.68'!D46+'08.09.68'!D46+'09.09.68'!D46+'10.09.68'!D46+'11.09.68'!D46+'12.09.68'!D46+'13.09.68'!D46+'14.09.68'!D46+'15.09.68'!D46+'16.09.68'!D46+'17.09.68'!D46+'18.09.68'!D46+'19.09.68'!D46+'20.09.68'!D46+'21.09.68'!D46+'22.09.68'!D46+'23.09.68'!D46+'24.09.68'!D46+'25.09.68'!D46+'26.09.68'!D46+'27.09.68'!D46+'28.09.68'!D46+'29.09.68'!D46+'30.09.68'!D46</f>
        <v>7</v>
      </c>
      <c r="E46" s="52">
        <f>+'01.09.68'!E46+'02.09.68'!E46+'03.09.68'!E46+'04.09.68'!E46+'05.09.68'!E46+'06.09.68'!E46+'07.09.68'!E46+'08.09.68'!E46+'09.09.68'!E46+'10.09.68'!E46+'11.09.68'!E46+'12.09.68'!E46+'13.09.68'!E46+'14.09.68'!E46+'15.09.68'!E46+'16.09.68'!E46+'17.09.68'!E46+'18.09.68'!E46+'19.09.68'!E46+'20.09.68'!E46+'21.09.68'!E46+'22.09.68'!E46+'23.09.68'!E46+'24.09.68'!E46+'25.09.68'!E46+'26.09.68'!E46+'27.09.68'!E46+'28.09.68'!E46+'29.09.68'!E46+'30.09.68'!E46</f>
        <v>0</v>
      </c>
      <c r="F46" s="65">
        <f t="shared" si="0"/>
        <v>7</v>
      </c>
      <c r="G46" s="52">
        <f>+'01.09.68'!G46+'02.09.68'!G46+'03.09.68'!G46+'04.09.68'!G46+'05.09.68'!G46+'06.09.68'!G46+'07.09.68'!G46+'08.09.68'!G46+'09.09.68'!G46+'10.09.68'!G46+'11.09.68'!G46+'12.09.68'!G46+'13.09.68'!G46+'14.09.68'!G46+'15.09.68'!G46+'16.09.68'!G46+'17.09.68'!G46+'18.09.68'!G46+'19.09.68'!G46+'20.09.68'!G46+'21.09.68'!G46+'22.09.68'!G46+'23.09.68'!G46+'24.09.68'!G46+'25.09.68'!G46+'26.09.68'!G46+'27.09.68'!G46+'28.09.68'!G46+'29.09.68'!G46+'30.09.68'!G46</f>
        <v>265</v>
      </c>
      <c r="H46" s="52">
        <f>+'01.09.68'!H46+'02.09.68'!H46+'03.09.68'!H46+'04.09.68'!H46+'05.09.68'!H46+'06.09.68'!H46+'07.09.68'!H46+'08.09.68'!H46+'09.09.68'!H46+'10.09.68'!H46+'11.09.68'!H46+'12.09.68'!H46+'13.09.68'!H46+'14.09.68'!H46+'15.09.68'!H46+'16.09.68'!H46+'17.09.68'!H46+'18.09.68'!H46+'19.09.68'!H46+'20.09.68'!H46+'21.09.68'!H46+'22.09.68'!H46+'23.09.68'!H46+'24.09.68'!H46+'25.09.68'!H46+'26.09.68'!H46+'27.09.68'!H46+'28.09.68'!H46+'29.09.68'!H46+'30.09.68'!H46</f>
        <v>0</v>
      </c>
      <c r="I46" s="65">
        <f t="shared" si="1"/>
        <v>265</v>
      </c>
      <c r="J46" s="52">
        <f>+'01.09.68'!J46+'02.09.68'!J46+'03.09.68'!J46+'04.09.68'!J46+'05.09.68'!J46+'06.09.68'!J46+'07.09.68'!J46+'08.09.68'!J46+'09.09.68'!J46+'10.09.68'!J46+'11.09.68'!J46+'12.09.68'!J46+'13.09.68'!J46+'14.09.68'!J46+'15.09.68'!J46+'16.09.68'!J46+'17.09.68'!J46+'18.09.68'!J46+'19.09.68'!J46+'20.09.68'!J46+'21.09.68'!J46+'22.09.68'!J46+'23.09.68'!J46+'24.09.68'!J46+'25.09.68'!J46+'26.09.68'!J46+'27.09.68'!J46+'28.09.68'!J46+'29.09.68'!J46+'30.09.68'!J46</f>
        <v>7</v>
      </c>
      <c r="K46" s="52">
        <f>+'01.09.68'!K46+'02.09.68'!K46+'03.09.68'!K46+'04.09.68'!K46+'05.09.68'!K46+'06.09.68'!K46+'07.09.68'!K46+'08.09.68'!K46+'09.09.68'!K46+'10.09.68'!K46+'11.09.68'!K46+'12.09.68'!K46+'13.09.68'!K46+'14.09.68'!K46+'15.09.68'!K46+'16.09.68'!K46+'17.09.68'!K46+'18.09.68'!K46+'19.09.68'!K46+'20.09.68'!K46+'21.09.68'!K46+'22.09.68'!K46+'23.09.68'!K46+'24.09.68'!K46+'25.09.68'!K46+'26.09.68'!K46+'27.09.68'!K46+'28.09.68'!K46+'29.09.68'!K46+'30.09.68'!K46</f>
        <v>0</v>
      </c>
      <c r="L46" s="65">
        <f t="shared" si="2"/>
        <v>7</v>
      </c>
      <c r="M46" s="52">
        <f>+'01.09.68'!M46+'02.09.68'!M46+'03.09.68'!M46+'04.09.68'!M46+'05.09.68'!M46+'06.09.68'!M46+'07.09.68'!M46+'08.09.68'!M46+'09.09.68'!M46+'10.09.68'!M46+'11.09.68'!M46+'12.09.68'!M46+'13.09.68'!M46+'14.09.68'!M46+'15.09.68'!M46+'16.09.68'!M46+'17.09.68'!M46+'18.09.68'!M46+'19.09.68'!M46+'20.09.68'!M46+'21.09.68'!M46+'22.09.68'!M46+'23.09.68'!M46+'24.09.68'!M46+'25.09.68'!M46+'26.09.68'!M46+'27.09.68'!M46+'28.09.68'!M46+'29.09.68'!M46+'30.09.68'!M46</f>
        <v>0</v>
      </c>
      <c r="N46" s="52">
        <f>+'01.09.68'!N46+'02.09.68'!N46+'03.09.68'!N46+'04.09.68'!N46+'05.09.68'!N46+'06.09.68'!N46+'07.09.68'!N46+'08.09.68'!N46+'09.09.68'!N46+'10.09.68'!N46+'11.09.68'!N46+'12.09.68'!N46+'13.09.68'!N46+'14.09.68'!N46+'15.09.68'!N46+'16.09.68'!N46+'17.09.68'!N46+'18.09.68'!N46+'19.09.68'!N46+'20.09.68'!N46+'21.09.68'!N46+'22.09.68'!N46+'23.09.68'!N46+'24.09.68'!N46+'25.09.68'!N46+'26.09.68'!N46+'27.09.68'!N46+'28.09.68'!N46+'29.09.68'!N46+'30.09.68'!N46</f>
        <v>0</v>
      </c>
      <c r="O46" s="65">
        <f t="shared" si="3"/>
        <v>0</v>
      </c>
      <c r="P46" s="52">
        <f>+'01.09.68'!P46+'02.09.68'!P46+'03.09.68'!P46+'04.09.68'!P46+'05.09.68'!P46+'06.09.68'!P46+'07.09.68'!P46+'08.09.68'!P46+'09.09.68'!P46+'10.09.68'!P46+'11.09.68'!P46+'12.09.68'!P46+'13.09.68'!P46+'14.09.68'!P46+'15.09.68'!P46+'16.09.68'!P46+'17.09.68'!P46+'18.09.68'!P46+'19.09.68'!P46+'20.09.68'!P46+'21.09.68'!P46+'22.09.68'!P46+'23.09.68'!P46+'24.09.68'!P46+'25.09.68'!P46+'26.09.68'!P46+'27.09.68'!P46+'28.09.68'!P46+'29.09.68'!P46+'30.09.68'!P46</f>
        <v>0</v>
      </c>
      <c r="Q46" s="52">
        <f>+'01.09.68'!Q46+'02.09.68'!Q46+'03.09.68'!Q46+'04.09.68'!Q46+'05.09.68'!Q46+'06.09.68'!Q46+'07.09.68'!Q46+'08.09.68'!Q46+'09.09.68'!Q46+'10.09.68'!Q46+'11.09.68'!Q46+'12.09.68'!Q46+'13.09.68'!Q46+'14.09.68'!Q46+'15.09.68'!Q46+'16.09.68'!Q46+'17.09.68'!Q46+'18.09.68'!Q46+'19.09.68'!Q46+'20.09.68'!Q46+'21.09.68'!Q46+'22.09.68'!Q46+'23.09.68'!Q46+'24.09.68'!Q46+'25.09.68'!Q46+'26.09.68'!Q46+'27.09.68'!Q46+'28.09.68'!Q46+'29.09.68'!Q46+'30.09.68'!Q46</f>
        <v>0</v>
      </c>
      <c r="R46" s="65">
        <f t="shared" si="4"/>
        <v>0</v>
      </c>
      <c r="S46" s="52">
        <f>+'01.09.68'!S46+'02.09.68'!S46+'03.09.68'!S46+'04.09.68'!S46+'05.09.68'!S46+'06.09.68'!S46+'07.09.68'!S46+'08.09.68'!S46+'09.09.68'!S46+'10.09.68'!S46+'11.09.68'!S46+'12.09.68'!S46+'13.09.68'!S46+'14.09.68'!S46+'15.09.68'!S46+'16.09.68'!S46+'17.09.68'!S46+'18.09.68'!S46+'19.09.68'!S46+'20.09.68'!S46+'21.09.68'!S46+'22.09.68'!S46+'23.09.68'!S46+'24.09.68'!S46+'25.09.68'!S46+'26.09.68'!S46+'27.09.68'!S46+'28.09.68'!S46+'29.09.68'!S46+'30.09.68'!S46</f>
        <v>0</v>
      </c>
      <c r="T46" s="52">
        <f>+'01.09.68'!T46+'02.09.68'!T46+'03.09.68'!T46+'04.09.68'!T46+'05.09.68'!T46+'06.09.68'!T46+'07.09.68'!T46+'08.09.68'!T46+'09.09.68'!T46+'10.09.68'!T46+'11.09.68'!T46+'12.09.68'!T46+'13.09.68'!T46+'14.09.68'!T46+'15.09.68'!T46+'16.09.68'!T46+'17.09.68'!T46+'18.09.68'!T46+'19.09.68'!T46+'20.09.68'!T46+'21.09.68'!T46+'22.09.68'!T46+'23.09.68'!T46+'24.09.68'!T46+'25.09.68'!T46+'26.09.68'!T46+'27.09.68'!T46+'28.09.68'!T46+'29.09.68'!T46+'30.09.68'!T46</f>
        <v>0</v>
      </c>
      <c r="U46" s="65">
        <f t="shared" si="5"/>
        <v>0</v>
      </c>
      <c r="V46" s="52">
        <f>+'01.09.68'!V46+'02.09.68'!V46+'03.09.68'!V46+'04.09.68'!V46+'05.09.68'!V46+'06.09.68'!V46+'07.09.68'!V46+'08.09.68'!V46+'09.09.68'!V46+'10.09.68'!V46+'11.09.68'!V46+'12.09.68'!V46+'13.09.68'!V46+'14.09.68'!V46+'15.09.68'!V46+'16.09.68'!V46+'17.09.68'!V46+'18.09.68'!V46+'19.09.68'!V46+'20.09.68'!V46+'21.09.68'!V46+'22.09.68'!V46+'23.09.68'!V46+'24.09.68'!V46+'25.09.68'!V46+'26.09.68'!V46+'27.09.68'!V46+'28.09.68'!V46+'29.09.68'!V46+'30.09.68'!V46</f>
        <v>0</v>
      </c>
      <c r="W46" s="52">
        <f>+'01.09.68'!W46+'02.09.68'!W46+'03.09.68'!W46+'04.09.68'!W46+'05.09.68'!W46+'06.09.68'!W46+'07.09.68'!W46+'08.09.68'!W46+'09.09.68'!W46+'10.09.68'!W46+'11.09.68'!W46+'12.09.68'!W46+'13.09.68'!W46+'14.09.68'!W46+'15.09.68'!W46+'16.09.68'!W46+'17.09.68'!W46+'18.09.68'!W46+'19.09.68'!W46+'20.09.68'!W46+'21.09.68'!W46+'22.09.68'!W46+'23.09.68'!W46+'24.09.68'!W46+'25.09.68'!W46+'26.09.68'!W46+'27.09.68'!W46+'28.09.68'!W46+'29.09.68'!W46+'30.09.68'!W46</f>
        <v>0</v>
      </c>
      <c r="X46" s="65">
        <f t="shared" si="6"/>
        <v>0</v>
      </c>
      <c r="Y46" s="52">
        <f>+'01.09.68'!Y46+'02.09.68'!Y46+'03.09.68'!Y46+'04.09.68'!Y46+'05.09.68'!Y46+'06.09.68'!Y46+'07.09.68'!Y46+'08.09.68'!Y46+'09.09.68'!Y46+'10.09.68'!Y46+'11.09.68'!Y46+'12.09.68'!Y46+'13.09.68'!Y46+'14.09.68'!Y46+'15.09.68'!Y46+'16.09.68'!Y46+'17.09.68'!Y46+'18.09.68'!Y46+'19.09.68'!Y46+'20.09.68'!Y46+'21.09.68'!Y46+'22.09.68'!Y46+'23.09.68'!Y46+'24.09.68'!Y46+'25.09.68'!Y46+'26.09.68'!Y46+'27.09.68'!Y46+'28.09.68'!Y46+'29.09.68'!Y46+'30.09.68'!Y46</f>
        <v>0</v>
      </c>
      <c r="Z46" s="66">
        <f t="shared" si="7"/>
        <v>279</v>
      </c>
    </row>
    <row r="47" spans="2:26">
      <c r="B47" s="50">
        <v>1111079</v>
      </c>
      <c r="C47" s="51" t="s">
        <v>49</v>
      </c>
      <c r="D47" s="52">
        <f>+'01.09.68'!D47+'02.09.68'!D47+'03.09.68'!D47+'04.09.68'!D47+'05.09.68'!D47+'06.09.68'!D47+'07.09.68'!D47+'08.09.68'!D47+'09.09.68'!D47+'10.09.68'!D47+'11.09.68'!D47+'12.09.68'!D47+'13.09.68'!D47+'14.09.68'!D47+'15.09.68'!D47+'16.09.68'!D47+'17.09.68'!D47+'18.09.68'!D47+'19.09.68'!D47+'20.09.68'!D47+'21.09.68'!D47+'22.09.68'!D47+'23.09.68'!D47+'24.09.68'!D47+'25.09.68'!D47+'26.09.68'!D47+'27.09.68'!D47+'28.09.68'!D47+'29.09.68'!D47+'30.09.68'!D47</f>
        <v>7</v>
      </c>
      <c r="E47" s="52">
        <f>+'01.09.68'!E47+'02.09.68'!E47+'03.09.68'!E47+'04.09.68'!E47+'05.09.68'!E47+'06.09.68'!E47+'07.09.68'!E47+'08.09.68'!E47+'09.09.68'!E47+'10.09.68'!E47+'11.09.68'!E47+'12.09.68'!E47+'13.09.68'!E47+'14.09.68'!E47+'15.09.68'!E47+'16.09.68'!E47+'17.09.68'!E47+'18.09.68'!E47+'19.09.68'!E47+'20.09.68'!E47+'21.09.68'!E47+'22.09.68'!E47+'23.09.68'!E47+'24.09.68'!E47+'25.09.68'!E47+'26.09.68'!E47+'27.09.68'!E47+'28.09.68'!E47+'29.09.68'!E47+'30.09.68'!E47</f>
        <v>0</v>
      </c>
      <c r="F47" s="65">
        <f t="shared" si="0"/>
        <v>7</v>
      </c>
      <c r="G47" s="52">
        <f>+'01.09.68'!G47+'02.09.68'!G47+'03.09.68'!G47+'04.09.68'!G47+'05.09.68'!G47+'06.09.68'!G47+'07.09.68'!G47+'08.09.68'!G47+'09.09.68'!G47+'10.09.68'!G47+'11.09.68'!G47+'12.09.68'!G47+'13.09.68'!G47+'14.09.68'!G47+'15.09.68'!G47+'16.09.68'!G47+'17.09.68'!G47+'18.09.68'!G47+'19.09.68'!G47+'20.09.68'!G47+'21.09.68'!G47+'22.09.68'!G47+'23.09.68'!G47+'24.09.68'!G47+'25.09.68'!G47+'26.09.68'!G47+'27.09.68'!G47+'28.09.68'!G47+'29.09.68'!G47+'30.09.68'!G47</f>
        <v>269</v>
      </c>
      <c r="H47" s="52">
        <f>+'01.09.68'!H47+'02.09.68'!H47+'03.09.68'!H47+'04.09.68'!H47+'05.09.68'!H47+'06.09.68'!H47+'07.09.68'!H47+'08.09.68'!H47+'09.09.68'!H47+'10.09.68'!H47+'11.09.68'!H47+'12.09.68'!H47+'13.09.68'!H47+'14.09.68'!H47+'15.09.68'!H47+'16.09.68'!H47+'17.09.68'!H47+'18.09.68'!H47+'19.09.68'!H47+'20.09.68'!H47+'21.09.68'!H47+'22.09.68'!H47+'23.09.68'!H47+'24.09.68'!H47+'25.09.68'!H47+'26.09.68'!H47+'27.09.68'!H47+'28.09.68'!H47+'29.09.68'!H47+'30.09.68'!H47</f>
        <v>0</v>
      </c>
      <c r="I47" s="65">
        <f t="shared" si="1"/>
        <v>269</v>
      </c>
      <c r="J47" s="52">
        <f>+'01.09.68'!J47+'02.09.68'!J47+'03.09.68'!J47+'04.09.68'!J47+'05.09.68'!J47+'06.09.68'!J47+'07.09.68'!J47+'08.09.68'!J47+'09.09.68'!J47+'10.09.68'!J47+'11.09.68'!J47+'12.09.68'!J47+'13.09.68'!J47+'14.09.68'!J47+'15.09.68'!J47+'16.09.68'!J47+'17.09.68'!J47+'18.09.68'!J47+'19.09.68'!J47+'20.09.68'!J47+'21.09.68'!J47+'22.09.68'!J47+'23.09.68'!J47+'24.09.68'!J47+'25.09.68'!J47+'26.09.68'!J47+'27.09.68'!J47+'28.09.68'!J47+'29.09.68'!J47+'30.09.68'!J47</f>
        <v>7</v>
      </c>
      <c r="K47" s="52">
        <f>+'01.09.68'!K47+'02.09.68'!K47+'03.09.68'!K47+'04.09.68'!K47+'05.09.68'!K47+'06.09.68'!K47+'07.09.68'!K47+'08.09.68'!K47+'09.09.68'!K47+'10.09.68'!K47+'11.09.68'!K47+'12.09.68'!K47+'13.09.68'!K47+'14.09.68'!K47+'15.09.68'!K47+'16.09.68'!K47+'17.09.68'!K47+'18.09.68'!K47+'19.09.68'!K47+'20.09.68'!K47+'21.09.68'!K47+'22.09.68'!K47+'23.09.68'!K47+'24.09.68'!K47+'25.09.68'!K47+'26.09.68'!K47+'27.09.68'!K47+'28.09.68'!K47+'29.09.68'!K47+'30.09.68'!K47</f>
        <v>0</v>
      </c>
      <c r="L47" s="65">
        <f t="shared" si="2"/>
        <v>7</v>
      </c>
      <c r="M47" s="52">
        <f>+'01.09.68'!M47+'02.09.68'!M47+'03.09.68'!M47+'04.09.68'!M47+'05.09.68'!M47+'06.09.68'!M47+'07.09.68'!M47+'08.09.68'!M47+'09.09.68'!M47+'10.09.68'!M47+'11.09.68'!M47+'12.09.68'!M47+'13.09.68'!M47+'14.09.68'!M47+'15.09.68'!M47+'16.09.68'!M47+'17.09.68'!M47+'18.09.68'!M47+'19.09.68'!M47+'20.09.68'!M47+'21.09.68'!M47+'22.09.68'!M47+'23.09.68'!M47+'24.09.68'!M47+'25.09.68'!M47+'26.09.68'!M47+'27.09.68'!M47+'28.09.68'!M47+'29.09.68'!M47+'30.09.68'!M47</f>
        <v>0</v>
      </c>
      <c r="N47" s="52">
        <f>+'01.09.68'!N47+'02.09.68'!N47+'03.09.68'!N47+'04.09.68'!N47+'05.09.68'!N47+'06.09.68'!N47+'07.09.68'!N47+'08.09.68'!N47+'09.09.68'!N47+'10.09.68'!N47+'11.09.68'!N47+'12.09.68'!N47+'13.09.68'!N47+'14.09.68'!N47+'15.09.68'!N47+'16.09.68'!N47+'17.09.68'!N47+'18.09.68'!N47+'19.09.68'!N47+'20.09.68'!N47+'21.09.68'!N47+'22.09.68'!N47+'23.09.68'!N47+'24.09.68'!N47+'25.09.68'!N47+'26.09.68'!N47+'27.09.68'!N47+'28.09.68'!N47+'29.09.68'!N47+'30.09.68'!N47</f>
        <v>0</v>
      </c>
      <c r="O47" s="65">
        <f t="shared" si="3"/>
        <v>0</v>
      </c>
      <c r="P47" s="52">
        <f>+'01.09.68'!P47+'02.09.68'!P47+'03.09.68'!P47+'04.09.68'!P47+'05.09.68'!P47+'06.09.68'!P47+'07.09.68'!P47+'08.09.68'!P47+'09.09.68'!P47+'10.09.68'!P47+'11.09.68'!P47+'12.09.68'!P47+'13.09.68'!P47+'14.09.68'!P47+'15.09.68'!P47+'16.09.68'!P47+'17.09.68'!P47+'18.09.68'!P47+'19.09.68'!P47+'20.09.68'!P47+'21.09.68'!P47+'22.09.68'!P47+'23.09.68'!P47+'24.09.68'!P47+'25.09.68'!P47+'26.09.68'!P47+'27.09.68'!P47+'28.09.68'!P47+'29.09.68'!P47+'30.09.68'!P47</f>
        <v>0</v>
      </c>
      <c r="Q47" s="52">
        <f>+'01.09.68'!Q47+'02.09.68'!Q47+'03.09.68'!Q47+'04.09.68'!Q47+'05.09.68'!Q47+'06.09.68'!Q47+'07.09.68'!Q47+'08.09.68'!Q47+'09.09.68'!Q47+'10.09.68'!Q47+'11.09.68'!Q47+'12.09.68'!Q47+'13.09.68'!Q47+'14.09.68'!Q47+'15.09.68'!Q47+'16.09.68'!Q47+'17.09.68'!Q47+'18.09.68'!Q47+'19.09.68'!Q47+'20.09.68'!Q47+'21.09.68'!Q47+'22.09.68'!Q47+'23.09.68'!Q47+'24.09.68'!Q47+'25.09.68'!Q47+'26.09.68'!Q47+'27.09.68'!Q47+'28.09.68'!Q47+'29.09.68'!Q47+'30.09.68'!Q47</f>
        <v>0</v>
      </c>
      <c r="R47" s="65">
        <f t="shared" si="4"/>
        <v>0</v>
      </c>
      <c r="S47" s="52">
        <f>+'01.09.68'!S47+'02.09.68'!S47+'03.09.68'!S47+'04.09.68'!S47+'05.09.68'!S47+'06.09.68'!S47+'07.09.68'!S47+'08.09.68'!S47+'09.09.68'!S47+'10.09.68'!S47+'11.09.68'!S47+'12.09.68'!S47+'13.09.68'!S47+'14.09.68'!S47+'15.09.68'!S47+'16.09.68'!S47+'17.09.68'!S47+'18.09.68'!S47+'19.09.68'!S47+'20.09.68'!S47+'21.09.68'!S47+'22.09.68'!S47+'23.09.68'!S47+'24.09.68'!S47+'25.09.68'!S47+'26.09.68'!S47+'27.09.68'!S47+'28.09.68'!S47+'29.09.68'!S47+'30.09.68'!S47</f>
        <v>0</v>
      </c>
      <c r="T47" s="52">
        <f>+'01.09.68'!T47+'02.09.68'!T47+'03.09.68'!T47+'04.09.68'!T47+'05.09.68'!T47+'06.09.68'!T47+'07.09.68'!T47+'08.09.68'!T47+'09.09.68'!T47+'10.09.68'!T47+'11.09.68'!T47+'12.09.68'!T47+'13.09.68'!T47+'14.09.68'!T47+'15.09.68'!T47+'16.09.68'!T47+'17.09.68'!T47+'18.09.68'!T47+'19.09.68'!T47+'20.09.68'!T47+'21.09.68'!T47+'22.09.68'!T47+'23.09.68'!T47+'24.09.68'!T47+'25.09.68'!T47+'26.09.68'!T47+'27.09.68'!T47+'28.09.68'!T47+'29.09.68'!T47+'30.09.68'!T47</f>
        <v>0</v>
      </c>
      <c r="U47" s="65">
        <f t="shared" si="5"/>
        <v>0</v>
      </c>
      <c r="V47" s="52">
        <f>+'01.09.68'!V47+'02.09.68'!V47+'03.09.68'!V47+'04.09.68'!V47+'05.09.68'!V47+'06.09.68'!V47+'07.09.68'!V47+'08.09.68'!V47+'09.09.68'!V47+'10.09.68'!V47+'11.09.68'!V47+'12.09.68'!V47+'13.09.68'!V47+'14.09.68'!V47+'15.09.68'!V47+'16.09.68'!V47+'17.09.68'!V47+'18.09.68'!V47+'19.09.68'!V47+'20.09.68'!V47+'21.09.68'!V47+'22.09.68'!V47+'23.09.68'!V47+'24.09.68'!V47+'25.09.68'!V47+'26.09.68'!V47+'27.09.68'!V47+'28.09.68'!V47+'29.09.68'!V47+'30.09.68'!V47</f>
        <v>0</v>
      </c>
      <c r="W47" s="52">
        <f>+'01.09.68'!W47+'02.09.68'!W47+'03.09.68'!W47+'04.09.68'!W47+'05.09.68'!W47+'06.09.68'!W47+'07.09.68'!W47+'08.09.68'!W47+'09.09.68'!W47+'10.09.68'!W47+'11.09.68'!W47+'12.09.68'!W47+'13.09.68'!W47+'14.09.68'!W47+'15.09.68'!W47+'16.09.68'!W47+'17.09.68'!W47+'18.09.68'!W47+'19.09.68'!W47+'20.09.68'!W47+'21.09.68'!W47+'22.09.68'!W47+'23.09.68'!W47+'24.09.68'!W47+'25.09.68'!W47+'26.09.68'!W47+'27.09.68'!W47+'28.09.68'!W47+'29.09.68'!W47+'30.09.68'!W47</f>
        <v>0</v>
      </c>
      <c r="X47" s="65">
        <f t="shared" si="6"/>
        <v>0</v>
      </c>
      <c r="Y47" s="52">
        <f>+'01.09.68'!Y47+'02.09.68'!Y47+'03.09.68'!Y47+'04.09.68'!Y47+'05.09.68'!Y47+'06.09.68'!Y47+'07.09.68'!Y47+'08.09.68'!Y47+'09.09.68'!Y47+'10.09.68'!Y47+'11.09.68'!Y47+'12.09.68'!Y47+'13.09.68'!Y47+'14.09.68'!Y47+'15.09.68'!Y47+'16.09.68'!Y47+'17.09.68'!Y47+'18.09.68'!Y47+'19.09.68'!Y47+'20.09.68'!Y47+'21.09.68'!Y47+'22.09.68'!Y47+'23.09.68'!Y47+'24.09.68'!Y47+'25.09.68'!Y47+'26.09.68'!Y47+'27.09.68'!Y47+'28.09.68'!Y47+'29.09.68'!Y47+'30.09.68'!Y47</f>
        <v>0</v>
      </c>
      <c r="Z47" s="66">
        <f t="shared" si="7"/>
        <v>283</v>
      </c>
    </row>
    <row r="48" spans="2:26">
      <c r="B48" s="50">
        <v>1111080</v>
      </c>
      <c r="C48" s="51" t="s">
        <v>50</v>
      </c>
      <c r="D48" s="52">
        <f>+'01.09.68'!D48+'02.09.68'!D48+'03.09.68'!D48+'04.09.68'!D48+'05.09.68'!D48+'06.09.68'!D48+'07.09.68'!D48+'08.09.68'!D48+'09.09.68'!D48+'10.09.68'!D48+'11.09.68'!D48+'12.09.68'!D48+'13.09.68'!D48+'14.09.68'!D48+'15.09.68'!D48+'16.09.68'!D48+'17.09.68'!D48+'18.09.68'!D48+'19.09.68'!D48+'20.09.68'!D48+'21.09.68'!D48+'22.09.68'!D48+'23.09.68'!D48+'24.09.68'!D48+'25.09.68'!D48+'26.09.68'!D48+'27.09.68'!D48+'28.09.68'!D48+'29.09.68'!D48+'30.09.68'!D48</f>
        <v>7</v>
      </c>
      <c r="E48" s="52">
        <f>+'01.09.68'!E48+'02.09.68'!E48+'03.09.68'!E48+'04.09.68'!E48+'05.09.68'!E48+'06.09.68'!E48+'07.09.68'!E48+'08.09.68'!E48+'09.09.68'!E48+'10.09.68'!E48+'11.09.68'!E48+'12.09.68'!E48+'13.09.68'!E48+'14.09.68'!E48+'15.09.68'!E48+'16.09.68'!E48+'17.09.68'!E48+'18.09.68'!E48+'19.09.68'!E48+'20.09.68'!E48+'21.09.68'!E48+'22.09.68'!E48+'23.09.68'!E48+'24.09.68'!E48+'25.09.68'!E48+'26.09.68'!E48+'27.09.68'!E48+'28.09.68'!E48+'29.09.68'!E48+'30.09.68'!E48</f>
        <v>0</v>
      </c>
      <c r="F48" s="65">
        <f t="shared" si="0"/>
        <v>7</v>
      </c>
      <c r="G48" s="52">
        <f>+'01.09.68'!G48+'02.09.68'!G48+'03.09.68'!G48+'04.09.68'!G48+'05.09.68'!G48+'06.09.68'!G48+'07.09.68'!G48+'08.09.68'!G48+'09.09.68'!G48+'10.09.68'!G48+'11.09.68'!G48+'12.09.68'!G48+'13.09.68'!G48+'14.09.68'!G48+'15.09.68'!G48+'16.09.68'!G48+'17.09.68'!G48+'18.09.68'!G48+'19.09.68'!G48+'20.09.68'!G48+'21.09.68'!G48+'22.09.68'!G48+'23.09.68'!G48+'24.09.68'!G48+'25.09.68'!G48+'26.09.68'!G48+'27.09.68'!G48+'28.09.68'!G48+'29.09.68'!G48+'30.09.68'!G48</f>
        <v>269</v>
      </c>
      <c r="H48" s="52">
        <f>+'01.09.68'!H48+'02.09.68'!H48+'03.09.68'!H48+'04.09.68'!H48+'05.09.68'!H48+'06.09.68'!H48+'07.09.68'!H48+'08.09.68'!H48+'09.09.68'!H48+'10.09.68'!H48+'11.09.68'!H48+'12.09.68'!H48+'13.09.68'!H48+'14.09.68'!H48+'15.09.68'!H48+'16.09.68'!H48+'17.09.68'!H48+'18.09.68'!H48+'19.09.68'!H48+'20.09.68'!H48+'21.09.68'!H48+'22.09.68'!H48+'23.09.68'!H48+'24.09.68'!H48+'25.09.68'!H48+'26.09.68'!H48+'27.09.68'!H48+'28.09.68'!H48+'29.09.68'!H48+'30.09.68'!H48</f>
        <v>0</v>
      </c>
      <c r="I48" s="65">
        <f t="shared" si="1"/>
        <v>269</v>
      </c>
      <c r="J48" s="52">
        <f>+'01.09.68'!J48+'02.09.68'!J48+'03.09.68'!J48+'04.09.68'!J48+'05.09.68'!J48+'06.09.68'!J48+'07.09.68'!J48+'08.09.68'!J48+'09.09.68'!J48+'10.09.68'!J48+'11.09.68'!J48+'12.09.68'!J48+'13.09.68'!J48+'14.09.68'!J48+'15.09.68'!J48+'16.09.68'!J48+'17.09.68'!J48+'18.09.68'!J48+'19.09.68'!J48+'20.09.68'!J48+'21.09.68'!J48+'22.09.68'!J48+'23.09.68'!J48+'24.09.68'!J48+'25.09.68'!J48+'26.09.68'!J48+'27.09.68'!J48+'28.09.68'!J48+'29.09.68'!J48+'30.09.68'!J48</f>
        <v>7</v>
      </c>
      <c r="K48" s="52">
        <f>+'01.09.68'!K48+'02.09.68'!K48+'03.09.68'!K48+'04.09.68'!K48+'05.09.68'!K48+'06.09.68'!K48+'07.09.68'!K48+'08.09.68'!K48+'09.09.68'!K48+'10.09.68'!K48+'11.09.68'!K48+'12.09.68'!K48+'13.09.68'!K48+'14.09.68'!K48+'15.09.68'!K48+'16.09.68'!K48+'17.09.68'!K48+'18.09.68'!K48+'19.09.68'!K48+'20.09.68'!K48+'21.09.68'!K48+'22.09.68'!K48+'23.09.68'!K48+'24.09.68'!K48+'25.09.68'!K48+'26.09.68'!K48+'27.09.68'!K48+'28.09.68'!K48+'29.09.68'!K48+'30.09.68'!K48</f>
        <v>0</v>
      </c>
      <c r="L48" s="65">
        <f t="shared" si="2"/>
        <v>7</v>
      </c>
      <c r="M48" s="52">
        <f>+'01.09.68'!M48+'02.09.68'!M48+'03.09.68'!M48+'04.09.68'!M48+'05.09.68'!M48+'06.09.68'!M48+'07.09.68'!M48+'08.09.68'!M48+'09.09.68'!M48+'10.09.68'!M48+'11.09.68'!M48+'12.09.68'!M48+'13.09.68'!M48+'14.09.68'!M48+'15.09.68'!M48+'16.09.68'!M48+'17.09.68'!M48+'18.09.68'!M48+'19.09.68'!M48+'20.09.68'!M48+'21.09.68'!M48+'22.09.68'!M48+'23.09.68'!M48+'24.09.68'!M48+'25.09.68'!M48+'26.09.68'!M48+'27.09.68'!M48+'28.09.68'!M48+'29.09.68'!M48+'30.09.68'!M48</f>
        <v>0</v>
      </c>
      <c r="N48" s="52">
        <f>+'01.09.68'!N48+'02.09.68'!N48+'03.09.68'!N48+'04.09.68'!N48+'05.09.68'!N48+'06.09.68'!N48+'07.09.68'!N48+'08.09.68'!N48+'09.09.68'!N48+'10.09.68'!N48+'11.09.68'!N48+'12.09.68'!N48+'13.09.68'!N48+'14.09.68'!N48+'15.09.68'!N48+'16.09.68'!N48+'17.09.68'!N48+'18.09.68'!N48+'19.09.68'!N48+'20.09.68'!N48+'21.09.68'!N48+'22.09.68'!N48+'23.09.68'!N48+'24.09.68'!N48+'25.09.68'!N48+'26.09.68'!N48+'27.09.68'!N48+'28.09.68'!N48+'29.09.68'!N48+'30.09.68'!N48</f>
        <v>0</v>
      </c>
      <c r="O48" s="65">
        <f t="shared" si="3"/>
        <v>0</v>
      </c>
      <c r="P48" s="52">
        <f>+'01.09.68'!P48+'02.09.68'!P48+'03.09.68'!P48+'04.09.68'!P48+'05.09.68'!P48+'06.09.68'!P48+'07.09.68'!P48+'08.09.68'!P48+'09.09.68'!P48+'10.09.68'!P48+'11.09.68'!P48+'12.09.68'!P48+'13.09.68'!P48+'14.09.68'!P48+'15.09.68'!P48+'16.09.68'!P48+'17.09.68'!P48+'18.09.68'!P48+'19.09.68'!P48+'20.09.68'!P48+'21.09.68'!P48+'22.09.68'!P48+'23.09.68'!P48+'24.09.68'!P48+'25.09.68'!P48+'26.09.68'!P48+'27.09.68'!P48+'28.09.68'!P48+'29.09.68'!P48+'30.09.68'!P48</f>
        <v>0</v>
      </c>
      <c r="Q48" s="52">
        <f>+'01.09.68'!Q48+'02.09.68'!Q48+'03.09.68'!Q48+'04.09.68'!Q48+'05.09.68'!Q48+'06.09.68'!Q48+'07.09.68'!Q48+'08.09.68'!Q48+'09.09.68'!Q48+'10.09.68'!Q48+'11.09.68'!Q48+'12.09.68'!Q48+'13.09.68'!Q48+'14.09.68'!Q48+'15.09.68'!Q48+'16.09.68'!Q48+'17.09.68'!Q48+'18.09.68'!Q48+'19.09.68'!Q48+'20.09.68'!Q48+'21.09.68'!Q48+'22.09.68'!Q48+'23.09.68'!Q48+'24.09.68'!Q48+'25.09.68'!Q48+'26.09.68'!Q48+'27.09.68'!Q48+'28.09.68'!Q48+'29.09.68'!Q48+'30.09.68'!Q48</f>
        <v>0</v>
      </c>
      <c r="R48" s="65">
        <f t="shared" si="4"/>
        <v>0</v>
      </c>
      <c r="S48" s="52">
        <f>+'01.09.68'!S48+'02.09.68'!S48+'03.09.68'!S48+'04.09.68'!S48+'05.09.68'!S48+'06.09.68'!S48+'07.09.68'!S48+'08.09.68'!S48+'09.09.68'!S48+'10.09.68'!S48+'11.09.68'!S48+'12.09.68'!S48+'13.09.68'!S48+'14.09.68'!S48+'15.09.68'!S48+'16.09.68'!S48+'17.09.68'!S48+'18.09.68'!S48+'19.09.68'!S48+'20.09.68'!S48+'21.09.68'!S48+'22.09.68'!S48+'23.09.68'!S48+'24.09.68'!S48+'25.09.68'!S48+'26.09.68'!S48+'27.09.68'!S48+'28.09.68'!S48+'29.09.68'!S48+'30.09.68'!S48</f>
        <v>0</v>
      </c>
      <c r="T48" s="52">
        <f>+'01.09.68'!T48+'02.09.68'!T48+'03.09.68'!T48+'04.09.68'!T48+'05.09.68'!T48+'06.09.68'!T48+'07.09.68'!T48+'08.09.68'!T48+'09.09.68'!T48+'10.09.68'!T48+'11.09.68'!T48+'12.09.68'!T48+'13.09.68'!T48+'14.09.68'!T48+'15.09.68'!T48+'16.09.68'!T48+'17.09.68'!T48+'18.09.68'!T48+'19.09.68'!T48+'20.09.68'!T48+'21.09.68'!T48+'22.09.68'!T48+'23.09.68'!T48+'24.09.68'!T48+'25.09.68'!T48+'26.09.68'!T48+'27.09.68'!T48+'28.09.68'!T48+'29.09.68'!T48+'30.09.68'!T48</f>
        <v>0</v>
      </c>
      <c r="U48" s="65">
        <f t="shared" si="5"/>
        <v>0</v>
      </c>
      <c r="V48" s="52">
        <f>+'01.09.68'!V48+'02.09.68'!V48+'03.09.68'!V48+'04.09.68'!V48+'05.09.68'!V48+'06.09.68'!V48+'07.09.68'!V48+'08.09.68'!V48+'09.09.68'!V48+'10.09.68'!V48+'11.09.68'!V48+'12.09.68'!V48+'13.09.68'!V48+'14.09.68'!V48+'15.09.68'!V48+'16.09.68'!V48+'17.09.68'!V48+'18.09.68'!V48+'19.09.68'!V48+'20.09.68'!V48+'21.09.68'!V48+'22.09.68'!V48+'23.09.68'!V48+'24.09.68'!V48+'25.09.68'!V48+'26.09.68'!V48+'27.09.68'!V48+'28.09.68'!V48+'29.09.68'!V48+'30.09.68'!V48</f>
        <v>0</v>
      </c>
      <c r="W48" s="52">
        <f>+'01.09.68'!W48+'02.09.68'!W48+'03.09.68'!W48+'04.09.68'!W48+'05.09.68'!W48+'06.09.68'!W48+'07.09.68'!W48+'08.09.68'!W48+'09.09.68'!W48+'10.09.68'!W48+'11.09.68'!W48+'12.09.68'!W48+'13.09.68'!W48+'14.09.68'!W48+'15.09.68'!W48+'16.09.68'!W48+'17.09.68'!W48+'18.09.68'!W48+'19.09.68'!W48+'20.09.68'!W48+'21.09.68'!W48+'22.09.68'!W48+'23.09.68'!W48+'24.09.68'!W48+'25.09.68'!W48+'26.09.68'!W48+'27.09.68'!W48+'28.09.68'!W48+'29.09.68'!W48+'30.09.68'!W48</f>
        <v>0</v>
      </c>
      <c r="X48" s="65">
        <f t="shared" si="6"/>
        <v>0</v>
      </c>
      <c r="Y48" s="52">
        <f>+'01.09.68'!Y48+'02.09.68'!Y48+'03.09.68'!Y48+'04.09.68'!Y48+'05.09.68'!Y48+'06.09.68'!Y48+'07.09.68'!Y48+'08.09.68'!Y48+'09.09.68'!Y48+'10.09.68'!Y48+'11.09.68'!Y48+'12.09.68'!Y48+'13.09.68'!Y48+'14.09.68'!Y48+'15.09.68'!Y48+'16.09.68'!Y48+'17.09.68'!Y48+'18.09.68'!Y48+'19.09.68'!Y48+'20.09.68'!Y48+'21.09.68'!Y48+'22.09.68'!Y48+'23.09.68'!Y48+'24.09.68'!Y48+'25.09.68'!Y48+'26.09.68'!Y48+'27.09.68'!Y48+'28.09.68'!Y48+'29.09.68'!Y48+'30.09.68'!Y48</f>
        <v>0</v>
      </c>
      <c r="Z48" s="66">
        <f t="shared" si="7"/>
        <v>283</v>
      </c>
    </row>
    <row r="49" spans="2:26">
      <c r="B49" s="50">
        <v>1111081</v>
      </c>
      <c r="C49" s="51" t="s">
        <v>51</v>
      </c>
      <c r="D49" s="52">
        <f>+'01.09.68'!D49+'02.09.68'!D49+'03.09.68'!D49+'04.09.68'!D49+'05.09.68'!D49+'06.09.68'!D49+'07.09.68'!D49+'08.09.68'!D49+'09.09.68'!D49+'10.09.68'!D49+'11.09.68'!D49+'12.09.68'!D49+'13.09.68'!D49+'14.09.68'!D49+'15.09.68'!D49+'16.09.68'!D49+'17.09.68'!D49+'18.09.68'!D49+'19.09.68'!D49+'20.09.68'!D49+'21.09.68'!D49+'22.09.68'!D49+'23.09.68'!D49+'24.09.68'!D49+'25.09.68'!D49+'26.09.68'!D49+'27.09.68'!D49+'28.09.68'!D49+'29.09.68'!D49+'30.09.68'!D49</f>
        <v>7</v>
      </c>
      <c r="E49" s="52">
        <f>+'01.09.68'!E49+'02.09.68'!E49+'03.09.68'!E49+'04.09.68'!E49+'05.09.68'!E49+'06.09.68'!E49+'07.09.68'!E49+'08.09.68'!E49+'09.09.68'!E49+'10.09.68'!E49+'11.09.68'!E49+'12.09.68'!E49+'13.09.68'!E49+'14.09.68'!E49+'15.09.68'!E49+'16.09.68'!E49+'17.09.68'!E49+'18.09.68'!E49+'19.09.68'!E49+'20.09.68'!E49+'21.09.68'!E49+'22.09.68'!E49+'23.09.68'!E49+'24.09.68'!E49+'25.09.68'!E49+'26.09.68'!E49+'27.09.68'!E49+'28.09.68'!E49+'29.09.68'!E49+'30.09.68'!E49</f>
        <v>0</v>
      </c>
      <c r="F49" s="65">
        <f t="shared" si="0"/>
        <v>7</v>
      </c>
      <c r="G49" s="52">
        <f>+'01.09.68'!G49+'02.09.68'!G49+'03.09.68'!G49+'04.09.68'!G49+'05.09.68'!G49+'06.09.68'!G49+'07.09.68'!G49+'08.09.68'!G49+'09.09.68'!G49+'10.09.68'!G49+'11.09.68'!G49+'12.09.68'!G49+'13.09.68'!G49+'14.09.68'!G49+'15.09.68'!G49+'16.09.68'!G49+'17.09.68'!G49+'18.09.68'!G49+'19.09.68'!G49+'20.09.68'!G49+'21.09.68'!G49+'22.09.68'!G49+'23.09.68'!G49+'24.09.68'!G49+'25.09.68'!G49+'26.09.68'!G49+'27.09.68'!G49+'28.09.68'!G49+'29.09.68'!G49+'30.09.68'!G49</f>
        <v>269</v>
      </c>
      <c r="H49" s="52">
        <f>+'01.09.68'!H49+'02.09.68'!H49+'03.09.68'!H49+'04.09.68'!H49+'05.09.68'!H49+'06.09.68'!H49+'07.09.68'!H49+'08.09.68'!H49+'09.09.68'!H49+'10.09.68'!H49+'11.09.68'!H49+'12.09.68'!H49+'13.09.68'!H49+'14.09.68'!H49+'15.09.68'!H49+'16.09.68'!H49+'17.09.68'!H49+'18.09.68'!H49+'19.09.68'!H49+'20.09.68'!H49+'21.09.68'!H49+'22.09.68'!H49+'23.09.68'!H49+'24.09.68'!H49+'25.09.68'!H49+'26.09.68'!H49+'27.09.68'!H49+'28.09.68'!H49+'29.09.68'!H49+'30.09.68'!H49</f>
        <v>0</v>
      </c>
      <c r="I49" s="65">
        <f t="shared" si="1"/>
        <v>269</v>
      </c>
      <c r="J49" s="52">
        <f>+'01.09.68'!J49+'02.09.68'!J49+'03.09.68'!J49+'04.09.68'!J49+'05.09.68'!J49+'06.09.68'!J49+'07.09.68'!J49+'08.09.68'!J49+'09.09.68'!J49+'10.09.68'!J49+'11.09.68'!J49+'12.09.68'!J49+'13.09.68'!J49+'14.09.68'!J49+'15.09.68'!J49+'16.09.68'!J49+'17.09.68'!J49+'18.09.68'!J49+'19.09.68'!J49+'20.09.68'!J49+'21.09.68'!J49+'22.09.68'!J49+'23.09.68'!J49+'24.09.68'!J49+'25.09.68'!J49+'26.09.68'!J49+'27.09.68'!J49+'28.09.68'!J49+'29.09.68'!J49+'30.09.68'!J49</f>
        <v>7</v>
      </c>
      <c r="K49" s="52">
        <f>+'01.09.68'!K49+'02.09.68'!K49+'03.09.68'!K49+'04.09.68'!K49+'05.09.68'!K49+'06.09.68'!K49+'07.09.68'!K49+'08.09.68'!K49+'09.09.68'!K49+'10.09.68'!K49+'11.09.68'!K49+'12.09.68'!K49+'13.09.68'!K49+'14.09.68'!K49+'15.09.68'!K49+'16.09.68'!K49+'17.09.68'!K49+'18.09.68'!K49+'19.09.68'!K49+'20.09.68'!K49+'21.09.68'!K49+'22.09.68'!K49+'23.09.68'!K49+'24.09.68'!K49+'25.09.68'!K49+'26.09.68'!K49+'27.09.68'!K49+'28.09.68'!K49+'29.09.68'!K49+'30.09.68'!K49</f>
        <v>0</v>
      </c>
      <c r="L49" s="65">
        <f t="shared" si="2"/>
        <v>7</v>
      </c>
      <c r="M49" s="52">
        <f>+'01.09.68'!M49+'02.09.68'!M49+'03.09.68'!M49+'04.09.68'!M49+'05.09.68'!M49+'06.09.68'!M49+'07.09.68'!M49+'08.09.68'!M49+'09.09.68'!M49+'10.09.68'!M49+'11.09.68'!M49+'12.09.68'!M49+'13.09.68'!M49+'14.09.68'!M49+'15.09.68'!M49+'16.09.68'!M49+'17.09.68'!M49+'18.09.68'!M49+'19.09.68'!M49+'20.09.68'!M49+'21.09.68'!M49+'22.09.68'!M49+'23.09.68'!M49+'24.09.68'!M49+'25.09.68'!M49+'26.09.68'!M49+'27.09.68'!M49+'28.09.68'!M49+'29.09.68'!M49+'30.09.68'!M49</f>
        <v>0</v>
      </c>
      <c r="N49" s="52">
        <f>+'01.09.68'!N49+'02.09.68'!N49+'03.09.68'!N49+'04.09.68'!N49+'05.09.68'!N49+'06.09.68'!N49+'07.09.68'!N49+'08.09.68'!N49+'09.09.68'!N49+'10.09.68'!N49+'11.09.68'!N49+'12.09.68'!N49+'13.09.68'!N49+'14.09.68'!N49+'15.09.68'!N49+'16.09.68'!N49+'17.09.68'!N49+'18.09.68'!N49+'19.09.68'!N49+'20.09.68'!N49+'21.09.68'!N49+'22.09.68'!N49+'23.09.68'!N49+'24.09.68'!N49+'25.09.68'!N49+'26.09.68'!N49+'27.09.68'!N49+'28.09.68'!N49+'29.09.68'!N49+'30.09.68'!N49</f>
        <v>0</v>
      </c>
      <c r="O49" s="65">
        <f t="shared" si="3"/>
        <v>0</v>
      </c>
      <c r="P49" s="52">
        <f>+'01.09.68'!P49+'02.09.68'!P49+'03.09.68'!P49+'04.09.68'!P49+'05.09.68'!P49+'06.09.68'!P49+'07.09.68'!P49+'08.09.68'!P49+'09.09.68'!P49+'10.09.68'!P49+'11.09.68'!P49+'12.09.68'!P49+'13.09.68'!P49+'14.09.68'!P49+'15.09.68'!P49+'16.09.68'!P49+'17.09.68'!P49+'18.09.68'!P49+'19.09.68'!P49+'20.09.68'!P49+'21.09.68'!P49+'22.09.68'!P49+'23.09.68'!P49+'24.09.68'!P49+'25.09.68'!P49+'26.09.68'!P49+'27.09.68'!P49+'28.09.68'!P49+'29.09.68'!P49+'30.09.68'!P49</f>
        <v>0</v>
      </c>
      <c r="Q49" s="52">
        <f>+'01.09.68'!Q49+'02.09.68'!Q49+'03.09.68'!Q49+'04.09.68'!Q49+'05.09.68'!Q49+'06.09.68'!Q49+'07.09.68'!Q49+'08.09.68'!Q49+'09.09.68'!Q49+'10.09.68'!Q49+'11.09.68'!Q49+'12.09.68'!Q49+'13.09.68'!Q49+'14.09.68'!Q49+'15.09.68'!Q49+'16.09.68'!Q49+'17.09.68'!Q49+'18.09.68'!Q49+'19.09.68'!Q49+'20.09.68'!Q49+'21.09.68'!Q49+'22.09.68'!Q49+'23.09.68'!Q49+'24.09.68'!Q49+'25.09.68'!Q49+'26.09.68'!Q49+'27.09.68'!Q49+'28.09.68'!Q49+'29.09.68'!Q49+'30.09.68'!Q49</f>
        <v>0</v>
      </c>
      <c r="R49" s="65">
        <f t="shared" si="4"/>
        <v>0</v>
      </c>
      <c r="S49" s="52">
        <f>+'01.09.68'!S49+'02.09.68'!S49+'03.09.68'!S49+'04.09.68'!S49+'05.09.68'!S49+'06.09.68'!S49+'07.09.68'!S49+'08.09.68'!S49+'09.09.68'!S49+'10.09.68'!S49+'11.09.68'!S49+'12.09.68'!S49+'13.09.68'!S49+'14.09.68'!S49+'15.09.68'!S49+'16.09.68'!S49+'17.09.68'!S49+'18.09.68'!S49+'19.09.68'!S49+'20.09.68'!S49+'21.09.68'!S49+'22.09.68'!S49+'23.09.68'!S49+'24.09.68'!S49+'25.09.68'!S49+'26.09.68'!S49+'27.09.68'!S49+'28.09.68'!S49+'29.09.68'!S49+'30.09.68'!S49</f>
        <v>0</v>
      </c>
      <c r="T49" s="52">
        <f>+'01.09.68'!T49+'02.09.68'!T49+'03.09.68'!T49+'04.09.68'!T49+'05.09.68'!T49+'06.09.68'!T49+'07.09.68'!T49+'08.09.68'!T49+'09.09.68'!T49+'10.09.68'!T49+'11.09.68'!T49+'12.09.68'!T49+'13.09.68'!T49+'14.09.68'!T49+'15.09.68'!T49+'16.09.68'!T49+'17.09.68'!T49+'18.09.68'!T49+'19.09.68'!T49+'20.09.68'!T49+'21.09.68'!T49+'22.09.68'!T49+'23.09.68'!T49+'24.09.68'!T49+'25.09.68'!T49+'26.09.68'!T49+'27.09.68'!T49+'28.09.68'!T49+'29.09.68'!T49+'30.09.68'!T49</f>
        <v>0</v>
      </c>
      <c r="U49" s="65">
        <f t="shared" si="5"/>
        <v>0</v>
      </c>
      <c r="V49" s="52">
        <f>+'01.09.68'!V49+'02.09.68'!V49+'03.09.68'!V49+'04.09.68'!V49+'05.09.68'!V49+'06.09.68'!V49+'07.09.68'!V49+'08.09.68'!V49+'09.09.68'!V49+'10.09.68'!V49+'11.09.68'!V49+'12.09.68'!V49+'13.09.68'!V49+'14.09.68'!V49+'15.09.68'!V49+'16.09.68'!V49+'17.09.68'!V49+'18.09.68'!V49+'19.09.68'!V49+'20.09.68'!V49+'21.09.68'!V49+'22.09.68'!V49+'23.09.68'!V49+'24.09.68'!V49+'25.09.68'!V49+'26.09.68'!V49+'27.09.68'!V49+'28.09.68'!V49+'29.09.68'!V49+'30.09.68'!V49</f>
        <v>0</v>
      </c>
      <c r="W49" s="52">
        <f>+'01.09.68'!W49+'02.09.68'!W49+'03.09.68'!W49+'04.09.68'!W49+'05.09.68'!W49+'06.09.68'!W49+'07.09.68'!W49+'08.09.68'!W49+'09.09.68'!W49+'10.09.68'!W49+'11.09.68'!W49+'12.09.68'!W49+'13.09.68'!W49+'14.09.68'!W49+'15.09.68'!W49+'16.09.68'!W49+'17.09.68'!W49+'18.09.68'!W49+'19.09.68'!W49+'20.09.68'!W49+'21.09.68'!W49+'22.09.68'!W49+'23.09.68'!W49+'24.09.68'!W49+'25.09.68'!W49+'26.09.68'!W49+'27.09.68'!W49+'28.09.68'!W49+'29.09.68'!W49+'30.09.68'!W49</f>
        <v>0</v>
      </c>
      <c r="X49" s="65">
        <f t="shared" si="6"/>
        <v>0</v>
      </c>
      <c r="Y49" s="52">
        <f>+'01.09.68'!Y49+'02.09.68'!Y49+'03.09.68'!Y49+'04.09.68'!Y49+'05.09.68'!Y49+'06.09.68'!Y49+'07.09.68'!Y49+'08.09.68'!Y49+'09.09.68'!Y49+'10.09.68'!Y49+'11.09.68'!Y49+'12.09.68'!Y49+'13.09.68'!Y49+'14.09.68'!Y49+'15.09.68'!Y49+'16.09.68'!Y49+'17.09.68'!Y49+'18.09.68'!Y49+'19.09.68'!Y49+'20.09.68'!Y49+'21.09.68'!Y49+'22.09.68'!Y49+'23.09.68'!Y49+'24.09.68'!Y49+'25.09.68'!Y49+'26.09.68'!Y49+'27.09.68'!Y49+'28.09.68'!Y49+'29.09.68'!Y49+'30.09.68'!Y49</f>
        <v>0</v>
      </c>
      <c r="Z49" s="66">
        <f t="shared" si="7"/>
        <v>283</v>
      </c>
    </row>
    <row r="50" spans="2:26">
      <c r="B50" s="50">
        <v>1111082</v>
      </c>
      <c r="C50" s="51" t="s">
        <v>52</v>
      </c>
      <c r="D50" s="52">
        <f>+'01.09.68'!D50+'02.09.68'!D50+'03.09.68'!D50+'04.09.68'!D50+'05.09.68'!D50+'06.09.68'!D50+'07.09.68'!D50+'08.09.68'!D50+'09.09.68'!D50+'10.09.68'!D50+'11.09.68'!D50+'12.09.68'!D50+'13.09.68'!D50+'14.09.68'!D50+'15.09.68'!D50+'16.09.68'!D50+'17.09.68'!D50+'18.09.68'!D50+'19.09.68'!D50+'20.09.68'!D50+'21.09.68'!D50+'22.09.68'!D50+'23.09.68'!D50+'24.09.68'!D50+'25.09.68'!D50+'26.09.68'!D50+'27.09.68'!D50+'28.09.68'!D50+'29.09.68'!D50+'30.09.68'!D50</f>
        <v>7</v>
      </c>
      <c r="E50" s="52">
        <f>+'01.09.68'!E50+'02.09.68'!E50+'03.09.68'!E50+'04.09.68'!E50+'05.09.68'!E50+'06.09.68'!E50+'07.09.68'!E50+'08.09.68'!E50+'09.09.68'!E50+'10.09.68'!E50+'11.09.68'!E50+'12.09.68'!E50+'13.09.68'!E50+'14.09.68'!E50+'15.09.68'!E50+'16.09.68'!E50+'17.09.68'!E50+'18.09.68'!E50+'19.09.68'!E50+'20.09.68'!E50+'21.09.68'!E50+'22.09.68'!E50+'23.09.68'!E50+'24.09.68'!E50+'25.09.68'!E50+'26.09.68'!E50+'27.09.68'!E50+'28.09.68'!E50+'29.09.68'!E50+'30.09.68'!E50</f>
        <v>0</v>
      </c>
      <c r="F50" s="65">
        <f t="shared" si="0"/>
        <v>7</v>
      </c>
      <c r="G50" s="52">
        <f>+'01.09.68'!G50+'02.09.68'!G50+'03.09.68'!G50+'04.09.68'!G50+'05.09.68'!G50+'06.09.68'!G50+'07.09.68'!G50+'08.09.68'!G50+'09.09.68'!G50+'10.09.68'!G50+'11.09.68'!G50+'12.09.68'!G50+'13.09.68'!G50+'14.09.68'!G50+'15.09.68'!G50+'16.09.68'!G50+'17.09.68'!G50+'18.09.68'!G50+'19.09.68'!G50+'20.09.68'!G50+'21.09.68'!G50+'22.09.68'!G50+'23.09.68'!G50+'24.09.68'!G50+'25.09.68'!G50+'26.09.68'!G50+'27.09.68'!G50+'28.09.68'!G50+'29.09.68'!G50+'30.09.68'!G50</f>
        <v>269</v>
      </c>
      <c r="H50" s="52">
        <f>+'01.09.68'!H50+'02.09.68'!H50+'03.09.68'!H50+'04.09.68'!H50+'05.09.68'!H50+'06.09.68'!H50+'07.09.68'!H50+'08.09.68'!H50+'09.09.68'!H50+'10.09.68'!H50+'11.09.68'!H50+'12.09.68'!H50+'13.09.68'!H50+'14.09.68'!H50+'15.09.68'!H50+'16.09.68'!H50+'17.09.68'!H50+'18.09.68'!H50+'19.09.68'!H50+'20.09.68'!H50+'21.09.68'!H50+'22.09.68'!H50+'23.09.68'!H50+'24.09.68'!H50+'25.09.68'!H50+'26.09.68'!H50+'27.09.68'!H50+'28.09.68'!H50+'29.09.68'!H50+'30.09.68'!H50</f>
        <v>0</v>
      </c>
      <c r="I50" s="65">
        <f t="shared" si="1"/>
        <v>269</v>
      </c>
      <c r="J50" s="52">
        <f>+'01.09.68'!J50+'02.09.68'!J50+'03.09.68'!J50+'04.09.68'!J50+'05.09.68'!J50+'06.09.68'!J50+'07.09.68'!J50+'08.09.68'!J50+'09.09.68'!J50+'10.09.68'!J50+'11.09.68'!J50+'12.09.68'!J50+'13.09.68'!J50+'14.09.68'!J50+'15.09.68'!J50+'16.09.68'!J50+'17.09.68'!J50+'18.09.68'!J50+'19.09.68'!J50+'20.09.68'!J50+'21.09.68'!J50+'22.09.68'!J50+'23.09.68'!J50+'24.09.68'!J50+'25.09.68'!J50+'26.09.68'!J50+'27.09.68'!J50+'28.09.68'!J50+'29.09.68'!J50+'30.09.68'!J50</f>
        <v>7</v>
      </c>
      <c r="K50" s="52">
        <f>+'01.09.68'!K50+'02.09.68'!K50+'03.09.68'!K50+'04.09.68'!K50+'05.09.68'!K50+'06.09.68'!K50+'07.09.68'!K50+'08.09.68'!K50+'09.09.68'!K50+'10.09.68'!K50+'11.09.68'!K50+'12.09.68'!K50+'13.09.68'!K50+'14.09.68'!K50+'15.09.68'!K50+'16.09.68'!K50+'17.09.68'!K50+'18.09.68'!K50+'19.09.68'!K50+'20.09.68'!K50+'21.09.68'!K50+'22.09.68'!K50+'23.09.68'!K50+'24.09.68'!K50+'25.09.68'!K50+'26.09.68'!K50+'27.09.68'!K50+'28.09.68'!K50+'29.09.68'!K50+'30.09.68'!K50</f>
        <v>0</v>
      </c>
      <c r="L50" s="65">
        <f t="shared" si="2"/>
        <v>7</v>
      </c>
      <c r="M50" s="52">
        <f>+'01.09.68'!M50+'02.09.68'!M50+'03.09.68'!M50+'04.09.68'!M50+'05.09.68'!M50+'06.09.68'!M50+'07.09.68'!M50+'08.09.68'!M50+'09.09.68'!M50+'10.09.68'!M50+'11.09.68'!M50+'12.09.68'!M50+'13.09.68'!M50+'14.09.68'!M50+'15.09.68'!M50+'16.09.68'!M50+'17.09.68'!M50+'18.09.68'!M50+'19.09.68'!M50+'20.09.68'!M50+'21.09.68'!M50+'22.09.68'!M50+'23.09.68'!M50+'24.09.68'!M50+'25.09.68'!M50+'26.09.68'!M50+'27.09.68'!M50+'28.09.68'!M50+'29.09.68'!M50+'30.09.68'!M50</f>
        <v>0</v>
      </c>
      <c r="N50" s="52">
        <f>+'01.09.68'!N50+'02.09.68'!N50+'03.09.68'!N50+'04.09.68'!N50+'05.09.68'!N50+'06.09.68'!N50+'07.09.68'!N50+'08.09.68'!N50+'09.09.68'!N50+'10.09.68'!N50+'11.09.68'!N50+'12.09.68'!N50+'13.09.68'!N50+'14.09.68'!N50+'15.09.68'!N50+'16.09.68'!N50+'17.09.68'!N50+'18.09.68'!N50+'19.09.68'!N50+'20.09.68'!N50+'21.09.68'!N50+'22.09.68'!N50+'23.09.68'!N50+'24.09.68'!N50+'25.09.68'!N50+'26.09.68'!N50+'27.09.68'!N50+'28.09.68'!N50+'29.09.68'!N50+'30.09.68'!N50</f>
        <v>0</v>
      </c>
      <c r="O50" s="65">
        <f t="shared" si="3"/>
        <v>0</v>
      </c>
      <c r="P50" s="52">
        <f>+'01.09.68'!P50+'02.09.68'!P50+'03.09.68'!P50+'04.09.68'!P50+'05.09.68'!P50+'06.09.68'!P50+'07.09.68'!P50+'08.09.68'!P50+'09.09.68'!P50+'10.09.68'!P50+'11.09.68'!P50+'12.09.68'!P50+'13.09.68'!P50+'14.09.68'!P50+'15.09.68'!P50+'16.09.68'!P50+'17.09.68'!P50+'18.09.68'!P50+'19.09.68'!P50+'20.09.68'!P50+'21.09.68'!P50+'22.09.68'!P50+'23.09.68'!P50+'24.09.68'!P50+'25.09.68'!P50+'26.09.68'!P50+'27.09.68'!P50+'28.09.68'!P50+'29.09.68'!P50+'30.09.68'!P50</f>
        <v>0</v>
      </c>
      <c r="Q50" s="52">
        <f>+'01.09.68'!Q50+'02.09.68'!Q50+'03.09.68'!Q50+'04.09.68'!Q50+'05.09.68'!Q50+'06.09.68'!Q50+'07.09.68'!Q50+'08.09.68'!Q50+'09.09.68'!Q50+'10.09.68'!Q50+'11.09.68'!Q50+'12.09.68'!Q50+'13.09.68'!Q50+'14.09.68'!Q50+'15.09.68'!Q50+'16.09.68'!Q50+'17.09.68'!Q50+'18.09.68'!Q50+'19.09.68'!Q50+'20.09.68'!Q50+'21.09.68'!Q50+'22.09.68'!Q50+'23.09.68'!Q50+'24.09.68'!Q50+'25.09.68'!Q50+'26.09.68'!Q50+'27.09.68'!Q50+'28.09.68'!Q50+'29.09.68'!Q50+'30.09.68'!Q50</f>
        <v>0</v>
      </c>
      <c r="R50" s="65">
        <f t="shared" si="4"/>
        <v>0</v>
      </c>
      <c r="S50" s="52">
        <f>+'01.09.68'!S50+'02.09.68'!S50+'03.09.68'!S50+'04.09.68'!S50+'05.09.68'!S50+'06.09.68'!S50+'07.09.68'!S50+'08.09.68'!S50+'09.09.68'!S50+'10.09.68'!S50+'11.09.68'!S50+'12.09.68'!S50+'13.09.68'!S50+'14.09.68'!S50+'15.09.68'!S50+'16.09.68'!S50+'17.09.68'!S50+'18.09.68'!S50+'19.09.68'!S50+'20.09.68'!S50+'21.09.68'!S50+'22.09.68'!S50+'23.09.68'!S50+'24.09.68'!S50+'25.09.68'!S50+'26.09.68'!S50+'27.09.68'!S50+'28.09.68'!S50+'29.09.68'!S50+'30.09.68'!S50</f>
        <v>0</v>
      </c>
      <c r="T50" s="52">
        <f>+'01.09.68'!T50+'02.09.68'!T50+'03.09.68'!T50+'04.09.68'!T50+'05.09.68'!T50+'06.09.68'!T50+'07.09.68'!T50+'08.09.68'!T50+'09.09.68'!T50+'10.09.68'!T50+'11.09.68'!T50+'12.09.68'!T50+'13.09.68'!T50+'14.09.68'!T50+'15.09.68'!T50+'16.09.68'!T50+'17.09.68'!T50+'18.09.68'!T50+'19.09.68'!T50+'20.09.68'!T50+'21.09.68'!T50+'22.09.68'!T50+'23.09.68'!T50+'24.09.68'!T50+'25.09.68'!T50+'26.09.68'!T50+'27.09.68'!T50+'28.09.68'!T50+'29.09.68'!T50+'30.09.68'!T50</f>
        <v>0</v>
      </c>
      <c r="U50" s="65">
        <f t="shared" si="5"/>
        <v>0</v>
      </c>
      <c r="V50" s="52">
        <f>+'01.09.68'!V50+'02.09.68'!V50+'03.09.68'!V50+'04.09.68'!V50+'05.09.68'!V50+'06.09.68'!V50+'07.09.68'!V50+'08.09.68'!V50+'09.09.68'!V50+'10.09.68'!V50+'11.09.68'!V50+'12.09.68'!V50+'13.09.68'!V50+'14.09.68'!V50+'15.09.68'!V50+'16.09.68'!V50+'17.09.68'!V50+'18.09.68'!V50+'19.09.68'!V50+'20.09.68'!V50+'21.09.68'!V50+'22.09.68'!V50+'23.09.68'!V50+'24.09.68'!V50+'25.09.68'!V50+'26.09.68'!V50+'27.09.68'!V50+'28.09.68'!V50+'29.09.68'!V50+'30.09.68'!V50</f>
        <v>0</v>
      </c>
      <c r="W50" s="52">
        <f>+'01.09.68'!W50+'02.09.68'!W50+'03.09.68'!W50+'04.09.68'!W50+'05.09.68'!W50+'06.09.68'!W50+'07.09.68'!W50+'08.09.68'!W50+'09.09.68'!W50+'10.09.68'!W50+'11.09.68'!W50+'12.09.68'!W50+'13.09.68'!W50+'14.09.68'!W50+'15.09.68'!W50+'16.09.68'!W50+'17.09.68'!W50+'18.09.68'!W50+'19.09.68'!W50+'20.09.68'!W50+'21.09.68'!W50+'22.09.68'!W50+'23.09.68'!W50+'24.09.68'!W50+'25.09.68'!W50+'26.09.68'!W50+'27.09.68'!W50+'28.09.68'!W50+'29.09.68'!W50+'30.09.68'!W50</f>
        <v>0</v>
      </c>
      <c r="X50" s="65">
        <f t="shared" si="6"/>
        <v>0</v>
      </c>
      <c r="Y50" s="52">
        <f>+'01.09.68'!Y50+'02.09.68'!Y50+'03.09.68'!Y50+'04.09.68'!Y50+'05.09.68'!Y50+'06.09.68'!Y50+'07.09.68'!Y50+'08.09.68'!Y50+'09.09.68'!Y50+'10.09.68'!Y50+'11.09.68'!Y50+'12.09.68'!Y50+'13.09.68'!Y50+'14.09.68'!Y50+'15.09.68'!Y50+'16.09.68'!Y50+'17.09.68'!Y50+'18.09.68'!Y50+'19.09.68'!Y50+'20.09.68'!Y50+'21.09.68'!Y50+'22.09.68'!Y50+'23.09.68'!Y50+'24.09.68'!Y50+'25.09.68'!Y50+'26.09.68'!Y50+'27.09.68'!Y50+'28.09.68'!Y50+'29.09.68'!Y50+'30.09.68'!Y50</f>
        <v>0</v>
      </c>
      <c r="Z50" s="66">
        <f t="shared" si="7"/>
        <v>283</v>
      </c>
    </row>
    <row r="51" spans="2:26">
      <c r="B51" s="50">
        <v>1111083</v>
      </c>
      <c r="C51" s="51" t="s">
        <v>53</v>
      </c>
      <c r="D51" s="52">
        <f>+'01.09.68'!D51+'02.09.68'!D51+'03.09.68'!D51+'04.09.68'!D51+'05.09.68'!D51+'06.09.68'!D51+'07.09.68'!D51+'08.09.68'!D51+'09.09.68'!D51+'10.09.68'!D51+'11.09.68'!D51+'12.09.68'!D51+'13.09.68'!D51+'14.09.68'!D51+'15.09.68'!D51+'16.09.68'!D51+'17.09.68'!D51+'18.09.68'!D51+'19.09.68'!D51+'20.09.68'!D51+'21.09.68'!D51+'22.09.68'!D51+'23.09.68'!D51+'24.09.68'!D51+'25.09.68'!D51+'26.09.68'!D51+'27.09.68'!D51+'28.09.68'!D51+'29.09.68'!D51+'30.09.68'!D51</f>
        <v>7</v>
      </c>
      <c r="E51" s="52">
        <f>+'01.09.68'!E51+'02.09.68'!E51+'03.09.68'!E51+'04.09.68'!E51+'05.09.68'!E51+'06.09.68'!E51+'07.09.68'!E51+'08.09.68'!E51+'09.09.68'!E51+'10.09.68'!E51+'11.09.68'!E51+'12.09.68'!E51+'13.09.68'!E51+'14.09.68'!E51+'15.09.68'!E51+'16.09.68'!E51+'17.09.68'!E51+'18.09.68'!E51+'19.09.68'!E51+'20.09.68'!E51+'21.09.68'!E51+'22.09.68'!E51+'23.09.68'!E51+'24.09.68'!E51+'25.09.68'!E51+'26.09.68'!E51+'27.09.68'!E51+'28.09.68'!E51+'29.09.68'!E51+'30.09.68'!E51</f>
        <v>0</v>
      </c>
      <c r="F51" s="65">
        <f t="shared" si="0"/>
        <v>7</v>
      </c>
      <c r="G51" s="52">
        <f>+'01.09.68'!G51+'02.09.68'!G51+'03.09.68'!G51+'04.09.68'!G51+'05.09.68'!G51+'06.09.68'!G51+'07.09.68'!G51+'08.09.68'!G51+'09.09.68'!G51+'10.09.68'!G51+'11.09.68'!G51+'12.09.68'!G51+'13.09.68'!G51+'14.09.68'!G51+'15.09.68'!G51+'16.09.68'!G51+'17.09.68'!G51+'18.09.68'!G51+'19.09.68'!G51+'20.09.68'!G51+'21.09.68'!G51+'22.09.68'!G51+'23.09.68'!G51+'24.09.68'!G51+'25.09.68'!G51+'26.09.68'!G51+'27.09.68'!G51+'28.09.68'!G51+'29.09.68'!G51+'30.09.68'!G51</f>
        <v>269</v>
      </c>
      <c r="H51" s="52">
        <f>+'01.09.68'!H51+'02.09.68'!H51+'03.09.68'!H51+'04.09.68'!H51+'05.09.68'!H51+'06.09.68'!H51+'07.09.68'!H51+'08.09.68'!H51+'09.09.68'!H51+'10.09.68'!H51+'11.09.68'!H51+'12.09.68'!H51+'13.09.68'!H51+'14.09.68'!H51+'15.09.68'!H51+'16.09.68'!H51+'17.09.68'!H51+'18.09.68'!H51+'19.09.68'!H51+'20.09.68'!H51+'21.09.68'!H51+'22.09.68'!H51+'23.09.68'!H51+'24.09.68'!H51+'25.09.68'!H51+'26.09.68'!H51+'27.09.68'!H51+'28.09.68'!H51+'29.09.68'!H51+'30.09.68'!H51</f>
        <v>0</v>
      </c>
      <c r="I51" s="65">
        <f t="shared" si="1"/>
        <v>269</v>
      </c>
      <c r="J51" s="52">
        <f>+'01.09.68'!J51+'02.09.68'!J51+'03.09.68'!J51+'04.09.68'!J51+'05.09.68'!J51+'06.09.68'!J51+'07.09.68'!J51+'08.09.68'!J51+'09.09.68'!J51+'10.09.68'!J51+'11.09.68'!J51+'12.09.68'!J51+'13.09.68'!J51+'14.09.68'!J51+'15.09.68'!J51+'16.09.68'!J51+'17.09.68'!J51+'18.09.68'!J51+'19.09.68'!J51+'20.09.68'!J51+'21.09.68'!J51+'22.09.68'!J51+'23.09.68'!J51+'24.09.68'!J51+'25.09.68'!J51+'26.09.68'!J51+'27.09.68'!J51+'28.09.68'!J51+'29.09.68'!J51+'30.09.68'!J51</f>
        <v>7</v>
      </c>
      <c r="K51" s="52">
        <f>+'01.09.68'!K51+'02.09.68'!K51+'03.09.68'!K51+'04.09.68'!K51+'05.09.68'!K51+'06.09.68'!K51+'07.09.68'!K51+'08.09.68'!K51+'09.09.68'!K51+'10.09.68'!K51+'11.09.68'!K51+'12.09.68'!K51+'13.09.68'!K51+'14.09.68'!K51+'15.09.68'!K51+'16.09.68'!K51+'17.09.68'!K51+'18.09.68'!K51+'19.09.68'!K51+'20.09.68'!K51+'21.09.68'!K51+'22.09.68'!K51+'23.09.68'!K51+'24.09.68'!K51+'25.09.68'!K51+'26.09.68'!K51+'27.09.68'!K51+'28.09.68'!K51+'29.09.68'!K51+'30.09.68'!K51</f>
        <v>0</v>
      </c>
      <c r="L51" s="65">
        <f t="shared" si="2"/>
        <v>7</v>
      </c>
      <c r="M51" s="52">
        <f>+'01.09.68'!M51+'02.09.68'!M51+'03.09.68'!M51+'04.09.68'!M51+'05.09.68'!M51+'06.09.68'!M51+'07.09.68'!M51+'08.09.68'!M51+'09.09.68'!M51+'10.09.68'!M51+'11.09.68'!M51+'12.09.68'!M51+'13.09.68'!M51+'14.09.68'!M51+'15.09.68'!M51+'16.09.68'!M51+'17.09.68'!M51+'18.09.68'!M51+'19.09.68'!M51+'20.09.68'!M51+'21.09.68'!M51+'22.09.68'!M51+'23.09.68'!M51+'24.09.68'!M51+'25.09.68'!M51+'26.09.68'!M51+'27.09.68'!M51+'28.09.68'!M51+'29.09.68'!M51+'30.09.68'!M51</f>
        <v>0</v>
      </c>
      <c r="N51" s="52">
        <f>+'01.09.68'!N51+'02.09.68'!N51+'03.09.68'!N51+'04.09.68'!N51+'05.09.68'!N51+'06.09.68'!N51+'07.09.68'!N51+'08.09.68'!N51+'09.09.68'!N51+'10.09.68'!N51+'11.09.68'!N51+'12.09.68'!N51+'13.09.68'!N51+'14.09.68'!N51+'15.09.68'!N51+'16.09.68'!N51+'17.09.68'!N51+'18.09.68'!N51+'19.09.68'!N51+'20.09.68'!N51+'21.09.68'!N51+'22.09.68'!N51+'23.09.68'!N51+'24.09.68'!N51+'25.09.68'!N51+'26.09.68'!N51+'27.09.68'!N51+'28.09.68'!N51+'29.09.68'!N51+'30.09.68'!N51</f>
        <v>0</v>
      </c>
      <c r="O51" s="65">
        <f t="shared" si="3"/>
        <v>0</v>
      </c>
      <c r="P51" s="52">
        <f>+'01.09.68'!P51+'02.09.68'!P51+'03.09.68'!P51+'04.09.68'!P51+'05.09.68'!P51+'06.09.68'!P51+'07.09.68'!P51+'08.09.68'!P51+'09.09.68'!P51+'10.09.68'!P51+'11.09.68'!P51+'12.09.68'!P51+'13.09.68'!P51+'14.09.68'!P51+'15.09.68'!P51+'16.09.68'!P51+'17.09.68'!P51+'18.09.68'!P51+'19.09.68'!P51+'20.09.68'!P51+'21.09.68'!P51+'22.09.68'!P51+'23.09.68'!P51+'24.09.68'!P51+'25.09.68'!P51+'26.09.68'!P51+'27.09.68'!P51+'28.09.68'!P51+'29.09.68'!P51+'30.09.68'!P51</f>
        <v>0</v>
      </c>
      <c r="Q51" s="52">
        <f>+'01.09.68'!Q51+'02.09.68'!Q51+'03.09.68'!Q51+'04.09.68'!Q51+'05.09.68'!Q51+'06.09.68'!Q51+'07.09.68'!Q51+'08.09.68'!Q51+'09.09.68'!Q51+'10.09.68'!Q51+'11.09.68'!Q51+'12.09.68'!Q51+'13.09.68'!Q51+'14.09.68'!Q51+'15.09.68'!Q51+'16.09.68'!Q51+'17.09.68'!Q51+'18.09.68'!Q51+'19.09.68'!Q51+'20.09.68'!Q51+'21.09.68'!Q51+'22.09.68'!Q51+'23.09.68'!Q51+'24.09.68'!Q51+'25.09.68'!Q51+'26.09.68'!Q51+'27.09.68'!Q51+'28.09.68'!Q51+'29.09.68'!Q51+'30.09.68'!Q51</f>
        <v>0</v>
      </c>
      <c r="R51" s="65">
        <f t="shared" si="4"/>
        <v>0</v>
      </c>
      <c r="S51" s="52">
        <f>+'01.09.68'!S51+'02.09.68'!S51+'03.09.68'!S51+'04.09.68'!S51+'05.09.68'!S51+'06.09.68'!S51+'07.09.68'!S51+'08.09.68'!S51+'09.09.68'!S51+'10.09.68'!S51+'11.09.68'!S51+'12.09.68'!S51+'13.09.68'!S51+'14.09.68'!S51+'15.09.68'!S51+'16.09.68'!S51+'17.09.68'!S51+'18.09.68'!S51+'19.09.68'!S51+'20.09.68'!S51+'21.09.68'!S51+'22.09.68'!S51+'23.09.68'!S51+'24.09.68'!S51+'25.09.68'!S51+'26.09.68'!S51+'27.09.68'!S51+'28.09.68'!S51+'29.09.68'!S51+'30.09.68'!S51</f>
        <v>0</v>
      </c>
      <c r="T51" s="52">
        <f>+'01.09.68'!T51+'02.09.68'!T51+'03.09.68'!T51+'04.09.68'!T51+'05.09.68'!T51+'06.09.68'!T51+'07.09.68'!T51+'08.09.68'!T51+'09.09.68'!T51+'10.09.68'!T51+'11.09.68'!T51+'12.09.68'!T51+'13.09.68'!T51+'14.09.68'!T51+'15.09.68'!T51+'16.09.68'!T51+'17.09.68'!T51+'18.09.68'!T51+'19.09.68'!T51+'20.09.68'!T51+'21.09.68'!T51+'22.09.68'!T51+'23.09.68'!T51+'24.09.68'!T51+'25.09.68'!T51+'26.09.68'!T51+'27.09.68'!T51+'28.09.68'!T51+'29.09.68'!T51+'30.09.68'!T51</f>
        <v>0</v>
      </c>
      <c r="U51" s="65">
        <f t="shared" si="5"/>
        <v>0</v>
      </c>
      <c r="V51" s="52">
        <f>+'01.09.68'!V51+'02.09.68'!V51+'03.09.68'!V51+'04.09.68'!V51+'05.09.68'!V51+'06.09.68'!V51+'07.09.68'!V51+'08.09.68'!V51+'09.09.68'!V51+'10.09.68'!V51+'11.09.68'!V51+'12.09.68'!V51+'13.09.68'!V51+'14.09.68'!V51+'15.09.68'!V51+'16.09.68'!V51+'17.09.68'!V51+'18.09.68'!V51+'19.09.68'!V51+'20.09.68'!V51+'21.09.68'!V51+'22.09.68'!V51+'23.09.68'!V51+'24.09.68'!V51+'25.09.68'!V51+'26.09.68'!V51+'27.09.68'!V51+'28.09.68'!V51+'29.09.68'!V51+'30.09.68'!V51</f>
        <v>0</v>
      </c>
      <c r="W51" s="52">
        <f>+'01.09.68'!W51+'02.09.68'!W51+'03.09.68'!W51+'04.09.68'!W51+'05.09.68'!W51+'06.09.68'!W51+'07.09.68'!W51+'08.09.68'!W51+'09.09.68'!W51+'10.09.68'!W51+'11.09.68'!W51+'12.09.68'!W51+'13.09.68'!W51+'14.09.68'!W51+'15.09.68'!W51+'16.09.68'!W51+'17.09.68'!W51+'18.09.68'!W51+'19.09.68'!W51+'20.09.68'!W51+'21.09.68'!W51+'22.09.68'!W51+'23.09.68'!W51+'24.09.68'!W51+'25.09.68'!W51+'26.09.68'!W51+'27.09.68'!W51+'28.09.68'!W51+'29.09.68'!W51+'30.09.68'!W51</f>
        <v>0</v>
      </c>
      <c r="X51" s="65">
        <f t="shared" si="6"/>
        <v>0</v>
      </c>
      <c r="Y51" s="52">
        <f>+'01.09.68'!Y51+'02.09.68'!Y51+'03.09.68'!Y51+'04.09.68'!Y51+'05.09.68'!Y51+'06.09.68'!Y51+'07.09.68'!Y51+'08.09.68'!Y51+'09.09.68'!Y51+'10.09.68'!Y51+'11.09.68'!Y51+'12.09.68'!Y51+'13.09.68'!Y51+'14.09.68'!Y51+'15.09.68'!Y51+'16.09.68'!Y51+'17.09.68'!Y51+'18.09.68'!Y51+'19.09.68'!Y51+'20.09.68'!Y51+'21.09.68'!Y51+'22.09.68'!Y51+'23.09.68'!Y51+'24.09.68'!Y51+'25.09.68'!Y51+'26.09.68'!Y51+'27.09.68'!Y51+'28.09.68'!Y51+'29.09.68'!Y51+'30.09.68'!Y51</f>
        <v>0</v>
      </c>
      <c r="Z51" s="66">
        <f t="shared" si="7"/>
        <v>283</v>
      </c>
    </row>
    <row r="52" spans="2:26">
      <c r="B52" s="50">
        <v>1112002</v>
      </c>
      <c r="C52" s="51" t="s">
        <v>173</v>
      </c>
      <c r="D52" s="52">
        <f>+'01.09.68'!D52+'02.09.68'!D52+'03.09.68'!D52+'04.09.68'!D52+'05.09.68'!D52+'06.09.68'!D52+'07.09.68'!D52+'08.09.68'!D52+'09.09.68'!D52+'10.09.68'!D52+'11.09.68'!D52+'12.09.68'!D52+'13.09.68'!D52+'14.09.68'!D52+'15.09.68'!D52+'16.09.68'!D52+'17.09.68'!D52+'18.09.68'!D52+'19.09.68'!D52+'20.09.68'!D52+'21.09.68'!D52+'22.09.68'!D52+'23.09.68'!D52+'24.09.68'!D52+'25.09.68'!D52+'26.09.68'!D52+'27.09.68'!D52+'28.09.68'!D52+'29.09.68'!D52+'30.09.68'!D52</f>
        <v>0</v>
      </c>
      <c r="E52" s="52">
        <f>+'01.09.68'!E52+'02.09.68'!E52+'03.09.68'!E52+'04.09.68'!E52+'05.09.68'!E52+'06.09.68'!E52+'07.09.68'!E52+'08.09.68'!E52+'09.09.68'!E52+'10.09.68'!E52+'11.09.68'!E52+'12.09.68'!E52+'13.09.68'!E52+'14.09.68'!E52+'15.09.68'!E52+'16.09.68'!E52+'17.09.68'!E52+'18.09.68'!E52+'19.09.68'!E52+'20.09.68'!E52+'21.09.68'!E52+'22.09.68'!E52+'23.09.68'!E52+'24.09.68'!E52+'25.09.68'!E52+'26.09.68'!E52+'27.09.68'!E52+'28.09.68'!E52+'29.09.68'!E52+'30.09.68'!E52</f>
        <v>0</v>
      </c>
      <c r="F52" s="65">
        <f t="shared" si="0"/>
        <v>0</v>
      </c>
      <c r="G52" s="52">
        <f>+'01.09.68'!G52+'02.09.68'!G52+'03.09.68'!G52+'04.09.68'!G52+'05.09.68'!G52+'06.09.68'!G52+'07.09.68'!G52+'08.09.68'!G52+'09.09.68'!G52+'10.09.68'!G52+'11.09.68'!G52+'12.09.68'!G52+'13.09.68'!G52+'14.09.68'!G52+'15.09.68'!G52+'16.09.68'!G52+'17.09.68'!G52+'18.09.68'!G52+'19.09.68'!G52+'20.09.68'!G52+'21.09.68'!G52+'22.09.68'!G52+'23.09.68'!G52+'24.09.68'!G52+'25.09.68'!G52+'26.09.68'!G52+'27.09.68'!G52+'28.09.68'!G52+'29.09.68'!G52+'30.09.68'!G52</f>
        <v>13</v>
      </c>
      <c r="H52" s="52">
        <f>+'01.09.68'!H52+'02.09.68'!H52+'03.09.68'!H52+'04.09.68'!H52+'05.09.68'!H52+'06.09.68'!H52+'07.09.68'!H52+'08.09.68'!H52+'09.09.68'!H52+'10.09.68'!H52+'11.09.68'!H52+'12.09.68'!H52+'13.09.68'!H52+'14.09.68'!H52+'15.09.68'!H52+'16.09.68'!H52+'17.09.68'!H52+'18.09.68'!H52+'19.09.68'!H52+'20.09.68'!H52+'21.09.68'!H52+'22.09.68'!H52+'23.09.68'!H52+'24.09.68'!H52+'25.09.68'!H52+'26.09.68'!H52+'27.09.68'!H52+'28.09.68'!H52+'29.09.68'!H52+'30.09.68'!H52</f>
        <v>0</v>
      </c>
      <c r="I52" s="65">
        <f t="shared" si="1"/>
        <v>13</v>
      </c>
      <c r="J52" s="52">
        <f>+'01.09.68'!J52+'02.09.68'!J52+'03.09.68'!J52+'04.09.68'!J52+'05.09.68'!J52+'06.09.68'!J52+'07.09.68'!J52+'08.09.68'!J52+'09.09.68'!J52+'10.09.68'!J52+'11.09.68'!J52+'12.09.68'!J52+'13.09.68'!J52+'14.09.68'!J52+'15.09.68'!J52+'16.09.68'!J52+'17.09.68'!J52+'18.09.68'!J52+'19.09.68'!J52+'20.09.68'!J52+'21.09.68'!J52+'22.09.68'!J52+'23.09.68'!J52+'24.09.68'!J52+'25.09.68'!J52+'26.09.68'!J52+'27.09.68'!J52+'28.09.68'!J52+'29.09.68'!J52+'30.09.68'!J52</f>
        <v>0</v>
      </c>
      <c r="K52" s="52">
        <f>+'01.09.68'!K52+'02.09.68'!K52+'03.09.68'!K52+'04.09.68'!K52+'05.09.68'!K52+'06.09.68'!K52+'07.09.68'!K52+'08.09.68'!K52+'09.09.68'!K52+'10.09.68'!K52+'11.09.68'!K52+'12.09.68'!K52+'13.09.68'!K52+'14.09.68'!K52+'15.09.68'!K52+'16.09.68'!K52+'17.09.68'!K52+'18.09.68'!K52+'19.09.68'!K52+'20.09.68'!K52+'21.09.68'!K52+'22.09.68'!K52+'23.09.68'!K52+'24.09.68'!K52+'25.09.68'!K52+'26.09.68'!K52+'27.09.68'!K52+'28.09.68'!K52+'29.09.68'!K52+'30.09.68'!K52</f>
        <v>0</v>
      </c>
      <c r="L52" s="65">
        <f t="shared" si="2"/>
        <v>0</v>
      </c>
      <c r="M52" s="52">
        <f>+'01.09.68'!M52+'02.09.68'!M52+'03.09.68'!M52+'04.09.68'!M52+'05.09.68'!M52+'06.09.68'!M52+'07.09.68'!M52+'08.09.68'!M52+'09.09.68'!M52+'10.09.68'!M52+'11.09.68'!M52+'12.09.68'!M52+'13.09.68'!M52+'14.09.68'!M52+'15.09.68'!M52+'16.09.68'!M52+'17.09.68'!M52+'18.09.68'!M52+'19.09.68'!M52+'20.09.68'!M52+'21.09.68'!M52+'22.09.68'!M52+'23.09.68'!M52+'24.09.68'!M52+'25.09.68'!M52+'26.09.68'!M52+'27.09.68'!M52+'28.09.68'!M52+'29.09.68'!M52+'30.09.68'!M52</f>
        <v>0</v>
      </c>
      <c r="N52" s="52">
        <f>+'01.09.68'!N52+'02.09.68'!N52+'03.09.68'!N52+'04.09.68'!N52+'05.09.68'!N52+'06.09.68'!N52+'07.09.68'!N52+'08.09.68'!N52+'09.09.68'!N52+'10.09.68'!N52+'11.09.68'!N52+'12.09.68'!N52+'13.09.68'!N52+'14.09.68'!N52+'15.09.68'!N52+'16.09.68'!N52+'17.09.68'!N52+'18.09.68'!N52+'19.09.68'!N52+'20.09.68'!N52+'21.09.68'!N52+'22.09.68'!N52+'23.09.68'!N52+'24.09.68'!N52+'25.09.68'!N52+'26.09.68'!N52+'27.09.68'!N52+'28.09.68'!N52+'29.09.68'!N52+'30.09.68'!N52</f>
        <v>0</v>
      </c>
      <c r="O52" s="65">
        <f t="shared" si="3"/>
        <v>0</v>
      </c>
      <c r="P52" s="52">
        <f>+'01.09.68'!P52+'02.09.68'!P52+'03.09.68'!P52+'04.09.68'!P52+'05.09.68'!P52+'06.09.68'!P52+'07.09.68'!P52+'08.09.68'!P52+'09.09.68'!P52+'10.09.68'!P52+'11.09.68'!P52+'12.09.68'!P52+'13.09.68'!P52+'14.09.68'!P52+'15.09.68'!P52+'16.09.68'!P52+'17.09.68'!P52+'18.09.68'!P52+'19.09.68'!P52+'20.09.68'!P52+'21.09.68'!P52+'22.09.68'!P52+'23.09.68'!P52+'24.09.68'!P52+'25.09.68'!P52+'26.09.68'!P52+'27.09.68'!P52+'28.09.68'!P52+'29.09.68'!P52+'30.09.68'!P52</f>
        <v>0</v>
      </c>
      <c r="Q52" s="52">
        <f>+'01.09.68'!Q52+'02.09.68'!Q52+'03.09.68'!Q52+'04.09.68'!Q52+'05.09.68'!Q52+'06.09.68'!Q52+'07.09.68'!Q52+'08.09.68'!Q52+'09.09.68'!Q52+'10.09.68'!Q52+'11.09.68'!Q52+'12.09.68'!Q52+'13.09.68'!Q52+'14.09.68'!Q52+'15.09.68'!Q52+'16.09.68'!Q52+'17.09.68'!Q52+'18.09.68'!Q52+'19.09.68'!Q52+'20.09.68'!Q52+'21.09.68'!Q52+'22.09.68'!Q52+'23.09.68'!Q52+'24.09.68'!Q52+'25.09.68'!Q52+'26.09.68'!Q52+'27.09.68'!Q52+'28.09.68'!Q52+'29.09.68'!Q52+'30.09.68'!Q52</f>
        <v>0</v>
      </c>
      <c r="R52" s="65">
        <f t="shared" si="4"/>
        <v>0</v>
      </c>
      <c r="S52" s="52">
        <f>+'01.09.68'!S52+'02.09.68'!S52+'03.09.68'!S52+'04.09.68'!S52+'05.09.68'!S52+'06.09.68'!S52+'07.09.68'!S52+'08.09.68'!S52+'09.09.68'!S52+'10.09.68'!S52+'11.09.68'!S52+'12.09.68'!S52+'13.09.68'!S52+'14.09.68'!S52+'15.09.68'!S52+'16.09.68'!S52+'17.09.68'!S52+'18.09.68'!S52+'19.09.68'!S52+'20.09.68'!S52+'21.09.68'!S52+'22.09.68'!S52+'23.09.68'!S52+'24.09.68'!S52+'25.09.68'!S52+'26.09.68'!S52+'27.09.68'!S52+'28.09.68'!S52+'29.09.68'!S52+'30.09.68'!S52</f>
        <v>0</v>
      </c>
      <c r="T52" s="52">
        <f>+'01.09.68'!T52+'02.09.68'!T52+'03.09.68'!T52+'04.09.68'!T52+'05.09.68'!T52+'06.09.68'!T52+'07.09.68'!T52+'08.09.68'!T52+'09.09.68'!T52+'10.09.68'!T52+'11.09.68'!T52+'12.09.68'!T52+'13.09.68'!T52+'14.09.68'!T52+'15.09.68'!T52+'16.09.68'!T52+'17.09.68'!T52+'18.09.68'!T52+'19.09.68'!T52+'20.09.68'!T52+'21.09.68'!T52+'22.09.68'!T52+'23.09.68'!T52+'24.09.68'!T52+'25.09.68'!T52+'26.09.68'!T52+'27.09.68'!T52+'28.09.68'!T52+'29.09.68'!T52+'30.09.68'!T52</f>
        <v>0</v>
      </c>
      <c r="U52" s="65">
        <f t="shared" si="5"/>
        <v>0</v>
      </c>
      <c r="V52" s="52">
        <f>+'01.09.68'!V52+'02.09.68'!V52+'03.09.68'!V52+'04.09.68'!V52+'05.09.68'!V52+'06.09.68'!V52+'07.09.68'!V52+'08.09.68'!V52+'09.09.68'!V52+'10.09.68'!V52+'11.09.68'!V52+'12.09.68'!V52+'13.09.68'!V52+'14.09.68'!V52+'15.09.68'!V52+'16.09.68'!V52+'17.09.68'!V52+'18.09.68'!V52+'19.09.68'!V52+'20.09.68'!V52+'21.09.68'!V52+'22.09.68'!V52+'23.09.68'!V52+'24.09.68'!V52+'25.09.68'!V52+'26.09.68'!V52+'27.09.68'!V52+'28.09.68'!V52+'29.09.68'!V52+'30.09.68'!V52</f>
        <v>0</v>
      </c>
      <c r="W52" s="52">
        <f>+'01.09.68'!W52+'02.09.68'!W52+'03.09.68'!W52+'04.09.68'!W52+'05.09.68'!W52+'06.09.68'!W52+'07.09.68'!W52+'08.09.68'!W52+'09.09.68'!W52+'10.09.68'!W52+'11.09.68'!W52+'12.09.68'!W52+'13.09.68'!W52+'14.09.68'!W52+'15.09.68'!W52+'16.09.68'!W52+'17.09.68'!W52+'18.09.68'!W52+'19.09.68'!W52+'20.09.68'!W52+'21.09.68'!W52+'22.09.68'!W52+'23.09.68'!W52+'24.09.68'!W52+'25.09.68'!W52+'26.09.68'!W52+'27.09.68'!W52+'28.09.68'!W52+'29.09.68'!W52+'30.09.68'!W52</f>
        <v>0</v>
      </c>
      <c r="X52" s="65">
        <f t="shared" si="6"/>
        <v>0</v>
      </c>
      <c r="Y52" s="52">
        <f>+'01.09.68'!Y52+'02.09.68'!Y52+'03.09.68'!Y52+'04.09.68'!Y52+'05.09.68'!Y52+'06.09.68'!Y52+'07.09.68'!Y52+'08.09.68'!Y52+'09.09.68'!Y52+'10.09.68'!Y52+'11.09.68'!Y52+'12.09.68'!Y52+'13.09.68'!Y52+'14.09.68'!Y52+'15.09.68'!Y52+'16.09.68'!Y52+'17.09.68'!Y52+'18.09.68'!Y52+'19.09.68'!Y52+'20.09.68'!Y52+'21.09.68'!Y52+'22.09.68'!Y52+'23.09.68'!Y52+'24.09.68'!Y52+'25.09.68'!Y52+'26.09.68'!Y52+'27.09.68'!Y52+'28.09.68'!Y52+'29.09.68'!Y52+'30.09.68'!Y52</f>
        <v>0</v>
      </c>
      <c r="Z52" s="66">
        <f t="shared" si="7"/>
        <v>13</v>
      </c>
    </row>
    <row r="53" spans="2:26">
      <c r="B53" s="50">
        <v>1112003</v>
      </c>
      <c r="C53" s="51" t="s">
        <v>174</v>
      </c>
      <c r="D53" s="52">
        <f>+'01.09.68'!D53+'02.09.68'!D53+'03.09.68'!D53+'04.09.68'!D53+'05.09.68'!D53+'06.09.68'!D53+'07.09.68'!D53+'08.09.68'!D53+'09.09.68'!D53+'10.09.68'!D53+'11.09.68'!D53+'12.09.68'!D53+'13.09.68'!D53+'14.09.68'!D53+'15.09.68'!D53+'16.09.68'!D53+'17.09.68'!D53+'18.09.68'!D53+'19.09.68'!D53+'20.09.68'!D53+'21.09.68'!D53+'22.09.68'!D53+'23.09.68'!D53+'24.09.68'!D53+'25.09.68'!D53+'26.09.68'!D53+'27.09.68'!D53+'28.09.68'!D53+'29.09.68'!D53+'30.09.68'!D53</f>
        <v>303</v>
      </c>
      <c r="E53" s="52">
        <f>+'01.09.68'!E53+'02.09.68'!E53+'03.09.68'!E53+'04.09.68'!E53+'05.09.68'!E53+'06.09.68'!E53+'07.09.68'!E53+'08.09.68'!E53+'09.09.68'!E53+'10.09.68'!E53+'11.09.68'!E53+'12.09.68'!E53+'13.09.68'!E53+'14.09.68'!E53+'15.09.68'!E53+'16.09.68'!E53+'17.09.68'!E53+'18.09.68'!E53+'19.09.68'!E53+'20.09.68'!E53+'21.09.68'!E53+'22.09.68'!E53+'23.09.68'!E53+'24.09.68'!E53+'25.09.68'!E53+'26.09.68'!E53+'27.09.68'!E53+'28.09.68'!E53+'29.09.68'!E53+'30.09.68'!E53</f>
        <v>24</v>
      </c>
      <c r="F53" s="65">
        <f t="shared" si="0"/>
        <v>327</v>
      </c>
      <c r="G53" s="52">
        <f>+'01.09.68'!G53+'02.09.68'!G53+'03.09.68'!G53+'04.09.68'!G53+'05.09.68'!G53+'06.09.68'!G53+'07.09.68'!G53+'08.09.68'!G53+'09.09.68'!G53+'10.09.68'!G53+'11.09.68'!G53+'12.09.68'!G53+'13.09.68'!G53+'14.09.68'!G53+'15.09.68'!G53+'16.09.68'!G53+'17.09.68'!G53+'18.09.68'!G53+'19.09.68'!G53+'20.09.68'!G53+'21.09.68'!G53+'22.09.68'!G53+'23.09.68'!G53+'24.09.68'!G53+'25.09.68'!G53+'26.09.68'!G53+'27.09.68'!G53+'28.09.68'!G53+'29.09.68'!G53+'30.09.68'!G53</f>
        <v>47</v>
      </c>
      <c r="H53" s="52">
        <f>+'01.09.68'!H53+'02.09.68'!H53+'03.09.68'!H53+'04.09.68'!H53+'05.09.68'!H53+'06.09.68'!H53+'07.09.68'!H53+'08.09.68'!H53+'09.09.68'!H53+'10.09.68'!H53+'11.09.68'!H53+'12.09.68'!H53+'13.09.68'!H53+'14.09.68'!H53+'15.09.68'!H53+'16.09.68'!H53+'17.09.68'!H53+'18.09.68'!H53+'19.09.68'!H53+'20.09.68'!H53+'21.09.68'!H53+'22.09.68'!H53+'23.09.68'!H53+'24.09.68'!H53+'25.09.68'!H53+'26.09.68'!H53+'27.09.68'!H53+'28.09.68'!H53+'29.09.68'!H53+'30.09.68'!H53</f>
        <v>0</v>
      </c>
      <c r="I53" s="65">
        <f t="shared" si="1"/>
        <v>47</v>
      </c>
      <c r="J53" s="52">
        <f>+'01.09.68'!J53+'02.09.68'!J53+'03.09.68'!J53+'04.09.68'!J53+'05.09.68'!J53+'06.09.68'!J53+'07.09.68'!J53+'08.09.68'!J53+'09.09.68'!J53+'10.09.68'!J53+'11.09.68'!J53+'12.09.68'!J53+'13.09.68'!J53+'14.09.68'!J53+'15.09.68'!J53+'16.09.68'!J53+'17.09.68'!J53+'18.09.68'!J53+'19.09.68'!J53+'20.09.68'!J53+'21.09.68'!J53+'22.09.68'!J53+'23.09.68'!J53+'24.09.68'!J53+'25.09.68'!J53+'26.09.68'!J53+'27.09.68'!J53+'28.09.68'!J53+'29.09.68'!J53+'30.09.68'!J53</f>
        <v>9</v>
      </c>
      <c r="K53" s="52">
        <f>+'01.09.68'!K53+'02.09.68'!K53+'03.09.68'!K53+'04.09.68'!K53+'05.09.68'!K53+'06.09.68'!K53+'07.09.68'!K53+'08.09.68'!K53+'09.09.68'!K53+'10.09.68'!K53+'11.09.68'!K53+'12.09.68'!K53+'13.09.68'!K53+'14.09.68'!K53+'15.09.68'!K53+'16.09.68'!K53+'17.09.68'!K53+'18.09.68'!K53+'19.09.68'!K53+'20.09.68'!K53+'21.09.68'!K53+'22.09.68'!K53+'23.09.68'!K53+'24.09.68'!K53+'25.09.68'!K53+'26.09.68'!K53+'27.09.68'!K53+'28.09.68'!K53+'29.09.68'!K53+'30.09.68'!K53</f>
        <v>0</v>
      </c>
      <c r="L53" s="65">
        <f t="shared" si="2"/>
        <v>9</v>
      </c>
      <c r="M53" s="52">
        <f>+'01.09.68'!M53+'02.09.68'!M53+'03.09.68'!M53+'04.09.68'!M53+'05.09.68'!M53+'06.09.68'!M53+'07.09.68'!M53+'08.09.68'!M53+'09.09.68'!M53+'10.09.68'!M53+'11.09.68'!M53+'12.09.68'!M53+'13.09.68'!M53+'14.09.68'!M53+'15.09.68'!M53+'16.09.68'!M53+'17.09.68'!M53+'18.09.68'!M53+'19.09.68'!M53+'20.09.68'!M53+'21.09.68'!M53+'22.09.68'!M53+'23.09.68'!M53+'24.09.68'!M53+'25.09.68'!M53+'26.09.68'!M53+'27.09.68'!M53+'28.09.68'!M53+'29.09.68'!M53+'30.09.68'!M53</f>
        <v>889</v>
      </c>
      <c r="N53" s="52">
        <f>+'01.09.68'!N53+'02.09.68'!N53+'03.09.68'!N53+'04.09.68'!N53+'05.09.68'!N53+'06.09.68'!N53+'07.09.68'!N53+'08.09.68'!N53+'09.09.68'!N53+'10.09.68'!N53+'11.09.68'!N53+'12.09.68'!N53+'13.09.68'!N53+'14.09.68'!N53+'15.09.68'!N53+'16.09.68'!N53+'17.09.68'!N53+'18.09.68'!N53+'19.09.68'!N53+'20.09.68'!N53+'21.09.68'!N53+'22.09.68'!N53+'23.09.68'!N53+'24.09.68'!N53+'25.09.68'!N53+'26.09.68'!N53+'27.09.68'!N53+'28.09.68'!N53+'29.09.68'!N53+'30.09.68'!N53</f>
        <v>0</v>
      </c>
      <c r="O53" s="65">
        <f t="shared" si="3"/>
        <v>889</v>
      </c>
      <c r="P53" s="52">
        <f>+'01.09.68'!P53+'02.09.68'!P53+'03.09.68'!P53+'04.09.68'!P53+'05.09.68'!P53+'06.09.68'!P53+'07.09.68'!P53+'08.09.68'!P53+'09.09.68'!P53+'10.09.68'!P53+'11.09.68'!P53+'12.09.68'!P53+'13.09.68'!P53+'14.09.68'!P53+'15.09.68'!P53+'16.09.68'!P53+'17.09.68'!P53+'18.09.68'!P53+'19.09.68'!P53+'20.09.68'!P53+'21.09.68'!P53+'22.09.68'!P53+'23.09.68'!P53+'24.09.68'!P53+'25.09.68'!P53+'26.09.68'!P53+'27.09.68'!P53+'28.09.68'!P53+'29.09.68'!P53+'30.09.68'!P53</f>
        <v>107</v>
      </c>
      <c r="Q53" s="52">
        <f>+'01.09.68'!Q53+'02.09.68'!Q53+'03.09.68'!Q53+'04.09.68'!Q53+'05.09.68'!Q53+'06.09.68'!Q53+'07.09.68'!Q53+'08.09.68'!Q53+'09.09.68'!Q53+'10.09.68'!Q53+'11.09.68'!Q53+'12.09.68'!Q53+'13.09.68'!Q53+'14.09.68'!Q53+'15.09.68'!Q53+'16.09.68'!Q53+'17.09.68'!Q53+'18.09.68'!Q53+'19.09.68'!Q53+'20.09.68'!Q53+'21.09.68'!Q53+'22.09.68'!Q53+'23.09.68'!Q53+'24.09.68'!Q53+'25.09.68'!Q53+'26.09.68'!Q53+'27.09.68'!Q53+'28.09.68'!Q53+'29.09.68'!Q53+'30.09.68'!Q53</f>
        <v>0</v>
      </c>
      <c r="R53" s="65">
        <f t="shared" si="4"/>
        <v>107</v>
      </c>
      <c r="S53" s="52">
        <f>+'01.09.68'!S53+'02.09.68'!S53+'03.09.68'!S53+'04.09.68'!S53+'05.09.68'!S53+'06.09.68'!S53+'07.09.68'!S53+'08.09.68'!S53+'09.09.68'!S53+'10.09.68'!S53+'11.09.68'!S53+'12.09.68'!S53+'13.09.68'!S53+'14.09.68'!S53+'15.09.68'!S53+'16.09.68'!S53+'17.09.68'!S53+'18.09.68'!S53+'19.09.68'!S53+'20.09.68'!S53+'21.09.68'!S53+'22.09.68'!S53+'23.09.68'!S53+'24.09.68'!S53+'25.09.68'!S53+'26.09.68'!S53+'27.09.68'!S53+'28.09.68'!S53+'29.09.68'!S53+'30.09.68'!S53</f>
        <v>0</v>
      </c>
      <c r="T53" s="52">
        <f>+'01.09.68'!T53+'02.09.68'!T53+'03.09.68'!T53+'04.09.68'!T53+'05.09.68'!T53+'06.09.68'!T53+'07.09.68'!T53+'08.09.68'!T53+'09.09.68'!T53+'10.09.68'!T53+'11.09.68'!T53+'12.09.68'!T53+'13.09.68'!T53+'14.09.68'!T53+'15.09.68'!T53+'16.09.68'!T53+'17.09.68'!T53+'18.09.68'!T53+'19.09.68'!T53+'20.09.68'!T53+'21.09.68'!T53+'22.09.68'!T53+'23.09.68'!T53+'24.09.68'!T53+'25.09.68'!T53+'26.09.68'!T53+'27.09.68'!T53+'28.09.68'!T53+'29.09.68'!T53+'30.09.68'!T53</f>
        <v>0</v>
      </c>
      <c r="U53" s="65">
        <f t="shared" si="5"/>
        <v>0</v>
      </c>
      <c r="V53" s="52">
        <f>+'01.09.68'!V53+'02.09.68'!V53+'03.09.68'!V53+'04.09.68'!V53+'05.09.68'!V53+'06.09.68'!V53+'07.09.68'!V53+'08.09.68'!V53+'09.09.68'!V53+'10.09.68'!V53+'11.09.68'!V53+'12.09.68'!V53+'13.09.68'!V53+'14.09.68'!V53+'15.09.68'!V53+'16.09.68'!V53+'17.09.68'!V53+'18.09.68'!V53+'19.09.68'!V53+'20.09.68'!V53+'21.09.68'!V53+'22.09.68'!V53+'23.09.68'!V53+'24.09.68'!V53+'25.09.68'!V53+'26.09.68'!V53+'27.09.68'!V53+'28.09.68'!V53+'29.09.68'!V53+'30.09.68'!V53</f>
        <v>0</v>
      </c>
      <c r="W53" s="52">
        <f>+'01.09.68'!W53+'02.09.68'!W53+'03.09.68'!W53+'04.09.68'!W53+'05.09.68'!W53+'06.09.68'!W53+'07.09.68'!W53+'08.09.68'!W53+'09.09.68'!W53+'10.09.68'!W53+'11.09.68'!W53+'12.09.68'!W53+'13.09.68'!W53+'14.09.68'!W53+'15.09.68'!W53+'16.09.68'!W53+'17.09.68'!W53+'18.09.68'!W53+'19.09.68'!W53+'20.09.68'!W53+'21.09.68'!W53+'22.09.68'!W53+'23.09.68'!W53+'24.09.68'!W53+'25.09.68'!W53+'26.09.68'!W53+'27.09.68'!W53+'28.09.68'!W53+'29.09.68'!W53+'30.09.68'!W53</f>
        <v>0</v>
      </c>
      <c r="X53" s="65">
        <f t="shared" si="6"/>
        <v>0</v>
      </c>
      <c r="Y53" s="52">
        <f>+'01.09.68'!Y53+'02.09.68'!Y53+'03.09.68'!Y53+'04.09.68'!Y53+'05.09.68'!Y53+'06.09.68'!Y53+'07.09.68'!Y53+'08.09.68'!Y53+'09.09.68'!Y53+'10.09.68'!Y53+'11.09.68'!Y53+'12.09.68'!Y53+'13.09.68'!Y53+'14.09.68'!Y53+'15.09.68'!Y53+'16.09.68'!Y53+'17.09.68'!Y53+'18.09.68'!Y53+'19.09.68'!Y53+'20.09.68'!Y53+'21.09.68'!Y53+'22.09.68'!Y53+'23.09.68'!Y53+'24.09.68'!Y53+'25.09.68'!Y53+'26.09.68'!Y53+'27.09.68'!Y53+'28.09.68'!Y53+'29.09.68'!Y53+'30.09.68'!Y53</f>
        <v>28</v>
      </c>
      <c r="Z53" s="66">
        <f t="shared" si="7"/>
        <v>1407</v>
      </c>
    </row>
    <row r="54" spans="2:26">
      <c r="B54" s="50">
        <v>1112004</v>
      </c>
      <c r="C54" s="51" t="s">
        <v>175</v>
      </c>
      <c r="D54" s="52">
        <f>+'01.09.68'!D54+'02.09.68'!D54+'03.09.68'!D54+'04.09.68'!D54+'05.09.68'!D54+'06.09.68'!D54+'07.09.68'!D54+'08.09.68'!D54+'09.09.68'!D54+'10.09.68'!D54+'11.09.68'!D54+'12.09.68'!D54+'13.09.68'!D54+'14.09.68'!D54+'15.09.68'!D54+'16.09.68'!D54+'17.09.68'!D54+'18.09.68'!D54+'19.09.68'!D54+'20.09.68'!D54+'21.09.68'!D54+'22.09.68'!D54+'23.09.68'!D54+'24.09.68'!D54+'25.09.68'!D54+'26.09.68'!D54+'27.09.68'!D54+'28.09.68'!D54+'29.09.68'!D54+'30.09.68'!D54</f>
        <v>0</v>
      </c>
      <c r="E54" s="52">
        <f>+'01.09.68'!E54+'02.09.68'!E54+'03.09.68'!E54+'04.09.68'!E54+'05.09.68'!E54+'06.09.68'!E54+'07.09.68'!E54+'08.09.68'!E54+'09.09.68'!E54+'10.09.68'!E54+'11.09.68'!E54+'12.09.68'!E54+'13.09.68'!E54+'14.09.68'!E54+'15.09.68'!E54+'16.09.68'!E54+'17.09.68'!E54+'18.09.68'!E54+'19.09.68'!E54+'20.09.68'!E54+'21.09.68'!E54+'22.09.68'!E54+'23.09.68'!E54+'24.09.68'!E54+'25.09.68'!E54+'26.09.68'!E54+'27.09.68'!E54+'28.09.68'!E54+'29.09.68'!E54+'30.09.68'!E54</f>
        <v>0</v>
      </c>
      <c r="F54" s="65">
        <f t="shared" si="0"/>
        <v>0</v>
      </c>
      <c r="G54" s="52">
        <f>+'01.09.68'!G54+'02.09.68'!G54+'03.09.68'!G54+'04.09.68'!G54+'05.09.68'!G54+'06.09.68'!G54+'07.09.68'!G54+'08.09.68'!G54+'09.09.68'!G54+'10.09.68'!G54+'11.09.68'!G54+'12.09.68'!G54+'13.09.68'!G54+'14.09.68'!G54+'15.09.68'!G54+'16.09.68'!G54+'17.09.68'!G54+'18.09.68'!G54+'19.09.68'!G54+'20.09.68'!G54+'21.09.68'!G54+'22.09.68'!G54+'23.09.68'!G54+'24.09.68'!G54+'25.09.68'!G54+'26.09.68'!G54+'27.09.68'!G54+'28.09.68'!G54+'29.09.68'!G54+'30.09.68'!G54</f>
        <v>0</v>
      </c>
      <c r="H54" s="52">
        <f>+'01.09.68'!H54+'02.09.68'!H54+'03.09.68'!H54+'04.09.68'!H54+'05.09.68'!H54+'06.09.68'!H54+'07.09.68'!H54+'08.09.68'!H54+'09.09.68'!H54+'10.09.68'!H54+'11.09.68'!H54+'12.09.68'!H54+'13.09.68'!H54+'14.09.68'!H54+'15.09.68'!H54+'16.09.68'!H54+'17.09.68'!H54+'18.09.68'!H54+'19.09.68'!H54+'20.09.68'!H54+'21.09.68'!H54+'22.09.68'!H54+'23.09.68'!H54+'24.09.68'!H54+'25.09.68'!H54+'26.09.68'!H54+'27.09.68'!H54+'28.09.68'!H54+'29.09.68'!H54+'30.09.68'!H54</f>
        <v>0</v>
      </c>
      <c r="I54" s="65">
        <f t="shared" si="1"/>
        <v>0</v>
      </c>
      <c r="J54" s="52">
        <f>+'01.09.68'!J54+'02.09.68'!J54+'03.09.68'!J54+'04.09.68'!J54+'05.09.68'!J54+'06.09.68'!J54+'07.09.68'!J54+'08.09.68'!J54+'09.09.68'!J54+'10.09.68'!J54+'11.09.68'!J54+'12.09.68'!J54+'13.09.68'!J54+'14.09.68'!J54+'15.09.68'!J54+'16.09.68'!J54+'17.09.68'!J54+'18.09.68'!J54+'19.09.68'!J54+'20.09.68'!J54+'21.09.68'!J54+'22.09.68'!J54+'23.09.68'!J54+'24.09.68'!J54+'25.09.68'!J54+'26.09.68'!J54+'27.09.68'!J54+'28.09.68'!J54+'29.09.68'!J54+'30.09.68'!J54</f>
        <v>0</v>
      </c>
      <c r="K54" s="52">
        <f>+'01.09.68'!K54+'02.09.68'!K54+'03.09.68'!K54+'04.09.68'!K54+'05.09.68'!K54+'06.09.68'!K54+'07.09.68'!K54+'08.09.68'!K54+'09.09.68'!K54+'10.09.68'!K54+'11.09.68'!K54+'12.09.68'!K54+'13.09.68'!K54+'14.09.68'!K54+'15.09.68'!K54+'16.09.68'!K54+'17.09.68'!K54+'18.09.68'!K54+'19.09.68'!K54+'20.09.68'!K54+'21.09.68'!K54+'22.09.68'!K54+'23.09.68'!K54+'24.09.68'!K54+'25.09.68'!K54+'26.09.68'!K54+'27.09.68'!K54+'28.09.68'!K54+'29.09.68'!K54+'30.09.68'!K54</f>
        <v>0</v>
      </c>
      <c r="L54" s="65">
        <f t="shared" si="2"/>
        <v>0</v>
      </c>
      <c r="M54" s="52">
        <f>+'01.09.68'!M54+'02.09.68'!M54+'03.09.68'!M54+'04.09.68'!M54+'05.09.68'!M54+'06.09.68'!M54+'07.09.68'!M54+'08.09.68'!M54+'09.09.68'!M54+'10.09.68'!M54+'11.09.68'!M54+'12.09.68'!M54+'13.09.68'!M54+'14.09.68'!M54+'15.09.68'!M54+'16.09.68'!M54+'17.09.68'!M54+'18.09.68'!M54+'19.09.68'!M54+'20.09.68'!M54+'21.09.68'!M54+'22.09.68'!M54+'23.09.68'!M54+'24.09.68'!M54+'25.09.68'!M54+'26.09.68'!M54+'27.09.68'!M54+'28.09.68'!M54+'29.09.68'!M54+'30.09.68'!M54</f>
        <v>0</v>
      </c>
      <c r="N54" s="52">
        <f>+'01.09.68'!N54+'02.09.68'!N54+'03.09.68'!N54+'04.09.68'!N54+'05.09.68'!N54+'06.09.68'!N54+'07.09.68'!N54+'08.09.68'!N54+'09.09.68'!N54+'10.09.68'!N54+'11.09.68'!N54+'12.09.68'!N54+'13.09.68'!N54+'14.09.68'!N54+'15.09.68'!N54+'16.09.68'!N54+'17.09.68'!N54+'18.09.68'!N54+'19.09.68'!N54+'20.09.68'!N54+'21.09.68'!N54+'22.09.68'!N54+'23.09.68'!N54+'24.09.68'!N54+'25.09.68'!N54+'26.09.68'!N54+'27.09.68'!N54+'28.09.68'!N54+'29.09.68'!N54+'30.09.68'!N54</f>
        <v>0</v>
      </c>
      <c r="O54" s="65">
        <f t="shared" si="3"/>
        <v>0</v>
      </c>
      <c r="P54" s="52">
        <f>+'01.09.68'!P54+'02.09.68'!P54+'03.09.68'!P54+'04.09.68'!P54+'05.09.68'!P54+'06.09.68'!P54+'07.09.68'!P54+'08.09.68'!P54+'09.09.68'!P54+'10.09.68'!P54+'11.09.68'!P54+'12.09.68'!P54+'13.09.68'!P54+'14.09.68'!P54+'15.09.68'!P54+'16.09.68'!P54+'17.09.68'!P54+'18.09.68'!P54+'19.09.68'!P54+'20.09.68'!P54+'21.09.68'!P54+'22.09.68'!P54+'23.09.68'!P54+'24.09.68'!P54+'25.09.68'!P54+'26.09.68'!P54+'27.09.68'!P54+'28.09.68'!P54+'29.09.68'!P54+'30.09.68'!P54</f>
        <v>0</v>
      </c>
      <c r="Q54" s="52">
        <f>+'01.09.68'!Q54+'02.09.68'!Q54+'03.09.68'!Q54+'04.09.68'!Q54+'05.09.68'!Q54+'06.09.68'!Q54+'07.09.68'!Q54+'08.09.68'!Q54+'09.09.68'!Q54+'10.09.68'!Q54+'11.09.68'!Q54+'12.09.68'!Q54+'13.09.68'!Q54+'14.09.68'!Q54+'15.09.68'!Q54+'16.09.68'!Q54+'17.09.68'!Q54+'18.09.68'!Q54+'19.09.68'!Q54+'20.09.68'!Q54+'21.09.68'!Q54+'22.09.68'!Q54+'23.09.68'!Q54+'24.09.68'!Q54+'25.09.68'!Q54+'26.09.68'!Q54+'27.09.68'!Q54+'28.09.68'!Q54+'29.09.68'!Q54+'30.09.68'!Q54</f>
        <v>0</v>
      </c>
      <c r="R54" s="65">
        <f t="shared" si="4"/>
        <v>0</v>
      </c>
      <c r="S54" s="52">
        <f>+'01.09.68'!S54+'02.09.68'!S54+'03.09.68'!S54+'04.09.68'!S54+'05.09.68'!S54+'06.09.68'!S54+'07.09.68'!S54+'08.09.68'!S54+'09.09.68'!S54+'10.09.68'!S54+'11.09.68'!S54+'12.09.68'!S54+'13.09.68'!S54+'14.09.68'!S54+'15.09.68'!S54+'16.09.68'!S54+'17.09.68'!S54+'18.09.68'!S54+'19.09.68'!S54+'20.09.68'!S54+'21.09.68'!S54+'22.09.68'!S54+'23.09.68'!S54+'24.09.68'!S54+'25.09.68'!S54+'26.09.68'!S54+'27.09.68'!S54+'28.09.68'!S54+'29.09.68'!S54+'30.09.68'!S54</f>
        <v>0</v>
      </c>
      <c r="T54" s="52">
        <f>+'01.09.68'!T54+'02.09.68'!T54+'03.09.68'!T54+'04.09.68'!T54+'05.09.68'!T54+'06.09.68'!T54+'07.09.68'!T54+'08.09.68'!T54+'09.09.68'!T54+'10.09.68'!T54+'11.09.68'!T54+'12.09.68'!T54+'13.09.68'!T54+'14.09.68'!T54+'15.09.68'!T54+'16.09.68'!T54+'17.09.68'!T54+'18.09.68'!T54+'19.09.68'!T54+'20.09.68'!T54+'21.09.68'!T54+'22.09.68'!T54+'23.09.68'!T54+'24.09.68'!T54+'25.09.68'!T54+'26.09.68'!T54+'27.09.68'!T54+'28.09.68'!T54+'29.09.68'!T54+'30.09.68'!T54</f>
        <v>0</v>
      </c>
      <c r="U54" s="65">
        <f t="shared" si="5"/>
        <v>0</v>
      </c>
      <c r="V54" s="52">
        <f>+'01.09.68'!V54+'02.09.68'!V54+'03.09.68'!V54+'04.09.68'!V54+'05.09.68'!V54+'06.09.68'!V54+'07.09.68'!V54+'08.09.68'!V54+'09.09.68'!V54+'10.09.68'!V54+'11.09.68'!V54+'12.09.68'!V54+'13.09.68'!V54+'14.09.68'!V54+'15.09.68'!V54+'16.09.68'!V54+'17.09.68'!V54+'18.09.68'!V54+'19.09.68'!V54+'20.09.68'!V54+'21.09.68'!V54+'22.09.68'!V54+'23.09.68'!V54+'24.09.68'!V54+'25.09.68'!V54+'26.09.68'!V54+'27.09.68'!V54+'28.09.68'!V54+'29.09.68'!V54+'30.09.68'!V54</f>
        <v>0</v>
      </c>
      <c r="W54" s="52">
        <f>+'01.09.68'!W54+'02.09.68'!W54+'03.09.68'!W54+'04.09.68'!W54+'05.09.68'!W54+'06.09.68'!W54+'07.09.68'!W54+'08.09.68'!W54+'09.09.68'!W54+'10.09.68'!W54+'11.09.68'!W54+'12.09.68'!W54+'13.09.68'!W54+'14.09.68'!W54+'15.09.68'!W54+'16.09.68'!W54+'17.09.68'!W54+'18.09.68'!W54+'19.09.68'!W54+'20.09.68'!W54+'21.09.68'!W54+'22.09.68'!W54+'23.09.68'!W54+'24.09.68'!W54+'25.09.68'!W54+'26.09.68'!W54+'27.09.68'!W54+'28.09.68'!W54+'29.09.68'!W54+'30.09.68'!W54</f>
        <v>0</v>
      </c>
      <c r="X54" s="65">
        <f t="shared" si="6"/>
        <v>0</v>
      </c>
      <c r="Y54" s="52">
        <f>+'01.09.68'!Y54+'02.09.68'!Y54+'03.09.68'!Y54+'04.09.68'!Y54+'05.09.68'!Y54+'06.09.68'!Y54+'07.09.68'!Y54+'08.09.68'!Y54+'09.09.68'!Y54+'10.09.68'!Y54+'11.09.68'!Y54+'12.09.68'!Y54+'13.09.68'!Y54+'14.09.68'!Y54+'15.09.68'!Y54+'16.09.68'!Y54+'17.09.68'!Y54+'18.09.68'!Y54+'19.09.68'!Y54+'20.09.68'!Y54+'21.09.68'!Y54+'22.09.68'!Y54+'23.09.68'!Y54+'24.09.68'!Y54+'25.09.68'!Y54+'26.09.68'!Y54+'27.09.68'!Y54+'28.09.68'!Y54+'29.09.68'!Y54+'30.09.68'!Y54</f>
        <v>205</v>
      </c>
      <c r="Z54" s="66">
        <f t="shared" si="7"/>
        <v>205</v>
      </c>
    </row>
    <row r="55" spans="2:26">
      <c r="B55" s="50">
        <v>1112005</v>
      </c>
      <c r="C55" s="51" t="s">
        <v>176</v>
      </c>
      <c r="D55" s="52">
        <f>+'01.09.68'!D55+'02.09.68'!D55+'03.09.68'!D55+'04.09.68'!D55+'05.09.68'!D55+'06.09.68'!D55+'07.09.68'!D55+'08.09.68'!D55+'09.09.68'!D55+'10.09.68'!D55+'11.09.68'!D55+'12.09.68'!D55+'13.09.68'!D55+'14.09.68'!D55+'15.09.68'!D55+'16.09.68'!D55+'17.09.68'!D55+'18.09.68'!D55+'19.09.68'!D55+'20.09.68'!D55+'21.09.68'!D55+'22.09.68'!D55+'23.09.68'!D55+'24.09.68'!D55+'25.09.68'!D55+'26.09.68'!D55+'27.09.68'!D55+'28.09.68'!D55+'29.09.68'!D55+'30.09.68'!D55</f>
        <v>312</v>
      </c>
      <c r="E55" s="52">
        <f>+'01.09.68'!E55+'02.09.68'!E55+'03.09.68'!E55+'04.09.68'!E55+'05.09.68'!E55+'06.09.68'!E55+'07.09.68'!E55+'08.09.68'!E55+'09.09.68'!E55+'10.09.68'!E55+'11.09.68'!E55+'12.09.68'!E55+'13.09.68'!E55+'14.09.68'!E55+'15.09.68'!E55+'16.09.68'!E55+'17.09.68'!E55+'18.09.68'!E55+'19.09.68'!E55+'20.09.68'!E55+'21.09.68'!E55+'22.09.68'!E55+'23.09.68'!E55+'24.09.68'!E55+'25.09.68'!E55+'26.09.68'!E55+'27.09.68'!E55+'28.09.68'!E55+'29.09.68'!E55+'30.09.68'!E55</f>
        <v>27</v>
      </c>
      <c r="F55" s="65">
        <f t="shared" si="0"/>
        <v>339</v>
      </c>
      <c r="G55" s="52">
        <f>+'01.09.68'!G55+'02.09.68'!G55+'03.09.68'!G55+'04.09.68'!G55+'05.09.68'!G55+'06.09.68'!G55+'07.09.68'!G55+'08.09.68'!G55+'09.09.68'!G55+'10.09.68'!G55+'11.09.68'!G55+'12.09.68'!G55+'13.09.68'!G55+'14.09.68'!G55+'15.09.68'!G55+'16.09.68'!G55+'17.09.68'!G55+'18.09.68'!G55+'19.09.68'!G55+'20.09.68'!G55+'21.09.68'!G55+'22.09.68'!G55+'23.09.68'!G55+'24.09.68'!G55+'25.09.68'!G55+'26.09.68'!G55+'27.09.68'!G55+'28.09.68'!G55+'29.09.68'!G55+'30.09.68'!G55</f>
        <v>48</v>
      </c>
      <c r="H55" s="52">
        <f>+'01.09.68'!H55+'02.09.68'!H55+'03.09.68'!H55+'04.09.68'!H55+'05.09.68'!H55+'06.09.68'!H55+'07.09.68'!H55+'08.09.68'!H55+'09.09.68'!H55+'10.09.68'!H55+'11.09.68'!H55+'12.09.68'!H55+'13.09.68'!H55+'14.09.68'!H55+'15.09.68'!H55+'16.09.68'!H55+'17.09.68'!H55+'18.09.68'!H55+'19.09.68'!H55+'20.09.68'!H55+'21.09.68'!H55+'22.09.68'!H55+'23.09.68'!H55+'24.09.68'!H55+'25.09.68'!H55+'26.09.68'!H55+'27.09.68'!H55+'28.09.68'!H55+'29.09.68'!H55+'30.09.68'!H55</f>
        <v>0</v>
      </c>
      <c r="I55" s="65">
        <f t="shared" si="1"/>
        <v>48</v>
      </c>
      <c r="J55" s="52">
        <f>+'01.09.68'!J55+'02.09.68'!J55+'03.09.68'!J55+'04.09.68'!J55+'05.09.68'!J55+'06.09.68'!J55+'07.09.68'!J55+'08.09.68'!J55+'09.09.68'!J55+'10.09.68'!J55+'11.09.68'!J55+'12.09.68'!J55+'13.09.68'!J55+'14.09.68'!J55+'15.09.68'!J55+'16.09.68'!J55+'17.09.68'!J55+'18.09.68'!J55+'19.09.68'!J55+'20.09.68'!J55+'21.09.68'!J55+'22.09.68'!J55+'23.09.68'!J55+'24.09.68'!J55+'25.09.68'!J55+'26.09.68'!J55+'27.09.68'!J55+'28.09.68'!J55+'29.09.68'!J55+'30.09.68'!J55</f>
        <v>8</v>
      </c>
      <c r="K55" s="52">
        <f>+'01.09.68'!K55+'02.09.68'!K55+'03.09.68'!K55+'04.09.68'!K55+'05.09.68'!K55+'06.09.68'!K55+'07.09.68'!K55+'08.09.68'!K55+'09.09.68'!K55+'10.09.68'!K55+'11.09.68'!K55+'12.09.68'!K55+'13.09.68'!K55+'14.09.68'!K55+'15.09.68'!K55+'16.09.68'!K55+'17.09.68'!K55+'18.09.68'!K55+'19.09.68'!K55+'20.09.68'!K55+'21.09.68'!K55+'22.09.68'!K55+'23.09.68'!K55+'24.09.68'!K55+'25.09.68'!K55+'26.09.68'!K55+'27.09.68'!K55+'28.09.68'!K55+'29.09.68'!K55+'30.09.68'!K55</f>
        <v>0</v>
      </c>
      <c r="L55" s="65">
        <f t="shared" si="2"/>
        <v>8</v>
      </c>
      <c r="M55" s="52">
        <f>+'01.09.68'!M55+'02.09.68'!M55+'03.09.68'!M55+'04.09.68'!M55+'05.09.68'!M55+'06.09.68'!M55+'07.09.68'!M55+'08.09.68'!M55+'09.09.68'!M55+'10.09.68'!M55+'11.09.68'!M55+'12.09.68'!M55+'13.09.68'!M55+'14.09.68'!M55+'15.09.68'!M55+'16.09.68'!M55+'17.09.68'!M55+'18.09.68'!M55+'19.09.68'!M55+'20.09.68'!M55+'21.09.68'!M55+'22.09.68'!M55+'23.09.68'!M55+'24.09.68'!M55+'25.09.68'!M55+'26.09.68'!M55+'27.09.68'!M55+'28.09.68'!M55+'29.09.68'!M55+'30.09.68'!M55</f>
        <v>932</v>
      </c>
      <c r="N55" s="52">
        <f>+'01.09.68'!N55+'02.09.68'!N55+'03.09.68'!N55+'04.09.68'!N55+'05.09.68'!N55+'06.09.68'!N55+'07.09.68'!N55+'08.09.68'!N55+'09.09.68'!N55+'10.09.68'!N55+'11.09.68'!N55+'12.09.68'!N55+'13.09.68'!N55+'14.09.68'!N55+'15.09.68'!N55+'16.09.68'!N55+'17.09.68'!N55+'18.09.68'!N55+'19.09.68'!N55+'20.09.68'!N55+'21.09.68'!N55+'22.09.68'!N55+'23.09.68'!N55+'24.09.68'!N55+'25.09.68'!N55+'26.09.68'!N55+'27.09.68'!N55+'28.09.68'!N55+'29.09.68'!N55+'30.09.68'!N55</f>
        <v>0</v>
      </c>
      <c r="O55" s="65">
        <f t="shared" si="3"/>
        <v>932</v>
      </c>
      <c r="P55" s="52">
        <f>+'01.09.68'!P55+'02.09.68'!P55+'03.09.68'!P55+'04.09.68'!P55+'05.09.68'!P55+'06.09.68'!P55+'07.09.68'!P55+'08.09.68'!P55+'09.09.68'!P55+'10.09.68'!P55+'11.09.68'!P55+'12.09.68'!P55+'13.09.68'!P55+'14.09.68'!P55+'15.09.68'!P55+'16.09.68'!P55+'17.09.68'!P55+'18.09.68'!P55+'19.09.68'!P55+'20.09.68'!P55+'21.09.68'!P55+'22.09.68'!P55+'23.09.68'!P55+'24.09.68'!P55+'25.09.68'!P55+'26.09.68'!P55+'27.09.68'!P55+'28.09.68'!P55+'29.09.68'!P55+'30.09.68'!P55</f>
        <v>112</v>
      </c>
      <c r="Q55" s="52">
        <f>+'01.09.68'!Q55+'02.09.68'!Q55+'03.09.68'!Q55+'04.09.68'!Q55+'05.09.68'!Q55+'06.09.68'!Q55+'07.09.68'!Q55+'08.09.68'!Q55+'09.09.68'!Q55+'10.09.68'!Q55+'11.09.68'!Q55+'12.09.68'!Q55+'13.09.68'!Q55+'14.09.68'!Q55+'15.09.68'!Q55+'16.09.68'!Q55+'17.09.68'!Q55+'18.09.68'!Q55+'19.09.68'!Q55+'20.09.68'!Q55+'21.09.68'!Q55+'22.09.68'!Q55+'23.09.68'!Q55+'24.09.68'!Q55+'25.09.68'!Q55+'26.09.68'!Q55+'27.09.68'!Q55+'28.09.68'!Q55+'29.09.68'!Q55+'30.09.68'!Q55</f>
        <v>0</v>
      </c>
      <c r="R55" s="65">
        <f t="shared" si="4"/>
        <v>112</v>
      </c>
      <c r="S55" s="52">
        <f>+'01.09.68'!S55+'02.09.68'!S55+'03.09.68'!S55+'04.09.68'!S55+'05.09.68'!S55+'06.09.68'!S55+'07.09.68'!S55+'08.09.68'!S55+'09.09.68'!S55+'10.09.68'!S55+'11.09.68'!S55+'12.09.68'!S55+'13.09.68'!S55+'14.09.68'!S55+'15.09.68'!S55+'16.09.68'!S55+'17.09.68'!S55+'18.09.68'!S55+'19.09.68'!S55+'20.09.68'!S55+'21.09.68'!S55+'22.09.68'!S55+'23.09.68'!S55+'24.09.68'!S55+'25.09.68'!S55+'26.09.68'!S55+'27.09.68'!S55+'28.09.68'!S55+'29.09.68'!S55+'30.09.68'!S55</f>
        <v>0</v>
      </c>
      <c r="T55" s="52">
        <f>+'01.09.68'!T55+'02.09.68'!T55+'03.09.68'!T55+'04.09.68'!T55+'05.09.68'!T55+'06.09.68'!T55+'07.09.68'!T55+'08.09.68'!T55+'09.09.68'!T55+'10.09.68'!T55+'11.09.68'!T55+'12.09.68'!T55+'13.09.68'!T55+'14.09.68'!T55+'15.09.68'!T55+'16.09.68'!T55+'17.09.68'!T55+'18.09.68'!T55+'19.09.68'!T55+'20.09.68'!T55+'21.09.68'!T55+'22.09.68'!T55+'23.09.68'!T55+'24.09.68'!T55+'25.09.68'!T55+'26.09.68'!T55+'27.09.68'!T55+'28.09.68'!T55+'29.09.68'!T55+'30.09.68'!T55</f>
        <v>0</v>
      </c>
      <c r="U55" s="65">
        <f t="shared" si="5"/>
        <v>0</v>
      </c>
      <c r="V55" s="52">
        <f>+'01.09.68'!V55+'02.09.68'!V55+'03.09.68'!V55+'04.09.68'!V55+'05.09.68'!V55+'06.09.68'!V55+'07.09.68'!V55+'08.09.68'!V55+'09.09.68'!V55+'10.09.68'!V55+'11.09.68'!V55+'12.09.68'!V55+'13.09.68'!V55+'14.09.68'!V55+'15.09.68'!V55+'16.09.68'!V55+'17.09.68'!V55+'18.09.68'!V55+'19.09.68'!V55+'20.09.68'!V55+'21.09.68'!V55+'22.09.68'!V55+'23.09.68'!V55+'24.09.68'!V55+'25.09.68'!V55+'26.09.68'!V55+'27.09.68'!V55+'28.09.68'!V55+'29.09.68'!V55+'30.09.68'!V55</f>
        <v>0</v>
      </c>
      <c r="W55" s="52">
        <f>+'01.09.68'!W55+'02.09.68'!W55+'03.09.68'!W55+'04.09.68'!W55+'05.09.68'!W55+'06.09.68'!W55+'07.09.68'!W55+'08.09.68'!W55+'09.09.68'!W55+'10.09.68'!W55+'11.09.68'!W55+'12.09.68'!W55+'13.09.68'!W55+'14.09.68'!W55+'15.09.68'!W55+'16.09.68'!W55+'17.09.68'!W55+'18.09.68'!W55+'19.09.68'!W55+'20.09.68'!W55+'21.09.68'!W55+'22.09.68'!W55+'23.09.68'!W55+'24.09.68'!W55+'25.09.68'!W55+'26.09.68'!W55+'27.09.68'!W55+'28.09.68'!W55+'29.09.68'!W55+'30.09.68'!W55</f>
        <v>0</v>
      </c>
      <c r="X55" s="65">
        <f t="shared" si="6"/>
        <v>0</v>
      </c>
      <c r="Y55" s="52">
        <f>+'01.09.68'!Y55+'02.09.68'!Y55+'03.09.68'!Y55+'04.09.68'!Y55+'05.09.68'!Y55+'06.09.68'!Y55+'07.09.68'!Y55+'08.09.68'!Y55+'09.09.68'!Y55+'10.09.68'!Y55+'11.09.68'!Y55+'12.09.68'!Y55+'13.09.68'!Y55+'14.09.68'!Y55+'15.09.68'!Y55+'16.09.68'!Y55+'17.09.68'!Y55+'18.09.68'!Y55+'19.09.68'!Y55+'20.09.68'!Y55+'21.09.68'!Y55+'22.09.68'!Y55+'23.09.68'!Y55+'24.09.68'!Y55+'25.09.68'!Y55+'26.09.68'!Y55+'27.09.68'!Y55+'28.09.68'!Y55+'29.09.68'!Y55+'30.09.68'!Y55</f>
        <v>61</v>
      </c>
      <c r="Z55" s="66">
        <f t="shared" si="7"/>
        <v>1500</v>
      </c>
    </row>
    <row r="56" spans="2:26">
      <c r="B56" s="50">
        <v>1112008</v>
      </c>
      <c r="C56" s="51" t="s">
        <v>177</v>
      </c>
      <c r="D56" s="52">
        <f>+'01.09.68'!D56+'02.09.68'!D56+'03.09.68'!D56+'04.09.68'!D56+'05.09.68'!D56+'06.09.68'!D56+'07.09.68'!D56+'08.09.68'!D56+'09.09.68'!D56+'10.09.68'!D56+'11.09.68'!D56+'12.09.68'!D56+'13.09.68'!D56+'14.09.68'!D56+'15.09.68'!D56+'16.09.68'!D56+'17.09.68'!D56+'18.09.68'!D56+'19.09.68'!D56+'20.09.68'!D56+'21.09.68'!D56+'22.09.68'!D56+'23.09.68'!D56+'24.09.68'!D56+'25.09.68'!D56+'26.09.68'!D56+'27.09.68'!D56+'28.09.68'!D56+'29.09.68'!D56+'30.09.68'!D56</f>
        <v>0</v>
      </c>
      <c r="E56" s="52">
        <f>+'01.09.68'!E56+'02.09.68'!E56+'03.09.68'!E56+'04.09.68'!E56+'05.09.68'!E56+'06.09.68'!E56+'07.09.68'!E56+'08.09.68'!E56+'09.09.68'!E56+'10.09.68'!E56+'11.09.68'!E56+'12.09.68'!E56+'13.09.68'!E56+'14.09.68'!E56+'15.09.68'!E56+'16.09.68'!E56+'17.09.68'!E56+'18.09.68'!E56+'19.09.68'!E56+'20.09.68'!E56+'21.09.68'!E56+'22.09.68'!E56+'23.09.68'!E56+'24.09.68'!E56+'25.09.68'!E56+'26.09.68'!E56+'27.09.68'!E56+'28.09.68'!E56+'29.09.68'!E56+'30.09.68'!E56</f>
        <v>0</v>
      </c>
      <c r="F56" s="65">
        <f t="shared" si="0"/>
        <v>0</v>
      </c>
      <c r="G56" s="52">
        <f>+'01.09.68'!G56+'02.09.68'!G56+'03.09.68'!G56+'04.09.68'!G56+'05.09.68'!G56+'06.09.68'!G56+'07.09.68'!G56+'08.09.68'!G56+'09.09.68'!G56+'10.09.68'!G56+'11.09.68'!G56+'12.09.68'!G56+'13.09.68'!G56+'14.09.68'!G56+'15.09.68'!G56+'16.09.68'!G56+'17.09.68'!G56+'18.09.68'!G56+'19.09.68'!G56+'20.09.68'!G56+'21.09.68'!G56+'22.09.68'!G56+'23.09.68'!G56+'24.09.68'!G56+'25.09.68'!G56+'26.09.68'!G56+'27.09.68'!G56+'28.09.68'!G56+'29.09.68'!G56+'30.09.68'!G56</f>
        <v>0</v>
      </c>
      <c r="H56" s="52">
        <f>+'01.09.68'!H56+'02.09.68'!H56+'03.09.68'!H56+'04.09.68'!H56+'05.09.68'!H56+'06.09.68'!H56+'07.09.68'!H56+'08.09.68'!H56+'09.09.68'!H56+'10.09.68'!H56+'11.09.68'!H56+'12.09.68'!H56+'13.09.68'!H56+'14.09.68'!H56+'15.09.68'!H56+'16.09.68'!H56+'17.09.68'!H56+'18.09.68'!H56+'19.09.68'!H56+'20.09.68'!H56+'21.09.68'!H56+'22.09.68'!H56+'23.09.68'!H56+'24.09.68'!H56+'25.09.68'!H56+'26.09.68'!H56+'27.09.68'!H56+'28.09.68'!H56+'29.09.68'!H56+'30.09.68'!H56</f>
        <v>0</v>
      </c>
      <c r="I56" s="65">
        <f t="shared" si="1"/>
        <v>0</v>
      </c>
      <c r="J56" s="52">
        <f>+'01.09.68'!J56+'02.09.68'!J56+'03.09.68'!J56+'04.09.68'!J56+'05.09.68'!J56+'06.09.68'!J56+'07.09.68'!J56+'08.09.68'!J56+'09.09.68'!J56+'10.09.68'!J56+'11.09.68'!J56+'12.09.68'!J56+'13.09.68'!J56+'14.09.68'!J56+'15.09.68'!J56+'16.09.68'!J56+'17.09.68'!J56+'18.09.68'!J56+'19.09.68'!J56+'20.09.68'!J56+'21.09.68'!J56+'22.09.68'!J56+'23.09.68'!J56+'24.09.68'!J56+'25.09.68'!J56+'26.09.68'!J56+'27.09.68'!J56+'28.09.68'!J56+'29.09.68'!J56+'30.09.68'!J56</f>
        <v>0</v>
      </c>
      <c r="K56" s="52">
        <f>+'01.09.68'!K56+'02.09.68'!K56+'03.09.68'!K56+'04.09.68'!K56+'05.09.68'!K56+'06.09.68'!K56+'07.09.68'!K56+'08.09.68'!K56+'09.09.68'!K56+'10.09.68'!K56+'11.09.68'!K56+'12.09.68'!K56+'13.09.68'!K56+'14.09.68'!K56+'15.09.68'!K56+'16.09.68'!K56+'17.09.68'!K56+'18.09.68'!K56+'19.09.68'!K56+'20.09.68'!K56+'21.09.68'!K56+'22.09.68'!K56+'23.09.68'!K56+'24.09.68'!K56+'25.09.68'!K56+'26.09.68'!K56+'27.09.68'!K56+'28.09.68'!K56+'29.09.68'!K56+'30.09.68'!K56</f>
        <v>0</v>
      </c>
      <c r="L56" s="65">
        <f t="shared" si="2"/>
        <v>0</v>
      </c>
      <c r="M56" s="52">
        <f>+'01.09.68'!M56+'02.09.68'!M56+'03.09.68'!M56+'04.09.68'!M56+'05.09.68'!M56+'06.09.68'!M56+'07.09.68'!M56+'08.09.68'!M56+'09.09.68'!M56+'10.09.68'!M56+'11.09.68'!M56+'12.09.68'!M56+'13.09.68'!M56+'14.09.68'!M56+'15.09.68'!M56+'16.09.68'!M56+'17.09.68'!M56+'18.09.68'!M56+'19.09.68'!M56+'20.09.68'!M56+'21.09.68'!M56+'22.09.68'!M56+'23.09.68'!M56+'24.09.68'!M56+'25.09.68'!M56+'26.09.68'!M56+'27.09.68'!M56+'28.09.68'!M56+'29.09.68'!M56+'30.09.68'!M56</f>
        <v>0</v>
      </c>
      <c r="N56" s="52">
        <f>+'01.09.68'!N56+'02.09.68'!N56+'03.09.68'!N56+'04.09.68'!N56+'05.09.68'!N56+'06.09.68'!N56+'07.09.68'!N56+'08.09.68'!N56+'09.09.68'!N56+'10.09.68'!N56+'11.09.68'!N56+'12.09.68'!N56+'13.09.68'!N56+'14.09.68'!N56+'15.09.68'!N56+'16.09.68'!N56+'17.09.68'!N56+'18.09.68'!N56+'19.09.68'!N56+'20.09.68'!N56+'21.09.68'!N56+'22.09.68'!N56+'23.09.68'!N56+'24.09.68'!N56+'25.09.68'!N56+'26.09.68'!N56+'27.09.68'!N56+'28.09.68'!N56+'29.09.68'!N56+'30.09.68'!N56</f>
        <v>0</v>
      </c>
      <c r="O56" s="65">
        <f t="shared" si="3"/>
        <v>0</v>
      </c>
      <c r="P56" s="52">
        <f>+'01.09.68'!P56+'02.09.68'!P56+'03.09.68'!P56+'04.09.68'!P56+'05.09.68'!P56+'06.09.68'!P56+'07.09.68'!P56+'08.09.68'!P56+'09.09.68'!P56+'10.09.68'!P56+'11.09.68'!P56+'12.09.68'!P56+'13.09.68'!P56+'14.09.68'!P56+'15.09.68'!P56+'16.09.68'!P56+'17.09.68'!P56+'18.09.68'!P56+'19.09.68'!P56+'20.09.68'!P56+'21.09.68'!P56+'22.09.68'!P56+'23.09.68'!P56+'24.09.68'!P56+'25.09.68'!P56+'26.09.68'!P56+'27.09.68'!P56+'28.09.68'!P56+'29.09.68'!P56+'30.09.68'!P56</f>
        <v>0</v>
      </c>
      <c r="Q56" s="52">
        <f>+'01.09.68'!Q56+'02.09.68'!Q56+'03.09.68'!Q56+'04.09.68'!Q56+'05.09.68'!Q56+'06.09.68'!Q56+'07.09.68'!Q56+'08.09.68'!Q56+'09.09.68'!Q56+'10.09.68'!Q56+'11.09.68'!Q56+'12.09.68'!Q56+'13.09.68'!Q56+'14.09.68'!Q56+'15.09.68'!Q56+'16.09.68'!Q56+'17.09.68'!Q56+'18.09.68'!Q56+'19.09.68'!Q56+'20.09.68'!Q56+'21.09.68'!Q56+'22.09.68'!Q56+'23.09.68'!Q56+'24.09.68'!Q56+'25.09.68'!Q56+'26.09.68'!Q56+'27.09.68'!Q56+'28.09.68'!Q56+'29.09.68'!Q56+'30.09.68'!Q56</f>
        <v>0</v>
      </c>
      <c r="R56" s="65">
        <f t="shared" si="4"/>
        <v>0</v>
      </c>
      <c r="S56" s="52">
        <f>+'01.09.68'!S56+'02.09.68'!S56+'03.09.68'!S56+'04.09.68'!S56+'05.09.68'!S56+'06.09.68'!S56+'07.09.68'!S56+'08.09.68'!S56+'09.09.68'!S56+'10.09.68'!S56+'11.09.68'!S56+'12.09.68'!S56+'13.09.68'!S56+'14.09.68'!S56+'15.09.68'!S56+'16.09.68'!S56+'17.09.68'!S56+'18.09.68'!S56+'19.09.68'!S56+'20.09.68'!S56+'21.09.68'!S56+'22.09.68'!S56+'23.09.68'!S56+'24.09.68'!S56+'25.09.68'!S56+'26.09.68'!S56+'27.09.68'!S56+'28.09.68'!S56+'29.09.68'!S56+'30.09.68'!S56</f>
        <v>0</v>
      </c>
      <c r="T56" s="52">
        <f>+'01.09.68'!T56+'02.09.68'!T56+'03.09.68'!T56+'04.09.68'!T56+'05.09.68'!T56+'06.09.68'!T56+'07.09.68'!T56+'08.09.68'!T56+'09.09.68'!T56+'10.09.68'!T56+'11.09.68'!T56+'12.09.68'!T56+'13.09.68'!T56+'14.09.68'!T56+'15.09.68'!T56+'16.09.68'!T56+'17.09.68'!T56+'18.09.68'!T56+'19.09.68'!T56+'20.09.68'!T56+'21.09.68'!T56+'22.09.68'!T56+'23.09.68'!T56+'24.09.68'!T56+'25.09.68'!T56+'26.09.68'!T56+'27.09.68'!T56+'28.09.68'!T56+'29.09.68'!T56+'30.09.68'!T56</f>
        <v>0</v>
      </c>
      <c r="U56" s="65">
        <f t="shared" si="5"/>
        <v>0</v>
      </c>
      <c r="V56" s="52">
        <f>+'01.09.68'!V56+'02.09.68'!V56+'03.09.68'!V56+'04.09.68'!V56+'05.09.68'!V56+'06.09.68'!V56+'07.09.68'!V56+'08.09.68'!V56+'09.09.68'!V56+'10.09.68'!V56+'11.09.68'!V56+'12.09.68'!V56+'13.09.68'!V56+'14.09.68'!V56+'15.09.68'!V56+'16.09.68'!V56+'17.09.68'!V56+'18.09.68'!V56+'19.09.68'!V56+'20.09.68'!V56+'21.09.68'!V56+'22.09.68'!V56+'23.09.68'!V56+'24.09.68'!V56+'25.09.68'!V56+'26.09.68'!V56+'27.09.68'!V56+'28.09.68'!V56+'29.09.68'!V56+'30.09.68'!V56</f>
        <v>0</v>
      </c>
      <c r="W56" s="52">
        <f>+'01.09.68'!W56+'02.09.68'!W56+'03.09.68'!W56+'04.09.68'!W56+'05.09.68'!W56+'06.09.68'!W56+'07.09.68'!W56+'08.09.68'!W56+'09.09.68'!W56+'10.09.68'!W56+'11.09.68'!W56+'12.09.68'!W56+'13.09.68'!W56+'14.09.68'!W56+'15.09.68'!W56+'16.09.68'!W56+'17.09.68'!W56+'18.09.68'!W56+'19.09.68'!W56+'20.09.68'!W56+'21.09.68'!W56+'22.09.68'!W56+'23.09.68'!W56+'24.09.68'!W56+'25.09.68'!W56+'26.09.68'!W56+'27.09.68'!W56+'28.09.68'!W56+'29.09.68'!W56+'30.09.68'!W56</f>
        <v>0</v>
      </c>
      <c r="X56" s="65">
        <f t="shared" si="6"/>
        <v>0</v>
      </c>
      <c r="Y56" s="52">
        <f>+'01.09.68'!Y56+'02.09.68'!Y56+'03.09.68'!Y56+'04.09.68'!Y56+'05.09.68'!Y56+'06.09.68'!Y56+'07.09.68'!Y56+'08.09.68'!Y56+'09.09.68'!Y56+'10.09.68'!Y56+'11.09.68'!Y56+'12.09.68'!Y56+'13.09.68'!Y56+'14.09.68'!Y56+'15.09.68'!Y56+'16.09.68'!Y56+'17.09.68'!Y56+'18.09.68'!Y56+'19.09.68'!Y56+'20.09.68'!Y56+'21.09.68'!Y56+'22.09.68'!Y56+'23.09.68'!Y56+'24.09.68'!Y56+'25.09.68'!Y56+'26.09.68'!Y56+'27.09.68'!Y56+'28.09.68'!Y56+'29.09.68'!Y56+'30.09.68'!Y56</f>
        <v>0</v>
      </c>
      <c r="Z56" s="66">
        <f t="shared" si="7"/>
        <v>0</v>
      </c>
    </row>
    <row r="57" spans="2:26">
      <c r="B57" s="50">
        <v>1112009</v>
      </c>
      <c r="C57" s="51" t="s">
        <v>178</v>
      </c>
      <c r="D57" s="52">
        <f>+'01.09.68'!D57+'02.09.68'!D57+'03.09.68'!D57+'04.09.68'!D57+'05.09.68'!D57+'06.09.68'!D57+'07.09.68'!D57+'08.09.68'!D57+'09.09.68'!D57+'10.09.68'!D57+'11.09.68'!D57+'12.09.68'!D57+'13.09.68'!D57+'14.09.68'!D57+'15.09.68'!D57+'16.09.68'!D57+'17.09.68'!D57+'18.09.68'!D57+'19.09.68'!D57+'20.09.68'!D57+'21.09.68'!D57+'22.09.68'!D57+'23.09.68'!D57+'24.09.68'!D57+'25.09.68'!D57+'26.09.68'!D57+'27.09.68'!D57+'28.09.68'!D57+'29.09.68'!D57+'30.09.68'!D57</f>
        <v>350</v>
      </c>
      <c r="E57" s="52">
        <f>+'01.09.68'!E57+'02.09.68'!E57+'03.09.68'!E57+'04.09.68'!E57+'05.09.68'!E57+'06.09.68'!E57+'07.09.68'!E57+'08.09.68'!E57+'09.09.68'!E57+'10.09.68'!E57+'11.09.68'!E57+'12.09.68'!E57+'13.09.68'!E57+'14.09.68'!E57+'15.09.68'!E57+'16.09.68'!E57+'17.09.68'!E57+'18.09.68'!E57+'19.09.68'!E57+'20.09.68'!E57+'21.09.68'!E57+'22.09.68'!E57+'23.09.68'!E57+'24.09.68'!E57+'25.09.68'!E57+'26.09.68'!E57+'27.09.68'!E57+'28.09.68'!E57+'29.09.68'!E57+'30.09.68'!E57</f>
        <v>25</v>
      </c>
      <c r="F57" s="65">
        <f t="shared" si="0"/>
        <v>375</v>
      </c>
      <c r="G57" s="52">
        <f>+'01.09.68'!G57+'02.09.68'!G57+'03.09.68'!G57+'04.09.68'!G57+'05.09.68'!G57+'06.09.68'!G57+'07.09.68'!G57+'08.09.68'!G57+'09.09.68'!G57+'10.09.68'!G57+'11.09.68'!G57+'12.09.68'!G57+'13.09.68'!G57+'14.09.68'!G57+'15.09.68'!G57+'16.09.68'!G57+'17.09.68'!G57+'18.09.68'!G57+'19.09.68'!G57+'20.09.68'!G57+'21.09.68'!G57+'22.09.68'!G57+'23.09.68'!G57+'24.09.68'!G57+'25.09.68'!G57+'26.09.68'!G57+'27.09.68'!G57+'28.09.68'!G57+'29.09.68'!G57+'30.09.68'!G57</f>
        <v>41</v>
      </c>
      <c r="H57" s="52">
        <f>+'01.09.68'!H57+'02.09.68'!H57+'03.09.68'!H57+'04.09.68'!H57+'05.09.68'!H57+'06.09.68'!H57+'07.09.68'!H57+'08.09.68'!H57+'09.09.68'!H57+'10.09.68'!H57+'11.09.68'!H57+'12.09.68'!H57+'13.09.68'!H57+'14.09.68'!H57+'15.09.68'!H57+'16.09.68'!H57+'17.09.68'!H57+'18.09.68'!H57+'19.09.68'!H57+'20.09.68'!H57+'21.09.68'!H57+'22.09.68'!H57+'23.09.68'!H57+'24.09.68'!H57+'25.09.68'!H57+'26.09.68'!H57+'27.09.68'!H57+'28.09.68'!H57+'29.09.68'!H57+'30.09.68'!H57</f>
        <v>0</v>
      </c>
      <c r="I57" s="65">
        <f t="shared" si="1"/>
        <v>41</v>
      </c>
      <c r="J57" s="52">
        <f>+'01.09.68'!J57+'02.09.68'!J57+'03.09.68'!J57+'04.09.68'!J57+'05.09.68'!J57+'06.09.68'!J57+'07.09.68'!J57+'08.09.68'!J57+'09.09.68'!J57+'10.09.68'!J57+'11.09.68'!J57+'12.09.68'!J57+'13.09.68'!J57+'14.09.68'!J57+'15.09.68'!J57+'16.09.68'!J57+'17.09.68'!J57+'18.09.68'!J57+'19.09.68'!J57+'20.09.68'!J57+'21.09.68'!J57+'22.09.68'!J57+'23.09.68'!J57+'24.09.68'!J57+'25.09.68'!J57+'26.09.68'!J57+'27.09.68'!J57+'28.09.68'!J57+'29.09.68'!J57+'30.09.68'!J57</f>
        <v>27</v>
      </c>
      <c r="K57" s="52">
        <f>+'01.09.68'!K57+'02.09.68'!K57+'03.09.68'!K57+'04.09.68'!K57+'05.09.68'!K57+'06.09.68'!K57+'07.09.68'!K57+'08.09.68'!K57+'09.09.68'!K57+'10.09.68'!K57+'11.09.68'!K57+'12.09.68'!K57+'13.09.68'!K57+'14.09.68'!K57+'15.09.68'!K57+'16.09.68'!K57+'17.09.68'!K57+'18.09.68'!K57+'19.09.68'!K57+'20.09.68'!K57+'21.09.68'!K57+'22.09.68'!K57+'23.09.68'!K57+'24.09.68'!K57+'25.09.68'!K57+'26.09.68'!K57+'27.09.68'!K57+'28.09.68'!K57+'29.09.68'!K57+'30.09.68'!K57</f>
        <v>0</v>
      </c>
      <c r="L57" s="65">
        <f t="shared" si="2"/>
        <v>27</v>
      </c>
      <c r="M57" s="52">
        <f>+'01.09.68'!M57+'02.09.68'!M57+'03.09.68'!M57+'04.09.68'!M57+'05.09.68'!M57+'06.09.68'!M57+'07.09.68'!M57+'08.09.68'!M57+'09.09.68'!M57+'10.09.68'!M57+'11.09.68'!M57+'12.09.68'!M57+'13.09.68'!M57+'14.09.68'!M57+'15.09.68'!M57+'16.09.68'!M57+'17.09.68'!M57+'18.09.68'!M57+'19.09.68'!M57+'20.09.68'!M57+'21.09.68'!M57+'22.09.68'!M57+'23.09.68'!M57+'24.09.68'!M57+'25.09.68'!M57+'26.09.68'!M57+'27.09.68'!M57+'28.09.68'!M57+'29.09.68'!M57+'30.09.68'!M57</f>
        <v>925</v>
      </c>
      <c r="N57" s="52">
        <f>+'01.09.68'!N57+'02.09.68'!N57+'03.09.68'!N57+'04.09.68'!N57+'05.09.68'!N57+'06.09.68'!N57+'07.09.68'!N57+'08.09.68'!N57+'09.09.68'!N57+'10.09.68'!N57+'11.09.68'!N57+'12.09.68'!N57+'13.09.68'!N57+'14.09.68'!N57+'15.09.68'!N57+'16.09.68'!N57+'17.09.68'!N57+'18.09.68'!N57+'19.09.68'!N57+'20.09.68'!N57+'21.09.68'!N57+'22.09.68'!N57+'23.09.68'!N57+'24.09.68'!N57+'25.09.68'!N57+'26.09.68'!N57+'27.09.68'!N57+'28.09.68'!N57+'29.09.68'!N57+'30.09.68'!N57</f>
        <v>0</v>
      </c>
      <c r="O57" s="65">
        <f t="shared" si="3"/>
        <v>925</v>
      </c>
      <c r="P57" s="52">
        <f>+'01.09.68'!P57+'02.09.68'!P57+'03.09.68'!P57+'04.09.68'!P57+'05.09.68'!P57+'06.09.68'!P57+'07.09.68'!P57+'08.09.68'!P57+'09.09.68'!P57+'10.09.68'!P57+'11.09.68'!P57+'12.09.68'!P57+'13.09.68'!P57+'14.09.68'!P57+'15.09.68'!P57+'16.09.68'!P57+'17.09.68'!P57+'18.09.68'!P57+'19.09.68'!P57+'20.09.68'!P57+'21.09.68'!P57+'22.09.68'!P57+'23.09.68'!P57+'24.09.68'!P57+'25.09.68'!P57+'26.09.68'!P57+'27.09.68'!P57+'28.09.68'!P57+'29.09.68'!P57+'30.09.68'!P57</f>
        <v>107</v>
      </c>
      <c r="Q57" s="52">
        <f>+'01.09.68'!Q57+'02.09.68'!Q57+'03.09.68'!Q57+'04.09.68'!Q57+'05.09.68'!Q57+'06.09.68'!Q57+'07.09.68'!Q57+'08.09.68'!Q57+'09.09.68'!Q57+'10.09.68'!Q57+'11.09.68'!Q57+'12.09.68'!Q57+'13.09.68'!Q57+'14.09.68'!Q57+'15.09.68'!Q57+'16.09.68'!Q57+'17.09.68'!Q57+'18.09.68'!Q57+'19.09.68'!Q57+'20.09.68'!Q57+'21.09.68'!Q57+'22.09.68'!Q57+'23.09.68'!Q57+'24.09.68'!Q57+'25.09.68'!Q57+'26.09.68'!Q57+'27.09.68'!Q57+'28.09.68'!Q57+'29.09.68'!Q57+'30.09.68'!Q57</f>
        <v>0</v>
      </c>
      <c r="R57" s="65">
        <f t="shared" si="4"/>
        <v>107</v>
      </c>
      <c r="S57" s="52">
        <f>+'01.09.68'!S57+'02.09.68'!S57+'03.09.68'!S57+'04.09.68'!S57+'05.09.68'!S57+'06.09.68'!S57+'07.09.68'!S57+'08.09.68'!S57+'09.09.68'!S57+'10.09.68'!S57+'11.09.68'!S57+'12.09.68'!S57+'13.09.68'!S57+'14.09.68'!S57+'15.09.68'!S57+'16.09.68'!S57+'17.09.68'!S57+'18.09.68'!S57+'19.09.68'!S57+'20.09.68'!S57+'21.09.68'!S57+'22.09.68'!S57+'23.09.68'!S57+'24.09.68'!S57+'25.09.68'!S57+'26.09.68'!S57+'27.09.68'!S57+'28.09.68'!S57+'29.09.68'!S57+'30.09.68'!S57</f>
        <v>0</v>
      </c>
      <c r="T57" s="52">
        <f>+'01.09.68'!T57+'02.09.68'!T57+'03.09.68'!T57+'04.09.68'!T57+'05.09.68'!T57+'06.09.68'!T57+'07.09.68'!T57+'08.09.68'!T57+'09.09.68'!T57+'10.09.68'!T57+'11.09.68'!T57+'12.09.68'!T57+'13.09.68'!T57+'14.09.68'!T57+'15.09.68'!T57+'16.09.68'!T57+'17.09.68'!T57+'18.09.68'!T57+'19.09.68'!T57+'20.09.68'!T57+'21.09.68'!T57+'22.09.68'!T57+'23.09.68'!T57+'24.09.68'!T57+'25.09.68'!T57+'26.09.68'!T57+'27.09.68'!T57+'28.09.68'!T57+'29.09.68'!T57+'30.09.68'!T57</f>
        <v>0</v>
      </c>
      <c r="U57" s="65">
        <f t="shared" si="5"/>
        <v>0</v>
      </c>
      <c r="V57" s="52">
        <f>+'01.09.68'!V57+'02.09.68'!V57+'03.09.68'!V57+'04.09.68'!V57+'05.09.68'!V57+'06.09.68'!V57+'07.09.68'!V57+'08.09.68'!V57+'09.09.68'!V57+'10.09.68'!V57+'11.09.68'!V57+'12.09.68'!V57+'13.09.68'!V57+'14.09.68'!V57+'15.09.68'!V57+'16.09.68'!V57+'17.09.68'!V57+'18.09.68'!V57+'19.09.68'!V57+'20.09.68'!V57+'21.09.68'!V57+'22.09.68'!V57+'23.09.68'!V57+'24.09.68'!V57+'25.09.68'!V57+'26.09.68'!V57+'27.09.68'!V57+'28.09.68'!V57+'29.09.68'!V57+'30.09.68'!V57</f>
        <v>0</v>
      </c>
      <c r="W57" s="52">
        <f>+'01.09.68'!W57+'02.09.68'!W57+'03.09.68'!W57+'04.09.68'!W57+'05.09.68'!W57+'06.09.68'!W57+'07.09.68'!W57+'08.09.68'!W57+'09.09.68'!W57+'10.09.68'!W57+'11.09.68'!W57+'12.09.68'!W57+'13.09.68'!W57+'14.09.68'!W57+'15.09.68'!W57+'16.09.68'!W57+'17.09.68'!W57+'18.09.68'!W57+'19.09.68'!W57+'20.09.68'!W57+'21.09.68'!W57+'22.09.68'!W57+'23.09.68'!W57+'24.09.68'!W57+'25.09.68'!W57+'26.09.68'!W57+'27.09.68'!W57+'28.09.68'!W57+'29.09.68'!W57+'30.09.68'!W57</f>
        <v>0</v>
      </c>
      <c r="X57" s="65">
        <f t="shared" si="6"/>
        <v>0</v>
      </c>
      <c r="Y57" s="52">
        <f>+'01.09.68'!Y57+'02.09.68'!Y57+'03.09.68'!Y57+'04.09.68'!Y57+'05.09.68'!Y57+'06.09.68'!Y57+'07.09.68'!Y57+'08.09.68'!Y57+'09.09.68'!Y57+'10.09.68'!Y57+'11.09.68'!Y57+'12.09.68'!Y57+'13.09.68'!Y57+'14.09.68'!Y57+'15.09.68'!Y57+'16.09.68'!Y57+'17.09.68'!Y57+'18.09.68'!Y57+'19.09.68'!Y57+'20.09.68'!Y57+'21.09.68'!Y57+'22.09.68'!Y57+'23.09.68'!Y57+'24.09.68'!Y57+'25.09.68'!Y57+'26.09.68'!Y57+'27.09.68'!Y57+'28.09.68'!Y57+'29.09.68'!Y57+'30.09.68'!Y57</f>
        <v>39</v>
      </c>
      <c r="Z57" s="66">
        <f t="shared" si="7"/>
        <v>1514</v>
      </c>
    </row>
    <row r="58" spans="2:26">
      <c r="B58" s="50">
        <v>1112010</v>
      </c>
      <c r="C58" s="51" t="s">
        <v>179</v>
      </c>
      <c r="D58" s="52">
        <f>+'01.09.68'!D58+'02.09.68'!D58+'03.09.68'!D58+'04.09.68'!D58+'05.09.68'!D58+'06.09.68'!D58+'07.09.68'!D58+'08.09.68'!D58+'09.09.68'!D58+'10.09.68'!D58+'11.09.68'!D58+'12.09.68'!D58+'13.09.68'!D58+'14.09.68'!D58+'15.09.68'!D58+'16.09.68'!D58+'17.09.68'!D58+'18.09.68'!D58+'19.09.68'!D58+'20.09.68'!D58+'21.09.68'!D58+'22.09.68'!D58+'23.09.68'!D58+'24.09.68'!D58+'25.09.68'!D58+'26.09.68'!D58+'27.09.68'!D58+'28.09.68'!D58+'29.09.68'!D58+'30.09.68'!D58</f>
        <v>0</v>
      </c>
      <c r="E58" s="52">
        <f>+'01.09.68'!E58+'02.09.68'!E58+'03.09.68'!E58+'04.09.68'!E58+'05.09.68'!E58+'06.09.68'!E58+'07.09.68'!E58+'08.09.68'!E58+'09.09.68'!E58+'10.09.68'!E58+'11.09.68'!E58+'12.09.68'!E58+'13.09.68'!E58+'14.09.68'!E58+'15.09.68'!E58+'16.09.68'!E58+'17.09.68'!E58+'18.09.68'!E58+'19.09.68'!E58+'20.09.68'!E58+'21.09.68'!E58+'22.09.68'!E58+'23.09.68'!E58+'24.09.68'!E58+'25.09.68'!E58+'26.09.68'!E58+'27.09.68'!E58+'28.09.68'!E58+'29.09.68'!E58+'30.09.68'!E58</f>
        <v>0</v>
      </c>
      <c r="F58" s="65">
        <f t="shared" si="0"/>
        <v>0</v>
      </c>
      <c r="G58" s="52">
        <f>+'01.09.68'!G58+'02.09.68'!G58+'03.09.68'!G58+'04.09.68'!G58+'05.09.68'!G58+'06.09.68'!G58+'07.09.68'!G58+'08.09.68'!G58+'09.09.68'!G58+'10.09.68'!G58+'11.09.68'!G58+'12.09.68'!G58+'13.09.68'!G58+'14.09.68'!G58+'15.09.68'!G58+'16.09.68'!G58+'17.09.68'!G58+'18.09.68'!G58+'19.09.68'!G58+'20.09.68'!G58+'21.09.68'!G58+'22.09.68'!G58+'23.09.68'!G58+'24.09.68'!G58+'25.09.68'!G58+'26.09.68'!G58+'27.09.68'!G58+'28.09.68'!G58+'29.09.68'!G58+'30.09.68'!G58</f>
        <v>0</v>
      </c>
      <c r="H58" s="52">
        <f>+'01.09.68'!H58+'02.09.68'!H58+'03.09.68'!H58+'04.09.68'!H58+'05.09.68'!H58+'06.09.68'!H58+'07.09.68'!H58+'08.09.68'!H58+'09.09.68'!H58+'10.09.68'!H58+'11.09.68'!H58+'12.09.68'!H58+'13.09.68'!H58+'14.09.68'!H58+'15.09.68'!H58+'16.09.68'!H58+'17.09.68'!H58+'18.09.68'!H58+'19.09.68'!H58+'20.09.68'!H58+'21.09.68'!H58+'22.09.68'!H58+'23.09.68'!H58+'24.09.68'!H58+'25.09.68'!H58+'26.09.68'!H58+'27.09.68'!H58+'28.09.68'!H58+'29.09.68'!H58+'30.09.68'!H58</f>
        <v>0</v>
      </c>
      <c r="I58" s="65">
        <f t="shared" si="1"/>
        <v>0</v>
      </c>
      <c r="J58" s="52">
        <f>+'01.09.68'!J58+'02.09.68'!J58+'03.09.68'!J58+'04.09.68'!J58+'05.09.68'!J58+'06.09.68'!J58+'07.09.68'!J58+'08.09.68'!J58+'09.09.68'!J58+'10.09.68'!J58+'11.09.68'!J58+'12.09.68'!J58+'13.09.68'!J58+'14.09.68'!J58+'15.09.68'!J58+'16.09.68'!J58+'17.09.68'!J58+'18.09.68'!J58+'19.09.68'!J58+'20.09.68'!J58+'21.09.68'!J58+'22.09.68'!J58+'23.09.68'!J58+'24.09.68'!J58+'25.09.68'!J58+'26.09.68'!J58+'27.09.68'!J58+'28.09.68'!J58+'29.09.68'!J58+'30.09.68'!J58</f>
        <v>0</v>
      </c>
      <c r="K58" s="52">
        <f>+'01.09.68'!K58+'02.09.68'!K58+'03.09.68'!K58+'04.09.68'!K58+'05.09.68'!K58+'06.09.68'!K58+'07.09.68'!K58+'08.09.68'!K58+'09.09.68'!K58+'10.09.68'!K58+'11.09.68'!K58+'12.09.68'!K58+'13.09.68'!K58+'14.09.68'!K58+'15.09.68'!K58+'16.09.68'!K58+'17.09.68'!K58+'18.09.68'!K58+'19.09.68'!K58+'20.09.68'!K58+'21.09.68'!K58+'22.09.68'!K58+'23.09.68'!K58+'24.09.68'!K58+'25.09.68'!K58+'26.09.68'!K58+'27.09.68'!K58+'28.09.68'!K58+'29.09.68'!K58+'30.09.68'!K58</f>
        <v>0</v>
      </c>
      <c r="L58" s="65">
        <f t="shared" si="2"/>
        <v>0</v>
      </c>
      <c r="M58" s="52">
        <f>+'01.09.68'!M58+'02.09.68'!M58+'03.09.68'!M58+'04.09.68'!M58+'05.09.68'!M58+'06.09.68'!M58+'07.09.68'!M58+'08.09.68'!M58+'09.09.68'!M58+'10.09.68'!M58+'11.09.68'!M58+'12.09.68'!M58+'13.09.68'!M58+'14.09.68'!M58+'15.09.68'!M58+'16.09.68'!M58+'17.09.68'!M58+'18.09.68'!M58+'19.09.68'!M58+'20.09.68'!M58+'21.09.68'!M58+'22.09.68'!M58+'23.09.68'!M58+'24.09.68'!M58+'25.09.68'!M58+'26.09.68'!M58+'27.09.68'!M58+'28.09.68'!M58+'29.09.68'!M58+'30.09.68'!M58</f>
        <v>0</v>
      </c>
      <c r="N58" s="52">
        <f>+'01.09.68'!N58+'02.09.68'!N58+'03.09.68'!N58+'04.09.68'!N58+'05.09.68'!N58+'06.09.68'!N58+'07.09.68'!N58+'08.09.68'!N58+'09.09.68'!N58+'10.09.68'!N58+'11.09.68'!N58+'12.09.68'!N58+'13.09.68'!N58+'14.09.68'!N58+'15.09.68'!N58+'16.09.68'!N58+'17.09.68'!N58+'18.09.68'!N58+'19.09.68'!N58+'20.09.68'!N58+'21.09.68'!N58+'22.09.68'!N58+'23.09.68'!N58+'24.09.68'!N58+'25.09.68'!N58+'26.09.68'!N58+'27.09.68'!N58+'28.09.68'!N58+'29.09.68'!N58+'30.09.68'!N58</f>
        <v>0</v>
      </c>
      <c r="O58" s="65">
        <f t="shared" si="3"/>
        <v>0</v>
      </c>
      <c r="P58" s="52">
        <f>+'01.09.68'!P58+'02.09.68'!P58+'03.09.68'!P58+'04.09.68'!P58+'05.09.68'!P58+'06.09.68'!P58+'07.09.68'!P58+'08.09.68'!P58+'09.09.68'!P58+'10.09.68'!P58+'11.09.68'!P58+'12.09.68'!P58+'13.09.68'!P58+'14.09.68'!P58+'15.09.68'!P58+'16.09.68'!P58+'17.09.68'!P58+'18.09.68'!P58+'19.09.68'!P58+'20.09.68'!P58+'21.09.68'!P58+'22.09.68'!P58+'23.09.68'!P58+'24.09.68'!P58+'25.09.68'!P58+'26.09.68'!P58+'27.09.68'!P58+'28.09.68'!P58+'29.09.68'!P58+'30.09.68'!P58</f>
        <v>0</v>
      </c>
      <c r="Q58" s="52">
        <f>+'01.09.68'!Q58+'02.09.68'!Q58+'03.09.68'!Q58+'04.09.68'!Q58+'05.09.68'!Q58+'06.09.68'!Q58+'07.09.68'!Q58+'08.09.68'!Q58+'09.09.68'!Q58+'10.09.68'!Q58+'11.09.68'!Q58+'12.09.68'!Q58+'13.09.68'!Q58+'14.09.68'!Q58+'15.09.68'!Q58+'16.09.68'!Q58+'17.09.68'!Q58+'18.09.68'!Q58+'19.09.68'!Q58+'20.09.68'!Q58+'21.09.68'!Q58+'22.09.68'!Q58+'23.09.68'!Q58+'24.09.68'!Q58+'25.09.68'!Q58+'26.09.68'!Q58+'27.09.68'!Q58+'28.09.68'!Q58+'29.09.68'!Q58+'30.09.68'!Q58</f>
        <v>0</v>
      </c>
      <c r="R58" s="65">
        <f t="shared" si="4"/>
        <v>0</v>
      </c>
      <c r="S58" s="52">
        <f>+'01.09.68'!S58+'02.09.68'!S58+'03.09.68'!S58+'04.09.68'!S58+'05.09.68'!S58+'06.09.68'!S58+'07.09.68'!S58+'08.09.68'!S58+'09.09.68'!S58+'10.09.68'!S58+'11.09.68'!S58+'12.09.68'!S58+'13.09.68'!S58+'14.09.68'!S58+'15.09.68'!S58+'16.09.68'!S58+'17.09.68'!S58+'18.09.68'!S58+'19.09.68'!S58+'20.09.68'!S58+'21.09.68'!S58+'22.09.68'!S58+'23.09.68'!S58+'24.09.68'!S58+'25.09.68'!S58+'26.09.68'!S58+'27.09.68'!S58+'28.09.68'!S58+'29.09.68'!S58+'30.09.68'!S58</f>
        <v>0</v>
      </c>
      <c r="T58" s="52">
        <f>+'01.09.68'!T58+'02.09.68'!T58+'03.09.68'!T58+'04.09.68'!T58+'05.09.68'!T58+'06.09.68'!T58+'07.09.68'!T58+'08.09.68'!T58+'09.09.68'!T58+'10.09.68'!T58+'11.09.68'!T58+'12.09.68'!T58+'13.09.68'!T58+'14.09.68'!T58+'15.09.68'!T58+'16.09.68'!T58+'17.09.68'!T58+'18.09.68'!T58+'19.09.68'!T58+'20.09.68'!T58+'21.09.68'!T58+'22.09.68'!T58+'23.09.68'!T58+'24.09.68'!T58+'25.09.68'!T58+'26.09.68'!T58+'27.09.68'!T58+'28.09.68'!T58+'29.09.68'!T58+'30.09.68'!T58</f>
        <v>0</v>
      </c>
      <c r="U58" s="65">
        <f t="shared" si="5"/>
        <v>0</v>
      </c>
      <c r="V58" s="52">
        <f>+'01.09.68'!V58+'02.09.68'!V58+'03.09.68'!V58+'04.09.68'!V58+'05.09.68'!V58+'06.09.68'!V58+'07.09.68'!V58+'08.09.68'!V58+'09.09.68'!V58+'10.09.68'!V58+'11.09.68'!V58+'12.09.68'!V58+'13.09.68'!V58+'14.09.68'!V58+'15.09.68'!V58+'16.09.68'!V58+'17.09.68'!V58+'18.09.68'!V58+'19.09.68'!V58+'20.09.68'!V58+'21.09.68'!V58+'22.09.68'!V58+'23.09.68'!V58+'24.09.68'!V58+'25.09.68'!V58+'26.09.68'!V58+'27.09.68'!V58+'28.09.68'!V58+'29.09.68'!V58+'30.09.68'!V58</f>
        <v>0</v>
      </c>
      <c r="W58" s="52">
        <f>+'01.09.68'!W58+'02.09.68'!W58+'03.09.68'!W58+'04.09.68'!W58+'05.09.68'!W58+'06.09.68'!W58+'07.09.68'!W58+'08.09.68'!W58+'09.09.68'!W58+'10.09.68'!W58+'11.09.68'!W58+'12.09.68'!W58+'13.09.68'!W58+'14.09.68'!W58+'15.09.68'!W58+'16.09.68'!W58+'17.09.68'!W58+'18.09.68'!W58+'19.09.68'!W58+'20.09.68'!W58+'21.09.68'!W58+'22.09.68'!W58+'23.09.68'!W58+'24.09.68'!W58+'25.09.68'!W58+'26.09.68'!W58+'27.09.68'!W58+'28.09.68'!W58+'29.09.68'!W58+'30.09.68'!W58</f>
        <v>0</v>
      </c>
      <c r="X58" s="65">
        <f t="shared" si="6"/>
        <v>0</v>
      </c>
      <c r="Y58" s="52">
        <f>+'01.09.68'!Y58+'02.09.68'!Y58+'03.09.68'!Y58+'04.09.68'!Y58+'05.09.68'!Y58+'06.09.68'!Y58+'07.09.68'!Y58+'08.09.68'!Y58+'09.09.68'!Y58+'10.09.68'!Y58+'11.09.68'!Y58+'12.09.68'!Y58+'13.09.68'!Y58+'14.09.68'!Y58+'15.09.68'!Y58+'16.09.68'!Y58+'17.09.68'!Y58+'18.09.68'!Y58+'19.09.68'!Y58+'20.09.68'!Y58+'21.09.68'!Y58+'22.09.68'!Y58+'23.09.68'!Y58+'24.09.68'!Y58+'25.09.68'!Y58+'26.09.68'!Y58+'27.09.68'!Y58+'28.09.68'!Y58+'29.09.68'!Y58+'30.09.68'!Y58</f>
        <v>20</v>
      </c>
      <c r="Z58" s="66">
        <f t="shared" si="7"/>
        <v>20</v>
      </c>
    </row>
    <row r="59" spans="2:26">
      <c r="B59" s="50">
        <v>1112011</v>
      </c>
      <c r="C59" s="51" t="s">
        <v>180</v>
      </c>
      <c r="D59" s="52">
        <f>+'01.09.68'!D59+'02.09.68'!D59+'03.09.68'!D59+'04.09.68'!D59+'05.09.68'!D59+'06.09.68'!D59+'07.09.68'!D59+'08.09.68'!D59+'09.09.68'!D59+'10.09.68'!D59+'11.09.68'!D59+'12.09.68'!D59+'13.09.68'!D59+'14.09.68'!D59+'15.09.68'!D59+'16.09.68'!D59+'17.09.68'!D59+'18.09.68'!D59+'19.09.68'!D59+'20.09.68'!D59+'21.09.68'!D59+'22.09.68'!D59+'23.09.68'!D59+'24.09.68'!D59+'25.09.68'!D59+'26.09.68'!D59+'27.09.68'!D59+'28.09.68'!D59+'29.09.68'!D59+'30.09.68'!D59</f>
        <v>359</v>
      </c>
      <c r="E59" s="52">
        <f>+'01.09.68'!E59+'02.09.68'!E59+'03.09.68'!E59+'04.09.68'!E59+'05.09.68'!E59+'06.09.68'!E59+'07.09.68'!E59+'08.09.68'!E59+'09.09.68'!E59+'10.09.68'!E59+'11.09.68'!E59+'12.09.68'!E59+'13.09.68'!E59+'14.09.68'!E59+'15.09.68'!E59+'16.09.68'!E59+'17.09.68'!E59+'18.09.68'!E59+'19.09.68'!E59+'20.09.68'!E59+'21.09.68'!E59+'22.09.68'!E59+'23.09.68'!E59+'24.09.68'!E59+'25.09.68'!E59+'26.09.68'!E59+'27.09.68'!E59+'28.09.68'!E59+'29.09.68'!E59+'30.09.68'!E59</f>
        <v>27</v>
      </c>
      <c r="F59" s="65">
        <f t="shared" si="0"/>
        <v>386</v>
      </c>
      <c r="G59" s="52">
        <f>+'01.09.68'!G59+'02.09.68'!G59+'03.09.68'!G59+'04.09.68'!G59+'05.09.68'!G59+'06.09.68'!G59+'07.09.68'!G59+'08.09.68'!G59+'09.09.68'!G59+'10.09.68'!G59+'11.09.68'!G59+'12.09.68'!G59+'13.09.68'!G59+'14.09.68'!G59+'15.09.68'!G59+'16.09.68'!G59+'17.09.68'!G59+'18.09.68'!G59+'19.09.68'!G59+'20.09.68'!G59+'21.09.68'!G59+'22.09.68'!G59+'23.09.68'!G59+'24.09.68'!G59+'25.09.68'!G59+'26.09.68'!G59+'27.09.68'!G59+'28.09.68'!G59+'29.09.68'!G59+'30.09.68'!G59</f>
        <v>34</v>
      </c>
      <c r="H59" s="52">
        <f>+'01.09.68'!H59+'02.09.68'!H59+'03.09.68'!H59+'04.09.68'!H59+'05.09.68'!H59+'06.09.68'!H59+'07.09.68'!H59+'08.09.68'!H59+'09.09.68'!H59+'10.09.68'!H59+'11.09.68'!H59+'12.09.68'!H59+'13.09.68'!H59+'14.09.68'!H59+'15.09.68'!H59+'16.09.68'!H59+'17.09.68'!H59+'18.09.68'!H59+'19.09.68'!H59+'20.09.68'!H59+'21.09.68'!H59+'22.09.68'!H59+'23.09.68'!H59+'24.09.68'!H59+'25.09.68'!H59+'26.09.68'!H59+'27.09.68'!H59+'28.09.68'!H59+'29.09.68'!H59+'30.09.68'!H59</f>
        <v>0</v>
      </c>
      <c r="I59" s="65">
        <f t="shared" si="1"/>
        <v>34</v>
      </c>
      <c r="J59" s="52">
        <f>+'01.09.68'!J59+'02.09.68'!J59+'03.09.68'!J59+'04.09.68'!J59+'05.09.68'!J59+'06.09.68'!J59+'07.09.68'!J59+'08.09.68'!J59+'09.09.68'!J59+'10.09.68'!J59+'11.09.68'!J59+'12.09.68'!J59+'13.09.68'!J59+'14.09.68'!J59+'15.09.68'!J59+'16.09.68'!J59+'17.09.68'!J59+'18.09.68'!J59+'19.09.68'!J59+'20.09.68'!J59+'21.09.68'!J59+'22.09.68'!J59+'23.09.68'!J59+'24.09.68'!J59+'25.09.68'!J59+'26.09.68'!J59+'27.09.68'!J59+'28.09.68'!J59+'29.09.68'!J59+'30.09.68'!J59</f>
        <v>132</v>
      </c>
      <c r="K59" s="52">
        <f>+'01.09.68'!K59+'02.09.68'!K59+'03.09.68'!K59+'04.09.68'!K59+'05.09.68'!K59+'06.09.68'!K59+'07.09.68'!K59+'08.09.68'!K59+'09.09.68'!K59+'10.09.68'!K59+'11.09.68'!K59+'12.09.68'!K59+'13.09.68'!K59+'14.09.68'!K59+'15.09.68'!K59+'16.09.68'!K59+'17.09.68'!K59+'18.09.68'!K59+'19.09.68'!K59+'20.09.68'!K59+'21.09.68'!K59+'22.09.68'!K59+'23.09.68'!K59+'24.09.68'!K59+'25.09.68'!K59+'26.09.68'!K59+'27.09.68'!K59+'28.09.68'!K59+'29.09.68'!K59+'30.09.68'!K59</f>
        <v>0</v>
      </c>
      <c r="L59" s="65">
        <f t="shared" si="2"/>
        <v>132</v>
      </c>
      <c r="M59" s="52">
        <f>+'01.09.68'!M59+'02.09.68'!M59+'03.09.68'!M59+'04.09.68'!M59+'05.09.68'!M59+'06.09.68'!M59+'07.09.68'!M59+'08.09.68'!M59+'09.09.68'!M59+'10.09.68'!M59+'11.09.68'!M59+'12.09.68'!M59+'13.09.68'!M59+'14.09.68'!M59+'15.09.68'!M59+'16.09.68'!M59+'17.09.68'!M59+'18.09.68'!M59+'19.09.68'!M59+'20.09.68'!M59+'21.09.68'!M59+'22.09.68'!M59+'23.09.68'!M59+'24.09.68'!M59+'25.09.68'!M59+'26.09.68'!M59+'27.09.68'!M59+'28.09.68'!M59+'29.09.68'!M59+'30.09.68'!M59</f>
        <v>923</v>
      </c>
      <c r="N59" s="52">
        <f>+'01.09.68'!N59+'02.09.68'!N59+'03.09.68'!N59+'04.09.68'!N59+'05.09.68'!N59+'06.09.68'!N59+'07.09.68'!N59+'08.09.68'!N59+'09.09.68'!N59+'10.09.68'!N59+'11.09.68'!N59+'12.09.68'!N59+'13.09.68'!N59+'14.09.68'!N59+'15.09.68'!N59+'16.09.68'!N59+'17.09.68'!N59+'18.09.68'!N59+'19.09.68'!N59+'20.09.68'!N59+'21.09.68'!N59+'22.09.68'!N59+'23.09.68'!N59+'24.09.68'!N59+'25.09.68'!N59+'26.09.68'!N59+'27.09.68'!N59+'28.09.68'!N59+'29.09.68'!N59+'30.09.68'!N59</f>
        <v>0</v>
      </c>
      <c r="O59" s="65">
        <f t="shared" si="3"/>
        <v>923</v>
      </c>
      <c r="P59" s="52">
        <f>+'01.09.68'!P59+'02.09.68'!P59+'03.09.68'!P59+'04.09.68'!P59+'05.09.68'!P59+'06.09.68'!P59+'07.09.68'!P59+'08.09.68'!P59+'09.09.68'!P59+'10.09.68'!P59+'11.09.68'!P59+'12.09.68'!P59+'13.09.68'!P59+'14.09.68'!P59+'15.09.68'!P59+'16.09.68'!P59+'17.09.68'!P59+'18.09.68'!P59+'19.09.68'!P59+'20.09.68'!P59+'21.09.68'!P59+'22.09.68'!P59+'23.09.68'!P59+'24.09.68'!P59+'25.09.68'!P59+'26.09.68'!P59+'27.09.68'!P59+'28.09.68'!P59+'29.09.68'!P59+'30.09.68'!P59</f>
        <v>103</v>
      </c>
      <c r="Q59" s="52">
        <f>+'01.09.68'!Q59+'02.09.68'!Q59+'03.09.68'!Q59+'04.09.68'!Q59+'05.09.68'!Q59+'06.09.68'!Q59+'07.09.68'!Q59+'08.09.68'!Q59+'09.09.68'!Q59+'10.09.68'!Q59+'11.09.68'!Q59+'12.09.68'!Q59+'13.09.68'!Q59+'14.09.68'!Q59+'15.09.68'!Q59+'16.09.68'!Q59+'17.09.68'!Q59+'18.09.68'!Q59+'19.09.68'!Q59+'20.09.68'!Q59+'21.09.68'!Q59+'22.09.68'!Q59+'23.09.68'!Q59+'24.09.68'!Q59+'25.09.68'!Q59+'26.09.68'!Q59+'27.09.68'!Q59+'28.09.68'!Q59+'29.09.68'!Q59+'30.09.68'!Q59</f>
        <v>0</v>
      </c>
      <c r="R59" s="65">
        <f t="shared" si="4"/>
        <v>103</v>
      </c>
      <c r="S59" s="52">
        <f>+'01.09.68'!S59+'02.09.68'!S59+'03.09.68'!S59+'04.09.68'!S59+'05.09.68'!S59+'06.09.68'!S59+'07.09.68'!S59+'08.09.68'!S59+'09.09.68'!S59+'10.09.68'!S59+'11.09.68'!S59+'12.09.68'!S59+'13.09.68'!S59+'14.09.68'!S59+'15.09.68'!S59+'16.09.68'!S59+'17.09.68'!S59+'18.09.68'!S59+'19.09.68'!S59+'20.09.68'!S59+'21.09.68'!S59+'22.09.68'!S59+'23.09.68'!S59+'24.09.68'!S59+'25.09.68'!S59+'26.09.68'!S59+'27.09.68'!S59+'28.09.68'!S59+'29.09.68'!S59+'30.09.68'!S59</f>
        <v>0</v>
      </c>
      <c r="T59" s="52">
        <f>+'01.09.68'!T59+'02.09.68'!T59+'03.09.68'!T59+'04.09.68'!T59+'05.09.68'!T59+'06.09.68'!T59+'07.09.68'!T59+'08.09.68'!T59+'09.09.68'!T59+'10.09.68'!T59+'11.09.68'!T59+'12.09.68'!T59+'13.09.68'!T59+'14.09.68'!T59+'15.09.68'!T59+'16.09.68'!T59+'17.09.68'!T59+'18.09.68'!T59+'19.09.68'!T59+'20.09.68'!T59+'21.09.68'!T59+'22.09.68'!T59+'23.09.68'!T59+'24.09.68'!T59+'25.09.68'!T59+'26.09.68'!T59+'27.09.68'!T59+'28.09.68'!T59+'29.09.68'!T59+'30.09.68'!T59</f>
        <v>0</v>
      </c>
      <c r="U59" s="65">
        <f t="shared" si="5"/>
        <v>0</v>
      </c>
      <c r="V59" s="52">
        <f>+'01.09.68'!V59+'02.09.68'!V59+'03.09.68'!V59+'04.09.68'!V59+'05.09.68'!V59+'06.09.68'!V59+'07.09.68'!V59+'08.09.68'!V59+'09.09.68'!V59+'10.09.68'!V59+'11.09.68'!V59+'12.09.68'!V59+'13.09.68'!V59+'14.09.68'!V59+'15.09.68'!V59+'16.09.68'!V59+'17.09.68'!V59+'18.09.68'!V59+'19.09.68'!V59+'20.09.68'!V59+'21.09.68'!V59+'22.09.68'!V59+'23.09.68'!V59+'24.09.68'!V59+'25.09.68'!V59+'26.09.68'!V59+'27.09.68'!V59+'28.09.68'!V59+'29.09.68'!V59+'30.09.68'!V59</f>
        <v>0</v>
      </c>
      <c r="W59" s="52">
        <f>+'01.09.68'!W59+'02.09.68'!W59+'03.09.68'!W59+'04.09.68'!W59+'05.09.68'!W59+'06.09.68'!W59+'07.09.68'!W59+'08.09.68'!W59+'09.09.68'!W59+'10.09.68'!W59+'11.09.68'!W59+'12.09.68'!W59+'13.09.68'!W59+'14.09.68'!W59+'15.09.68'!W59+'16.09.68'!W59+'17.09.68'!W59+'18.09.68'!W59+'19.09.68'!W59+'20.09.68'!W59+'21.09.68'!W59+'22.09.68'!W59+'23.09.68'!W59+'24.09.68'!W59+'25.09.68'!W59+'26.09.68'!W59+'27.09.68'!W59+'28.09.68'!W59+'29.09.68'!W59+'30.09.68'!W59</f>
        <v>0</v>
      </c>
      <c r="X59" s="65">
        <f t="shared" si="6"/>
        <v>0</v>
      </c>
      <c r="Y59" s="52">
        <f>+'01.09.68'!Y59+'02.09.68'!Y59+'03.09.68'!Y59+'04.09.68'!Y59+'05.09.68'!Y59+'06.09.68'!Y59+'07.09.68'!Y59+'08.09.68'!Y59+'09.09.68'!Y59+'10.09.68'!Y59+'11.09.68'!Y59+'12.09.68'!Y59+'13.09.68'!Y59+'14.09.68'!Y59+'15.09.68'!Y59+'16.09.68'!Y59+'17.09.68'!Y59+'18.09.68'!Y59+'19.09.68'!Y59+'20.09.68'!Y59+'21.09.68'!Y59+'22.09.68'!Y59+'23.09.68'!Y59+'24.09.68'!Y59+'25.09.68'!Y59+'26.09.68'!Y59+'27.09.68'!Y59+'28.09.68'!Y59+'29.09.68'!Y59+'30.09.68'!Y59</f>
        <v>35</v>
      </c>
      <c r="Z59" s="66">
        <f t="shared" si="7"/>
        <v>1613</v>
      </c>
    </row>
    <row r="60" spans="2:26">
      <c r="B60" s="50">
        <v>1112012</v>
      </c>
      <c r="C60" s="51" t="s">
        <v>181</v>
      </c>
      <c r="D60" s="52">
        <f>+'01.09.68'!D60+'02.09.68'!D60+'03.09.68'!D60+'04.09.68'!D60+'05.09.68'!D60+'06.09.68'!D60+'07.09.68'!D60+'08.09.68'!D60+'09.09.68'!D60+'10.09.68'!D60+'11.09.68'!D60+'12.09.68'!D60+'13.09.68'!D60+'14.09.68'!D60+'15.09.68'!D60+'16.09.68'!D60+'17.09.68'!D60+'18.09.68'!D60+'19.09.68'!D60+'20.09.68'!D60+'21.09.68'!D60+'22.09.68'!D60+'23.09.68'!D60+'24.09.68'!D60+'25.09.68'!D60+'26.09.68'!D60+'27.09.68'!D60+'28.09.68'!D60+'29.09.68'!D60+'30.09.68'!D60</f>
        <v>0</v>
      </c>
      <c r="E60" s="52">
        <f>+'01.09.68'!E60+'02.09.68'!E60+'03.09.68'!E60+'04.09.68'!E60+'05.09.68'!E60+'06.09.68'!E60+'07.09.68'!E60+'08.09.68'!E60+'09.09.68'!E60+'10.09.68'!E60+'11.09.68'!E60+'12.09.68'!E60+'13.09.68'!E60+'14.09.68'!E60+'15.09.68'!E60+'16.09.68'!E60+'17.09.68'!E60+'18.09.68'!E60+'19.09.68'!E60+'20.09.68'!E60+'21.09.68'!E60+'22.09.68'!E60+'23.09.68'!E60+'24.09.68'!E60+'25.09.68'!E60+'26.09.68'!E60+'27.09.68'!E60+'28.09.68'!E60+'29.09.68'!E60+'30.09.68'!E60</f>
        <v>0</v>
      </c>
      <c r="F60" s="65">
        <f t="shared" si="0"/>
        <v>0</v>
      </c>
      <c r="G60" s="52">
        <f>+'01.09.68'!G60+'02.09.68'!G60+'03.09.68'!G60+'04.09.68'!G60+'05.09.68'!G60+'06.09.68'!G60+'07.09.68'!G60+'08.09.68'!G60+'09.09.68'!G60+'10.09.68'!G60+'11.09.68'!G60+'12.09.68'!G60+'13.09.68'!G60+'14.09.68'!G60+'15.09.68'!G60+'16.09.68'!G60+'17.09.68'!G60+'18.09.68'!G60+'19.09.68'!G60+'20.09.68'!G60+'21.09.68'!G60+'22.09.68'!G60+'23.09.68'!G60+'24.09.68'!G60+'25.09.68'!G60+'26.09.68'!G60+'27.09.68'!G60+'28.09.68'!G60+'29.09.68'!G60+'30.09.68'!G60</f>
        <v>0</v>
      </c>
      <c r="H60" s="52">
        <f>+'01.09.68'!H60+'02.09.68'!H60+'03.09.68'!H60+'04.09.68'!H60+'05.09.68'!H60+'06.09.68'!H60+'07.09.68'!H60+'08.09.68'!H60+'09.09.68'!H60+'10.09.68'!H60+'11.09.68'!H60+'12.09.68'!H60+'13.09.68'!H60+'14.09.68'!H60+'15.09.68'!H60+'16.09.68'!H60+'17.09.68'!H60+'18.09.68'!H60+'19.09.68'!H60+'20.09.68'!H60+'21.09.68'!H60+'22.09.68'!H60+'23.09.68'!H60+'24.09.68'!H60+'25.09.68'!H60+'26.09.68'!H60+'27.09.68'!H60+'28.09.68'!H60+'29.09.68'!H60+'30.09.68'!H60</f>
        <v>0</v>
      </c>
      <c r="I60" s="65">
        <f t="shared" si="1"/>
        <v>0</v>
      </c>
      <c r="J60" s="52">
        <f>+'01.09.68'!J60+'02.09.68'!J60+'03.09.68'!J60+'04.09.68'!J60+'05.09.68'!J60+'06.09.68'!J60+'07.09.68'!J60+'08.09.68'!J60+'09.09.68'!J60+'10.09.68'!J60+'11.09.68'!J60+'12.09.68'!J60+'13.09.68'!J60+'14.09.68'!J60+'15.09.68'!J60+'16.09.68'!J60+'17.09.68'!J60+'18.09.68'!J60+'19.09.68'!J60+'20.09.68'!J60+'21.09.68'!J60+'22.09.68'!J60+'23.09.68'!J60+'24.09.68'!J60+'25.09.68'!J60+'26.09.68'!J60+'27.09.68'!J60+'28.09.68'!J60+'29.09.68'!J60+'30.09.68'!J60</f>
        <v>0</v>
      </c>
      <c r="K60" s="52">
        <f>+'01.09.68'!K60+'02.09.68'!K60+'03.09.68'!K60+'04.09.68'!K60+'05.09.68'!K60+'06.09.68'!K60+'07.09.68'!K60+'08.09.68'!K60+'09.09.68'!K60+'10.09.68'!K60+'11.09.68'!K60+'12.09.68'!K60+'13.09.68'!K60+'14.09.68'!K60+'15.09.68'!K60+'16.09.68'!K60+'17.09.68'!K60+'18.09.68'!K60+'19.09.68'!K60+'20.09.68'!K60+'21.09.68'!K60+'22.09.68'!K60+'23.09.68'!K60+'24.09.68'!K60+'25.09.68'!K60+'26.09.68'!K60+'27.09.68'!K60+'28.09.68'!K60+'29.09.68'!K60+'30.09.68'!K60</f>
        <v>0</v>
      </c>
      <c r="L60" s="65">
        <f t="shared" si="2"/>
        <v>0</v>
      </c>
      <c r="M60" s="52">
        <f>+'01.09.68'!M60+'02.09.68'!M60+'03.09.68'!M60+'04.09.68'!M60+'05.09.68'!M60+'06.09.68'!M60+'07.09.68'!M60+'08.09.68'!M60+'09.09.68'!M60+'10.09.68'!M60+'11.09.68'!M60+'12.09.68'!M60+'13.09.68'!M60+'14.09.68'!M60+'15.09.68'!M60+'16.09.68'!M60+'17.09.68'!M60+'18.09.68'!M60+'19.09.68'!M60+'20.09.68'!M60+'21.09.68'!M60+'22.09.68'!M60+'23.09.68'!M60+'24.09.68'!M60+'25.09.68'!M60+'26.09.68'!M60+'27.09.68'!M60+'28.09.68'!M60+'29.09.68'!M60+'30.09.68'!M60</f>
        <v>0</v>
      </c>
      <c r="N60" s="52">
        <f>+'01.09.68'!N60+'02.09.68'!N60+'03.09.68'!N60+'04.09.68'!N60+'05.09.68'!N60+'06.09.68'!N60+'07.09.68'!N60+'08.09.68'!N60+'09.09.68'!N60+'10.09.68'!N60+'11.09.68'!N60+'12.09.68'!N60+'13.09.68'!N60+'14.09.68'!N60+'15.09.68'!N60+'16.09.68'!N60+'17.09.68'!N60+'18.09.68'!N60+'19.09.68'!N60+'20.09.68'!N60+'21.09.68'!N60+'22.09.68'!N60+'23.09.68'!N60+'24.09.68'!N60+'25.09.68'!N60+'26.09.68'!N60+'27.09.68'!N60+'28.09.68'!N60+'29.09.68'!N60+'30.09.68'!N60</f>
        <v>0</v>
      </c>
      <c r="O60" s="65">
        <f t="shared" si="3"/>
        <v>0</v>
      </c>
      <c r="P60" s="52">
        <f>+'01.09.68'!P60+'02.09.68'!P60+'03.09.68'!P60+'04.09.68'!P60+'05.09.68'!P60+'06.09.68'!P60+'07.09.68'!P60+'08.09.68'!P60+'09.09.68'!P60+'10.09.68'!P60+'11.09.68'!P60+'12.09.68'!P60+'13.09.68'!P60+'14.09.68'!P60+'15.09.68'!P60+'16.09.68'!P60+'17.09.68'!P60+'18.09.68'!P60+'19.09.68'!P60+'20.09.68'!P60+'21.09.68'!P60+'22.09.68'!P60+'23.09.68'!P60+'24.09.68'!P60+'25.09.68'!P60+'26.09.68'!P60+'27.09.68'!P60+'28.09.68'!P60+'29.09.68'!P60+'30.09.68'!P60</f>
        <v>0</v>
      </c>
      <c r="Q60" s="52">
        <f>+'01.09.68'!Q60+'02.09.68'!Q60+'03.09.68'!Q60+'04.09.68'!Q60+'05.09.68'!Q60+'06.09.68'!Q60+'07.09.68'!Q60+'08.09.68'!Q60+'09.09.68'!Q60+'10.09.68'!Q60+'11.09.68'!Q60+'12.09.68'!Q60+'13.09.68'!Q60+'14.09.68'!Q60+'15.09.68'!Q60+'16.09.68'!Q60+'17.09.68'!Q60+'18.09.68'!Q60+'19.09.68'!Q60+'20.09.68'!Q60+'21.09.68'!Q60+'22.09.68'!Q60+'23.09.68'!Q60+'24.09.68'!Q60+'25.09.68'!Q60+'26.09.68'!Q60+'27.09.68'!Q60+'28.09.68'!Q60+'29.09.68'!Q60+'30.09.68'!Q60</f>
        <v>0</v>
      </c>
      <c r="R60" s="65">
        <f t="shared" si="4"/>
        <v>0</v>
      </c>
      <c r="S60" s="52">
        <f>+'01.09.68'!S60+'02.09.68'!S60+'03.09.68'!S60+'04.09.68'!S60+'05.09.68'!S60+'06.09.68'!S60+'07.09.68'!S60+'08.09.68'!S60+'09.09.68'!S60+'10.09.68'!S60+'11.09.68'!S60+'12.09.68'!S60+'13.09.68'!S60+'14.09.68'!S60+'15.09.68'!S60+'16.09.68'!S60+'17.09.68'!S60+'18.09.68'!S60+'19.09.68'!S60+'20.09.68'!S60+'21.09.68'!S60+'22.09.68'!S60+'23.09.68'!S60+'24.09.68'!S60+'25.09.68'!S60+'26.09.68'!S60+'27.09.68'!S60+'28.09.68'!S60+'29.09.68'!S60+'30.09.68'!S60</f>
        <v>0</v>
      </c>
      <c r="T60" s="52">
        <f>+'01.09.68'!T60+'02.09.68'!T60+'03.09.68'!T60+'04.09.68'!T60+'05.09.68'!T60+'06.09.68'!T60+'07.09.68'!T60+'08.09.68'!T60+'09.09.68'!T60+'10.09.68'!T60+'11.09.68'!T60+'12.09.68'!T60+'13.09.68'!T60+'14.09.68'!T60+'15.09.68'!T60+'16.09.68'!T60+'17.09.68'!T60+'18.09.68'!T60+'19.09.68'!T60+'20.09.68'!T60+'21.09.68'!T60+'22.09.68'!T60+'23.09.68'!T60+'24.09.68'!T60+'25.09.68'!T60+'26.09.68'!T60+'27.09.68'!T60+'28.09.68'!T60+'29.09.68'!T60+'30.09.68'!T60</f>
        <v>0</v>
      </c>
      <c r="U60" s="65">
        <f t="shared" si="5"/>
        <v>0</v>
      </c>
      <c r="V60" s="52">
        <f>+'01.09.68'!V60+'02.09.68'!V60+'03.09.68'!V60+'04.09.68'!V60+'05.09.68'!V60+'06.09.68'!V60+'07.09.68'!V60+'08.09.68'!V60+'09.09.68'!V60+'10.09.68'!V60+'11.09.68'!V60+'12.09.68'!V60+'13.09.68'!V60+'14.09.68'!V60+'15.09.68'!V60+'16.09.68'!V60+'17.09.68'!V60+'18.09.68'!V60+'19.09.68'!V60+'20.09.68'!V60+'21.09.68'!V60+'22.09.68'!V60+'23.09.68'!V60+'24.09.68'!V60+'25.09.68'!V60+'26.09.68'!V60+'27.09.68'!V60+'28.09.68'!V60+'29.09.68'!V60+'30.09.68'!V60</f>
        <v>0</v>
      </c>
      <c r="W60" s="52">
        <f>+'01.09.68'!W60+'02.09.68'!W60+'03.09.68'!W60+'04.09.68'!W60+'05.09.68'!W60+'06.09.68'!W60+'07.09.68'!W60+'08.09.68'!W60+'09.09.68'!W60+'10.09.68'!W60+'11.09.68'!W60+'12.09.68'!W60+'13.09.68'!W60+'14.09.68'!W60+'15.09.68'!W60+'16.09.68'!W60+'17.09.68'!W60+'18.09.68'!W60+'19.09.68'!W60+'20.09.68'!W60+'21.09.68'!W60+'22.09.68'!W60+'23.09.68'!W60+'24.09.68'!W60+'25.09.68'!W60+'26.09.68'!W60+'27.09.68'!W60+'28.09.68'!W60+'29.09.68'!W60+'30.09.68'!W60</f>
        <v>0</v>
      </c>
      <c r="X60" s="65">
        <f t="shared" si="6"/>
        <v>0</v>
      </c>
      <c r="Y60" s="52">
        <f>+'01.09.68'!Y60+'02.09.68'!Y60+'03.09.68'!Y60+'04.09.68'!Y60+'05.09.68'!Y60+'06.09.68'!Y60+'07.09.68'!Y60+'08.09.68'!Y60+'09.09.68'!Y60+'10.09.68'!Y60+'11.09.68'!Y60+'12.09.68'!Y60+'13.09.68'!Y60+'14.09.68'!Y60+'15.09.68'!Y60+'16.09.68'!Y60+'17.09.68'!Y60+'18.09.68'!Y60+'19.09.68'!Y60+'20.09.68'!Y60+'21.09.68'!Y60+'22.09.68'!Y60+'23.09.68'!Y60+'24.09.68'!Y60+'25.09.68'!Y60+'26.09.68'!Y60+'27.09.68'!Y60+'28.09.68'!Y60+'29.09.68'!Y60+'30.09.68'!Y60</f>
        <v>0</v>
      </c>
      <c r="Z60" s="66">
        <f t="shared" si="7"/>
        <v>0</v>
      </c>
    </row>
    <row r="61" spans="2:26">
      <c r="B61" s="50">
        <v>1112013</v>
      </c>
      <c r="C61" s="51" t="s">
        <v>182</v>
      </c>
      <c r="D61" s="52">
        <f>+'01.09.68'!D61+'02.09.68'!D61+'03.09.68'!D61+'04.09.68'!D61+'05.09.68'!D61+'06.09.68'!D61+'07.09.68'!D61+'08.09.68'!D61+'09.09.68'!D61+'10.09.68'!D61+'11.09.68'!D61+'12.09.68'!D61+'13.09.68'!D61+'14.09.68'!D61+'15.09.68'!D61+'16.09.68'!D61+'17.09.68'!D61+'18.09.68'!D61+'19.09.68'!D61+'20.09.68'!D61+'21.09.68'!D61+'22.09.68'!D61+'23.09.68'!D61+'24.09.68'!D61+'25.09.68'!D61+'26.09.68'!D61+'27.09.68'!D61+'28.09.68'!D61+'29.09.68'!D61+'30.09.68'!D61</f>
        <v>322</v>
      </c>
      <c r="E61" s="52">
        <f>+'01.09.68'!E61+'02.09.68'!E61+'03.09.68'!E61+'04.09.68'!E61+'05.09.68'!E61+'06.09.68'!E61+'07.09.68'!E61+'08.09.68'!E61+'09.09.68'!E61+'10.09.68'!E61+'11.09.68'!E61+'12.09.68'!E61+'13.09.68'!E61+'14.09.68'!E61+'15.09.68'!E61+'16.09.68'!E61+'17.09.68'!E61+'18.09.68'!E61+'19.09.68'!E61+'20.09.68'!E61+'21.09.68'!E61+'22.09.68'!E61+'23.09.68'!E61+'24.09.68'!E61+'25.09.68'!E61+'26.09.68'!E61+'27.09.68'!E61+'28.09.68'!E61+'29.09.68'!E61+'30.09.68'!E61</f>
        <v>24</v>
      </c>
      <c r="F61" s="65">
        <f t="shared" si="0"/>
        <v>346</v>
      </c>
      <c r="G61" s="52">
        <f>+'01.09.68'!G61+'02.09.68'!G61+'03.09.68'!G61+'04.09.68'!G61+'05.09.68'!G61+'06.09.68'!G61+'07.09.68'!G61+'08.09.68'!G61+'09.09.68'!G61+'10.09.68'!G61+'11.09.68'!G61+'12.09.68'!G61+'13.09.68'!G61+'14.09.68'!G61+'15.09.68'!G61+'16.09.68'!G61+'17.09.68'!G61+'18.09.68'!G61+'19.09.68'!G61+'20.09.68'!G61+'21.09.68'!G61+'22.09.68'!G61+'23.09.68'!G61+'24.09.68'!G61+'25.09.68'!G61+'26.09.68'!G61+'27.09.68'!G61+'28.09.68'!G61+'29.09.68'!G61+'30.09.68'!G61</f>
        <v>41</v>
      </c>
      <c r="H61" s="52">
        <f>+'01.09.68'!H61+'02.09.68'!H61+'03.09.68'!H61+'04.09.68'!H61+'05.09.68'!H61+'06.09.68'!H61+'07.09.68'!H61+'08.09.68'!H61+'09.09.68'!H61+'10.09.68'!H61+'11.09.68'!H61+'12.09.68'!H61+'13.09.68'!H61+'14.09.68'!H61+'15.09.68'!H61+'16.09.68'!H61+'17.09.68'!H61+'18.09.68'!H61+'19.09.68'!H61+'20.09.68'!H61+'21.09.68'!H61+'22.09.68'!H61+'23.09.68'!H61+'24.09.68'!H61+'25.09.68'!H61+'26.09.68'!H61+'27.09.68'!H61+'28.09.68'!H61+'29.09.68'!H61+'30.09.68'!H61</f>
        <v>0</v>
      </c>
      <c r="I61" s="65">
        <f t="shared" si="1"/>
        <v>41</v>
      </c>
      <c r="J61" s="52">
        <f>+'01.09.68'!J61+'02.09.68'!J61+'03.09.68'!J61+'04.09.68'!J61+'05.09.68'!J61+'06.09.68'!J61+'07.09.68'!J61+'08.09.68'!J61+'09.09.68'!J61+'10.09.68'!J61+'11.09.68'!J61+'12.09.68'!J61+'13.09.68'!J61+'14.09.68'!J61+'15.09.68'!J61+'16.09.68'!J61+'17.09.68'!J61+'18.09.68'!J61+'19.09.68'!J61+'20.09.68'!J61+'21.09.68'!J61+'22.09.68'!J61+'23.09.68'!J61+'24.09.68'!J61+'25.09.68'!J61+'26.09.68'!J61+'27.09.68'!J61+'28.09.68'!J61+'29.09.68'!J61+'30.09.68'!J61</f>
        <v>13</v>
      </c>
      <c r="K61" s="52">
        <f>+'01.09.68'!K61+'02.09.68'!K61+'03.09.68'!K61+'04.09.68'!K61+'05.09.68'!K61+'06.09.68'!K61+'07.09.68'!K61+'08.09.68'!K61+'09.09.68'!K61+'10.09.68'!K61+'11.09.68'!K61+'12.09.68'!K61+'13.09.68'!K61+'14.09.68'!K61+'15.09.68'!K61+'16.09.68'!K61+'17.09.68'!K61+'18.09.68'!K61+'19.09.68'!K61+'20.09.68'!K61+'21.09.68'!K61+'22.09.68'!K61+'23.09.68'!K61+'24.09.68'!K61+'25.09.68'!K61+'26.09.68'!K61+'27.09.68'!K61+'28.09.68'!K61+'29.09.68'!K61+'30.09.68'!K61</f>
        <v>0</v>
      </c>
      <c r="L61" s="65">
        <f t="shared" si="2"/>
        <v>13</v>
      </c>
      <c r="M61" s="52">
        <f>+'01.09.68'!M61+'02.09.68'!M61+'03.09.68'!M61+'04.09.68'!M61+'05.09.68'!M61+'06.09.68'!M61+'07.09.68'!M61+'08.09.68'!M61+'09.09.68'!M61+'10.09.68'!M61+'11.09.68'!M61+'12.09.68'!M61+'13.09.68'!M61+'14.09.68'!M61+'15.09.68'!M61+'16.09.68'!M61+'17.09.68'!M61+'18.09.68'!M61+'19.09.68'!M61+'20.09.68'!M61+'21.09.68'!M61+'22.09.68'!M61+'23.09.68'!M61+'24.09.68'!M61+'25.09.68'!M61+'26.09.68'!M61+'27.09.68'!M61+'28.09.68'!M61+'29.09.68'!M61+'30.09.68'!M61</f>
        <v>921</v>
      </c>
      <c r="N61" s="52">
        <f>+'01.09.68'!N61+'02.09.68'!N61+'03.09.68'!N61+'04.09.68'!N61+'05.09.68'!N61+'06.09.68'!N61+'07.09.68'!N61+'08.09.68'!N61+'09.09.68'!N61+'10.09.68'!N61+'11.09.68'!N61+'12.09.68'!N61+'13.09.68'!N61+'14.09.68'!N61+'15.09.68'!N61+'16.09.68'!N61+'17.09.68'!N61+'18.09.68'!N61+'19.09.68'!N61+'20.09.68'!N61+'21.09.68'!N61+'22.09.68'!N61+'23.09.68'!N61+'24.09.68'!N61+'25.09.68'!N61+'26.09.68'!N61+'27.09.68'!N61+'28.09.68'!N61+'29.09.68'!N61+'30.09.68'!N61</f>
        <v>0</v>
      </c>
      <c r="O61" s="65">
        <f t="shared" si="3"/>
        <v>921</v>
      </c>
      <c r="P61" s="52">
        <f>+'01.09.68'!P61+'02.09.68'!P61+'03.09.68'!P61+'04.09.68'!P61+'05.09.68'!P61+'06.09.68'!P61+'07.09.68'!P61+'08.09.68'!P61+'09.09.68'!P61+'10.09.68'!P61+'11.09.68'!P61+'12.09.68'!P61+'13.09.68'!P61+'14.09.68'!P61+'15.09.68'!P61+'16.09.68'!P61+'17.09.68'!P61+'18.09.68'!P61+'19.09.68'!P61+'20.09.68'!P61+'21.09.68'!P61+'22.09.68'!P61+'23.09.68'!P61+'24.09.68'!P61+'25.09.68'!P61+'26.09.68'!P61+'27.09.68'!P61+'28.09.68'!P61+'29.09.68'!P61+'30.09.68'!P61</f>
        <v>103</v>
      </c>
      <c r="Q61" s="52">
        <f>+'01.09.68'!Q61+'02.09.68'!Q61+'03.09.68'!Q61+'04.09.68'!Q61+'05.09.68'!Q61+'06.09.68'!Q61+'07.09.68'!Q61+'08.09.68'!Q61+'09.09.68'!Q61+'10.09.68'!Q61+'11.09.68'!Q61+'12.09.68'!Q61+'13.09.68'!Q61+'14.09.68'!Q61+'15.09.68'!Q61+'16.09.68'!Q61+'17.09.68'!Q61+'18.09.68'!Q61+'19.09.68'!Q61+'20.09.68'!Q61+'21.09.68'!Q61+'22.09.68'!Q61+'23.09.68'!Q61+'24.09.68'!Q61+'25.09.68'!Q61+'26.09.68'!Q61+'27.09.68'!Q61+'28.09.68'!Q61+'29.09.68'!Q61+'30.09.68'!Q61</f>
        <v>0</v>
      </c>
      <c r="R61" s="65">
        <f t="shared" si="4"/>
        <v>103</v>
      </c>
      <c r="S61" s="52">
        <f>+'01.09.68'!S61+'02.09.68'!S61+'03.09.68'!S61+'04.09.68'!S61+'05.09.68'!S61+'06.09.68'!S61+'07.09.68'!S61+'08.09.68'!S61+'09.09.68'!S61+'10.09.68'!S61+'11.09.68'!S61+'12.09.68'!S61+'13.09.68'!S61+'14.09.68'!S61+'15.09.68'!S61+'16.09.68'!S61+'17.09.68'!S61+'18.09.68'!S61+'19.09.68'!S61+'20.09.68'!S61+'21.09.68'!S61+'22.09.68'!S61+'23.09.68'!S61+'24.09.68'!S61+'25.09.68'!S61+'26.09.68'!S61+'27.09.68'!S61+'28.09.68'!S61+'29.09.68'!S61+'30.09.68'!S61</f>
        <v>0</v>
      </c>
      <c r="T61" s="52">
        <f>+'01.09.68'!T61+'02.09.68'!T61+'03.09.68'!T61+'04.09.68'!T61+'05.09.68'!T61+'06.09.68'!T61+'07.09.68'!T61+'08.09.68'!T61+'09.09.68'!T61+'10.09.68'!T61+'11.09.68'!T61+'12.09.68'!T61+'13.09.68'!T61+'14.09.68'!T61+'15.09.68'!T61+'16.09.68'!T61+'17.09.68'!T61+'18.09.68'!T61+'19.09.68'!T61+'20.09.68'!T61+'21.09.68'!T61+'22.09.68'!T61+'23.09.68'!T61+'24.09.68'!T61+'25.09.68'!T61+'26.09.68'!T61+'27.09.68'!T61+'28.09.68'!T61+'29.09.68'!T61+'30.09.68'!T61</f>
        <v>0</v>
      </c>
      <c r="U61" s="65">
        <f t="shared" si="5"/>
        <v>0</v>
      </c>
      <c r="V61" s="52">
        <f>+'01.09.68'!V61+'02.09.68'!V61+'03.09.68'!V61+'04.09.68'!V61+'05.09.68'!V61+'06.09.68'!V61+'07.09.68'!V61+'08.09.68'!V61+'09.09.68'!V61+'10.09.68'!V61+'11.09.68'!V61+'12.09.68'!V61+'13.09.68'!V61+'14.09.68'!V61+'15.09.68'!V61+'16.09.68'!V61+'17.09.68'!V61+'18.09.68'!V61+'19.09.68'!V61+'20.09.68'!V61+'21.09.68'!V61+'22.09.68'!V61+'23.09.68'!V61+'24.09.68'!V61+'25.09.68'!V61+'26.09.68'!V61+'27.09.68'!V61+'28.09.68'!V61+'29.09.68'!V61+'30.09.68'!V61</f>
        <v>0</v>
      </c>
      <c r="W61" s="52">
        <f>+'01.09.68'!W61+'02.09.68'!W61+'03.09.68'!W61+'04.09.68'!W61+'05.09.68'!W61+'06.09.68'!W61+'07.09.68'!W61+'08.09.68'!W61+'09.09.68'!W61+'10.09.68'!W61+'11.09.68'!W61+'12.09.68'!W61+'13.09.68'!W61+'14.09.68'!W61+'15.09.68'!W61+'16.09.68'!W61+'17.09.68'!W61+'18.09.68'!W61+'19.09.68'!W61+'20.09.68'!W61+'21.09.68'!W61+'22.09.68'!W61+'23.09.68'!W61+'24.09.68'!W61+'25.09.68'!W61+'26.09.68'!W61+'27.09.68'!W61+'28.09.68'!W61+'29.09.68'!W61+'30.09.68'!W61</f>
        <v>0</v>
      </c>
      <c r="X61" s="65">
        <f t="shared" si="6"/>
        <v>0</v>
      </c>
      <c r="Y61" s="52">
        <f>+'01.09.68'!Y61+'02.09.68'!Y61+'03.09.68'!Y61+'04.09.68'!Y61+'05.09.68'!Y61+'06.09.68'!Y61+'07.09.68'!Y61+'08.09.68'!Y61+'09.09.68'!Y61+'10.09.68'!Y61+'11.09.68'!Y61+'12.09.68'!Y61+'13.09.68'!Y61+'14.09.68'!Y61+'15.09.68'!Y61+'16.09.68'!Y61+'17.09.68'!Y61+'18.09.68'!Y61+'19.09.68'!Y61+'20.09.68'!Y61+'21.09.68'!Y61+'22.09.68'!Y61+'23.09.68'!Y61+'24.09.68'!Y61+'25.09.68'!Y61+'26.09.68'!Y61+'27.09.68'!Y61+'28.09.68'!Y61+'29.09.68'!Y61+'30.09.68'!Y61</f>
        <v>24</v>
      </c>
      <c r="Z61" s="66">
        <f t="shared" si="7"/>
        <v>1448</v>
      </c>
    </row>
    <row r="62" spans="2:26">
      <c r="B62" s="50">
        <v>1112014</v>
      </c>
      <c r="C62" s="51" t="s">
        <v>183</v>
      </c>
      <c r="D62" s="52">
        <f>+'01.09.68'!D62+'02.09.68'!D62+'03.09.68'!D62+'04.09.68'!D62+'05.09.68'!D62+'06.09.68'!D62+'07.09.68'!D62+'08.09.68'!D62+'09.09.68'!D62+'10.09.68'!D62+'11.09.68'!D62+'12.09.68'!D62+'13.09.68'!D62+'14.09.68'!D62+'15.09.68'!D62+'16.09.68'!D62+'17.09.68'!D62+'18.09.68'!D62+'19.09.68'!D62+'20.09.68'!D62+'21.09.68'!D62+'22.09.68'!D62+'23.09.68'!D62+'24.09.68'!D62+'25.09.68'!D62+'26.09.68'!D62+'27.09.68'!D62+'28.09.68'!D62+'29.09.68'!D62+'30.09.68'!D62</f>
        <v>0</v>
      </c>
      <c r="E62" s="52">
        <f>+'01.09.68'!E62+'02.09.68'!E62+'03.09.68'!E62+'04.09.68'!E62+'05.09.68'!E62+'06.09.68'!E62+'07.09.68'!E62+'08.09.68'!E62+'09.09.68'!E62+'10.09.68'!E62+'11.09.68'!E62+'12.09.68'!E62+'13.09.68'!E62+'14.09.68'!E62+'15.09.68'!E62+'16.09.68'!E62+'17.09.68'!E62+'18.09.68'!E62+'19.09.68'!E62+'20.09.68'!E62+'21.09.68'!E62+'22.09.68'!E62+'23.09.68'!E62+'24.09.68'!E62+'25.09.68'!E62+'26.09.68'!E62+'27.09.68'!E62+'28.09.68'!E62+'29.09.68'!E62+'30.09.68'!E62</f>
        <v>0</v>
      </c>
      <c r="F62" s="65">
        <f t="shared" si="0"/>
        <v>0</v>
      </c>
      <c r="G62" s="52">
        <f>+'01.09.68'!G62+'02.09.68'!G62+'03.09.68'!G62+'04.09.68'!G62+'05.09.68'!G62+'06.09.68'!G62+'07.09.68'!G62+'08.09.68'!G62+'09.09.68'!G62+'10.09.68'!G62+'11.09.68'!G62+'12.09.68'!G62+'13.09.68'!G62+'14.09.68'!G62+'15.09.68'!G62+'16.09.68'!G62+'17.09.68'!G62+'18.09.68'!G62+'19.09.68'!G62+'20.09.68'!G62+'21.09.68'!G62+'22.09.68'!G62+'23.09.68'!G62+'24.09.68'!G62+'25.09.68'!G62+'26.09.68'!G62+'27.09.68'!G62+'28.09.68'!G62+'29.09.68'!G62+'30.09.68'!G62</f>
        <v>0</v>
      </c>
      <c r="H62" s="52">
        <f>+'01.09.68'!H62+'02.09.68'!H62+'03.09.68'!H62+'04.09.68'!H62+'05.09.68'!H62+'06.09.68'!H62+'07.09.68'!H62+'08.09.68'!H62+'09.09.68'!H62+'10.09.68'!H62+'11.09.68'!H62+'12.09.68'!H62+'13.09.68'!H62+'14.09.68'!H62+'15.09.68'!H62+'16.09.68'!H62+'17.09.68'!H62+'18.09.68'!H62+'19.09.68'!H62+'20.09.68'!H62+'21.09.68'!H62+'22.09.68'!H62+'23.09.68'!H62+'24.09.68'!H62+'25.09.68'!H62+'26.09.68'!H62+'27.09.68'!H62+'28.09.68'!H62+'29.09.68'!H62+'30.09.68'!H62</f>
        <v>0</v>
      </c>
      <c r="I62" s="65">
        <f t="shared" si="1"/>
        <v>0</v>
      </c>
      <c r="J62" s="52">
        <f>+'01.09.68'!J62+'02.09.68'!J62+'03.09.68'!J62+'04.09.68'!J62+'05.09.68'!J62+'06.09.68'!J62+'07.09.68'!J62+'08.09.68'!J62+'09.09.68'!J62+'10.09.68'!J62+'11.09.68'!J62+'12.09.68'!J62+'13.09.68'!J62+'14.09.68'!J62+'15.09.68'!J62+'16.09.68'!J62+'17.09.68'!J62+'18.09.68'!J62+'19.09.68'!J62+'20.09.68'!J62+'21.09.68'!J62+'22.09.68'!J62+'23.09.68'!J62+'24.09.68'!J62+'25.09.68'!J62+'26.09.68'!J62+'27.09.68'!J62+'28.09.68'!J62+'29.09.68'!J62+'30.09.68'!J62</f>
        <v>0</v>
      </c>
      <c r="K62" s="52">
        <f>+'01.09.68'!K62+'02.09.68'!K62+'03.09.68'!K62+'04.09.68'!K62+'05.09.68'!K62+'06.09.68'!K62+'07.09.68'!K62+'08.09.68'!K62+'09.09.68'!K62+'10.09.68'!K62+'11.09.68'!K62+'12.09.68'!K62+'13.09.68'!K62+'14.09.68'!K62+'15.09.68'!K62+'16.09.68'!K62+'17.09.68'!K62+'18.09.68'!K62+'19.09.68'!K62+'20.09.68'!K62+'21.09.68'!K62+'22.09.68'!K62+'23.09.68'!K62+'24.09.68'!K62+'25.09.68'!K62+'26.09.68'!K62+'27.09.68'!K62+'28.09.68'!K62+'29.09.68'!K62+'30.09.68'!K62</f>
        <v>0</v>
      </c>
      <c r="L62" s="65">
        <f t="shared" si="2"/>
        <v>0</v>
      </c>
      <c r="M62" s="52">
        <f>+'01.09.68'!M62+'02.09.68'!M62+'03.09.68'!M62+'04.09.68'!M62+'05.09.68'!M62+'06.09.68'!M62+'07.09.68'!M62+'08.09.68'!M62+'09.09.68'!M62+'10.09.68'!M62+'11.09.68'!M62+'12.09.68'!M62+'13.09.68'!M62+'14.09.68'!M62+'15.09.68'!M62+'16.09.68'!M62+'17.09.68'!M62+'18.09.68'!M62+'19.09.68'!M62+'20.09.68'!M62+'21.09.68'!M62+'22.09.68'!M62+'23.09.68'!M62+'24.09.68'!M62+'25.09.68'!M62+'26.09.68'!M62+'27.09.68'!M62+'28.09.68'!M62+'29.09.68'!M62+'30.09.68'!M62</f>
        <v>0</v>
      </c>
      <c r="N62" s="52">
        <f>+'01.09.68'!N62+'02.09.68'!N62+'03.09.68'!N62+'04.09.68'!N62+'05.09.68'!N62+'06.09.68'!N62+'07.09.68'!N62+'08.09.68'!N62+'09.09.68'!N62+'10.09.68'!N62+'11.09.68'!N62+'12.09.68'!N62+'13.09.68'!N62+'14.09.68'!N62+'15.09.68'!N62+'16.09.68'!N62+'17.09.68'!N62+'18.09.68'!N62+'19.09.68'!N62+'20.09.68'!N62+'21.09.68'!N62+'22.09.68'!N62+'23.09.68'!N62+'24.09.68'!N62+'25.09.68'!N62+'26.09.68'!N62+'27.09.68'!N62+'28.09.68'!N62+'29.09.68'!N62+'30.09.68'!N62</f>
        <v>0</v>
      </c>
      <c r="O62" s="65">
        <f t="shared" si="3"/>
        <v>0</v>
      </c>
      <c r="P62" s="52">
        <f>+'01.09.68'!P62+'02.09.68'!P62+'03.09.68'!P62+'04.09.68'!P62+'05.09.68'!P62+'06.09.68'!P62+'07.09.68'!P62+'08.09.68'!P62+'09.09.68'!P62+'10.09.68'!P62+'11.09.68'!P62+'12.09.68'!P62+'13.09.68'!P62+'14.09.68'!P62+'15.09.68'!P62+'16.09.68'!P62+'17.09.68'!P62+'18.09.68'!P62+'19.09.68'!P62+'20.09.68'!P62+'21.09.68'!P62+'22.09.68'!P62+'23.09.68'!P62+'24.09.68'!P62+'25.09.68'!P62+'26.09.68'!P62+'27.09.68'!P62+'28.09.68'!P62+'29.09.68'!P62+'30.09.68'!P62</f>
        <v>0</v>
      </c>
      <c r="Q62" s="52">
        <f>+'01.09.68'!Q62+'02.09.68'!Q62+'03.09.68'!Q62+'04.09.68'!Q62+'05.09.68'!Q62+'06.09.68'!Q62+'07.09.68'!Q62+'08.09.68'!Q62+'09.09.68'!Q62+'10.09.68'!Q62+'11.09.68'!Q62+'12.09.68'!Q62+'13.09.68'!Q62+'14.09.68'!Q62+'15.09.68'!Q62+'16.09.68'!Q62+'17.09.68'!Q62+'18.09.68'!Q62+'19.09.68'!Q62+'20.09.68'!Q62+'21.09.68'!Q62+'22.09.68'!Q62+'23.09.68'!Q62+'24.09.68'!Q62+'25.09.68'!Q62+'26.09.68'!Q62+'27.09.68'!Q62+'28.09.68'!Q62+'29.09.68'!Q62+'30.09.68'!Q62</f>
        <v>0</v>
      </c>
      <c r="R62" s="65">
        <f t="shared" si="4"/>
        <v>0</v>
      </c>
      <c r="S62" s="52">
        <f>+'01.09.68'!S62+'02.09.68'!S62+'03.09.68'!S62+'04.09.68'!S62+'05.09.68'!S62+'06.09.68'!S62+'07.09.68'!S62+'08.09.68'!S62+'09.09.68'!S62+'10.09.68'!S62+'11.09.68'!S62+'12.09.68'!S62+'13.09.68'!S62+'14.09.68'!S62+'15.09.68'!S62+'16.09.68'!S62+'17.09.68'!S62+'18.09.68'!S62+'19.09.68'!S62+'20.09.68'!S62+'21.09.68'!S62+'22.09.68'!S62+'23.09.68'!S62+'24.09.68'!S62+'25.09.68'!S62+'26.09.68'!S62+'27.09.68'!S62+'28.09.68'!S62+'29.09.68'!S62+'30.09.68'!S62</f>
        <v>0</v>
      </c>
      <c r="T62" s="52">
        <f>+'01.09.68'!T62+'02.09.68'!T62+'03.09.68'!T62+'04.09.68'!T62+'05.09.68'!T62+'06.09.68'!T62+'07.09.68'!T62+'08.09.68'!T62+'09.09.68'!T62+'10.09.68'!T62+'11.09.68'!T62+'12.09.68'!T62+'13.09.68'!T62+'14.09.68'!T62+'15.09.68'!T62+'16.09.68'!T62+'17.09.68'!T62+'18.09.68'!T62+'19.09.68'!T62+'20.09.68'!T62+'21.09.68'!T62+'22.09.68'!T62+'23.09.68'!T62+'24.09.68'!T62+'25.09.68'!T62+'26.09.68'!T62+'27.09.68'!T62+'28.09.68'!T62+'29.09.68'!T62+'30.09.68'!T62</f>
        <v>0</v>
      </c>
      <c r="U62" s="65">
        <f t="shared" si="5"/>
        <v>0</v>
      </c>
      <c r="V62" s="52">
        <f>+'01.09.68'!V62+'02.09.68'!V62+'03.09.68'!V62+'04.09.68'!V62+'05.09.68'!V62+'06.09.68'!V62+'07.09.68'!V62+'08.09.68'!V62+'09.09.68'!V62+'10.09.68'!V62+'11.09.68'!V62+'12.09.68'!V62+'13.09.68'!V62+'14.09.68'!V62+'15.09.68'!V62+'16.09.68'!V62+'17.09.68'!V62+'18.09.68'!V62+'19.09.68'!V62+'20.09.68'!V62+'21.09.68'!V62+'22.09.68'!V62+'23.09.68'!V62+'24.09.68'!V62+'25.09.68'!V62+'26.09.68'!V62+'27.09.68'!V62+'28.09.68'!V62+'29.09.68'!V62+'30.09.68'!V62</f>
        <v>0</v>
      </c>
      <c r="W62" s="52">
        <f>+'01.09.68'!W62+'02.09.68'!W62+'03.09.68'!W62+'04.09.68'!W62+'05.09.68'!W62+'06.09.68'!W62+'07.09.68'!W62+'08.09.68'!W62+'09.09.68'!W62+'10.09.68'!W62+'11.09.68'!W62+'12.09.68'!W62+'13.09.68'!W62+'14.09.68'!W62+'15.09.68'!W62+'16.09.68'!W62+'17.09.68'!W62+'18.09.68'!W62+'19.09.68'!W62+'20.09.68'!W62+'21.09.68'!W62+'22.09.68'!W62+'23.09.68'!W62+'24.09.68'!W62+'25.09.68'!W62+'26.09.68'!W62+'27.09.68'!W62+'28.09.68'!W62+'29.09.68'!W62+'30.09.68'!W62</f>
        <v>0</v>
      </c>
      <c r="X62" s="65">
        <f t="shared" si="6"/>
        <v>0</v>
      </c>
      <c r="Y62" s="52">
        <f>+'01.09.68'!Y62+'02.09.68'!Y62+'03.09.68'!Y62+'04.09.68'!Y62+'05.09.68'!Y62+'06.09.68'!Y62+'07.09.68'!Y62+'08.09.68'!Y62+'09.09.68'!Y62+'10.09.68'!Y62+'11.09.68'!Y62+'12.09.68'!Y62+'13.09.68'!Y62+'14.09.68'!Y62+'15.09.68'!Y62+'16.09.68'!Y62+'17.09.68'!Y62+'18.09.68'!Y62+'19.09.68'!Y62+'20.09.68'!Y62+'21.09.68'!Y62+'22.09.68'!Y62+'23.09.68'!Y62+'24.09.68'!Y62+'25.09.68'!Y62+'26.09.68'!Y62+'27.09.68'!Y62+'28.09.68'!Y62+'29.09.68'!Y62+'30.09.68'!Y62</f>
        <v>0</v>
      </c>
      <c r="Z62" s="66">
        <f t="shared" si="7"/>
        <v>0</v>
      </c>
    </row>
    <row r="63" spans="2:26">
      <c r="B63" s="50">
        <v>1112015</v>
      </c>
      <c r="C63" s="51" t="s">
        <v>184</v>
      </c>
      <c r="D63" s="52">
        <f>+'01.09.68'!D63+'02.09.68'!D63+'03.09.68'!D63+'04.09.68'!D63+'05.09.68'!D63+'06.09.68'!D63+'07.09.68'!D63+'08.09.68'!D63+'09.09.68'!D63+'10.09.68'!D63+'11.09.68'!D63+'12.09.68'!D63+'13.09.68'!D63+'14.09.68'!D63+'15.09.68'!D63+'16.09.68'!D63+'17.09.68'!D63+'18.09.68'!D63+'19.09.68'!D63+'20.09.68'!D63+'21.09.68'!D63+'22.09.68'!D63+'23.09.68'!D63+'24.09.68'!D63+'25.09.68'!D63+'26.09.68'!D63+'27.09.68'!D63+'28.09.68'!D63+'29.09.68'!D63+'30.09.68'!D63</f>
        <v>271</v>
      </c>
      <c r="E63" s="52">
        <f>+'01.09.68'!E63+'02.09.68'!E63+'03.09.68'!E63+'04.09.68'!E63+'05.09.68'!E63+'06.09.68'!E63+'07.09.68'!E63+'08.09.68'!E63+'09.09.68'!E63+'10.09.68'!E63+'11.09.68'!E63+'12.09.68'!E63+'13.09.68'!E63+'14.09.68'!E63+'15.09.68'!E63+'16.09.68'!E63+'17.09.68'!E63+'18.09.68'!E63+'19.09.68'!E63+'20.09.68'!E63+'21.09.68'!E63+'22.09.68'!E63+'23.09.68'!E63+'24.09.68'!E63+'25.09.68'!E63+'26.09.68'!E63+'27.09.68'!E63+'28.09.68'!E63+'29.09.68'!E63+'30.09.68'!E63</f>
        <v>25</v>
      </c>
      <c r="F63" s="65">
        <f t="shared" si="0"/>
        <v>296</v>
      </c>
      <c r="G63" s="52">
        <f>+'01.09.68'!G63+'02.09.68'!G63+'03.09.68'!G63+'04.09.68'!G63+'05.09.68'!G63+'06.09.68'!G63+'07.09.68'!G63+'08.09.68'!G63+'09.09.68'!G63+'10.09.68'!G63+'11.09.68'!G63+'12.09.68'!G63+'13.09.68'!G63+'14.09.68'!G63+'15.09.68'!G63+'16.09.68'!G63+'17.09.68'!G63+'18.09.68'!G63+'19.09.68'!G63+'20.09.68'!G63+'21.09.68'!G63+'22.09.68'!G63+'23.09.68'!G63+'24.09.68'!G63+'25.09.68'!G63+'26.09.68'!G63+'27.09.68'!G63+'28.09.68'!G63+'29.09.68'!G63+'30.09.68'!G63</f>
        <v>47</v>
      </c>
      <c r="H63" s="52">
        <f>+'01.09.68'!H63+'02.09.68'!H63+'03.09.68'!H63+'04.09.68'!H63+'05.09.68'!H63+'06.09.68'!H63+'07.09.68'!H63+'08.09.68'!H63+'09.09.68'!H63+'10.09.68'!H63+'11.09.68'!H63+'12.09.68'!H63+'13.09.68'!H63+'14.09.68'!H63+'15.09.68'!H63+'16.09.68'!H63+'17.09.68'!H63+'18.09.68'!H63+'19.09.68'!H63+'20.09.68'!H63+'21.09.68'!H63+'22.09.68'!H63+'23.09.68'!H63+'24.09.68'!H63+'25.09.68'!H63+'26.09.68'!H63+'27.09.68'!H63+'28.09.68'!H63+'29.09.68'!H63+'30.09.68'!H63</f>
        <v>0</v>
      </c>
      <c r="I63" s="65">
        <f t="shared" si="1"/>
        <v>47</v>
      </c>
      <c r="J63" s="52">
        <f>+'01.09.68'!J63+'02.09.68'!J63+'03.09.68'!J63+'04.09.68'!J63+'05.09.68'!J63+'06.09.68'!J63+'07.09.68'!J63+'08.09.68'!J63+'09.09.68'!J63+'10.09.68'!J63+'11.09.68'!J63+'12.09.68'!J63+'13.09.68'!J63+'14.09.68'!J63+'15.09.68'!J63+'16.09.68'!J63+'17.09.68'!J63+'18.09.68'!J63+'19.09.68'!J63+'20.09.68'!J63+'21.09.68'!J63+'22.09.68'!J63+'23.09.68'!J63+'24.09.68'!J63+'25.09.68'!J63+'26.09.68'!J63+'27.09.68'!J63+'28.09.68'!J63+'29.09.68'!J63+'30.09.68'!J63</f>
        <v>9</v>
      </c>
      <c r="K63" s="52">
        <f>+'01.09.68'!K63+'02.09.68'!K63+'03.09.68'!K63+'04.09.68'!K63+'05.09.68'!K63+'06.09.68'!K63+'07.09.68'!K63+'08.09.68'!K63+'09.09.68'!K63+'10.09.68'!K63+'11.09.68'!K63+'12.09.68'!K63+'13.09.68'!K63+'14.09.68'!K63+'15.09.68'!K63+'16.09.68'!K63+'17.09.68'!K63+'18.09.68'!K63+'19.09.68'!K63+'20.09.68'!K63+'21.09.68'!K63+'22.09.68'!K63+'23.09.68'!K63+'24.09.68'!K63+'25.09.68'!K63+'26.09.68'!K63+'27.09.68'!K63+'28.09.68'!K63+'29.09.68'!K63+'30.09.68'!K63</f>
        <v>0</v>
      </c>
      <c r="L63" s="65">
        <f t="shared" si="2"/>
        <v>9</v>
      </c>
      <c r="M63" s="52">
        <f>+'01.09.68'!M63+'02.09.68'!M63+'03.09.68'!M63+'04.09.68'!M63+'05.09.68'!M63+'06.09.68'!M63+'07.09.68'!M63+'08.09.68'!M63+'09.09.68'!M63+'10.09.68'!M63+'11.09.68'!M63+'12.09.68'!M63+'13.09.68'!M63+'14.09.68'!M63+'15.09.68'!M63+'16.09.68'!M63+'17.09.68'!M63+'18.09.68'!M63+'19.09.68'!M63+'20.09.68'!M63+'21.09.68'!M63+'22.09.68'!M63+'23.09.68'!M63+'24.09.68'!M63+'25.09.68'!M63+'26.09.68'!M63+'27.09.68'!M63+'28.09.68'!M63+'29.09.68'!M63+'30.09.68'!M63</f>
        <v>949</v>
      </c>
      <c r="N63" s="52">
        <f>+'01.09.68'!N63+'02.09.68'!N63+'03.09.68'!N63+'04.09.68'!N63+'05.09.68'!N63+'06.09.68'!N63+'07.09.68'!N63+'08.09.68'!N63+'09.09.68'!N63+'10.09.68'!N63+'11.09.68'!N63+'12.09.68'!N63+'13.09.68'!N63+'14.09.68'!N63+'15.09.68'!N63+'16.09.68'!N63+'17.09.68'!N63+'18.09.68'!N63+'19.09.68'!N63+'20.09.68'!N63+'21.09.68'!N63+'22.09.68'!N63+'23.09.68'!N63+'24.09.68'!N63+'25.09.68'!N63+'26.09.68'!N63+'27.09.68'!N63+'28.09.68'!N63+'29.09.68'!N63+'30.09.68'!N63</f>
        <v>0</v>
      </c>
      <c r="O63" s="65">
        <f t="shared" si="3"/>
        <v>949</v>
      </c>
      <c r="P63" s="52">
        <f>+'01.09.68'!P63+'02.09.68'!P63+'03.09.68'!P63+'04.09.68'!P63+'05.09.68'!P63+'06.09.68'!P63+'07.09.68'!P63+'08.09.68'!P63+'09.09.68'!P63+'10.09.68'!P63+'11.09.68'!P63+'12.09.68'!P63+'13.09.68'!P63+'14.09.68'!P63+'15.09.68'!P63+'16.09.68'!P63+'17.09.68'!P63+'18.09.68'!P63+'19.09.68'!P63+'20.09.68'!P63+'21.09.68'!P63+'22.09.68'!P63+'23.09.68'!P63+'24.09.68'!P63+'25.09.68'!P63+'26.09.68'!P63+'27.09.68'!P63+'28.09.68'!P63+'29.09.68'!P63+'30.09.68'!P63</f>
        <v>104</v>
      </c>
      <c r="Q63" s="52">
        <f>+'01.09.68'!Q63+'02.09.68'!Q63+'03.09.68'!Q63+'04.09.68'!Q63+'05.09.68'!Q63+'06.09.68'!Q63+'07.09.68'!Q63+'08.09.68'!Q63+'09.09.68'!Q63+'10.09.68'!Q63+'11.09.68'!Q63+'12.09.68'!Q63+'13.09.68'!Q63+'14.09.68'!Q63+'15.09.68'!Q63+'16.09.68'!Q63+'17.09.68'!Q63+'18.09.68'!Q63+'19.09.68'!Q63+'20.09.68'!Q63+'21.09.68'!Q63+'22.09.68'!Q63+'23.09.68'!Q63+'24.09.68'!Q63+'25.09.68'!Q63+'26.09.68'!Q63+'27.09.68'!Q63+'28.09.68'!Q63+'29.09.68'!Q63+'30.09.68'!Q63</f>
        <v>0</v>
      </c>
      <c r="R63" s="65">
        <f t="shared" si="4"/>
        <v>104</v>
      </c>
      <c r="S63" s="52">
        <f>+'01.09.68'!S63+'02.09.68'!S63+'03.09.68'!S63+'04.09.68'!S63+'05.09.68'!S63+'06.09.68'!S63+'07.09.68'!S63+'08.09.68'!S63+'09.09.68'!S63+'10.09.68'!S63+'11.09.68'!S63+'12.09.68'!S63+'13.09.68'!S63+'14.09.68'!S63+'15.09.68'!S63+'16.09.68'!S63+'17.09.68'!S63+'18.09.68'!S63+'19.09.68'!S63+'20.09.68'!S63+'21.09.68'!S63+'22.09.68'!S63+'23.09.68'!S63+'24.09.68'!S63+'25.09.68'!S63+'26.09.68'!S63+'27.09.68'!S63+'28.09.68'!S63+'29.09.68'!S63+'30.09.68'!S63</f>
        <v>0</v>
      </c>
      <c r="T63" s="52">
        <f>+'01.09.68'!T63+'02.09.68'!T63+'03.09.68'!T63+'04.09.68'!T63+'05.09.68'!T63+'06.09.68'!T63+'07.09.68'!T63+'08.09.68'!T63+'09.09.68'!T63+'10.09.68'!T63+'11.09.68'!T63+'12.09.68'!T63+'13.09.68'!T63+'14.09.68'!T63+'15.09.68'!T63+'16.09.68'!T63+'17.09.68'!T63+'18.09.68'!T63+'19.09.68'!T63+'20.09.68'!T63+'21.09.68'!T63+'22.09.68'!T63+'23.09.68'!T63+'24.09.68'!T63+'25.09.68'!T63+'26.09.68'!T63+'27.09.68'!T63+'28.09.68'!T63+'29.09.68'!T63+'30.09.68'!T63</f>
        <v>0</v>
      </c>
      <c r="U63" s="65">
        <f t="shared" si="5"/>
        <v>0</v>
      </c>
      <c r="V63" s="52">
        <f>+'01.09.68'!V63+'02.09.68'!V63+'03.09.68'!V63+'04.09.68'!V63+'05.09.68'!V63+'06.09.68'!V63+'07.09.68'!V63+'08.09.68'!V63+'09.09.68'!V63+'10.09.68'!V63+'11.09.68'!V63+'12.09.68'!V63+'13.09.68'!V63+'14.09.68'!V63+'15.09.68'!V63+'16.09.68'!V63+'17.09.68'!V63+'18.09.68'!V63+'19.09.68'!V63+'20.09.68'!V63+'21.09.68'!V63+'22.09.68'!V63+'23.09.68'!V63+'24.09.68'!V63+'25.09.68'!V63+'26.09.68'!V63+'27.09.68'!V63+'28.09.68'!V63+'29.09.68'!V63+'30.09.68'!V63</f>
        <v>0</v>
      </c>
      <c r="W63" s="52">
        <f>+'01.09.68'!W63+'02.09.68'!W63+'03.09.68'!W63+'04.09.68'!W63+'05.09.68'!W63+'06.09.68'!W63+'07.09.68'!W63+'08.09.68'!W63+'09.09.68'!W63+'10.09.68'!W63+'11.09.68'!W63+'12.09.68'!W63+'13.09.68'!W63+'14.09.68'!W63+'15.09.68'!W63+'16.09.68'!W63+'17.09.68'!W63+'18.09.68'!W63+'19.09.68'!W63+'20.09.68'!W63+'21.09.68'!W63+'22.09.68'!W63+'23.09.68'!W63+'24.09.68'!W63+'25.09.68'!W63+'26.09.68'!W63+'27.09.68'!W63+'28.09.68'!W63+'29.09.68'!W63+'30.09.68'!W63</f>
        <v>0</v>
      </c>
      <c r="X63" s="65">
        <f t="shared" si="6"/>
        <v>0</v>
      </c>
      <c r="Y63" s="52">
        <f>+'01.09.68'!Y63+'02.09.68'!Y63+'03.09.68'!Y63+'04.09.68'!Y63+'05.09.68'!Y63+'06.09.68'!Y63+'07.09.68'!Y63+'08.09.68'!Y63+'09.09.68'!Y63+'10.09.68'!Y63+'11.09.68'!Y63+'12.09.68'!Y63+'13.09.68'!Y63+'14.09.68'!Y63+'15.09.68'!Y63+'16.09.68'!Y63+'17.09.68'!Y63+'18.09.68'!Y63+'19.09.68'!Y63+'20.09.68'!Y63+'21.09.68'!Y63+'22.09.68'!Y63+'23.09.68'!Y63+'24.09.68'!Y63+'25.09.68'!Y63+'26.09.68'!Y63+'27.09.68'!Y63+'28.09.68'!Y63+'29.09.68'!Y63+'30.09.68'!Y63</f>
        <v>41</v>
      </c>
      <c r="Z63" s="66">
        <f t="shared" si="7"/>
        <v>1446</v>
      </c>
    </row>
    <row r="64" spans="2:26">
      <c r="B64" s="50">
        <v>1112017</v>
      </c>
      <c r="C64" s="53" t="s">
        <v>185</v>
      </c>
      <c r="D64" s="52">
        <f>+'01.09.68'!D64+'02.09.68'!D64+'03.09.68'!D64+'04.09.68'!D64+'05.09.68'!D64+'06.09.68'!D64+'07.09.68'!D64+'08.09.68'!D64+'09.09.68'!D64+'10.09.68'!D64+'11.09.68'!D64+'12.09.68'!D64+'13.09.68'!D64+'14.09.68'!D64+'15.09.68'!D64+'16.09.68'!D64+'17.09.68'!D64+'18.09.68'!D64+'19.09.68'!D64+'20.09.68'!D64+'21.09.68'!D64+'22.09.68'!D64+'23.09.68'!D64+'24.09.68'!D64+'25.09.68'!D64+'26.09.68'!D64+'27.09.68'!D64+'28.09.68'!D64+'29.09.68'!D64+'30.09.68'!D64</f>
        <v>5</v>
      </c>
      <c r="E64" s="52">
        <f>+'01.09.68'!E64+'02.09.68'!E64+'03.09.68'!E64+'04.09.68'!E64+'05.09.68'!E64+'06.09.68'!E64+'07.09.68'!E64+'08.09.68'!E64+'09.09.68'!E64+'10.09.68'!E64+'11.09.68'!E64+'12.09.68'!E64+'13.09.68'!E64+'14.09.68'!E64+'15.09.68'!E64+'16.09.68'!E64+'17.09.68'!E64+'18.09.68'!E64+'19.09.68'!E64+'20.09.68'!E64+'21.09.68'!E64+'22.09.68'!E64+'23.09.68'!E64+'24.09.68'!E64+'25.09.68'!E64+'26.09.68'!E64+'27.09.68'!E64+'28.09.68'!E64+'29.09.68'!E64+'30.09.68'!E64</f>
        <v>0</v>
      </c>
      <c r="F64" s="65">
        <f t="shared" si="0"/>
        <v>5</v>
      </c>
      <c r="G64" s="52">
        <f>+'01.09.68'!G64+'02.09.68'!G64+'03.09.68'!G64+'04.09.68'!G64+'05.09.68'!G64+'06.09.68'!G64+'07.09.68'!G64+'08.09.68'!G64+'09.09.68'!G64+'10.09.68'!G64+'11.09.68'!G64+'12.09.68'!G64+'13.09.68'!G64+'14.09.68'!G64+'15.09.68'!G64+'16.09.68'!G64+'17.09.68'!G64+'18.09.68'!G64+'19.09.68'!G64+'20.09.68'!G64+'21.09.68'!G64+'22.09.68'!G64+'23.09.68'!G64+'24.09.68'!G64+'25.09.68'!G64+'26.09.68'!G64+'27.09.68'!G64+'28.09.68'!G64+'29.09.68'!G64+'30.09.68'!G64</f>
        <v>0</v>
      </c>
      <c r="H64" s="52">
        <f>+'01.09.68'!H64+'02.09.68'!H64+'03.09.68'!H64+'04.09.68'!H64+'05.09.68'!H64+'06.09.68'!H64+'07.09.68'!H64+'08.09.68'!H64+'09.09.68'!H64+'10.09.68'!H64+'11.09.68'!H64+'12.09.68'!H64+'13.09.68'!H64+'14.09.68'!H64+'15.09.68'!H64+'16.09.68'!H64+'17.09.68'!H64+'18.09.68'!H64+'19.09.68'!H64+'20.09.68'!H64+'21.09.68'!H64+'22.09.68'!H64+'23.09.68'!H64+'24.09.68'!H64+'25.09.68'!H64+'26.09.68'!H64+'27.09.68'!H64+'28.09.68'!H64+'29.09.68'!H64+'30.09.68'!H64</f>
        <v>0</v>
      </c>
      <c r="I64" s="65">
        <f t="shared" si="1"/>
        <v>0</v>
      </c>
      <c r="J64" s="52">
        <f>+'01.09.68'!J64+'02.09.68'!J64+'03.09.68'!J64+'04.09.68'!J64+'05.09.68'!J64+'06.09.68'!J64+'07.09.68'!J64+'08.09.68'!J64+'09.09.68'!J64+'10.09.68'!J64+'11.09.68'!J64+'12.09.68'!J64+'13.09.68'!J64+'14.09.68'!J64+'15.09.68'!J64+'16.09.68'!J64+'17.09.68'!J64+'18.09.68'!J64+'19.09.68'!J64+'20.09.68'!J64+'21.09.68'!J64+'22.09.68'!J64+'23.09.68'!J64+'24.09.68'!J64+'25.09.68'!J64+'26.09.68'!J64+'27.09.68'!J64+'28.09.68'!J64+'29.09.68'!J64+'30.09.68'!J64</f>
        <v>0</v>
      </c>
      <c r="K64" s="52">
        <f>+'01.09.68'!K64+'02.09.68'!K64+'03.09.68'!K64+'04.09.68'!K64+'05.09.68'!K64+'06.09.68'!K64+'07.09.68'!K64+'08.09.68'!K64+'09.09.68'!K64+'10.09.68'!K64+'11.09.68'!K64+'12.09.68'!K64+'13.09.68'!K64+'14.09.68'!K64+'15.09.68'!K64+'16.09.68'!K64+'17.09.68'!K64+'18.09.68'!K64+'19.09.68'!K64+'20.09.68'!K64+'21.09.68'!K64+'22.09.68'!K64+'23.09.68'!K64+'24.09.68'!K64+'25.09.68'!K64+'26.09.68'!K64+'27.09.68'!K64+'28.09.68'!K64+'29.09.68'!K64+'30.09.68'!K64</f>
        <v>0</v>
      </c>
      <c r="L64" s="65">
        <f t="shared" si="2"/>
        <v>0</v>
      </c>
      <c r="M64" s="52">
        <f>+'01.09.68'!M64+'02.09.68'!M64+'03.09.68'!M64+'04.09.68'!M64+'05.09.68'!M64+'06.09.68'!M64+'07.09.68'!M64+'08.09.68'!M64+'09.09.68'!M64+'10.09.68'!M64+'11.09.68'!M64+'12.09.68'!M64+'13.09.68'!M64+'14.09.68'!M64+'15.09.68'!M64+'16.09.68'!M64+'17.09.68'!M64+'18.09.68'!M64+'19.09.68'!M64+'20.09.68'!M64+'21.09.68'!M64+'22.09.68'!M64+'23.09.68'!M64+'24.09.68'!M64+'25.09.68'!M64+'26.09.68'!M64+'27.09.68'!M64+'28.09.68'!M64+'29.09.68'!M64+'30.09.68'!M64</f>
        <v>0</v>
      </c>
      <c r="N64" s="52">
        <f>+'01.09.68'!N64+'02.09.68'!N64+'03.09.68'!N64+'04.09.68'!N64+'05.09.68'!N64+'06.09.68'!N64+'07.09.68'!N64+'08.09.68'!N64+'09.09.68'!N64+'10.09.68'!N64+'11.09.68'!N64+'12.09.68'!N64+'13.09.68'!N64+'14.09.68'!N64+'15.09.68'!N64+'16.09.68'!N64+'17.09.68'!N64+'18.09.68'!N64+'19.09.68'!N64+'20.09.68'!N64+'21.09.68'!N64+'22.09.68'!N64+'23.09.68'!N64+'24.09.68'!N64+'25.09.68'!N64+'26.09.68'!N64+'27.09.68'!N64+'28.09.68'!N64+'29.09.68'!N64+'30.09.68'!N64</f>
        <v>0</v>
      </c>
      <c r="O64" s="65">
        <f t="shared" si="3"/>
        <v>0</v>
      </c>
      <c r="P64" s="52">
        <f>+'01.09.68'!P64+'02.09.68'!P64+'03.09.68'!P64+'04.09.68'!P64+'05.09.68'!P64+'06.09.68'!P64+'07.09.68'!P64+'08.09.68'!P64+'09.09.68'!P64+'10.09.68'!P64+'11.09.68'!P64+'12.09.68'!P64+'13.09.68'!P64+'14.09.68'!P64+'15.09.68'!P64+'16.09.68'!P64+'17.09.68'!P64+'18.09.68'!P64+'19.09.68'!P64+'20.09.68'!P64+'21.09.68'!P64+'22.09.68'!P64+'23.09.68'!P64+'24.09.68'!P64+'25.09.68'!P64+'26.09.68'!P64+'27.09.68'!P64+'28.09.68'!P64+'29.09.68'!P64+'30.09.68'!P64</f>
        <v>0</v>
      </c>
      <c r="Q64" s="52">
        <f>+'01.09.68'!Q64+'02.09.68'!Q64+'03.09.68'!Q64+'04.09.68'!Q64+'05.09.68'!Q64+'06.09.68'!Q64+'07.09.68'!Q64+'08.09.68'!Q64+'09.09.68'!Q64+'10.09.68'!Q64+'11.09.68'!Q64+'12.09.68'!Q64+'13.09.68'!Q64+'14.09.68'!Q64+'15.09.68'!Q64+'16.09.68'!Q64+'17.09.68'!Q64+'18.09.68'!Q64+'19.09.68'!Q64+'20.09.68'!Q64+'21.09.68'!Q64+'22.09.68'!Q64+'23.09.68'!Q64+'24.09.68'!Q64+'25.09.68'!Q64+'26.09.68'!Q64+'27.09.68'!Q64+'28.09.68'!Q64+'29.09.68'!Q64+'30.09.68'!Q64</f>
        <v>0</v>
      </c>
      <c r="R64" s="65">
        <f t="shared" si="4"/>
        <v>0</v>
      </c>
      <c r="S64" s="52">
        <f>+'01.09.68'!S64+'02.09.68'!S64+'03.09.68'!S64+'04.09.68'!S64+'05.09.68'!S64+'06.09.68'!S64+'07.09.68'!S64+'08.09.68'!S64+'09.09.68'!S64+'10.09.68'!S64+'11.09.68'!S64+'12.09.68'!S64+'13.09.68'!S64+'14.09.68'!S64+'15.09.68'!S64+'16.09.68'!S64+'17.09.68'!S64+'18.09.68'!S64+'19.09.68'!S64+'20.09.68'!S64+'21.09.68'!S64+'22.09.68'!S64+'23.09.68'!S64+'24.09.68'!S64+'25.09.68'!S64+'26.09.68'!S64+'27.09.68'!S64+'28.09.68'!S64+'29.09.68'!S64+'30.09.68'!S64</f>
        <v>0</v>
      </c>
      <c r="T64" s="52">
        <f>+'01.09.68'!T64+'02.09.68'!T64+'03.09.68'!T64+'04.09.68'!T64+'05.09.68'!T64+'06.09.68'!T64+'07.09.68'!T64+'08.09.68'!T64+'09.09.68'!T64+'10.09.68'!T64+'11.09.68'!T64+'12.09.68'!T64+'13.09.68'!T64+'14.09.68'!T64+'15.09.68'!T64+'16.09.68'!T64+'17.09.68'!T64+'18.09.68'!T64+'19.09.68'!T64+'20.09.68'!T64+'21.09.68'!T64+'22.09.68'!T64+'23.09.68'!T64+'24.09.68'!T64+'25.09.68'!T64+'26.09.68'!T64+'27.09.68'!T64+'28.09.68'!T64+'29.09.68'!T64+'30.09.68'!T64</f>
        <v>0</v>
      </c>
      <c r="U64" s="65">
        <f t="shared" si="5"/>
        <v>0</v>
      </c>
      <c r="V64" s="52">
        <f>+'01.09.68'!V64+'02.09.68'!V64+'03.09.68'!V64+'04.09.68'!V64+'05.09.68'!V64+'06.09.68'!V64+'07.09.68'!V64+'08.09.68'!V64+'09.09.68'!V64+'10.09.68'!V64+'11.09.68'!V64+'12.09.68'!V64+'13.09.68'!V64+'14.09.68'!V64+'15.09.68'!V64+'16.09.68'!V64+'17.09.68'!V64+'18.09.68'!V64+'19.09.68'!V64+'20.09.68'!V64+'21.09.68'!V64+'22.09.68'!V64+'23.09.68'!V64+'24.09.68'!V64+'25.09.68'!V64+'26.09.68'!V64+'27.09.68'!V64+'28.09.68'!V64+'29.09.68'!V64+'30.09.68'!V64</f>
        <v>0</v>
      </c>
      <c r="W64" s="52">
        <f>+'01.09.68'!W64+'02.09.68'!W64+'03.09.68'!W64+'04.09.68'!W64+'05.09.68'!W64+'06.09.68'!W64+'07.09.68'!W64+'08.09.68'!W64+'09.09.68'!W64+'10.09.68'!W64+'11.09.68'!W64+'12.09.68'!W64+'13.09.68'!W64+'14.09.68'!W64+'15.09.68'!W64+'16.09.68'!W64+'17.09.68'!W64+'18.09.68'!W64+'19.09.68'!W64+'20.09.68'!W64+'21.09.68'!W64+'22.09.68'!W64+'23.09.68'!W64+'24.09.68'!W64+'25.09.68'!W64+'26.09.68'!W64+'27.09.68'!W64+'28.09.68'!W64+'29.09.68'!W64+'30.09.68'!W64</f>
        <v>0</v>
      </c>
      <c r="X64" s="65">
        <f t="shared" si="6"/>
        <v>0</v>
      </c>
      <c r="Y64" s="52">
        <f>+'01.09.68'!Y64+'02.09.68'!Y64+'03.09.68'!Y64+'04.09.68'!Y64+'05.09.68'!Y64+'06.09.68'!Y64+'07.09.68'!Y64+'08.09.68'!Y64+'09.09.68'!Y64+'10.09.68'!Y64+'11.09.68'!Y64+'12.09.68'!Y64+'13.09.68'!Y64+'14.09.68'!Y64+'15.09.68'!Y64+'16.09.68'!Y64+'17.09.68'!Y64+'18.09.68'!Y64+'19.09.68'!Y64+'20.09.68'!Y64+'21.09.68'!Y64+'22.09.68'!Y64+'23.09.68'!Y64+'24.09.68'!Y64+'25.09.68'!Y64+'26.09.68'!Y64+'27.09.68'!Y64+'28.09.68'!Y64+'29.09.68'!Y64+'30.09.68'!Y64</f>
        <v>0</v>
      </c>
      <c r="Z64" s="66">
        <f t="shared" si="7"/>
        <v>5</v>
      </c>
    </row>
    <row r="65" spans="2:26">
      <c r="B65" s="50">
        <v>1100003</v>
      </c>
      <c r="C65" s="53" t="s">
        <v>186</v>
      </c>
      <c r="D65" s="52">
        <f>+'01.09.68'!D65+'02.09.68'!D65+'03.09.68'!D65+'04.09.68'!D65+'05.09.68'!D65+'06.09.68'!D65+'07.09.68'!D65+'08.09.68'!D65+'09.09.68'!D65+'10.09.68'!D65+'11.09.68'!D65+'12.09.68'!D65+'13.09.68'!D65+'14.09.68'!D65+'15.09.68'!D65+'16.09.68'!D65+'17.09.68'!D65+'18.09.68'!D65+'19.09.68'!D65+'20.09.68'!D65+'21.09.68'!D65+'22.09.68'!D65+'23.09.68'!D65+'24.09.68'!D65+'25.09.68'!D65+'26.09.68'!D65+'27.09.68'!D65+'28.09.68'!D65+'29.09.68'!D65+'30.09.68'!D65</f>
        <v>0</v>
      </c>
      <c r="E65" s="52">
        <f>+'01.09.68'!E65+'02.09.68'!E65+'03.09.68'!E65+'04.09.68'!E65+'05.09.68'!E65+'06.09.68'!E65+'07.09.68'!E65+'08.09.68'!E65+'09.09.68'!E65+'10.09.68'!E65+'11.09.68'!E65+'12.09.68'!E65+'13.09.68'!E65+'14.09.68'!E65+'15.09.68'!E65+'16.09.68'!E65+'17.09.68'!E65+'18.09.68'!E65+'19.09.68'!E65+'20.09.68'!E65+'21.09.68'!E65+'22.09.68'!E65+'23.09.68'!E65+'24.09.68'!E65+'25.09.68'!E65+'26.09.68'!E65+'27.09.68'!E65+'28.09.68'!E65+'29.09.68'!E65+'30.09.68'!E65</f>
        <v>0</v>
      </c>
      <c r="F65" s="65">
        <f t="shared" si="0"/>
        <v>0</v>
      </c>
      <c r="G65" s="52">
        <f>+'01.09.68'!G65+'02.09.68'!G65+'03.09.68'!G65+'04.09.68'!G65+'05.09.68'!G65+'06.09.68'!G65+'07.09.68'!G65+'08.09.68'!G65+'09.09.68'!G65+'10.09.68'!G65+'11.09.68'!G65+'12.09.68'!G65+'13.09.68'!G65+'14.09.68'!G65+'15.09.68'!G65+'16.09.68'!G65+'17.09.68'!G65+'18.09.68'!G65+'19.09.68'!G65+'20.09.68'!G65+'21.09.68'!G65+'22.09.68'!G65+'23.09.68'!G65+'24.09.68'!G65+'25.09.68'!G65+'26.09.68'!G65+'27.09.68'!G65+'28.09.68'!G65+'29.09.68'!G65+'30.09.68'!G65</f>
        <v>0</v>
      </c>
      <c r="H65" s="52">
        <f>+'01.09.68'!H65+'02.09.68'!H65+'03.09.68'!H65+'04.09.68'!H65+'05.09.68'!H65+'06.09.68'!H65+'07.09.68'!H65+'08.09.68'!H65+'09.09.68'!H65+'10.09.68'!H65+'11.09.68'!H65+'12.09.68'!H65+'13.09.68'!H65+'14.09.68'!H65+'15.09.68'!H65+'16.09.68'!H65+'17.09.68'!H65+'18.09.68'!H65+'19.09.68'!H65+'20.09.68'!H65+'21.09.68'!H65+'22.09.68'!H65+'23.09.68'!H65+'24.09.68'!H65+'25.09.68'!H65+'26.09.68'!H65+'27.09.68'!H65+'28.09.68'!H65+'29.09.68'!H65+'30.09.68'!H65</f>
        <v>0</v>
      </c>
      <c r="I65" s="65">
        <f t="shared" si="1"/>
        <v>0</v>
      </c>
      <c r="J65" s="52">
        <f>+'01.09.68'!J65+'02.09.68'!J65+'03.09.68'!J65+'04.09.68'!J65+'05.09.68'!J65+'06.09.68'!J65+'07.09.68'!J65+'08.09.68'!J65+'09.09.68'!J65+'10.09.68'!J65+'11.09.68'!J65+'12.09.68'!J65+'13.09.68'!J65+'14.09.68'!J65+'15.09.68'!J65+'16.09.68'!J65+'17.09.68'!J65+'18.09.68'!J65+'19.09.68'!J65+'20.09.68'!J65+'21.09.68'!J65+'22.09.68'!J65+'23.09.68'!J65+'24.09.68'!J65+'25.09.68'!J65+'26.09.68'!J65+'27.09.68'!J65+'28.09.68'!J65+'29.09.68'!J65+'30.09.68'!J65</f>
        <v>0</v>
      </c>
      <c r="K65" s="52">
        <f>+'01.09.68'!K65+'02.09.68'!K65+'03.09.68'!K65+'04.09.68'!K65+'05.09.68'!K65+'06.09.68'!K65+'07.09.68'!K65+'08.09.68'!K65+'09.09.68'!K65+'10.09.68'!K65+'11.09.68'!K65+'12.09.68'!K65+'13.09.68'!K65+'14.09.68'!K65+'15.09.68'!K65+'16.09.68'!K65+'17.09.68'!K65+'18.09.68'!K65+'19.09.68'!K65+'20.09.68'!K65+'21.09.68'!K65+'22.09.68'!K65+'23.09.68'!K65+'24.09.68'!K65+'25.09.68'!K65+'26.09.68'!K65+'27.09.68'!K65+'28.09.68'!K65+'29.09.68'!K65+'30.09.68'!K65</f>
        <v>0</v>
      </c>
      <c r="L65" s="65">
        <f t="shared" si="2"/>
        <v>0</v>
      </c>
      <c r="M65" s="52">
        <f>+'01.09.68'!M65+'02.09.68'!M65+'03.09.68'!M65+'04.09.68'!M65+'05.09.68'!M65+'06.09.68'!M65+'07.09.68'!M65+'08.09.68'!M65+'09.09.68'!M65+'10.09.68'!M65+'11.09.68'!M65+'12.09.68'!M65+'13.09.68'!M65+'14.09.68'!M65+'15.09.68'!M65+'16.09.68'!M65+'17.09.68'!M65+'18.09.68'!M65+'19.09.68'!M65+'20.09.68'!M65+'21.09.68'!M65+'22.09.68'!M65+'23.09.68'!M65+'24.09.68'!M65+'25.09.68'!M65+'26.09.68'!M65+'27.09.68'!M65+'28.09.68'!M65+'29.09.68'!M65+'30.09.68'!M65</f>
        <v>0</v>
      </c>
      <c r="N65" s="52">
        <f>+'01.09.68'!N65+'02.09.68'!N65+'03.09.68'!N65+'04.09.68'!N65+'05.09.68'!N65+'06.09.68'!N65+'07.09.68'!N65+'08.09.68'!N65+'09.09.68'!N65+'10.09.68'!N65+'11.09.68'!N65+'12.09.68'!N65+'13.09.68'!N65+'14.09.68'!N65+'15.09.68'!N65+'16.09.68'!N65+'17.09.68'!N65+'18.09.68'!N65+'19.09.68'!N65+'20.09.68'!N65+'21.09.68'!N65+'22.09.68'!N65+'23.09.68'!N65+'24.09.68'!N65+'25.09.68'!N65+'26.09.68'!N65+'27.09.68'!N65+'28.09.68'!N65+'29.09.68'!N65+'30.09.68'!N65</f>
        <v>0</v>
      </c>
      <c r="O65" s="65">
        <f t="shared" si="3"/>
        <v>0</v>
      </c>
      <c r="P65" s="52">
        <f>+'01.09.68'!P65+'02.09.68'!P65+'03.09.68'!P65+'04.09.68'!P65+'05.09.68'!P65+'06.09.68'!P65+'07.09.68'!P65+'08.09.68'!P65+'09.09.68'!P65+'10.09.68'!P65+'11.09.68'!P65+'12.09.68'!P65+'13.09.68'!P65+'14.09.68'!P65+'15.09.68'!P65+'16.09.68'!P65+'17.09.68'!P65+'18.09.68'!P65+'19.09.68'!P65+'20.09.68'!P65+'21.09.68'!P65+'22.09.68'!P65+'23.09.68'!P65+'24.09.68'!P65+'25.09.68'!P65+'26.09.68'!P65+'27.09.68'!P65+'28.09.68'!P65+'29.09.68'!P65+'30.09.68'!P65</f>
        <v>0</v>
      </c>
      <c r="Q65" s="52">
        <f>+'01.09.68'!Q65+'02.09.68'!Q65+'03.09.68'!Q65+'04.09.68'!Q65+'05.09.68'!Q65+'06.09.68'!Q65+'07.09.68'!Q65+'08.09.68'!Q65+'09.09.68'!Q65+'10.09.68'!Q65+'11.09.68'!Q65+'12.09.68'!Q65+'13.09.68'!Q65+'14.09.68'!Q65+'15.09.68'!Q65+'16.09.68'!Q65+'17.09.68'!Q65+'18.09.68'!Q65+'19.09.68'!Q65+'20.09.68'!Q65+'21.09.68'!Q65+'22.09.68'!Q65+'23.09.68'!Q65+'24.09.68'!Q65+'25.09.68'!Q65+'26.09.68'!Q65+'27.09.68'!Q65+'28.09.68'!Q65+'29.09.68'!Q65+'30.09.68'!Q65</f>
        <v>0</v>
      </c>
      <c r="R65" s="65">
        <f t="shared" si="4"/>
        <v>0</v>
      </c>
      <c r="S65" s="52">
        <f>+'01.09.68'!S65+'02.09.68'!S65+'03.09.68'!S65+'04.09.68'!S65+'05.09.68'!S65+'06.09.68'!S65+'07.09.68'!S65+'08.09.68'!S65+'09.09.68'!S65+'10.09.68'!S65+'11.09.68'!S65+'12.09.68'!S65+'13.09.68'!S65+'14.09.68'!S65+'15.09.68'!S65+'16.09.68'!S65+'17.09.68'!S65+'18.09.68'!S65+'19.09.68'!S65+'20.09.68'!S65+'21.09.68'!S65+'22.09.68'!S65+'23.09.68'!S65+'24.09.68'!S65+'25.09.68'!S65+'26.09.68'!S65+'27.09.68'!S65+'28.09.68'!S65+'29.09.68'!S65+'30.09.68'!S65</f>
        <v>0</v>
      </c>
      <c r="T65" s="52">
        <f>+'01.09.68'!T65+'02.09.68'!T65+'03.09.68'!T65+'04.09.68'!T65+'05.09.68'!T65+'06.09.68'!T65+'07.09.68'!T65+'08.09.68'!T65+'09.09.68'!T65+'10.09.68'!T65+'11.09.68'!T65+'12.09.68'!T65+'13.09.68'!T65+'14.09.68'!T65+'15.09.68'!T65+'16.09.68'!T65+'17.09.68'!T65+'18.09.68'!T65+'19.09.68'!T65+'20.09.68'!T65+'21.09.68'!T65+'22.09.68'!T65+'23.09.68'!T65+'24.09.68'!T65+'25.09.68'!T65+'26.09.68'!T65+'27.09.68'!T65+'28.09.68'!T65+'29.09.68'!T65+'30.09.68'!T65</f>
        <v>0</v>
      </c>
      <c r="U65" s="65">
        <f t="shared" si="5"/>
        <v>0</v>
      </c>
      <c r="V65" s="52">
        <f>+'01.09.68'!V65+'02.09.68'!V65+'03.09.68'!V65+'04.09.68'!V65+'05.09.68'!V65+'06.09.68'!V65+'07.09.68'!V65+'08.09.68'!V65+'09.09.68'!V65+'10.09.68'!V65+'11.09.68'!V65+'12.09.68'!V65+'13.09.68'!V65+'14.09.68'!V65+'15.09.68'!V65+'16.09.68'!V65+'17.09.68'!V65+'18.09.68'!V65+'19.09.68'!V65+'20.09.68'!V65+'21.09.68'!V65+'22.09.68'!V65+'23.09.68'!V65+'24.09.68'!V65+'25.09.68'!V65+'26.09.68'!V65+'27.09.68'!V65+'28.09.68'!V65+'29.09.68'!V65+'30.09.68'!V65</f>
        <v>0</v>
      </c>
      <c r="W65" s="52">
        <f>+'01.09.68'!W65+'02.09.68'!W65+'03.09.68'!W65+'04.09.68'!W65+'05.09.68'!W65+'06.09.68'!W65+'07.09.68'!W65+'08.09.68'!W65+'09.09.68'!W65+'10.09.68'!W65+'11.09.68'!W65+'12.09.68'!W65+'13.09.68'!W65+'14.09.68'!W65+'15.09.68'!W65+'16.09.68'!W65+'17.09.68'!W65+'18.09.68'!W65+'19.09.68'!W65+'20.09.68'!W65+'21.09.68'!W65+'22.09.68'!W65+'23.09.68'!W65+'24.09.68'!W65+'25.09.68'!W65+'26.09.68'!W65+'27.09.68'!W65+'28.09.68'!W65+'29.09.68'!W65+'30.09.68'!W65</f>
        <v>0</v>
      </c>
      <c r="X65" s="65">
        <f t="shared" si="6"/>
        <v>0</v>
      </c>
      <c r="Y65" s="52">
        <f>+'01.09.68'!Y65+'02.09.68'!Y65+'03.09.68'!Y65+'04.09.68'!Y65+'05.09.68'!Y65+'06.09.68'!Y65+'07.09.68'!Y65+'08.09.68'!Y65+'09.09.68'!Y65+'10.09.68'!Y65+'11.09.68'!Y65+'12.09.68'!Y65+'13.09.68'!Y65+'14.09.68'!Y65+'15.09.68'!Y65+'16.09.68'!Y65+'17.09.68'!Y65+'18.09.68'!Y65+'19.09.68'!Y65+'20.09.68'!Y65+'21.09.68'!Y65+'22.09.68'!Y65+'23.09.68'!Y65+'24.09.68'!Y65+'25.09.68'!Y65+'26.09.68'!Y65+'27.09.68'!Y65+'28.09.68'!Y65+'29.09.68'!Y65+'30.09.68'!Y65</f>
        <v>0</v>
      </c>
      <c r="Z65" s="66">
        <f t="shared" si="7"/>
        <v>0</v>
      </c>
    </row>
    <row r="66" spans="2:26">
      <c r="B66" s="50">
        <v>20039042</v>
      </c>
      <c r="C66" s="53" t="s">
        <v>205</v>
      </c>
      <c r="D66" s="52">
        <f>+'01.09.68'!D66+'02.09.68'!D66+'03.09.68'!D66+'04.09.68'!D66+'05.09.68'!D66+'06.09.68'!D66+'07.09.68'!D66+'08.09.68'!D66+'09.09.68'!D66+'10.09.68'!D66+'11.09.68'!D66+'12.09.68'!D66+'13.09.68'!D66+'14.09.68'!D66+'15.09.68'!D66+'16.09.68'!D66+'17.09.68'!D66+'18.09.68'!D66+'19.09.68'!D66+'20.09.68'!D66+'21.09.68'!D66+'22.09.68'!D66+'23.09.68'!D66+'24.09.68'!D66+'25.09.68'!D66+'26.09.68'!D66+'27.09.68'!D66+'28.09.68'!D66+'29.09.68'!D66+'30.09.68'!D66</f>
        <v>0</v>
      </c>
      <c r="E66" s="52">
        <f>+'01.09.68'!E66+'02.09.68'!E66+'03.09.68'!E66+'04.09.68'!E66+'05.09.68'!E66+'06.09.68'!E66+'07.09.68'!E66+'08.09.68'!E66+'09.09.68'!E66+'10.09.68'!E66+'11.09.68'!E66+'12.09.68'!E66+'13.09.68'!E66+'14.09.68'!E66+'15.09.68'!E66+'16.09.68'!E66+'17.09.68'!E66+'18.09.68'!E66+'19.09.68'!E66+'20.09.68'!E66+'21.09.68'!E66+'22.09.68'!E66+'23.09.68'!E66+'24.09.68'!E66+'25.09.68'!E66+'26.09.68'!E66+'27.09.68'!E66+'28.09.68'!E66+'29.09.68'!E66+'30.09.68'!E66</f>
        <v>0</v>
      </c>
      <c r="F66" s="65">
        <f t="shared" si="0"/>
        <v>0</v>
      </c>
      <c r="G66" s="52">
        <f>+'01.09.68'!G66+'02.09.68'!G66+'03.09.68'!G66+'04.09.68'!G66+'05.09.68'!G66+'06.09.68'!G66+'07.09.68'!G66+'08.09.68'!G66+'09.09.68'!G66+'10.09.68'!G66+'11.09.68'!G66+'12.09.68'!G66+'13.09.68'!G66+'14.09.68'!G66+'15.09.68'!G66+'16.09.68'!G66+'17.09.68'!G66+'18.09.68'!G66+'19.09.68'!G66+'20.09.68'!G66+'21.09.68'!G66+'22.09.68'!G66+'23.09.68'!G66+'24.09.68'!G66+'25.09.68'!G66+'26.09.68'!G66+'27.09.68'!G66+'28.09.68'!G66+'29.09.68'!G66+'30.09.68'!G66</f>
        <v>0</v>
      </c>
      <c r="H66" s="52">
        <f>+'01.09.68'!H66+'02.09.68'!H66+'03.09.68'!H66+'04.09.68'!H66+'05.09.68'!H66+'06.09.68'!H66+'07.09.68'!H66+'08.09.68'!H66+'09.09.68'!H66+'10.09.68'!H66+'11.09.68'!H66+'12.09.68'!H66+'13.09.68'!H66+'14.09.68'!H66+'15.09.68'!H66+'16.09.68'!H66+'17.09.68'!H66+'18.09.68'!H66+'19.09.68'!H66+'20.09.68'!H66+'21.09.68'!H66+'22.09.68'!H66+'23.09.68'!H66+'24.09.68'!H66+'25.09.68'!H66+'26.09.68'!H66+'27.09.68'!H66+'28.09.68'!H66+'29.09.68'!H66+'30.09.68'!H66</f>
        <v>0</v>
      </c>
      <c r="I66" s="65">
        <f t="shared" si="1"/>
        <v>0</v>
      </c>
      <c r="J66" s="52">
        <f>+'01.09.68'!J66+'02.09.68'!J66+'03.09.68'!J66+'04.09.68'!J66+'05.09.68'!J66+'06.09.68'!J66+'07.09.68'!J66+'08.09.68'!J66+'09.09.68'!J66+'10.09.68'!J66+'11.09.68'!J66+'12.09.68'!J66+'13.09.68'!J66+'14.09.68'!J66+'15.09.68'!J66+'16.09.68'!J66+'17.09.68'!J66+'18.09.68'!J66+'19.09.68'!J66+'20.09.68'!J66+'21.09.68'!J66+'22.09.68'!J66+'23.09.68'!J66+'24.09.68'!J66+'25.09.68'!J66+'26.09.68'!J66+'27.09.68'!J66+'28.09.68'!J66+'29.09.68'!J66+'30.09.68'!J66</f>
        <v>0</v>
      </c>
      <c r="K66" s="52">
        <f>+'01.09.68'!K66+'02.09.68'!K66+'03.09.68'!K66+'04.09.68'!K66+'05.09.68'!K66+'06.09.68'!K66+'07.09.68'!K66+'08.09.68'!K66+'09.09.68'!K66+'10.09.68'!K66+'11.09.68'!K66+'12.09.68'!K66+'13.09.68'!K66+'14.09.68'!K66+'15.09.68'!K66+'16.09.68'!K66+'17.09.68'!K66+'18.09.68'!K66+'19.09.68'!K66+'20.09.68'!K66+'21.09.68'!K66+'22.09.68'!K66+'23.09.68'!K66+'24.09.68'!K66+'25.09.68'!K66+'26.09.68'!K66+'27.09.68'!K66+'28.09.68'!K66+'29.09.68'!K66+'30.09.68'!K66</f>
        <v>0</v>
      </c>
      <c r="L66" s="65">
        <f t="shared" si="2"/>
        <v>0</v>
      </c>
      <c r="M66" s="52">
        <f>+'01.09.68'!M66+'02.09.68'!M66+'03.09.68'!M66+'04.09.68'!M66+'05.09.68'!M66+'06.09.68'!M66+'07.09.68'!M66+'08.09.68'!M66+'09.09.68'!M66+'10.09.68'!M66+'11.09.68'!M66+'12.09.68'!M66+'13.09.68'!M66+'14.09.68'!M66+'15.09.68'!M66+'16.09.68'!M66+'17.09.68'!M66+'18.09.68'!M66+'19.09.68'!M66+'20.09.68'!M66+'21.09.68'!M66+'22.09.68'!M66+'23.09.68'!M66+'24.09.68'!M66+'25.09.68'!M66+'26.09.68'!M66+'27.09.68'!M66+'28.09.68'!M66+'29.09.68'!M66+'30.09.68'!M66</f>
        <v>0</v>
      </c>
      <c r="N66" s="52">
        <f>+'01.09.68'!N66+'02.09.68'!N66+'03.09.68'!N66+'04.09.68'!N66+'05.09.68'!N66+'06.09.68'!N66+'07.09.68'!N66+'08.09.68'!N66+'09.09.68'!N66+'10.09.68'!N66+'11.09.68'!N66+'12.09.68'!N66+'13.09.68'!N66+'14.09.68'!N66+'15.09.68'!N66+'16.09.68'!N66+'17.09.68'!N66+'18.09.68'!N66+'19.09.68'!N66+'20.09.68'!N66+'21.09.68'!N66+'22.09.68'!N66+'23.09.68'!N66+'24.09.68'!N66+'25.09.68'!N66+'26.09.68'!N66+'27.09.68'!N66+'28.09.68'!N66+'29.09.68'!N66+'30.09.68'!N66</f>
        <v>0</v>
      </c>
      <c r="O66" s="65">
        <f t="shared" si="3"/>
        <v>0</v>
      </c>
      <c r="P66" s="52">
        <f>+'01.09.68'!P66+'02.09.68'!P66+'03.09.68'!P66+'04.09.68'!P66+'05.09.68'!P66+'06.09.68'!P66+'07.09.68'!P66+'08.09.68'!P66+'09.09.68'!P66+'10.09.68'!P66+'11.09.68'!P66+'12.09.68'!P66+'13.09.68'!P66+'14.09.68'!P66+'15.09.68'!P66+'16.09.68'!P66+'17.09.68'!P66+'18.09.68'!P66+'19.09.68'!P66+'20.09.68'!P66+'21.09.68'!P66+'22.09.68'!P66+'23.09.68'!P66+'24.09.68'!P66+'25.09.68'!P66+'26.09.68'!P66+'27.09.68'!P66+'28.09.68'!P66+'29.09.68'!P66+'30.09.68'!P66</f>
        <v>0</v>
      </c>
      <c r="Q66" s="52">
        <f>+'01.09.68'!Q66+'02.09.68'!Q66+'03.09.68'!Q66+'04.09.68'!Q66+'05.09.68'!Q66+'06.09.68'!Q66+'07.09.68'!Q66+'08.09.68'!Q66+'09.09.68'!Q66+'10.09.68'!Q66+'11.09.68'!Q66+'12.09.68'!Q66+'13.09.68'!Q66+'14.09.68'!Q66+'15.09.68'!Q66+'16.09.68'!Q66+'17.09.68'!Q66+'18.09.68'!Q66+'19.09.68'!Q66+'20.09.68'!Q66+'21.09.68'!Q66+'22.09.68'!Q66+'23.09.68'!Q66+'24.09.68'!Q66+'25.09.68'!Q66+'26.09.68'!Q66+'27.09.68'!Q66+'28.09.68'!Q66+'29.09.68'!Q66+'30.09.68'!Q66</f>
        <v>0</v>
      </c>
      <c r="R66" s="65">
        <f t="shared" si="4"/>
        <v>0</v>
      </c>
      <c r="S66" s="52">
        <f>+'01.09.68'!S66+'02.09.68'!S66+'03.09.68'!S66+'04.09.68'!S66+'05.09.68'!S66+'06.09.68'!S66+'07.09.68'!S66+'08.09.68'!S66+'09.09.68'!S66+'10.09.68'!S66+'11.09.68'!S66+'12.09.68'!S66+'13.09.68'!S66+'14.09.68'!S66+'15.09.68'!S66+'16.09.68'!S66+'17.09.68'!S66+'18.09.68'!S66+'19.09.68'!S66+'20.09.68'!S66+'21.09.68'!S66+'22.09.68'!S66+'23.09.68'!S66+'24.09.68'!S66+'25.09.68'!S66+'26.09.68'!S66+'27.09.68'!S66+'28.09.68'!S66+'29.09.68'!S66+'30.09.68'!S66</f>
        <v>0</v>
      </c>
      <c r="T66" s="52">
        <f>+'01.09.68'!T66+'02.09.68'!T66+'03.09.68'!T66+'04.09.68'!T66+'05.09.68'!T66+'06.09.68'!T66+'07.09.68'!T66+'08.09.68'!T66+'09.09.68'!T66+'10.09.68'!T66+'11.09.68'!T66+'12.09.68'!T66+'13.09.68'!T66+'14.09.68'!T66+'15.09.68'!T66+'16.09.68'!T66+'17.09.68'!T66+'18.09.68'!T66+'19.09.68'!T66+'20.09.68'!T66+'21.09.68'!T66+'22.09.68'!T66+'23.09.68'!T66+'24.09.68'!T66+'25.09.68'!T66+'26.09.68'!T66+'27.09.68'!T66+'28.09.68'!T66+'29.09.68'!T66+'30.09.68'!T66</f>
        <v>0</v>
      </c>
      <c r="U66" s="65">
        <f t="shared" si="5"/>
        <v>0</v>
      </c>
      <c r="V66" s="52">
        <f>+'01.09.68'!V66+'02.09.68'!V66+'03.09.68'!V66+'04.09.68'!V66+'05.09.68'!V66+'06.09.68'!V66+'07.09.68'!V66+'08.09.68'!V66+'09.09.68'!V66+'10.09.68'!V66+'11.09.68'!V66+'12.09.68'!V66+'13.09.68'!V66+'14.09.68'!V66+'15.09.68'!V66+'16.09.68'!V66+'17.09.68'!V66+'18.09.68'!V66+'19.09.68'!V66+'20.09.68'!V66+'21.09.68'!V66+'22.09.68'!V66+'23.09.68'!V66+'24.09.68'!V66+'25.09.68'!V66+'26.09.68'!V66+'27.09.68'!V66+'28.09.68'!V66+'29.09.68'!V66+'30.09.68'!V66</f>
        <v>0</v>
      </c>
      <c r="W66" s="52">
        <f>+'01.09.68'!W66+'02.09.68'!W66+'03.09.68'!W66+'04.09.68'!W66+'05.09.68'!W66+'06.09.68'!W66+'07.09.68'!W66+'08.09.68'!W66+'09.09.68'!W66+'10.09.68'!W66+'11.09.68'!W66+'12.09.68'!W66+'13.09.68'!W66+'14.09.68'!W66+'15.09.68'!W66+'16.09.68'!W66+'17.09.68'!W66+'18.09.68'!W66+'19.09.68'!W66+'20.09.68'!W66+'21.09.68'!W66+'22.09.68'!W66+'23.09.68'!W66+'24.09.68'!W66+'25.09.68'!W66+'26.09.68'!W66+'27.09.68'!W66+'28.09.68'!W66+'29.09.68'!W66+'30.09.68'!W66</f>
        <v>0</v>
      </c>
      <c r="X66" s="65">
        <f t="shared" si="6"/>
        <v>0</v>
      </c>
      <c r="Y66" s="52">
        <f>+'01.09.68'!Y66+'02.09.68'!Y66+'03.09.68'!Y66+'04.09.68'!Y66+'05.09.68'!Y66+'06.09.68'!Y66+'07.09.68'!Y66+'08.09.68'!Y66+'09.09.68'!Y66+'10.09.68'!Y66+'11.09.68'!Y66+'12.09.68'!Y66+'13.09.68'!Y66+'14.09.68'!Y66+'15.09.68'!Y66+'16.09.68'!Y66+'17.09.68'!Y66+'18.09.68'!Y66+'19.09.68'!Y66+'20.09.68'!Y66+'21.09.68'!Y66+'22.09.68'!Y66+'23.09.68'!Y66+'24.09.68'!Y66+'25.09.68'!Y66+'26.09.68'!Y66+'27.09.68'!Y66+'28.09.68'!Y66+'29.09.68'!Y66+'30.09.68'!Y66</f>
        <v>0</v>
      </c>
      <c r="Z66" s="66">
        <f t="shared" si="7"/>
        <v>0</v>
      </c>
    </row>
    <row r="67" spans="2:26">
      <c r="B67" s="50">
        <v>1114501</v>
      </c>
      <c r="C67" s="53" t="s">
        <v>187</v>
      </c>
      <c r="D67" s="52">
        <f>+'01.09.68'!D67+'02.09.68'!D67+'03.09.68'!D67+'04.09.68'!D67+'05.09.68'!D67+'06.09.68'!D67+'07.09.68'!D67+'08.09.68'!D67+'09.09.68'!D67+'10.09.68'!D67+'11.09.68'!D67+'12.09.68'!D67+'13.09.68'!D67+'14.09.68'!D67+'15.09.68'!D67+'16.09.68'!D67+'17.09.68'!D67+'18.09.68'!D67+'19.09.68'!D67+'20.09.68'!D67+'21.09.68'!D67+'22.09.68'!D67+'23.09.68'!D67+'24.09.68'!D67+'25.09.68'!D67+'26.09.68'!D67+'27.09.68'!D67+'28.09.68'!D67+'29.09.68'!D67+'30.09.68'!D67</f>
        <v>28</v>
      </c>
      <c r="E67" s="52">
        <f>+'01.09.68'!E67+'02.09.68'!E67+'03.09.68'!E67+'04.09.68'!E67+'05.09.68'!E67+'06.09.68'!E67+'07.09.68'!E67+'08.09.68'!E67+'09.09.68'!E67+'10.09.68'!E67+'11.09.68'!E67+'12.09.68'!E67+'13.09.68'!E67+'14.09.68'!E67+'15.09.68'!E67+'16.09.68'!E67+'17.09.68'!E67+'18.09.68'!E67+'19.09.68'!E67+'20.09.68'!E67+'21.09.68'!E67+'22.09.68'!E67+'23.09.68'!E67+'24.09.68'!E67+'25.09.68'!E67+'26.09.68'!E67+'27.09.68'!E67+'28.09.68'!E67+'29.09.68'!E67+'30.09.68'!E67</f>
        <v>1</v>
      </c>
      <c r="F67" s="65">
        <f t="shared" si="0"/>
        <v>29</v>
      </c>
      <c r="G67" s="52">
        <f>+'01.09.68'!G67+'02.09.68'!G67+'03.09.68'!G67+'04.09.68'!G67+'05.09.68'!G67+'06.09.68'!G67+'07.09.68'!G67+'08.09.68'!G67+'09.09.68'!G67+'10.09.68'!G67+'11.09.68'!G67+'12.09.68'!G67+'13.09.68'!G67+'14.09.68'!G67+'15.09.68'!G67+'16.09.68'!G67+'17.09.68'!G67+'18.09.68'!G67+'19.09.68'!G67+'20.09.68'!G67+'21.09.68'!G67+'22.09.68'!G67+'23.09.68'!G67+'24.09.68'!G67+'25.09.68'!G67+'26.09.68'!G67+'27.09.68'!G67+'28.09.68'!G67+'29.09.68'!G67+'30.09.68'!G67</f>
        <v>270</v>
      </c>
      <c r="H67" s="52">
        <f>+'01.09.68'!H67+'02.09.68'!H67+'03.09.68'!H67+'04.09.68'!H67+'05.09.68'!H67+'06.09.68'!H67+'07.09.68'!H67+'08.09.68'!H67+'09.09.68'!H67+'10.09.68'!H67+'11.09.68'!H67+'12.09.68'!H67+'13.09.68'!H67+'14.09.68'!H67+'15.09.68'!H67+'16.09.68'!H67+'17.09.68'!H67+'18.09.68'!H67+'19.09.68'!H67+'20.09.68'!H67+'21.09.68'!H67+'22.09.68'!H67+'23.09.68'!H67+'24.09.68'!H67+'25.09.68'!H67+'26.09.68'!H67+'27.09.68'!H67+'28.09.68'!H67+'29.09.68'!H67+'30.09.68'!H67</f>
        <v>0</v>
      </c>
      <c r="I67" s="65">
        <f t="shared" si="1"/>
        <v>270</v>
      </c>
      <c r="J67" s="52">
        <f>+'01.09.68'!J67+'02.09.68'!J67+'03.09.68'!J67+'04.09.68'!J67+'05.09.68'!J67+'06.09.68'!J67+'07.09.68'!J67+'08.09.68'!J67+'09.09.68'!J67+'10.09.68'!J67+'11.09.68'!J67+'12.09.68'!J67+'13.09.68'!J67+'14.09.68'!J67+'15.09.68'!J67+'16.09.68'!J67+'17.09.68'!J67+'18.09.68'!J67+'19.09.68'!J67+'20.09.68'!J67+'21.09.68'!J67+'22.09.68'!J67+'23.09.68'!J67+'24.09.68'!J67+'25.09.68'!J67+'26.09.68'!J67+'27.09.68'!J67+'28.09.68'!J67+'29.09.68'!J67+'30.09.68'!J67</f>
        <v>123</v>
      </c>
      <c r="K67" s="52">
        <f>+'01.09.68'!K67+'02.09.68'!K67+'03.09.68'!K67+'04.09.68'!K67+'05.09.68'!K67+'06.09.68'!K67+'07.09.68'!K67+'08.09.68'!K67+'09.09.68'!K67+'10.09.68'!K67+'11.09.68'!K67+'12.09.68'!K67+'13.09.68'!K67+'14.09.68'!K67+'15.09.68'!K67+'16.09.68'!K67+'17.09.68'!K67+'18.09.68'!K67+'19.09.68'!K67+'20.09.68'!K67+'21.09.68'!K67+'22.09.68'!K67+'23.09.68'!K67+'24.09.68'!K67+'25.09.68'!K67+'26.09.68'!K67+'27.09.68'!K67+'28.09.68'!K67+'29.09.68'!K67+'30.09.68'!K67</f>
        <v>0</v>
      </c>
      <c r="L67" s="65">
        <f t="shared" si="2"/>
        <v>123</v>
      </c>
      <c r="M67" s="52">
        <f>+'01.09.68'!M67+'02.09.68'!M67+'03.09.68'!M67+'04.09.68'!M67+'05.09.68'!M67+'06.09.68'!M67+'07.09.68'!M67+'08.09.68'!M67+'09.09.68'!M67+'10.09.68'!M67+'11.09.68'!M67+'12.09.68'!M67+'13.09.68'!M67+'14.09.68'!M67+'15.09.68'!M67+'16.09.68'!M67+'17.09.68'!M67+'18.09.68'!M67+'19.09.68'!M67+'20.09.68'!M67+'21.09.68'!M67+'22.09.68'!M67+'23.09.68'!M67+'24.09.68'!M67+'25.09.68'!M67+'26.09.68'!M67+'27.09.68'!M67+'28.09.68'!M67+'29.09.68'!M67+'30.09.68'!M67</f>
        <v>3787</v>
      </c>
      <c r="N67" s="52">
        <f>+'01.09.68'!N67+'02.09.68'!N67+'03.09.68'!N67+'04.09.68'!N67+'05.09.68'!N67+'06.09.68'!N67+'07.09.68'!N67+'08.09.68'!N67+'09.09.68'!N67+'10.09.68'!N67+'11.09.68'!N67+'12.09.68'!N67+'13.09.68'!N67+'14.09.68'!N67+'15.09.68'!N67+'16.09.68'!N67+'17.09.68'!N67+'18.09.68'!N67+'19.09.68'!N67+'20.09.68'!N67+'21.09.68'!N67+'22.09.68'!N67+'23.09.68'!N67+'24.09.68'!N67+'25.09.68'!N67+'26.09.68'!N67+'27.09.68'!N67+'28.09.68'!N67+'29.09.68'!N67+'30.09.68'!N67</f>
        <v>0</v>
      </c>
      <c r="O67" s="65">
        <f t="shared" si="3"/>
        <v>3787</v>
      </c>
      <c r="P67" s="52">
        <f>+'01.09.68'!P67+'02.09.68'!P67+'03.09.68'!P67+'04.09.68'!P67+'05.09.68'!P67+'06.09.68'!P67+'07.09.68'!P67+'08.09.68'!P67+'09.09.68'!P67+'10.09.68'!P67+'11.09.68'!P67+'12.09.68'!P67+'13.09.68'!P67+'14.09.68'!P67+'15.09.68'!P67+'16.09.68'!P67+'17.09.68'!P67+'18.09.68'!P67+'19.09.68'!P67+'20.09.68'!P67+'21.09.68'!P67+'22.09.68'!P67+'23.09.68'!P67+'24.09.68'!P67+'25.09.68'!P67+'26.09.68'!P67+'27.09.68'!P67+'28.09.68'!P67+'29.09.68'!P67+'30.09.68'!P67</f>
        <v>358</v>
      </c>
      <c r="Q67" s="52">
        <f>+'01.09.68'!Q67+'02.09.68'!Q67+'03.09.68'!Q67+'04.09.68'!Q67+'05.09.68'!Q67+'06.09.68'!Q67+'07.09.68'!Q67+'08.09.68'!Q67+'09.09.68'!Q67+'10.09.68'!Q67+'11.09.68'!Q67+'12.09.68'!Q67+'13.09.68'!Q67+'14.09.68'!Q67+'15.09.68'!Q67+'16.09.68'!Q67+'17.09.68'!Q67+'18.09.68'!Q67+'19.09.68'!Q67+'20.09.68'!Q67+'21.09.68'!Q67+'22.09.68'!Q67+'23.09.68'!Q67+'24.09.68'!Q67+'25.09.68'!Q67+'26.09.68'!Q67+'27.09.68'!Q67+'28.09.68'!Q67+'29.09.68'!Q67+'30.09.68'!Q67</f>
        <v>0</v>
      </c>
      <c r="R67" s="65">
        <f t="shared" si="4"/>
        <v>358</v>
      </c>
      <c r="S67" s="52">
        <f>+'01.09.68'!S67+'02.09.68'!S67+'03.09.68'!S67+'04.09.68'!S67+'05.09.68'!S67+'06.09.68'!S67+'07.09.68'!S67+'08.09.68'!S67+'09.09.68'!S67+'10.09.68'!S67+'11.09.68'!S67+'12.09.68'!S67+'13.09.68'!S67+'14.09.68'!S67+'15.09.68'!S67+'16.09.68'!S67+'17.09.68'!S67+'18.09.68'!S67+'19.09.68'!S67+'20.09.68'!S67+'21.09.68'!S67+'22.09.68'!S67+'23.09.68'!S67+'24.09.68'!S67+'25.09.68'!S67+'26.09.68'!S67+'27.09.68'!S67+'28.09.68'!S67+'29.09.68'!S67+'30.09.68'!S67</f>
        <v>0</v>
      </c>
      <c r="T67" s="52">
        <f>+'01.09.68'!T67+'02.09.68'!T67+'03.09.68'!T67+'04.09.68'!T67+'05.09.68'!T67+'06.09.68'!T67+'07.09.68'!T67+'08.09.68'!T67+'09.09.68'!T67+'10.09.68'!T67+'11.09.68'!T67+'12.09.68'!T67+'13.09.68'!T67+'14.09.68'!T67+'15.09.68'!T67+'16.09.68'!T67+'17.09.68'!T67+'18.09.68'!T67+'19.09.68'!T67+'20.09.68'!T67+'21.09.68'!T67+'22.09.68'!T67+'23.09.68'!T67+'24.09.68'!T67+'25.09.68'!T67+'26.09.68'!T67+'27.09.68'!T67+'28.09.68'!T67+'29.09.68'!T67+'30.09.68'!T67</f>
        <v>0</v>
      </c>
      <c r="U67" s="65">
        <f t="shared" si="5"/>
        <v>0</v>
      </c>
      <c r="V67" s="52">
        <f>+'01.09.68'!V67+'02.09.68'!V67+'03.09.68'!V67+'04.09.68'!V67+'05.09.68'!V67+'06.09.68'!V67+'07.09.68'!V67+'08.09.68'!V67+'09.09.68'!V67+'10.09.68'!V67+'11.09.68'!V67+'12.09.68'!V67+'13.09.68'!V67+'14.09.68'!V67+'15.09.68'!V67+'16.09.68'!V67+'17.09.68'!V67+'18.09.68'!V67+'19.09.68'!V67+'20.09.68'!V67+'21.09.68'!V67+'22.09.68'!V67+'23.09.68'!V67+'24.09.68'!V67+'25.09.68'!V67+'26.09.68'!V67+'27.09.68'!V67+'28.09.68'!V67+'29.09.68'!V67+'30.09.68'!V67</f>
        <v>0</v>
      </c>
      <c r="W67" s="52">
        <f>+'01.09.68'!W67+'02.09.68'!W67+'03.09.68'!W67+'04.09.68'!W67+'05.09.68'!W67+'06.09.68'!W67+'07.09.68'!W67+'08.09.68'!W67+'09.09.68'!W67+'10.09.68'!W67+'11.09.68'!W67+'12.09.68'!W67+'13.09.68'!W67+'14.09.68'!W67+'15.09.68'!W67+'16.09.68'!W67+'17.09.68'!W67+'18.09.68'!W67+'19.09.68'!W67+'20.09.68'!W67+'21.09.68'!W67+'22.09.68'!W67+'23.09.68'!W67+'24.09.68'!W67+'25.09.68'!W67+'26.09.68'!W67+'27.09.68'!W67+'28.09.68'!W67+'29.09.68'!W67+'30.09.68'!W67</f>
        <v>0</v>
      </c>
      <c r="X67" s="65">
        <f t="shared" si="6"/>
        <v>0</v>
      </c>
      <c r="Y67" s="52">
        <f>+'01.09.68'!Y67+'02.09.68'!Y67+'03.09.68'!Y67+'04.09.68'!Y67+'05.09.68'!Y67+'06.09.68'!Y67+'07.09.68'!Y67+'08.09.68'!Y67+'09.09.68'!Y67+'10.09.68'!Y67+'11.09.68'!Y67+'12.09.68'!Y67+'13.09.68'!Y67+'14.09.68'!Y67+'15.09.68'!Y67+'16.09.68'!Y67+'17.09.68'!Y67+'18.09.68'!Y67+'19.09.68'!Y67+'20.09.68'!Y67+'21.09.68'!Y67+'22.09.68'!Y67+'23.09.68'!Y67+'24.09.68'!Y67+'25.09.68'!Y67+'26.09.68'!Y67+'27.09.68'!Y67+'28.09.68'!Y67+'29.09.68'!Y67+'30.09.68'!Y67</f>
        <v>0</v>
      </c>
      <c r="Z67" s="66">
        <f t="shared" si="7"/>
        <v>4567</v>
      </c>
    </row>
    <row r="68" spans="2:26">
      <c r="B68" s="50">
        <v>1114502</v>
      </c>
      <c r="C68" s="53" t="s">
        <v>188</v>
      </c>
      <c r="D68" s="52">
        <f>+'01.09.68'!D68+'02.09.68'!D68+'03.09.68'!D68+'04.09.68'!D68+'05.09.68'!D68+'06.09.68'!D68+'07.09.68'!D68+'08.09.68'!D68+'09.09.68'!D68+'10.09.68'!D68+'11.09.68'!D68+'12.09.68'!D68+'13.09.68'!D68+'14.09.68'!D68+'15.09.68'!D68+'16.09.68'!D68+'17.09.68'!D68+'18.09.68'!D68+'19.09.68'!D68+'20.09.68'!D68+'21.09.68'!D68+'22.09.68'!D68+'23.09.68'!D68+'24.09.68'!D68+'25.09.68'!D68+'26.09.68'!D68+'27.09.68'!D68+'28.09.68'!D68+'29.09.68'!D68+'30.09.68'!D68</f>
        <v>31</v>
      </c>
      <c r="E68" s="52">
        <f>+'01.09.68'!E68+'02.09.68'!E68+'03.09.68'!E68+'04.09.68'!E68+'05.09.68'!E68+'06.09.68'!E68+'07.09.68'!E68+'08.09.68'!E68+'09.09.68'!E68+'10.09.68'!E68+'11.09.68'!E68+'12.09.68'!E68+'13.09.68'!E68+'14.09.68'!E68+'15.09.68'!E68+'16.09.68'!E68+'17.09.68'!E68+'18.09.68'!E68+'19.09.68'!E68+'20.09.68'!E68+'21.09.68'!E68+'22.09.68'!E68+'23.09.68'!E68+'24.09.68'!E68+'25.09.68'!E68+'26.09.68'!E68+'27.09.68'!E68+'28.09.68'!E68+'29.09.68'!E68+'30.09.68'!E68</f>
        <v>1</v>
      </c>
      <c r="F68" s="65">
        <f t="shared" si="0"/>
        <v>32</v>
      </c>
      <c r="G68" s="52">
        <f>+'01.09.68'!G68+'02.09.68'!G68+'03.09.68'!G68+'04.09.68'!G68+'05.09.68'!G68+'06.09.68'!G68+'07.09.68'!G68+'08.09.68'!G68+'09.09.68'!G68+'10.09.68'!G68+'11.09.68'!G68+'12.09.68'!G68+'13.09.68'!G68+'14.09.68'!G68+'15.09.68'!G68+'16.09.68'!G68+'17.09.68'!G68+'18.09.68'!G68+'19.09.68'!G68+'20.09.68'!G68+'21.09.68'!G68+'22.09.68'!G68+'23.09.68'!G68+'24.09.68'!G68+'25.09.68'!G68+'26.09.68'!G68+'27.09.68'!G68+'28.09.68'!G68+'29.09.68'!G68+'30.09.68'!G68</f>
        <v>37</v>
      </c>
      <c r="H68" s="52">
        <f>+'01.09.68'!H68+'02.09.68'!H68+'03.09.68'!H68+'04.09.68'!H68+'05.09.68'!H68+'06.09.68'!H68+'07.09.68'!H68+'08.09.68'!H68+'09.09.68'!H68+'10.09.68'!H68+'11.09.68'!H68+'12.09.68'!H68+'13.09.68'!H68+'14.09.68'!H68+'15.09.68'!H68+'16.09.68'!H68+'17.09.68'!H68+'18.09.68'!H68+'19.09.68'!H68+'20.09.68'!H68+'21.09.68'!H68+'22.09.68'!H68+'23.09.68'!H68+'24.09.68'!H68+'25.09.68'!H68+'26.09.68'!H68+'27.09.68'!H68+'28.09.68'!H68+'29.09.68'!H68+'30.09.68'!H68</f>
        <v>0</v>
      </c>
      <c r="I68" s="65">
        <f t="shared" si="1"/>
        <v>37</v>
      </c>
      <c r="J68" s="52">
        <f>+'01.09.68'!J68+'02.09.68'!J68+'03.09.68'!J68+'04.09.68'!J68+'05.09.68'!J68+'06.09.68'!J68+'07.09.68'!J68+'08.09.68'!J68+'09.09.68'!J68+'10.09.68'!J68+'11.09.68'!J68+'12.09.68'!J68+'13.09.68'!J68+'14.09.68'!J68+'15.09.68'!J68+'16.09.68'!J68+'17.09.68'!J68+'18.09.68'!J68+'19.09.68'!J68+'20.09.68'!J68+'21.09.68'!J68+'22.09.68'!J68+'23.09.68'!J68+'24.09.68'!J68+'25.09.68'!J68+'26.09.68'!J68+'27.09.68'!J68+'28.09.68'!J68+'29.09.68'!J68+'30.09.68'!J68</f>
        <v>60</v>
      </c>
      <c r="K68" s="52">
        <f>+'01.09.68'!K68+'02.09.68'!K68+'03.09.68'!K68+'04.09.68'!K68+'05.09.68'!K68+'06.09.68'!K68+'07.09.68'!K68+'08.09.68'!K68+'09.09.68'!K68+'10.09.68'!K68+'11.09.68'!K68+'12.09.68'!K68+'13.09.68'!K68+'14.09.68'!K68+'15.09.68'!K68+'16.09.68'!K68+'17.09.68'!K68+'18.09.68'!K68+'19.09.68'!K68+'20.09.68'!K68+'21.09.68'!K68+'22.09.68'!K68+'23.09.68'!K68+'24.09.68'!K68+'25.09.68'!K68+'26.09.68'!K68+'27.09.68'!K68+'28.09.68'!K68+'29.09.68'!K68+'30.09.68'!K68</f>
        <v>0</v>
      </c>
      <c r="L68" s="65">
        <f t="shared" si="2"/>
        <v>60</v>
      </c>
      <c r="M68" s="52">
        <f>+'01.09.68'!M68+'02.09.68'!M68+'03.09.68'!M68+'04.09.68'!M68+'05.09.68'!M68+'06.09.68'!M68+'07.09.68'!M68+'08.09.68'!M68+'09.09.68'!M68+'10.09.68'!M68+'11.09.68'!M68+'12.09.68'!M68+'13.09.68'!M68+'14.09.68'!M68+'15.09.68'!M68+'16.09.68'!M68+'17.09.68'!M68+'18.09.68'!M68+'19.09.68'!M68+'20.09.68'!M68+'21.09.68'!M68+'22.09.68'!M68+'23.09.68'!M68+'24.09.68'!M68+'25.09.68'!M68+'26.09.68'!M68+'27.09.68'!M68+'28.09.68'!M68+'29.09.68'!M68+'30.09.68'!M68</f>
        <v>3612</v>
      </c>
      <c r="N68" s="52">
        <f>+'01.09.68'!N68+'02.09.68'!N68+'03.09.68'!N68+'04.09.68'!N68+'05.09.68'!N68+'06.09.68'!N68+'07.09.68'!N68+'08.09.68'!N68+'09.09.68'!N68+'10.09.68'!N68+'11.09.68'!N68+'12.09.68'!N68+'13.09.68'!N68+'14.09.68'!N68+'15.09.68'!N68+'16.09.68'!N68+'17.09.68'!N68+'18.09.68'!N68+'19.09.68'!N68+'20.09.68'!N68+'21.09.68'!N68+'22.09.68'!N68+'23.09.68'!N68+'24.09.68'!N68+'25.09.68'!N68+'26.09.68'!N68+'27.09.68'!N68+'28.09.68'!N68+'29.09.68'!N68+'30.09.68'!N68</f>
        <v>0</v>
      </c>
      <c r="O68" s="65">
        <f t="shared" si="3"/>
        <v>3612</v>
      </c>
      <c r="P68" s="52">
        <f>+'01.09.68'!P68+'02.09.68'!P68+'03.09.68'!P68+'04.09.68'!P68+'05.09.68'!P68+'06.09.68'!P68+'07.09.68'!P68+'08.09.68'!P68+'09.09.68'!P68+'10.09.68'!P68+'11.09.68'!P68+'12.09.68'!P68+'13.09.68'!P68+'14.09.68'!P68+'15.09.68'!P68+'16.09.68'!P68+'17.09.68'!P68+'18.09.68'!P68+'19.09.68'!P68+'20.09.68'!P68+'21.09.68'!P68+'22.09.68'!P68+'23.09.68'!P68+'24.09.68'!P68+'25.09.68'!P68+'26.09.68'!P68+'27.09.68'!P68+'28.09.68'!P68+'29.09.68'!P68+'30.09.68'!P68</f>
        <v>346</v>
      </c>
      <c r="Q68" s="52">
        <f>+'01.09.68'!Q68+'02.09.68'!Q68+'03.09.68'!Q68+'04.09.68'!Q68+'05.09.68'!Q68+'06.09.68'!Q68+'07.09.68'!Q68+'08.09.68'!Q68+'09.09.68'!Q68+'10.09.68'!Q68+'11.09.68'!Q68+'12.09.68'!Q68+'13.09.68'!Q68+'14.09.68'!Q68+'15.09.68'!Q68+'16.09.68'!Q68+'17.09.68'!Q68+'18.09.68'!Q68+'19.09.68'!Q68+'20.09.68'!Q68+'21.09.68'!Q68+'22.09.68'!Q68+'23.09.68'!Q68+'24.09.68'!Q68+'25.09.68'!Q68+'26.09.68'!Q68+'27.09.68'!Q68+'28.09.68'!Q68+'29.09.68'!Q68+'30.09.68'!Q68</f>
        <v>0</v>
      </c>
      <c r="R68" s="65">
        <f t="shared" si="4"/>
        <v>346</v>
      </c>
      <c r="S68" s="52">
        <f>+'01.09.68'!S68+'02.09.68'!S68+'03.09.68'!S68+'04.09.68'!S68+'05.09.68'!S68+'06.09.68'!S68+'07.09.68'!S68+'08.09.68'!S68+'09.09.68'!S68+'10.09.68'!S68+'11.09.68'!S68+'12.09.68'!S68+'13.09.68'!S68+'14.09.68'!S68+'15.09.68'!S68+'16.09.68'!S68+'17.09.68'!S68+'18.09.68'!S68+'19.09.68'!S68+'20.09.68'!S68+'21.09.68'!S68+'22.09.68'!S68+'23.09.68'!S68+'24.09.68'!S68+'25.09.68'!S68+'26.09.68'!S68+'27.09.68'!S68+'28.09.68'!S68+'29.09.68'!S68+'30.09.68'!S68</f>
        <v>0</v>
      </c>
      <c r="T68" s="52">
        <f>+'01.09.68'!T68+'02.09.68'!T68+'03.09.68'!T68+'04.09.68'!T68+'05.09.68'!T68+'06.09.68'!T68+'07.09.68'!T68+'08.09.68'!T68+'09.09.68'!T68+'10.09.68'!T68+'11.09.68'!T68+'12.09.68'!T68+'13.09.68'!T68+'14.09.68'!T68+'15.09.68'!T68+'16.09.68'!T68+'17.09.68'!T68+'18.09.68'!T68+'19.09.68'!T68+'20.09.68'!T68+'21.09.68'!T68+'22.09.68'!T68+'23.09.68'!T68+'24.09.68'!T68+'25.09.68'!T68+'26.09.68'!T68+'27.09.68'!T68+'28.09.68'!T68+'29.09.68'!T68+'30.09.68'!T68</f>
        <v>0</v>
      </c>
      <c r="U68" s="65">
        <f t="shared" si="5"/>
        <v>0</v>
      </c>
      <c r="V68" s="52">
        <f>+'01.09.68'!V68+'02.09.68'!V68+'03.09.68'!V68+'04.09.68'!V68+'05.09.68'!V68+'06.09.68'!V68+'07.09.68'!V68+'08.09.68'!V68+'09.09.68'!V68+'10.09.68'!V68+'11.09.68'!V68+'12.09.68'!V68+'13.09.68'!V68+'14.09.68'!V68+'15.09.68'!V68+'16.09.68'!V68+'17.09.68'!V68+'18.09.68'!V68+'19.09.68'!V68+'20.09.68'!V68+'21.09.68'!V68+'22.09.68'!V68+'23.09.68'!V68+'24.09.68'!V68+'25.09.68'!V68+'26.09.68'!V68+'27.09.68'!V68+'28.09.68'!V68+'29.09.68'!V68+'30.09.68'!V68</f>
        <v>0</v>
      </c>
      <c r="W68" s="52">
        <f>+'01.09.68'!W68+'02.09.68'!W68+'03.09.68'!W68+'04.09.68'!W68+'05.09.68'!W68+'06.09.68'!W68+'07.09.68'!W68+'08.09.68'!W68+'09.09.68'!W68+'10.09.68'!W68+'11.09.68'!W68+'12.09.68'!W68+'13.09.68'!W68+'14.09.68'!W68+'15.09.68'!W68+'16.09.68'!W68+'17.09.68'!W68+'18.09.68'!W68+'19.09.68'!W68+'20.09.68'!W68+'21.09.68'!W68+'22.09.68'!W68+'23.09.68'!W68+'24.09.68'!W68+'25.09.68'!W68+'26.09.68'!W68+'27.09.68'!W68+'28.09.68'!W68+'29.09.68'!W68+'30.09.68'!W68</f>
        <v>0</v>
      </c>
      <c r="X68" s="65">
        <f t="shared" si="6"/>
        <v>0</v>
      </c>
      <c r="Y68" s="52">
        <f>+'01.09.68'!Y68+'02.09.68'!Y68+'03.09.68'!Y68+'04.09.68'!Y68+'05.09.68'!Y68+'06.09.68'!Y68+'07.09.68'!Y68+'08.09.68'!Y68+'09.09.68'!Y68+'10.09.68'!Y68+'11.09.68'!Y68+'12.09.68'!Y68+'13.09.68'!Y68+'14.09.68'!Y68+'15.09.68'!Y68+'16.09.68'!Y68+'17.09.68'!Y68+'18.09.68'!Y68+'19.09.68'!Y68+'20.09.68'!Y68+'21.09.68'!Y68+'22.09.68'!Y68+'23.09.68'!Y68+'24.09.68'!Y68+'25.09.68'!Y68+'26.09.68'!Y68+'27.09.68'!Y68+'28.09.68'!Y68+'29.09.68'!Y68+'30.09.68'!Y68</f>
        <v>0</v>
      </c>
      <c r="Z68" s="66">
        <f t="shared" si="7"/>
        <v>4087</v>
      </c>
    </row>
    <row r="69" spans="2:26">
      <c r="B69" s="50">
        <v>1114503</v>
      </c>
      <c r="C69" s="53" t="s">
        <v>189</v>
      </c>
      <c r="D69" s="52">
        <f>+'01.09.68'!D69+'02.09.68'!D69+'03.09.68'!D69+'04.09.68'!D69+'05.09.68'!D69+'06.09.68'!D69+'07.09.68'!D69+'08.09.68'!D69+'09.09.68'!D69+'10.09.68'!D69+'11.09.68'!D69+'12.09.68'!D69+'13.09.68'!D69+'14.09.68'!D69+'15.09.68'!D69+'16.09.68'!D69+'17.09.68'!D69+'18.09.68'!D69+'19.09.68'!D69+'20.09.68'!D69+'21.09.68'!D69+'22.09.68'!D69+'23.09.68'!D69+'24.09.68'!D69+'25.09.68'!D69+'26.09.68'!D69+'27.09.68'!D69+'28.09.68'!D69+'29.09.68'!D69+'30.09.68'!D69</f>
        <v>20</v>
      </c>
      <c r="E69" s="52">
        <f>+'01.09.68'!E69+'02.09.68'!E69+'03.09.68'!E69+'04.09.68'!E69+'05.09.68'!E69+'06.09.68'!E69+'07.09.68'!E69+'08.09.68'!E69+'09.09.68'!E69+'10.09.68'!E69+'11.09.68'!E69+'12.09.68'!E69+'13.09.68'!E69+'14.09.68'!E69+'15.09.68'!E69+'16.09.68'!E69+'17.09.68'!E69+'18.09.68'!E69+'19.09.68'!E69+'20.09.68'!E69+'21.09.68'!E69+'22.09.68'!E69+'23.09.68'!E69+'24.09.68'!E69+'25.09.68'!E69+'26.09.68'!E69+'27.09.68'!E69+'28.09.68'!E69+'29.09.68'!E69+'30.09.68'!E69</f>
        <v>1</v>
      </c>
      <c r="F69" s="65">
        <f t="shared" ref="F69:F98" si="8">SUM(D69:E69)</f>
        <v>21</v>
      </c>
      <c r="G69" s="52">
        <f>+'01.09.68'!G69+'02.09.68'!G69+'03.09.68'!G69+'04.09.68'!G69+'05.09.68'!G69+'06.09.68'!G69+'07.09.68'!G69+'08.09.68'!G69+'09.09.68'!G69+'10.09.68'!G69+'11.09.68'!G69+'12.09.68'!G69+'13.09.68'!G69+'14.09.68'!G69+'15.09.68'!G69+'16.09.68'!G69+'17.09.68'!G69+'18.09.68'!G69+'19.09.68'!G69+'20.09.68'!G69+'21.09.68'!G69+'22.09.68'!G69+'23.09.68'!G69+'24.09.68'!G69+'25.09.68'!G69+'26.09.68'!G69+'27.09.68'!G69+'28.09.68'!G69+'29.09.68'!G69+'30.09.68'!G69</f>
        <v>39</v>
      </c>
      <c r="H69" s="52">
        <f>+'01.09.68'!H69+'02.09.68'!H69+'03.09.68'!H69+'04.09.68'!H69+'05.09.68'!H69+'06.09.68'!H69+'07.09.68'!H69+'08.09.68'!H69+'09.09.68'!H69+'10.09.68'!H69+'11.09.68'!H69+'12.09.68'!H69+'13.09.68'!H69+'14.09.68'!H69+'15.09.68'!H69+'16.09.68'!H69+'17.09.68'!H69+'18.09.68'!H69+'19.09.68'!H69+'20.09.68'!H69+'21.09.68'!H69+'22.09.68'!H69+'23.09.68'!H69+'24.09.68'!H69+'25.09.68'!H69+'26.09.68'!H69+'27.09.68'!H69+'28.09.68'!H69+'29.09.68'!H69+'30.09.68'!H69</f>
        <v>0</v>
      </c>
      <c r="I69" s="65">
        <f t="shared" ref="I69:I98" si="9">SUM(G69:H69)</f>
        <v>39</v>
      </c>
      <c r="J69" s="52">
        <f>+'01.09.68'!J69+'02.09.68'!J69+'03.09.68'!J69+'04.09.68'!J69+'05.09.68'!J69+'06.09.68'!J69+'07.09.68'!J69+'08.09.68'!J69+'09.09.68'!J69+'10.09.68'!J69+'11.09.68'!J69+'12.09.68'!J69+'13.09.68'!J69+'14.09.68'!J69+'15.09.68'!J69+'16.09.68'!J69+'17.09.68'!J69+'18.09.68'!J69+'19.09.68'!J69+'20.09.68'!J69+'21.09.68'!J69+'22.09.68'!J69+'23.09.68'!J69+'24.09.68'!J69+'25.09.68'!J69+'26.09.68'!J69+'27.09.68'!J69+'28.09.68'!J69+'29.09.68'!J69+'30.09.68'!J69</f>
        <v>59</v>
      </c>
      <c r="K69" s="52">
        <f>+'01.09.68'!K69+'02.09.68'!K69+'03.09.68'!K69+'04.09.68'!K69+'05.09.68'!K69+'06.09.68'!K69+'07.09.68'!K69+'08.09.68'!K69+'09.09.68'!K69+'10.09.68'!K69+'11.09.68'!K69+'12.09.68'!K69+'13.09.68'!K69+'14.09.68'!K69+'15.09.68'!K69+'16.09.68'!K69+'17.09.68'!K69+'18.09.68'!K69+'19.09.68'!K69+'20.09.68'!K69+'21.09.68'!K69+'22.09.68'!K69+'23.09.68'!K69+'24.09.68'!K69+'25.09.68'!K69+'26.09.68'!K69+'27.09.68'!K69+'28.09.68'!K69+'29.09.68'!K69+'30.09.68'!K69</f>
        <v>0</v>
      </c>
      <c r="L69" s="65">
        <f t="shared" ref="L69:L98" si="10">SUM(J69:K69)</f>
        <v>59</v>
      </c>
      <c r="M69" s="52">
        <f>+'01.09.68'!M69+'02.09.68'!M69+'03.09.68'!M69+'04.09.68'!M69+'05.09.68'!M69+'06.09.68'!M69+'07.09.68'!M69+'08.09.68'!M69+'09.09.68'!M69+'10.09.68'!M69+'11.09.68'!M69+'12.09.68'!M69+'13.09.68'!M69+'14.09.68'!M69+'15.09.68'!M69+'16.09.68'!M69+'17.09.68'!M69+'18.09.68'!M69+'19.09.68'!M69+'20.09.68'!M69+'21.09.68'!M69+'22.09.68'!M69+'23.09.68'!M69+'24.09.68'!M69+'25.09.68'!M69+'26.09.68'!M69+'27.09.68'!M69+'28.09.68'!M69+'29.09.68'!M69+'30.09.68'!M69</f>
        <v>3584</v>
      </c>
      <c r="N69" s="52">
        <f>+'01.09.68'!N69+'02.09.68'!N69+'03.09.68'!N69+'04.09.68'!N69+'05.09.68'!N69+'06.09.68'!N69+'07.09.68'!N69+'08.09.68'!N69+'09.09.68'!N69+'10.09.68'!N69+'11.09.68'!N69+'12.09.68'!N69+'13.09.68'!N69+'14.09.68'!N69+'15.09.68'!N69+'16.09.68'!N69+'17.09.68'!N69+'18.09.68'!N69+'19.09.68'!N69+'20.09.68'!N69+'21.09.68'!N69+'22.09.68'!N69+'23.09.68'!N69+'24.09.68'!N69+'25.09.68'!N69+'26.09.68'!N69+'27.09.68'!N69+'28.09.68'!N69+'29.09.68'!N69+'30.09.68'!N69</f>
        <v>0</v>
      </c>
      <c r="O69" s="65">
        <f t="shared" ref="O69:O98" si="11">SUM(M69:N69)</f>
        <v>3584</v>
      </c>
      <c r="P69" s="52">
        <f>+'01.09.68'!P69+'02.09.68'!P69+'03.09.68'!P69+'04.09.68'!P69+'05.09.68'!P69+'06.09.68'!P69+'07.09.68'!P69+'08.09.68'!P69+'09.09.68'!P69+'10.09.68'!P69+'11.09.68'!P69+'12.09.68'!P69+'13.09.68'!P69+'14.09.68'!P69+'15.09.68'!P69+'16.09.68'!P69+'17.09.68'!P69+'18.09.68'!P69+'19.09.68'!P69+'20.09.68'!P69+'21.09.68'!P69+'22.09.68'!P69+'23.09.68'!P69+'24.09.68'!P69+'25.09.68'!P69+'26.09.68'!P69+'27.09.68'!P69+'28.09.68'!P69+'29.09.68'!P69+'30.09.68'!P69</f>
        <v>343</v>
      </c>
      <c r="Q69" s="52">
        <f>+'01.09.68'!Q69+'02.09.68'!Q69+'03.09.68'!Q69+'04.09.68'!Q69+'05.09.68'!Q69+'06.09.68'!Q69+'07.09.68'!Q69+'08.09.68'!Q69+'09.09.68'!Q69+'10.09.68'!Q69+'11.09.68'!Q69+'12.09.68'!Q69+'13.09.68'!Q69+'14.09.68'!Q69+'15.09.68'!Q69+'16.09.68'!Q69+'17.09.68'!Q69+'18.09.68'!Q69+'19.09.68'!Q69+'20.09.68'!Q69+'21.09.68'!Q69+'22.09.68'!Q69+'23.09.68'!Q69+'24.09.68'!Q69+'25.09.68'!Q69+'26.09.68'!Q69+'27.09.68'!Q69+'28.09.68'!Q69+'29.09.68'!Q69+'30.09.68'!Q69</f>
        <v>0</v>
      </c>
      <c r="R69" s="65">
        <f t="shared" ref="R69:R98" si="12">SUM(P69:Q69)</f>
        <v>343</v>
      </c>
      <c r="S69" s="52">
        <f>+'01.09.68'!S69+'02.09.68'!S69+'03.09.68'!S69+'04.09.68'!S69+'05.09.68'!S69+'06.09.68'!S69+'07.09.68'!S69+'08.09.68'!S69+'09.09.68'!S69+'10.09.68'!S69+'11.09.68'!S69+'12.09.68'!S69+'13.09.68'!S69+'14.09.68'!S69+'15.09.68'!S69+'16.09.68'!S69+'17.09.68'!S69+'18.09.68'!S69+'19.09.68'!S69+'20.09.68'!S69+'21.09.68'!S69+'22.09.68'!S69+'23.09.68'!S69+'24.09.68'!S69+'25.09.68'!S69+'26.09.68'!S69+'27.09.68'!S69+'28.09.68'!S69+'29.09.68'!S69+'30.09.68'!S69</f>
        <v>0</v>
      </c>
      <c r="T69" s="52">
        <f>+'01.09.68'!T69+'02.09.68'!T69+'03.09.68'!T69+'04.09.68'!T69+'05.09.68'!T69+'06.09.68'!T69+'07.09.68'!T69+'08.09.68'!T69+'09.09.68'!T69+'10.09.68'!T69+'11.09.68'!T69+'12.09.68'!T69+'13.09.68'!T69+'14.09.68'!T69+'15.09.68'!T69+'16.09.68'!T69+'17.09.68'!T69+'18.09.68'!T69+'19.09.68'!T69+'20.09.68'!T69+'21.09.68'!T69+'22.09.68'!T69+'23.09.68'!T69+'24.09.68'!T69+'25.09.68'!T69+'26.09.68'!T69+'27.09.68'!T69+'28.09.68'!T69+'29.09.68'!T69+'30.09.68'!T69</f>
        <v>0</v>
      </c>
      <c r="U69" s="65">
        <f t="shared" ref="U69:U98" si="13">SUM(S69:T69)</f>
        <v>0</v>
      </c>
      <c r="V69" s="52">
        <f>+'01.09.68'!V69+'02.09.68'!V69+'03.09.68'!V69+'04.09.68'!V69+'05.09.68'!V69+'06.09.68'!V69+'07.09.68'!V69+'08.09.68'!V69+'09.09.68'!V69+'10.09.68'!V69+'11.09.68'!V69+'12.09.68'!V69+'13.09.68'!V69+'14.09.68'!V69+'15.09.68'!V69+'16.09.68'!V69+'17.09.68'!V69+'18.09.68'!V69+'19.09.68'!V69+'20.09.68'!V69+'21.09.68'!V69+'22.09.68'!V69+'23.09.68'!V69+'24.09.68'!V69+'25.09.68'!V69+'26.09.68'!V69+'27.09.68'!V69+'28.09.68'!V69+'29.09.68'!V69+'30.09.68'!V69</f>
        <v>0</v>
      </c>
      <c r="W69" s="52">
        <f>+'01.09.68'!W69+'02.09.68'!W69+'03.09.68'!W69+'04.09.68'!W69+'05.09.68'!W69+'06.09.68'!W69+'07.09.68'!W69+'08.09.68'!W69+'09.09.68'!W69+'10.09.68'!W69+'11.09.68'!W69+'12.09.68'!W69+'13.09.68'!W69+'14.09.68'!W69+'15.09.68'!W69+'16.09.68'!W69+'17.09.68'!W69+'18.09.68'!W69+'19.09.68'!W69+'20.09.68'!W69+'21.09.68'!W69+'22.09.68'!W69+'23.09.68'!W69+'24.09.68'!W69+'25.09.68'!W69+'26.09.68'!W69+'27.09.68'!W69+'28.09.68'!W69+'29.09.68'!W69+'30.09.68'!W69</f>
        <v>0</v>
      </c>
      <c r="X69" s="65">
        <f t="shared" ref="X69:X98" si="14">SUM(V69:W69)</f>
        <v>0</v>
      </c>
      <c r="Y69" s="52">
        <f>+'01.09.68'!Y69+'02.09.68'!Y69+'03.09.68'!Y69+'04.09.68'!Y69+'05.09.68'!Y69+'06.09.68'!Y69+'07.09.68'!Y69+'08.09.68'!Y69+'09.09.68'!Y69+'10.09.68'!Y69+'11.09.68'!Y69+'12.09.68'!Y69+'13.09.68'!Y69+'14.09.68'!Y69+'15.09.68'!Y69+'16.09.68'!Y69+'17.09.68'!Y69+'18.09.68'!Y69+'19.09.68'!Y69+'20.09.68'!Y69+'21.09.68'!Y69+'22.09.68'!Y69+'23.09.68'!Y69+'24.09.68'!Y69+'25.09.68'!Y69+'26.09.68'!Y69+'27.09.68'!Y69+'28.09.68'!Y69+'29.09.68'!Y69+'30.09.68'!Y69</f>
        <v>0</v>
      </c>
      <c r="Z69" s="66">
        <f t="shared" ref="Z69:Z121" si="15">+F69+I69+L69+O69+R69+U69+X69+Y69</f>
        <v>4046</v>
      </c>
    </row>
    <row r="70" spans="2:26">
      <c r="B70" s="50">
        <v>1124021</v>
      </c>
      <c r="C70" s="53" t="s">
        <v>190</v>
      </c>
      <c r="D70" s="52">
        <f>+'01.09.68'!D70+'02.09.68'!D70+'03.09.68'!D70+'04.09.68'!D70+'05.09.68'!D70+'06.09.68'!D70+'07.09.68'!D70+'08.09.68'!D70+'09.09.68'!D70+'10.09.68'!D70+'11.09.68'!D70+'12.09.68'!D70+'13.09.68'!D70+'14.09.68'!D70+'15.09.68'!D70+'16.09.68'!D70+'17.09.68'!D70+'18.09.68'!D70+'19.09.68'!D70+'20.09.68'!D70+'21.09.68'!D70+'22.09.68'!D70+'23.09.68'!D70+'24.09.68'!D70+'25.09.68'!D70+'26.09.68'!D70+'27.09.68'!D70+'28.09.68'!D70+'29.09.68'!D70+'30.09.68'!D70</f>
        <v>35</v>
      </c>
      <c r="E70" s="52">
        <f>+'01.09.68'!E70+'02.09.68'!E70+'03.09.68'!E70+'04.09.68'!E70+'05.09.68'!E70+'06.09.68'!E70+'07.09.68'!E70+'08.09.68'!E70+'09.09.68'!E70+'10.09.68'!E70+'11.09.68'!E70+'12.09.68'!E70+'13.09.68'!E70+'14.09.68'!E70+'15.09.68'!E70+'16.09.68'!E70+'17.09.68'!E70+'18.09.68'!E70+'19.09.68'!E70+'20.09.68'!E70+'21.09.68'!E70+'22.09.68'!E70+'23.09.68'!E70+'24.09.68'!E70+'25.09.68'!E70+'26.09.68'!E70+'27.09.68'!E70+'28.09.68'!E70+'29.09.68'!E70+'30.09.68'!E70</f>
        <v>0</v>
      </c>
      <c r="F70" s="65">
        <f t="shared" si="8"/>
        <v>35</v>
      </c>
      <c r="G70" s="52">
        <f>+'01.09.68'!G70+'02.09.68'!G70+'03.09.68'!G70+'04.09.68'!G70+'05.09.68'!G70+'06.09.68'!G70+'07.09.68'!G70+'08.09.68'!G70+'09.09.68'!G70+'10.09.68'!G70+'11.09.68'!G70+'12.09.68'!G70+'13.09.68'!G70+'14.09.68'!G70+'15.09.68'!G70+'16.09.68'!G70+'17.09.68'!G70+'18.09.68'!G70+'19.09.68'!G70+'20.09.68'!G70+'21.09.68'!G70+'22.09.68'!G70+'23.09.68'!G70+'24.09.68'!G70+'25.09.68'!G70+'26.09.68'!G70+'27.09.68'!G70+'28.09.68'!G70+'29.09.68'!G70+'30.09.68'!G70</f>
        <v>200</v>
      </c>
      <c r="H70" s="52">
        <f>+'01.09.68'!H70+'02.09.68'!H70+'03.09.68'!H70+'04.09.68'!H70+'05.09.68'!H70+'06.09.68'!H70+'07.09.68'!H70+'08.09.68'!H70+'09.09.68'!H70+'10.09.68'!H70+'11.09.68'!H70+'12.09.68'!H70+'13.09.68'!H70+'14.09.68'!H70+'15.09.68'!H70+'16.09.68'!H70+'17.09.68'!H70+'18.09.68'!H70+'19.09.68'!H70+'20.09.68'!H70+'21.09.68'!H70+'22.09.68'!H70+'23.09.68'!H70+'24.09.68'!H70+'25.09.68'!H70+'26.09.68'!H70+'27.09.68'!H70+'28.09.68'!H70+'29.09.68'!H70+'30.09.68'!H70</f>
        <v>0</v>
      </c>
      <c r="I70" s="65">
        <f t="shared" si="9"/>
        <v>200</v>
      </c>
      <c r="J70" s="52">
        <f>+'01.09.68'!J70+'02.09.68'!J70+'03.09.68'!J70+'04.09.68'!J70+'05.09.68'!J70+'06.09.68'!J70+'07.09.68'!J70+'08.09.68'!J70+'09.09.68'!J70+'10.09.68'!J70+'11.09.68'!J70+'12.09.68'!J70+'13.09.68'!J70+'14.09.68'!J70+'15.09.68'!J70+'16.09.68'!J70+'17.09.68'!J70+'18.09.68'!J70+'19.09.68'!J70+'20.09.68'!J70+'21.09.68'!J70+'22.09.68'!J70+'23.09.68'!J70+'24.09.68'!J70+'25.09.68'!J70+'26.09.68'!J70+'27.09.68'!J70+'28.09.68'!J70+'29.09.68'!J70+'30.09.68'!J70</f>
        <v>113</v>
      </c>
      <c r="K70" s="52">
        <f>+'01.09.68'!K70+'02.09.68'!K70+'03.09.68'!K70+'04.09.68'!K70+'05.09.68'!K70+'06.09.68'!K70+'07.09.68'!K70+'08.09.68'!K70+'09.09.68'!K70+'10.09.68'!K70+'11.09.68'!K70+'12.09.68'!K70+'13.09.68'!K70+'14.09.68'!K70+'15.09.68'!K70+'16.09.68'!K70+'17.09.68'!K70+'18.09.68'!K70+'19.09.68'!K70+'20.09.68'!K70+'21.09.68'!K70+'22.09.68'!K70+'23.09.68'!K70+'24.09.68'!K70+'25.09.68'!K70+'26.09.68'!K70+'27.09.68'!K70+'28.09.68'!K70+'29.09.68'!K70+'30.09.68'!K70</f>
        <v>0</v>
      </c>
      <c r="L70" s="65">
        <f t="shared" si="10"/>
        <v>113</v>
      </c>
      <c r="M70" s="52">
        <f>+'01.09.68'!M70+'02.09.68'!M70+'03.09.68'!M70+'04.09.68'!M70+'05.09.68'!M70+'06.09.68'!M70+'07.09.68'!M70+'08.09.68'!M70+'09.09.68'!M70+'10.09.68'!M70+'11.09.68'!M70+'12.09.68'!M70+'13.09.68'!M70+'14.09.68'!M70+'15.09.68'!M70+'16.09.68'!M70+'17.09.68'!M70+'18.09.68'!M70+'19.09.68'!M70+'20.09.68'!M70+'21.09.68'!M70+'22.09.68'!M70+'23.09.68'!M70+'24.09.68'!M70+'25.09.68'!M70+'26.09.68'!M70+'27.09.68'!M70+'28.09.68'!M70+'29.09.68'!M70+'30.09.68'!M70</f>
        <v>437</v>
      </c>
      <c r="N70" s="52">
        <f>+'01.09.68'!N70+'02.09.68'!N70+'03.09.68'!N70+'04.09.68'!N70+'05.09.68'!N70+'06.09.68'!N70+'07.09.68'!N70+'08.09.68'!N70+'09.09.68'!N70+'10.09.68'!N70+'11.09.68'!N70+'12.09.68'!N70+'13.09.68'!N70+'14.09.68'!N70+'15.09.68'!N70+'16.09.68'!N70+'17.09.68'!N70+'18.09.68'!N70+'19.09.68'!N70+'20.09.68'!N70+'21.09.68'!N70+'22.09.68'!N70+'23.09.68'!N70+'24.09.68'!N70+'25.09.68'!N70+'26.09.68'!N70+'27.09.68'!N70+'28.09.68'!N70+'29.09.68'!N70+'30.09.68'!N70</f>
        <v>0</v>
      </c>
      <c r="O70" s="65">
        <f t="shared" si="11"/>
        <v>437</v>
      </c>
      <c r="P70" s="52">
        <f>+'01.09.68'!P70+'02.09.68'!P70+'03.09.68'!P70+'04.09.68'!P70+'05.09.68'!P70+'06.09.68'!P70+'07.09.68'!P70+'08.09.68'!P70+'09.09.68'!P70+'10.09.68'!P70+'11.09.68'!P70+'12.09.68'!P70+'13.09.68'!P70+'14.09.68'!P70+'15.09.68'!P70+'16.09.68'!P70+'17.09.68'!P70+'18.09.68'!P70+'19.09.68'!P70+'20.09.68'!P70+'21.09.68'!P70+'22.09.68'!P70+'23.09.68'!P70+'24.09.68'!P70+'25.09.68'!P70+'26.09.68'!P70+'27.09.68'!P70+'28.09.68'!P70+'29.09.68'!P70+'30.09.68'!P70</f>
        <v>92</v>
      </c>
      <c r="Q70" s="52">
        <f>+'01.09.68'!Q70+'02.09.68'!Q70+'03.09.68'!Q70+'04.09.68'!Q70+'05.09.68'!Q70+'06.09.68'!Q70+'07.09.68'!Q70+'08.09.68'!Q70+'09.09.68'!Q70+'10.09.68'!Q70+'11.09.68'!Q70+'12.09.68'!Q70+'13.09.68'!Q70+'14.09.68'!Q70+'15.09.68'!Q70+'16.09.68'!Q70+'17.09.68'!Q70+'18.09.68'!Q70+'19.09.68'!Q70+'20.09.68'!Q70+'21.09.68'!Q70+'22.09.68'!Q70+'23.09.68'!Q70+'24.09.68'!Q70+'25.09.68'!Q70+'26.09.68'!Q70+'27.09.68'!Q70+'28.09.68'!Q70+'29.09.68'!Q70+'30.09.68'!Q70</f>
        <v>0</v>
      </c>
      <c r="R70" s="65">
        <f t="shared" si="12"/>
        <v>92</v>
      </c>
      <c r="S70" s="52">
        <f>+'01.09.68'!S70+'02.09.68'!S70+'03.09.68'!S70+'04.09.68'!S70+'05.09.68'!S70+'06.09.68'!S70+'07.09.68'!S70+'08.09.68'!S70+'09.09.68'!S70+'10.09.68'!S70+'11.09.68'!S70+'12.09.68'!S70+'13.09.68'!S70+'14.09.68'!S70+'15.09.68'!S70+'16.09.68'!S70+'17.09.68'!S70+'18.09.68'!S70+'19.09.68'!S70+'20.09.68'!S70+'21.09.68'!S70+'22.09.68'!S70+'23.09.68'!S70+'24.09.68'!S70+'25.09.68'!S70+'26.09.68'!S70+'27.09.68'!S70+'28.09.68'!S70+'29.09.68'!S70+'30.09.68'!S70</f>
        <v>0</v>
      </c>
      <c r="T70" s="52">
        <f>+'01.09.68'!T70+'02.09.68'!T70+'03.09.68'!T70+'04.09.68'!T70+'05.09.68'!T70+'06.09.68'!T70+'07.09.68'!T70+'08.09.68'!T70+'09.09.68'!T70+'10.09.68'!T70+'11.09.68'!T70+'12.09.68'!T70+'13.09.68'!T70+'14.09.68'!T70+'15.09.68'!T70+'16.09.68'!T70+'17.09.68'!T70+'18.09.68'!T70+'19.09.68'!T70+'20.09.68'!T70+'21.09.68'!T70+'22.09.68'!T70+'23.09.68'!T70+'24.09.68'!T70+'25.09.68'!T70+'26.09.68'!T70+'27.09.68'!T70+'28.09.68'!T70+'29.09.68'!T70+'30.09.68'!T70</f>
        <v>0</v>
      </c>
      <c r="U70" s="65">
        <f t="shared" si="13"/>
        <v>0</v>
      </c>
      <c r="V70" s="52">
        <f>+'01.09.68'!V70+'02.09.68'!V70+'03.09.68'!V70+'04.09.68'!V70+'05.09.68'!V70+'06.09.68'!V70+'07.09.68'!V70+'08.09.68'!V70+'09.09.68'!V70+'10.09.68'!V70+'11.09.68'!V70+'12.09.68'!V70+'13.09.68'!V70+'14.09.68'!V70+'15.09.68'!V70+'16.09.68'!V70+'17.09.68'!V70+'18.09.68'!V70+'19.09.68'!V70+'20.09.68'!V70+'21.09.68'!V70+'22.09.68'!V70+'23.09.68'!V70+'24.09.68'!V70+'25.09.68'!V70+'26.09.68'!V70+'27.09.68'!V70+'28.09.68'!V70+'29.09.68'!V70+'30.09.68'!V70</f>
        <v>0</v>
      </c>
      <c r="W70" s="52">
        <f>+'01.09.68'!W70+'02.09.68'!W70+'03.09.68'!W70+'04.09.68'!W70+'05.09.68'!W70+'06.09.68'!W70+'07.09.68'!W70+'08.09.68'!W70+'09.09.68'!W70+'10.09.68'!W70+'11.09.68'!W70+'12.09.68'!W70+'13.09.68'!W70+'14.09.68'!W70+'15.09.68'!W70+'16.09.68'!W70+'17.09.68'!W70+'18.09.68'!W70+'19.09.68'!W70+'20.09.68'!W70+'21.09.68'!W70+'22.09.68'!W70+'23.09.68'!W70+'24.09.68'!W70+'25.09.68'!W70+'26.09.68'!W70+'27.09.68'!W70+'28.09.68'!W70+'29.09.68'!W70+'30.09.68'!W70</f>
        <v>0</v>
      </c>
      <c r="X70" s="65">
        <f t="shared" si="14"/>
        <v>0</v>
      </c>
      <c r="Y70" s="52">
        <f>+'01.09.68'!Y70+'02.09.68'!Y70+'03.09.68'!Y70+'04.09.68'!Y70+'05.09.68'!Y70+'06.09.68'!Y70+'07.09.68'!Y70+'08.09.68'!Y70+'09.09.68'!Y70+'10.09.68'!Y70+'11.09.68'!Y70+'12.09.68'!Y70+'13.09.68'!Y70+'14.09.68'!Y70+'15.09.68'!Y70+'16.09.68'!Y70+'17.09.68'!Y70+'18.09.68'!Y70+'19.09.68'!Y70+'20.09.68'!Y70+'21.09.68'!Y70+'22.09.68'!Y70+'23.09.68'!Y70+'24.09.68'!Y70+'25.09.68'!Y70+'26.09.68'!Y70+'27.09.68'!Y70+'28.09.68'!Y70+'29.09.68'!Y70+'30.09.68'!Y70</f>
        <v>0</v>
      </c>
      <c r="Z70" s="66">
        <f t="shared" si="15"/>
        <v>877</v>
      </c>
    </row>
    <row r="71" spans="2:26">
      <c r="B71" s="50">
        <v>1005761</v>
      </c>
      <c r="C71" s="53" t="s">
        <v>191</v>
      </c>
      <c r="D71" s="52">
        <f>+'01.09.68'!D71+'02.09.68'!D71+'03.09.68'!D71+'04.09.68'!D71+'05.09.68'!D71+'06.09.68'!D71+'07.09.68'!D71+'08.09.68'!D71+'09.09.68'!D71+'10.09.68'!D71+'11.09.68'!D71+'12.09.68'!D71+'13.09.68'!D71+'14.09.68'!D71+'15.09.68'!D71+'16.09.68'!D71+'17.09.68'!D71+'18.09.68'!D71+'19.09.68'!D71+'20.09.68'!D71+'21.09.68'!D71+'22.09.68'!D71+'23.09.68'!D71+'24.09.68'!D71+'25.09.68'!D71+'26.09.68'!D71+'27.09.68'!D71+'28.09.68'!D71+'29.09.68'!D71+'30.09.68'!D71</f>
        <v>0</v>
      </c>
      <c r="E71" s="52">
        <f>+'01.09.68'!E71+'02.09.68'!E71+'03.09.68'!E71+'04.09.68'!E71+'05.09.68'!E71+'06.09.68'!E71+'07.09.68'!E71+'08.09.68'!E71+'09.09.68'!E71+'10.09.68'!E71+'11.09.68'!E71+'12.09.68'!E71+'13.09.68'!E71+'14.09.68'!E71+'15.09.68'!E71+'16.09.68'!E71+'17.09.68'!E71+'18.09.68'!E71+'19.09.68'!E71+'20.09.68'!E71+'21.09.68'!E71+'22.09.68'!E71+'23.09.68'!E71+'24.09.68'!E71+'25.09.68'!E71+'26.09.68'!E71+'27.09.68'!E71+'28.09.68'!E71+'29.09.68'!E71+'30.09.68'!E71</f>
        <v>0</v>
      </c>
      <c r="F71" s="65">
        <f t="shared" si="8"/>
        <v>0</v>
      </c>
      <c r="G71" s="52">
        <f>+'01.09.68'!G71+'02.09.68'!G71+'03.09.68'!G71+'04.09.68'!G71+'05.09.68'!G71+'06.09.68'!G71+'07.09.68'!G71+'08.09.68'!G71+'09.09.68'!G71+'10.09.68'!G71+'11.09.68'!G71+'12.09.68'!G71+'13.09.68'!G71+'14.09.68'!G71+'15.09.68'!G71+'16.09.68'!G71+'17.09.68'!G71+'18.09.68'!G71+'19.09.68'!G71+'20.09.68'!G71+'21.09.68'!G71+'22.09.68'!G71+'23.09.68'!G71+'24.09.68'!G71+'25.09.68'!G71+'26.09.68'!G71+'27.09.68'!G71+'28.09.68'!G71+'29.09.68'!G71+'30.09.68'!G71</f>
        <v>0</v>
      </c>
      <c r="H71" s="52">
        <f>+'01.09.68'!H71+'02.09.68'!H71+'03.09.68'!H71+'04.09.68'!H71+'05.09.68'!H71+'06.09.68'!H71+'07.09.68'!H71+'08.09.68'!H71+'09.09.68'!H71+'10.09.68'!H71+'11.09.68'!H71+'12.09.68'!H71+'13.09.68'!H71+'14.09.68'!H71+'15.09.68'!H71+'16.09.68'!H71+'17.09.68'!H71+'18.09.68'!H71+'19.09.68'!H71+'20.09.68'!H71+'21.09.68'!H71+'22.09.68'!H71+'23.09.68'!H71+'24.09.68'!H71+'25.09.68'!H71+'26.09.68'!H71+'27.09.68'!H71+'28.09.68'!H71+'29.09.68'!H71+'30.09.68'!H71</f>
        <v>0</v>
      </c>
      <c r="I71" s="65">
        <f t="shared" si="9"/>
        <v>0</v>
      </c>
      <c r="J71" s="52">
        <f>+'01.09.68'!J71+'02.09.68'!J71+'03.09.68'!J71+'04.09.68'!J71+'05.09.68'!J71+'06.09.68'!J71+'07.09.68'!J71+'08.09.68'!J71+'09.09.68'!J71+'10.09.68'!J71+'11.09.68'!J71+'12.09.68'!J71+'13.09.68'!J71+'14.09.68'!J71+'15.09.68'!J71+'16.09.68'!J71+'17.09.68'!J71+'18.09.68'!J71+'19.09.68'!J71+'20.09.68'!J71+'21.09.68'!J71+'22.09.68'!J71+'23.09.68'!J71+'24.09.68'!J71+'25.09.68'!J71+'26.09.68'!J71+'27.09.68'!J71+'28.09.68'!J71+'29.09.68'!J71+'30.09.68'!J71</f>
        <v>0</v>
      </c>
      <c r="K71" s="52">
        <f>+'01.09.68'!K71+'02.09.68'!K71+'03.09.68'!K71+'04.09.68'!K71+'05.09.68'!K71+'06.09.68'!K71+'07.09.68'!K71+'08.09.68'!K71+'09.09.68'!K71+'10.09.68'!K71+'11.09.68'!K71+'12.09.68'!K71+'13.09.68'!K71+'14.09.68'!K71+'15.09.68'!K71+'16.09.68'!K71+'17.09.68'!K71+'18.09.68'!K71+'19.09.68'!K71+'20.09.68'!K71+'21.09.68'!K71+'22.09.68'!K71+'23.09.68'!K71+'24.09.68'!K71+'25.09.68'!K71+'26.09.68'!K71+'27.09.68'!K71+'28.09.68'!K71+'29.09.68'!K71+'30.09.68'!K71</f>
        <v>0</v>
      </c>
      <c r="L71" s="65">
        <f t="shared" si="10"/>
        <v>0</v>
      </c>
      <c r="M71" s="52">
        <f>+'01.09.68'!M71+'02.09.68'!M71+'03.09.68'!M71+'04.09.68'!M71+'05.09.68'!M71+'06.09.68'!M71+'07.09.68'!M71+'08.09.68'!M71+'09.09.68'!M71+'10.09.68'!M71+'11.09.68'!M71+'12.09.68'!M71+'13.09.68'!M71+'14.09.68'!M71+'15.09.68'!M71+'16.09.68'!M71+'17.09.68'!M71+'18.09.68'!M71+'19.09.68'!M71+'20.09.68'!M71+'21.09.68'!M71+'22.09.68'!M71+'23.09.68'!M71+'24.09.68'!M71+'25.09.68'!M71+'26.09.68'!M71+'27.09.68'!M71+'28.09.68'!M71+'29.09.68'!M71+'30.09.68'!M71</f>
        <v>0</v>
      </c>
      <c r="N71" s="52">
        <f>+'01.09.68'!N71+'02.09.68'!N71+'03.09.68'!N71+'04.09.68'!N71+'05.09.68'!N71+'06.09.68'!N71+'07.09.68'!N71+'08.09.68'!N71+'09.09.68'!N71+'10.09.68'!N71+'11.09.68'!N71+'12.09.68'!N71+'13.09.68'!N71+'14.09.68'!N71+'15.09.68'!N71+'16.09.68'!N71+'17.09.68'!N71+'18.09.68'!N71+'19.09.68'!N71+'20.09.68'!N71+'21.09.68'!N71+'22.09.68'!N71+'23.09.68'!N71+'24.09.68'!N71+'25.09.68'!N71+'26.09.68'!N71+'27.09.68'!N71+'28.09.68'!N71+'29.09.68'!N71+'30.09.68'!N71</f>
        <v>0</v>
      </c>
      <c r="O71" s="65">
        <f t="shared" si="11"/>
        <v>0</v>
      </c>
      <c r="P71" s="52">
        <f>+'01.09.68'!P71+'02.09.68'!P71+'03.09.68'!P71+'04.09.68'!P71+'05.09.68'!P71+'06.09.68'!P71+'07.09.68'!P71+'08.09.68'!P71+'09.09.68'!P71+'10.09.68'!P71+'11.09.68'!P71+'12.09.68'!P71+'13.09.68'!P71+'14.09.68'!P71+'15.09.68'!P71+'16.09.68'!P71+'17.09.68'!P71+'18.09.68'!P71+'19.09.68'!P71+'20.09.68'!P71+'21.09.68'!P71+'22.09.68'!P71+'23.09.68'!P71+'24.09.68'!P71+'25.09.68'!P71+'26.09.68'!P71+'27.09.68'!P71+'28.09.68'!P71+'29.09.68'!P71+'30.09.68'!P71</f>
        <v>0</v>
      </c>
      <c r="Q71" s="52">
        <f>+'01.09.68'!Q71+'02.09.68'!Q71+'03.09.68'!Q71+'04.09.68'!Q71+'05.09.68'!Q71+'06.09.68'!Q71+'07.09.68'!Q71+'08.09.68'!Q71+'09.09.68'!Q71+'10.09.68'!Q71+'11.09.68'!Q71+'12.09.68'!Q71+'13.09.68'!Q71+'14.09.68'!Q71+'15.09.68'!Q71+'16.09.68'!Q71+'17.09.68'!Q71+'18.09.68'!Q71+'19.09.68'!Q71+'20.09.68'!Q71+'21.09.68'!Q71+'22.09.68'!Q71+'23.09.68'!Q71+'24.09.68'!Q71+'25.09.68'!Q71+'26.09.68'!Q71+'27.09.68'!Q71+'28.09.68'!Q71+'29.09.68'!Q71+'30.09.68'!Q71</f>
        <v>0</v>
      </c>
      <c r="R71" s="65">
        <f t="shared" si="12"/>
        <v>0</v>
      </c>
      <c r="S71" s="52">
        <f>+'01.09.68'!S71+'02.09.68'!S71+'03.09.68'!S71+'04.09.68'!S71+'05.09.68'!S71+'06.09.68'!S71+'07.09.68'!S71+'08.09.68'!S71+'09.09.68'!S71+'10.09.68'!S71+'11.09.68'!S71+'12.09.68'!S71+'13.09.68'!S71+'14.09.68'!S71+'15.09.68'!S71+'16.09.68'!S71+'17.09.68'!S71+'18.09.68'!S71+'19.09.68'!S71+'20.09.68'!S71+'21.09.68'!S71+'22.09.68'!S71+'23.09.68'!S71+'24.09.68'!S71+'25.09.68'!S71+'26.09.68'!S71+'27.09.68'!S71+'28.09.68'!S71+'29.09.68'!S71+'30.09.68'!S71</f>
        <v>0</v>
      </c>
      <c r="T71" s="52">
        <f>+'01.09.68'!T71+'02.09.68'!T71+'03.09.68'!T71+'04.09.68'!T71+'05.09.68'!T71+'06.09.68'!T71+'07.09.68'!T71+'08.09.68'!T71+'09.09.68'!T71+'10.09.68'!T71+'11.09.68'!T71+'12.09.68'!T71+'13.09.68'!T71+'14.09.68'!T71+'15.09.68'!T71+'16.09.68'!T71+'17.09.68'!T71+'18.09.68'!T71+'19.09.68'!T71+'20.09.68'!T71+'21.09.68'!T71+'22.09.68'!T71+'23.09.68'!T71+'24.09.68'!T71+'25.09.68'!T71+'26.09.68'!T71+'27.09.68'!T71+'28.09.68'!T71+'29.09.68'!T71+'30.09.68'!T71</f>
        <v>0</v>
      </c>
      <c r="U71" s="65">
        <f t="shared" si="13"/>
        <v>0</v>
      </c>
      <c r="V71" s="52">
        <f>+'01.09.68'!V71+'02.09.68'!V71+'03.09.68'!V71+'04.09.68'!V71+'05.09.68'!V71+'06.09.68'!V71+'07.09.68'!V71+'08.09.68'!V71+'09.09.68'!V71+'10.09.68'!V71+'11.09.68'!V71+'12.09.68'!V71+'13.09.68'!V71+'14.09.68'!V71+'15.09.68'!V71+'16.09.68'!V71+'17.09.68'!V71+'18.09.68'!V71+'19.09.68'!V71+'20.09.68'!V71+'21.09.68'!V71+'22.09.68'!V71+'23.09.68'!V71+'24.09.68'!V71+'25.09.68'!V71+'26.09.68'!V71+'27.09.68'!V71+'28.09.68'!V71+'29.09.68'!V71+'30.09.68'!V71</f>
        <v>0</v>
      </c>
      <c r="W71" s="52">
        <f>+'01.09.68'!W71+'02.09.68'!W71+'03.09.68'!W71+'04.09.68'!W71+'05.09.68'!W71+'06.09.68'!W71+'07.09.68'!W71+'08.09.68'!W71+'09.09.68'!W71+'10.09.68'!W71+'11.09.68'!W71+'12.09.68'!W71+'13.09.68'!W71+'14.09.68'!W71+'15.09.68'!W71+'16.09.68'!W71+'17.09.68'!W71+'18.09.68'!W71+'19.09.68'!W71+'20.09.68'!W71+'21.09.68'!W71+'22.09.68'!W71+'23.09.68'!W71+'24.09.68'!W71+'25.09.68'!W71+'26.09.68'!W71+'27.09.68'!W71+'28.09.68'!W71+'29.09.68'!W71+'30.09.68'!W71</f>
        <v>0</v>
      </c>
      <c r="X71" s="65">
        <f t="shared" si="14"/>
        <v>0</v>
      </c>
      <c r="Y71" s="52">
        <f>+'01.09.68'!Y71+'02.09.68'!Y71+'03.09.68'!Y71+'04.09.68'!Y71+'05.09.68'!Y71+'06.09.68'!Y71+'07.09.68'!Y71+'08.09.68'!Y71+'09.09.68'!Y71+'10.09.68'!Y71+'11.09.68'!Y71+'12.09.68'!Y71+'13.09.68'!Y71+'14.09.68'!Y71+'15.09.68'!Y71+'16.09.68'!Y71+'17.09.68'!Y71+'18.09.68'!Y71+'19.09.68'!Y71+'20.09.68'!Y71+'21.09.68'!Y71+'22.09.68'!Y71+'23.09.68'!Y71+'24.09.68'!Y71+'25.09.68'!Y71+'26.09.68'!Y71+'27.09.68'!Y71+'28.09.68'!Y71+'29.09.68'!Y71+'30.09.68'!Y71</f>
        <v>0</v>
      </c>
      <c r="Z71" s="66">
        <f t="shared" si="15"/>
        <v>0</v>
      </c>
    </row>
    <row r="72" spans="2:26">
      <c r="B72" s="50">
        <v>1100001</v>
      </c>
      <c r="C72" s="53" t="s">
        <v>192</v>
      </c>
      <c r="D72" s="52">
        <f>+'01.09.68'!D72+'02.09.68'!D72+'03.09.68'!D72+'04.09.68'!D72+'05.09.68'!D72+'06.09.68'!D72+'07.09.68'!D72+'08.09.68'!D72+'09.09.68'!D72+'10.09.68'!D72+'11.09.68'!D72+'12.09.68'!D72+'13.09.68'!D72+'14.09.68'!D72+'15.09.68'!D72+'16.09.68'!D72+'17.09.68'!D72+'18.09.68'!D72+'19.09.68'!D72+'20.09.68'!D72+'21.09.68'!D72+'22.09.68'!D72+'23.09.68'!D72+'24.09.68'!D72+'25.09.68'!D72+'26.09.68'!D72+'27.09.68'!D72+'28.09.68'!D72+'29.09.68'!D72+'30.09.68'!D72</f>
        <v>0</v>
      </c>
      <c r="E72" s="52">
        <f>+'01.09.68'!E72+'02.09.68'!E72+'03.09.68'!E72+'04.09.68'!E72+'05.09.68'!E72+'06.09.68'!E72+'07.09.68'!E72+'08.09.68'!E72+'09.09.68'!E72+'10.09.68'!E72+'11.09.68'!E72+'12.09.68'!E72+'13.09.68'!E72+'14.09.68'!E72+'15.09.68'!E72+'16.09.68'!E72+'17.09.68'!E72+'18.09.68'!E72+'19.09.68'!E72+'20.09.68'!E72+'21.09.68'!E72+'22.09.68'!E72+'23.09.68'!E72+'24.09.68'!E72+'25.09.68'!E72+'26.09.68'!E72+'27.09.68'!E72+'28.09.68'!E72+'29.09.68'!E72+'30.09.68'!E72</f>
        <v>0</v>
      </c>
      <c r="F72" s="65">
        <f t="shared" si="8"/>
        <v>0</v>
      </c>
      <c r="G72" s="52">
        <f>+'01.09.68'!G72+'02.09.68'!G72+'03.09.68'!G72+'04.09.68'!G72+'05.09.68'!G72+'06.09.68'!G72+'07.09.68'!G72+'08.09.68'!G72+'09.09.68'!G72+'10.09.68'!G72+'11.09.68'!G72+'12.09.68'!G72+'13.09.68'!G72+'14.09.68'!G72+'15.09.68'!G72+'16.09.68'!G72+'17.09.68'!G72+'18.09.68'!G72+'19.09.68'!G72+'20.09.68'!G72+'21.09.68'!G72+'22.09.68'!G72+'23.09.68'!G72+'24.09.68'!G72+'25.09.68'!G72+'26.09.68'!G72+'27.09.68'!G72+'28.09.68'!G72+'29.09.68'!G72+'30.09.68'!G72</f>
        <v>0</v>
      </c>
      <c r="H72" s="52">
        <f>+'01.09.68'!H72+'02.09.68'!H72+'03.09.68'!H72+'04.09.68'!H72+'05.09.68'!H72+'06.09.68'!H72+'07.09.68'!H72+'08.09.68'!H72+'09.09.68'!H72+'10.09.68'!H72+'11.09.68'!H72+'12.09.68'!H72+'13.09.68'!H72+'14.09.68'!H72+'15.09.68'!H72+'16.09.68'!H72+'17.09.68'!H72+'18.09.68'!H72+'19.09.68'!H72+'20.09.68'!H72+'21.09.68'!H72+'22.09.68'!H72+'23.09.68'!H72+'24.09.68'!H72+'25.09.68'!H72+'26.09.68'!H72+'27.09.68'!H72+'28.09.68'!H72+'29.09.68'!H72+'30.09.68'!H72</f>
        <v>0</v>
      </c>
      <c r="I72" s="65">
        <f t="shared" si="9"/>
        <v>0</v>
      </c>
      <c r="J72" s="52">
        <f>+'01.09.68'!J72+'02.09.68'!J72+'03.09.68'!J72+'04.09.68'!J72+'05.09.68'!J72+'06.09.68'!J72+'07.09.68'!J72+'08.09.68'!J72+'09.09.68'!J72+'10.09.68'!J72+'11.09.68'!J72+'12.09.68'!J72+'13.09.68'!J72+'14.09.68'!J72+'15.09.68'!J72+'16.09.68'!J72+'17.09.68'!J72+'18.09.68'!J72+'19.09.68'!J72+'20.09.68'!J72+'21.09.68'!J72+'22.09.68'!J72+'23.09.68'!J72+'24.09.68'!J72+'25.09.68'!J72+'26.09.68'!J72+'27.09.68'!J72+'28.09.68'!J72+'29.09.68'!J72+'30.09.68'!J72</f>
        <v>0</v>
      </c>
      <c r="K72" s="52">
        <f>+'01.09.68'!K72+'02.09.68'!K72+'03.09.68'!K72+'04.09.68'!K72+'05.09.68'!K72+'06.09.68'!K72+'07.09.68'!K72+'08.09.68'!K72+'09.09.68'!K72+'10.09.68'!K72+'11.09.68'!K72+'12.09.68'!K72+'13.09.68'!K72+'14.09.68'!K72+'15.09.68'!K72+'16.09.68'!K72+'17.09.68'!K72+'18.09.68'!K72+'19.09.68'!K72+'20.09.68'!K72+'21.09.68'!K72+'22.09.68'!K72+'23.09.68'!K72+'24.09.68'!K72+'25.09.68'!K72+'26.09.68'!K72+'27.09.68'!K72+'28.09.68'!K72+'29.09.68'!K72+'30.09.68'!K72</f>
        <v>0</v>
      </c>
      <c r="L72" s="65">
        <f t="shared" si="10"/>
        <v>0</v>
      </c>
      <c r="M72" s="52">
        <f>+'01.09.68'!M72+'02.09.68'!M72+'03.09.68'!M72+'04.09.68'!M72+'05.09.68'!M72+'06.09.68'!M72+'07.09.68'!M72+'08.09.68'!M72+'09.09.68'!M72+'10.09.68'!M72+'11.09.68'!M72+'12.09.68'!M72+'13.09.68'!M72+'14.09.68'!M72+'15.09.68'!M72+'16.09.68'!M72+'17.09.68'!M72+'18.09.68'!M72+'19.09.68'!M72+'20.09.68'!M72+'21.09.68'!M72+'22.09.68'!M72+'23.09.68'!M72+'24.09.68'!M72+'25.09.68'!M72+'26.09.68'!M72+'27.09.68'!M72+'28.09.68'!M72+'29.09.68'!M72+'30.09.68'!M72</f>
        <v>0</v>
      </c>
      <c r="N72" s="52">
        <f>+'01.09.68'!N72+'02.09.68'!N72+'03.09.68'!N72+'04.09.68'!N72+'05.09.68'!N72+'06.09.68'!N72+'07.09.68'!N72+'08.09.68'!N72+'09.09.68'!N72+'10.09.68'!N72+'11.09.68'!N72+'12.09.68'!N72+'13.09.68'!N72+'14.09.68'!N72+'15.09.68'!N72+'16.09.68'!N72+'17.09.68'!N72+'18.09.68'!N72+'19.09.68'!N72+'20.09.68'!N72+'21.09.68'!N72+'22.09.68'!N72+'23.09.68'!N72+'24.09.68'!N72+'25.09.68'!N72+'26.09.68'!N72+'27.09.68'!N72+'28.09.68'!N72+'29.09.68'!N72+'30.09.68'!N72</f>
        <v>0</v>
      </c>
      <c r="O72" s="65">
        <f t="shared" si="11"/>
        <v>0</v>
      </c>
      <c r="P72" s="52">
        <f>+'01.09.68'!P72+'02.09.68'!P72+'03.09.68'!P72+'04.09.68'!P72+'05.09.68'!P72+'06.09.68'!P72+'07.09.68'!P72+'08.09.68'!P72+'09.09.68'!P72+'10.09.68'!P72+'11.09.68'!P72+'12.09.68'!P72+'13.09.68'!P72+'14.09.68'!P72+'15.09.68'!P72+'16.09.68'!P72+'17.09.68'!P72+'18.09.68'!P72+'19.09.68'!P72+'20.09.68'!P72+'21.09.68'!P72+'22.09.68'!P72+'23.09.68'!P72+'24.09.68'!P72+'25.09.68'!P72+'26.09.68'!P72+'27.09.68'!P72+'28.09.68'!P72+'29.09.68'!P72+'30.09.68'!P72</f>
        <v>0</v>
      </c>
      <c r="Q72" s="52">
        <f>+'01.09.68'!Q72+'02.09.68'!Q72+'03.09.68'!Q72+'04.09.68'!Q72+'05.09.68'!Q72+'06.09.68'!Q72+'07.09.68'!Q72+'08.09.68'!Q72+'09.09.68'!Q72+'10.09.68'!Q72+'11.09.68'!Q72+'12.09.68'!Q72+'13.09.68'!Q72+'14.09.68'!Q72+'15.09.68'!Q72+'16.09.68'!Q72+'17.09.68'!Q72+'18.09.68'!Q72+'19.09.68'!Q72+'20.09.68'!Q72+'21.09.68'!Q72+'22.09.68'!Q72+'23.09.68'!Q72+'24.09.68'!Q72+'25.09.68'!Q72+'26.09.68'!Q72+'27.09.68'!Q72+'28.09.68'!Q72+'29.09.68'!Q72+'30.09.68'!Q72</f>
        <v>0</v>
      </c>
      <c r="R72" s="65">
        <f t="shared" si="12"/>
        <v>0</v>
      </c>
      <c r="S72" s="52">
        <f>+'01.09.68'!S72+'02.09.68'!S72+'03.09.68'!S72+'04.09.68'!S72+'05.09.68'!S72+'06.09.68'!S72+'07.09.68'!S72+'08.09.68'!S72+'09.09.68'!S72+'10.09.68'!S72+'11.09.68'!S72+'12.09.68'!S72+'13.09.68'!S72+'14.09.68'!S72+'15.09.68'!S72+'16.09.68'!S72+'17.09.68'!S72+'18.09.68'!S72+'19.09.68'!S72+'20.09.68'!S72+'21.09.68'!S72+'22.09.68'!S72+'23.09.68'!S72+'24.09.68'!S72+'25.09.68'!S72+'26.09.68'!S72+'27.09.68'!S72+'28.09.68'!S72+'29.09.68'!S72+'30.09.68'!S72</f>
        <v>0</v>
      </c>
      <c r="T72" s="52">
        <f>+'01.09.68'!T72+'02.09.68'!T72+'03.09.68'!T72+'04.09.68'!T72+'05.09.68'!T72+'06.09.68'!T72+'07.09.68'!T72+'08.09.68'!T72+'09.09.68'!T72+'10.09.68'!T72+'11.09.68'!T72+'12.09.68'!T72+'13.09.68'!T72+'14.09.68'!T72+'15.09.68'!T72+'16.09.68'!T72+'17.09.68'!T72+'18.09.68'!T72+'19.09.68'!T72+'20.09.68'!T72+'21.09.68'!T72+'22.09.68'!T72+'23.09.68'!T72+'24.09.68'!T72+'25.09.68'!T72+'26.09.68'!T72+'27.09.68'!T72+'28.09.68'!T72+'29.09.68'!T72+'30.09.68'!T72</f>
        <v>0</v>
      </c>
      <c r="U72" s="65">
        <f t="shared" si="13"/>
        <v>0</v>
      </c>
      <c r="V72" s="52">
        <f>+'01.09.68'!V72+'02.09.68'!V72+'03.09.68'!V72+'04.09.68'!V72+'05.09.68'!V72+'06.09.68'!V72+'07.09.68'!V72+'08.09.68'!V72+'09.09.68'!V72+'10.09.68'!V72+'11.09.68'!V72+'12.09.68'!V72+'13.09.68'!V72+'14.09.68'!V72+'15.09.68'!V72+'16.09.68'!V72+'17.09.68'!V72+'18.09.68'!V72+'19.09.68'!V72+'20.09.68'!V72+'21.09.68'!V72+'22.09.68'!V72+'23.09.68'!V72+'24.09.68'!V72+'25.09.68'!V72+'26.09.68'!V72+'27.09.68'!V72+'28.09.68'!V72+'29.09.68'!V72+'30.09.68'!V72</f>
        <v>0</v>
      </c>
      <c r="W72" s="52">
        <f>+'01.09.68'!W72+'02.09.68'!W72+'03.09.68'!W72+'04.09.68'!W72+'05.09.68'!W72+'06.09.68'!W72+'07.09.68'!W72+'08.09.68'!W72+'09.09.68'!W72+'10.09.68'!W72+'11.09.68'!W72+'12.09.68'!W72+'13.09.68'!W72+'14.09.68'!W72+'15.09.68'!W72+'16.09.68'!W72+'17.09.68'!W72+'18.09.68'!W72+'19.09.68'!W72+'20.09.68'!W72+'21.09.68'!W72+'22.09.68'!W72+'23.09.68'!W72+'24.09.68'!W72+'25.09.68'!W72+'26.09.68'!W72+'27.09.68'!W72+'28.09.68'!W72+'29.09.68'!W72+'30.09.68'!W72</f>
        <v>0</v>
      </c>
      <c r="X72" s="65">
        <f t="shared" si="14"/>
        <v>0</v>
      </c>
      <c r="Y72" s="52">
        <f>+'01.09.68'!Y72+'02.09.68'!Y72+'03.09.68'!Y72+'04.09.68'!Y72+'05.09.68'!Y72+'06.09.68'!Y72+'07.09.68'!Y72+'08.09.68'!Y72+'09.09.68'!Y72+'10.09.68'!Y72+'11.09.68'!Y72+'12.09.68'!Y72+'13.09.68'!Y72+'14.09.68'!Y72+'15.09.68'!Y72+'16.09.68'!Y72+'17.09.68'!Y72+'18.09.68'!Y72+'19.09.68'!Y72+'20.09.68'!Y72+'21.09.68'!Y72+'22.09.68'!Y72+'23.09.68'!Y72+'24.09.68'!Y72+'25.09.68'!Y72+'26.09.68'!Y72+'27.09.68'!Y72+'28.09.68'!Y72+'29.09.68'!Y72+'30.09.68'!Y72</f>
        <v>100</v>
      </c>
      <c r="Z72" s="66">
        <f t="shared" si="15"/>
        <v>100</v>
      </c>
    </row>
    <row r="73" spans="2:26">
      <c r="B73" s="50">
        <v>1100002</v>
      </c>
      <c r="C73" s="53" t="s">
        <v>193</v>
      </c>
      <c r="D73" s="52">
        <f>+'01.09.68'!D73+'02.09.68'!D73+'03.09.68'!D73+'04.09.68'!D73+'05.09.68'!D73+'06.09.68'!D73+'07.09.68'!D73+'08.09.68'!D73+'09.09.68'!D73+'10.09.68'!D73+'11.09.68'!D73+'12.09.68'!D73+'13.09.68'!D73+'14.09.68'!D73+'15.09.68'!D73+'16.09.68'!D73+'17.09.68'!D73+'18.09.68'!D73+'19.09.68'!D73+'20.09.68'!D73+'21.09.68'!D73+'22.09.68'!D73+'23.09.68'!D73+'24.09.68'!D73+'25.09.68'!D73+'26.09.68'!D73+'27.09.68'!D73+'28.09.68'!D73+'29.09.68'!D73+'30.09.68'!D73</f>
        <v>0</v>
      </c>
      <c r="E73" s="52">
        <f>+'01.09.68'!E73+'02.09.68'!E73+'03.09.68'!E73+'04.09.68'!E73+'05.09.68'!E73+'06.09.68'!E73+'07.09.68'!E73+'08.09.68'!E73+'09.09.68'!E73+'10.09.68'!E73+'11.09.68'!E73+'12.09.68'!E73+'13.09.68'!E73+'14.09.68'!E73+'15.09.68'!E73+'16.09.68'!E73+'17.09.68'!E73+'18.09.68'!E73+'19.09.68'!E73+'20.09.68'!E73+'21.09.68'!E73+'22.09.68'!E73+'23.09.68'!E73+'24.09.68'!E73+'25.09.68'!E73+'26.09.68'!E73+'27.09.68'!E73+'28.09.68'!E73+'29.09.68'!E73+'30.09.68'!E73</f>
        <v>0</v>
      </c>
      <c r="F73" s="65">
        <f t="shared" si="8"/>
        <v>0</v>
      </c>
      <c r="G73" s="52">
        <f>+'01.09.68'!G73+'02.09.68'!G73+'03.09.68'!G73+'04.09.68'!G73+'05.09.68'!G73+'06.09.68'!G73+'07.09.68'!G73+'08.09.68'!G73+'09.09.68'!G73+'10.09.68'!G73+'11.09.68'!G73+'12.09.68'!G73+'13.09.68'!G73+'14.09.68'!G73+'15.09.68'!G73+'16.09.68'!G73+'17.09.68'!G73+'18.09.68'!G73+'19.09.68'!G73+'20.09.68'!G73+'21.09.68'!G73+'22.09.68'!G73+'23.09.68'!G73+'24.09.68'!G73+'25.09.68'!G73+'26.09.68'!G73+'27.09.68'!G73+'28.09.68'!G73+'29.09.68'!G73+'30.09.68'!G73</f>
        <v>0</v>
      </c>
      <c r="H73" s="52">
        <f>+'01.09.68'!H73+'02.09.68'!H73+'03.09.68'!H73+'04.09.68'!H73+'05.09.68'!H73+'06.09.68'!H73+'07.09.68'!H73+'08.09.68'!H73+'09.09.68'!H73+'10.09.68'!H73+'11.09.68'!H73+'12.09.68'!H73+'13.09.68'!H73+'14.09.68'!H73+'15.09.68'!H73+'16.09.68'!H73+'17.09.68'!H73+'18.09.68'!H73+'19.09.68'!H73+'20.09.68'!H73+'21.09.68'!H73+'22.09.68'!H73+'23.09.68'!H73+'24.09.68'!H73+'25.09.68'!H73+'26.09.68'!H73+'27.09.68'!H73+'28.09.68'!H73+'29.09.68'!H73+'30.09.68'!H73</f>
        <v>0</v>
      </c>
      <c r="I73" s="65">
        <f t="shared" si="9"/>
        <v>0</v>
      </c>
      <c r="J73" s="52">
        <f>+'01.09.68'!J73+'02.09.68'!J73+'03.09.68'!J73+'04.09.68'!J73+'05.09.68'!J73+'06.09.68'!J73+'07.09.68'!J73+'08.09.68'!J73+'09.09.68'!J73+'10.09.68'!J73+'11.09.68'!J73+'12.09.68'!J73+'13.09.68'!J73+'14.09.68'!J73+'15.09.68'!J73+'16.09.68'!J73+'17.09.68'!J73+'18.09.68'!J73+'19.09.68'!J73+'20.09.68'!J73+'21.09.68'!J73+'22.09.68'!J73+'23.09.68'!J73+'24.09.68'!J73+'25.09.68'!J73+'26.09.68'!J73+'27.09.68'!J73+'28.09.68'!J73+'29.09.68'!J73+'30.09.68'!J73</f>
        <v>0</v>
      </c>
      <c r="K73" s="52">
        <f>+'01.09.68'!K73+'02.09.68'!K73+'03.09.68'!K73+'04.09.68'!K73+'05.09.68'!K73+'06.09.68'!K73+'07.09.68'!K73+'08.09.68'!K73+'09.09.68'!K73+'10.09.68'!K73+'11.09.68'!K73+'12.09.68'!K73+'13.09.68'!K73+'14.09.68'!K73+'15.09.68'!K73+'16.09.68'!K73+'17.09.68'!K73+'18.09.68'!K73+'19.09.68'!K73+'20.09.68'!K73+'21.09.68'!K73+'22.09.68'!K73+'23.09.68'!K73+'24.09.68'!K73+'25.09.68'!K73+'26.09.68'!K73+'27.09.68'!K73+'28.09.68'!K73+'29.09.68'!K73+'30.09.68'!K73</f>
        <v>0</v>
      </c>
      <c r="L73" s="65">
        <f t="shared" si="10"/>
        <v>0</v>
      </c>
      <c r="M73" s="52">
        <f>+'01.09.68'!M73+'02.09.68'!M73+'03.09.68'!M73+'04.09.68'!M73+'05.09.68'!M73+'06.09.68'!M73+'07.09.68'!M73+'08.09.68'!M73+'09.09.68'!M73+'10.09.68'!M73+'11.09.68'!M73+'12.09.68'!M73+'13.09.68'!M73+'14.09.68'!M73+'15.09.68'!M73+'16.09.68'!M73+'17.09.68'!M73+'18.09.68'!M73+'19.09.68'!M73+'20.09.68'!M73+'21.09.68'!M73+'22.09.68'!M73+'23.09.68'!M73+'24.09.68'!M73+'25.09.68'!M73+'26.09.68'!M73+'27.09.68'!M73+'28.09.68'!M73+'29.09.68'!M73+'30.09.68'!M73</f>
        <v>2</v>
      </c>
      <c r="N73" s="52">
        <f>+'01.09.68'!N73+'02.09.68'!N73+'03.09.68'!N73+'04.09.68'!N73+'05.09.68'!N73+'06.09.68'!N73+'07.09.68'!N73+'08.09.68'!N73+'09.09.68'!N73+'10.09.68'!N73+'11.09.68'!N73+'12.09.68'!N73+'13.09.68'!N73+'14.09.68'!N73+'15.09.68'!N73+'16.09.68'!N73+'17.09.68'!N73+'18.09.68'!N73+'19.09.68'!N73+'20.09.68'!N73+'21.09.68'!N73+'22.09.68'!N73+'23.09.68'!N73+'24.09.68'!N73+'25.09.68'!N73+'26.09.68'!N73+'27.09.68'!N73+'28.09.68'!N73+'29.09.68'!N73+'30.09.68'!N73</f>
        <v>0</v>
      </c>
      <c r="O73" s="65">
        <f t="shared" si="11"/>
        <v>2</v>
      </c>
      <c r="P73" s="52">
        <f>+'01.09.68'!P73+'02.09.68'!P73+'03.09.68'!P73+'04.09.68'!P73+'05.09.68'!P73+'06.09.68'!P73+'07.09.68'!P73+'08.09.68'!P73+'09.09.68'!P73+'10.09.68'!P73+'11.09.68'!P73+'12.09.68'!P73+'13.09.68'!P73+'14.09.68'!P73+'15.09.68'!P73+'16.09.68'!P73+'17.09.68'!P73+'18.09.68'!P73+'19.09.68'!P73+'20.09.68'!P73+'21.09.68'!P73+'22.09.68'!P73+'23.09.68'!P73+'24.09.68'!P73+'25.09.68'!P73+'26.09.68'!P73+'27.09.68'!P73+'28.09.68'!P73+'29.09.68'!P73+'30.09.68'!P73</f>
        <v>3</v>
      </c>
      <c r="Q73" s="52">
        <f>+'01.09.68'!Q73+'02.09.68'!Q73+'03.09.68'!Q73+'04.09.68'!Q73+'05.09.68'!Q73+'06.09.68'!Q73+'07.09.68'!Q73+'08.09.68'!Q73+'09.09.68'!Q73+'10.09.68'!Q73+'11.09.68'!Q73+'12.09.68'!Q73+'13.09.68'!Q73+'14.09.68'!Q73+'15.09.68'!Q73+'16.09.68'!Q73+'17.09.68'!Q73+'18.09.68'!Q73+'19.09.68'!Q73+'20.09.68'!Q73+'21.09.68'!Q73+'22.09.68'!Q73+'23.09.68'!Q73+'24.09.68'!Q73+'25.09.68'!Q73+'26.09.68'!Q73+'27.09.68'!Q73+'28.09.68'!Q73+'29.09.68'!Q73+'30.09.68'!Q73</f>
        <v>0</v>
      </c>
      <c r="R73" s="65">
        <f t="shared" si="12"/>
        <v>3</v>
      </c>
      <c r="S73" s="52">
        <f>+'01.09.68'!S73+'02.09.68'!S73+'03.09.68'!S73+'04.09.68'!S73+'05.09.68'!S73+'06.09.68'!S73+'07.09.68'!S73+'08.09.68'!S73+'09.09.68'!S73+'10.09.68'!S73+'11.09.68'!S73+'12.09.68'!S73+'13.09.68'!S73+'14.09.68'!S73+'15.09.68'!S73+'16.09.68'!S73+'17.09.68'!S73+'18.09.68'!S73+'19.09.68'!S73+'20.09.68'!S73+'21.09.68'!S73+'22.09.68'!S73+'23.09.68'!S73+'24.09.68'!S73+'25.09.68'!S73+'26.09.68'!S73+'27.09.68'!S73+'28.09.68'!S73+'29.09.68'!S73+'30.09.68'!S73</f>
        <v>0</v>
      </c>
      <c r="T73" s="52">
        <f>+'01.09.68'!T73+'02.09.68'!T73+'03.09.68'!T73+'04.09.68'!T73+'05.09.68'!T73+'06.09.68'!T73+'07.09.68'!T73+'08.09.68'!T73+'09.09.68'!T73+'10.09.68'!T73+'11.09.68'!T73+'12.09.68'!T73+'13.09.68'!T73+'14.09.68'!T73+'15.09.68'!T73+'16.09.68'!T73+'17.09.68'!T73+'18.09.68'!T73+'19.09.68'!T73+'20.09.68'!T73+'21.09.68'!T73+'22.09.68'!T73+'23.09.68'!T73+'24.09.68'!T73+'25.09.68'!T73+'26.09.68'!T73+'27.09.68'!T73+'28.09.68'!T73+'29.09.68'!T73+'30.09.68'!T73</f>
        <v>0</v>
      </c>
      <c r="U73" s="65">
        <f t="shared" si="13"/>
        <v>0</v>
      </c>
      <c r="V73" s="52">
        <f>+'01.09.68'!V73+'02.09.68'!V73+'03.09.68'!V73+'04.09.68'!V73+'05.09.68'!V73+'06.09.68'!V73+'07.09.68'!V73+'08.09.68'!V73+'09.09.68'!V73+'10.09.68'!V73+'11.09.68'!V73+'12.09.68'!V73+'13.09.68'!V73+'14.09.68'!V73+'15.09.68'!V73+'16.09.68'!V73+'17.09.68'!V73+'18.09.68'!V73+'19.09.68'!V73+'20.09.68'!V73+'21.09.68'!V73+'22.09.68'!V73+'23.09.68'!V73+'24.09.68'!V73+'25.09.68'!V73+'26.09.68'!V73+'27.09.68'!V73+'28.09.68'!V73+'29.09.68'!V73+'30.09.68'!V73</f>
        <v>0</v>
      </c>
      <c r="W73" s="52">
        <f>+'01.09.68'!W73+'02.09.68'!W73+'03.09.68'!W73+'04.09.68'!W73+'05.09.68'!W73+'06.09.68'!W73+'07.09.68'!W73+'08.09.68'!W73+'09.09.68'!W73+'10.09.68'!W73+'11.09.68'!W73+'12.09.68'!W73+'13.09.68'!W73+'14.09.68'!W73+'15.09.68'!W73+'16.09.68'!W73+'17.09.68'!W73+'18.09.68'!W73+'19.09.68'!W73+'20.09.68'!W73+'21.09.68'!W73+'22.09.68'!W73+'23.09.68'!W73+'24.09.68'!W73+'25.09.68'!W73+'26.09.68'!W73+'27.09.68'!W73+'28.09.68'!W73+'29.09.68'!W73+'30.09.68'!W73</f>
        <v>0</v>
      </c>
      <c r="X73" s="65">
        <f t="shared" si="14"/>
        <v>0</v>
      </c>
      <c r="Y73" s="52">
        <f>+'01.09.68'!Y73+'02.09.68'!Y73+'03.09.68'!Y73+'04.09.68'!Y73+'05.09.68'!Y73+'06.09.68'!Y73+'07.09.68'!Y73+'08.09.68'!Y73+'09.09.68'!Y73+'10.09.68'!Y73+'11.09.68'!Y73+'12.09.68'!Y73+'13.09.68'!Y73+'14.09.68'!Y73+'15.09.68'!Y73+'16.09.68'!Y73+'17.09.68'!Y73+'18.09.68'!Y73+'19.09.68'!Y73+'20.09.68'!Y73+'21.09.68'!Y73+'22.09.68'!Y73+'23.09.68'!Y73+'24.09.68'!Y73+'25.09.68'!Y73+'26.09.68'!Y73+'27.09.68'!Y73+'28.09.68'!Y73+'29.09.68'!Y73+'30.09.68'!Y73</f>
        <v>0</v>
      </c>
      <c r="Z73" s="66">
        <f t="shared" si="15"/>
        <v>5</v>
      </c>
    </row>
    <row r="74" spans="2:26">
      <c r="B74" s="50">
        <v>20052721</v>
      </c>
      <c r="C74" s="53" t="s">
        <v>194</v>
      </c>
      <c r="D74" s="52">
        <f>+'01.09.68'!D74+'02.09.68'!D74+'03.09.68'!D74+'04.09.68'!D74+'05.09.68'!D74+'06.09.68'!D74+'07.09.68'!D74+'08.09.68'!D74+'09.09.68'!D74+'10.09.68'!D74+'11.09.68'!D74+'12.09.68'!D74+'13.09.68'!D74+'14.09.68'!D74+'15.09.68'!D74+'16.09.68'!D74+'17.09.68'!D74+'18.09.68'!D74+'19.09.68'!D74+'20.09.68'!D74+'21.09.68'!D74+'22.09.68'!D74+'23.09.68'!D74+'24.09.68'!D74+'25.09.68'!D74+'26.09.68'!D74+'27.09.68'!D74+'28.09.68'!D74+'29.09.68'!D74+'30.09.68'!D74</f>
        <v>0</v>
      </c>
      <c r="E74" s="52">
        <f>+'01.09.68'!E74+'02.09.68'!E74+'03.09.68'!E74+'04.09.68'!E74+'05.09.68'!E74+'06.09.68'!E74+'07.09.68'!E74+'08.09.68'!E74+'09.09.68'!E74+'10.09.68'!E74+'11.09.68'!E74+'12.09.68'!E74+'13.09.68'!E74+'14.09.68'!E74+'15.09.68'!E74+'16.09.68'!E74+'17.09.68'!E74+'18.09.68'!E74+'19.09.68'!E74+'20.09.68'!E74+'21.09.68'!E74+'22.09.68'!E74+'23.09.68'!E74+'24.09.68'!E74+'25.09.68'!E74+'26.09.68'!E74+'27.09.68'!E74+'28.09.68'!E74+'29.09.68'!E74+'30.09.68'!E74</f>
        <v>0</v>
      </c>
      <c r="F74" s="65">
        <f t="shared" si="8"/>
        <v>0</v>
      </c>
      <c r="G74" s="52">
        <f>+'01.09.68'!G74+'02.09.68'!G74+'03.09.68'!G74+'04.09.68'!G74+'05.09.68'!G74+'06.09.68'!G74+'07.09.68'!G74+'08.09.68'!G74+'09.09.68'!G74+'10.09.68'!G74+'11.09.68'!G74+'12.09.68'!G74+'13.09.68'!G74+'14.09.68'!G74+'15.09.68'!G74+'16.09.68'!G74+'17.09.68'!G74+'18.09.68'!G74+'19.09.68'!G74+'20.09.68'!G74+'21.09.68'!G74+'22.09.68'!G74+'23.09.68'!G74+'24.09.68'!G74+'25.09.68'!G74+'26.09.68'!G74+'27.09.68'!G74+'28.09.68'!G74+'29.09.68'!G74+'30.09.68'!G74</f>
        <v>0</v>
      </c>
      <c r="H74" s="52">
        <f>+'01.09.68'!H74+'02.09.68'!H74+'03.09.68'!H74+'04.09.68'!H74+'05.09.68'!H74+'06.09.68'!H74+'07.09.68'!H74+'08.09.68'!H74+'09.09.68'!H74+'10.09.68'!H74+'11.09.68'!H74+'12.09.68'!H74+'13.09.68'!H74+'14.09.68'!H74+'15.09.68'!H74+'16.09.68'!H74+'17.09.68'!H74+'18.09.68'!H74+'19.09.68'!H74+'20.09.68'!H74+'21.09.68'!H74+'22.09.68'!H74+'23.09.68'!H74+'24.09.68'!H74+'25.09.68'!H74+'26.09.68'!H74+'27.09.68'!H74+'28.09.68'!H74+'29.09.68'!H74+'30.09.68'!H74</f>
        <v>0</v>
      </c>
      <c r="I74" s="65">
        <f t="shared" si="9"/>
        <v>0</v>
      </c>
      <c r="J74" s="52">
        <f>+'01.09.68'!J74+'02.09.68'!J74+'03.09.68'!J74+'04.09.68'!J74+'05.09.68'!J74+'06.09.68'!J74+'07.09.68'!J74+'08.09.68'!J74+'09.09.68'!J74+'10.09.68'!J74+'11.09.68'!J74+'12.09.68'!J74+'13.09.68'!J74+'14.09.68'!J74+'15.09.68'!J74+'16.09.68'!J74+'17.09.68'!J74+'18.09.68'!J74+'19.09.68'!J74+'20.09.68'!J74+'21.09.68'!J74+'22.09.68'!J74+'23.09.68'!J74+'24.09.68'!J74+'25.09.68'!J74+'26.09.68'!J74+'27.09.68'!J74+'28.09.68'!J74+'29.09.68'!J74+'30.09.68'!J74</f>
        <v>0</v>
      </c>
      <c r="K74" s="52">
        <f>+'01.09.68'!K74+'02.09.68'!K74+'03.09.68'!K74+'04.09.68'!K74+'05.09.68'!K74+'06.09.68'!K74+'07.09.68'!K74+'08.09.68'!K74+'09.09.68'!K74+'10.09.68'!K74+'11.09.68'!K74+'12.09.68'!K74+'13.09.68'!K74+'14.09.68'!K74+'15.09.68'!K74+'16.09.68'!K74+'17.09.68'!K74+'18.09.68'!K74+'19.09.68'!K74+'20.09.68'!K74+'21.09.68'!K74+'22.09.68'!K74+'23.09.68'!K74+'24.09.68'!K74+'25.09.68'!K74+'26.09.68'!K74+'27.09.68'!K74+'28.09.68'!K74+'29.09.68'!K74+'30.09.68'!K74</f>
        <v>0</v>
      </c>
      <c r="L74" s="65">
        <f t="shared" si="10"/>
        <v>0</v>
      </c>
      <c r="M74" s="52">
        <f>+'01.09.68'!M74+'02.09.68'!M74+'03.09.68'!M74+'04.09.68'!M74+'05.09.68'!M74+'06.09.68'!M74+'07.09.68'!M74+'08.09.68'!M74+'09.09.68'!M74+'10.09.68'!M74+'11.09.68'!M74+'12.09.68'!M74+'13.09.68'!M74+'14.09.68'!M74+'15.09.68'!M74+'16.09.68'!M74+'17.09.68'!M74+'18.09.68'!M74+'19.09.68'!M74+'20.09.68'!M74+'21.09.68'!M74+'22.09.68'!M74+'23.09.68'!M74+'24.09.68'!M74+'25.09.68'!M74+'26.09.68'!M74+'27.09.68'!M74+'28.09.68'!M74+'29.09.68'!M74+'30.09.68'!M74</f>
        <v>0</v>
      </c>
      <c r="N74" s="52">
        <f>+'01.09.68'!N74+'02.09.68'!N74+'03.09.68'!N74+'04.09.68'!N74+'05.09.68'!N74+'06.09.68'!N74+'07.09.68'!N74+'08.09.68'!N74+'09.09.68'!N74+'10.09.68'!N74+'11.09.68'!N74+'12.09.68'!N74+'13.09.68'!N74+'14.09.68'!N74+'15.09.68'!N74+'16.09.68'!N74+'17.09.68'!N74+'18.09.68'!N74+'19.09.68'!N74+'20.09.68'!N74+'21.09.68'!N74+'22.09.68'!N74+'23.09.68'!N74+'24.09.68'!N74+'25.09.68'!N74+'26.09.68'!N74+'27.09.68'!N74+'28.09.68'!N74+'29.09.68'!N74+'30.09.68'!N74</f>
        <v>0</v>
      </c>
      <c r="O74" s="65">
        <f t="shared" si="11"/>
        <v>0</v>
      </c>
      <c r="P74" s="52">
        <f>+'01.09.68'!P74+'02.09.68'!P74+'03.09.68'!P74+'04.09.68'!P74+'05.09.68'!P74+'06.09.68'!P74+'07.09.68'!P74+'08.09.68'!P74+'09.09.68'!P74+'10.09.68'!P74+'11.09.68'!P74+'12.09.68'!P74+'13.09.68'!P74+'14.09.68'!P74+'15.09.68'!P74+'16.09.68'!P74+'17.09.68'!P74+'18.09.68'!P74+'19.09.68'!P74+'20.09.68'!P74+'21.09.68'!P74+'22.09.68'!P74+'23.09.68'!P74+'24.09.68'!P74+'25.09.68'!P74+'26.09.68'!P74+'27.09.68'!P74+'28.09.68'!P74+'29.09.68'!P74+'30.09.68'!P74</f>
        <v>0</v>
      </c>
      <c r="Q74" s="52">
        <f>+'01.09.68'!Q74+'02.09.68'!Q74+'03.09.68'!Q74+'04.09.68'!Q74+'05.09.68'!Q74+'06.09.68'!Q74+'07.09.68'!Q74+'08.09.68'!Q74+'09.09.68'!Q74+'10.09.68'!Q74+'11.09.68'!Q74+'12.09.68'!Q74+'13.09.68'!Q74+'14.09.68'!Q74+'15.09.68'!Q74+'16.09.68'!Q74+'17.09.68'!Q74+'18.09.68'!Q74+'19.09.68'!Q74+'20.09.68'!Q74+'21.09.68'!Q74+'22.09.68'!Q74+'23.09.68'!Q74+'24.09.68'!Q74+'25.09.68'!Q74+'26.09.68'!Q74+'27.09.68'!Q74+'28.09.68'!Q74+'29.09.68'!Q74+'30.09.68'!Q74</f>
        <v>0</v>
      </c>
      <c r="R74" s="65">
        <f t="shared" si="12"/>
        <v>0</v>
      </c>
      <c r="S74" s="52">
        <f>+'01.09.68'!S74+'02.09.68'!S74+'03.09.68'!S74+'04.09.68'!S74+'05.09.68'!S74+'06.09.68'!S74+'07.09.68'!S74+'08.09.68'!S74+'09.09.68'!S74+'10.09.68'!S74+'11.09.68'!S74+'12.09.68'!S74+'13.09.68'!S74+'14.09.68'!S74+'15.09.68'!S74+'16.09.68'!S74+'17.09.68'!S74+'18.09.68'!S74+'19.09.68'!S74+'20.09.68'!S74+'21.09.68'!S74+'22.09.68'!S74+'23.09.68'!S74+'24.09.68'!S74+'25.09.68'!S74+'26.09.68'!S74+'27.09.68'!S74+'28.09.68'!S74+'29.09.68'!S74+'30.09.68'!S74</f>
        <v>0</v>
      </c>
      <c r="T74" s="52">
        <f>+'01.09.68'!T74+'02.09.68'!T74+'03.09.68'!T74+'04.09.68'!T74+'05.09.68'!T74+'06.09.68'!T74+'07.09.68'!T74+'08.09.68'!T74+'09.09.68'!T74+'10.09.68'!T74+'11.09.68'!T74+'12.09.68'!T74+'13.09.68'!T74+'14.09.68'!T74+'15.09.68'!T74+'16.09.68'!T74+'17.09.68'!T74+'18.09.68'!T74+'19.09.68'!T74+'20.09.68'!T74+'21.09.68'!T74+'22.09.68'!T74+'23.09.68'!T74+'24.09.68'!T74+'25.09.68'!T74+'26.09.68'!T74+'27.09.68'!T74+'28.09.68'!T74+'29.09.68'!T74+'30.09.68'!T74</f>
        <v>0</v>
      </c>
      <c r="U74" s="65">
        <f t="shared" si="13"/>
        <v>0</v>
      </c>
      <c r="V74" s="52">
        <f>+'01.09.68'!V74+'02.09.68'!V74+'03.09.68'!V74+'04.09.68'!V74+'05.09.68'!V74+'06.09.68'!V74+'07.09.68'!V74+'08.09.68'!V74+'09.09.68'!V74+'10.09.68'!V74+'11.09.68'!V74+'12.09.68'!V74+'13.09.68'!V74+'14.09.68'!V74+'15.09.68'!V74+'16.09.68'!V74+'17.09.68'!V74+'18.09.68'!V74+'19.09.68'!V74+'20.09.68'!V74+'21.09.68'!V74+'22.09.68'!V74+'23.09.68'!V74+'24.09.68'!V74+'25.09.68'!V74+'26.09.68'!V74+'27.09.68'!V74+'28.09.68'!V74+'29.09.68'!V74+'30.09.68'!V74</f>
        <v>0</v>
      </c>
      <c r="W74" s="52">
        <f>+'01.09.68'!W74+'02.09.68'!W74+'03.09.68'!W74+'04.09.68'!W74+'05.09.68'!W74+'06.09.68'!W74+'07.09.68'!W74+'08.09.68'!W74+'09.09.68'!W74+'10.09.68'!W74+'11.09.68'!W74+'12.09.68'!W74+'13.09.68'!W74+'14.09.68'!W74+'15.09.68'!W74+'16.09.68'!W74+'17.09.68'!W74+'18.09.68'!W74+'19.09.68'!W74+'20.09.68'!W74+'21.09.68'!W74+'22.09.68'!W74+'23.09.68'!W74+'24.09.68'!W74+'25.09.68'!W74+'26.09.68'!W74+'27.09.68'!W74+'28.09.68'!W74+'29.09.68'!W74+'30.09.68'!W74</f>
        <v>0</v>
      </c>
      <c r="X74" s="65">
        <f t="shared" si="14"/>
        <v>0</v>
      </c>
      <c r="Y74" s="52">
        <f>+'01.09.68'!Y74+'02.09.68'!Y74+'03.09.68'!Y74+'04.09.68'!Y74+'05.09.68'!Y74+'06.09.68'!Y74+'07.09.68'!Y74+'08.09.68'!Y74+'09.09.68'!Y74+'10.09.68'!Y74+'11.09.68'!Y74+'12.09.68'!Y74+'13.09.68'!Y74+'14.09.68'!Y74+'15.09.68'!Y74+'16.09.68'!Y74+'17.09.68'!Y74+'18.09.68'!Y74+'19.09.68'!Y74+'20.09.68'!Y74+'21.09.68'!Y74+'22.09.68'!Y74+'23.09.68'!Y74+'24.09.68'!Y74+'25.09.68'!Y74+'26.09.68'!Y74+'27.09.68'!Y74+'28.09.68'!Y74+'29.09.68'!Y74+'30.09.68'!Y74</f>
        <v>43</v>
      </c>
      <c r="Z74" s="66">
        <f t="shared" si="15"/>
        <v>43</v>
      </c>
    </row>
    <row r="75" spans="2:26">
      <c r="B75" s="50">
        <v>1113170</v>
      </c>
      <c r="C75" s="53" t="s">
        <v>87</v>
      </c>
      <c r="D75" s="52">
        <f>+'01.09.68'!D75+'02.09.68'!D75+'03.09.68'!D75+'04.09.68'!D75+'05.09.68'!D75+'06.09.68'!D75+'07.09.68'!D75+'08.09.68'!D75+'09.09.68'!D75+'10.09.68'!D75+'11.09.68'!D75+'12.09.68'!D75+'13.09.68'!D75+'14.09.68'!D75+'15.09.68'!D75+'16.09.68'!D75+'17.09.68'!D75+'18.09.68'!D75+'19.09.68'!D75+'20.09.68'!D75+'21.09.68'!D75+'22.09.68'!D75+'23.09.68'!D75+'24.09.68'!D75+'25.09.68'!D75+'26.09.68'!D75+'27.09.68'!D75+'28.09.68'!D75+'29.09.68'!D75+'30.09.68'!D75</f>
        <v>287</v>
      </c>
      <c r="E75" s="52">
        <f>+'01.09.68'!E75+'02.09.68'!E75+'03.09.68'!E75+'04.09.68'!E75+'05.09.68'!E75+'06.09.68'!E75+'07.09.68'!E75+'08.09.68'!E75+'09.09.68'!E75+'10.09.68'!E75+'11.09.68'!E75+'12.09.68'!E75+'13.09.68'!E75+'14.09.68'!E75+'15.09.68'!E75+'16.09.68'!E75+'17.09.68'!E75+'18.09.68'!E75+'19.09.68'!E75+'20.09.68'!E75+'21.09.68'!E75+'22.09.68'!E75+'23.09.68'!E75+'24.09.68'!E75+'25.09.68'!E75+'26.09.68'!E75+'27.09.68'!E75+'28.09.68'!E75+'29.09.68'!E75+'30.09.68'!E75</f>
        <v>1</v>
      </c>
      <c r="F75" s="65">
        <f t="shared" si="8"/>
        <v>288</v>
      </c>
      <c r="G75" s="52">
        <f>+'01.09.68'!G75+'02.09.68'!G75+'03.09.68'!G75+'04.09.68'!G75+'05.09.68'!G75+'06.09.68'!G75+'07.09.68'!G75+'08.09.68'!G75+'09.09.68'!G75+'10.09.68'!G75+'11.09.68'!G75+'12.09.68'!G75+'13.09.68'!G75+'14.09.68'!G75+'15.09.68'!G75+'16.09.68'!G75+'17.09.68'!G75+'18.09.68'!G75+'19.09.68'!G75+'20.09.68'!G75+'21.09.68'!G75+'22.09.68'!G75+'23.09.68'!G75+'24.09.68'!G75+'25.09.68'!G75+'26.09.68'!G75+'27.09.68'!G75+'28.09.68'!G75+'29.09.68'!G75+'30.09.68'!G75</f>
        <v>7</v>
      </c>
      <c r="H75" s="52">
        <f>+'01.09.68'!H75+'02.09.68'!H75+'03.09.68'!H75+'04.09.68'!H75+'05.09.68'!H75+'06.09.68'!H75+'07.09.68'!H75+'08.09.68'!H75+'09.09.68'!H75+'10.09.68'!H75+'11.09.68'!H75+'12.09.68'!H75+'13.09.68'!H75+'14.09.68'!H75+'15.09.68'!H75+'16.09.68'!H75+'17.09.68'!H75+'18.09.68'!H75+'19.09.68'!H75+'20.09.68'!H75+'21.09.68'!H75+'22.09.68'!H75+'23.09.68'!H75+'24.09.68'!H75+'25.09.68'!H75+'26.09.68'!H75+'27.09.68'!H75+'28.09.68'!H75+'29.09.68'!H75+'30.09.68'!H75</f>
        <v>0</v>
      </c>
      <c r="I75" s="65">
        <f t="shared" si="9"/>
        <v>7</v>
      </c>
      <c r="J75" s="52">
        <f>+'01.09.68'!J75+'02.09.68'!J75+'03.09.68'!J75+'04.09.68'!J75+'05.09.68'!J75+'06.09.68'!J75+'07.09.68'!J75+'08.09.68'!J75+'09.09.68'!J75+'10.09.68'!J75+'11.09.68'!J75+'12.09.68'!J75+'13.09.68'!J75+'14.09.68'!J75+'15.09.68'!J75+'16.09.68'!J75+'17.09.68'!J75+'18.09.68'!J75+'19.09.68'!J75+'20.09.68'!J75+'21.09.68'!J75+'22.09.68'!J75+'23.09.68'!J75+'24.09.68'!J75+'25.09.68'!J75+'26.09.68'!J75+'27.09.68'!J75+'28.09.68'!J75+'29.09.68'!J75+'30.09.68'!J75</f>
        <v>40</v>
      </c>
      <c r="K75" s="52">
        <f>+'01.09.68'!K75+'02.09.68'!K75+'03.09.68'!K75+'04.09.68'!K75+'05.09.68'!K75+'06.09.68'!K75+'07.09.68'!K75+'08.09.68'!K75+'09.09.68'!K75+'10.09.68'!K75+'11.09.68'!K75+'12.09.68'!K75+'13.09.68'!K75+'14.09.68'!K75+'15.09.68'!K75+'16.09.68'!K75+'17.09.68'!K75+'18.09.68'!K75+'19.09.68'!K75+'20.09.68'!K75+'21.09.68'!K75+'22.09.68'!K75+'23.09.68'!K75+'24.09.68'!K75+'25.09.68'!K75+'26.09.68'!K75+'27.09.68'!K75+'28.09.68'!K75+'29.09.68'!K75+'30.09.68'!K75</f>
        <v>0</v>
      </c>
      <c r="L75" s="65">
        <f t="shared" si="10"/>
        <v>40</v>
      </c>
      <c r="M75" s="52">
        <f>+'01.09.68'!M75+'02.09.68'!M75+'03.09.68'!M75+'04.09.68'!M75+'05.09.68'!M75+'06.09.68'!M75+'07.09.68'!M75+'08.09.68'!M75+'09.09.68'!M75+'10.09.68'!M75+'11.09.68'!M75+'12.09.68'!M75+'13.09.68'!M75+'14.09.68'!M75+'15.09.68'!M75+'16.09.68'!M75+'17.09.68'!M75+'18.09.68'!M75+'19.09.68'!M75+'20.09.68'!M75+'21.09.68'!M75+'22.09.68'!M75+'23.09.68'!M75+'24.09.68'!M75+'25.09.68'!M75+'26.09.68'!M75+'27.09.68'!M75+'28.09.68'!M75+'29.09.68'!M75+'30.09.68'!M75</f>
        <v>32</v>
      </c>
      <c r="N75" s="52">
        <f>+'01.09.68'!N75+'02.09.68'!N75+'03.09.68'!N75+'04.09.68'!N75+'05.09.68'!N75+'06.09.68'!N75+'07.09.68'!N75+'08.09.68'!N75+'09.09.68'!N75+'10.09.68'!N75+'11.09.68'!N75+'12.09.68'!N75+'13.09.68'!N75+'14.09.68'!N75+'15.09.68'!N75+'16.09.68'!N75+'17.09.68'!N75+'18.09.68'!N75+'19.09.68'!N75+'20.09.68'!N75+'21.09.68'!N75+'22.09.68'!N75+'23.09.68'!N75+'24.09.68'!N75+'25.09.68'!N75+'26.09.68'!N75+'27.09.68'!N75+'28.09.68'!N75+'29.09.68'!N75+'30.09.68'!N75</f>
        <v>0</v>
      </c>
      <c r="O75" s="65">
        <f t="shared" si="11"/>
        <v>32</v>
      </c>
      <c r="P75" s="52">
        <f>+'01.09.68'!P75+'02.09.68'!P75+'03.09.68'!P75+'04.09.68'!P75+'05.09.68'!P75+'06.09.68'!P75+'07.09.68'!P75+'08.09.68'!P75+'09.09.68'!P75+'10.09.68'!P75+'11.09.68'!P75+'12.09.68'!P75+'13.09.68'!P75+'14.09.68'!P75+'15.09.68'!P75+'16.09.68'!P75+'17.09.68'!P75+'18.09.68'!P75+'19.09.68'!P75+'20.09.68'!P75+'21.09.68'!P75+'22.09.68'!P75+'23.09.68'!P75+'24.09.68'!P75+'25.09.68'!P75+'26.09.68'!P75+'27.09.68'!P75+'28.09.68'!P75+'29.09.68'!P75+'30.09.68'!P75</f>
        <v>1</v>
      </c>
      <c r="Q75" s="52">
        <f>+'01.09.68'!Q75+'02.09.68'!Q75+'03.09.68'!Q75+'04.09.68'!Q75+'05.09.68'!Q75+'06.09.68'!Q75+'07.09.68'!Q75+'08.09.68'!Q75+'09.09.68'!Q75+'10.09.68'!Q75+'11.09.68'!Q75+'12.09.68'!Q75+'13.09.68'!Q75+'14.09.68'!Q75+'15.09.68'!Q75+'16.09.68'!Q75+'17.09.68'!Q75+'18.09.68'!Q75+'19.09.68'!Q75+'20.09.68'!Q75+'21.09.68'!Q75+'22.09.68'!Q75+'23.09.68'!Q75+'24.09.68'!Q75+'25.09.68'!Q75+'26.09.68'!Q75+'27.09.68'!Q75+'28.09.68'!Q75+'29.09.68'!Q75+'30.09.68'!Q75</f>
        <v>0</v>
      </c>
      <c r="R75" s="65">
        <f t="shared" si="12"/>
        <v>1</v>
      </c>
      <c r="S75" s="52">
        <f>+'01.09.68'!S75+'02.09.68'!S75+'03.09.68'!S75+'04.09.68'!S75+'05.09.68'!S75+'06.09.68'!S75+'07.09.68'!S75+'08.09.68'!S75+'09.09.68'!S75+'10.09.68'!S75+'11.09.68'!S75+'12.09.68'!S75+'13.09.68'!S75+'14.09.68'!S75+'15.09.68'!S75+'16.09.68'!S75+'17.09.68'!S75+'18.09.68'!S75+'19.09.68'!S75+'20.09.68'!S75+'21.09.68'!S75+'22.09.68'!S75+'23.09.68'!S75+'24.09.68'!S75+'25.09.68'!S75+'26.09.68'!S75+'27.09.68'!S75+'28.09.68'!S75+'29.09.68'!S75+'30.09.68'!S75</f>
        <v>0</v>
      </c>
      <c r="T75" s="52">
        <f>+'01.09.68'!T75+'02.09.68'!T75+'03.09.68'!T75+'04.09.68'!T75+'05.09.68'!T75+'06.09.68'!T75+'07.09.68'!T75+'08.09.68'!T75+'09.09.68'!T75+'10.09.68'!T75+'11.09.68'!T75+'12.09.68'!T75+'13.09.68'!T75+'14.09.68'!T75+'15.09.68'!T75+'16.09.68'!T75+'17.09.68'!T75+'18.09.68'!T75+'19.09.68'!T75+'20.09.68'!T75+'21.09.68'!T75+'22.09.68'!T75+'23.09.68'!T75+'24.09.68'!T75+'25.09.68'!T75+'26.09.68'!T75+'27.09.68'!T75+'28.09.68'!T75+'29.09.68'!T75+'30.09.68'!T75</f>
        <v>0</v>
      </c>
      <c r="U75" s="65">
        <f t="shared" si="13"/>
        <v>0</v>
      </c>
      <c r="V75" s="52">
        <f>+'01.09.68'!V75+'02.09.68'!V75+'03.09.68'!V75+'04.09.68'!V75+'05.09.68'!V75+'06.09.68'!V75+'07.09.68'!V75+'08.09.68'!V75+'09.09.68'!V75+'10.09.68'!V75+'11.09.68'!V75+'12.09.68'!V75+'13.09.68'!V75+'14.09.68'!V75+'15.09.68'!V75+'16.09.68'!V75+'17.09.68'!V75+'18.09.68'!V75+'19.09.68'!V75+'20.09.68'!V75+'21.09.68'!V75+'22.09.68'!V75+'23.09.68'!V75+'24.09.68'!V75+'25.09.68'!V75+'26.09.68'!V75+'27.09.68'!V75+'28.09.68'!V75+'29.09.68'!V75+'30.09.68'!V75</f>
        <v>0</v>
      </c>
      <c r="W75" s="52">
        <f>+'01.09.68'!W75+'02.09.68'!W75+'03.09.68'!W75+'04.09.68'!W75+'05.09.68'!W75+'06.09.68'!W75+'07.09.68'!W75+'08.09.68'!W75+'09.09.68'!W75+'10.09.68'!W75+'11.09.68'!W75+'12.09.68'!W75+'13.09.68'!W75+'14.09.68'!W75+'15.09.68'!W75+'16.09.68'!W75+'17.09.68'!W75+'18.09.68'!W75+'19.09.68'!W75+'20.09.68'!W75+'21.09.68'!W75+'22.09.68'!W75+'23.09.68'!W75+'24.09.68'!W75+'25.09.68'!W75+'26.09.68'!W75+'27.09.68'!W75+'28.09.68'!W75+'29.09.68'!W75+'30.09.68'!W75</f>
        <v>0</v>
      </c>
      <c r="X75" s="65">
        <f t="shared" si="14"/>
        <v>0</v>
      </c>
      <c r="Y75" s="52">
        <f>+'01.09.68'!Y75+'02.09.68'!Y75+'03.09.68'!Y75+'04.09.68'!Y75+'05.09.68'!Y75+'06.09.68'!Y75+'07.09.68'!Y75+'08.09.68'!Y75+'09.09.68'!Y75+'10.09.68'!Y75+'11.09.68'!Y75+'12.09.68'!Y75+'13.09.68'!Y75+'14.09.68'!Y75+'15.09.68'!Y75+'16.09.68'!Y75+'17.09.68'!Y75+'18.09.68'!Y75+'19.09.68'!Y75+'20.09.68'!Y75+'21.09.68'!Y75+'22.09.68'!Y75+'23.09.68'!Y75+'24.09.68'!Y75+'25.09.68'!Y75+'26.09.68'!Y75+'27.09.68'!Y75+'28.09.68'!Y75+'29.09.68'!Y75+'30.09.68'!Y75</f>
        <v>43</v>
      </c>
      <c r="Z75" s="66">
        <f t="shared" si="15"/>
        <v>411</v>
      </c>
    </row>
    <row r="76" spans="2:26">
      <c r="B76" s="50">
        <v>1113171</v>
      </c>
      <c r="C76" s="53" t="s">
        <v>88</v>
      </c>
      <c r="D76" s="52">
        <f>+'01.09.68'!D76+'02.09.68'!D76+'03.09.68'!D76+'04.09.68'!D76+'05.09.68'!D76+'06.09.68'!D76+'07.09.68'!D76+'08.09.68'!D76+'09.09.68'!D76+'10.09.68'!D76+'11.09.68'!D76+'12.09.68'!D76+'13.09.68'!D76+'14.09.68'!D76+'15.09.68'!D76+'16.09.68'!D76+'17.09.68'!D76+'18.09.68'!D76+'19.09.68'!D76+'20.09.68'!D76+'21.09.68'!D76+'22.09.68'!D76+'23.09.68'!D76+'24.09.68'!D76+'25.09.68'!D76+'26.09.68'!D76+'27.09.68'!D76+'28.09.68'!D76+'29.09.68'!D76+'30.09.68'!D76</f>
        <v>190</v>
      </c>
      <c r="E76" s="52">
        <f>+'01.09.68'!E76+'02.09.68'!E76+'03.09.68'!E76+'04.09.68'!E76+'05.09.68'!E76+'06.09.68'!E76+'07.09.68'!E76+'08.09.68'!E76+'09.09.68'!E76+'10.09.68'!E76+'11.09.68'!E76+'12.09.68'!E76+'13.09.68'!E76+'14.09.68'!E76+'15.09.68'!E76+'16.09.68'!E76+'17.09.68'!E76+'18.09.68'!E76+'19.09.68'!E76+'20.09.68'!E76+'21.09.68'!E76+'22.09.68'!E76+'23.09.68'!E76+'24.09.68'!E76+'25.09.68'!E76+'26.09.68'!E76+'27.09.68'!E76+'28.09.68'!E76+'29.09.68'!E76+'30.09.68'!E76</f>
        <v>1</v>
      </c>
      <c r="F76" s="65">
        <f t="shared" si="8"/>
        <v>191</v>
      </c>
      <c r="G76" s="52">
        <f>+'01.09.68'!G76+'02.09.68'!G76+'03.09.68'!G76+'04.09.68'!G76+'05.09.68'!G76+'06.09.68'!G76+'07.09.68'!G76+'08.09.68'!G76+'09.09.68'!G76+'10.09.68'!G76+'11.09.68'!G76+'12.09.68'!G76+'13.09.68'!G76+'14.09.68'!G76+'15.09.68'!G76+'16.09.68'!G76+'17.09.68'!G76+'18.09.68'!G76+'19.09.68'!G76+'20.09.68'!G76+'21.09.68'!G76+'22.09.68'!G76+'23.09.68'!G76+'24.09.68'!G76+'25.09.68'!G76+'26.09.68'!G76+'27.09.68'!G76+'28.09.68'!G76+'29.09.68'!G76+'30.09.68'!G76</f>
        <v>3</v>
      </c>
      <c r="H76" s="52">
        <f>+'01.09.68'!H76+'02.09.68'!H76+'03.09.68'!H76+'04.09.68'!H76+'05.09.68'!H76+'06.09.68'!H76+'07.09.68'!H76+'08.09.68'!H76+'09.09.68'!H76+'10.09.68'!H76+'11.09.68'!H76+'12.09.68'!H76+'13.09.68'!H76+'14.09.68'!H76+'15.09.68'!H76+'16.09.68'!H76+'17.09.68'!H76+'18.09.68'!H76+'19.09.68'!H76+'20.09.68'!H76+'21.09.68'!H76+'22.09.68'!H76+'23.09.68'!H76+'24.09.68'!H76+'25.09.68'!H76+'26.09.68'!H76+'27.09.68'!H76+'28.09.68'!H76+'29.09.68'!H76+'30.09.68'!H76</f>
        <v>0</v>
      </c>
      <c r="I76" s="65">
        <f t="shared" si="9"/>
        <v>3</v>
      </c>
      <c r="J76" s="52">
        <f>+'01.09.68'!J76+'02.09.68'!J76+'03.09.68'!J76+'04.09.68'!J76+'05.09.68'!J76+'06.09.68'!J76+'07.09.68'!J76+'08.09.68'!J76+'09.09.68'!J76+'10.09.68'!J76+'11.09.68'!J76+'12.09.68'!J76+'13.09.68'!J76+'14.09.68'!J76+'15.09.68'!J76+'16.09.68'!J76+'17.09.68'!J76+'18.09.68'!J76+'19.09.68'!J76+'20.09.68'!J76+'21.09.68'!J76+'22.09.68'!J76+'23.09.68'!J76+'24.09.68'!J76+'25.09.68'!J76+'26.09.68'!J76+'27.09.68'!J76+'28.09.68'!J76+'29.09.68'!J76+'30.09.68'!J76</f>
        <v>27</v>
      </c>
      <c r="K76" s="52">
        <f>+'01.09.68'!K76+'02.09.68'!K76+'03.09.68'!K76+'04.09.68'!K76+'05.09.68'!K76+'06.09.68'!K76+'07.09.68'!K76+'08.09.68'!K76+'09.09.68'!K76+'10.09.68'!K76+'11.09.68'!K76+'12.09.68'!K76+'13.09.68'!K76+'14.09.68'!K76+'15.09.68'!K76+'16.09.68'!K76+'17.09.68'!K76+'18.09.68'!K76+'19.09.68'!K76+'20.09.68'!K76+'21.09.68'!K76+'22.09.68'!K76+'23.09.68'!K76+'24.09.68'!K76+'25.09.68'!K76+'26.09.68'!K76+'27.09.68'!K76+'28.09.68'!K76+'29.09.68'!K76+'30.09.68'!K76</f>
        <v>0</v>
      </c>
      <c r="L76" s="65">
        <f t="shared" si="10"/>
        <v>27</v>
      </c>
      <c r="M76" s="52">
        <f>+'01.09.68'!M76+'02.09.68'!M76+'03.09.68'!M76+'04.09.68'!M76+'05.09.68'!M76+'06.09.68'!M76+'07.09.68'!M76+'08.09.68'!M76+'09.09.68'!M76+'10.09.68'!M76+'11.09.68'!M76+'12.09.68'!M76+'13.09.68'!M76+'14.09.68'!M76+'15.09.68'!M76+'16.09.68'!M76+'17.09.68'!M76+'18.09.68'!M76+'19.09.68'!M76+'20.09.68'!M76+'21.09.68'!M76+'22.09.68'!M76+'23.09.68'!M76+'24.09.68'!M76+'25.09.68'!M76+'26.09.68'!M76+'27.09.68'!M76+'28.09.68'!M76+'29.09.68'!M76+'30.09.68'!M76</f>
        <v>15</v>
      </c>
      <c r="N76" s="52">
        <f>+'01.09.68'!N76+'02.09.68'!N76+'03.09.68'!N76+'04.09.68'!N76+'05.09.68'!N76+'06.09.68'!N76+'07.09.68'!N76+'08.09.68'!N76+'09.09.68'!N76+'10.09.68'!N76+'11.09.68'!N76+'12.09.68'!N76+'13.09.68'!N76+'14.09.68'!N76+'15.09.68'!N76+'16.09.68'!N76+'17.09.68'!N76+'18.09.68'!N76+'19.09.68'!N76+'20.09.68'!N76+'21.09.68'!N76+'22.09.68'!N76+'23.09.68'!N76+'24.09.68'!N76+'25.09.68'!N76+'26.09.68'!N76+'27.09.68'!N76+'28.09.68'!N76+'29.09.68'!N76+'30.09.68'!N76</f>
        <v>0</v>
      </c>
      <c r="O76" s="65">
        <f t="shared" si="11"/>
        <v>15</v>
      </c>
      <c r="P76" s="52">
        <f>+'01.09.68'!P76+'02.09.68'!P76+'03.09.68'!P76+'04.09.68'!P76+'05.09.68'!P76+'06.09.68'!P76+'07.09.68'!P76+'08.09.68'!P76+'09.09.68'!P76+'10.09.68'!P76+'11.09.68'!P76+'12.09.68'!P76+'13.09.68'!P76+'14.09.68'!P76+'15.09.68'!P76+'16.09.68'!P76+'17.09.68'!P76+'18.09.68'!P76+'19.09.68'!P76+'20.09.68'!P76+'21.09.68'!P76+'22.09.68'!P76+'23.09.68'!P76+'24.09.68'!P76+'25.09.68'!P76+'26.09.68'!P76+'27.09.68'!P76+'28.09.68'!P76+'29.09.68'!P76+'30.09.68'!P76</f>
        <v>0</v>
      </c>
      <c r="Q76" s="52">
        <f>+'01.09.68'!Q76+'02.09.68'!Q76+'03.09.68'!Q76+'04.09.68'!Q76+'05.09.68'!Q76+'06.09.68'!Q76+'07.09.68'!Q76+'08.09.68'!Q76+'09.09.68'!Q76+'10.09.68'!Q76+'11.09.68'!Q76+'12.09.68'!Q76+'13.09.68'!Q76+'14.09.68'!Q76+'15.09.68'!Q76+'16.09.68'!Q76+'17.09.68'!Q76+'18.09.68'!Q76+'19.09.68'!Q76+'20.09.68'!Q76+'21.09.68'!Q76+'22.09.68'!Q76+'23.09.68'!Q76+'24.09.68'!Q76+'25.09.68'!Q76+'26.09.68'!Q76+'27.09.68'!Q76+'28.09.68'!Q76+'29.09.68'!Q76+'30.09.68'!Q76</f>
        <v>0</v>
      </c>
      <c r="R76" s="65">
        <f t="shared" si="12"/>
        <v>0</v>
      </c>
      <c r="S76" s="52">
        <f>+'01.09.68'!S76+'02.09.68'!S76+'03.09.68'!S76+'04.09.68'!S76+'05.09.68'!S76+'06.09.68'!S76+'07.09.68'!S76+'08.09.68'!S76+'09.09.68'!S76+'10.09.68'!S76+'11.09.68'!S76+'12.09.68'!S76+'13.09.68'!S76+'14.09.68'!S76+'15.09.68'!S76+'16.09.68'!S76+'17.09.68'!S76+'18.09.68'!S76+'19.09.68'!S76+'20.09.68'!S76+'21.09.68'!S76+'22.09.68'!S76+'23.09.68'!S76+'24.09.68'!S76+'25.09.68'!S76+'26.09.68'!S76+'27.09.68'!S76+'28.09.68'!S76+'29.09.68'!S76+'30.09.68'!S76</f>
        <v>0</v>
      </c>
      <c r="T76" s="52">
        <f>+'01.09.68'!T76+'02.09.68'!T76+'03.09.68'!T76+'04.09.68'!T76+'05.09.68'!T76+'06.09.68'!T76+'07.09.68'!T76+'08.09.68'!T76+'09.09.68'!T76+'10.09.68'!T76+'11.09.68'!T76+'12.09.68'!T76+'13.09.68'!T76+'14.09.68'!T76+'15.09.68'!T76+'16.09.68'!T76+'17.09.68'!T76+'18.09.68'!T76+'19.09.68'!T76+'20.09.68'!T76+'21.09.68'!T76+'22.09.68'!T76+'23.09.68'!T76+'24.09.68'!T76+'25.09.68'!T76+'26.09.68'!T76+'27.09.68'!T76+'28.09.68'!T76+'29.09.68'!T76+'30.09.68'!T76</f>
        <v>0</v>
      </c>
      <c r="U76" s="65">
        <f t="shared" si="13"/>
        <v>0</v>
      </c>
      <c r="V76" s="52">
        <f>+'01.09.68'!V76+'02.09.68'!V76+'03.09.68'!V76+'04.09.68'!V76+'05.09.68'!V76+'06.09.68'!V76+'07.09.68'!V76+'08.09.68'!V76+'09.09.68'!V76+'10.09.68'!V76+'11.09.68'!V76+'12.09.68'!V76+'13.09.68'!V76+'14.09.68'!V76+'15.09.68'!V76+'16.09.68'!V76+'17.09.68'!V76+'18.09.68'!V76+'19.09.68'!V76+'20.09.68'!V76+'21.09.68'!V76+'22.09.68'!V76+'23.09.68'!V76+'24.09.68'!V76+'25.09.68'!V76+'26.09.68'!V76+'27.09.68'!V76+'28.09.68'!V76+'29.09.68'!V76+'30.09.68'!V76</f>
        <v>0</v>
      </c>
      <c r="W76" s="52">
        <f>+'01.09.68'!W76+'02.09.68'!W76+'03.09.68'!W76+'04.09.68'!W76+'05.09.68'!W76+'06.09.68'!W76+'07.09.68'!W76+'08.09.68'!W76+'09.09.68'!W76+'10.09.68'!W76+'11.09.68'!W76+'12.09.68'!W76+'13.09.68'!W76+'14.09.68'!W76+'15.09.68'!W76+'16.09.68'!W76+'17.09.68'!W76+'18.09.68'!W76+'19.09.68'!W76+'20.09.68'!W76+'21.09.68'!W76+'22.09.68'!W76+'23.09.68'!W76+'24.09.68'!W76+'25.09.68'!W76+'26.09.68'!W76+'27.09.68'!W76+'28.09.68'!W76+'29.09.68'!W76+'30.09.68'!W76</f>
        <v>0</v>
      </c>
      <c r="X76" s="65">
        <f t="shared" si="14"/>
        <v>0</v>
      </c>
      <c r="Y76" s="52">
        <f>+'01.09.68'!Y76+'02.09.68'!Y76+'03.09.68'!Y76+'04.09.68'!Y76+'05.09.68'!Y76+'06.09.68'!Y76+'07.09.68'!Y76+'08.09.68'!Y76+'09.09.68'!Y76+'10.09.68'!Y76+'11.09.68'!Y76+'12.09.68'!Y76+'13.09.68'!Y76+'14.09.68'!Y76+'15.09.68'!Y76+'16.09.68'!Y76+'17.09.68'!Y76+'18.09.68'!Y76+'19.09.68'!Y76+'20.09.68'!Y76+'21.09.68'!Y76+'22.09.68'!Y76+'23.09.68'!Y76+'24.09.68'!Y76+'25.09.68'!Y76+'26.09.68'!Y76+'27.09.68'!Y76+'28.09.68'!Y76+'29.09.68'!Y76+'30.09.68'!Y76</f>
        <v>35</v>
      </c>
      <c r="Z76" s="66">
        <f t="shared" si="15"/>
        <v>271</v>
      </c>
    </row>
    <row r="77" spans="2:26">
      <c r="B77" s="50">
        <v>1113172</v>
      </c>
      <c r="C77" s="53" t="s">
        <v>89</v>
      </c>
      <c r="D77" s="52">
        <f>+'01.09.68'!D77+'02.09.68'!D77+'03.09.68'!D77+'04.09.68'!D77+'05.09.68'!D77+'06.09.68'!D77+'07.09.68'!D77+'08.09.68'!D77+'09.09.68'!D77+'10.09.68'!D77+'11.09.68'!D77+'12.09.68'!D77+'13.09.68'!D77+'14.09.68'!D77+'15.09.68'!D77+'16.09.68'!D77+'17.09.68'!D77+'18.09.68'!D77+'19.09.68'!D77+'20.09.68'!D77+'21.09.68'!D77+'22.09.68'!D77+'23.09.68'!D77+'24.09.68'!D77+'25.09.68'!D77+'26.09.68'!D77+'27.09.68'!D77+'28.09.68'!D77+'29.09.68'!D77+'30.09.68'!D77</f>
        <v>154</v>
      </c>
      <c r="E77" s="52">
        <f>+'01.09.68'!E77+'02.09.68'!E77+'03.09.68'!E77+'04.09.68'!E77+'05.09.68'!E77+'06.09.68'!E77+'07.09.68'!E77+'08.09.68'!E77+'09.09.68'!E77+'10.09.68'!E77+'11.09.68'!E77+'12.09.68'!E77+'13.09.68'!E77+'14.09.68'!E77+'15.09.68'!E77+'16.09.68'!E77+'17.09.68'!E77+'18.09.68'!E77+'19.09.68'!E77+'20.09.68'!E77+'21.09.68'!E77+'22.09.68'!E77+'23.09.68'!E77+'24.09.68'!E77+'25.09.68'!E77+'26.09.68'!E77+'27.09.68'!E77+'28.09.68'!E77+'29.09.68'!E77+'30.09.68'!E77</f>
        <v>0</v>
      </c>
      <c r="F77" s="65">
        <f t="shared" si="8"/>
        <v>154</v>
      </c>
      <c r="G77" s="52">
        <f>+'01.09.68'!G77+'02.09.68'!G77+'03.09.68'!G77+'04.09.68'!G77+'05.09.68'!G77+'06.09.68'!G77+'07.09.68'!G77+'08.09.68'!G77+'09.09.68'!G77+'10.09.68'!G77+'11.09.68'!G77+'12.09.68'!G77+'13.09.68'!G77+'14.09.68'!G77+'15.09.68'!G77+'16.09.68'!G77+'17.09.68'!G77+'18.09.68'!G77+'19.09.68'!G77+'20.09.68'!G77+'21.09.68'!G77+'22.09.68'!G77+'23.09.68'!G77+'24.09.68'!G77+'25.09.68'!G77+'26.09.68'!G77+'27.09.68'!G77+'28.09.68'!G77+'29.09.68'!G77+'30.09.68'!G77</f>
        <v>0</v>
      </c>
      <c r="H77" s="52">
        <f>+'01.09.68'!H77+'02.09.68'!H77+'03.09.68'!H77+'04.09.68'!H77+'05.09.68'!H77+'06.09.68'!H77+'07.09.68'!H77+'08.09.68'!H77+'09.09.68'!H77+'10.09.68'!H77+'11.09.68'!H77+'12.09.68'!H77+'13.09.68'!H77+'14.09.68'!H77+'15.09.68'!H77+'16.09.68'!H77+'17.09.68'!H77+'18.09.68'!H77+'19.09.68'!H77+'20.09.68'!H77+'21.09.68'!H77+'22.09.68'!H77+'23.09.68'!H77+'24.09.68'!H77+'25.09.68'!H77+'26.09.68'!H77+'27.09.68'!H77+'28.09.68'!H77+'29.09.68'!H77+'30.09.68'!H77</f>
        <v>0</v>
      </c>
      <c r="I77" s="65">
        <f t="shared" si="9"/>
        <v>0</v>
      </c>
      <c r="J77" s="52">
        <f>+'01.09.68'!J77+'02.09.68'!J77+'03.09.68'!J77+'04.09.68'!J77+'05.09.68'!J77+'06.09.68'!J77+'07.09.68'!J77+'08.09.68'!J77+'09.09.68'!J77+'10.09.68'!J77+'11.09.68'!J77+'12.09.68'!J77+'13.09.68'!J77+'14.09.68'!J77+'15.09.68'!J77+'16.09.68'!J77+'17.09.68'!J77+'18.09.68'!J77+'19.09.68'!J77+'20.09.68'!J77+'21.09.68'!J77+'22.09.68'!J77+'23.09.68'!J77+'24.09.68'!J77+'25.09.68'!J77+'26.09.68'!J77+'27.09.68'!J77+'28.09.68'!J77+'29.09.68'!J77+'30.09.68'!J77</f>
        <v>16</v>
      </c>
      <c r="K77" s="52">
        <f>+'01.09.68'!K77+'02.09.68'!K77+'03.09.68'!K77+'04.09.68'!K77+'05.09.68'!K77+'06.09.68'!K77+'07.09.68'!K77+'08.09.68'!K77+'09.09.68'!K77+'10.09.68'!K77+'11.09.68'!K77+'12.09.68'!K77+'13.09.68'!K77+'14.09.68'!K77+'15.09.68'!K77+'16.09.68'!K77+'17.09.68'!K77+'18.09.68'!K77+'19.09.68'!K77+'20.09.68'!K77+'21.09.68'!K77+'22.09.68'!K77+'23.09.68'!K77+'24.09.68'!K77+'25.09.68'!K77+'26.09.68'!K77+'27.09.68'!K77+'28.09.68'!K77+'29.09.68'!K77+'30.09.68'!K77</f>
        <v>0</v>
      </c>
      <c r="L77" s="65">
        <f t="shared" si="10"/>
        <v>16</v>
      </c>
      <c r="M77" s="52">
        <f>+'01.09.68'!M77+'02.09.68'!M77+'03.09.68'!M77+'04.09.68'!M77+'05.09.68'!M77+'06.09.68'!M77+'07.09.68'!M77+'08.09.68'!M77+'09.09.68'!M77+'10.09.68'!M77+'11.09.68'!M77+'12.09.68'!M77+'13.09.68'!M77+'14.09.68'!M77+'15.09.68'!M77+'16.09.68'!M77+'17.09.68'!M77+'18.09.68'!M77+'19.09.68'!M77+'20.09.68'!M77+'21.09.68'!M77+'22.09.68'!M77+'23.09.68'!M77+'24.09.68'!M77+'25.09.68'!M77+'26.09.68'!M77+'27.09.68'!M77+'28.09.68'!M77+'29.09.68'!M77+'30.09.68'!M77</f>
        <v>11</v>
      </c>
      <c r="N77" s="52">
        <f>+'01.09.68'!N77+'02.09.68'!N77+'03.09.68'!N77+'04.09.68'!N77+'05.09.68'!N77+'06.09.68'!N77+'07.09.68'!N77+'08.09.68'!N77+'09.09.68'!N77+'10.09.68'!N77+'11.09.68'!N77+'12.09.68'!N77+'13.09.68'!N77+'14.09.68'!N77+'15.09.68'!N77+'16.09.68'!N77+'17.09.68'!N77+'18.09.68'!N77+'19.09.68'!N77+'20.09.68'!N77+'21.09.68'!N77+'22.09.68'!N77+'23.09.68'!N77+'24.09.68'!N77+'25.09.68'!N77+'26.09.68'!N77+'27.09.68'!N77+'28.09.68'!N77+'29.09.68'!N77+'30.09.68'!N77</f>
        <v>0</v>
      </c>
      <c r="O77" s="65">
        <f t="shared" si="11"/>
        <v>11</v>
      </c>
      <c r="P77" s="52">
        <f>+'01.09.68'!P77+'02.09.68'!P77+'03.09.68'!P77+'04.09.68'!P77+'05.09.68'!P77+'06.09.68'!P77+'07.09.68'!P77+'08.09.68'!P77+'09.09.68'!P77+'10.09.68'!P77+'11.09.68'!P77+'12.09.68'!P77+'13.09.68'!P77+'14.09.68'!P77+'15.09.68'!P77+'16.09.68'!P77+'17.09.68'!P77+'18.09.68'!P77+'19.09.68'!P77+'20.09.68'!P77+'21.09.68'!P77+'22.09.68'!P77+'23.09.68'!P77+'24.09.68'!P77+'25.09.68'!P77+'26.09.68'!P77+'27.09.68'!P77+'28.09.68'!P77+'29.09.68'!P77+'30.09.68'!P77</f>
        <v>0</v>
      </c>
      <c r="Q77" s="52">
        <f>+'01.09.68'!Q77+'02.09.68'!Q77+'03.09.68'!Q77+'04.09.68'!Q77+'05.09.68'!Q77+'06.09.68'!Q77+'07.09.68'!Q77+'08.09.68'!Q77+'09.09.68'!Q77+'10.09.68'!Q77+'11.09.68'!Q77+'12.09.68'!Q77+'13.09.68'!Q77+'14.09.68'!Q77+'15.09.68'!Q77+'16.09.68'!Q77+'17.09.68'!Q77+'18.09.68'!Q77+'19.09.68'!Q77+'20.09.68'!Q77+'21.09.68'!Q77+'22.09.68'!Q77+'23.09.68'!Q77+'24.09.68'!Q77+'25.09.68'!Q77+'26.09.68'!Q77+'27.09.68'!Q77+'28.09.68'!Q77+'29.09.68'!Q77+'30.09.68'!Q77</f>
        <v>0</v>
      </c>
      <c r="R77" s="65">
        <f t="shared" si="12"/>
        <v>0</v>
      </c>
      <c r="S77" s="52">
        <f>+'01.09.68'!S77+'02.09.68'!S77+'03.09.68'!S77+'04.09.68'!S77+'05.09.68'!S77+'06.09.68'!S77+'07.09.68'!S77+'08.09.68'!S77+'09.09.68'!S77+'10.09.68'!S77+'11.09.68'!S77+'12.09.68'!S77+'13.09.68'!S77+'14.09.68'!S77+'15.09.68'!S77+'16.09.68'!S77+'17.09.68'!S77+'18.09.68'!S77+'19.09.68'!S77+'20.09.68'!S77+'21.09.68'!S77+'22.09.68'!S77+'23.09.68'!S77+'24.09.68'!S77+'25.09.68'!S77+'26.09.68'!S77+'27.09.68'!S77+'28.09.68'!S77+'29.09.68'!S77+'30.09.68'!S77</f>
        <v>0</v>
      </c>
      <c r="T77" s="52">
        <f>+'01.09.68'!T77+'02.09.68'!T77+'03.09.68'!T77+'04.09.68'!T77+'05.09.68'!T77+'06.09.68'!T77+'07.09.68'!T77+'08.09.68'!T77+'09.09.68'!T77+'10.09.68'!T77+'11.09.68'!T77+'12.09.68'!T77+'13.09.68'!T77+'14.09.68'!T77+'15.09.68'!T77+'16.09.68'!T77+'17.09.68'!T77+'18.09.68'!T77+'19.09.68'!T77+'20.09.68'!T77+'21.09.68'!T77+'22.09.68'!T77+'23.09.68'!T77+'24.09.68'!T77+'25.09.68'!T77+'26.09.68'!T77+'27.09.68'!T77+'28.09.68'!T77+'29.09.68'!T77+'30.09.68'!T77</f>
        <v>0</v>
      </c>
      <c r="U77" s="65">
        <f t="shared" si="13"/>
        <v>0</v>
      </c>
      <c r="V77" s="52">
        <f>+'01.09.68'!V77+'02.09.68'!V77+'03.09.68'!V77+'04.09.68'!V77+'05.09.68'!V77+'06.09.68'!V77+'07.09.68'!V77+'08.09.68'!V77+'09.09.68'!V77+'10.09.68'!V77+'11.09.68'!V77+'12.09.68'!V77+'13.09.68'!V77+'14.09.68'!V77+'15.09.68'!V77+'16.09.68'!V77+'17.09.68'!V77+'18.09.68'!V77+'19.09.68'!V77+'20.09.68'!V77+'21.09.68'!V77+'22.09.68'!V77+'23.09.68'!V77+'24.09.68'!V77+'25.09.68'!V77+'26.09.68'!V77+'27.09.68'!V77+'28.09.68'!V77+'29.09.68'!V77+'30.09.68'!V77</f>
        <v>0</v>
      </c>
      <c r="W77" s="52">
        <f>+'01.09.68'!W77+'02.09.68'!W77+'03.09.68'!W77+'04.09.68'!W77+'05.09.68'!W77+'06.09.68'!W77+'07.09.68'!W77+'08.09.68'!W77+'09.09.68'!W77+'10.09.68'!W77+'11.09.68'!W77+'12.09.68'!W77+'13.09.68'!W77+'14.09.68'!W77+'15.09.68'!W77+'16.09.68'!W77+'17.09.68'!W77+'18.09.68'!W77+'19.09.68'!W77+'20.09.68'!W77+'21.09.68'!W77+'22.09.68'!W77+'23.09.68'!W77+'24.09.68'!W77+'25.09.68'!W77+'26.09.68'!W77+'27.09.68'!W77+'28.09.68'!W77+'29.09.68'!W77+'30.09.68'!W77</f>
        <v>0</v>
      </c>
      <c r="X77" s="65">
        <f t="shared" si="14"/>
        <v>0</v>
      </c>
      <c r="Y77" s="52">
        <f>+'01.09.68'!Y77+'02.09.68'!Y77+'03.09.68'!Y77+'04.09.68'!Y77+'05.09.68'!Y77+'06.09.68'!Y77+'07.09.68'!Y77+'08.09.68'!Y77+'09.09.68'!Y77+'10.09.68'!Y77+'11.09.68'!Y77+'12.09.68'!Y77+'13.09.68'!Y77+'14.09.68'!Y77+'15.09.68'!Y77+'16.09.68'!Y77+'17.09.68'!Y77+'18.09.68'!Y77+'19.09.68'!Y77+'20.09.68'!Y77+'21.09.68'!Y77+'22.09.68'!Y77+'23.09.68'!Y77+'24.09.68'!Y77+'25.09.68'!Y77+'26.09.68'!Y77+'27.09.68'!Y77+'28.09.68'!Y77+'29.09.68'!Y77+'30.09.68'!Y77</f>
        <v>0</v>
      </c>
      <c r="Z77" s="66">
        <f t="shared" si="15"/>
        <v>181</v>
      </c>
    </row>
    <row r="78" spans="2:26">
      <c r="B78" s="50">
        <v>1113173</v>
      </c>
      <c r="C78" s="53" t="s">
        <v>90</v>
      </c>
      <c r="D78" s="52">
        <f>+'01.09.68'!D78+'02.09.68'!D78+'03.09.68'!D78+'04.09.68'!D78+'05.09.68'!D78+'06.09.68'!D78+'07.09.68'!D78+'08.09.68'!D78+'09.09.68'!D78+'10.09.68'!D78+'11.09.68'!D78+'12.09.68'!D78+'13.09.68'!D78+'14.09.68'!D78+'15.09.68'!D78+'16.09.68'!D78+'17.09.68'!D78+'18.09.68'!D78+'19.09.68'!D78+'20.09.68'!D78+'21.09.68'!D78+'22.09.68'!D78+'23.09.68'!D78+'24.09.68'!D78+'25.09.68'!D78+'26.09.68'!D78+'27.09.68'!D78+'28.09.68'!D78+'29.09.68'!D78+'30.09.68'!D78</f>
        <v>140</v>
      </c>
      <c r="E78" s="52">
        <f>+'01.09.68'!E78+'02.09.68'!E78+'03.09.68'!E78+'04.09.68'!E78+'05.09.68'!E78+'06.09.68'!E78+'07.09.68'!E78+'08.09.68'!E78+'09.09.68'!E78+'10.09.68'!E78+'11.09.68'!E78+'12.09.68'!E78+'13.09.68'!E78+'14.09.68'!E78+'15.09.68'!E78+'16.09.68'!E78+'17.09.68'!E78+'18.09.68'!E78+'19.09.68'!E78+'20.09.68'!E78+'21.09.68'!E78+'22.09.68'!E78+'23.09.68'!E78+'24.09.68'!E78+'25.09.68'!E78+'26.09.68'!E78+'27.09.68'!E78+'28.09.68'!E78+'29.09.68'!E78+'30.09.68'!E78</f>
        <v>0</v>
      </c>
      <c r="F78" s="65">
        <f t="shared" si="8"/>
        <v>140</v>
      </c>
      <c r="G78" s="52">
        <f>+'01.09.68'!G78+'02.09.68'!G78+'03.09.68'!G78+'04.09.68'!G78+'05.09.68'!G78+'06.09.68'!G78+'07.09.68'!G78+'08.09.68'!G78+'09.09.68'!G78+'10.09.68'!G78+'11.09.68'!G78+'12.09.68'!G78+'13.09.68'!G78+'14.09.68'!G78+'15.09.68'!G78+'16.09.68'!G78+'17.09.68'!G78+'18.09.68'!G78+'19.09.68'!G78+'20.09.68'!G78+'21.09.68'!G78+'22.09.68'!G78+'23.09.68'!G78+'24.09.68'!G78+'25.09.68'!G78+'26.09.68'!G78+'27.09.68'!G78+'28.09.68'!G78+'29.09.68'!G78+'30.09.68'!G78</f>
        <v>1</v>
      </c>
      <c r="H78" s="52">
        <f>+'01.09.68'!H78+'02.09.68'!H78+'03.09.68'!H78+'04.09.68'!H78+'05.09.68'!H78+'06.09.68'!H78+'07.09.68'!H78+'08.09.68'!H78+'09.09.68'!H78+'10.09.68'!H78+'11.09.68'!H78+'12.09.68'!H78+'13.09.68'!H78+'14.09.68'!H78+'15.09.68'!H78+'16.09.68'!H78+'17.09.68'!H78+'18.09.68'!H78+'19.09.68'!H78+'20.09.68'!H78+'21.09.68'!H78+'22.09.68'!H78+'23.09.68'!H78+'24.09.68'!H78+'25.09.68'!H78+'26.09.68'!H78+'27.09.68'!H78+'28.09.68'!H78+'29.09.68'!H78+'30.09.68'!H78</f>
        <v>0</v>
      </c>
      <c r="I78" s="65">
        <f t="shared" si="9"/>
        <v>1</v>
      </c>
      <c r="J78" s="52">
        <f>+'01.09.68'!J78+'02.09.68'!J78+'03.09.68'!J78+'04.09.68'!J78+'05.09.68'!J78+'06.09.68'!J78+'07.09.68'!J78+'08.09.68'!J78+'09.09.68'!J78+'10.09.68'!J78+'11.09.68'!J78+'12.09.68'!J78+'13.09.68'!J78+'14.09.68'!J78+'15.09.68'!J78+'16.09.68'!J78+'17.09.68'!J78+'18.09.68'!J78+'19.09.68'!J78+'20.09.68'!J78+'21.09.68'!J78+'22.09.68'!J78+'23.09.68'!J78+'24.09.68'!J78+'25.09.68'!J78+'26.09.68'!J78+'27.09.68'!J78+'28.09.68'!J78+'29.09.68'!J78+'30.09.68'!J78</f>
        <v>17</v>
      </c>
      <c r="K78" s="52">
        <f>+'01.09.68'!K78+'02.09.68'!K78+'03.09.68'!K78+'04.09.68'!K78+'05.09.68'!K78+'06.09.68'!K78+'07.09.68'!K78+'08.09.68'!K78+'09.09.68'!K78+'10.09.68'!K78+'11.09.68'!K78+'12.09.68'!K78+'13.09.68'!K78+'14.09.68'!K78+'15.09.68'!K78+'16.09.68'!K78+'17.09.68'!K78+'18.09.68'!K78+'19.09.68'!K78+'20.09.68'!K78+'21.09.68'!K78+'22.09.68'!K78+'23.09.68'!K78+'24.09.68'!K78+'25.09.68'!K78+'26.09.68'!K78+'27.09.68'!K78+'28.09.68'!K78+'29.09.68'!K78+'30.09.68'!K78</f>
        <v>0</v>
      </c>
      <c r="L78" s="65">
        <f t="shared" si="10"/>
        <v>17</v>
      </c>
      <c r="M78" s="52">
        <f>+'01.09.68'!M78+'02.09.68'!M78+'03.09.68'!M78+'04.09.68'!M78+'05.09.68'!M78+'06.09.68'!M78+'07.09.68'!M78+'08.09.68'!M78+'09.09.68'!M78+'10.09.68'!M78+'11.09.68'!M78+'12.09.68'!M78+'13.09.68'!M78+'14.09.68'!M78+'15.09.68'!M78+'16.09.68'!M78+'17.09.68'!M78+'18.09.68'!M78+'19.09.68'!M78+'20.09.68'!M78+'21.09.68'!M78+'22.09.68'!M78+'23.09.68'!M78+'24.09.68'!M78+'25.09.68'!M78+'26.09.68'!M78+'27.09.68'!M78+'28.09.68'!M78+'29.09.68'!M78+'30.09.68'!M78</f>
        <v>12</v>
      </c>
      <c r="N78" s="52">
        <f>+'01.09.68'!N78+'02.09.68'!N78+'03.09.68'!N78+'04.09.68'!N78+'05.09.68'!N78+'06.09.68'!N78+'07.09.68'!N78+'08.09.68'!N78+'09.09.68'!N78+'10.09.68'!N78+'11.09.68'!N78+'12.09.68'!N78+'13.09.68'!N78+'14.09.68'!N78+'15.09.68'!N78+'16.09.68'!N78+'17.09.68'!N78+'18.09.68'!N78+'19.09.68'!N78+'20.09.68'!N78+'21.09.68'!N78+'22.09.68'!N78+'23.09.68'!N78+'24.09.68'!N78+'25.09.68'!N78+'26.09.68'!N78+'27.09.68'!N78+'28.09.68'!N78+'29.09.68'!N78+'30.09.68'!N78</f>
        <v>0</v>
      </c>
      <c r="O78" s="65">
        <f t="shared" si="11"/>
        <v>12</v>
      </c>
      <c r="P78" s="52">
        <f>+'01.09.68'!P78+'02.09.68'!P78+'03.09.68'!P78+'04.09.68'!P78+'05.09.68'!P78+'06.09.68'!P78+'07.09.68'!P78+'08.09.68'!P78+'09.09.68'!P78+'10.09.68'!P78+'11.09.68'!P78+'12.09.68'!P78+'13.09.68'!P78+'14.09.68'!P78+'15.09.68'!P78+'16.09.68'!P78+'17.09.68'!P78+'18.09.68'!P78+'19.09.68'!P78+'20.09.68'!P78+'21.09.68'!P78+'22.09.68'!P78+'23.09.68'!P78+'24.09.68'!P78+'25.09.68'!P78+'26.09.68'!P78+'27.09.68'!P78+'28.09.68'!P78+'29.09.68'!P78+'30.09.68'!P78</f>
        <v>2</v>
      </c>
      <c r="Q78" s="52">
        <f>+'01.09.68'!Q78+'02.09.68'!Q78+'03.09.68'!Q78+'04.09.68'!Q78+'05.09.68'!Q78+'06.09.68'!Q78+'07.09.68'!Q78+'08.09.68'!Q78+'09.09.68'!Q78+'10.09.68'!Q78+'11.09.68'!Q78+'12.09.68'!Q78+'13.09.68'!Q78+'14.09.68'!Q78+'15.09.68'!Q78+'16.09.68'!Q78+'17.09.68'!Q78+'18.09.68'!Q78+'19.09.68'!Q78+'20.09.68'!Q78+'21.09.68'!Q78+'22.09.68'!Q78+'23.09.68'!Q78+'24.09.68'!Q78+'25.09.68'!Q78+'26.09.68'!Q78+'27.09.68'!Q78+'28.09.68'!Q78+'29.09.68'!Q78+'30.09.68'!Q78</f>
        <v>0</v>
      </c>
      <c r="R78" s="65">
        <f t="shared" si="12"/>
        <v>2</v>
      </c>
      <c r="S78" s="52">
        <f>+'01.09.68'!S78+'02.09.68'!S78+'03.09.68'!S78+'04.09.68'!S78+'05.09.68'!S78+'06.09.68'!S78+'07.09.68'!S78+'08.09.68'!S78+'09.09.68'!S78+'10.09.68'!S78+'11.09.68'!S78+'12.09.68'!S78+'13.09.68'!S78+'14.09.68'!S78+'15.09.68'!S78+'16.09.68'!S78+'17.09.68'!S78+'18.09.68'!S78+'19.09.68'!S78+'20.09.68'!S78+'21.09.68'!S78+'22.09.68'!S78+'23.09.68'!S78+'24.09.68'!S78+'25.09.68'!S78+'26.09.68'!S78+'27.09.68'!S78+'28.09.68'!S78+'29.09.68'!S78+'30.09.68'!S78</f>
        <v>0</v>
      </c>
      <c r="T78" s="52">
        <f>+'01.09.68'!T78+'02.09.68'!T78+'03.09.68'!T78+'04.09.68'!T78+'05.09.68'!T78+'06.09.68'!T78+'07.09.68'!T78+'08.09.68'!T78+'09.09.68'!T78+'10.09.68'!T78+'11.09.68'!T78+'12.09.68'!T78+'13.09.68'!T78+'14.09.68'!T78+'15.09.68'!T78+'16.09.68'!T78+'17.09.68'!T78+'18.09.68'!T78+'19.09.68'!T78+'20.09.68'!T78+'21.09.68'!T78+'22.09.68'!T78+'23.09.68'!T78+'24.09.68'!T78+'25.09.68'!T78+'26.09.68'!T78+'27.09.68'!T78+'28.09.68'!T78+'29.09.68'!T78+'30.09.68'!T78</f>
        <v>0</v>
      </c>
      <c r="U78" s="65">
        <f t="shared" si="13"/>
        <v>0</v>
      </c>
      <c r="V78" s="52">
        <f>+'01.09.68'!V78+'02.09.68'!V78+'03.09.68'!V78+'04.09.68'!V78+'05.09.68'!V78+'06.09.68'!V78+'07.09.68'!V78+'08.09.68'!V78+'09.09.68'!V78+'10.09.68'!V78+'11.09.68'!V78+'12.09.68'!V78+'13.09.68'!V78+'14.09.68'!V78+'15.09.68'!V78+'16.09.68'!V78+'17.09.68'!V78+'18.09.68'!V78+'19.09.68'!V78+'20.09.68'!V78+'21.09.68'!V78+'22.09.68'!V78+'23.09.68'!V78+'24.09.68'!V78+'25.09.68'!V78+'26.09.68'!V78+'27.09.68'!V78+'28.09.68'!V78+'29.09.68'!V78+'30.09.68'!V78</f>
        <v>0</v>
      </c>
      <c r="W78" s="52">
        <f>+'01.09.68'!W78+'02.09.68'!W78+'03.09.68'!W78+'04.09.68'!W78+'05.09.68'!W78+'06.09.68'!W78+'07.09.68'!W78+'08.09.68'!W78+'09.09.68'!W78+'10.09.68'!W78+'11.09.68'!W78+'12.09.68'!W78+'13.09.68'!W78+'14.09.68'!W78+'15.09.68'!W78+'16.09.68'!W78+'17.09.68'!W78+'18.09.68'!W78+'19.09.68'!W78+'20.09.68'!W78+'21.09.68'!W78+'22.09.68'!W78+'23.09.68'!W78+'24.09.68'!W78+'25.09.68'!W78+'26.09.68'!W78+'27.09.68'!W78+'28.09.68'!W78+'29.09.68'!W78+'30.09.68'!W78</f>
        <v>0</v>
      </c>
      <c r="X78" s="65">
        <f t="shared" si="14"/>
        <v>0</v>
      </c>
      <c r="Y78" s="52">
        <f>+'01.09.68'!Y78+'02.09.68'!Y78+'03.09.68'!Y78+'04.09.68'!Y78+'05.09.68'!Y78+'06.09.68'!Y78+'07.09.68'!Y78+'08.09.68'!Y78+'09.09.68'!Y78+'10.09.68'!Y78+'11.09.68'!Y78+'12.09.68'!Y78+'13.09.68'!Y78+'14.09.68'!Y78+'15.09.68'!Y78+'16.09.68'!Y78+'17.09.68'!Y78+'18.09.68'!Y78+'19.09.68'!Y78+'20.09.68'!Y78+'21.09.68'!Y78+'22.09.68'!Y78+'23.09.68'!Y78+'24.09.68'!Y78+'25.09.68'!Y78+'26.09.68'!Y78+'27.09.68'!Y78+'28.09.68'!Y78+'29.09.68'!Y78+'30.09.68'!Y78</f>
        <v>8</v>
      </c>
      <c r="Z78" s="66">
        <f t="shared" si="15"/>
        <v>180</v>
      </c>
    </row>
    <row r="79" spans="2:26">
      <c r="B79" s="50">
        <v>1200001</v>
      </c>
      <c r="C79" s="53" t="s">
        <v>195</v>
      </c>
      <c r="D79" s="52">
        <f>+'01.09.68'!D79+'02.09.68'!D79+'03.09.68'!D79+'04.09.68'!D79+'05.09.68'!D79+'06.09.68'!D79+'07.09.68'!D79+'08.09.68'!D79+'09.09.68'!D79+'10.09.68'!D79+'11.09.68'!D79+'12.09.68'!D79+'13.09.68'!D79+'14.09.68'!D79+'15.09.68'!D79+'16.09.68'!D79+'17.09.68'!D79+'18.09.68'!D79+'19.09.68'!D79+'20.09.68'!D79+'21.09.68'!D79+'22.09.68'!D79+'23.09.68'!D79+'24.09.68'!D79+'25.09.68'!D79+'26.09.68'!D79+'27.09.68'!D79+'28.09.68'!D79+'29.09.68'!D79+'30.09.68'!D79</f>
        <v>100</v>
      </c>
      <c r="E79" s="52">
        <f>+'01.09.68'!E79+'02.09.68'!E79+'03.09.68'!E79+'04.09.68'!E79+'05.09.68'!E79+'06.09.68'!E79+'07.09.68'!E79+'08.09.68'!E79+'09.09.68'!E79+'10.09.68'!E79+'11.09.68'!E79+'12.09.68'!E79+'13.09.68'!E79+'14.09.68'!E79+'15.09.68'!E79+'16.09.68'!E79+'17.09.68'!E79+'18.09.68'!E79+'19.09.68'!E79+'20.09.68'!E79+'21.09.68'!E79+'22.09.68'!E79+'23.09.68'!E79+'24.09.68'!E79+'25.09.68'!E79+'26.09.68'!E79+'27.09.68'!E79+'28.09.68'!E79+'29.09.68'!E79+'30.09.68'!E79</f>
        <v>0</v>
      </c>
      <c r="F79" s="65">
        <f t="shared" si="8"/>
        <v>100</v>
      </c>
      <c r="G79" s="52">
        <f>+'01.09.68'!G79+'02.09.68'!G79+'03.09.68'!G79+'04.09.68'!G79+'05.09.68'!G79+'06.09.68'!G79+'07.09.68'!G79+'08.09.68'!G79+'09.09.68'!G79+'10.09.68'!G79+'11.09.68'!G79+'12.09.68'!G79+'13.09.68'!G79+'14.09.68'!G79+'15.09.68'!G79+'16.09.68'!G79+'17.09.68'!G79+'18.09.68'!G79+'19.09.68'!G79+'20.09.68'!G79+'21.09.68'!G79+'22.09.68'!G79+'23.09.68'!G79+'24.09.68'!G79+'25.09.68'!G79+'26.09.68'!G79+'27.09.68'!G79+'28.09.68'!G79+'29.09.68'!G79+'30.09.68'!G79</f>
        <v>0</v>
      </c>
      <c r="H79" s="52">
        <f>+'01.09.68'!H79+'02.09.68'!H79+'03.09.68'!H79+'04.09.68'!H79+'05.09.68'!H79+'06.09.68'!H79+'07.09.68'!H79+'08.09.68'!H79+'09.09.68'!H79+'10.09.68'!H79+'11.09.68'!H79+'12.09.68'!H79+'13.09.68'!H79+'14.09.68'!H79+'15.09.68'!H79+'16.09.68'!H79+'17.09.68'!H79+'18.09.68'!H79+'19.09.68'!H79+'20.09.68'!H79+'21.09.68'!H79+'22.09.68'!H79+'23.09.68'!H79+'24.09.68'!H79+'25.09.68'!H79+'26.09.68'!H79+'27.09.68'!H79+'28.09.68'!H79+'29.09.68'!H79+'30.09.68'!H79</f>
        <v>0</v>
      </c>
      <c r="I79" s="65">
        <f t="shared" si="9"/>
        <v>0</v>
      </c>
      <c r="J79" s="52">
        <f>+'01.09.68'!J79+'02.09.68'!J79+'03.09.68'!J79+'04.09.68'!J79+'05.09.68'!J79+'06.09.68'!J79+'07.09.68'!J79+'08.09.68'!J79+'09.09.68'!J79+'10.09.68'!J79+'11.09.68'!J79+'12.09.68'!J79+'13.09.68'!J79+'14.09.68'!J79+'15.09.68'!J79+'16.09.68'!J79+'17.09.68'!J79+'18.09.68'!J79+'19.09.68'!J79+'20.09.68'!J79+'21.09.68'!J79+'22.09.68'!J79+'23.09.68'!J79+'24.09.68'!J79+'25.09.68'!J79+'26.09.68'!J79+'27.09.68'!J79+'28.09.68'!J79+'29.09.68'!J79+'30.09.68'!J79</f>
        <v>0</v>
      </c>
      <c r="K79" s="52">
        <f>+'01.09.68'!K79+'02.09.68'!K79+'03.09.68'!K79+'04.09.68'!K79+'05.09.68'!K79+'06.09.68'!K79+'07.09.68'!K79+'08.09.68'!K79+'09.09.68'!K79+'10.09.68'!K79+'11.09.68'!K79+'12.09.68'!K79+'13.09.68'!K79+'14.09.68'!K79+'15.09.68'!K79+'16.09.68'!K79+'17.09.68'!K79+'18.09.68'!K79+'19.09.68'!K79+'20.09.68'!K79+'21.09.68'!K79+'22.09.68'!K79+'23.09.68'!K79+'24.09.68'!K79+'25.09.68'!K79+'26.09.68'!K79+'27.09.68'!K79+'28.09.68'!K79+'29.09.68'!K79+'30.09.68'!K79</f>
        <v>0</v>
      </c>
      <c r="L79" s="65">
        <f t="shared" si="10"/>
        <v>0</v>
      </c>
      <c r="M79" s="52">
        <f>+'01.09.68'!M79+'02.09.68'!M79+'03.09.68'!M79+'04.09.68'!M79+'05.09.68'!M79+'06.09.68'!M79+'07.09.68'!M79+'08.09.68'!M79+'09.09.68'!M79+'10.09.68'!M79+'11.09.68'!M79+'12.09.68'!M79+'13.09.68'!M79+'14.09.68'!M79+'15.09.68'!M79+'16.09.68'!M79+'17.09.68'!M79+'18.09.68'!M79+'19.09.68'!M79+'20.09.68'!M79+'21.09.68'!M79+'22.09.68'!M79+'23.09.68'!M79+'24.09.68'!M79+'25.09.68'!M79+'26.09.68'!M79+'27.09.68'!M79+'28.09.68'!M79+'29.09.68'!M79+'30.09.68'!M79</f>
        <v>0</v>
      </c>
      <c r="N79" s="52">
        <f>+'01.09.68'!N79+'02.09.68'!N79+'03.09.68'!N79+'04.09.68'!N79+'05.09.68'!N79+'06.09.68'!N79+'07.09.68'!N79+'08.09.68'!N79+'09.09.68'!N79+'10.09.68'!N79+'11.09.68'!N79+'12.09.68'!N79+'13.09.68'!N79+'14.09.68'!N79+'15.09.68'!N79+'16.09.68'!N79+'17.09.68'!N79+'18.09.68'!N79+'19.09.68'!N79+'20.09.68'!N79+'21.09.68'!N79+'22.09.68'!N79+'23.09.68'!N79+'24.09.68'!N79+'25.09.68'!N79+'26.09.68'!N79+'27.09.68'!N79+'28.09.68'!N79+'29.09.68'!N79+'30.09.68'!N79</f>
        <v>0</v>
      </c>
      <c r="O79" s="65">
        <f t="shared" si="11"/>
        <v>0</v>
      </c>
      <c r="P79" s="52">
        <f>+'01.09.68'!P79+'02.09.68'!P79+'03.09.68'!P79+'04.09.68'!P79+'05.09.68'!P79+'06.09.68'!P79+'07.09.68'!P79+'08.09.68'!P79+'09.09.68'!P79+'10.09.68'!P79+'11.09.68'!P79+'12.09.68'!P79+'13.09.68'!P79+'14.09.68'!P79+'15.09.68'!P79+'16.09.68'!P79+'17.09.68'!P79+'18.09.68'!P79+'19.09.68'!P79+'20.09.68'!P79+'21.09.68'!P79+'22.09.68'!P79+'23.09.68'!P79+'24.09.68'!P79+'25.09.68'!P79+'26.09.68'!P79+'27.09.68'!P79+'28.09.68'!P79+'29.09.68'!P79+'30.09.68'!P79</f>
        <v>0</v>
      </c>
      <c r="Q79" s="52">
        <f>+'01.09.68'!Q79+'02.09.68'!Q79+'03.09.68'!Q79+'04.09.68'!Q79+'05.09.68'!Q79+'06.09.68'!Q79+'07.09.68'!Q79+'08.09.68'!Q79+'09.09.68'!Q79+'10.09.68'!Q79+'11.09.68'!Q79+'12.09.68'!Q79+'13.09.68'!Q79+'14.09.68'!Q79+'15.09.68'!Q79+'16.09.68'!Q79+'17.09.68'!Q79+'18.09.68'!Q79+'19.09.68'!Q79+'20.09.68'!Q79+'21.09.68'!Q79+'22.09.68'!Q79+'23.09.68'!Q79+'24.09.68'!Q79+'25.09.68'!Q79+'26.09.68'!Q79+'27.09.68'!Q79+'28.09.68'!Q79+'29.09.68'!Q79+'30.09.68'!Q79</f>
        <v>0</v>
      </c>
      <c r="R79" s="65">
        <f t="shared" si="12"/>
        <v>0</v>
      </c>
      <c r="S79" s="52">
        <f>+'01.09.68'!S79+'02.09.68'!S79+'03.09.68'!S79+'04.09.68'!S79+'05.09.68'!S79+'06.09.68'!S79+'07.09.68'!S79+'08.09.68'!S79+'09.09.68'!S79+'10.09.68'!S79+'11.09.68'!S79+'12.09.68'!S79+'13.09.68'!S79+'14.09.68'!S79+'15.09.68'!S79+'16.09.68'!S79+'17.09.68'!S79+'18.09.68'!S79+'19.09.68'!S79+'20.09.68'!S79+'21.09.68'!S79+'22.09.68'!S79+'23.09.68'!S79+'24.09.68'!S79+'25.09.68'!S79+'26.09.68'!S79+'27.09.68'!S79+'28.09.68'!S79+'29.09.68'!S79+'30.09.68'!S79</f>
        <v>0</v>
      </c>
      <c r="T79" s="52">
        <f>+'01.09.68'!T79+'02.09.68'!T79+'03.09.68'!T79+'04.09.68'!T79+'05.09.68'!T79+'06.09.68'!T79+'07.09.68'!T79+'08.09.68'!T79+'09.09.68'!T79+'10.09.68'!T79+'11.09.68'!T79+'12.09.68'!T79+'13.09.68'!T79+'14.09.68'!T79+'15.09.68'!T79+'16.09.68'!T79+'17.09.68'!T79+'18.09.68'!T79+'19.09.68'!T79+'20.09.68'!T79+'21.09.68'!T79+'22.09.68'!T79+'23.09.68'!T79+'24.09.68'!T79+'25.09.68'!T79+'26.09.68'!T79+'27.09.68'!T79+'28.09.68'!T79+'29.09.68'!T79+'30.09.68'!T79</f>
        <v>0</v>
      </c>
      <c r="U79" s="65">
        <f t="shared" si="13"/>
        <v>0</v>
      </c>
      <c r="V79" s="52">
        <f>+'01.09.68'!V79+'02.09.68'!V79+'03.09.68'!V79+'04.09.68'!V79+'05.09.68'!V79+'06.09.68'!V79+'07.09.68'!V79+'08.09.68'!V79+'09.09.68'!V79+'10.09.68'!V79+'11.09.68'!V79+'12.09.68'!V79+'13.09.68'!V79+'14.09.68'!V79+'15.09.68'!V79+'16.09.68'!V79+'17.09.68'!V79+'18.09.68'!V79+'19.09.68'!V79+'20.09.68'!V79+'21.09.68'!V79+'22.09.68'!V79+'23.09.68'!V79+'24.09.68'!V79+'25.09.68'!V79+'26.09.68'!V79+'27.09.68'!V79+'28.09.68'!V79+'29.09.68'!V79+'30.09.68'!V79</f>
        <v>0</v>
      </c>
      <c r="W79" s="52">
        <f>+'01.09.68'!W79+'02.09.68'!W79+'03.09.68'!W79+'04.09.68'!W79+'05.09.68'!W79+'06.09.68'!W79+'07.09.68'!W79+'08.09.68'!W79+'09.09.68'!W79+'10.09.68'!W79+'11.09.68'!W79+'12.09.68'!W79+'13.09.68'!W79+'14.09.68'!W79+'15.09.68'!W79+'16.09.68'!W79+'17.09.68'!W79+'18.09.68'!W79+'19.09.68'!W79+'20.09.68'!W79+'21.09.68'!W79+'22.09.68'!W79+'23.09.68'!W79+'24.09.68'!W79+'25.09.68'!W79+'26.09.68'!W79+'27.09.68'!W79+'28.09.68'!W79+'29.09.68'!W79+'30.09.68'!W79</f>
        <v>0</v>
      </c>
      <c r="X79" s="65">
        <f t="shared" si="14"/>
        <v>0</v>
      </c>
      <c r="Y79" s="52">
        <f>+'01.09.68'!Y79+'02.09.68'!Y79+'03.09.68'!Y79+'04.09.68'!Y79+'05.09.68'!Y79+'06.09.68'!Y79+'07.09.68'!Y79+'08.09.68'!Y79+'09.09.68'!Y79+'10.09.68'!Y79+'11.09.68'!Y79+'12.09.68'!Y79+'13.09.68'!Y79+'14.09.68'!Y79+'15.09.68'!Y79+'16.09.68'!Y79+'17.09.68'!Y79+'18.09.68'!Y79+'19.09.68'!Y79+'20.09.68'!Y79+'21.09.68'!Y79+'22.09.68'!Y79+'23.09.68'!Y79+'24.09.68'!Y79+'25.09.68'!Y79+'26.09.68'!Y79+'27.09.68'!Y79+'28.09.68'!Y79+'29.09.68'!Y79+'30.09.68'!Y79</f>
        <v>15</v>
      </c>
      <c r="Z79" s="66">
        <f t="shared" si="15"/>
        <v>115</v>
      </c>
    </row>
    <row r="80" spans="2:26">
      <c r="B80" s="50">
        <v>1200002</v>
      </c>
      <c r="C80" s="53" t="s">
        <v>196</v>
      </c>
      <c r="D80" s="52">
        <f>+'01.09.68'!D80+'02.09.68'!D80+'03.09.68'!D80+'04.09.68'!D80+'05.09.68'!D80+'06.09.68'!D80+'07.09.68'!D80+'08.09.68'!D80+'09.09.68'!D80+'10.09.68'!D80+'11.09.68'!D80+'12.09.68'!D80+'13.09.68'!D80+'14.09.68'!D80+'15.09.68'!D80+'16.09.68'!D80+'17.09.68'!D80+'18.09.68'!D80+'19.09.68'!D80+'20.09.68'!D80+'21.09.68'!D80+'22.09.68'!D80+'23.09.68'!D80+'24.09.68'!D80+'25.09.68'!D80+'26.09.68'!D80+'27.09.68'!D80+'28.09.68'!D80+'29.09.68'!D80+'30.09.68'!D80</f>
        <v>12</v>
      </c>
      <c r="E80" s="52">
        <f>+'01.09.68'!E80+'02.09.68'!E80+'03.09.68'!E80+'04.09.68'!E80+'05.09.68'!E80+'06.09.68'!E80+'07.09.68'!E80+'08.09.68'!E80+'09.09.68'!E80+'10.09.68'!E80+'11.09.68'!E80+'12.09.68'!E80+'13.09.68'!E80+'14.09.68'!E80+'15.09.68'!E80+'16.09.68'!E80+'17.09.68'!E80+'18.09.68'!E80+'19.09.68'!E80+'20.09.68'!E80+'21.09.68'!E80+'22.09.68'!E80+'23.09.68'!E80+'24.09.68'!E80+'25.09.68'!E80+'26.09.68'!E80+'27.09.68'!E80+'28.09.68'!E80+'29.09.68'!E80+'30.09.68'!E80</f>
        <v>0</v>
      </c>
      <c r="F80" s="65">
        <f t="shared" si="8"/>
        <v>12</v>
      </c>
      <c r="G80" s="52">
        <f>+'01.09.68'!G80+'02.09.68'!G80+'03.09.68'!G80+'04.09.68'!G80+'05.09.68'!G80+'06.09.68'!G80+'07.09.68'!G80+'08.09.68'!G80+'09.09.68'!G80+'10.09.68'!G80+'11.09.68'!G80+'12.09.68'!G80+'13.09.68'!G80+'14.09.68'!G80+'15.09.68'!G80+'16.09.68'!G80+'17.09.68'!G80+'18.09.68'!G80+'19.09.68'!G80+'20.09.68'!G80+'21.09.68'!G80+'22.09.68'!G80+'23.09.68'!G80+'24.09.68'!G80+'25.09.68'!G80+'26.09.68'!G80+'27.09.68'!G80+'28.09.68'!G80+'29.09.68'!G80+'30.09.68'!G80</f>
        <v>0</v>
      </c>
      <c r="H80" s="52">
        <f>+'01.09.68'!H80+'02.09.68'!H80+'03.09.68'!H80+'04.09.68'!H80+'05.09.68'!H80+'06.09.68'!H80+'07.09.68'!H80+'08.09.68'!H80+'09.09.68'!H80+'10.09.68'!H80+'11.09.68'!H80+'12.09.68'!H80+'13.09.68'!H80+'14.09.68'!H80+'15.09.68'!H80+'16.09.68'!H80+'17.09.68'!H80+'18.09.68'!H80+'19.09.68'!H80+'20.09.68'!H80+'21.09.68'!H80+'22.09.68'!H80+'23.09.68'!H80+'24.09.68'!H80+'25.09.68'!H80+'26.09.68'!H80+'27.09.68'!H80+'28.09.68'!H80+'29.09.68'!H80+'30.09.68'!H80</f>
        <v>0</v>
      </c>
      <c r="I80" s="65">
        <f t="shared" si="9"/>
        <v>0</v>
      </c>
      <c r="J80" s="52">
        <f>+'01.09.68'!J80+'02.09.68'!J80+'03.09.68'!J80+'04.09.68'!J80+'05.09.68'!J80+'06.09.68'!J80+'07.09.68'!J80+'08.09.68'!J80+'09.09.68'!J80+'10.09.68'!J80+'11.09.68'!J80+'12.09.68'!J80+'13.09.68'!J80+'14.09.68'!J80+'15.09.68'!J80+'16.09.68'!J80+'17.09.68'!J80+'18.09.68'!J80+'19.09.68'!J80+'20.09.68'!J80+'21.09.68'!J80+'22.09.68'!J80+'23.09.68'!J80+'24.09.68'!J80+'25.09.68'!J80+'26.09.68'!J80+'27.09.68'!J80+'28.09.68'!J80+'29.09.68'!J80+'30.09.68'!J80</f>
        <v>0</v>
      </c>
      <c r="K80" s="52">
        <f>+'01.09.68'!K80+'02.09.68'!K80+'03.09.68'!K80+'04.09.68'!K80+'05.09.68'!K80+'06.09.68'!K80+'07.09.68'!K80+'08.09.68'!K80+'09.09.68'!K80+'10.09.68'!K80+'11.09.68'!K80+'12.09.68'!K80+'13.09.68'!K80+'14.09.68'!K80+'15.09.68'!K80+'16.09.68'!K80+'17.09.68'!K80+'18.09.68'!K80+'19.09.68'!K80+'20.09.68'!K80+'21.09.68'!K80+'22.09.68'!K80+'23.09.68'!K80+'24.09.68'!K80+'25.09.68'!K80+'26.09.68'!K80+'27.09.68'!K80+'28.09.68'!K80+'29.09.68'!K80+'30.09.68'!K80</f>
        <v>0</v>
      </c>
      <c r="L80" s="65">
        <f t="shared" si="10"/>
        <v>0</v>
      </c>
      <c r="M80" s="52">
        <f>+'01.09.68'!M80+'02.09.68'!M80+'03.09.68'!M80+'04.09.68'!M80+'05.09.68'!M80+'06.09.68'!M80+'07.09.68'!M80+'08.09.68'!M80+'09.09.68'!M80+'10.09.68'!M80+'11.09.68'!M80+'12.09.68'!M80+'13.09.68'!M80+'14.09.68'!M80+'15.09.68'!M80+'16.09.68'!M80+'17.09.68'!M80+'18.09.68'!M80+'19.09.68'!M80+'20.09.68'!M80+'21.09.68'!M80+'22.09.68'!M80+'23.09.68'!M80+'24.09.68'!M80+'25.09.68'!M80+'26.09.68'!M80+'27.09.68'!M80+'28.09.68'!M80+'29.09.68'!M80+'30.09.68'!M80</f>
        <v>11</v>
      </c>
      <c r="N80" s="52">
        <f>+'01.09.68'!N80+'02.09.68'!N80+'03.09.68'!N80+'04.09.68'!N80+'05.09.68'!N80+'06.09.68'!N80+'07.09.68'!N80+'08.09.68'!N80+'09.09.68'!N80+'10.09.68'!N80+'11.09.68'!N80+'12.09.68'!N80+'13.09.68'!N80+'14.09.68'!N80+'15.09.68'!N80+'16.09.68'!N80+'17.09.68'!N80+'18.09.68'!N80+'19.09.68'!N80+'20.09.68'!N80+'21.09.68'!N80+'22.09.68'!N80+'23.09.68'!N80+'24.09.68'!N80+'25.09.68'!N80+'26.09.68'!N80+'27.09.68'!N80+'28.09.68'!N80+'29.09.68'!N80+'30.09.68'!N80</f>
        <v>0</v>
      </c>
      <c r="O80" s="65">
        <f t="shared" si="11"/>
        <v>11</v>
      </c>
      <c r="P80" s="52">
        <f>+'01.09.68'!P80+'02.09.68'!P80+'03.09.68'!P80+'04.09.68'!P80+'05.09.68'!P80+'06.09.68'!P80+'07.09.68'!P80+'08.09.68'!P80+'09.09.68'!P80+'10.09.68'!P80+'11.09.68'!P80+'12.09.68'!P80+'13.09.68'!P80+'14.09.68'!P80+'15.09.68'!P80+'16.09.68'!P80+'17.09.68'!P80+'18.09.68'!P80+'19.09.68'!P80+'20.09.68'!P80+'21.09.68'!P80+'22.09.68'!P80+'23.09.68'!P80+'24.09.68'!P80+'25.09.68'!P80+'26.09.68'!P80+'27.09.68'!P80+'28.09.68'!P80+'29.09.68'!P80+'30.09.68'!P80</f>
        <v>0</v>
      </c>
      <c r="Q80" s="52">
        <f>+'01.09.68'!Q80+'02.09.68'!Q80+'03.09.68'!Q80+'04.09.68'!Q80+'05.09.68'!Q80+'06.09.68'!Q80+'07.09.68'!Q80+'08.09.68'!Q80+'09.09.68'!Q80+'10.09.68'!Q80+'11.09.68'!Q80+'12.09.68'!Q80+'13.09.68'!Q80+'14.09.68'!Q80+'15.09.68'!Q80+'16.09.68'!Q80+'17.09.68'!Q80+'18.09.68'!Q80+'19.09.68'!Q80+'20.09.68'!Q80+'21.09.68'!Q80+'22.09.68'!Q80+'23.09.68'!Q80+'24.09.68'!Q80+'25.09.68'!Q80+'26.09.68'!Q80+'27.09.68'!Q80+'28.09.68'!Q80+'29.09.68'!Q80+'30.09.68'!Q80</f>
        <v>0</v>
      </c>
      <c r="R80" s="65">
        <f t="shared" si="12"/>
        <v>0</v>
      </c>
      <c r="S80" s="52">
        <f>+'01.09.68'!S80+'02.09.68'!S80+'03.09.68'!S80+'04.09.68'!S80+'05.09.68'!S80+'06.09.68'!S80+'07.09.68'!S80+'08.09.68'!S80+'09.09.68'!S80+'10.09.68'!S80+'11.09.68'!S80+'12.09.68'!S80+'13.09.68'!S80+'14.09.68'!S80+'15.09.68'!S80+'16.09.68'!S80+'17.09.68'!S80+'18.09.68'!S80+'19.09.68'!S80+'20.09.68'!S80+'21.09.68'!S80+'22.09.68'!S80+'23.09.68'!S80+'24.09.68'!S80+'25.09.68'!S80+'26.09.68'!S80+'27.09.68'!S80+'28.09.68'!S80+'29.09.68'!S80+'30.09.68'!S80</f>
        <v>0</v>
      </c>
      <c r="T80" s="52">
        <f>+'01.09.68'!T80+'02.09.68'!T80+'03.09.68'!T80+'04.09.68'!T80+'05.09.68'!T80+'06.09.68'!T80+'07.09.68'!T80+'08.09.68'!T80+'09.09.68'!T80+'10.09.68'!T80+'11.09.68'!T80+'12.09.68'!T80+'13.09.68'!T80+'14.09.68'!T80+'15.09.68'!T80+'16.09.68'!T80+'17.09.68'!T80+'18.09.68'!T80+'19.09.68'!T80+'20.09.68'!T80+'21.09.68'!T80+'22.09.68'!T80+'23.09.68'!T80+'24.09.68'!T80+'25.09.68'!T80+'26.09.68'!T80+'27.09.68'!T80+'28.09.68'!T80+'29.09.68'!T80+'30.09.68'!T80</f>
        <v>0</v>
      </c>
      <c r="U80" s="65">
        <f t="shared" si="13"/>
        <v>0</v>
      </c>
      <c r="V80" s="52">
        <f>+'01.09.68'!V80+'02.09.68'!V80+'03.09.68'!V80+'04.09.68'!V80+'05.09.68'!V80+'06.09.68'!V80+'07.09.68'!V80+'08.09.68'!V80+'09.09.68'!V80+'10.09.68'!V80+'11.09.68'!V80+'12.09.68'!V80+'13.09.68'!V80+'14.09.68'!V80+'15.09.68'!V80+'16.09.68'!V80+'17.09.68'!V80+'18.09.68'!V80+'19.09.68'!V80+'20.09.68'!V80+'21.09.68'!V80+'22.09.68'!V80+'23.09.68'!V80+'24.09.68'!V80+'25.09.68'!V80+'26.09.68'!V80+'27.09.68'!V80+'28.09.68'!V80+'29.09.68'!V80+'30.09.68'!V80</f>
        <v>0</v>
      </c>
      <c r="W80" s="52">
        <f>+'01.09.68'!W80+'02.09.68'!W80+'03.09.68'!W80+'04.09.68'!W80+'05.09.68'!W80+'06.09.68'!W80+'07.09.68'!W80+'08.09.68'!W80+'09.09.68'!W80+'10.09.68'!W80+'11.09.68'!W80+'12.09.68'!W80+'13.09.68'!W80+'14.09.68'!W80+'15.09.68'!W80+'16.09.68'!W80+'17.09.68'!W80+'18.09.68'!W80+'19.09.68'!W80+'20.09.68'!W80+'21.09.68'!W80+'22.09.68'!W80+'23.09.68'!W80+'24.09.68'!W80+'25.09.68'!W80+'26.09.68'!W80+'27.09.68'!W80+'28.09.68'!W80+'29.09.68'!W80+'30.09.68'!W80</f>
        <v>0</v>
      </c>
      <c r="X80" s="65">
        <f t="shared" si="14"/>
        <v>0</v>
      </c>
      <c r="Y80" s="52">
        <f>+'01.09.68'!Y80+'02.09.68'!Y80+'03.09.68'!Y80+'04.09.68'!Y80+'05.09.68'!Y80+'06.09.68'!Y80+'07.09.68'!Y80+'08.09.68'!Y80+'09.09.68'!Y80+'10.09.68'!Y80+'11.09.68'!Y80+'12.09.68'!Y80+'13.09.68'!Y80+'14.09.68'!Y80+'15.09.68'!Y80+'16.09.68'!Y80+'17.09.68'!Y80+'18.09.68'!Y80+'19.09.68'!Y80+'20.09.68'!Y80+'21.09.68'!Y80+'22.09.68'!Y80+'23.09.68'!Y80+'24.09.68'!Y80+'25.09.68'!Y80+'26.09.68'!Y80+'27.09.68'!Y80+'28.09.68'!Y80+'29.09.68'!Y80+'30.09.68'!Y80</f>
        <v>0</v>
      </c>
      <c r="Z80" s="66">
        <f t="shared" si="15"/>
        <v>23</v>
      </c>
    </row>
    <row r="81" spans="2:26">
      <c r="B81" s="50">
        <v>20054646</v>
      </c>
      <c r="C81" s="53" t="s">
        <v>141</v>
      </c>
      <c r="D81" s="52">
        <f>+'01.09.68'!D81+'02.09.68'!D81+'03.09.68'!D81+'04.09.68'!D81+'05.09.68'!D81+'06.09.68'!D81+'07.09.68'!D81+'08.09.68'!D81+'09.09.68'!D81+'10.09.68'!D81+'11.09.68'!D81+'12.09.68'!D81+'13.09.68'!D81+'14.09.68'!D81+'15.09.68'!D81+'16.09.68'!D81+'17.09.68'!D81+'18.09.68'!D81+'19.09.68'!D81+'20.09.68'!D81+'21.09.68'!D81+'22.09.68'!D81+'23.09.68'!D81+'24.09.68'!D81+'25.09.68'!D81+'26.09.68'!D81+'27.09.68'!D81+'28.09.68'!D81+'29.09.68'!D81+'30.09.68'!D81</f>
        <v>0</v>
      </c>
      <c r="E81" s="52">
        <f>+'01.09.68'!E81+'02.09.68'!E81+'03.09.68'!E81+'04.09.68'!E81+'05.09.68'!E81+'06.09.68'!E81+'07.09.68'!E81+'08.09.68'!E81+'09.09.68'!E81+'10.09.68'!E81+'11.09.68'!E81+'12.09.68'!E81+'13.09.68'!E81+'14.09.68'!E81+'15.09.68'!E81+'16.09.68'!E81+'17.09.68'!E81+'18.09.68'!E81+'19.09.68'!E81+'20.09.68'!E81+'21.09.68'!E81+'22.09.68'!E81+'23.09.68'!E81+'24.09.68'!E81+'25.09.68'!E81+'26.09.68'!E81+'27.09.68'!E81+'28.09.68'!E81+'29.09.68'!E81+'30.09.68'!E81</f>
        <v>0</v>
      </c>
      <c r="F81" s="65">
        <f t="shared" si="8"/>
        <v>0</v>
      </c>
      <c r="G81" s="52">
        <f>+'01.09.68'!G81+'02.09.68'!G81+'03.09.68'!G81+'04.09.68'!G81+'05.09.68'!G81+'06.09.68'!G81+'07.09.68'!G81+'08.09.68'!G81+'09.09.68'!G81+'10.09.68'!G81+'11.09.68'!G81+'12.09.68'!G81+'13.09.68'!G81+'14.09.68'!G81+'15.09.68'!G81+'16.09.68'!G81+'17.09.68'!G81+'18.09.68'!G81+'19.09.68'!G81+'20.09.68'!G81+'21.09.68'!G81+'22.09.68'!G81+'23.09.68'!G81+'24.09.68'!G81+'25.09.68'!G81+'26.09.68'!G81+'27.09.68'!G81+'28.09.68'!G81+'29.09.68'!G81+'30.09.68'!G81</f>
        <v>0</v>
      </c>
      <c r="H81" s="52">
        <f>+'01.09.68'!H81+'02.09.68'!H81+'03.09.68'!H81+'04.09.68'!H81+'05.09.68'!H81+'06.09.68'!H81+'07.09.68'!H81+'08.09.68'!H81+'09.09.68'!H81+'10.09.68'!H81+'11.09.68'!H81+'12.09.68'!H81+'13.09.68'!H81+'14.09.68'!H81+'15.09.68'!H81+'16.09.68'!H81+'17.09.68'!H81+'18.09.68'!H81+'19.09.68'!H81+'20.09.68'!H81+'21.09.68'!H81+'22.09.68'!H81+'23.09.68'!H81+'24.09.68'!H81+'25.09.68'!H81+'26.09.68'!H81+'27.09.68'!H81+'28.09.68'!H81+'29.09.68'!H81+'30.09.68'!H81</f>
        <v>0</v>
      </c>
      <c r="I81" s="65">
        <f t="shared" si="9"/>
        <v>0</v>
      </c>
      <c r="J81" s="52">
        <f>+'01.09.68'!J81+'02.09.68'!J81+'03.09.68'!J81+'04.09.68'!J81+'05.09.68'!J81+'06.09.68'!J81+'07.09.68'!J81+'08.09.68'!J81+'09.09.68'!J81+'10.09.68'!J81+'11.09.68'!J81+'12.09.68'!J81+'13.09.68'!J81+'14.09.68'!J81+'15.09.68'!J81+'16.09.68'!J81+'17.09.68'!J81+'18.09.68'!J81+'19.09.68'!J81+'20.09.68'!J81+'21.09.68'!J81+'22.09.68'!J81+'23.09.68'!J81+'24.09.68'!J81+'25.09.68'!J81+'26.09.68'!J81+'27.09.68'!J81+'28.09.68'!J81+'29.09.68'!J81+'30.09.68'!J81</f>
        <v>0</v>
      </c>
      <c r="K81" s="52">
        <f>+'01.09.68'!K81+'02.09.68'!K81+'03.09.68'!K81+'04.09.68'!K81+'05.09.68'!K81+'06.09.68'!K81+'07.09.68'!K81+'08.09.68'!K81+'09.09.68'!K81+'10.09.68'!K81+'11.09.68'!K81+'12.09.68'!K81+'13.09.68'!K81+'14.09.68'!K81+'15.09.68'!K81+'16.09.68'!K81+'17.09.68'!K81+'18.09.68'!K81+'19.09.68'!K81+'20.09.68'!K81+'21.09.68'!K81+'22.09.68'!K81+'23.09.68'!K81+'24.09.68'!K81+'25.09.68'!K81+'26.09.68'!K81+'27.09.68'!K81+'28.09.68'!K81+'29.09.68'!K81+'30.09.68'!K81</f>
        <v>0</v>
      </c>
      <c r="L81" s="65">
        <f t="shared" si="10"/>
        <v>0</v>
      </c>
      <c r="M81" s="52">
        <f>+'01.09.68'!M81+'02.09.68'!M81+'03.09.68'!M81+'04.09.68'!M81+'05.09.68'!M81+'06.09.68'!M81+'07.09.68'!M81+'08.09.68'!M81+'09.09.68'!M81+'10.09.68'!M81+'11.09.68'!M81+'12.09.68'!M81+'13.09.68'!M81+'14.09.68'!M81+'15.09.68'!M81+'16.09.68'!M81+'17.09.68'!M81+'18.09.68'!M81+'19.09.68'!M81+'20.09.68'!M81+'21.09.68'!M81+'22.09.68'!M81+'23.09.68'!M81+'24.09.68'!M81+'25.09.68'!M81+'26.09.68'!M81+'27.09.68'!M81+'28.09.68'!M81+'29.09.68'!M81+'30.09.68'!M81</f>
        <v>0</v>
      </c>
      <c r="N81" s="52">
        <f>+'01.09.68'!N81+'02.09.68'!N81+'03.09.68'!N81+'04.09.68'!N81+'05.09.68'!N81+'06.09.68'!N81+'07.09.68'!N81+'08.09.68'!N81+'09.09.68'!N81+'10.09.68'!N81+'11.09.68'!N81+'12.09.68'!N81+'13.09.68'!N81+'14.09.68'!N81+'15.09.68'!N81+'16.09.68'!N81+'17.09.68'!N81+'18.09.68'!N81+'19.09.68'!N81+'20.09.68'!N81+'21.09.68'!N81+'22.09.68'!N81+'23.09.68'!N81+'24.09.68'!N81+'25.09.68'!N81+'26.09.68'!N81+'27.09.68'!N81+'28.09.68'!N81+'29.09.68'!N81+'30.09.68'!N81</f>
        <v>0</v>
      </c>
      <c r="O81" s="65">
        <f t="shared" si="11"/>
        <v>0</v>
      </c>
      <c r="P81" s="52">
        <f>+'01.09.68'!P81+'02.09.68'!P81+'03.09.68'!P81+'04.09.68'!P81+'05.09.68'!P81+'06.09.68'!P81+'07.09.68'!P81+'08.09.68'!P81+'09.09.68'!P81+'10.09.68'!P81+'11.09.68'!P81+'12.09.68'!P81+'13.09.68'!P81+'14.09.68'!P81+'15.09.68'!P81+'16.09.68'!P81+'17.09.68'!P81+'18.09.68'!P81+'19.09.68'!P81+'20.09.68'!P81+'21.09.68'!P81+'22.09.68'!P81+'23.09.68'!P81+'24.09.68'!P81+'25.09.68'!P81+'26.09.68'!P81+'27.09.68'!P81+'28.09.68'!P81+'29.09.68'!P81+'30.09.68'!P81</f>
        <v>0</v>
      </c>
      <c r="Q81" s="52">
        <f>+'01.09.68'!Q81+'02.09.68'!Q81+'03.09.68'!Q81+'04.09.68'!Q81+'05.09.68'!Q81+'06.09.68'!Q81+'07.09.68'!Q81+'08.09.68'!Q81+'09.09.68'!Q81+'10.09.68'!Q81+'11.09.68'!Q81+'12.09.68'!Q81+'13.09.68'!Q81+'14.09.68'!Q81+'15.09.68'!Q81+'16.09.68'!Q81+'17.09.68'!Q81+'18.09.68'!Q81+'19.09.68'!Q81+'20.09.68'!Q81+'21.09.68'!Q81+'22.09.68'!Q81+'23.09.68'!Q81+'24.09.68'!Q81+'25.09.68'!Q81+'26.09.68'!Q81+'27.09.68'!Q81+'28.09.68'!Q81+'29.09.68'!Q81+'30.09.68'!Q81</f>
        <v>0</v>
      </c>
      <c r="R81" s="65">
        <f t="shared" si="12"/>
        <v>0</v>
      </c>
      <c r="S81" s="52">
        <f>+'01.09.68'!S81+'02.09.68'!S81+'03.09.68'!S81+'04.09.68'!S81+'05.09.68'!S81+'06.09.68'!S81+'07.09.68'!S81+'08.09.68'!S81+'09.09.68'!S81+'10.09.68'!S81+'11.09.68'!S81+'12.09.68'!S81+'13.09.68'!S81+'14.09.68'!S81+'15.09.68'!S81+'16.09.68'!S81+'17.09.68'!S81+'18.09.68'!S81+'19.09.68'!S81+'20.09.68'!S81+'21.09.68'!S81+'22.09.68'!S81+'23.09.68'!S81+'24.09.68'!S81+'25.09.68'!S81+'26.09.68'!S81+'27.09.68'!S81+'28.09.68'!S81+'29.09.68'!S81+'30.09.68'!S81</f>
        <v>0</v>
      </c>
      <c r="T81" s="52">
        <f>+'01.09.68'!T81+'02.09.68'!T81+'03.09.68'!T81+'04.09.68'!T81+'05.09.68'!T81+'06.09.68'!T81+'07.09.68'!T81+'08.09.68'!T81+'09.09.68'!T81+'10.09.68'!T81+'11.09.68'!T81+'12.09.68'!T81+'13.09.68'!T81+'14.09.68'!T81+'15.09.68'!T81+'16.09.68'!T81+'17.09.68'!T81+'18.09.68'!T81+'19.09.68'!T81+'20.09.68'!T81+'21.09.68'!T81+'22.09.68'!T81+'23.09.68'!T81+'24.09.68'!T81+'25.09.68'!T81+'26.09.68'!T81+'27.09.68'!T81+'28.09.68'!T81+'29.09.68'!T81+'30.09.68'!T81</f>
        <v>0</v>
      </c>
      <c r="U81" s="65">
        <f t="shared" si="13"/>
        <v>0</v>
      </c>
      <c r="V81" s="52">
        <f>+'01.09.68'!V81+'02.09.68'!V81+'03.09.68'!V81+'04.09.68'!V81+'05.09.68'!V81+'06.09.68'!V81+'07.09.68'!V81+'08.09.68'!V81+'09.09.68'!V81+'10.09.68'!V81+'11.09.68'!V81+'12.09.68'!V81+'13.09.68'!V81+'14.09.68'!V81+'15.09.68'!V81+'16.09.68'!V81+'17.09.68'!V81+'18.09.68'!V81+'19.09.68'!V81+'20.09.68'!V81+'21.09.68'!V81+'22.09.68'!V81+'23.09.68'!V81+'24.09.68'!V81+'25.09.68'!V81+'26.09.68'!V81+'27.09.68'!V81+'28.09.68'!V81+'29.09.68'!V81+'30.09.68'!V81</f>
        <v>0</v>
      </c>
      <c r="W81" s="52">
        <f>+'01.09.68'!W81+'02.09.68'!W81+'03.09.68'!W81+'04.09.68'!W81+'05.09.68'!W81+'06.09.68'!W81+'07.09.68'!W81+'08.09.68'!W81+'09.09.68'!W81+'10.09.68'!W81+'11.09.68'!W81+'12.09.68'!W81+'13.09.68'!W81+'14.09.68'!W81+'15.09.68'!W81+'16.09.68'!W81+'17.09.68'!W81+'18.09.68'!W81+'19.09.68'!W81+'20.09.68'!W81+'21.09.68'!W81+'22.09.68'!W81+'23.09.68'!W81+'24.09.68'!W81+'25.09.68'!W81+'26.09.68'!W81+'27.09.68'!W81+'28.09.68'!W81+'29.09.68'!W81+'30.09.68'!W81</f>
        <v>0</v>
      </c>
      <c r="X81" s="65">
        <f t="shared" si="14"/>
        <v>0</v>
      </c>
      <c r="Y81" s="52">
        <f>+'01.09.68'!Y81+'02.09.68'!Y81+'03.09.68'!Y81+'04.09.68'!Y81+'05.09.68'!Y81+'06.09.68'!Y81+'07.09.68'!Y81+'08.09.68'!Y81+'09.09.68'!Y81+'10.09.68'!Y81+'11.09.68'!Y81+'12.09.68'!Y81+'13.09.68'!Y81+'14.09.68'!Y81+'15.09.68'!Y81+'16.09.68'!Y81+'17.09.68'!Y81+'18.09.68'!Y81+'19.09.68'!Y81+'20.09.68'!Y81+'21.09.68'!Y81+'22.09.68'!Y81+'23.09.68'!Y81+'24.09.68'!Y81+'25.09.68'!Y81+'26.09.68'!Y81+'27.09.68'!Y81+'28.09.68'!Y81+'29.09.68'!Y81+'30.09.68'!Y81</f>
        <v>3</v>
      </c>
      <c r="Z81" s="66">
        <f t="shared" si="15"/>
        <v>3</v>
      </c>
    </row>
    <row r="82" spans="2:26">
      <c r="B82" s="50">
        <v>300</v>
      </c>
      <c r="C82" s="53" t="s">
        <v>197</v>
      </c>
      <c r="D82" s="52">
        <f>+'01.09.68'!D82+'02.09.68'!D82+'03.09.68'!D82+'04.09.68'!D82+'05.09.68'!D82+'06.09.68'!D82+'07.09.68'!D82+'08.09.68'!D82+'09.09.68'!D82+'10.09.68'!D82+'11.09.68'!D82+'12.09.68'!D82+'13.09.68'!D82+'14.09.68'!D82+'15.09.68'!D82+'16.09.68'!D82+'17.09.68'!D82+'18.09.68'!D82+'19.09.68'!D82+'20.09.68'!D82+'21.09.68'!D82+'22.09.68'!D82+'23.09.68'!D82+'24.09.68'!D82+'25.09.68'!D82+'26.09.68'!D82+'27.09.68'!D82+'28.09.68'!D82+'29.09.68'!D82+'30.09.68'!D82</f>
        <v>0</v>
      </c>
      <c r="E82" s="52">
        <f>+'01.09.68'!E82+'02.09.68'!E82+'03.09.68'!E82+'04.09.68'!E82+'05.09.68'!E82+'06.09.68'!E82+'07.09.68'!E82+'08.09.68'!E82+'09.09.68'!E82+'10.09.68'!E82+'11.09.68'!E82+'12.09.68'!E82+'13.09.68'!E82+'14.09.68'!E82+'15.09.68'!E82+'16.09.68'!E82+'17.09.68'!E82+'18.09.68'!E82+'19.09.68'!E82+'20.09.68'!E82+'21.09.68'!E82+'22.09.68'!E82+'23.09.68'!E82+'24.09.68'!E82+'25.09.68'!E82+'26.09.68'!E82+'27.09.68'!E82+'28.09.68'!E82+'29.09.68'!E82+'30.09.68'!E82</f>
        <v>0</v>
      </c>
      <c r="F82" s="65">
        <f t="shared" si="8"/>
        <v>0</v>
      </c>
      <c r="G82" s="52">
        <f>+'01.09.68'!G82+'02.09.68'!G82+'03.09.68'!G82+'04.09.68'!G82+'05.09.68'!G82+'06.09.68'!G82+'07.09.68'!G82+'08.09.68'!G82+'09.09.68'!G82+'10.09.68'!G82+'11.09.68'!G82+'12.09.68'!G82+'13.09.68'!G82+'14.09.68'!G82+'15.09.68'!G82+'16.09.68'!G82+'17.09.68'!G82+'18.09.68'!G82+'19.09.68'!G82+'20.09.68'!G82+'21.09.68'!G82+'22.09.68'!G82+'23.09.68'!G82+'24.09.68'!G82+'25.09.68'!G82+'26.09.68'!G82+'27.09.68'!G82+'28.09.68'!G82+'29.09.68'!G82+'30.09.68'!G82</f>
        <v>42</v>
      </c>
      <c r="H82" s="52">
        <f>+'01.09.68'!H82+'02.09.68'!H82+'03.09.68'!H82+'04.09.68'!H82+'05.09.68'!H82+'06.09.68'!H82+'07.09.68'!H82+'08.09.68'!H82+'09.09.68'!H82+'10.09.68'!H82+'11.09.68'!H82+'12.09.68'!H82+'13.09.68'!H82+'14.09.68'!H82+'15.09.68'!H82+'16.09.68'!H82+'17.09.68'!H82+'18.09.68'!H82+'19.09.68'!H82+'20.09.68'!H82+'21.09.68'!H82+'22.09.68'!H82+'23.09.68'!H82+'24.09.68'!H82+'25.09.68'!H82+'26.09.68'!H82+'27.09.68'!H82+'28.09.68'!H82+'29.09.68'!H82+'30.09.68'!H82</f>
        <v>0</v>
      </c>
      <c r="I82" s="65">
        <f t="shared" si="9"/>
        <v>42</v>
      </c>
      <c r="J82" s="52">
        <f>+'01.09.68'!J82+'02.09.68'!J82+'03.09.68'!J82+'04.09.68'!J82+'05.09.68'!J82+'06.09.68'!J82+'07.09.68'!J82+'08.09.68'!J82+'09.09.68'!J82+'10.09.68'!J82+'11.09.68'!J82+'12.09.68'!J82+'13.09.68'!J82+'14.09.68'!J82+'15.09.68'!J82+'16.09.68'!J82+'17.09.68'!J82+'18.09.68'!J82+'19.09.68'!J82+'20.09.68'!J82+'21.09.68'!J82+'22.09.68'!J82+'23.09.68'!J82+'24.09.68'!J82+'25.09.68'!J82+'26.09.68'!J82+'27.09.68'!J82+'28.09.68'!J82+'29.09.68'!J82+'30.09.68'!J82</f>
        <v>18</v>
      </c>
      <c r="K82" s="52">
        <f>+'01.09.68'!K82+'02.09.68'!K82+'03.09.68'!K82+'04.09.68'!K82+'05.09.68'!K82+'06.09.68'!K82+'07.09.68'!K82+'08.09.68'!K82+'09.09.68'!K82+'10.09.68'!K82+'11.09.68'!K82+'12.09.68'!K82+'13.09.68'!K82+'14.09.68'!K82+'15.09.68'!K82+'16.09.68'!K82+'17.09.68'!K82+'18.09.68'!K82+'19.09.68'!K82+'20.09.68'!K82+'21.09.68'!K82+'22.09.68'!K82+'23.09.68'!K82+'24.09.68'!K82+'25.09.68'!K82+'26.09.68'!K82+'27.09.68'!K82+'28.09.68'!K82+'29.09.68'!K82+'30.09.68'!K82</f>
        <v>0</v>
      </c>
      <c r="L82" s="65">
        <f t="shared" si="10"/>
        <v>18</v>
      </c>
      <c r="M82" s="52">
        <f>+'01.09.68'!M82+'02.09.68'!M82+'03.09.68'!M82+'04.09.68'!M82+'05.09.68'!M82+'06.09.68'!M82+'07.09.68'!M82+'08.09.68'!M82+'09.09.68'!M82+'10.09.68'!M82+'11.09.68'!M82+'12.09.68'!M82+'13.09.68'!M82+'14.09.68'!M82+'15.09.68'!M82+'16.09.68'!M82+'17.09.68'!M82+'18.09.68'!M82+'19.09.68'!M82+'20.09.68'!M82+'21.09.68'!M82+'22.09.68'!M82+'23.09.68'!M82+'24.09.68'!M82+'25.09.68'!M82+'26.09.68'!M82+'27.09.68'!M82+'28.09.68'!M82+'29.09.68'!M82+'30.09.68'!M82</f>
        <v>0</v>
      </c>
      <c r="N82" s="52">
        <f>+'01.09.68'!N82+'02.09.68'!N82+'03.09.68'!N82+'04.09.68'!N82+'05.09.68'!N82+'06.09.68'!N82+'07.09.68'!N82+'08.09.68'!N82+'09.09.68'!N82+'10.09.68'!N82+'11.09.68'!N82+'12.09.68'!N82+'13.09.68'!N82+'14.09.68'!N82+'15.09.68'!N82+'16.09.68'!N82+'17.09.68'!N82+'18.09.68'!N82+'19.09.68'!N82+'20.09.68'!N82+'21.09.68'!N82+'22.09.68'!N82+'23.09.68'!N82+'24.09.68'!N82+'25.09.68'!N82+'26.09.68'!N82+'27.09.68'!N82+'28.09.68'!N82+'29.09.68'!N82+'30.09.68'!N82</f>
        <v>0</v>
      </c>
      <c r="O82" s="65">
        <f t="shared" si="11"/>
        <v>0</v>
      </c>
      <c r="P82" s="52">
        <f>+'01.09.68'!P82+'02.09.68'!P82+'03.09.68'!P82+'04.09.68'!P82+'05.09.68'!P82+'06.09.68'!P82+'07.09.68'!P82+'08.09.68'!P82+'09.09.68'!P82+'10.09.68'!P82+'11.09.68'!P82+'12.09.68'!P82+'13.09.68'!P82+'14.09.68'!P82+'15.09.68'!P82+'16.09.68'!P82+'17.09.68'!P82+'18.09.68'!P82+'19.09.68'!P82+'20.09.68'!P82+'21.09.68'!P82+'22.09.68'!P82+'23.09.68'!P82+'24.09.68'!P82+'25.09.68'!P82+'26.09.68'!P82+'27.09.68'!P82+'28.09.68'!P82+'29.09.68'!P82+'30.09.68'!P82</f>
        <v>0</v>
      </c>
      <c r="Q82" s="52">
        <f>+'01.09.68'!Q82+'02.09.68'!Q82+'03.09.68'!Q82+'04.09.68'!Q82+'05.09.68'!Q82+'06.09.68'!Q82+'07.09.68'!Q82+'08.09.68'!Q82+'09.09.68'!Q82+'10.09.68'!Q82+'11.09.68'!Q82+'12.09.68'!Q82+'13.09.68'!Q82+'14.09.68'!Q82+'15.09.68'!Q82+'16.09.68'!Q82+'17.09.68'!Q82+'18.09.68'!Q82+'19.09.68'!Q82+'20.09.68'!Q82+'21.09.68'!Q82+'22.09.68'!Q82+'23.09.68'!Q82+'24.09.68'!Q82+'25.09.68'!Q82+'26.09.68'!Q82+'27.09.68'!Q82+'28.09.68'!Q82+'29.09.68'!Q82+'30.09.68'!Q82</f>
        <v>0</v>
      </c>
      <c r="R82" s="65">
        <f t="shared" si="12"/>
        <v>0</v>
      </c>
      <c r="S82" s="52">
        <f>+'01.09.68'!S82+'02.09.68'!S82+'03.09.68'!S82+'04.09.68'!S82+'05.09.68'!S82+'06.09.68'!S82+'07.09.68'!S82+'08.09.68'!S82+'09.09.68'!S82+'10.09.68'!S82+'11.09.68'!S82+'12.09.68'!S82+'13.09.68'!S82+'14.09.68'!S82+'15.09.68'!S82+'16.09.68'!S82+'17.09.68'!S82+'18.09.68'!S82+'19.09.68'!S82+'20.09.68'!S82+'21.09.68'!S82+'22.09.68'!S82+'23.09.68'!S82+'24.09.68'!S82+'25.09.68'!S82+'26.09.68'!S82+'27.09.68'!S82+'28.09.68'!S82+'29.09.68'!S82+'30.09.68'!S82</f>
        <v>0</v>
      </c>
      <c r="T82" s="52">
        <f>+'01.09.68'!T82+'02.09.68'!T82+'03.09.68'!T82+'04.09.68'!T82+'05.09.68'!T82+'06.09.68'!T82+'07.09.68'!T82+'08.09.68'!T82+'09.09.68'!T82+'10.09.68'!T82+'11.09.68'!T82+'12.09.68'!T82+'13.09.68'!T82+'14.09.68'!T82+'15.09.68'!T82+'16.09.68'!T82+'17.09.68'!T82+'18.09.68'!T82+'19.09.68'!T82+'20.09.68'!T82+'21.09.68'!T82+'22.09.68'!T82+'23.09.68'!T82+'24.09.68'!T82+'25.09.68'!T82+'26.09.68'!T82+'27.09.68'!T82+'28.09.68'!T82+'29.09.68'!T82+'30.09.68'!T82</f>
        <v>0</v>
      </c>
      <c r="U82" s="65">
        <f t="shared" si="13"/>
        <v>0</v>
      </c>
      <c r="V82" s="52">
        <f>+'01.09.68'!V82+'02.09.68'!V82+'03.09.68'!V82+'04.09.68'!V82+'05.09.68'!V82+'06.09.68'!V82+'07.09.68'!V82+'08.09.68'!V82+'09.09.68'!V82+'10.09.68'!V82+'11.09.68'!V82+'12.09.68'!V82+'13.09.68'!V82+'14.09.68'!V82+'15.09.68'!V82+'16.09.68'!V82+'17.09.68'!V82+'18.09.68'!V82+'19.09.68'!V82+'20.09.68'!V82+'21.09.68'!V82+'22.09.68'!V82+'23.09.68'!V82+'24.09.68'!V82+'25.09.68'!V82+'26.09.68'!V82+'27.09.68'!V82+'28.09.68'!V82+'29.09.68'!V82+'30.09.68'!V82</f>
        <v>0</v>
      </c>
      <c r="W82" s="52">
        <f>+'01.09.68'!W82+'02.09.68'!W82+'03.09.68'!W82+'04.09.68'!W82+'05.09.68'!W82+'06.09.68'!W82+'07.09.68'!W82+'08.09.68'!W82+'09.09.68'!W82+'10.09.68'!W82+'11.09.68'!W82+'12.09.68'!W82+'13.09.68'!W82+'14.09.68'!W82+'15.09.68'!W82+'16.09.68'!W82+'17.09.68'!W82+'18.09.68'!W82+'19.09.68'!W82+'20.09.68'!W82+'21.09.68'!W82+'22.09.68'!W82+'23.09.68'!W82+'24.09.68'!W82+'25.09.68'!W82+'26.09.68'!W82+'27.09.68'!W82+'28.09.68'!W82+'29.09.68'!W82+'30.09.68'!W82</f>
        <v>0</v>
      </c>
      <c r="X82" s="65">
        <f t="shared" si="14"/>
        <v>0</v>
      </c>
      <c r="Y82" s="52">
        <f>+'01.09.68'!Y82+'02.09.68'!Y82+'03.09.68'!Y82+'04.09.68'!Y82+'05.09.68'!Y82+'06.09.68'!Y82+'07.09.68'!Y82+'08.09.68'!Y82+'09.09.68'!Y82+'10.09.68'!Y82+'11.09.68'!Y82+'12.09.68'!Y82+'13.09.68'!Y82+'14.09.68'!Y82+'15.09.68'!Y82+'16.09.68'!Y82+'17.09.68'!Y82+'18.09.68'!Y82+'19.09.68'!Y82+'20.09.68'!Y82+'21.09.68'!Y82+'22.09.68'!Y82+'23.09.68'!Y82+'24.09.68'!Y82+'25.09.68'!Y82+'26.09.68'!Y82+'27.09.68'!Y82+'28.09.68'!Y82+'29.09.68'!Y82+'30.09.68'!Y82</f>
        <v>0</v>
      </c>
      <c r="Z82" s="66">
        <f t="shared" si="15"/>
        <v>60</v>
      </c>
    </row>
    <row r="83" spans="2:26">
      <c r="B83" s="50">
        <v>200</v>
      </c>
      <c r="C83" s="53" t="s">
        <v>198</v>
      </c>
      <c r="D83" s="52">
        <f>+'01.09.68'!D83+'02.09.68'!D83+'03.09.68'!D83+'04.09.68'!D83+'05.09.68'!D83+'06.09.68'!D83+'07.09.68'!D83+'08.09.68'!D83+'09.09.68'!D83+'10.09.68'!D83+'11.09.68'!D83+'12.09.68'!D83+'13.09.68'!D83+'14.09.68'!D83+'15.09.68'!D83+'16.09.68'!D83+'17.09.68'!D83+'18.09.68'!D83+'19.09.68'!D83+'20.09.68'!D83+'21.09.68'!D83+'22.09.68'!D83+'23.09.68'!D83+'24.09.68'!D83+'25.09.68'!D83+'26.09.68'!D83+'27.09.68'!D83+'28.09.68'!D83+'29.09.68'!D83+'30.09.68'!D83</f>
        <v>15</v>
      </c>
      <c r="E83" s="52">
        <f>+'01.09.68'!E83+'02.09.68'!E83+'03.09.68'!E83+'04.09.68'!E83+'05.09.68'!E83+'06.09.68'!E83+'07.09.68'!E83+'08.09.68'!E83+'09.09.68'!E83+'10.09.68'!E83+'11.09.68'!E83+'12.09.68'!E83+'13.09.68'!E83+'14.09.68'!E83+'15.09.68'!E83+'16.09.68'!E83+'17.09.68'!E83+'18.09.68'!E83+'19.09.68'!E83+'20.09.68'!E83+'21.09.68'!E83+'22.09.68'!E83+'23.09.68'!E83+'24.09.68'!E83+'25.09.68'!E83+'26.09.68'!E83+'27.09.68'!E83+'28.09.68'!E83+'29.09.68'!E83+'30.09.68'!E83</f>
        <v>0</v>
      </c>
      <c r="F83" s="65">
        <f t="shared" si="8"/>
        <v>15</v>
      </c>
      <c r="G83" s="52">
        <f>+'01.09.68'!G83+'02.09.68'!G83+'03.09.68'!G83+'04.09.68'!G83+'05.09.68'!G83+'06.09.68'!G83+'07.09.68'!G83+'08.09.68'!G83+'09.09.68'!G83+'10.09.68'!G83+'11.09.68'!G83+'12.09.68'!G83+'13.09.68'!G83+'14.09.68'!G83+'15.09.68'!G83+'16.09.68'!G83+'17.09.68'!G83+'18.09.68'!G83+'19.09.68'!G83+'20.09.68'!G83+'21.09.68'!G83+'22.09.68'!G83+'23.09.68'!G83+'24.09.68'!G83+'25.09.68'!G83+'26.09.68'!G83+'27.09.68'!G83+'28.09.68'!G83+'29.09.68'!G83+'30.09.68'!G83</f>
        <v>113</v>
      </c>
      <c r="H83" s="52">
        <f>+'01.09.68'!H83+'02.09.68'!H83+'03.09.68'!H83+'04.09.68'!H83+'05.09.68'!H83+'06.09.68'!H83+'07.09.68'!H83+'08.09.68'!H83+'09.09.68'!H83+'10.09.68'!H83+'11.09.68'!H83+'12.09.68'!H83+'13.09.68'!H83+'14.09.68'!H83+'15.09.68'!H83+'16.09.68'!H83+'17.09.68'!H83+'18.09.68'!H83+'19.09.68'!H83+'20.09.68'!H83+'21.09.68'!H83+'22.09.68'!H83+'23.09.68'!H83+'24.09.68'!H83+'25.09.68'!H83+'26.09.68'!H83+'27.09.68'!H83+'28.09.68'!H83+'29.09.68'!H83+'30.09.68'!H83</f>
        <v>0</v>
      </c>
      <c r="I83" s="65">
        <f t="shared" si="9"/>
        <v>113</v>
      </c>
      <c r="J83" s="52">
        <f>+'01.09.68'!J83+'02.09.68'!J83+'03.09.68'!J83+'04.09.68'!J83+'05.09.68'!J83+'06.09.68'!J83+'07.09.68'!J83+'08.09.68'!J83+'09.09.68'!J83+'10.09.68'!J83+'11.09.68'!J83+'12.09.68'!J83+'13.09.68'!J83+'14.09.68'!J83+'15.09.68'!J83+'16.09.68'!J83+'17.09.68'!J83+'18.09.68'!J83+'19.09.68'!J83+'20.09.68'!J83+'21.09.68'!J83+'22.09.68'!J83+'23.09.68'!J83+'24.09.68'!J83+'25.09.68'!J83+'26.09.68'!J83+'27.09.68'!J83+'28.09.68'!J83+'29.09.68'!J83+'30.09.68'!J83</f>
        <v>0</v>
      </c>
      <c r="K83" s="52">
        <f>+'01.09.68'!K83+'02.09.68'!K83+'03.09.68'!K83+'04.09.68'!K83+'05.09.68'!K83+'06.09.68'!K83+'07.09.68'!K83+'08.09.68'!K83+'09.09.68'!K83+'10.09.68'!K83+'11.09.68'!K83+'12.09.68'!K83+'13.09.68'!K83+'14.09.68'!K83+'15.09.68'!K83+'16.09.68'!K83+'17.09.68'!K83+'18.09.68'!K83+'19.09.68'!K83+'20.09.68'!K83+'21.09.68'!K83+'22.09.68'!K83+'23.09.68'!K83+'24.09.68'!K83+'25.09.68'!K83+'26.09.68'!K83+'27.09.68'!K83+'28.09.68'!K83+'29.09.68'!K83+'30.09.68'!K83</f>
        <v>0</v>
      </c>
      <c r="L83" s="65">
        <f t="shared" si="10"/>
        <v>0</v>
      </c>
      <c r="M83" s="52">
        <f>+'01.09.68'!M83+'02.09.68'!M83+'03.09.68'!M83+'04.09.68'!M83+'05.09.68'!M83+'06.09.68'!M83+'07.09.68'!M83+'08.09.68'!M83+'09.09.68'!M83+'10.09.68'!M83+'11.09.68'!M83+'12.09.68'!M83+'13.09.68'!M83+'14.09.68'!M83+'15.09.68'!M83+'16.09.68'!M83+'17.09.68'!M83+'18.09.68'!M83+'19.09.68'!M83+'20.09.68'!M83+'21.09.68'!M83+'22.09.68'!M83+'23.09.68'!M83+'24.09.68'!M83+'25.09.68'!M83+'26.09.68'!M83+'27.09.68'!M83+'28.09.68'!M83+'29.09.68'!M83+'30.09.68'!M83</f>
        <v>0</v>
      </c>
      <c r="N83" s="52">
        <f>+'01.09.68'!N83+'02.09.68'!N83+'03.09.68'!N83+'04.09.68'!N83+'05.09.68'!N83+'06.09.68'!N83+'07.09.68'!N83+'08.09.68'!N83+'09.09.68'!N83+'10.09.68'!N83+'11.09.68'!N83+'12.09.68'!N83+'13.09.68'!N83+'14.09.68'!N83+'15.09.68'!N83+'16.09.68'!N83+'17.09.68'!N83+'18.09.68'!N83+'19.09.68'!N83+'20.09.68'!N83+'21.09.68'!N83+'22.09.68'!N83+'23.09.68'!N83+'24.09.68'!N83+'25.09.68'!N83+'26.09.68'!N83+'27.09.68'!N83+'28.09.68'!N83+'29.09.68'!N83+'30.09.68'!N83</f>
        <v>0</v>
      </c>
      <c r="O83" s="65">
        <f t="shared" si="11"/>
        <v>0</v>
      </c>
      <c r="P83" s="52">
        <f>+'01.09.68'!P83+'02.09.68'!P83+'03.09.68'!P83+'04.09.68'!P83+'05.09.68'!P83+'06.09.68'!P83+'07.09.68'!P83+'08.09.68'!P83+'09.09.68'!P83+'10.09.68'!P83+'11.09.68'!P83+'12.09.68'!P83+'13.09.68'!P83+'14.09.68'!P83+'15.09.68'!P83+'16.09.68'!P83+'17.09.68'!P83+'18.09.68'!P83+'19.09.68'!P83+'20.09.68'!P83+'21.09.68'!P83+'22.09.68'!P83+'23.09.68'!P83+'24.09.68'!P83+'25.09.68'!P83+'26.09.68'!P83+'27.09.68'!P83+'28.09.68'!P83+'29.09.68'!P83+'30.09.68'!P83</f>
        <v>0</v>
      </c>
      <c r="Q83" s="52">
        <f>+'01.09.68'!Q83+'02.09.68'!Q83+'03.09.68'!Q83+'04.09.68'!Q83+'05.09.68'!Q83+'06.09.68'!Q83+'07.09.68'!Q83+'08.09.68'!Q83+'09.09.68'!Q83+'10.09.68'!Q83+'11.09.68'!Q83+'12.09.68'!Q83+'13.09.68'!Q83+'14.09.68'!Q83+'15.09.68'!Q83+'16.09.68'!Q83+'17.09.68'!Q83+'18.09.68'!Q83+'19.09.68'!Q83+'20.09.68'!Q83+'21.09.68'!Q83+'22.09.68'!Q83+'23.09.68'!Q83+'24.09.68'!Q83+'25.09.68'!Q83+'26.09.68'!Q83+'27.09.68'!Q83+'28.09.68'!Q83+'29.09.68'!Q83+'30.09.68'!Q83</f>
        <v>0</v>
      </c>
      <c r="R83" s="65">
        <f t="shared" si="12"/>
        <v>0</v>
      </c>
      <c r="S83" s="52">
        <f>+'01.09.68'!S83+'02.09.68'!S83+'03.09.68'!S83+'04.09.68'!S83+'05.09.68'!S83+'06.09.68'!S83+'07.09.68'!S83+'08.09.68'!S83+'09.09.68'!S83+'10.09.68'!S83+'11.09.68'!S83+'12.09.68'!S83+'13.09.68'!S83+'14.09.68'!S83+'15.09.68'!S83+'16.09.68'!S83+'17.09.68'!S83+'18.09.68'!S83+'19.09.68'!S83+'20.09.68'!S83+'21.09.68'!S83+'22.09.68'!S83+'23.09.68'!S83+'24.09.68'!S83+'25.09.68'!S83+'26.09.68'!S83+'27.09.68'!S83+'28.09.68'!S83+'29.09.68'!S83+'30.09.68'!S83</f>
        <v>0</v>
      </c>
      <c r="T83" s="52">
        <f>+'01.09.68'!T83+'02.09.68'!T83+'03.09.68'!T83+'04.09.68'!T83+'05.09.68'!T83+'06.09.68'!T83+'07.09.68'!T83+'08.09.68'!T83+'09.09.68'!T83+'10.09.68'!T83+'11.09.68'!T83+'12.09.68'!T83+'13.09.68'!T83+'14.09.68'!T83+'15.09.68'!T83+'16.09.68'!T83+'17.09.68'!T83+'18.09.68'!T83+'19.09.68'!T83+'20.09.68'!T83+'21.09.68'!T83+'22.09.68'!T83+'23.09.68'!T83+'24.09.68'!T83+'25.09.68'!T83+'26.09.68'!T83+'27.09.68'!T83+'28.09.68'!T83+'29.09.68'!T83+'30.09.68'!T83</f>
        <v>0</v>
      </c>
      <c r="U83" s="65">
        <f t="shared" si="13"/>
        <v>0</v>
      </c>
      <c r="V83" s="52">
        <f>+'01.09.68'!V83+'02.09.68'!V83+'03.09.68'!V83+'04.09.68'!V83+'05.09.68'!V83+'06.09.68'!V83+'07.09.68'!V83+'08.09.68'!V83+'09.09.68'!V83+'10.09.68'!V83+'11.09.68'!V83+'12.09.68'!V83+'13.09.68'!V83+'14.09.68'!V83+'15.09.68'!V83+'16.09.68'!V83+'17.09.68'!V83+'18.09.68'!V83+'19.09.68'!V83+'20.09.68'!V83+'21.09.68'!V83+'22.09.68'!V83+'23.09.68'!V83+'24.09.68'!V83+'25.09.68'!V83+'26.09.68'!V83+'27.09.68'!V83+'28.09.68'!V83+'29.09.68'!V83+'30.09.68'!V83</f>
        <v>0</v>
      </c>
      <c r="W83" s="52">
        <f>+'01.09.68'!W83+'02.09.68'!W83+'03.09.68'!W83+'04.09.68'!W83+'05.09.68'!W83+'06.09.68'!W83+'07.09.68'!W83+'08.09.68'!W83+'09.09.68'!W83+'10.09.68'!W83+'11.09.68'!W83+'12.09.68'!W83+'13.09.68'!W83+'14.09.68'!W83+'15.09.68'!W83+'16.09.68'!W83+'17.09.68'!W83+'18.09.68'!W83+'19.09.68'!W83+'20.09.68'!W83+'21.09.68'!W83+'22.09.68'!W83+'23.09.68'!W83+'24.09.68'!W83+'25.09.68'!W83+'26.09.68'!W83+'27.09.68'!W83+'28.09.68'!W83+'29.09.68'!W83+'30.09.68'!W83</f>
        <v>0</v>
      </c>
      <c r="X83" s="65">
        <f t="shared" si="14"/>
        <v>0</v>
      </c>
      <c r="Y83" s="52">
        <f>+'01.09.68'!Y83+'02.09.68'!Y83+'03.09.68'!Y83+'04.09.68'!Y83+'05.09.68'!Y83+'06.09.68'!Y83+'07.09.68'!Y83+'08.09.68'!Y83+'09.09.68'!Y83+'10.09.68'!Y83+'11.09.68'!Y83+'12.09.68'!Y83+'13.09.68'!Y83+'14.09.68'!Y83+'15.09.68'!Y83+'16.09.68'!Y83+'17.09.68'!Y83+'18.09.68'!Y83+'19.09.68'!Y83+'20.09.68'!Y83+'21.09.68'!Y83+'22.09.68'!Y83+'23.09.68'!Y83+'24.09.68'!Y83+'25.09.68'!Y83+'26.09.68'!Y83+'27.09.68'!Y83+'28.09.68'!Y83+'29.09.68'!Y83+'30.09.68'!Y83</f>
        <v>100</v>
      </c>
      <c r="Z83" s="66">
        <f t="shared" si="15"/>
        <v>228</v>
      </c>
    </row>
    <row r="84" spans="2:26">
      <c r="B84" s="50">
        <v>1111087</v>
      </c>
      <c r="C84" s="53" t="s">
        <v>15</v>
      </c>
      <c r="D84" s="52">
        <f>+'01.09.68'!D84+'02.09.68'!D84+'03.09.68'!D84+'04.09.68'!D84+'05.09.68'!D84+'06.09.68'!D84+'07.09.68'!D84+'08.09.68'!D84+'09.09.68'!D84+'10.09.68'!D84+'11.09.68'!D84+'12.09.68'!D84+'13.09.68'!D84+'14.09.68'!D84+'15.09.68'!D84+'16.09.68'!D84+'17.09.68'!D84+'18.09.68'!D84+'19.09.68'!D84+'20.09.68'!D84+'21.09.68'!D84+'22.09.68'!D84+'23.09.68'!D84+'24.09.68'!D84+'25.09.68'!D84+'26.09.68'!D84+'27.09.68'!D84+'28.09.68'!D84+'29.09.68'!D84+'30.09.68'!D84</f>
        <v>0</v>
      </c>
      <c r="E84" s="52">
        <f>+'01.09.68'!E84+'02.09.68'!E84+'03.09.68'!E84+'04.09.68'!E84+'05.09.68'!E84+'06.09.68'!E84+'07.09.68'!E84+'08.09.68'!E84+'09.09.68'!E84+'10.09.68'!E84+'11.09.68'!E84+'12.09.68'!E84+'13.09.68'!E84+'14.09.68'!E84+'15.09.68'!E84+'16.09.68'!E84+'17.09.68'!E84+'18.09.68'!E84+'19.09.68'!E84+'20.09.68'!E84+'21.09.68'!E84+'22.09.68'!E84+'23.09.68'!E84+'24.09.68'!E84+'25.09.68'!E84+'26.09.68'!E84+'27.09.68'!E84+'28.09.68'!E84+'29.09.68'!E84+'30.09.68'!E84</f>
        <v>0</v>
      </c>
      <c r="F84" s="65">
        <f t="shared" si="8"/>
        <v>0</v>
      </c>
      <c r="G84" s="52">
        <f>+'01.09.68'!G84+'02.09.68'!G84+'03.09.68'!G84+'04.09.68'!G84+'05.09.68'!G84+'06.09.68'!G84+'07.09.68'!G84+'08.09.68'!G84+'09.09.68'!G84+'10.09.68'!G84+'11.09.68'!G84+'12.09.68'!G84+'13.09.68'!G84+'14.09.68'!G84+'15.09.68'!G84+'16.09.68'!G84+'17.09.68'!G84+'18.09.68'!G84+'19.09.68'!G84+'20.09.68'!G84+'21.09.68'!G84+'22.09.68'!G84+'23.09.68'!G84+'24.09.68'!G84+'25.09.68'!G84+'26.09.68'!G84+'27.09.68'!G84+'28.09.68'!G84+'29.09.68'!G84+'30.09.68'!G84</f>
        <v>0</v>
      </c>
      <c r="H84" s="52">
        <f>+'01.09.68'!H84+'02.09.68'!H84+'03.09.68'!H84+'04.09.68'!H84+'05.09.68'!H84+'06.09.68'!H84+'07.09.68'!H84+'08.09.68'!H84+'09.09.68'!H84+'10.09.68'!H84+'11.09.68'!H84+'12.09.68'!H84+'13.09.68'!H84+'14.09.68'!H84+'15.09.68'!H84+'16.09.68'!H84+'17.09.68'!H84+'18.09.68'!H84+'19.09.68'!H84+'20.09.68'!H84+'21.09.68'!H84+'22.09.68'!H84+'23.09.68'!H84+'24.09.68'!H84+'25.09.68'!H84+'26.09.68'!H84+'27.09.68'!H84+'28.09.68'!H84+'29.09.68'!H84+'30.09.68'!H84</f>
        <v>0</v>
      </c>
      <c r="I84" s="65">
        <f t="shared" si="9"/>
        <v>0</v>
      </c>
      <c r="J84" s="52">
        <f>+'01.09.68'!J84+'02.09.68'!J84+'03.09.68'!J84+'04.09.68'!J84+'05.09.68'!J84+'06.09.68'!J84+'07.09.68'!J84+'08.09.68'!J84+'09.09.68'!J84+'10.09.68'!J84+'11.09.68'!J84+'12.09.68'!J84+'13.09.68'!J84+'14.09.68'!J84+'15.09.68'!J84+'16.09.68'!J84+'17.09.68'!J84+'18.09.68'!J84+'19.09.68'!J84+'20.09.68'!J84+'21.09.68'!J84+'22.09.68'!J84+'23.09.68'!J84+'24.09.68'!J84+'25.09.68'!J84+'26.09.68'!J84+'27.09.68'!J84+'28.09.68'!J84+'29.09.68'!J84+'30.09.68'!J84</f>
        <v>0</v>
      </c>
      <c r="K84" s="52">
        <f>+'01.09.68'!K84+'02.09.68'!K84+'03.09.68'!K84+'04.09.68'!K84+'05.09.68'!K84+'06.09.68'!K84+'07.09.68'!K84+'08.09.68'!K84+'09.09.68'!K84+'10.09.68'!K84+'11.09.68'!K84+'12.09.68'!K84+'13.09.68'!K84+'14.09.68'!K84+'15.09.68'!K84+'16.09.68'!K84+'17.09.68'!K84+'18.09.68'!K84+'19.09.68'!K84+'20.09.68'!K84+'21.09.68'!K84+'22.09.68'!K84+'23.09.68'!K84+'24.09.68'!K84+'25.09.68'!K84+'26.09.68'!K84+'27.09.68'!K84+'28.09.68'!K84+'29.09.68'!K84+'30.09.68'!K84</f>
        <v>0</v>
      </c>
      <c r="L84" s="65">
        <f t="shared" si="10"/>
        <v>0</v>
      </c>
      <c r="M84" s="52">
        <f>+'01.09.68'!M84+'02.09.68'!M84+'03.09.68'!M84+'04.09.68'!M84+'05.09.68'!M84+'06.09.68'!M84+'07.09.68'!M84+'08.09.68'!M84+'09.09.68'!M84+'10.09.68'!M84+'11.09.68'!M84+'12.09.68'!M84+'13.09.68'!M84+'14.09.68'!M84+'15.09.68'!M84+'16.09.68'!M84+'17.09.68'!M84+'18.09.68'!M84+'19.09.68'!M84+'20.09.68'!M84+'21.09.68'!M84+'22.09.68'!M84+'23.09.68'!M84+'24.09.68'!M84+'25.09.68'!M84+'26.09.68'!M84+'27.09.68'!M84+'28.09.68'!M84+'29.09.68'!M84+'30.09.68'!M84</f>
        <v>0</v>
      </c>
      <c r="N84" s="52">
        <f>+'01.09.68'!N84+'02.09.68'!N84+'03.09.68'!N84+'04.09.68'!N84+'05.09.68'!N84+'06.09.68'!N84+'07.09.68'!N84+'08.09.68'!N84+'09.09.68'!N84+'10.09.68'!N84+'11.09.68'!N84+'12.09.68'!N84+'13.09.68'!N84+'14.09.68'!N84+'15.09.68'!N84+'16.09.68'!N84+'17.09.68'!N84+'18.09.68'!N84+'19.09.68'!N84+'20.09.68'!N84+'21.09.68'!N84+'22.09.68'!N84+'23.09.68'!N84+'24.09.68'!N84+'25.09.68'!N84+'26.09.68'!N84+'27.09.68'!N84+'28.09.68'!N84+'29.09.68'!N84+'30.09.68'!N84</f>
        <v>0</v>
      </c>
      <c r="O84" s="65">
        <f t="shared" si="11"/>
        <v>0</v>
      </c>
      <c r="P84" s="52">
        <f>+'01.09.68'!P84+'02.09.68'!P84+'03.09.68'!P84+'04.09.68'!P84+'05.09.68'!P84+'06.09.68'!P84+'07.09.68'!P84+'08.09.68'!P84+'09.09.68'!P84+'10.09.68'!P84+'11.09.68'!P84+'12.09.68'!P84+'13.09.68'!P84+'14.09.68'!P84+'15.09.68'!P84+'16.09.68'!P84+'17.09.68'!P84+'18.09.68'!P84+'19.09.68'!P84+'20.09.68'!P84+'21.09.68'!P84+'22.09.68'!P84+'23.09.68'!P84+'24.09.68'!P84+'25.09.68'!P84+'26.09.68'!P84+'27.09.68'!P84+'28.09.68'!P84+'29.09.68'!P84+'30.09.68'!P84</f>
        <v>0</v>
      </c>
      <c r="Q84" s="52">
        <f>+'01.09.68'!Q84+'02.09.68'!Q84+'03.09.68'!Q84+'04.09.68'!Q84+'05.09.68'!Q84+'06.09.68'!Q84+'07.09.68'!Q84+'08.09.68'!Q84+'09.09.68'!Q84+'10.09.68'!Q84+'11.09.68'!Q84+'12.09.68'!Q84+'13.09.68'!Q84+'14.09.68'!Q84+'15.09.68'!Q84+'16.09.68'!Q84+'17.09.68'!Q84+'18.09.68'!Q84+'19.09.68'!Q84+'20.09.68'!Q84+'21.09.68'!Q84+'22.09.68'!Q84+'23.09.68'!Q84+'24.09.68'!Q84+'25.09.68'!Q84+'26.09.68'!Q84+'27.09.68'!Q84+'28.09.68'!Q84+'29.09.68'!Q84+'30.09.68'!Q84</f>
        <v>0</v>
      </c>
      <c r="R84" s="65">
        <f t="shared" si="12"/>
        <v>0</v>
      </c>
      <c r="S84" s="52">
        <f>+'01.09.68'!S84+'02.09.68'!S84+'03.09.68'!S84+'04.09.68'!S84+'05.09.68'!S84+'06.09.68'!S84+'07.09.68'!S84+'08.09.68'!S84+'09.09.68'!S84+'10.09.68'!S84+'11.09.68'!S84+'12.09.68'!S84+'13.09.68'!S84+'14.09.68'!S84+'15.09.68'!S84+'16.09.68'!S84+'17.09.68'!S84+'18.09.68'!S84+'19.09.68'!S84+'20.09.68'!S84+'21.09.68'!S84+'22.09.68'!S84+'23.09.68'!S84+'24.09.68'!S84+'25.09.68'!S84+'26.09.68'!S84+'27.09.68'!S84+'28.09.68'!S84+'29.09.68'!S84+'30.09.68'!S84</f>
        <v>0</v>
      </c>
      <c r="T84" s="52">
        <f>+'01.09.68'!T84+'02.09.68'!T84+'03.09.68'!T84+'04.09.68'!T84+'05.09.68'!T84+'06.09.68'!T84+'07.09.68'!T84+'08.09.68'!T84+'09.09.68'!T84+'10.09.68'!T84+'11.09.68'!T84+'12.09.68'!T84+'13.09.68'!T84+'14.09.68'!T84+'15.09.68'!T84+'16.09.68'!T84+'17.09.68'!T84+'18.09.68'!T84+'19.09.68'!T84+'20.09.68'!T84+'21.09.68'!T84+'22.09.68'!T84+'23.09.68'!T84+'24.09.68'!T84+'25.09.68'!T84+'26.09.68'!T84+'27.09.68'!T84+'28.09.68'!T84+'29.09.68'!T84+'30.09.68'!T84</f>
        <v>0</v>
      </c>
      <c r="U84" s="65">
        <f t="shared" si="13"/>
        <v>0</v>
      </c>
      <c r="V84" s="52">
        <f>+'01.09.68'!V84+'02.09.68'!V84+'03.09.68'!V84+'04.09.68'!V84+'05.09.68'!V84+'06.09.68'!V84+'07.09.68'!V84+'08.09.68'!V84+'09.09.68'!V84+'10.09.68'!V84+'11.09.68'!V84+'12.09.68'!V84+'13.09.68'!V84+'14.09.68'!V84+'15.09.68'!V84+'16.09.68'!V84+'17.09.68'!V84+'18.09.68'!V84+'19.09.68'!V84+'20.09.68'!V84+'21.09.68'!V84+'22.09.68'!V84+'23.09.68'!V84+'24.09.68'!V84+'25.09.68'!V84+'26.09.68'!V84+'27.09.68'!V84+'28.09.68'!V84+'29.09.68'!V84+'30.09.68'!V84</f>
        <v>0</v>
      </c>
      <c r="W84" s="52">
        <f>+'01.09.68'!W84+'02.09.68'!W84+'03.09.68'!W84+'04.09.68'!W84+'05.09.68'!W84+'06.09.68'!W84+'07.09.68'!W84+'08.09.68'!W84+'09.09.68'!W84+'10.09.68'!W84+'11.09.68'!W84+'12.09.68'!W84+'13.09.68'!W84+'14.09.68'!W84+'15.09.68'!W84+'16.09.68'!W84+'17.09.68'!W84+'18.09.68'!W84+'19.09.68'!W84+'20.09.68'!W84+'21.09.68'!W84+'22.09.68'!W84+'23.09.68'!W84+'24.09.68'!W84+'25.09.68'!W84+'26.09.68'!W84+'27.09.68'!W84+'28.09.68'!W84+'29.09.68'!W84+'30.09.68'!W84</f>
        <v>0</v>
      </c>
      <c r="X84" s="65">
        <f t="shared" si="14"/>
        <v>0</v>
      </c>
      <c r="Y84" s="52">
        <f>+'01.09.68'!Y84+'02.09.68'!Y84+'03.09.68'!Y84+'04.09.68'!Y84+'05.09.68'!Y84+'06.09.68'!Y84+'07.09.68'!Y84+'08.09.68'!Y84+'09.09.68'!Y84+'10.09.68'!Y84+'11.09.68'!Y84+'12.09.68'!Y84+'13.09.68'!Y84+'14.09.68'!Y84+'15.09.68'!Y84+'16.09.68'!Y84+'17.09.68'!Y84+'18.09.68'!Y84+'19.09.68'!Y84+'20.09.68'!Y84+'21.09.68'!Y84+'22.09.68'!Y84+'23.09.68'!Y84+'24.09.68'!Y84+'25.09.68'!Y84+'26.09.68'!Y84+'27.09.68'!Y84+'28.09.68'!Y84+'29.09.68'!Y84+'30.09.68'!Y84</f>
        <v>0</v>
      </c>
      <c r="Z84" s="66">
        <f t="shared" si="15"/>
        <v>0</v>
      </c>
    </row>
    <row r="85" spans="2:26">
      <c r="B85" s="50"/>
      <c r="C85" s="53" t="s">
        <v>110</v>
      </c>
      <c r="D85" s="52">
        <f>+'01.09.68'!D85+'02.09.68'!D85+'03.09.68'!D85+'04.09.68'!D85+'05.09.68'!D85+'06.09.68'!D85+'07.09.68'!D85+'08.09.68'!D85+'09.09.68'!D85+'10.09.68'!D85+'11.09.68'!D85+'12.09.68'!D85+'13.09.68'!D85+'14.09.68'!D85+'15.09.68'!D85+'16.09.68'!D85+'17.09.68'!D85+'18.09.68'!D85+'19.09.68'!D85+'20.09.68'!D85+'21.09.68'!D85+'22.09.68'!D85+'23.09.68'!D85+'24.09.68'!D85+'25.09.68'!D85+'26.09.68'!D85+'27.09.68'!D85+'28.09.68'!D85+'29.09.68'!D85+'30.09.68'!D85</f>
        <v>0</v>
      </c>
      <c r="E85" s="52">
        <f>+'01.09.68'!E85+'02.09.68'!E85+'03.09.68'!E85+'04.09.68'!E85+'05.09.68'!E85+'06.09.68'!E85+'07.09.68'!E85+'08.09.68'!E85+'09.09.68'!E85+'10.09.68'!E85+'11.09.68'!E85+'12.09.68'!E85+'13.09.68'!E85+'14.09.68'!E85+'15.09.68'!E85+'16.09.68'!E85+'17.09.68'!E85+'18.09.68'!E85+'19.09.68'!E85+'20.09.68'!E85+'21.09.68'!E85+'22.09.68'!E85+'23.09.68'!E85+'24.09.68'!E85+'25.09.68'!E85+'26.09.68'!E85+'27.09.68'!E85+'28.09.68'!E85+'29.09.68'!E85+'30.09.68'!E85</f>
        <v>0</v>
      </c>
      <c r="F85" s="65">
        <f t="shared" si="8"/>
        <v>0</v>
      </c>
      <c r="G85" s="52">
        <f>+'01.09.68'!G85+'02.09.68'!G85+'03.09.68'!G85+'04.09.68'!G85+'05.09.68'!G85+'06.09.68'!G85+'07.09.68'!G85+'08.09.68'!G85+'09.09.68'!G85+'10.09.68'!G85+'11.09.68'!G85+'12.09.68'!G85+'13.09.68'!G85+'14.09.68'!G85+'15.09.68'!G85+'16.09.68'!G85+'17.09.68'!G85+'18.09.68'!G85+'19.09.68'!G85+'20.09.68'!G85+'21.09.68'!G85+'22.09.68'!G85+'23.09.68'!G85+'24.09.68'!G85+'25.09.68'!G85+'26.09.68'!G85+'27.09.68'!G85+'28.09.68'!G85+'29.09.68'!G85+'30.09.68'!G85</f>
        <v>0</v>
      </c>
      <c r="H85" s="52">
        <f>+'01.09.68'!H85+'02.09.68'!H85+'03.09.68'!H85+'04.09.68'!H85+'05.09.68'!H85+'06.09.68'!H85+'07.09.68'!H85+'08.09.68'!H85+'09.09.68'!H85+'10.09.68'!H85+'11.09.68'!H85+'12.09.68'!H85+'13.09.68'!H85+'14.09.68'!H85+'15.09.68'!H85+'16.09.68'!H85+'17.09.68'!H85+'18.09.68'!H85+'19.09.68'!H85+'20.09.68'!H85+'21.09.68'!H85+'22.09.68'!H85+'23.09.68'!H85+'24.09.68'!H85+'25.09.68'!H85+'26.09.68'!H85+'27.09.68'!H85+'28.09.68'!H85+'29.09.68'!H85+'30.09.68'!H85</f>
        <v>0</v>
      </c>
      <c r="I85" s="65">
        <f t="shared" si="9"/>
        <v>0</v>
      </c>
      <c r="J85" s="52">
        <f>+'01.09.68'!J85+'02.09.68'!J85+'03.09.68'!J85+'04.09.68'!J85+'05.09.68'!J85+'06.09.68'!J85+'07.09.68'!J85+'08.09.68'!J85+'09.09.68'!J85+'10.09.68'!J85+'11.09.68'!J85+'12.09.68'!J85+'13.09.68'!J85+'14.09.68'!J85+'15.09.68'!J85+'16.09.68'!J85+'17.09.68'!J85+'18.09.68'!J85+'19.09.68'!J85+'20.09.68'!J85+'21.09.68'!J85+'22.09.68'!J85+'23.09.68'!J85+'24.09.68'!J85+'25.09.68'!J85+'26.09.68'!J85+'27.09.68'!J85+'28.09.68'!J85+'29.09.68'!J85+'30.09.68'!J85</f>
        <v>0</v>
      </c>
      <c r="K85" s="52">
        <f>+'01.09.68'!K85+'02.09.68'!K85+'03.09.68'!K85+'04.09.68'!K85+'05.09.68'!K85+'06.09.68'!K85+'07.09.68'!K85+'08.09.68'!K85+'09.09.68'!K85+'10.09.68'!K85+'11.09.68'!K85+'12.09.68'!K85+'13.09.68'!K85+'14.09.68'!K85+'15.09.68'!K85+'16.09.68'!K85+'17.09.68'!K85+'18.09.68'!K85+'19.09.68'!K85+'20.09.68'!K85+'21.09.68'!K85+'22.09.68'!K85+'23.09.68'!K85+'24.09.68'!K85+'25.09.68'!K85+'26.09.68'!K85+'27.09.68'!K85+'28.09.68'!K85+'29.09.68'!K85+'30.09.68'!K85</f>
        <v>0</v>
      </c>
      <c r="L85" s="65">
        <f t="shared" si="10"/>
        <v>0</v>
      </c>
      <c r="M85" s="52">
        <f>+'01.09.68'!M85+'02.09.68'!M85+'03.09.68'!M85+'04.09.68'!M85+'05.09.68'!M85+'06.09.68'!M85+'07.09.68'!M85+'08.09.68'!M85+'09.09.68'!M85+'10.09.68'!M85+'11.09.68'!M85+'12.09.68'!M85+'13.09.68'!M85+'14.09.68'!M85+'15.09.68'!M85+'16.09.68'!M85+'17.09.68'!M85+'18.09.68'!M85+'19.09.68'!M85+'20.09.68'!M85+'21.09.68'!M85+'22.09.68'!M85+'23.09.68'!M85+'24.09.68'!M85+'25.09.68'!M85+'26.09.68'!M85+'27.09.68'!M85+'28.09.68'!M85+'29.09.68'!M85+'30.09.68'!M85</f>
        <v>0</v>
      </c>
      <c r="N85" s="52">
        <f>+'01.09.68'!N85+'02.09.68'!N85+'03.09.68'!N85+'04.09.68'!N85+'05.09.68'!N85+'06.09.68'!N85+'07.09.68'!N85+'08.09.68'!N85+'09.09.68'!N85+'10.09.68'!N85+'11.09.68'!N85+'12.09.68'!N85+'13.09.68'!N85+'14.09.68'!N85+'15.09.68'!N85+'16.09.68'!N85+'17.09.68'!N85+'18.09.68'!N85+'19.09.68'!N85+'20.09.68'!N85+'21.09.68'!N85+'22.09.68'!N85+'23.09.68'!N85+'24.09.68'!N85+'25.09.68'!N85+'26.09.68'!N85+'27.09.68'!N85+'28.09.68'!N85+'29.09.68'!N85+'30.09.68'!N85</f>
        <v>0</v>
      </c>
      <c r="O85" s="65">
        <f t="shared" si="11"/>
        <v>0</v>
      </c>
      <c r="P85" s="52">
        <f>+'01.09.68'!P85+'02.09.68'!P85+'03.09.68'!P85+'04.09.68'!P85+'05.09.68'!P85+'06.09.68'!P85+'07.09.68'!P85+'08.09.68'!P85+'09.09.68'!P85+'10.09.68'!P85+'11.09.68'!P85+'12.09.68'!P85+'13.09.68'!P85+'14.09.68'!P85+'15.09.68'!P85+'16.09.68'!P85+'17.09.68'!P85+'18.09.68'!P85+'19.09.68'!P85+'20.09.68'!P85+'21.09.68'!P85+'22.09.68'!P85+'23.09.68'!P85+'24.09.68'!P85+'25.09.68'!P85+'26.09.68'!P85+'27.09.68'!P85+'28.09.68'!P85+'29.09.68'!P85+'30.09.68'!P85</f>
        <v>0</v>
      </c>
      <c r="Q85" s="52">
        <f>+'01.09.68'!Q85+'02.09.68'!Q85+'03.09.68'!Q85+'04.09.68'!Q85+'05.09.68'!Q85+'06.09.68'!Q85+'07.09.68'!Q85+'08.09.68'!Q85+'09.09.68'!Q85+'10.09.68'!Q85+'11.09.68'!Q85+'12.09.68'!Q85+'13.09.68'!Q85+'14.09.68'!Q85+'15.09.68'!Q85+'16.09.68'!Q85+'17.09.68'!Q85+'18.09.68'!Q85+'19.09.68'!Q85+'20.09.68'!Q85+'21.09.68'!Q85+'22.09.68'!Q85+'23.09.68'!Q85+'24.09.68'!Q85+'25.09.68'!Q85+'26.09.68'!Q85+'27.09.68'!Q85+'28.09.68'!Q85+'29.09.68'!Q85+'30.09.68'!Q85</f>
        <v>0</v>
      </c>
      <c r="R85" s="65">
        <f t="shared" si="12"/>
        <v>0</v>
      </c>
      <c r="S85" s="52">
        <f>+'01.09.68'!S85+'02.09.68'!S85+'03.09.68'!S85+'04.09.68'!S85+'05.09.68'!S85+'06.09.68'!S85+'07.09.68'!S85+'08.09.68'!S85+'09.09.68'!S85+'10.09.68'!S85+'11.09.68'!S85+'12.09.68'!S85+'13.09.68'!S85+'14.09.68'!S85+'15.09.68'!S85+'16.09.68'!S85+'17.09.68'!S85+'18.09.68'!S85+'19.09.68'!S85+'20.09.68'!S85+'21.09.68'!S85+'22.09.68'!S85+'23.09.68'!S85+'24.09.68'!S85+'25.09.68'!S85+'26.09.68'!S85+'27.09.68'!S85+'28.09.68'!S85+'29.09.68'!S85+'30.09.68'!S85</f>
        <v>0</v>
      </c>
      <c r="T85" s="52">
        <f>+'01.09.68'!T85+'02.09.68'!T85+'03.09.68'!T85+'04.09.68'!T85+'05.09.68'!T85+'06.09.68'!T85+'07.09.68'!T85+'08.09.68'!T85+'09.09.68'!T85+'10.09.68'!T85+'11.09.68'!T85+'12.09.68'!T85+'13.09.68'!T85+'14.09.68'!T85+'15.09.68'!T85+'16.09.68'!T85+'17.09.68'!T85+'18.09.68'!T85+'19.09.68'!T85+'20.09.68'!T85+'21.09.68'!T85+'22.09.68'!T85+'23.09.68'!T85+'24.09.68'!T85+'25.09.68'!T85+'26.09.68'!T85+'27.09.68'!T85+'28.09.68'!T85+'29.09.68'!T85+'30.09.68'!T85</f>
        <v>0</v>
      </c>
      <c r="U85" s="65">
        <f t="shared" si="13"/>
        <v>0</v>
      </c>
      <c r="V85" s="52">
        <f>+'01.09.68'!V85+'02.09.68'!V85+'03.09.68'!V85+'04.09.68'!V85+'05.09.68'!V85+'06.09.68'!V85+'07.09.68'!V85+'08.09.68'!V85+'09.09.68'!V85+'10.09.68'!V85+'11.09.68'!V85+'12.09.68'!V85+'13.09.68'!V85+'14.09.68'!V85+'15.09.68'!V85+'16.09.68'!V85+'17.09.68'!V85+'18.09.68'!V85+'19.09.68'!V85+'20.09.68'!V85+'21.09.68'!V85+'22.09.68'!V85+'23.09.68'!V85+'24.09.68'!V85+'25.09.68'!V85+'26.09.68'!V85+'27.09.68'!V85+'28.09.68'!V85+'29.09.68'!V85+'30.09.68'!V85</f>
        <v>0</v>
      </c>
      <c r="W85" s="52">
        <f>+'01.09.68'!W85+'02.09.68'!W85+'03.09.68'!W85+'04.09.68'!W85+'05.09.68'!W85+'06.09.68'!W85+'07.09.68'!W85+'08.09.68'!W85+'09.09.68'!W85+'10.09.68'!W85+'11.09.68'!W85+'12.09.68'!W85+'13.09.68'!W85+'14.09.68'!W85+'15.09.68'!W85+'16.09.68'!W85+'17.09.68'!W85+'18.09.68'!W85+'19.09.68'!W85+'20.09.68'!W85+'21.09.68'!W85+'22.09.68'!W85+'23.09.68'!W85+'24.09.68'!W85+'25.09.68'!W85+'26.09.68'!W85+'27.09.68'!W85+'28.09.68'!W85+'29.09.68'!W85+'30.09.68'!W85</f>
        <v>0</v>
      </c>
      <c r="X85" s="65">
        <f t="shared" si="14"/>
        <v>0</v>
      </c>
      <c r="Y85" s="52">
        <f>+'01.09.68'!Y85+'02.09.68'!Y85+'03.09.68'!Y85+'04.09.68'!Y85+'05.09.68'!Y85+'06.09.68'!Y85+'07.09.68'!Y85+'08.09.68'!Y85+'09.09.68'!Y85+'10.09.68'!Y85+'11.09.68'!Y85+'12.09.68'!Y85+'13.09.68'!Y85+'14.09.68'!Y85+'15.09.68'!Y85+'16.09.68'!Y85+'17.09.68'!Y85+'18.09.68'!Y85+'19.09.68'!Y85+'20.09.68'!Y85+'21.09.68'!Y85+'22.09.68'!Y85+'23.09.68'!Y85+'24.09.68'!Y85+'25.09.68'!Y85+'26.09.68'!Y85+'27.09.68'!Y85+'28.09.68'!Y85+'29.09.68'!Y85+'30.09.68'!Y85</f>
        <v>0</v>
      </c>
      <c r="Z85" s="66">
        <f t="shared" si="15"/>
        <v>0</v>
      </c>
    </row>
    <row r="86" spans="2:26">
      <c r="B86" s="50"/>
      <c r="C86" s="53" t="s">
        <v>112</v>
      </c>
      <c r="D86" s="52">
        <f>+'01.09.68'!D86+'02.09.68'!D86+'03.09.68'!D86+'04.09.68'!D86+'05.09.68'!D86+'06.09.68'!D86+'07.09.68'!D86+'08.09.68'!D86+'09.09.68'!D86+'10.09.68'!D86+'11.09.68'!D86+'12.09.68'!D86+'13.09.68'!D86+'14.09.68'!D86+'15.09.68'!D86+'16.09.68'!D86+'17.09.68'!D86+'18.09.68'!D86+'19.09.68'!D86+'20.09.68'!D86+'21.09.68'!D86+'22.09.68'!D86+'23.09.68'!D86+'24.09.68'!D86+'25.09.68'!D86+'26.09.68'!D86+'27.09.68'!D86+'28.09.68'!D86+'29.09.68'!D86+'30.09.68'!D86</f>
        <v>0</v>
      </c>
      <c r="E86" s="52">
        <f>+'01.09.68'!E86+'02.09.68'!E86+'03.09.68'!E86+'04.09.68'!E86+'05.09.68'!E86+'06.09.68'!E86+'07.09.68'!E86+'08.09.68'!E86+'09.09.68'!E86+'10.09.68'!E86+'11.09.68'!E86+'12.09.68'!E86+'13.09.68'!E86+'14.09.68'!E86+'15.09.68'!E86+'16.09.68'!E86+'17.09.68'!E86+'18.09.68'!E86+'19.09.68'!E86+'20.09.68'!E86+'21.09.68'!E86+'22.09.68'!E86+'23.09.68'!E86+'24.09.68'!E86+'25.09.68'!E86+'26.09.68'!E86+'27.09.68'!E86+'28.09.68'!E86+'29.09.68'!E86+'30.09.68'!E86</f>
        <v>0</v>
      </c>
      <c r="F86" s="65">
        <f t="shared" si="8"/>
        <v>0</v>
      </c>
      <c r="G86" s="52">
        <f>+'01.09.68'!G86+'02.09.68'!G86+'03.09.68'!G86+'04.09.68'!G86+'05.09.68'!G86+'06.09.68'!G86+'07.09.68'!G86+'08.09.68'!G86+'09.09.68'!G86+'10.09.68'!G86+'11.09.68'!G86+'12.09.68'!G86+'13.09.68'!G86+'14.09.68'!G86+'15.09.68'!G86+'16.09.68'!G86+'17.09.68'!G86+'18.09.68'!G86+'19.09.68'!G86+'20.09.68'!G86+'21.09.68'!G86+'22.09.68'!G86+'23.09.68'!G86+'24.09.68'!G86+'25.09.68'!G86+'26.09.68'!G86+'27.09.68'!G86+'28.09.68'!G86+'29.09.68'!G86+'30.09.68'!G86</f>
        <v>0</v>
      </c>
      <c r="H86" s="52">
        <f>+'01.09.68'!H86+'02.09.68'!H86+'03.09.68'!H86+'04.09.68'!H86+'05.09.68'!H86+'06.09.68'!H86+'07.09.68'!H86+'08.09.68'!H86+'09.09.68'!H86+'10.09.68'!H86+'11.09.68'!H86+'12.09.68'!H86+'13.09.68'!H86+'14.09.68'!H86+'15.09.68'!H86+'16.09.68'!H86+'17.09.68'!H86+'18.09.68'!H86+'19.09.68'!H86+'20.09.68'!H86+'21.09.68'!H86+'22.09.68'!H86+'23.09.68'!H86+'24.09.68'!H86+'25.09.68'!H86+'26.09.68'!H86+'27.09.68'!H86+'28.09.68'!H86+'29.09.68'!H86+'30.09.68'!H86</f>
        <v>0</v>
      </c>
      <c r="I86" s="65">
        <f t="shared" si="9"/>
        <v>0</v>
      </c>
      <c r="J86" s="52">
        <f>+'01.09.68'!J86+'02.09.68'!J86+'03.09.68'!J86+'04.09.68'!J86+'05.09.68'!J86+'06.09.68'!J86+'07.09.68'!J86+'08.09.68'!J86+'09.09.68'!J86+'10.09.68'!J86+'11.09.68'!J86+'12.09.68'!J86+'13.09.68'!J86+'14.09.68'!J86+'15.09.68'!J86+'16.09.68'!J86+'17.09.68'!J86+'18.09.68'!J86+'19.09.68'!J86+'20.09.68'!J86+'21.09.68'!J86+'22.09.68'!J86+'23.09.68'!J86+'24.09.68'!J86+'25.09.68'!J86+'26.09.68'!J86+'27.09.68'!J86+'28.09.68'!J86+'29.09.68'!J86+'30.09.68'!J86</f>
        <v>0</v>
      </c>
      <c r="K86" s="52">
        <f>+'01.09.68'!K86+'02.09.68'!K86+'03.09.68'!K86+'04.09.68'!K86+'05.09.68'!K86+'06.09.68'!K86+'07.09.68'!K86+'08.09.68'!K86+'09.09.68'!K86+'10.09.68'!K86+'11.09.68'!K86+'12.09.68'!K86+'13.09.68'!K86+'14.09.68'!K86+'15.09.68'!K86+'16.09.68'!K86+'17.09.68'!K86+'18.09.68'!K86+'19.09.68'!K86+'20.09.68'!K86+'21.09.68'!K86+'22.09.68'!K86+'23.09.68'!K86+'24.09.68'!K86+'25.09.68'!K86+'26.09.68'!K86+'27.09.68'!K86+'28.09.68'!K86+'29.09.68'!K86+'30.09.68'!K86</f>
        <v>0</v>
      </c>
      <c r="L86" s="65">
        <f t="shared" si="10"/>
        <v>0</v>
      </c>
      <c r="M86" s="52">
        <f>+'01.09.68'!M86+'02.09.68'!M86+'03.09.68'!M86+'04.09.68'!M86+'05.09.68'!M86+'06.09.68'!M86+'07.09.68'!M86+'08.09.68'!M86+'09.09.68'!M86+'10.09.68'!M86+'11.09.68'!M86+'12.09.68'!M86+'13.09.68'!M86+'14.09.68'!M86+'15.09.68'!M86+'16.09.68'!M86+'17.09.68'!M86+'18.09.68'!M86+'19.09.68'!M86+'20.09.68'!M86+'21.09.68'!M86+'22.09.68'!M86+'23.09.68'!M86+'24.09.68'!M86+'25.09.68'!M86+'26.09.68'!M86+'27.09.68'!M86+'28.09.68'!M86+'29.09.68'!M86+'30.09.68'!M86</f>
        <v>0</v>
      </c>
      <c r="N86" s="52">
        <f>+'01.09.68'!N86+'02.09.68'!N86+'03.09.68'!N86+'04.09.68'!N86+'05.09.68'!N86+'06.09.68'!N86+'07.09.68'!N86+'08.09.68'!N86+'09.09.68'!N86+'10.09.68'!N86+'11.09.68'!N86+'12.09.68'!N86+'13.09.68'!N86+'14.09.68'!N86+'15.09.68'!N86+'16.09.68'!N86+'17.09.68'!N86+'18.09.68'!N86+'19.09.68'!N86+'20.09.68'!N86+'21.09.68'!N86+'22.09.68'!N86+'23.09.68'!N86+'24.09.68'!N86+'25.09.68'!N86+'26.09.68'!N86+'27.09.68'!N86+'28.09.68'!N86+'29.09.68'!N86+'30.09.68'!N86</f>
        <v>0</v>
      </c>
      <c r="O86" s="65">
        <f t="shared" si="11"/>
        <v>0</v>
      </c>
      <c r="P86" s="52">
        <f>+'01.09.68'!P86+'02.09.68'!P86+'03.09.68'!P86+'04.09.68'!P86+'05.09.68'!P86+'06.09.68'!P86+'07.09.68'!P86+'08.09.68'!P86+'09.09.68'!P86+'10.09.68'!P86+'11.09.68'!P86+'12.09.68'!P86+'13.09.68'!P86+'14.09.68'!P86+'15.09.68'!P86+'16.09.68'!P86+'17.09.68'!P86+'18.09.68'!P86+'19.09.68'!P86+'20.09.68'!P86+'21.09.68'!P86+'22.09.68'!P86+'23.09.68'!P86+'24.09.68'!P86+'25.09.68'!P86+'26.09.68'!P86+'27.09.68'!P86+'28.09.68'!P86+'29.09.68'!P86+'30.09.68'!P86</f>
        <v>0</v>
      </c>
      <c r="Q86" s="52">
        <f>+'01.09.68'!Q86+'02.09.68'!Q86+'03.09.68'!Q86+'04.09.68'!Q86+'05.09.68'!Q86+'06.09.68'!Q86+'07.09.68'!Q86+'08.09.68'!Q86+'09.09.68'!Q86+'10.09.68'!Q86+'11.09.68'!Q86+'12.09.68'!Q86+'13.09.68'!Q86+'14.09.68'!Q86+'15.09.68'!Q86+'16.09.68'!Q86+'17.09.68'!Q86+'18.09.68'!Q86+'19.09.68'!Q86+'20.09.68'!Q86+'21.09.68'!Q86+'22.09.68'!Q86+'23.09.68'!Q86+'24.09.68'!Q86+'25.09.68'!Q86+'26.09.68'!Q86+'27.09.68'!Q86+'28.09.68'!Q86+'29.09.68'!Q86+'30.09.68'!Q86</f>
        <v>0</v>
      </c>
      <c r="R86" s="65">
        <f t="shared" si="12"/>
        <v>0</v>
      </c>
      <c r="S86" s="52">
        <f>+'01.09.68'!S86+'02.09.68'!S86+'03.09.68'!S86+'04.09.68'!S86+'05.09.68'!S86+'06.09.68'!S86+'07.09.68'!S86+'08.09.68'!S86+'09.09.68'!S86+'10.09.68'!S86+'11.09.68'!S86+'12.09.68'!S86+'13.09.68'!S86+'14.09.68'!S86+'15.09.68'!S86+'16.09.68'!S86+'17.09.68'!S86+'18.09.68'!S86+'19.09.68'!S86+'20.09.68'!S86+'21.09.68'!S86+'22.09.68'!S86+'23.09.68'!S86+'24.09.68'!S86+'25.09.68'!S86+'26.09.68'!S86+'27.09.68'!S86+'28.09.68'!S86+'29.09.68'!S86+'30.09.68'!S86</f>
        <v>0</v>
      </c>
      <c r="T86" s="52">
        <f>+'01.09.68'!T86+'02.09.68'!T86+'03.09.68'!T86+'04.09.68'!T86+'05.09.68'!T86+'06.09.68'!T86+'07.09.68'!T86+'08.09.68'!T86+'09.09.68'!T86+'10.09.68'!T86+'11.09.68'!T86+'12.09.68'!T86+'13.09.68'!T86+'14.09.68'!T86+'15.09.68'!T86+'16.09.68'!T86+'17.09.68'!T86+'18.09.68'!T86+'19.09.68'!T86+'20.09.68'!T86+'21.09.68'!T86+'22.09.68'!T86+'23.09.68'!T86+'24.09.68'!T86+'25.09.68'!T86+'26.09.68'!T86+'27.09.68'!T86+'28.09.68'!T86+'29.09.68'!T86+'30.09.68'!T86</f>
        <v>0</v>
      </c>
      <c r="U86" s="65">
        <f t="shared" si="13"/>
        <v>0</v>
      </c>
      <c r="V86" s="52">
        <f>+'01.09.68'!V86+'02.09.68'!V86+'03.09.68'!V86+'04.09.68'!V86+'05.09.68'!V86+'06.09.68'!V86+'07.09.68'!V86+'08.09.68'!V86+'09.09.68'!V86+'10.09.68'!V86+'11.09.68'!V86+'12.09.68'!V86+'13.09.68'!V86+'14.09.68'!V86+'15.09.68'!V86+'16.09.68'!V86+'17.09.68'!V86+'18.09.68'!V86+'19.09.68'!V86+'20.09.68'!V86+'21.09.68'!V86+'22.09.68'!V86+'23.09.68'!V86+'24.09.68'!V86+'25.09.68'!V86+'26.09.68'!V86+'27.09.68'!V86+'28.09.68'!V86+'29.09.68'!V86+'30.09.68'!V86</f>
        <v>0</v>
      </c>
      <c r="W86" s="52">
        <f>+'01.09.68'!W86+'02.09.68'!W86+'03.09.68'!W86+'04.09.68'!W86+'05.09.68'!W86+'06.09.68'!W86+'07.09.68'!W86+'08.09.68'!W86+'09.09.68'!W86+'10.09.68'!W86+'11.09.68'!W86+'12.09.68'!W86+'13.09.68'!W86+'14.09.68'!W86+'15.09.68'!W86+'16.09.68'!W86+'17.09.68'!W86+'18.09.68'!W86+'19.09.68'!W86+'20.09.68'!W86+'21.09.68'!W86+'22.09.68'!W86+'23.09.68'!W86+'24.09.68'!W86+'25.09.68'!W86+'26.09.68'!W86+'27.09.68'!W86+'28.09.68'!W86+'29.09.68'!W86+'30.09.68'!W86</f>
        <v>0</v>
      </c>
      <c r="X86" s="65">
        <f t="shared" si="14"/>
        <v>0</v>
      </c>
      <c r="Y86" s="52">
        <f>+'01.09.68'!Y86+'02.09.68'!Y86+'03.09.68'!Y86+'04.09.68'!Y86+'05.09.68'!Y86+'06.09.68'!Y86+'07.09.68'!Y86+'08.09.68'!Y86+'09.09.68'!Y86+'10.09.68'!Y86+'11.09.68'!Y86+'12.09.68'!Y86+'13.09.68'!Y86+'14.09.68'!Y86+'15.09.68'!Y86+'16.09.68'!Y86+'17.09.68'!Y86+'18.09.68'!Y86+'19.09.68'!Y86+'20.09.68'!Y86+'21.09.68'!Y86+'22.09.68'!Y86+'23.09.68'!Y86+'24.09.68'!Y86+'25.09.68'!Y86+'26.09.68'!Y86+'27.09.68'!Y86+'28.09.68'!Y86+'29.09.68'!Y86+'30.09.68'!Y86</f>
        <v>0</v>
      </c>
      <c r="Z86" s="66">
        <f t="shared" si="15"/>
        <v>0</v>
      </c>
    </row>
    <row r="87" spans="2:26">
      <c r="B87" s="50"/>
      <c r="C87" s="53" t="s">
        <v>118</v>
      </c>
      <c r="D87" s="52">
        <f>+'01.09.68'!D87+'02.09.68'!D87+'03.09.68'!D87+'04.09.68'!D87+'05.09.68'!D87+'06.09.68'!D87+'07.09.68'!D87+'08.09.68'!D87+'09.09.68'!D87+'10.09.68'!D87+'11.09.68'!D87+'12.09.68'!D87+'13.09.68'!D87+'14.09.68'!D87+'15.09.68'!D87+'16.09.68'!D87+'17.09.68'!D87+'18.09.68'!D87+'19.09.68'!D87+'20.09.68'!D87+'21.09.68'!D87+'22.09.68'!D87+'23.09.68'!D87+'24.09.68'!D87+'25.09.68'!D87+'26.09.68'!D87+'27.09.68'!D87+'28.09.68'!D87+'29.09.68'!D87+'30.09.68'!D87</f>
        <v>0</v>
      </c>
      <c r="E87" s="52">
        <f>+'01.09.68'!E87+'02.09.68'!E87+'03.09.68'!E87+'04.09.68'!E87+'05.09.68'!E87+'06.09.68'!E87+'07.09.68'!E87+'08.09.68'!E87+'09.09.68'!E87+'10.09.68'!E87+'11.09.68'!E87+'12.09.68'!E87+'13.09.68'!E87+'14.09.68'!E87+'15.09.68'!E87+'16.09.68'!E87+'17.09.68'!E87+'18.09.68'!E87+'19.09.68'!E87+'20.09.68'!E87+'21.09.68'!E87+'22.09.68'!E87+'23.09.68'!E87+'24.09.68'!E87+'25.09.68'!E87+'26.09.68'!E87+'27.09.68'!E87+'28.09.68'!E87+'29.09.68'!E87+'30.09.68'!E87</f>
        <v>0</v>
      </c>
      <c r="F87" s="65">
        <f t="shared" si="8"/>
        <v>0</v>
      </c>
      <c r="G87" s="52">
        <f>+'01.09.68'!G87+'02.09.68'!G87+'03.09.68'!G87+'04.09.68'!G87+'05.09.68'!G87+'06.09.68'!G87+'07.09.68'!G87+'08.09.68'!G87+'09.09.68'!G87+'10.09.68'!G87+'11.09.68'!G87+'12.09.68'!G87+'13.09.68'!G87+'14.09.68'!G87+'15.09.68'!G87+'16.09.68'!G87+'17.09.68'!G87+'18.09.68'!G87+'19.09.68'!G87+'20.09.68'!G87+'21.09.68'!G87+'22.09.68'!G87+'23.09.68'!G87+'24.09.68'!G87+'25.09.68'!G87+'26.09.68'!G87+'27.09.68'!G87+'28.09.68'!G87+'29.09.68'!G87+'30.09.68'!G87</f>
        <v>0</v>
      </c>
      <c r="H87" s="52">
        <f>+'01.09.68'!H87+'02.09.68'!H87+'03.09.68'!H87+'04.09.68'!H87+'05.09.68'!H87+'06.09.68'!H87+'07.09.68'!H87+'08.09.68'!H87+'09.09.68'!H87+'10.09.68'!H87+'11.09.68'!H87+'12.09.68'!H87+'13.09.68'!H87+'14.09.68'!H87+'15.09.68'!H87+'16.09.68'!H87+'17.09.68'!H87+'18.09.68'!H87+'19.09.68'!H87+'20.09.68'!H87+'21.09.68'!H87+'22.09.68'!H87+'23.09.68'!H87+'24.09.68'!H87+'25.09.68'!H87+'26.09.68'!H87+'27.09.68'!H87+'28.09.68'!H87+'29.09.68'!H87+'30.09.68'!H87</f>
        <v>0</v>
      </c>
      <c r="I87" s="65">
        <f t="shared" si="9"/>
        <v>0</v>
      </c>
      <c r="J87" s="52">
        <f>+'01.09.68'!J87+'02.09.68'!J87+'03.09.68'!J87+'04.09.68'!J87+'05.09.68'!J87+'06.09.68'!J87+'07.09.68'!J87+'08.09.68'!J87+'09.09.68'!J87+'10.09.68'!J87+'11.09.68'!J87+'12.09.68'!J87+'13.09.68'!J87+'14.09.68'!J87+'15.09.68'!J87+'16.09.68'!J87+'17.09.68'!J87+'18.09.68'!J87+'19.09.68'!J87+'20.09.68'!J87+'21.09.68'!J87+'22.09.68'!J87+'23.09.68'!J87+'24.09.68'!J87+'25.09.68'!J87+'26.09.68'!J87+'27.09.68'!J87+'28.09.68'!J87+'29.09.68'!J87+'30.09.68'!J87</f>
        <v>0</v>
      </c>
      <c r="K87" s="52">
        <f>+'01.09.68'!K87+'02.09.68'!K87+'03.09.68'!K87+'04.09.68'!K87+'05.09.68'!K87+'06.09.68'!K87+'07.09.68'!K87+'08.09.68'!K87+'09.09.68'!K87+'10.09.68'!K87+'11.09.68'!K87+'12.09.68'!K87+'13.09.68'!K87+'14.09.68'!K87+'15.09.68'!K87+'16.09.68'!K87+'17.09.68'!K87+'18.09.68'!K87+'19.09.68'!K87+'20.09.68'!K87+'21.09.68'!K87+'22.09.68'!K87+'23.09.68'!K87+'24.09.68'!K87+'25.09.68'!K87+'26.09.68'!K87+'27.09.68'!K87+'28.09.68'!K87+'29.09.68'!K87+'30.09.68'!K87</f>
        <v>0</v>
      </c>
      <c r="L87" s="65">
        <f t="shared" si="10"/>
        <v>0</v>
      </c>
      <c r="M87" s="52">
        <f>+'01.09.68'!M87+'02.09.68'!M87+'03.09.68'!M87+'04.09.68'!M87+'05.09.68'!M87+'06.09.68'!M87+'07.09.68'!M87+'08.09.68'!M87+'09.09.68'!M87+'10.09.68'!M87+'11.09.68'!M87+'12.09.68'!M87+'13.09.68'!M87+'14.09.68'!M87+'15.09.68'!M87+'16.09.68'!M87+'17.09.68'!M87+'18.09.68'!M87+'19.09.68'!M87+'20.09.68'!M87+'21.09.68'!M87+'22.09.68'!M87+'23.09.68'!M87+'24.09.68'!M87+'25.09.68'!M87+'26.09.68'!M87+'27.09.68'!M87+'28.09.68'!M87+'29.09.68'!M87+'30.09.68'!M87</f>
        <v>0</v>
      </c>
      <c r="N87" s="52">
        <f>+'01.09.68'!N87+'02.09.68'!N87+'03.09.68'!N87+'04.09.68'!N87+'05.09.68'!N87+'06.09.68'!N87+'07.09.68'!N87+'08.09.68'!N87+'09.09.68'!N87+'10.09.68'!N87+'11.09.68'!N87+'12.09.68'!N87+'13.09.68'!N87+'14.09.68'!N87+'15.09.68'!N87+'16.09.68'!N87+'17.09.68'!N87+'18.09.68'!N87+'19.09.68'!N87+'20.09.68'!N87+'21.09.68'!N87+'22.09.68'!N87+'23.09.68'!N87+'24.09.68'!N87+'25.09.68'!N87+'26.09.68'!N87+'27.09.68'!N87+'28.09.68'!N87+'29.09.68'!N87+'30.09.68'!N87</f>
        <v>0</v>
      </c>
      <c r="O87" s="65">
        <f t="shared" si="11"/>
        <v>0</v>
      </c>
      <c r="P87" s="52">
        <f>+'01.09.68'!P87+'02.09.68'!P87+'03.09.68'!P87+'04.09.68'!P87+'05.09.68'!P87+'06.09.68'!P87+'07.09.68'!P87+'08.09.68'!P87+'09.09.68'!P87+'10.09.68'!P87+'11.09.68'!P87+'12.09.68'!P87+'13.09.68'!P87+'14.09.68'!P87+'15.09.68'!P87+'16.09.68'!P87+'17.09.68'!P87+'18.09.68'!P87+'19.09.68'!P87+'20.09.68'!P87+'21.09.68'!P87+'22.09.68'!P87+'23.09.68'!P87+'24.09.68'!P87+'25.09.68'!P87+'26.09.68'!P87+'27.09.68'!P87+'28.09.68'!P87+'29.09.68'!P87+'30.09.68'!P87</f>
        <v>0</v>
      </c>
      <c r="Q87" s="52">
        <f>+'01.09.68'!Q87+'02.09.68'!Q87+'03.09.68'!Q87+'04.09.68'!Q87+'05.09.68'!Q87+'06.09.68'!Q87+'07.09.68'!Q87+'08.09.68'!Q87+'09.09.68'!Q87+'10.09.68'!Q87+'11.09.68'!Q87+'12.09.68'!Q87+'13.09.68'!Q87+'14.09.68'!Q87+'15.09.68'!Q87+'16.09.68'!Q87+'17.09.68'!Q87+'18.09.68'!Q87+'19.09.68'!Q87+'20.09.68'!Q87+'21.09.68'!Q87+'22.09.68'!Q87+'23.09.68'!Q87+'24.09.68'!Q87+'25.09.68'!Q87+'26.09.68'!Q87+'27.09.68'!Q87+'28.09.68'!Q87+'29.09.68'!Q87+'30.09.68'!Q87</f>
        <v>0</v>
      </c>
      <c r="R87" s="65">
        <f t="shared" si="12"/>
        <v>0</v>
      </c>
      <c r="S87" s="52">
        <f>+'01.09.68'!S87+'02.09.68'!S87+'03.09.68'!S87+'04.09.68'!S87+'05.09.68'!S87+'06.09.68'!S87+'07.09.68'!S87+'08.09.68'!S87+'09.09.68'!S87+'10.09.68'!S87+'11.09.68'!S87+'12.09.68'!S87+'13.09.68'!S87+'14.09.68'!S87+'15.09.68'!S87+'16.09.68'!S87+'17.09.68'!S87+'18.09.68'!S87+'19.09.68'!S87+'20.09.68'!S87+'21.09.68'!S87+'22.09.68'!S87+'23.09.68'!S87+'24.09.68'!S87+'25.09.68'!S87+'26.09.68'!S87+'27.09.68'!S87+'28.09.68'!S87+'29.09.68'!S87+'30.09.68'!S87</f>
        <v>0</v>
      </c>
      <c r="T87" s="52">
        <f>+'01.09.68'!T87+'02.09.68'!T87+'03.09.68'!T87+'04.09.68'!T87+'05.09.68'!T87+'06.09.68'!T87+'07.09.68'!T87+'08.09.68'!T87+'09.09.68'!T87+'10.09.68'!T87+'11.09.68'!T87+'12.09.68'!T87+'13.09.68'!T87+'14.09.68'!T87+'15.09.68'!T87+'16.09.68'!T87+'17.09.68'!T87+'18.09.68'!T87+'19.09.68'!T87+'20.09.68'!T87+'21.09.68'!T87+'22.09.68'!T87+'23.09.68'!T87+'24.09.68'!T87+'25.09.68'!T87+'26.09.68'!T87+'27.09.68'!T87+'28.09.68'!T87+'29.09.68'!T87+'30.09.68'!T87</f>
        <v>0</v>
      </c>
      <c r="U87" s="65">
        <f t="shared" si="13"/>
        <v>0</v>
      </c>
      <c r="V87" s="52">
        <f>+'01.09.68'!V87+'02.09.68'!V87+'03.09.68'!V87+'04.09.68'!V87+'05.09.68'!V87+'06.09.68'!V87+'07.09.68'!V87+'08.09.68'!V87+'09.09.68'!V87+'10.09.68'!V87+'11.09.68'!V87+'12.09.68'!V87+'13.09.68'!V87+'14.09.68'!V87+'15.09.68'!V87+'16.09.68'!V87+'17.09.68'!V87+'18.09.68'!V87+'19.09.68'!V87+'20.09.68'!V87+'21.09.68'!V87+'22.09.68'!V87+'23.09.68'!V87+'24.09.68'!V87+'25.09.68'!V87+'26.09.68'!V87+'27.09.68'!V87+'28.09.68'!V87+'29.09.68'!V87+'30.09.68'!V87</f>
        <v>0</v>
      </c>
      <c r="W87" s="52">
        <f>+'01.09.68'!W87+'02.09.68'!W87+'03.09.68'!W87+'04.09.68'!W87+'05.09.68'!W87+'06.09.68'!W87+'07.09.68'!W87+'08.09.68'!W87+'09.09.68'!W87+'10.09.68'!W87+'11.09.68'!W87+'12.09.68'!W87+'13.09.68'!W87+'14.09.68'!W87+'15.09.68'!W87+'16.09.68'!W87+'17.09.68'!W87+'18.09.68'!W87+'19.09.68'!W87+'20.09.68'!W87+'21.09.68'!W87+'22.09.68'!W87+'23.09.68'!W87+'24.09.68'!W87+'25.09.68'!W87+'26.09.68'!W87+'27.09.68'!W87+'28.09.68'!W87+'29.09.68'!W87+'30.09.68'!W87</f>
        <v>0</v>
      </c>
      <c r="X87" s="65">
        <f t="shared" si="14"/>
        <v>0</v>
      </c>
      <c r="Y87" s="52">
        <f>+'01.09.68'!Y87+'02.09.68'!Y87+'03.09.68'!Y87+'04.09.68'!Y87+'05.09.68'!Y87+'06.09.68'!Y87+'07.09.68'!Y87+'08.09.68'!Y87+'09.09.68'!Y87+'10.09.68'!Y87+'11.09.68'!Y87+'12.09.68'!Y87+'13.09.68'!Y87+'14.09.68'!Y87+'15.09.68'!Y87+'16.09.68'!Y87+'17.09.68'!Y87+'18.09.68'!Y87+'19.09.68'!Y87+'20.09.68'!Y87+'21.09.68'!Y87+'22.09.68'!Y87+'23.09.68'!Y87+'24.09.68'!Y87+'25.09.68'!Y87+'26.09.68'!Y87+'27.09.68'!Y87+'28.09.68'!Y87+'29.09.68'!Y87+'30.09.68'!Y87</f>
        <v>0</v>
      </c>
      <c r="Z87" s="66">
        <f t="shared" si="15"/>
        <v>0</v>
      </c>
    </row>
    <row r="88" spans="2:26">
      <c r="B88" s="50"/>
      <c r="C88" s="53" t="s">
        <v>113</v>
      </c>
      <c r="D88" s="52">
        <f>+'01.09.68'!D88+'02.09.68'!D88+'03.09.68'!D88+'04.09.68'!D88+'05.09.68'!D88+'06.09.68'!D88+'07.09.68'!D88+'08.09.68'!D88+'09.09.68'!D88+'10.09.68'!D88+'11.09.68'!D88+'12.09.68'!D88+'13.09.68'!D88+'14.09.68'!D88+'15.09.68'!D88+'16.09.68'!D88+'17.09.68'!D88+'18.09.68'!D88+'19.09.68'!D88+'20.09.68'!D88+'21.09.68'!D88+'22.09.68'!D88+'23.09.68'!D88+'24.09.68'!D88+'25.09.68'!D88+'26.09.68'!D88+'27.09.68'!D88+'28.09.68'!D88+'29.09.68'!D88+'30.09.68'!D88</f>
        <v>0</v>
      </c>
      <c r="E88" s="52">
        <f>+'01.09.68'!E88+'02.09.68'!E88+'03.09.68'!E88+'04.09.68'!E88+'05.09.68'!E88+'06.09.68'!E88+'07.09.68'!E88+'08.09.68'!E88+'09.09.68'!E88+'10.09.68'!E88+'11.09.68'!E88+'12.09.68'!E88+'13.09.68'!E88+'14.09.68'!E88+'15.09.68'!E88+'16.09.68'!E88+'17.09.68'!E88+'18.09.68'!E88+'19.09.68'!E88+'20.09.68'!E88+'21.09.68'!E88+'22.09.68'!E88+'23.09.68'!E88+'24.09.68'!E88+'25.09.68'!E88+'26.09.68'!E88+'27.09.68'!E88+'28.09.68'!E88+'29.09.68'!E88+'30.09.68'!E88</f>
        <v>0</v>
      </c>
      <c r="F88" s="65">
        <f t="shared" si="8"/>
        <v>0</v>
      </c>
      <c r="G88" s="52">
        <f>+'01.09.68'!G88+'02.09.68'!G88+'03.09.68'!G88+'04.09.68'!G88+'05.09.68'!G88+'06.09.68'!G88+'07.09.68'!G88+'08.09.68'!G88+'09.09.68'!G88+'10.09.68'!G88+'11.09.68'!G88+'12.09.68'!G88+'13.09.68'!G88+'14.09.68'!G88+'15.09.68'!G88+'16.09.68'!G88+'17.09.68'!G88+'18.09.68'!G88+'19.09.68'!G88+'20.09.68'!G88+'21.09.68'!G88+'22.09.68'!G88+'23.09.68'!G88+'24.09.68'!G88+'25.09.68'!G88+'26.09.68'!G88+'27.09.68'!G88+'28.09.68'!G88+'29.09.68'!G88+'30.09.68'!G88</f>
        <v>0</v>
      </c>
      <c r="H88" s="52">
        <f>+'01.09.68'!H88+'02.09.68'!H88+'03.09.68'!H88+'04.09.68'!H88+'05.09.68'!H88+'06.09.68'!H88+'07.09.68'!H88+'08.09.68'!H88+'09.09.68'!H88+'10.09.68'!H88+'11.09.68'!H88+'12.09.68'!H88+'13.09.68'!H88+'14.09.68'!H88+'15.09.68'!H88+'16.09.68'!H88+'17.09.68'!H88+'18.09.68'!H88+'19.09.68'!H88+'20.09.68'!H88+'21.09.68'!H88+'22.09.68'!H88+'23.09.68'!H88+'24.09.68'!H88+'25.09.68'!H88+'26.09.68'!H88+'27.09.68'!H88+'28.09.68'!H88+'29.09.68'!H88+'30.09.68'!H88</f>
        <v>0</v>
      </c>
      <c r="I88" s="65">
        <f t="shared" si="9"/>
        <v>0</v>
      </c>
      <c r="J88" s="52">
        <f>+'01.09.68'!J88+'02.09.68'!J88+'03.09.68'!J88+'04.09.68'!J88+'05.09.68'!J88+'06.09.68'!J88+'07.09.68'!J88+'08.09.68'!J88+'09.09.68'!J88+'10.09.68'!J88+'11.09.68'!J88+'12.09.68'!J88+'13.09.68'!J88+'14.09.68'!J88+'15.09.68'!J88+'16.09.68'!J88+'17.09.68'!J88+'18.09.68'!J88+'19.09.68'!J88+'20.09.68'!J88+'21.09.68'!J88+'22.09.68'!J88+'23.09.68'!J88+'24.09.68'!J88+'25.09.68'!J88+'26.09.68'!J88+'27.09.68'!J88+'28.09.68'!J88+'29.09.68'!J88+'30.09.68'!J88</f>
        <v>0</v>
      </c>
      <c r="K88" s="52">
        <f>+'01.09.68'!K88+'02.09.68'!K88+'03.09.68'!K88+'04.09.68'!K88+'05.09.68'!K88+'06.09.68'!K88+'07.09.68'!K88+'08.09.68'!K88+'09.09.68'!K88+'10.09.68'!K88+'11.09.68'!K88+'12.09.68'!K88+'13.09.68'!K88+'14.09.68'!K88+'15.09.68'!K88+'16.09.68'!K88+'17.09.68'!K88+'18.09.68'!K88+'19.09.68'!K88+'20.09.68'!K88+'21.09.68'!K88+'22.09.68'!K88+'23.09.68'!K88+'24.09.68'!K88+'25.09.68'!K88+'26.09.68'!K88+'27.09.68'!K88+'28.09.68'!K88+'29.09.68'!K88+'30.09.68'!K88</f>
        <v>0</v>
      </c>
      <c r="L88" s="65">
        <f t="shared" si="10"/>
        <v>0</v>
      </c>
      <c r="M88" s="52">
        <f>+'01.09.68'!M88+'02.09.68'!M88+'03.09.68'!M88+'04.09.68'!M88+'05.09.68'!M88+'06.09.68'!M88+'07.09.68'!M88+'08.09.68'!M88+'09.09.68'!M88+'10.09.68'!M88+'11.09.68'!M88+'12.09.68'!M88+'13.09.68'!M88+'14.09.68'!M88+'15.09.68'!M88+'16.09.68'!M88+'17.09.68'!M88+'18.09.68'!M88+'19.09.68'!M88+'20.09.68'!M88+'21.09.68'!M88+'22.09.68'!M88+'23.09.68'!M88+'24.09.68'!M88+'25.09.68'!M88+'26.09.68'!M88+'27.09.68'!M88+'28.09.68'!M88+'29.09.68'!M88+'30.09.68'!M88</f>
        <v>0</v>
      </c>
      <c r="N88" s="52">
        <f>+'01.09.68'!N88+'02.09.68'!N88+'03.09.68'!N88+'04.09.68'!N88+'05.09.68'!N88+'06.09.68'!N88+'07.09.68'!N88+'08.09.68'!N88+'09.09.68'!N88+'10.09.68'!N88+'11.09.68'!N88+'12.09.68'!N88+'13.09.68'!N88+'14.09.68'!N88+'15.09.68'!N88+'16.09.68'!N88+'17.09.68'!N88+'18.09.68'!N88+'19.09.68'!N88+'20.09.68'!N88+'21.09.68'!N88+'22.09.68'!N88+'23.09.68'!N88+'24.09.68'!N88+'25.09.68'!N88+'26.09.68'!N88+'27.09.68'!N88+'28.09.68'!N88+'29.09.68'!N88+'30.09.68'!N88</f>
        <v>0</v>
      </c>
      <c r="O88" s="65">
        <f t="shared" si="11"/>
        <v>0</v>
      </c>
      <c r="P88" s="52">
        <f>+'01.09.68'!P88+'02.09.68'!P88+'03.09.68'!P88+'04.09.68'!P88+'05.09.68'!P88+'06.09.68'!P88+'07.09.68'!P88+'08.09.68'!P88+'09.09.68'!P88+'10.09.68'!P88+'11.09.68'!P88+'12.09.68'!P88+'13.09.68'!P88+'14.09.68'!P88+'15.09.68'!P88+'16.09.68'!P88+'17.09.68'!P88+'18.09.68'!P88+'19.09.68'!P88+'20.09.68'!P88+'21.09.68'!P88+'22.09.68'!P88+'23.09.68'!P88+'24.09.68'!P88+'25.09.68'!P88+'26.09.68'!P88+'27.09.68'!P88+'28.09.68'!P88+'29.09.68'!P88+'30.09.68'!P88</f>
        <v>0</v>
      </c>
      <c r="Q88" s="52">
        <f>+'01.09.68'!Q88+'02.09.68'!Q88+'03.09.68'!Q88+'04.09.68'!Q88+'05.09.68'!Q88+'06.09.68'!Q88+'07.09.68'!Q88+'08.09.68'!Q88+'09.09.68'!Q88+'10.09.68'!Q88+'11.09.68'!Q88+'12.09.68'!Q88+'13.09.68'!Q88+'14.09.68'!Q88+'15.09.68'!Q88+'16.09.68'!Q88+'17.09.68'!Q88+'18.09.68'!Q88+'19.09.68'!Q88+'20.09.68'!Q88+'21.09.68'!Q88+'22.09.68'!Q88+'23.09.68'!Q88+'24.09.68'!Q88+'25.09.68'!Q88+'26.09.68'!Q88+'27.09.68'!Q88+'28.09.68'!Q88+'29.09.68'!Q88+'30.09.68'!Q88</f>
        <v>0</v>
      </c>
      <c r="R88" s="65">
        <f t="shared" si="12"/>
        <v>0</v>
      </c>
      <c r="S88" s="52">
        <f>+'01.09.68'!S88+'02.09.68'!S88+'03.09.68'!S88+'04.09.68'!S88+'05.09.68'!S88+'06.09.68'!S88+'07.09.68'!S88+'08.09.68'!S88+'09.09.68'!S88+'10.09.68'!S88+'11.09.68'!S88+'12.09.68'!S88+'13.09.68'!S88+'14.09.68'!S88+'15.09.68'!S88+'16.09.68'!S88+'17.09.68'!S88+'18.09.68'!S88+'19.09.68'!S88+'20.09.68'!S88+'21.09.68'!S88+'22.09.68'!S88+'23.09.68'!S88+'24.09.68'!S88+'25.09.68'!S88+'26.09.68'!S88+'27.09.68'!S88+'28.09.68'!S88+'29.09.68'!S88+'30.09.68'!S88</f>
        <v>0</v>
      </c>
      <c r="T88" s="52">
        <f>+'01.09.68'!T88+'02.09.68'!T88+'03.09.68'!T88+'04.09.68'!T88+'05.09.68'!T88+'06.09.68'!T88+'07.09.68'!T88+'08.09.68'!T88+'09.09.68'!T88+'10.09.68'!T88+'11.09.68'!T88+'12.09.68'!T88+'13.09.68'!T88+'14.09.68'!T88+'15.09.68'!T88+'16.09.68'!T88+'17.09.68'!T88+'18.09.68'!T88+'19.09.68'!T88+'20.09.68'!T88+'21.09.68'!T88+'22.09.68'!T88+'23.09.68'!T88+'24.09.68'!T88+'25.09.68'!T88+'26.09.68'!T88+'27.09.68'!T88+'28.09.68'!T88+'29.09.68'!T88+'30.09.68'!T88</f>
        <v>0</v>
      </c>
      <c r="U88" s="65">
        <f t="shared" si="13"/>
        <v>0</v>
      </c>
      <c r="V88" s="52">
        <f>+'01.09.68'!V88+'02.09.68'!V88+'03.09.68'!V88+'04.09.68'!V88+'05.09.68'!V88+'06.09.68'!V88+'07.09.68'!V88+'08.09.68'!V88+'09.09.68'!V88+'10.09.68'!V88+'11.09.68'!V88+'12.09.68'!V88+'13.09.68'!V88+'14.09.68'!V88+'15.09.68'!V88+'16.09.68'!V88+'17.09.68'!V88+'18.09.68'!V88+'19.09.68'!V88+'20.09.68'!V88+'21.09.68'!V88+'22.09.68'!V88+'23.09.68'!V88+'24.09.68'!V88+'25.09.68'!V88+'26.09.68'!V88+'27.09.68'!V88+'28.09.68'!V88+'29.09.68'!V88+'30.09.68'!V88</f>
        <v>0</v>
      </c>
      <c r="W88" s="52">
        <f>+'01.09.68'!W88+'02.09.68'!W88+'03.09.68'!W88+'04.09.68'!W88+'05.09.68'!W88+'06.09.68'!W88+'07.09.68'!W88+'08.09.68'!W88+'09.09.68'!W88+'10.09.68'!W88+'11.09.68'!W88+'12.09.68'!W88+'13.09.68'!W88+'14.09.68'!W88+'15.09.68'!W88+'16.09.68'!W88+'17.09.68'!W88+'18.09.68'!W88+'19.09.68'!W88+'20.09.68'!W88+'21.09.68'!W88+'22.09.68'!W88+'23.09.68'!W88+'24.09.68'!W88+'25.09.68'!W88+'26.09.68'!W88+'27.09.68'!W88+'28.09.68'!W88+'29.09.68'!W88+'30.09.68'!W88</f>
        <v>0</v>
      </c>
      <c r="X88" s="65">
        <f t="shared" si="14"/>
        <v>0</v>
      </c>
      <c r="Y88" s="52">
        <f>+'01.09.68'!Y88+'02.09.68'!Y88+'03.09.68'!Y88+'04.09.68'!Y88+'05.09.68'!Y88+'06.09.68'!Y88+'07.09.68'!Y88+'08.09.68'!Y88+'09.09.68'!Y88+'10.09.68'!Y88+'11.09.68'!Y88+'12.09.68'!Y88+'13.09.68'!Y88+'14.09.68'!Y88+'15.09.68'!Y88+'16.09.68'!Y88+'17.09.68'!Y88+'18.09.68'!Y88+'19.09.68'!Y88+'20.09.68'!Y88+'21.09.68'!Y88+'22.09.68'!Y88+'23.09.68'!Y88+'24.09.68'!Y88+'25.09.68'!Y88+'26.09.68'!Y88+'27.09.68'!Y88+'28.09.68'!Y88+'29.09.68'!Y88+'30.09.68'!Y88</f>
        <v>0</v>
      </c>
      <c r="Z88" s="66">
        <f t="shared" si="15"/>
        <v>0</v>
      </c>
    </row>
    <row r="89" spans="2:26">
      <c r="B89" s="50">
        <v>1111092</v>
      </c>
      <c r="C89" s="53" t="s">
        <v>20</v>
      </c>
      <c r="D89" s="52">
        <f>+'01.09.68'!D89+'02.09.68'!D89+'03.09.68'!D89+'04.09.68'!D89+'05.09.68'!D89+'06.09.68'!D89+'07.09.68'!D89+'08.09.68'!D89+'09.09.68'!D89+'10.09.68'!D89+'11.09.68'!D89+'12.09.68'!D89+'13.09.68'!D89+'14.09.68'!D89+'15.09.68'!D89+'16.09.68'!D89+'17.09.68'!D89+'18.09.68'!D89+'19.09.68'!D89+'20.09.68'!D89+'21.09.68'!D89+'22.09.68'!D89+'23.09.68'!D89+'24.09.68'!D89+'25.09.68'!D89+'26.09.68'!D89+'27.09.68'!D89+'28.09.68'!D89+'29.09.68'!D89+'30.09.68'!D89</f>
        <v>0</v>
      </c>
      <c r="E89" s="52">
        <f>+'01.09.68'!E89+'02.09.68'!E89+'03.09.68'!E89+'04.09.68'!E89+'05.09.68'!E89+'06.09.68'!E89+'07.09.68'!E89+'08.09.68'!E89+'09.09.68'!E89+'10.09.68'!E89+'11.09.68'!E89+'12.09.68'!E89+'13.09.68'!E89+'14.09.68'!E89+'15.09.68'!E89+'16.09.68'!E89+'17.09.68'!E89+'18.09.68'!E89+'19.09.68'!E89+'20.09.68'!E89+'21.09.68'!E89+'22.09.68'!E89+'23.09.68'!E89+'24.09.68'!E89+'25.09.68'!E89+'26.09.68'!E89+'27.09.68'!E89+'28.09.68'!E89+'29.09.68'!E89+'30.09.68'!E89</f>
        <v>0</v>
      </c>
      <c r="F89" s="65">
        <f t="shared" si="8"/>
        <v>0</v>
      </c>
      <c r="G89" s="52">
        <f>+'01.09.68'!G89+'02.09.68'!G89+'03.09.68'!G89+'04.09.68'!G89+'05.09.68'!G89+'06.09.68'!G89+'07.09.68'!G89+'08.09.68'!G89+'09.09.68'!G89+'10.09.68'!G89+'11.09.68'!G89+'12.09.68'!G89+'13.09.68'!G89+'14.09.68'!G89+'15.09.68'!G89+'16.09.68'!G89+'17.09.68'!G89+'18.09.68'!G89+'19.09.68'!G89+'20.09.68'!G89+'21.09.68'!G89+'22.09.68'!G89+'23.09.68'!G89+'24.09.68'!G89+'25.09.68'!G89+'26.09.68'!G89+'27.09.68'!G89+'28.09.68'!G89+'29.09.68'!G89+'30.09.68'!G89</f>
        <v>0</v>
      </c>
      <c r="H89" s="52">
        <f>+'01.09.68'!H89+'02.09.68'!H89+'03.09.68'!H89+'04.09.68'!H89+'05.09.68'!H89+'06.09.68'!H89+'07.09.68'!H89+'08.09.68'!H89+'09.09.68'!H89+'10.09.68'!H89+'11.09.68'!H89+'12.09.68'!H89+'13.09.68'!H89+'14.09.68'!H89+'15.09.68'!H89+'16.09.68'!H89+'17.09.68'!H89+'18.09.68'!H89+'19.09.68'!H89+'20.09.68'!H89+'21.09.68'!H89+'22.09.68'!H89+'23.09.68'!H89+'24.09.68'!H89+'25.09.68'!H89+'26.09.68'!H89+'27.09.68'!H89+'28.09.68'!H89+'29.09.68'!H89+'30.09.68'!H89</f>
        <v>0</v>
      </c>
      <c r="I89" s="65">
        <f t="shared" si="9"/>
        <v>0</v>
      </c>
      <c r="J89" s="52">
        <f>+'01.09.68'!J89+'02.09.68'!J89+'03.09.68'!J89+'04.09.68'!J89+'05.09.68'!J89+'06.09.68'!J89+'07.09.68'!J89+'08.09.68'!J89+'09.09.68'!J89+'10.09.68'!J89+'11.09.68'!J89+'12.09.68'!J89+'13.09.68'!J89+'14.09.68'!J89+'15.09.68'!J89+'16.09.68'!J89+'17.09.68'!J89+'18.09.68'!J89+'19.09.68'!J89+'20.09.68'!J89+'21.09.68'!J89+'22.09.68'!J89+'23.09.68'!J89+'24.09.68'!J89+'25.09.68'!J89+'26.09.68'!J89+'27.09.68'!J89+'28.09.68'!J89+'29.09.68'!J89+'30.09.68'!J89</f>
        <v>0</v>
      </c>
      <c r="K89" s="52">
        <f>+'01.09.68'!K89+'02.09.68'!K89+'03.09.68'!K89+'04.09.68'!K89+'05.09.68'!K89+'06.09.68'!K89+'07.09.68'!K89+'08.09.68'!K89+'09.09.68'!K89+'10.09.68'!K89+'11.09.68'!K89+'12.09.68'!K89+'13.09.68'!K89+'14.09.68'!K89+'15.09.68'!K89+'16.09.68'!K89+'17.09.68'!K89+'18.09.68'!K89+'19.09.68'!K89+'20.09.68'!K89+'21.09.68'!K89+'22.09.68'!K89+'23.09.68'!K89+'24.09.68'!K89+'25.09.68'!K89+'26.09.68'!K89+'27.09.68'!K89+'28.09.68'!K89+'29.09.68'!K89+'30.09.68'!K89</f>
        <v>0</v>
      </c>
      <c r="L89" s="65">
        <f t="shared" si="10"/>
        <v>0</v>
      </c>
      <c r="M89" s="52">
        <f>+'01.09.68'!M89+'02.09.68'!M89+'03.09.68'!M89+'04.09.68'!M89+'05.09.68'!M89+'06.09.68'!M89+'07.09.68'!M89+'08.09.68'!M89+'09.09.68'!M89+'10.09.68'!M89+'11.09.68'!M89+'12.09.68'!M89+'13.09.68'!M89+'14.09.68'!M89+'15.09.68'!M89+'16.09.68'!M89+'17.09.68'!M89+'18.09.68'!M89+'19.09.68'!M89+'20.09.68'!M89+'21.09.68'!M89+'22.09.68'!M89+'23.09.68'!M89+'24.09.68'!M89+'25.09.68'!M89+'26.09.68'!M89+'27.09.68'!M89+'28.09.68'!M89+'29.09.68'!M89+'30.09.68'!M89</f>
        <v>0</v>
      </c>
      <c r="N89" s="52">
        <f>+'01.09.68'!N89+'02.09.68'!N89+'03.09.68'!N89+'04.09.68'!N89+'05.09.68'!N89+'06.09.68'!N89+'07.09.68'!N89+'08.09.68'!N89+'09.09.68'!N89+'10.09.68'!N89+'11.09.68'!N89+'12.09.68'!N89+'13.09.68'!N89+'14.09.68'!N89+'15.09.68'!N89+'16.09.68'!N89+'17.09.68'!N89+'18.09.68'!N89+'19.09.68'!N89+'20.09.68'!N89+'21.09.68'!N89+'22.09.68'!N89+'23.09.68'!N89+'24.09.68'!N89+'25.09.68'!N89+'26.09.68'!N89+'27.09.68'!N89+'28.09.68'!N89+'29.09.68'!N89+'30.09.68'!N89</f>
        <v>0</v>
      </c>
      <c r="O89" s="65">
        <f t="shared" si="11"/>
        <v>0</v>
      </c>
      <c r="P89" s="52">
        <f>+'01.09.68'!P89+'02.09.68'!P89+'03.09.68'!P89+'04.09.68'!P89+'05.09.68'!P89+'06.09.68'!P89+'07.09.68'!P89+'08.09.68'!P89+'09.09.68'!P89+'10.09.68'!P89+'11.09.68'!P89+'12.09.68'!P89+'13.09.68'!P89+'14.09.68'!P89+'15.09.68'!P89+'16.09.68'!P89+'17.09.68'!P89+'18.09.68'!P89+'19.09.68'!P89+'20.09.68'!P89+'21.09.68'!P89+'22.09.68'!P89+'23.09.68'!P89+'24.09.68'!P89+'25.09.68'!P89+'26.09.68'!P89+'27.09.68'!P89+'28.09.68'!P89+'29.09.68'!P89+'30.09.68'!P89</f>
        <v>0</v>
      </c>
      <c r="Q89" s="52">
        <f>+'01.09.68'!Q89+'02.09.68'!Q89+'03.09.68'!Q89+'04.09.68'!Q89+'05.09.68'!Q89+'06.09.68'!Q89+'07.09.68'!Q89+'08.09.68'!Q89+'09.09.68'!Q89+'10.09.68'!Q89+'11.09.68'!Q89+'12.09.68'!Q89+'13.09.68'!Q89+'14.09.68'!Q89+'15.09.68'!Q89+'16.09.68'!Q89+'17.09.68'!Q89+'18.09.68'!Q89+'19.09.68'!Q89+'20.09.68'!Q89+'21.09.68'!Q89+'22.09.68'!Q89+'23.09.68'!Q89+'24.09.68'!Q89+'25.09.68'!Q89+'26.09.68'!Q89+'27.09.68'!Q89+'28.09.68'!Q89+'29.09.68'!Q89+'30.09.68'!Q89</f>
        <v>0</v>
      </c>
      <c r="R89" s="65">
        <f t="shared" si="12"/>
        <v>0</v>
      </c>
      <c r="S89" s="52">
        <f>+'01.09.68'!S89+'02.09.68'!S89+'03.09.68'!S89+'04.09.68'!S89+'05.09.68'!S89+'06.09.68'!S89+'07.09.68'!S89+'08.09.68'!S89+'09.09.68'!S89+'10.09.68'!S89+'11.09.68'!S89+'12.09.68'!S89+'13.09.68'!S89+'14.09.68'!S89+'15.09.68'!S89+'16.09.68'!S89+'17.09.68'!S89+'18.09.68'!S89+'19.09.68'!S89+'20.09.68'!S89+'21.09.68'!S89+'22.09.68'!S89+'23.09.68'!S89+'24.09.68'!S89+'25.09.68'!S89+'26.09.68'!S89+'27.09.68'!S89+'28.09.68'!S89+'29.09.68'!S89+'30.09.68'!S89</f>
        <v>0</v>
      </c>
      <c r="T89" s="52">
        <f>+'01.09.68'!T89+'02.09.68'!T89+'03.09.68'!T89+'04.09.68'!T89+'05.09.68'!T89+'06.09.68'!T89+'07.09.68'!T89+'08.09.68'!T89+'09.09.68'!T89+'10.09.68'!T89+'11.09.68'!T89+'12.09.68'!T89+'13.09.68'!T89+'14.09.68'!T89+'15.09.68'!T89+'16.09.68'!T89+'17.09.68'!T89+'18.09.68'!T89+'19.09.68'!T89+'20.09.68'!T89+'21.09.68'!T89+'22.09.68'!T89+'23.09.68'!T89+'24.09.68'!T89+'25.09.68'!T89+'26.09.68'!T89+'27.09.68'!T89+'28.09.68'!T89+'29.09.68'!T89+'30.09.68'!T89</f>
        <v>0</v>
      </c>
      <c r="U89" s="65">
        <f t="shared" si="13"/>
        <v>0</v>
      </c>
      <c r="V89" s="52">
        <f>+'01.09.68'!V89+'02.09.68'!V89+'03.09.68'!V89+'04.09.68'!V89+'05.09.68'!V89+'06.09.68'!V89+'07.09.68'!V89+'08.09.68'!V89+'09.09.68'!V89+'10.09.68'!V89+'11.09.68'!V89+'12.09.68'!V89+'13.09.68'!V89+'14.09.68'!V89+'15.09.68'!V89+'16.09.68'!V89+'17.09.68'!V89+'18.09.68'!V89+'19.09.68'!V89+'20.09.68'!V89+'21.09.68'!V89+'22.09.68'!V89+'23.09.68'!V89+'24.09.68'!V89+'25.09.68'!V89+'26.09.68'!V89+'27.09.68'!V89+'28.09.68'!V89+'29.09.68'!V89+'30.09.68'!V89</f>
        <v>0</v>
      </c>
      <c r="W89" s="52">
        <f>+'01.09.68'!W89+'02.09.68'!W89+'03.09.68'!W89+'04.09.68'!W89+'05.09.68'!W89+'06.09.68'!W89+'07.09.68'!W89+'08.09.68'!W89+'09.09.68'!W89+'10.09.68'!W89+'11.09.68'!W89+'12.09.68'!W89+'13.09.68'!W89+'14.09.68'!W89+'15.09.68'!W89+'16.09.68'!W89+'17.09.68'!W89+'18.09.68'!W89+'19.09.68'!W89+'20.09.68'!W89+'21.09.68'!W89+'22.09.68'!W89+'23.09.68'!W89+'24.09.68'!W89+'25.09.68'!W89+'26.09.68'!W89+'27.09.68'!W89+'28.09.68'!W89+'29.09.68'!W89+'30.09.68'!W89</f>
        <v>0</v>
      </c>
      <c r="X89" s="65">
        <f t="shared" si="14"/>
        <v>0</v>
      </c>
      <c r="Y89" s="52">
        <f>+'01.09.68'!Y89+'02.09.68'!Y89+'03.09.68'!Y89+'04.09.68'!Y89+'05.09.68'!Y89+'06.09.68'!Y89+'07.09.68'!Y89+'08.09.68'!Y89+'09.09.68'!Y89+'10.09.68'!Y89+'11.09.68'!Y89+'12.09.68'!Y89+'13.09.68'!Y89+'14.09.68'!Y89+'15.09.68'!Y89+'16.09.68'!Y89+'17.09.68'!Y89+'18.09.68'!Y89+'19.09.68'!Y89+'20.09.68'!Y89+'21.09.68'!Y89+'22.09.68'!Y89+'23.09.68'!Y89+'24.09.68'!Y89+'25.09.68'!Y89+'26.09.68'!Y89+'27.09.68'!Y89+'28.09.68'!Y89+'29.09.68'!Y89+'30.09.68'!Y89</f>
        <v>0</v>
      </c>
      <c r="Z89" s="66">
        <f t="shared" si="15"/>
        <v>0</v>
      </c>
    </row>
    <row r="90" spans="2:26">
      <c r="B90" s="50">
        <v>1111093</v>
      </c>
      <c r="C90" s="53" t="s">
        <v>21</v>
      </c>
      <c r="D90" s="52">
        <f>+'01.09.68'!D90+'02.09.68'!D90+'03.09.68'!D90+'04.09.68'!D90+'05.09.68'!D90+'06.09.68'!D90+'07.09.68'!D90+'08.09.68'!D90+'09.09.68'!D90+'10.09.68'!D90+'11.09.68'!D90+'12.09.68'!D90+'13.09.68'!D90+'14.09.68'!D90+'15.09.68'!D90+'16.09.68'!D90+'17.09.68'!D90+'18.09.68'!D90+'19.09.68'!D90+'20.09.68'!D90+'21.09.68'!D90+'22.09.68'!D90+'23.09.68'!D90+'24.09.68'!D90+'25.09.68'!D90+'26.09.68'!D90+'27.09.68'!D90+'28.09.68'!D90+'29.09.68'!D90+'30.09.68'!D90</f>
        <v>0</v>
      </c>
      <c r="E90" s="52">
        <f>+'01.09.68'!E90+'02.09.68'!E90+'03.09.68'!E90+'04.09.68'!E90+'05.09.68'!E90+'06.09.68'!E90+'07.09.68'!E90+'08.09.68'!E90+'09.09.68'!E90+'10.09.68'!E90+'11.09.68'!E90+'12.09.68'!E90+'13.09.68'!E90+'14.09.68'!E90+'15.09.68'!E90+'16.09.68'!E90+'17.09.68'!E90+'18.09.68'!E90+'19.09.68'!E90+'20.09.68'!E90+'21.09.68'!E90+'22.09.68'!E90+'23.09.68'!E90+'24.09.68'!E90+'25.09.68'!E90+'26.09.68'!E90+'27.09.68'!E90+'28.09.68'!E90+'29.09.68'!E90+'30.09.68'!E90</f>
        <v>0</v>
      </c>
      <c r="F90" s="65">
        <f t="shared" si="8"/>
        <v>0</v>
      </c>
      <c r="G90" s="52">
        <f>+'01.09.68'!G90+'02.09.68'!G90+'03.09.68'!G90+'04.09.68'!G90+'05.09.68'!G90+'06.09.68'!G90+'07.09.68'!G90+'08.09.68'!G90+'09.09.68'!G90+'10.09.68'!G90+'11.09.68'!G90+'12.09.68'!G90+'13.09.68'!G90+'14.09.68'!G90+'15.09.68'!G90+'16.09.68'!G90+'17.09.68'!G90+'18.09.68'!G90+'19.09.68'!G90+'20.09.68'!G90+'21.09.68'!G90+'22.09.68'!G90+'23.09.68'!G90+'24.09.68'!G90+'25.09.68'!G90+'26.09.68'!G90+'27.09.68'!G90+'28.09.68'!G90+'29.09.68'!G90+'30.09.68'!G90</f>
        <v>0</v>
      </c>
      <c r="H90" s="52">
        <f>+'01.09.68'!H90+'02.09.68'!H90+'03.09.68'!H90+'04.09.68'!H90+'05.09.68'!H90+'06.09.68'!H90+'07.09.68'!H90+'08.09.68'!H90+'09.09.68'!H90+'10.09.68'!H90+'11.09.68'!H90+'12.09.68'!H90+'13.09.68'!H90+'14.09.68'!H90+'15.09.68'!H90+'16.09.68'!H90+'17.09.68'!H90+'18.09.68'!H90+'19.09.68'!H90+'20.09.68'!H90+'21.09.68'!H90+'22.09.68'!H90+'23.09.68'!H90+'24.09.68'!H90+'25.09.68'!H90+'26.09.68'!H90+'27.09.68'!H90+'28.09.68'!H90+'29.09.68'!H90+'30.09.68'!H90</f>
        <v>0</v>
      </c>
      <c r="I90" s="65">
        <f t="shared" si="9"/>
        <v>0</v>
      </c>
      <c r="J90" s="52">
        <f>+'01.09.68'!J90+'02.09.68'!J90+'03.09.68'!J90+'04.09.68'!J90+'05.09.68'!J90+'06.09.68'!J90+'07.09.68'!J90+'08.09.68'!J90+'09.09.68'!J90+'10.09.68'!J90+'11.09.68'!J90+'12.09.68'!J90+'13.09.68'!J90+'14.09.68'!J90+'15.09.68'!J90+'16.09.68'!J90+'17.09.68'!J90+'18.09.68'!J90+'19.09.68'!J90+'20.09.68'!J90+'21.09.68'!J90+'22.09.68'!J90+'23.09.68'!J90+'24.09.68'!J90+'25.09.68'!J90+'26.09.68'!J90+'27.09.68'!J90+'28.09.68'!J90+'29.09.68'!J90+'30.09.68'!J90</f>
        <v>0</v>
      </c>
      <c r="K90" s="52">
        <f>+'01.09.68'!K90+'02.09.68'!K90+'03.09.68'!K90+'04.09.68'!K90+'05.09.68'!K90+'06.09.68'!K90+'07.09.68'!K90+'08.09.68'!K90+'09.09.68'!K90+'10.09.68'!K90+'11.09.68'!K90+'12.09.68'!K90+'13.09.68'!K90+'14.09.68'!K90+'15.09.68'!K90+'16.09.68'!K90+'17.09.68'!K90+'18.09.68'!K90+'19.09.68'!K90+'20.09.68'!K90+'21.09.68'!K90+'22.09.68'!K90+'23.09.68'!K90+'24.09.68'!K90+'25.09.68'!K90+'26.09.68'!K90+'27.09.68'!K90+'28.09.68'!K90+'29.09.68'!K90+'30.09.68'!K90</f>
        <v>0</v>
      </c>
      <c r="L90" s="65">
        <f t="shared" si="10"/>
        <v>0</v>
      </c>
      <c r="M90" s="52">
        <f>+'01.09.68'!M90+'02.09.68'!M90+'03.09.68'!M90+'04.09.68'!M90+'05.09.68'!M90+'06.09.68'!M90+'07.09.68'!M90+'08.09.68'!M90+'09.09.68'!M90+'10.09.68'!M90+'11.09.68'!M90+'12.09.68'!M90+'13.09.68'!M90+'14.09.68'!M90+'15.09.68'!M90+'16.09.68'!M90+'17.09.68'!M90+'18.09.68'!M90+'19.09.68'!M90+'20.09.68'!M90+'21.09.68'!M90+'22.09.68'!M90+'23.09.68'!M90+'24.09.68'!M90+'25.09.68'!M90+'26.09.68'!M90+'27.09.68'!M90+'28.09.68'!M90+'29.09.68'!M90+'30.09.68'!M90</f>
        <v>0</v>
      </c>
      <c r="N90" s="52">
        <f>+'01.09.68'!N90+'02.09.68'!N90+'03.09.68'!N90+'04.09.68'!N90+'05.09.68'!N90+'06.09.68'!N90+'07.09.68'!N90+'08.09.68'!N90+'09.09.68'!N90+'10.09.68'!N90+'11.09.68'!N90+'12.09.68'!N90+'13.09.68'!N90+'14.09.68'!N90+'15.09.68'!N90+'16.09.68'!N90+'17.09.68'!N90+'18.09.68'!N90+'19.09.68'!N90+'20.09.68'!N90+'21.09.68'!N90+'22.09.68'!N90+'23.09.68'!N90+'24.09.68'!N90+'25.09.68'!N90+'26.09.68'!N90+'27.09.68'!N90+'28.09.68'!N90+'29.09.68'!N90+'30.09.68'!N90</f>
        <v>0</v>
      </c>
      <c r="O90" s="65">
        <f t="shared" si="11"/>
        <v>0</v>
      </c>
      <c r="P90" s="52">
        <f>+'01.09.68'!P90+'02.09.68'!P90+'03.09.68'!P90+'04.09.68'!P90+'05.09.68'!P90+'06.09.68'!P90+'07.09.68'!P90+'08.09.68'!P90+'09.09.68'!P90+'10.09.68'!P90+'11.09.68'!P90+'12.09.68'!P90+'13.09.68'!P90+'14.09.68'!P90+'15.09.68'!P90+'16.09.68'!P90+'17.09.68'!P90+'18.09.68'!P90+'19.09.68'!P90+'20.09.68'!P90+'21.09.68'!P90+'22.09.68'!P90+'23.09.68'!P90+'24.09.68'!P90+'25.09.68'!P90+'26.09.68'!P90+'27.09.68'!P90+'28.09.68'!P90+'29.09.68'!P90+'30.09.68'!P90</f>
        <v>0</v>
      </c>
      <c r="Q90" s="52">
        <f>+'01.09.68'!Q90+'02.09.68'!Q90+'03.09.68'!Q90+'04.09.68'!Q90+'05.09.68'!Q90+'06.09.68'!Q90+'07.09.68'!Q90+'08.09.68'!Q90+'09.09.68'!Q90+'10.09.68'!Q90+'11.09.68'!Q90+'12.09.68'!Q90+'13.09.68'!Q90+'14.09.68'!Q90+'15.09.68'!Q90+'16.09.68'!Q90+'17.09.68'!Q90+'18.09.68'!Q90+'19.09.68'!Q90+'20.09.68'!Q90+'21.09.68'!Q90+'22.09.68'!Q90+'23.09.68'!Q90+'24.09.68'!Q90+'25.09.68'!Q90+'26.09.68'!Q90+'27.09.68'!Q90+'28.09.68'!Q90+'29.09.68'!Q90+'30.09.68'!Q90</f>
        <v>0</v>
      </c>
      <c r="R90" s="65">
        <f t="shared" si="12"/>
        <v>0</v>
      </c>
      <c r="S90" s="52">
        <f>+'01.09.68'!S90+'02.09.68'!S90+'03.09.68'!S90+'04.09.68'!S90+'05.09.68'!S90+'06.09.68'!S90+'07.09.68'!S90+'08.09.68'!S90+'09.09.68'!S90+'10.09.68'!S90+'11.09.68'!S90+'12.09.68'!S90+'13.09.68'!S90+'14.09.68'!S90+'15.09.68'!S90+'16.09.68'!S90+'17.09.68'!S90+'18.09.68'!S90+'19.09.68'!S90+'20.09.68'!S90+'21.09.68'!S90+'22.09.68'!S90+'23.09.68'!S90+'24.09.68'!S90+'25.09.68'!S90+'26.09.68'!S90+'27.09.68'!S90+'28.09.68'!S90+'29.09.68'!S90+'30.09.68'!S90</f>
        <v>0</v>
      </c>
      <c r="T90" s="52">
        <f>+'01.09.68'!T90+'02.09.68'!T90+'03.09.68'!T90+'04.09.68'!T90+'05.09.68'!T90+'06.09.68'!T90+'07.09.68'!T90+'08.09.68'!T90+'09.09.68'!T90+'10.09.68'!T90+'11.09.68'!T90+'12.09.68'!T90+'13.09.68'!T90+'14.09.68'!T90+'15.09.68'!T90+'16.09.68'!T90+'17.09.68'!T90+'18.09.68'!T90+'19.09.68'!T90+'20.09.68'!T90+'21.09.68'!T90+'22.09.68'!T90+'23.09.68'!T90+'24.09.68'!T90+'25.09.68'!T90+'26.09.68'!T90+'27.09.68'!T90+'28.09.68'!T90+'29.09.68'!T90+'30.09.68'!T90</f>
        <v>0</v>
      </c>
      <c r="U90" s="65">
        <f t="shared" si="13"/>
        <v>0</v>
      </c>
      <c r="V90" s="52">
        <f>+'01.09.68'!V90+'02.09.68'!V90+'03.09.68'!V90+'04.09.68'!V90+'05.09.68'!V90+'06.09.68'!V90+'07.09.68'!V90+'08.09.68'!V90+'09.09.68'!V90+'10.09.68'!V90+'11.09.68'!V90+'12.09.68'!V90+'13.09.68'!V90+'14.09.68'!V90+'15.09.68'!V90+'16.09.68'!V90+'17.09.68'!V90+'18.09.68'!V90+'19.09.68'!V90+'20.09.68'!V90+'21.09.68'!V90+'22.09.68'!V90+'23.09.68'!V90+'24.09.68'!V90+'25.09.68'!V90+'26.09.68'!V90+'27.09.68'!V90+'28.09.68'!V90+'29.09.68'!V90+'30.09.68'!V90</f>
        <v>0</v>
      </c>
      <c r="W90" s="52">
        <f>+'01.09.68'!W90+'02.09.68'!W90+'03.09.68'!W90+'04.09.68'!W90+'05.09.68'!W90+'06.09.68'!W90+'07.09.68'!W90+'08.09.68'!W90+'09.09.68'!W90+'10.09.68'!W90+'11.09.68'!W90+'12.09.68'!W90+'13.09.68'!W90+'14.09.68'!W90+'15.09.68'!W90+'16.09.68'!W90+'17.09.68'!W90+'18.09.68'!W90+'19.09.68'!W90+'20.09.68'!W90+'21.09.68'!W90+'22.09.68'!W90+'23.09.68'!W90+'24.09.68'!W90+'25.09.68'!W90+'26.09.68'!W90+'27.09.68'!W90+'28.09.68'!W90+'29.09.68'!W90+'30.09.68'!W90</f>
        <v>0</v>
      </c>
      <c r="X90" s="65">
        <f t="shared" si="14"/>
        <v>0</v>
      </c>
      <c r="Y90" s="52">
        <f>+'01.09.68'!Y90+'02.09.68'!Y90+'03.09.68'!Y90+'04.09.68'!Y90+'05.09.68'!Y90+'06.09.68'!Y90+'07.09.68'!Y90+'08.09.68'!Y90+'09.09.68'!Y90+'10.09.68'!Y90+'11.09.68'!Y90+'12.09.68'!Y90+'13.09.68'!Y90+'14.09.68'!Y90+'15.09.68'!Y90+'16.09.68'!Y90+'17.09.68'!Y90+'18.09.68'!Y90+'19.09.68'!Y90+'20.09.68'!Y90+'21.09.68'!Y90+'22.09.68'!Y90+'23.09.68'!Y90+'24.09.68'!Y90+'25.09.68'!Y90+'26.09.68'!Y90+'27.09.68'!Y90+'28.09.68'!Y90+'29.09.68'!Y90+'30.09.68'!Y90</f>
        <v>0</v>
      </c>
      <c r="Z90" s="66">
        <f t="shared" si="15"/>
        <v>0</v>
      </c>
    </row>
    <row r="91" spans="2:26">
      <c r="B91" s="50">
        <v>1111088</v>
      </c>
      <c r="C91" s="53" t="s">
        <v>16</v>
      </c>
      <c r="D91" s="52">
        <f>+'01.09.68'!D91+'02.09.68'!D91+'03.09.68'!D91+'04.09.68'!D91+'05.09.68'!D91+'06.09.68'!D91+'07.09.68'!D91+'08.09.68'!D91+'09.09.68'!D91+'10.09.68'!D91+'11.09.68'!D91+'12.09.68'!D91+'13.09.68'!D91+'14.09.68'!D91+'15.09.68'!D91+'16.09.68'!D91+'17.09.68'!D91+'18.09.68'!D91+'19.09.68'!D91+'20.09.68'!D91+'21.09.68'!D91+'22.09.68'!D91+'23.09.68'!D91+'24.09.68'!D91+'25.09.68'!D91+'26.09.68'!D91+'27.09.68'!D91+'28.09.68'!D91+'29.09.68'!D91+'30.09.68'!D91</f>
        <v>0</v>
      </c>
      <c r="E91" s="52">
        <f>+'01.09.68'!E91+'02.09.68'!E91+'03.09.68'!E91+'04.09.68'!E91+'05.09.68'!E91+'06.09.68'!E91+'07.09.68'!E91+'08.09.68'!E91+'09.09.68'!E91+'10.09.68'!E91+'11.09.68'!E91+'12.09.68'!E91+'13.09.68'!E91+'14.09.68'!E91+'15.09.68'!E91+'16.09.68'!E91+'17.09.68'!E91+'18.09.68'!E91+'19.09.68'!E91+'20.09.68'!E91+'21.09.68'!E91+'22.09.68'!E91+'23.09.68'!E91+'24.09.68'!E91+'25.09.68'!E91+'26.09.68'!E91+'27.09.68'!E91+'28.09.68'!E91+'29.09.68'!E91+'30.09.68'!E91</f>
        <v>0</v>
      </c>
      <c r="F91" s="65">
        <f t="shared" si="8"/>
        <v>0</v>
      </c>
      <c r="G91" s="52">
        <f>+'01.09.68'!G91+'02.09.68'!G91+'03.09.68'!G91+'04.09.68'!G91+'05.09.68'!G91+'06.09.68'!G91+'07.09.68'!G91+'08.09.68'!G91+'09.09.68'!G91+'10.09.68'!G91+'11.09.68'!G91+'12.09.68'!G91+'13.09.68'!G91+'14.09.68'!G91+'15.09.68'!G91+'16.09.68'!G91+'17.09.68'!G91+'18.09.68'!G91+'19.09.68'!G91+'20.09.68'!G91+'21.09.68'!G91+'22.09.68'!G91+'23.09.68'!G91+'24.09.68'!G91+'25.09.68'!G91+'26.09.68'!G91+'27.09.68'!G91+'28.09.68'!G91+'29.09.68'!G91+'30.09.68'!G91</f>
        <v>0</v>
      </c>
      <c r="H91" s="52">
        <f>+'01.09.68'!H91+'02.09.68'!H91+'03.09.68'!H91+'04.09.68'!H91+'05.09.68'!H91+'06.09.68'!H91+'07.09.68'!H91+'08.09.68'!H91+'09.09.68'!H91+'10.09.68'!H91+'11.09.68'!H91+'12.09.68'!H91+'13.09.68'!H91+'14.09.68'!H91+'15.09.68'!H91+'16.09.68'!H91+'17.09.68'!H91+'18.09.68'!H91+'19.09.68'!H91+'20.09.68'!H91+'21.09.68'!H91+'22.09.68'!H91+'23.09.68'!H91+'24.09.68'!H91+'25.09.68'!H91+'26.09.68'!H91+'27.09.68'!H91+'28.09.68'!H91+'29.09.68'!H91+'30.09.68'!H91</f>
        <v>0</v>
      </c>
      <c r="I91" s="65">
        <f t="shared" si="9"/>
        <v>0</v>
      </c>
      <c r="J91" s="52">
        <f>+'01.09.68'!J91+'02.09.68'!J91+'03.09.68'!J91+'04.09.68'!J91+'05.09.68'!J91+'06.09.68'!J91+'07.09.68'!J91+'08.09.68'!J91+'09.09.68'!J91+'10.09.68'!J91+'11.09.68'!J91+'12.09.68'!J91+'13.09.68'!J91+'14.09.68'!J91+'15.09.68'!J91+'16.09.68'!J91+'17.09.68'!J91+'18.09.68'!J91+'19.09.68'!J91+'20.09.68'!J91+'21.09.68'!J91+'22.09.68'!J91+'23.09.68'!J91+'24.09.68'!J91+'25.09.68'!J91+'26.09.68'!J91+'27.09.68'!J91+'28.09.68'!J91+'29.09.68'!J91+'30.09.68'!J91</f>
        <v>0</v>
      </c>
      <c r="K91" s="52">
        <f>+'01.09.68'!K91+'02.09.68'!K91+'03.09.68'!K91+'04.09.68'!K91+'05.09.68'!K91+'06.09.68'!K91+'07.09.68'!K91+'08.09.68'!K91+'09.09.68'!K91+'10.09.68'!K91+'11.09.68'!K91+'12.09.68'!K91+'13.09.68'!K91+'14.09.68'!K91+'15.09.68'!K91+'16.09.68'!K91+'17.09.68'!K91+'18.09.68'!K91+'19.09.68'!K91+'20.09.68'!K91+'21.09.68'!K91+'22.09.68'!K91+'23.09.68'!K91+'24.09.68'!K91+'25.09.68'!K91+'26.09.68'!K91+'27.09.68'!K91+'28.09.68'!K91+'29.09.68'!K91+'30.09.68'!K91</f>
        <v>0</v>
      </c>
      <c r="L91" s="65">
        <f t="shared" si="10"/>
        <v>0</v>
      </c>
      <c r="M91" s="52">
        <f>+'01.09.68'!M91+'02.09.68'!M91+'03.09.68'!M91+'04.09.68'!M91+'05.09.68'!M91+'06.09.68'!M91+'07.09.68'!M91+'08.09.68'!M91+'09.09.68'!M91+'10.09.68'!M91+'11.09.68'!M91+'12.09.68'!M91+'13.09.68'!M91+'14.09.68'!M91+'15.09.68'!M91+'16.09.68'!M91+'17.09.68'!M91+'18.09.68'!M91+'19.09.68'!M91+'20.09.68'!M91+'21.09.68'!M91+'22.09.68'!M91+'23.09.68'!M91+'24.09.68'!M91+'25.09.68'!M91+'26.09.68'!M91+'27.09.68'!M91+'28.09.68'!M91+'29.09.68'!M91+'30.09.68'!M91</f>
        <v>0</v>
      </c>
      <c r="N91" s="52">
        <f>+'01.09.68'!N91+'02.09.68'!N91+'03.09.68'!N91+'04.09.68'!N91+'05.09.68'!N91+'06.09.68'!N91+'07.09.68'!N91+'08.09.68'!N91+'09.09.68'!N91+'10.09.68'!N91+'11.09.68'!N91+'12.09.68'!N91+'13.09.68'!N91+'14.09.68'!N91+'15.09.68'!N91+'16.09.68'!N91+'17.09.68'!N91+'18.09.68'!N91+'19.09.68'!N91+'20.09.68'!N91+'21.09.68'!N91+'22.09.68'!N91+'23.09.68'!N91+'24.09.68'!N91+'25.09.68'!N91+'26.09.68'!N91+'27.09.68'!N91+'28.09.68'!N91+'29.09.68'!N91+'30.09.68'!N91</f>
        <v>0</v>
      </c>
      <c r="O91" s="65">
        <f t="shared" si="11"/>
        <v>0</v>
      </c>
      <c r="P91" s="52">
        <f>+'01.09.68'!P91+'02.09.68'!P91+'03.09.68'!P91+'04.09.68'!P91+'05.09.68'!P91+'06.09.68'!P91+'07.09.68'!P91+'08.09.68'!P91+'09.09.68'!P91+'10.09.68'!P91+'11.09.68'!P91+'12.09.68'!P91+'13.09.68'!P91+'14.09.68'!P91+'15.09.68'!P91+'16.09.68'!P91+'17.09.68'!P91+'18.09.68'!P91+'19.09.68'!P91+'20.09.68'!P91+'21.09.68'!P91+'22.09.68'!P91+'23.09.68'!P91+'24.09.68'!P91+'25.09.68'!P91+'26.09.68'!P91+'27.09.68'!P91+'28.09.68'!P91+'29.09.68'!P91+'30.09.68'!P91</f>
        <v>0</v>
      </c>
      <c r="Q91" s="52">
        <f>+'01.09.68'!Q91+'02.09.68'!Q91+'03.09.68'!Q91+'04.09.68'!Q91+'05.09.68'!Q91+'06.09.68'!Q91+'07.09.68'!Q91+'08.09.68'!Q91+'09.09.68'!Q91+'10.09.68'!Q91+'11.09.68'!Q91+'12.09.68'!Q91+'13.09.68'!Q91+'14.09.68'!Q91+'15.09.68'!Q91+'16.09.68'!Q91+'17.09.68'!Q91+'18.09.68'!Q91+'19.09.68'!Q91+'20.09.68'!Q91+'21.09.68'!Q91+'22.09.68'!Q91+'23.09.68'!Q91+'24.09.68'!Q91+'25.09.68'!Q91+'26.09.68'!Q91+'27.09.68'!Q91+'28.09.68'!Q91+'29.09.68'!Q91+'30.09.68'!Q91</f>
        <v>0</v>
      </c>
      <c r="R91" s="65">
        <f t="shared" si="12"/>
        <v>0</v>
      </c>
      <c r="S91" s="52">
        <f>+'01.09.68'!S91+'02.09.68'!S91+'03.09.68'!S91+'04.09.68'!S91+'05.09.68'!S91+'06.09.68'!S91+'07.09.68'!S91+'08.09.68'!S91+'09.09.68'!S91+'10.09.68'!S91+'11.09.68'!S91+'12.09.68'!S91+'13.09.68'!S91+'14.09.68'!S91+'15.09.68'!S91+'16.09.68'!S91+'17.09.68'!S91+'18.09.68'!S91+'19.09.68'!S91+'20.09.68'!S91+'21.09.68'!S91+'22.09.68'!S91+'23.09.68'!S91+'24.09.68'!S91+'25.09.68'!S91+'26.09.68'!S91+'27.09.68'!S91+'28.09.68'!S91+'29.09.68'!S91+'30.09.68'!S91</f>
        <v>0</v>
      </c>
      <c r="T91" s="52">
        <f>+'01.09.68'!T91+'02.09.68'!T91+'03.09.68'!T91+'04.09.68'!T91+'05.09.68'!T91+'06.09.68'!T91+'07.09.68'!T91+'08.09.68'!T91+'09.09.68'!T91+'10.09.68'!T91+'11.09.68'!T91+'12.09.68'!T91+'13.09.68'!T91+'14.09.68'!T91+'15.09.68'!T91+'16.09.68'!T91+'17.09.68'!T91+'18.09.68'!T91+'19.09.68'!T91+'20.09.68'!T91+'21.09.68'!T91+'22.09.68'!T91+'23.09.68'!T91+'24.09.68'!T91+'25.09.68'!T91+'26.09.68'!T91+'27.09.68'!T91+'28.09.68'!T91+'29.09.68'!T91+'30.09.68'!T91</f>
        <v>0</v>
      </c>
      <c r="U91" s="65">
        <f t="shared" si="13"/>
        <v>0</v>
      </c>
      <c r="V91" s="52">
        <f>+'01.09.68'!V91+'02.09.68'!V91+'03.09.68'!V91+'04.09.68'!V91+'05.09.68'!V91+'06.09.68'!V91+'07.09.68'!V91+'08.09.68'!V91+'09.09.68'!V91+'10.09.68'!V91+'11.09.68'!V91+'12.09.68'!V91+'13.09.68'!V91+'14.09.68'!V91+'15.09.68'!V91+'16.09.68'!V91+'17.09.68'!V91+'18.09.68'!V91+'19.09.68'!V91+'20.09.68'!V91+'21.09.68'!V91+'22.09.68'!V91+'23.09.68'!V91+'24.09.68'!V91+'25.09.68'!V91+'26.09.68'!V91+'27.09.68'!V91+'28.09.68'!V91+'29.09.68'!V91+'30.09.68'!V91</f>
        <v>0</v>
      </c>
      <c r="W91" s="52">
        <f>+'01.09.68'!W91+'02.09.68'!W91+'03.09.68'!W91+'04.09.68'!W91+'05.09.68'!W91+'06.09.68'!W91+'07.09.68'!W91+'08.09.68'!W91+'09.09.68'!W91+'10.09.68'!W91+'11.09.68'!W91+'12.09.68'!W91+'13.09.68'!W91+'14.09.68'!W91+'15.09.68'!W91+'16.09.68'!W91+'17.09.68'!W91+'18.09.68'!W91+'19.09.68'!W91+'20.09.68'!W91+'21.09.68'!W91+'22.09.68'!W91+'23.09.68'!W91+'24.09.68'!W91+'25.09.68'!W91+'26.09.68'!W91+'27.09.68'!W91+'28.09.68'!W91+'29.09.68'!W91+'30.09.68'!W91</f>
        <v>0</v>
      </c>
      <c r="X91" s="65">
        <f t="shared" si="14"/>
        <v>0</v>
      </c>
      <c r="Y91" s="52">
        <f>+'01.09.68'!Y91+'02.09.68'!Y91+'03.09.68'!Y91+'04.09.68'!Y91+'05.09.68'!Y91+'06.09.68'!Y91+'07.09.68'!Y91+'08.09.68'!Y91+'09.09.68'!Y91+'10.09.68'!Y91+'11.09.68'!Y91+'12.09.68'!Y91+'13.09.68'!Y91+'14.09.68'!Y91+'15.09.68'!Y91+'16.09.68'!Y91+'17.09.68'!Y91+'18.09.68'!Y91+'19.09.68'!Y91+'20.09.68'!Y91+'21.09.68'!Y91+'22.09.68'!Y91+'23.09.68'!Y91+'24.09.68'!Y91+'25.09.68'!Y91+'26.09.68'!Y91+'27.09.68'!Y91+'28.09.68'!Y91+'29.09.68'!Y91+'30.09.68'!Y91</f>
        <v>0</v>
      </c>
      <c r="Z91" s="66">
        <f t="shared" si="15"/>
        <v>0</v>
      </c>
    </row>
    <row r="92" spans="2:26">
      <c r="B92" s="50">
        <v>1111089</v>
      </c>
      <c r="C92" s="53" t="s">
        <v>17</v>
      </c>
      <c r="D92" s="52">
        <f>+'01.09.68'!D92+'02.09.68'!D92+'03.09.68'!D92+'04.09.68'!D92+'05.09.68'!D92+'06.09.68'!D92+'07.09.68'!D92+'08.09.68'!D92+'09.09.68'!D92+'10.09.68'!D92+'11.09.68'!D92+'12.09.68'!D92+'13.09.68'!D92+'14.09.68'!D92+'15.09.68'!D92+'16.09.68'!D92+'17.09.68'!D92+'18.09.68'!D92+'19.09.68'!D92+'20.09.68'!D92+'21.09.68'!D92+'22.09.68'!D92+'23.09.68'!D92+'24.09.68'!D92+'25.09.68'!D92+'26.09.68'!D92+'27.09.68'!D92+'28.09.68'!D92+'29.09.68'!D92+'30.09.68'!D92</f>
        <v>0</v>
      </c>
      <c r="E92" s="52">
        <f>+'01.09.68'!E92+'02.09.68'!E92+'03.09.68'!E92+'04.09.68'!E92+'05.09.68'!E92+'06.09.68'!E92+'07.09.68'!E92+'08.09.68'!E92+'09.09.68'!E92+'10.09.68'!E92+'11.09.68'!E92+'12.09.68'!E92+'13.09.68'!E92+'14.09.68'!E92+'15.09.68'!E92+'16.09.68'!E92+'17.09.68'!E92+'18.09.68'!E92+'19.09.68'!E92+'20.09.68'!E92+'21.09.68'!E92+'22.09.68'!E92+'23.09.68'!E92+'24.09.68'!E92+'25.09.68'!E92+'26.09.68'!E92+'27.09.68'!E92+'28.09.68'!E92+'29.09.68'!E92+'30.09.68'!E92</f>
        <v>0</v>
      </c>
      <c r="F92" s="65">
        <f t="shared" si="8"/>
        <v>0</v>
      </c>
      <c r="G92" s="52">
        <f>+'01.09.68'!G92+'02.09.68'!G92+'03.09.68'!G92+'04.09.68'!G92+'05.09.68'!G92+'06.09.68'!G92+'07.09.68'!G92+'08.09.68'!G92+'09.09.68'!G92+'10.09.68'!G92+'11.09.68'!G92+'12.09.68'!G92+'13.09.68'!G92+'14.09.68'!G92+'15.09.68'!G92+'16.09.68'!G92+'17.09.68'!G92+'18.09.68'!G92+'19.09.68'!G92+'20.09.68'!G92+'21.09.68'!G92+'22.09.68'!G92+'23.09.68'!G92+'24.09.68'!G92+'25.09.68'!G92+'26.09.68'!G92+'27.09.68'!G92+'28.09.68'!G92+'29.09.68'!G92+'30.09.68'!G92</f>
        <v>0</v>
      </c>
      <c r="H92" s="52">
        <f>+'01.09.68'!H92+'02.09.68'!H92+'03.09.68'!H92+'04.09.68'!H92+'05.09.68'!H92+'06.09.68'!H92+'07.09.68'!H92+'08.09.68'!H92+'09.09.68'!H92+'10.09.68'!H92+'11.09.68'!H92+'12.09.68'!H92+'13.09.68'!H92+'14.09.68'!H92+'15.09.68'!H92+'16.09.68'!H92+'17.09.68'!H92+'18.09.68'!H92+'19.09.68'!H92+'20.09.68'!H92+'21.09.68'!H92+'22.09.68'!H92+'23.09.68'!H92+'24.09.68'!H92+'25.09.68'!H92+'26.09.68'!H92+'27.09.68'!H92+'28.09.68'!H92+'29.09.68'!H92+'30.09.68'!H92</f>
        <v>0</v>
      </c>
      <c r="I92" s="65">
        <f t="shared" si="9"/>
        <v>0</v>
      </c>
      <c r="J92" s="52">
        <f>+'01.09.68'!J92+'02.09.68'!J92+'03.09.68'!J92+'04.09.68'!J92+'05.09.68'!J92+'06.09.68'!J92+'07.09.68'!J92+'08.09.68'!J92+'09.09.68'!J92+'10.09.68'!J92+'11.09.68'!J92+'12.09.68'!J92+'13.09.68'!J92+'14.09.68'!J92+'15.09.68'!J92+'16.09.68'!J92+'17.09.68'!J92+'18.09.68'!J92+'19.09.68'!J92+'20.09.68'!J92+'21.09.68'!J92+'22.09.68'!J92+'23.09.68'!J92+'24.09.68'!J92+'25.09.68'!J92+'26.09.68'!J92+'27.09.68'!J92+'28.09.68'!J92+'29.09.68'!J92+'30.09.68'!J92</f>
        <v>0</v>
      </c>
      <c r="K92" s="52">
        <f>+'01.09.68'!K92+'02.09.68'!K92+'03.09.68'!K92+'04.09.68'!K92+'05.09.68'!K92+'06.09.68'!K92+'07.09.68'!K92+'08.09.68'!K92+'09.09.68'!K92+'10.09.68'!K92+'11.09.68'!K92+'12.09.68'!K92+'13.09.68'!K92+'14.09.68'!K92+'15.09.68'!K92+'16.09.68'!K92+'17.09.68'!K92+'18.09.68'!K92+'19.09.68'!K92+'20.09.68'!K92+'21.09.68'!K92+'22.09.68'!K92+'23.09.68'!K92+'24.09.68'!K92+'25.09.68'!K92+'26.09.68'!K92+'27.09.68'!K92+'28.09.68'!K92+'29.09.68'!K92+'30.09.68'!K92</f>
        <v>0</v>
      </c>
      <c r="L92" s="65">
        <f t="shared" si="10"/>
        <v>0</v>
      </c>
      <c r="M92" s="52">
        <f>+'01.09.68'!M92+'02.09.68'!M92+'03.09.68'!M92+'04.09.68'!M92+'05.09.68'!M92+'06.09.68'!M92+'07.09.68'!M92+'08.09.68'!M92+'09.09.68'!M92+'10.09.68'!M92+'11.09.68'!M92+'12.09.68'!M92+'13.09.68'!M92+'14.09.68'!M92+'15.09.68'!M92+'16.09.68'!M92+'17.09.68'!M92+'18.09.68'!M92+'19.09.68'!M92+'20.09.68'!M92+'21.09.68'!M92+'22.09.68'!M92+'23.09.68'!M92+'24.09.68'!M92+'25.09.68'!M92+'26.09.68'!M92+'27.09.68'!M92+'28.09.68'!M92+'29.09.68'!M92+'30.09.68'!M92</f>
        <v>0</v>
      </c>
      <c r="N92" s="52">
        <f>+'01.09.68'!N92+'02.09.68'!N92+'03.09.68'!N92+'04.09.68'!N92+'05.09.68'!N92+'06.09.68'!N92+'07.09.68'!N92+'08.09.68'!N92+'09.09.68'!N92+'10.09.68'!N92+'11.09.68'!N92+'12.09.68'!N92+'13.09.68'!N92+'14.09.68'!N92+'15.09.68'!N92+'16.09.68'!N92+'17.09.68'!N92+'18.09.68'!N92+'19.09.68'!N92+'20.09.68'!N92+'21.09.68'!N92+'22.09.68'!N92+'23.09.68'!N92+'24.09.68'!N92+'25.09.68'!N92+'26.09.68'!N92+'27.09.68'!N92+'28.09.68'!N92+'29.09.68'!N92+'30.09.68'!N92</f>
        <v>0</v>
      </c>
      <c r="O92" s="65">
        <f t="shared" si="11"/>
        <v>0</v>
      </c>
      <c r="P92" s="52">
        <f>+'01.09.68'!P92+'02.09.68'!P92+'03.09.68'!P92+'04.09.68'!P92+'05.09.68'!P92+'06.09.68'!P92+'07.09.68'!P92+'08.09.68'!P92+'09.09.68'!P92+'10.09.68'!P92+'11.09.68'!P92+'12.09.68'!P92+'13.09.68'!P92+'14.09.68'!P92+'15.09.68'!P92+'16.09.68'!P92+'17.09.68'!P92+'18.09.68'!P92+'19.09.68'!P92+'20.09.68'!P92+'21.09.68'!P92+'22.09.68'!P92+'23.09.68'!P92+'24.09.68'!P92+'25.09.68'!P92+'26.09.68'!P92+'27.09.68'!P92+'28.09.68'!P92+'29.09.68'!P92+'30.09.68'!P92</f>
        <v>0</v>
      </c>
      <c r="Q92" s="52">
        <f>+'01.09.68'!Q92+'02.09.68'!Q92+'03.09.68'!Q92+'04.09.68'!Q92+'05.09.68'!Q92+'06.09.68'!Q92+'07.09.68'!Q92+'08.09.68'!Q92+'09.09.68'!Q92+'10.09.68'!Q92+'11.09.68'!Q92+'12.09.68'!Q92+'13.09.68'!Q92+'14.09.68'!Q92+'15.09.68'!Q92+'16.09.68'!Q92+'17.09.68'!Q92+'18.09.68'!Q92+'19.09.68'!Q92+'20.09.68'!Q92+'21.09.68'!Q92+'22.09.68'!Q92+'23.09.68'!Q92+'24.09.68'!Q92+'25.09.68'!Q92+'26.09.68'!Q92+'27.09.68'!Q92+'28.09.68'!Q92+'29.09.68'!Q92+'30.09.68'!Q92</f>
        <v>0</v>
      </c>
      <c r="R92" s="65">
        <f t="shared" si="12"/>
        <v>0</v>
      </c>
      <c r="S92" s="52">
        <f>+'01.09.68'!S92+'02.09.68'!S92+'03.09.68'!S92+'04.09.68'!S92+'05.09.68'!S92+'06.09.68'!S92+'07.09.68'!S92+'08.09.68'!S92+'09.09.68'!S92+'10.09.68'!S92+'11.09.68'!S92+'12.09.68'!S92+'13.09.68'!S92+'14.09.68'!S92+'15.09.68'!S92+'16.09.68'!S92+'17.09.68'!S92+'18.09.68'!S92+'19.09.68'!S92+'20.09.68'!S92+'21.09.68'!S92+'22.09.68'!S92+'23.09.68'!S92+'24.09.68'!S92+'25.09.68'!S92+'26.09.68'!S92+'27.09.68'!S92+'28.09.68'!S92+'29.09.68'!S92+'30.09.68'!S92</f>
        <v>0</v>
      </c>
      <c r="T92" s="52">
        <f>+'01.09.68'!T92+'02.09.68'!T92+'03.09.68'!T92+'04.09.68'!T92+'05.09.68'!T92+'06.09.68'!T92+'07.09.68'!T92+'08.09.68'!T92+'09.09.68'!T92+'10.09.68'!T92+'11.09.68'!T92+'12.09.68'!T92+'13.09.68'!T92+'14.09.68'!T92+'15.09.68'!T92+'16.09.68'!T92+'17.09.68'!T92+'18.09.68'!T92+'19.09.68'!T92+'20.09.68'!T92+'21.09.68'!T92+'22.09.68'!T92+'23.09.68'!T92+'24.09.68'!T92+'25.09.68'!T92+'26.09.68'!T92+'27.09.68'!T92+'28.09.68'!T92+'29.09.68'!T92+'30.09.68'!T92</f>
        <v>0</v>
      </c>
      <c r="U92" s="65">
        <f t="shared" si="13"/>
        <v>0</v>
      </c>
      <c r="V92" s="52">
        <f>+'01.09.68'!V92+'02.09.68'!V92+'03.09.68'!V92+'04.09.68'!V92+'05.09.68'!V92+'06.09.68'!V92+'07.09.68'!V92+'08.09.68'!V92+'09.09.68'!V92+'10.09.68'!V92+'11.09.68'!V92+'12.09.68'!V92+'13.09.68'!V92+'14.09.68'!V92+'15.09.68'!V92+'16.09.68'!V92+'17.09.68'!V92+'18.09.68'!V92+'19.09.68'!V92+'20.09.68'!V92+'21.09.68'!V92+'22.09.68'!V92+'23.09.68'!V92+'24.09.68'!V92+'25.09.68'!V92+'26.09.68'!V92+'27.09.68'!V92+'28.09.68'!V92+'29.09.68'!V92+'30.09.68'!V92</f>
        <v>0</v>
      </c>
      <c r="W92" s="52">
        <f>+'01.09.68'!W92+'02.09.68'!W92+'03.09.68'!W92+'04.09.68'!W92+'05.09.68'!W92+'06.09.68'!W92+'07.09.68'!W92+'08.09.68'!W92+'09.09.68'!W92+'10.09.68'!W92+'11.09.68'!W92+'12.09.68'!W92+'13.09.68'!W92+'14.09.68'!W92+'15.09.68'!W92+'16.09.68'!W92+'17.09.68'!W92+'18.09.68'!W92+'19.09.68'!W92+'20.09.68'!W92+'21.09.68'!W92+'22.09.68'!W92+'23.09.68'!W92+'24.09.68'!W92+'25.09.68'!W92+'26.09.68'!W92+'27.09.68'!W92+'28.09.68'!W92+'29.09.68'!W92+'30.09.68'!W92</f>
        <v>0</v>
      </c>
      <c r="X92" s="65">
        <f t="shared" si="14"/>
        <v>0</v>
      </c>
      <c r="Y92" s="52">
        <f>+'01.09.68'!Y92+'02.09.68'!Y92+'03.09.68'!Y92+'04.09.68'!Y92+'05.09.68'!Y92+'06.09.68'!Y92+'07.09.68'!Y92+'08.09.68'!Y92+'09.09.68'!Y92+'10.09.68'!Y92+'11.09.68'!Y92+'12.09.68'!Y92+'13.09.68'!Y92+'14.09.68'!Y92+'15.09.68'!Y92+'16.09.68'!Y92+'17.09.68'!Y92+'18.09.68'!Y92+'19.09.68'!Y92+'20.09.68'!Y92+'21.09.68'!Y92+'22.09.68'!Y92+'23.09.68'!Y92+'24.09.68'!Y92+'25.09.68'!Y92+'26.09.68'!Y92+'27.09.68'!Y92+'28.09.68'!Y92+'29.09.68'!Y92+'30.09.68'!Y92</f>
        <v>0</v>
      </c>
      <c r="Z92" s="66">
        <f t="shared" si="15"/>
        <v>0</v>
      </c>
    </row>
    <row r="93" spans="2:26">
      <c r="B93" s="50">
        <v>1111094</v>
      </c>
      <c r="C93" s="53" t="s">
        <v>22</v>
      </c>
      <c r="D93" s="52">
        <f>+'01.09.68'!D93+'02.09.68'!D93+'03.09.68'!D93+'04.09.68'!D93+'05.09.68'!D93+'06.09.68'!D93+'07.09.68'!D93+'08.09.68'!D93+'09.09.68'!D93+'10.09.68'!D93+'11.09.68'!D93+'12.09.68'!D93+'13.09.68'!D93+'14.09.68'!D93+'15.09.68'!D93+'16.09.68'!D93+'17.09.68'!D93+'18.09.68'!D93+'19.09.68'!D93+'20.09.68'!D93+'21.09.68'!D93+'22.09.68'!D93+'23.09.68'!D93+'24.09.68'!D93+'25.09.68'!D93+'26.09.68'!D93+'27.09.68'!D93+'28.09.68'!D93+'29.09.68'!D93+'30.09.68'!D93</f>
        <v>0</v>
      </c>
      <c r="E93" s="52">
        <f>+'01.09.68'!E93+'02.09.68'!E93+'03.09.68'!E93+'04.09.68'!E93+'05.09.68'!E93+'06.09.68'!E93+'07.09.68'!E93+'08.09.68'!E93+'09.09.68'!E93+'10.09.68'!E93+'11.09.68'!E93+'12.09.68'!E93+'13.09.68'!E93+'14.09.68'!E93+'15.09.68'!E93+'16.09.68'!E93+'17.09.68'!E93+'18.09.68'!E93+'19.09.68'!E93+'20.09.68'!E93+'21.09.68'!E93+'22.09.68'!E93+'23.09.68'!E93+'24.09.68'!E93+'25.09.68'!E93+'26.09.68'!E93+'27.09.68'!E93+'28.09.68'!E93+'29.09.68'!E93+'30.09.68'!E93</f>
        <v>0</v>
      </c>
      <c r="F93" s="65">
        <f t="shared" si="8"/>
        <v>0</v>
      </c>
      <c r="G93" s="52">
        <f>+'01.09.68'!G93+'02.09.68'!G93+'03.09.68'!G93+'04.09.68'!G93+'05.09.68'!G93+'06.09.68'!G93+'07.09.68'!G93+'08.09.68'!G93+'09.09.68'!G93+'10.09.68'!G93+'11.09.68'!G93+'12.09.68'!G93+'13.09.68'!G93+'14.09.68'!G93+'15.09.68'!G93+'16.09.68'!G93+'17.09.68'!G93+'18.09.68'!G93+'19.09.68'!G93+'20.09.68'!G93+'21.09.68'!G93+'22.09.68'!G93+'23.09.68'!G93+'24.09.68'!G93+'25.09.68'!G93+'26.09.68'!G93+'27.09.68'!G93+'28.09.68'!G93+'29.09.68'!G93+'30.09.68'!G93</f>
        <v>0</v>
      </c>
      <c r="H93" s="52">
        <f>+'01.09.68'!H93+'02.09.68'!H93+'03.09.68'!H93+'04.09.68'!H93+'05.09.68'!H93+'06.09.68'!H93+'07.09.68'!H93+'08.09.68'!H93+'09.09.68'!H93+'10.09.68'!H93+'11.09.68'!H93+'12.09.68'!H93+'13.09.68'!H93+'14.09.68'!H93+'15.09.68'!H93+'16.09.68'!H93+'17.09.68'!H93+'18.09.68'!H93+'19.09.68'!H93+'20.09.68'!H93+'21.09.68'!H93+'22.09.68'!H93+'23.09.68'!H93+'24.09.68'!H93+'25.09.68'!H93+'26.09.68'!H93+'27.09.68'!H93+'28.09.68'!H93+'29.09.68'!H93+'30.09.68'!H93</f>
        <v>0</v>
      </c>
      <c r="I93" s="65">
        <f t="shared" si="9"/>
        <v>0</v>
      </c>
      <c r="J93" s="52">
        <f>+'01.09.68'!J93+'02.09.68'!J93+'03.09.68'!J93+'04.09.68'!J93+'05.09.68'!J93+'06.09.68'!J93+'07.09.68'!J93+'08.09.68'!J93+'09.09.68'!J93+'10.09.68'!J93+'11.09.68'!J93+'12.09.68'!J93+'13.09.68'!J93+'14.09.68'!J93+'15.09.68'!J93+'16.09.68'!J93+'17.09.68'!J93+'18.09.68'!J93+'19.09.68'!J93+'20.09.68'!J93+'21.09.68'!J93+'22.09.68'!J93+'23.09.68'!J93+'24.09.68'!J93+'25.09.68'!J93+'26.09.68'!J93+'27.09.68'!J93+'28.09.68'!J93+'29.09.68'!J93+'30.09.68'!J93</f>
        <v>0</v>
      </c>
      <c r="K93" s="52">
        <f>+'01.09.68'!K93+'02.09.68'!K93+'03.09.68'!K93+'04.09.68'!K93+'05.09.68'!K93+'06.09.68'!K93+'07.09.68'!K93+'08.09.68'!K93+'09.09.68'!K93+'10.09.68'!K93+'11.09.68'!K93+'12.09.68'!K93+'13.09.68'!K93+'14.09.68'!K93+'15.09.68'!K93+'16.09.68'!K93+'17.09.68'!K93+'18.09.68'!K93+'19.09.68'!K93+'20.09.68'!K93+'21.09.68'!K93+'22.09.68'!K93+'23.09.68'!K93+'24.09.68'!K93+'25.09.68'!K93+'26.09.68'!K93+'27.09.68'!K93+'28.09.68'!K93+'29.09.68'!K93+'30.09.68'!K93</f>
        <v>0</v>
      </c>
      <c r="L93" s="65">
        <f t="shared" si="10"/>
        <v>0</v>
      </c>
      <c r="M93" s="52">
        <f>+'01.09.68'!M93+'02.09.68'!M93+'03.09.68'!M93+'04.09.68'!M93+'05.09.68'!M93+'06.09.68'!M93+'07.09.68'!M93+'08.09.68'!M93+'09.09.68'!M93+'10.09.68'!M93+'11.09.68'!M93+'12.09.68'!M93+'13.09.68'!M93+'14.09.68'!M93+'15.09.68'!M93+'16.09.68'!M93+'17.09.68'!M93+'18.09.68'!M93+'19.09.68'!M93+'20.09.68'!M93+'21.09.68'!M93+'22.09.68'!M93+'23.09.68'!M93+'24.09.68'!M93+'25.09.68'!M93+'26.09.68'!M93+'27.09.68'!M93+'28.09.68'!M93+'29.09.68'!M93+'30.09.68'!M93</f>
        <v>0</v>
      </c>
      <c r="N93" s="52">
        <f>+'01.09.68'!N93+'02.09.68'!N93+'03.09.68'!N93+'04.09.68'!N93+'05.09.68'!N93+'06.09.68'!N93+'07.09.68'!N93+'08.09.68'!N93+'09.09.68'!N93+'10.09.68'!N93+'11.09.68'!N93+'12.09.68'!N93+'13.09.68'!N93+'14.09.68'!N93+'15.09.68'!N93+'16.09.68'!N93+'17.09.68'!N93+'18.09.68'!N93+'19.09.68'!N93+'20.09.68'!N93+'21.09.68'!N93+'22.09.68'!N93+'23.09.68'!N93+'24.09.68'!N93+'25.09.68'!N93+'26.09.68'!N93+'27.09.68'!N93+'28.09.68'!N93+'29.09.68'!N93+'30.09.68'!N93</f>
        <v>0</v>
      </c>
      <c r="O93" s="65">
        <f t="shared" si="11"/>
        <v>0</v>
      </c>
      <c r="P93" s="52">
        <f>+'01.09.68'!P93+'02.09.68'!P93+'03.09.68'!P93+'04.09.68'!P93+'05.09.68'!P93+'06.09.68'!P93+'07.09.68'!P93+'08.09.68'!P93+'09.09.68'!P93+'10.09.68'!P93+'11.09.68'!P93+'12.09.68'!P93+'13.09.68'!P93+'14.09.68'!P93+'15.09.68'!P93+'16.09.68'!P93+'17.09.68'!P93+'18.09.68'!P93+'19.09.68'!P93+'20.09.68'!P93+'21.09.68'!P93+'22.09.68'!P93+'23.09.68'!P93+'24.09.68'!P93+'25.09.68'!P93+'26.09.68'!P93+'27.09.68'!P93+'28.09.68'!P93+'29.09.68'!P93+'30.09.68'!P93</f>
        <v>0</v>
      </c>
      <c r="Q93" s="52">
        <f>+'01.09.68'!Q93+'02.09.68'!Q93+'03.09.68'!Q93+'04.09.68'!Q93+'05.09.68'!Q93+'06.09.68'!Q93+'07.09.68'!Q93+'08.09.68'!Q93+'09.09.68'!Q93+'10.09.68'!Q93+'11.09.68'!Q93+'12.09.68'!Q93+'13.09.68'!Q93+'14.09.68'!Q93+'15.09.68'!Q93+'16.09.68'!Q93+'17.09.68'!Q93+'18.09.68'!Q93+'19.09.68'!Q93+'20.09.68'!Q93+'21.09.68'!Q93+'22.09.68'!Q93+'23.09.68'!Q93+'24.09.68'!Q93+'25.09.68'!Q93+'26.09.68'!Q93+'27.09.68'!Q93+'28.09.68'!Q93+'29.09.68'!Q93+'30.09.68'!Q93</f>
        <v>0</v>
      </c>
      <c r="R93" s="65">
        <f t="shared" si="12"/>
        <v>0</v>
      </c>
      <c r="S93" s="52">
        <f>+'01.09.68'!S93+'02.09.68'!S93+'03.09.68'!S93+'04.09.68'!S93+'05.09.68'!S93+'06.09.68'!S93+'07.09.68'!S93+'08.09.68'!S93+'09.09.68'!S93+'10.09.68'!S93+'11.09.68'!S93+'12.09.68'!S93+'13.09.68'!S93+'14.09.68'!S93+'15.09.68'!S93+'16.09.68'!S93+'17.09.68'!S93+'18.09.68'!S93+'19.09.68'!S93+'20.09.68'!S93+'21.09.68'!S93+'22.09.68'!S93+'23.09.68'!S93+'24.09.68'!S93+'25.09.68'!S93+'26.09.68'!S93+'27.09.68'!S93+'28.09.68'!S93+'29.09.68'!S93+'30.09.68'!S93</f>
        <v>0</v>
      </c>
      <c r="T93" s="52">
        <f>+'01.09.68'!T93+'02.09.68'!T93+'03.09.68'!T93+'04.09.68'!T93+'05.09.68'!T93+'06.09.68'!T93+'07.09.68'!T93+'08.09.68'!T93+'09.09.68'!T93+'10.09.68'!T93+'11.09.68'!T93+'12.09.68'!T93+'13.09.68'!T93+'14.09.68'!T93+'15.09.68'!T93+'16.09.68'!T93+'17.09.68'!T93+'18.09.68'!T93+'19.09.68'!T93+'20.09.68'!T93+'21.09.68'!T93+'22.09.68'!T93+'23.09.68'!T93+'24.09.68'!T93+'25.09.68'!T93+'26.09.68'!T93+'27.09.68'!T93+'28.09.68'!T93+'29.09.68'!T93+'30.09.68'!T93</f>
        <v>0</v>
      </c>
      <c r="U93" s="65">
        <f t="shared" si="13"/>
        <v>0</v>
      </c>
      <c r="V93" s="52">
        <f>+'01.09.68'!V93+'02.09.68'!V93+'03.09.68'!V93+'04.09.68'!V93+'05.09.68'!V93+'06.09.68'!V93+'07.09.68'!V93+'08.09.68'!V93+'09.09.68'!V93+'10.09.68'!V93+'11.09.68'!V93+'12.09.68'!V93+'13.09.68'!V93+'14.09.68'!V93+'15.09.68'!V93+'16.09.68'!V93+'17.09.68'!V93+'18.09.68'!V93+'19.09.68'!V93+'20.09.68'!V93+'21.09.68'!V93+'22.09.68'!V93+'23.09.68'!V93+'24.09.68'!V93+'25.09.68'!V93+'26.09.68'!V93+'27.09.68'!V93+'28.09.68'!V93+'29.09.68'!V93+'30.09.68'!V93</f>
        <v>0</v>
      </c>
      <c r="W93" s="52">
        <f>+'01.09.68'!W93+'02.09.68'!W93+'03.09.68'!W93+'04.09.68'!W93+'05.09.68'!W93+'06.09.68'!W93+'07.09.68'!W93+'08.09.68'!W93+'09.09.68'!W93+'10.09.68'!W93+'11.09.68'!W93+'12.09.68'!W93+'13.09.68'!W93+'14.09.68'!W93+'15.09.68'!W93+'16.09.68'!W93+'17.09.68'!W93+'18.09.68'!W93+'19.09.68'!W93+'20.09.68'!W93+'21.09.68'!W93+'22.09.68'!W93+'23.09.68'!W93+'24.09.68'!W93+'25.09.68'!W93+'26.09.68'!W93+'27.09.68'!W93+'28.09.68'!W93+'29.09.68'!W93+'30.09.68'!W93</f>
        <v>0</v>
      </c>
      <c r="X93" s="65">
        <f t="shared" si="14"/>
        <v>0</v>
      </c>
      <c r="Y93" s="52">
        <f>+'01.09.68'!Y93+'02.09.68'!Y93+'03.09.68'!Y93+'04.09.68'!Y93+'05.09.68'!Y93+'06.09.68'!Y93+'07.09.68'!Y93+'08.09.68'!Y93+'09.09.68'!Y93+'10.09.68'!Y93+'11.09.68'!Y93+'12.09.68'!Y93+'13.09.68'!Y93+'14.09.68'!Y93+'15.09.68'!Y93+'16.09.68'!Y93+'17.09.68'!Y93+'18.09.68'!Y93+'19.09.68'!Y93+'20.09.68'!Y93+'21.09.68'!Y93+'22.09.68'!Y93+'23.09.68'!Y93+'24.09.68'!Y93+'25.09.68'!Y93+'26.09.68'!Y93+'27.09.68'!Y93+'28.09.68'!Y93+'29.09.68'!Y93+'30.09.68'!Y93</f>
        <v>0</v>
      </c>
      <c r="Z93" s="66">
        <f t="shared" si="15"/>
        <v>0</v>
      </c>
    </row>
    <row r="94" spans="2:26">
      <c r="B94" s="50">
        <v>1111095</v>
      </c>
      <c r="C94" s="53" t="s">
        <v>23</v>
      </c>
      <c r="D94" s="52">
        <f>+'01.09.68'!D94+'02.09.68'!D94+'03.09.68'!D94+'04.09.68'!D94+'05.09.68'!D94+'06.09.68'!D94+'07.09.68'!D94+'08.09.68'!D94+'09.09.68'!D94+'10.09.68'!D94+'11.09.68'!D94+'12.09.68'!D94+'13.09.68'!D94+'14.09.68'!D94+'15.09.68'!D94+'16.09.68'!D94+'17.09.68'!D94+'18.09.68'!D94+'19.09.68'!D94+'20.09.68'!D94+'21.09.68'!D94+'22.09.68'!D94+'23.09.68'!D94+'24.09.68'!D94+'25.09.68'!D94+'26.09.68'!D94+'27.09.68'!D94+'28.09.68'!D94+'29.09.68'!D94+'30.09.68'!D94</f>
        <v>0</v>
      </c>
      <c r="E94" s="52">
        <f>+'01.09.68'!E94+'02.09.68'!E94+'03.09.68'!E94+'04.09.68'!E94+'05.09.68'!E94+'06.09.68'!E94+'07.09.68'!E94+'08.09.68'!E94+'09.09.68'!E94+'10.09.68'!E94+'11.09.68'!E94+'12.09.68'!E94+'13.09.68'!E94+'14.09.68'!E94+'15.09.68'!E94+'16.09.68'!E94+'17.09.68'!E94+'18.09.68'!E94+'19.09.68'!E94+'20.09.68'!E94+'21.09.68'!E94+'22.09.68'!E94+'23.09.68'!E94+'24.09.68'!E94+'25.09.68'!E94+'26.09.68'!E94+'27.09.68'!E94+'28.09.68'!E94+'29.09.68'!E94+'30.09.68'!E94</f>
        <v>0</v>
      </c>
      <c r="F94" s="65">
        <f t="shared" si="8"/>
        <v>0</v>
      </c>
      <c r="G94" s="52">
        <f>+'01.09.68'!G94+'02.09.68'!G94+'03.09.68'!G94+'04.09.68'!G94+'05.09.68'!G94+'06.09.68'!G94+'07.09.68'!G94+'08.09.68'!G94+'09.09.68'!G94+'10.09.68'!G94+'11.09.68'!G94+'12.09.68'!G94+'13.09.68'!G94+'14.09.68'!G94+'15.09.68'!G94+'16.09.68'!G94+'17.09.68'!G94+'18.09.68'!G94+'19.09.68'!G94+'20.09.68'!G94+'21.09.68'!G94+'22.09.68'!G94+'23.09.68'!G94+'24.09.68'!G94+'25.09.68'!G94+'26.09.68'!G94+'27.09.68'!G94+'28.09.68'!G94+'29.09.68'!G94+'30.09.68'!G94</f>
        <v>0</v>
      </c>
      <c r="H94" s="52">
        <f>+'01.09.68'!H94+'02.09.68'!H94+'03.09.68'!H94+'04.09.68'!H94+'05.09.68'!H94+'06.09.68'!H94+'07.09.68'!H94+'08.09.68'!H94+'09.09.68'!H94+'10.09.68'!H94+'11.09.68'!H94+'12.09.68'!H94+'13.09.68'!H94+'14.09.68'!H94+'15.09.68'!H94+'16.09.68'!H94+'17.09.68'!H94+'18.09.68'!H94+'19.09.68'!H94+'20.09.68'!H94+'21.09.68'!H94+'22.09.68'!H94+'23.09.68'!H94+'24.09.68'!H94+'25.09.68'!H94+'26.09.68'!H94+'27.09.68'!H94+'28.09.68'!H94+'29.09.68'!H94+'30.09.68'!H94</f>
        <v>0</v>
      </c>
      <c r="I94" s="65">
        <f t="shared" si="9"/>
        <v>0</v>
      </c>
      <c r="J94" s="52">
        <f>+'01.09.68'!J94+'02.09.68'!J94+'03.09.68'!J94+'04.09.68'!J94+'05.09.68'!J94+'06.09.68'!J94+'07.09.68'!J94+'08.09.68'!J94+'09.09.68'!J94+'10.09.68'!J94+'11.09.68'!J94+'12.09.68'!J94+'13.09.68'!J94+'14.09.68'!J94+'15.09.68'!J94+'16.09.68'!J94+'17.09.68'!J94+'18.09.68'!J94+'19.09.68'!J94+'20.09.68'!J94+'21.09.68'!J94+'22.09.68'!J94+'23.09.68'!J94+'24.09.68'!J94+'25.09.68'!J94+'26.09.68'!J94+'27.09.68'!J94+'28.09.68'!J94+'29.09.68'!J94+'30.09.68'!J94</f>
        <v>0</v>
      </c>
      <c r="K94" s="52">
        <f>+'01.09.68'!K94+'02.09.68'!K94+'03.09.68'!K94+'04.09.68'!K94+'05.09.68'!K94+'06.09.68'!K94+'07.09.68'!K94+'08.09.68'!K94+'09.09.68'!K94+'10.09.68'!K94+'11.09.68'!K94+'12.09.68'!K94+'13.09.68'!K94+'14.09.68'!K94+'15.09.68'!K94+'16.09.68'!K94+'17.09.68'!K94+'18.09.68'!K94+'19.09.68'!K94+'20.09.68'!K94+'21.09.68'!K94+'22.09.68'!K94+'23.09.68'!K94+'24.09.68'!K94+'25.09.68'!K94+'26.09.68'!K94+'27.09.68'!K94+'28.09.68'!K94+'29.09.68'!K94+'30.09.68'!K94</f>
        <v>0</v>
      </c>
      <c r="L94" s="65">
        <f t="shared" si="10"/>
        <v>0</v>
      </c>
      <c r="M94" s="52">
        <f>+'01.09.68'!M94+'02.09.68'!M94+'03.09.68'!M94+'04.09.68'!M94+'05.09.68'!M94+'06.09.68'!M94+'07.09.68'!M94+'08.09.68'!M94+'09.09.68'!M94+'10.09.68'!M94+'11.09.68'!M94+'12.09.68'!M94+'13.09.68'!M94+'14.09.68'!M94+'15.09.68'!M94+'16.09.68'!M94+'17.09.68'!M94+'18.09.68'!M94+'19.09.68'!M94+'20.09.68'!M94+'21.09.68'!M94+'22.09.68'!M94+'23.09.68'!M94+'24.09.68'!M94+'25.09.68'!M94+'26.09.68'!M94+'27.09.68'!M94+'28.09.68'!M94+'29.09.68'!M94+'30.09.68'!M94</f>
        <v>0</v>
      </c>
      <c r="N94" s="52">
        <f>+'01.09.68'!N94+'02.09.68'!N94+'03.09.68'!N94+'04.09.68'!N94+'05.09.68'!N94+'06.09.68'!N94+'07.09.68'!N94+'08.09.68'!N94+'09.09.68'!N94+'10.09.68'!N94+'11.09.68'!N94+'12.09.68'!N94+'13.09.68'!N94+'14.09.68'!N94+'15.09.68'!N94+'16.09.68'!N94+'17.09.68'!N94+'18.09.68'!N94+'19.09.68'!N94+'20.09.68'!N94+'21.09.68'!N94+'22.09.68'!N94+'23.09.68'!N94+'24.09.68'!N94+'25.09.68'!N94+'26.09.68'!N94+'27.09.68'!N94+'28.09.68'!N94+'29.09.68'!N94+'30.09.68'!N94</f>
        <v>0</v>
      </c>
      <c r="O94" s="65">
        <f t="shared" si="11"/>
        <v>0</v>
      </c>
      <c r="P94" s="52">
        <f>+'01.09.68'!P94+'02.09.68'!P94+'03.09.68'!P94+'04.09.68'!P94+'05.09.68'!P94+'06.09.68'!P94+'07.09.68'!P94+'08.09.68'!P94+'09.09.68'!P94+'10.09.68'!P94+'11.09.68'!P94+'12.09.68'!P94+'13.09.68'!P94+'14.09.68'!P94+'15.09.68'!P94+'16.09.68'!P94+'17.09.68'!P94+'18.09.68'!P94+'19.09.68'!P94+'20.09.68'!P94+'21.09.68'!P94+'22.09.68'!P94+'23.09.68'!P94+'24.09.68'!P94+'25.09.68'!P94+'26.09.68'!P94+'27.09.68'!P94+'28.09.68'!P94+'29.09.68'!P94+'30.09.68'!P94</f>
        <v>0</v>
      </c>
      <c r="Q94" s="52">
        <f>+'01.09.68'!Q94+'02.09.68'!Q94+'03.09.68'!Q94+'04.09.68'!Q94+'05.09.68'!Q94+'06.09.68'!Q94+'07.09.68'!Q94+'08.09.68'!Q94+'09.09.68'!Q94+'10.09.68'!Q94+'11.09.68'!Q94+'12.09.68'!Q94+'13.09.68'!Q94+'14.09.68'!Q94+'15.09.68'!Q94+'16.09.68'!Q94+'17.09.68'!Q94+'18.09.68'!Q94+'19.09.68'!Q94+'20.09.68'!Q94+'21.09.68'!Q94+'22.09.68'!Q94+'23.09.68'!Q94+'24.09.68'!Q94+'25.09.68'!Q94+'26.09.68'!Q94+'27.09.68'!Q94+'28.09.68'!Q94+'29.09.68'!Q94+'30.09.68'!Q94</f>
        <v>0</v>
      </c>
      <c r="R94" s="65">
        <f t="shared" si="12"/>
        <v>0</v>
      </c>
      <c r="S94" s="52">
        <f>+'01.09.68'!S94+'02.09.68'!S94+'03.09.68'!S94+'04.09.68'!S94+'05.09.68'!S94+'06.09.68'!S94+'07.09.68'!S94+'08.09.68'!S94+'09.09.68'!S94+'10.09.68'!S94+'11.09.68'!S94+'12.09.68'!S94+'13.09.68'!S94+'14.09.68'!S94+'15.09.68'!S94+'16.09.68'!S94+'17.09.68'!S94+'18.09.68'!S94+'19.09.68'!S94+'20.09.68'!S94+'21.09.68'!S94+'22.09.68'!S94+'23.09.68'!S94+'24.09.68'!S94+'25.09.68'!S94+'26.09.68'!S94+'27.09.68'!S94+'28.09.68'!S94+'29.09.68'!S94+'30.09.68'!S94</f>
        <v>0</v>
      </c>
      <c r="T94" s="52">
        <f>+'01.09.68'!T94+'02.09.68'!T94+'03.09.68'!T94+'04.09.68'!T94+'05.09.68'!T94+'06.09.68'!T94+'07.09.68'!T94+'08.09.68'!T94+'09.09.68'!T94+'10.09.68'!T94+'11.09.68'!T94+'12.09.68'!T94+'13.09.68'!T94+'14.09.68'!T94+'15.09.68'!T94+'16.09.68'!T94+'17.09.68'!T94+'18.09.68'!T94+'19.09.68'!T94+'20.09.68'!T94+'21.09.68'!T94+'22.09.68'!T94+'23.09.68'!T94+'24.09.68'!T94+'25.09.68'!T94+'26.09.68'!T94+'27.09.68'!T94+'28.09.68'!T94+'29.09.68'!T94+'30.09.68'!T94</f>
        <v>0</v>
      </c>
      <c r="U94" s="65">
        <f t="shared" si="13"/>
        <v>0</v>
      </c>
      <c r="V94" s="52">
        <f>+'01.09.68'!V94+'02.09.68'!V94+'03.09.68'!V94+'04.09.68'!V94+'05.09.68'!V94+'06.09.68'!V94+'07.09.68'!V94+'08.09.68'!V94+'09.09.68'!V94+'10.09.68'!V94+'11.09.68'!V94+'12.09.68'!V94+'13.09.68'!V94+'14.09.68'!V94+'15.09.68'!V94+'16.09.68'!V94+'17.09.68'!V94+'18.09.68'!V94+'19.09.68'!V94+'20.09.68'!V94+'21.09.68'!V94+'22.09.68'!V94+'23.09.68'!V94+'24.09.68'!V94+'25.09.68'!V94+'26.09.68'!V94+'27.09.68'!V94+'28.09.68'!V94+'29.09.68'!V94+'30.09.68'!V94</f>
        <v>0</v>
      </c>
      <c r="W94" s="52">
        <f>+'01.09.68'!W94+'02.09.68'!W94+'03.09.68'!W94+'04.09.68'!W94+'05.09.68'!W94+'06.09.68'!W94+'07.09.68'!W94+'08.09.68'!W94+'09.09.68'!W94+'10.09.68'!W94+'11.09.68'!W94+'12.09.68'!W94+'13.09.68'!W94+'14.09.68'!W94+'15.09.68'!W94+'16.09.68'!W94+'17.09.68'!W94+'18.09.68'!W94+'19.09.68'!W94+'20.09.68'!W94+'21.09.68'!W94+'22.09.68'!W94+'23.09.68'!W94+'24.09.68'!W94+'25.09.68'!W94+'26.09.68'!W94+'27.09.68'!W94+'28.09.68'!W94+'29.09.68'!W94+'30.09.68'!W94</f>
        <v>0</v>
      </c>
      <c r="X94" s="65">
        <f t="shared" si="14"/>
        <v>0</v>
      </c>
      <c r="Y94" s="52">
        <f>+'01.09.68'!Y94+'02.09.68'!Y94+'03.09.68'!Y94+'04.09.68'!Y94+'05.09.68'!Y94+'06.09.68'!Y94+'07.09.68'!Y94+'08.09.68'!Y94+'09.09.68'!Y94+'10.09.68'!Y94+'11.09.68'!Y94+'12.09.68'!Y94+'13.09.68'!Y94+'14.09.68'!Y94+'15.09.68'!Y94+'16.09.68'!Y94+'17.09.68'!Y94+'18.09.68'!Y94+'19.09.68'!Y94+'20.09.68'!Y94+'21.09.68'!Y94+'22.09.68'!Y94+'23.09.68'!Y94+'24.09.68'!Y94+'25.09.68'!Y94+'26.09.68'!Y94+'27.09.68'!Y94+'28.09.68'!Y94+'29.09.68'!Y94+'30.09.68'!Y94</f>
        <v>0</v>
      </c>
      <c r="Z94" s="66">
        <f t="shared" si="15"/>
        <v>0</v>
      </c>
    </row>
    <row r="95" spans="2:26">
      <c r="B95" s="50">
        <v>1111091</v>
      </c>
      <c r="C95" s="53" t="s">
        <v>19</v>
      </c>
      <c r="D95" s="52">
        <f>+'01.09.68'!D95+'02.09.68'!D95+'03.09.68'!D95+'04.09.68'!D95+'05.09.68'!D95+'06.09.68'!D95+'07.09.68'!D95+'08.09.68'!D95+'09.09.68'!D95+'10.09.68'!D95+'11.09.68'!D95+'12.09.68'!D95+'13.09.68'!D95+'14.09.68'!D95+'15.09.68'!D95+'16.09.68'!D95+'17.09.68'!D95+'18.09.68'!D95+'19.09.68'!D95+'20.09.68'!D95+'21.09.68'!D95+'22.09.68'!D95+'23.09.68'!D95+'24.09.68'!D95+'25.09.68'!D95+'26.09.68'!D95+'27.09.68'!D95+'28.09.68'!D95+'29.09.68'!D95+'30.09.68'!D95</f>
        <v>0</v>
      </c>
      <c r="E95" s="52">
        <f>+'01.09.68'!E95+'02.09.68'!E95+'03.09.68'!E95+'04.09.68'!E95+'05.09.68'!E95+'06.09.68'!E95+'07.09.68'!E95+'08.09.68'!E95+'09.09.68'!E95+'10.09.68'!E95+'11.09.68'!E95+'12.09.68'!E95+'13.09.68'!E95+'14.09.68'!E95+'15.09.68'!E95+'16.09.68'!E95+'17.09.68'!E95+'18.09.68'!E95+'19.09.68'!E95+'20.09.68'!E95+'21.09.68'!E95+'22.09.68'!E95+'23.09.68'!E95+'24.09.68'!E95+'25.09.68'!E95+'26.09.68'!E95+'27.09.68'!E95+'28.09.68'!E95+'29.09.68'!E95+'30.09.68'!E95</f>
        <v>0</v>
      </c>
      <c r="F95" s="65">
        <f t="shared" si="8"/>
        <v>0</v>
      </c>
      <c r="G95" s="52">
        <f>+'01.09.68'!G95+'02.09.68'!G95+'03.09.68'!G95+'04.09.68'!G95+'05.09.68'!G95+'06.09.68'!G95+'07.09.68'!G95+'08.09.68'!G95+'09.09.68'!G95+'10.09.68'!G95+'11.09.68'!G95+'12.09.68'!G95+'13.09.68'!G95+'14.09.68'!G95+'15.09.68'!G95+'16.09.68'!G95+'17.09.68'!G95+'18.09.68'!G95+'19.09.68'!G95+'20.09.68'!G95+'21.09.68'!G95+'22.09.68'!G95+'23.09.68'!G95+'24.09.68'!G95+'25.09.68'!G95+'26.09.68'!G95+'27.09.68'!G95+'28.09.68'!G95+'29.09.68'!G95+'30.09.68'!G95</f>
        <v>0</v>
      </c>
      <c r="H95" s="52">
        <f>+'01.09.68'!H95+'02.09.68'!H95+'03.09.68'!H95+'04.09.68'!H95+'05.09.68'!H95+'06.09.68'!H95+'07.09.68'!H95+'08.09.68'!H95+'09.09.68'!H95+'10.09.68'!H95+'11.09.68'!H95+'12.09.68'!H95+'13.09.68'!H95+'14.09.68'!H95+'15.09.68'!H95+'16.09.68'!H95+'17.09.68'!H95+'18.09.68'!H95+'19.09.68'!H95+'20.09.68'!H95+'21.09.68'!H95+'22.09.68'!H95+'23.09.68'!H95+'24.09.68'!H95+'25.09.68'!H95+'26.09.68'!H95+'27.09.68'!H95+'28.09.68'!H95+'29.09.68'!H95+'30.09.68'!H95</f>
        <v>0</v>
      </c>
      <c r="I95" s="65">
        <f t="shared" si="9"/>
        <v>0</v>
      </c>
      <c r="J95" s="52">
        <f>+'01.09.68'!J95+'02.09.68'!J95+'03.09.68'!J95+'04.09.68'!J95+'05.09.68'!J95+'06.09.68'!J95+'07.09.68'!J95+'08.09.68'!J95+'09.09.68'!J95+'10.09.68'!J95+'11.09.68'!J95+'12.09.68'!J95+'13.09.68'!J95+'14.09.68'!J95+'15.09.68'!J95+'16.09.68'!J95+'17.09.68'!J95+'18.09.68'!J95+'19.09.68'!J95+'20.09.68'!J95+'21.09.68'!J95+'22.09.68'!J95+'23.09.68'!J95+'24.09.68'!J95+'25.09.68'!J95+'26.09.68'!J95+'27.09.68'!J95+'28.09.68'!J95+'29.09.68'!J95+'30.09.68'!J95</f>
        <v>0</v>
      </c>
      <c r="K95" s="52">
        <f>+'01.09.68'!K95+'02.09.68'!K95+'03.09.68'!K95+'04.09.68'!K95+'05.09.68'!K95+'06.09.68'!K95+'07.09.68'!K95+'08.09.68'!K95+'09.09.68'!K95+'10.09.68'!K95+'11.09.68'!K95+'12.09.68'!K95+'13.09.68'!K95+'14.09.68'!K95+'15.09.68'!K95+'16.09.68'!K95+'17.09.68'!K95+'18.09.68'!K95+'19.09.68'!K95+'20.09.68'!K95+'21.09.68'!K95+'22.09.68'!K95+'23.09.68'!K95+'24.09.68'!K95+'25.09.68'!K95+'26.09.68'!K95+'27.09.68'!K95+'28.09.68'!K95+'29.09.68'!K95+'30.09.68'!K95</f>
        <v>0</v>
      </c>
      <c r="L95" s="65">
        <f t="shared" si="10"/>
        <v>0</v>
      </c>
      <c r="M95" s="52">
        <f>+'01.09.68'!M95+'02.09.68'!M95+'03.09.68'!M95+'04.09.68'!M95+'05.09.68'!M95+'06.09.68'!M95+'07.09.68'!M95+'08.09.68'!M95+'09.09.68'!M95+'10.09.68'!M95+'11.09.68'!M95+'12.09.68'!M95+'13.09.68'!M95+'14.09.68'!M95+'15.09.68'!M95+'16.09.68'!M95+'17.09.68'!M95+'18.09.68'!M95+'19.09.68'!M95+'20.09.68'!M95+'21.09.68'!M95+'22.09.68'!M95+'23.09.68'!M95+'24.09.68'!M95+'25.09.68'!M95+'26.09.68'!M95+'27.09.68'!M95+'28.09.68'!M95+'29.09.68'!M95+'30.09.68'!M95</f>
        <v>0</v>
      </c>
      <c r="N95" s="52">
        <f>+'01.09.68'!N95+'02.09.68'!N95+'03.09.68'!N95+'04.09.68'!N95+'05.09.68'!N95+'06.09.68'!N95+'07.09.68'!N95+'08.09.68'!N95+'09.09.68'!N95+'10.09.68'!N95+'11.09.68'!N95+'12.09.68'!N95+'13.09.68'!N95+'14.09.68'!N95+'15.09.68'!N95+'16.09.68'!N95+'17.09.68'!N95+'18.09.68'!N95+'19.09.68'!N95+'20.09.68'!N95+'21.09.68'!N95+'22.09.68'!N95+'23.09.68'!N95+'24.09.68'!N95+'25.09.68'!N95+'26.09.68'!N95+'27.09.68'!N95+'28.09.68'!N95+'29.09.68'!N95+'30.09.68'!N95</f>
        <v>0</v>
      </c>
      <c r="O95" s="65">
        <f t="shared" si="11"/>
        <v>0</v>
      </c>
      <c r="P95" s="52">
        <f>+'01.09.68'!P95+'02.09.68'!P95+'03.09.68'!P95+'04.09.68'!P95+'05.09.68'!P95+'06.09.68'!P95+'07.09.68'!P95+'08.09.68'!P95+'09.09.68'!P95+'10.09.68'!P95+'11.09.68'!P95+'12.09.68'!P95+'13.09.68'!P95+'14.09.68'!P95+'15.09.68'!P95+'16.09.68'!P95+'17.09.68'!P95+'18.09.68'!P95+'19.09.68'!P95+'20.09.68'!P95+'21.09.68'!P95+'22.09.68'!P95+'23.09.68'!P95+'24.09.68'!P95+'25.09.68'!P95+'26.09.68'!P95+'27.09.68'!P95+'28.09.68'!P95+'29.09.68'!P95+'30.09.68'!P95</f>
        <v>0</v>
      </c>
      <c r="Q95" s="52">
        <f>+'01.09.68'!Q95+'02.09.68'!Q95+'03.09.68'!Q95+'04.09.68'!Q95+'05.09.68'!Q95+'06.09.68'!Q95+'07.09.68'!Q95+'08.09.68'!Q95+'09.09.68'!Q95+'10.09.68'!Q95+'11.09.68'!Q95+'12.09.68'!Q95+'13.09.68'!Q95+'14.09.68'!Q95+'15.09.68'!Q95+'16.09.68'!Q95+'17.09.68'!Q95+'18.09.68'!Q95+'19.09.68'!Q95+'20.09.68'!Q95+'21.09.68'!Q95+'22.09.68'!Q95+'23.09.68'!Q95+'24.09.68'!Q95+'25.09.68'!Q95+'26.09.68'!Q95+'27.09.68'!Q95+'28.09.68'!Q95+'29.09.68'!Q95+'30.09.68'!Q95</f>
        <v>0</v>
      </c>
      <c r="R95" s="65">
        <f t="shared" si="12"/>
        <v>0</v>
      </c>
      <c r="S95" s="52">
        <f>+'01.09.68'!S95+'02.09.68'!S95+'03.09.68'!S95+'04.09.68'!S95+'05.09.68'!S95+'06.09.68'!S95+'07.09.68'!S95+'08.09.68'!S95+'09.09.68'!S95+'10.09.68'!S95+'11.09.68'!S95+'12.09.68'!S95+'13.09.68'!S95+'14.09.68'!S95+'15.09.68'!S95+'16.09.68'!S95+'17.09.68'!S95+'18.09.68'!S95+'19.09.68'!S95+'20.09.68'!S95+'21.09.68'!S95+'22.09.68'!S95+'23.09.68'!S95+'24.09.68'!S95+'25.09.68'!S95+'26.09.68'!S95+'27.09.68'!S95+'28.09.68'!S95+'29.09.68'!S95+'30.09.68'!S95</f>
        <v>0</v>
      </c>
      <c r="T95" s="52">
        <f>+'01.09.68'!T95+'02.09.68'!T95+'03.09.68'!T95+'04.09.68'!T95+'05.09.68'!T95+'06.09.68'!T95+'07.09.68'!T95+'08.09.68'!T95+'09.09.68'!T95+'10.09.68'!T95+'11.09.68'!T95+'12.09.68'!T95+'13.09.68'!T95+'14.09.68'!T95+'15.09.68'!T95+'16.09.68'!T95+'17.09.68'!T95+'18.09.68'!T95+'19.09.68'!T95+'20.09.68'!T95+'21.09.68'!T95+'22.09.68'!T95+'23.09.68'!T95+'24.09.68'!T95+'25.09.68'!T95+'26.09.68'!T95+'27.09.68'!T95+'28.09.68'!T95+'29.09.68'!T95+'30.09.68'!T95</f>
        <v>0</v>
      </c>
      <c r="U95" s="65">
        <f t="shared" si="13"/>
        <v>0</v>
      </c>
      <c r="V95" s="52">
        <f>+'01.09.68'!V95+'02.09.68'!V95+'03.09.68'!V95+'04.09.68'!V95+'05.09.68'!V95+'06.09.68'!V95+'07.09.68'!V95+'08.09.68'!V95+'09.09.68'!V95+'10.09.68'!V95+'11.09.68'!V95+'12.09.68'!V95+'13.09.68'!V95+'14.09.68'!V95+'15.09.68'!V95+'16.09.68'!V95+'17.09.68'!V95+'18.09.68'!V95+'19.09.68'!V95+'20.09.68'!V95+'21.09.68'!V95+'22.09.68'!V95+'23.09.68'!V95+'24.09.68'!V95+'25.09.68'!V95+'26.09.68'!V95+'27.09.68'!V95+'28.09.68'!V95+'29.09.68'!V95+'30.09.68'!V95</f>
        <v>0</v>
      </c>
      <c r="W95" s="52">
        <f>+'01.09.68'!W95+'02.09.68'!W95+'03.09.68'!W95+'04.09.68'!W95+'05.09.68'!W95+'06.09.68'!W95+'07.09.68'!W95+'08.09.68'!W95+'09.09.68'!W95+'10.09.68'!W95+'11.09.68'!W95+'12.09.68'!W95+'13.09.68'!W95+'14.09.68'!W95+'15.09.68'!W95+'16.09.68'!W95+'17.09.68'!W95+'18.09.68'!W95+'19.09.68'!W95+'20.09.68'!W95+'21.09.68'!W95+'22.09.68'!W95+'23.09.68'!W95+'24.09.68'!W95+'25.09.68'!W95+'26.09.68'!W95+'27.09.68'!W95+'28.09.68'!W95+'29.09.68'!W95+'30.09.68'!W95</f>
        <v>0</v>
      </c>
      <c r="X95" s="65">
        <f t="shared" si="14"/>
        <v>0</v>
      </c>
      <c r="Y95" s="52">
        <f>+'01.09.68'!Y95+'02.09.68'!Y95+'03.09.68'!Y95+'04.09.68'!Y95+'05.09.68'!Y95+'06.09.68'!Y95+'07.09.68'!Y95+'08.09.68'!Y95+'09.09.68'!Y95+'10.09.68'!Y95+'11.09.68'!Y95+'12.09.68'!Y95+'13.09.68'!Y95+'14.09.68'!Y95+'15.09.68'!Y95+'16.09.68'!Y95+'17.09.68'!Y95+'18.09.68'!Y95+'19.09.68'!Y95+'20.09.68'!Y95+'21.09.68'!Y95+'22.09.68'!Y95+'23.09.68'!Y95+'24.09.68'!Y95+'25.09.68'!Y95+'26.09.68'!Y95+'27.09.68'!Y95+'28.09.68'!Y95+'29.09.68'!Y95+'30.09.68'!Y95</f>
        <v>0</v>
      </c>
      <c r="Z95" s="66">
        <f t="shared" si="15"/>
        <v>0</v>
      </c>
    </row>
    <row r="96" spans="2:26">
      <c r="B96" s="50">
        <v>1111086</v>
      </c>
      <c r="C96" s="53" t="s">
        <v>14</v>
      </c>
      <c r="D96" s="52">
        <f>+'01.09.68'!D96+'02.09.68'!D96+'03.09.68'!D96+'04.09.68'!D96+'05.09.68'!D96+'06.09.68'!D96+'07.09.68'!D96+'08.09.68'!D96+'09.09.68'!D96+'10.09.68'!D96+'11.09.68'!D96+'12.09.68'!D96+'13.09.68'!D96+'14.09.68'!D96+'15.09.68'!D96+'16.09.68'!D96+'17.09.68'!D96+'18.09.68'!D96+'19.09.68'!D96+'20.09.68'!D96+'21.09.68'!D96+'22.09.68'!D96+'23.09.68'!D96+'24.09.68'!D96+'25.09.68'!D96+'26.09.68'!D96+'27.09.68'!D96+'28.09.68'!D96+'29.09.68'!D96+'30.09.68'!D96</f>
        <v>0</v>
      </c>
      <c r="E96" s="52">
        <f>+'01.09.68'!E96+'02.09.68'!E96+'03.09.68'!E96+'04.09.68'!E96+'05.09.68'!E96+'06.09.68'!E96+'07.09.68'!E96+'08.09.68'!E96+'09.09.68'!E96+'10.09.68'!E96+'11.09.68'!E96+'12.09.68'!E96+'13.09.68'!E96+'14.09.68'!E96+'15.09.68'!E96+'16.09.68'!E96+'17.09.68'!E96+'18.09.68'!E96+'19.09.68'!E96+'20.09.68'!E96+'21.09.68'!E96+'22.09.68'!E96+'23.09.68'!E96+'24.09.68'!E96+'25.09.68'!E96+'26.09.68'!E96+'27.09.68'!E96+'28.09.68'!E96+'29.09.68'!E96+'30.09.68'!E96</f>
        <v>0</v>
      </c>
      <c r="F96" s="65">
        <f t="shared" si="8"/>
        <v>0</v>
      </c>
      <c r="G96" s="52">
        <f>+'01.09.68'!G96+'02.09.68'!G96+'03.09.68'!G96+'04.09.68'!G96+'05.09.68'!G96+'06.09.68'!G96+'07.09.68'!G96+'08.09.68'!G96+'09.09.68'!G96+'10.09.68'!G96+'11.09.68'!G96+'12.09.68'!G96+'13.09.68'!G96+'14.09.68'!G96+'15.09.68'!G96+'16.09.68'!G96+'17.09.68'!G96+'18.09.68'!G96+'19.09.68'!G96+'20.09.68'!G96+'21.09.68'!G96+'22.09.68'!G96+'23.09.68'!G96+'24.09.68'!G96+'25.09.68'!G96+'26.09.68'!G96+'27.09.68'!G96+'28.09.68'!G96+'29.09.68'!G96+'30.09.68'!G96</f>
        <v>0</v>
      </c>
      <c r="H96" s="52">
        <f>+'01.09.68'!H96+'02.09.68'!H96+'03.09.68'!H96+'04.09.68'!H96+'05.09.68'!H96+'06.09.68'!H96+'07.09.68'!H96+'08.09.68'!H96+'09.09.68'!H96+'10.09.68'!H96+'11.09.68'!H96+'12.09.68'!H96+'13.09.68'!H96+'14.09.68'!H96+'15.09.68'!H96+'16.09.68'!H96+'17.09.68'!H96+'18.09.68'!H96+'19.09.68'!H96+'20.09.68'!H96+'21.09.68'!H96+'22.09.68'!H96+'23.09.68'!H96+'24.09.68'!H96+'25.09.68'!H96+'26.09.68'!H96+'27.09.68'!H96+'28.09.68'!H96+'29.09.68'!H96+'30.09.68'!H96</f>
        <v>0</v>
      </c>
      <c r="I96" s="65">
        <f t="shared" si="9"/>
        <v>0</v>
      </c>
      <c r="J96" s="52">
        <f>+'01.09.68'!J96+'02.09.68'!J96+'03.09.68'!J96+'04.09.68'!J96+'05.09.68'!J96+'06.09.68'!J96+'07.09.68'!J96+'08.09.68'!J96+'09.09.68'!J96+'10.09.68'!J96+'11.09.68'!J96+'12.09.68'!J96+'13.09.68'!J96+'14.09.68'!J96+'15.09.68'!J96+'16.09.68'!J96+'17.09.68'!J96+'18.09.68'!J96+'19.09.68'!J96+'20.09.68'!J96+'21.09.68'!J96+'22.09.68'!J96+'23.09.68'!J96+'24.09.68'!J96+'25.09.68'!J96+'26.09.68'!J96+'27.09.68'!J96+'28.09.68'!J96+'29.09.68'!J96+'30.09.68'!J96</f>
        <v>0</v>
      </c>
      <c r="K96" s="52">
        <f>+'01.09.68'!K96+'02.09.68'!K96+'03.09.68'!K96+'04.09.68'!K96+'05.09.68'!K96+'06.09.68'!K96+'07.09.68'!K96+'08.09.68'!K96+'09.09.68'!K96+'10.09.68'!K96+'11.09.68'!K96+'12.09.68'!K96+'13.09.68'!K96+'14.09.68'!K96+'15.09.68'!K96+'16.09.68'!K96+'17.09.68'!K96+'18.09.68'!K96+'19.09.68'!K96+'20.09.68'!K96+'21.09.68'!K96+'22.09.68'!K96+'23.09.68'!K96+'24.09.68'!K96+'25.09.68'!K96+'26.09.68'!K96+'27.09.68'!K96+'28.09.68'!K96+'29.09.68'!K96+'30.09.68'!K96</f>
        <v>0</v>
      </c>
      <c r="L96" s="65">
        <f t="shared" si="10"/>
        <v>0</v>
      </c>
      <c r="M96" s="52">
        <f>+'01.09.68'!M96+'02.09.68'!M96+'03.09.68'!M96+'04.09.68'!M96+'05.09.68'!M96+'06.09.68'!M96+'07.09.68'!M96+'08.09.68'!M96+'09.09.68'!M96+'10.09.68'!M96+'11.09.68'!M96+'12.09.68'!M96+'13.09.68'!M96+'14.09.68'!M96+'15.09.68'!M96+'16.09.68'!M96+'17.09.68'!M96+'18.09.68'!M96+'19.09.68'!M96+'20.09.68'!M96+'21.09.68'!M96+'22.09.68'!M96+'23.09.68'!M96+'24.09.68'!M96+'25.09.68'!M96+'26.09.68'!M96+'27.09.68'!M96+'28.09.68'!M96+'29.09.68'!M96+'30.09.68'!M96</f>
        <v>0</v>
      </c>
      <c r="N96" s="52">
        <f>+'01.09.68'!N96+'02.09.68'!N96+'03.09.68'!N96+'04.09.68'!N96+'05.09.68'!N96+'06.09.68'!N96+'07.09.68'!N96+'08.09.68'!N96+'09.09.68'!N96+'10.09.68'!N96+'11.09.68'!N96+'12.09.68'!N96+'13.09.68'!N96+'14.09.68'!N96+'15.09.68'!N96+'16.09.68'!N96+'17.09.68'!N96+'18.09.68'!N96+'19.09.68'!N96+'20.09.68'!N96+'21.09.68'!N96+'22.09.68'!N96+'23.09.68'!N96+'24.09.68'!N96+'25.09.68'!N96+'26.09.68'!N96+'27.09.68'!N96+'28.09.68'!N96+'29.09.68'!N96+'30.09.68'!N96</f>
        <v>0</v>
      </c>
      <c r="O96" s="65">
        <f t="shared" si="11"/>
        <v>0</v>
      </c>
      <c r="P96" s="52">
        <f>+'01.09.68'!P96+'02.09.68'!P96+'03.09.68'!P96+'04.09.68'!P96+'05.09.68'!P96+'06.09.68'!P96+'07.09.68'!P96+'08.09.68'!P96+'09.09.68'!P96+'10.09.68'!P96+'11.09.68'!P96+'12.09.68'!P96+'13.09.68'!P96+'14.09.68'!P96+'15.09.68'!P96+'16.09.68'!P96+'17.09.68'!P96+'18.09.68'!P96+'19.09.68'!P96+'20.09.68'!P96+'21.09.68'!P96+'22.09.68'!P96+'23.09.68'!P96+'24.09.68'!P96+'25.09.68'!P96+'26.09.68'!P96+'27.09.68'!P96+'28.09.68'!P96+'29.09.68'!P96+'30.09.68'!P96</f>
        <v>0</v>
      </c>
      <c r="Q96" s="52">
        <f>+'01.09.68'!Q96+'02.09.68'!Q96+'03.09.68'!Q96+'04.09.68'!Q96+'05.09.68'!Q96+'06.09.68'!Q96+'07.09.68'!Q96+'08.09.68'!Q96+'09.09.68'!Q96+'10.09.68'!Q96+'11.09.68'!Q96+'12.09.68'!Q96+'13.09.68'!Q96+'14.09.68'!Q96+'15.09.68'!Q96+'16.09.68'!Q96+'17.09.68'!Q96+'18.09.68'!Q96+'19.09.68'!Q96+'20.09.68'!Q96+'21.09.68'!Q96+'22.09.68'!Q96+'23.09.68'!Q96+'24.09.68'!Q96+'25.09.68'!Q96+'26.09.68'!Q96+'27.09.68'!Q96+'28.09.68'!Q96+'29.09.68'!Q96+'30.09.68'!Q96</f>
        <v>0</v>
      </c>
      <c r="R96" s="65">
        <f t="shared" si="12"/>
        <v>0</v>
      </c>
      <c r="S96" s="52">
        <f>+'01.09.68'!S96+'02.09.68'!S96+'03.09.68'!S96+'04.09.68'!S96+'05.09.68'!S96+'06.09.68'!S96+'07.09.68'!S96+'08.09.68'!S96+'09.09.68'!S96+'10.09.68'!S96+'11.09.68'!S96+'12.09.68'!S96+'13.09.68'!S96+'14.09.68'!S96+'15.09.68'!S96+'16.09.68'!S96+'17.09.68'!S96+'18.09.68'!S96+'19.09.68'!S96+'20.09.68'!S96+'21.09.68'!S96+'22.09.68'!S96+'23.09.68'!S96+'24.09.68'!S96+'25.09.68'!S96+'26.09.68'!S96+'27.09.68'!S96+'28.09.68'!S96+'29.09.68'!S96+'30.09.68'!S96</f>
        <v>0</v>
      </c>
      <c r="T96" s="52">
        <f>+'01.09.68'!T96+'02.09.68'!T96+'03.09.68'!T96+'04.09.68'!T96+'05.09.68'!T96+'06.09.68'!T96+'07.09.68'!T96+'08.09.68'!T96+'09.09.68'!T96+'10.09.68'!T96+'11.09.68'!T96+'12.09.68'!T96+'13.09.68'!T96+'14.09.68'!T96+'15.09.68'!T96+'16.09.68'!T96+'17.09.68'!T96+'18.09.68'!T96+'19.09.68'!T96+'20.09.68'!T96+'21.09.68'!T96+'22.09.68'!T96+'23.09.68'!T96+'24.09.68'!T96+'25.09.68'!T96+'26.09.68'!T96+'27.09.68'!T96+'28.09.68'!T96+'29.09.68'!T96+'30.09.68'!T96</f>
        <v>0</v>
      </c>
      <c r="U96" s="65">
        <f t="shared" si="13"/>
        <v>0</v>
      </c>
      <c r="V96" s="52">
        <f>+'01.09.68'!V96+'02.09.68'!V96+'03.09.68'!V96+'04.09.68'!V96+'05.09.68'!V96+'06.09.68'!V96+'07.09.68'!V96+'08.09.68'!V96+'09.09.68'!V96+'10.09.68'!V96+'11.09.68'!V96+'12.09.68'!V96+'13.09.68'!V96+'14.09.68'!V96+'15.09.68'!V96+'16.09.68'!V96+'17.09.68'!V96+'18.09.68'!V96+'19.09.68'!V96+'20.09.68'!V96+'21.09.68'!V96+'22.09.68'!V96+'23.09.68'!V96+'24.09.68'!V96+'25.09.68'!V96+'26.09.68'!V96+'27.09.68'!V96+'28.09.68'!V96+'29.09.68'!V96+'30.09.68'!V96</f>
        <v>0</v>
      </c>
      <c r="W96" s="52">
        <f>+'01.09.68'!W96+'02.09.68'!W96+'03.09.68'!W96+'04.09.68'!W96+'05.09.68'!W96+'06.09.68'!W96+'07.09.68'!W96+'08.09.68'!W96+'09.09.68'!W96+'10.09.68'!W96+'11.09.68'!W96+'12.09.68'!W96+'13.09.68'!W96+'14.09.68'!W96+'15.09.68'!W96+'16.09.68'!W96+'17.09.68'!W96+'18.09.68'!W96+'19.09.68'!W96+'20.09.68'!W96+'21.09.68'!W96+'22.09.68'!W96+'23.09.68'!W96+'24.09.68'!W96+'25.09.68'!W96+'26.09.68'!W96+'27.09.68'!W96+'28.09.68'!W96+'29.09.68'!W96+'30.09.68'!W96</f>
        <v>0</v>
      </c>
      <c r="X96" s="65">
        <f t="shared" si="14"/>
        <v>0</v>
      </c>
      <c r="Y96" s="52">
        <f>+'01.09.68'!Y96+'02.09.68'!Y96+'03.09.68'!Y96+'04.09.68'!Y96+'05.09.68'!Y96+'06.09.68'!Y96+'07.09.68'!Y96+'08.09.68'!Y96+'09.09.68'!Y96+'10.09.68'!Y96+'11.09.68'!Y96+'12.09.68'!Y96+'13.09.68'!Y96+'14.09.68'!Y96+'15.09.68'!Y96+'16.09.68'!Y96+'17.09.68'!Y96+'18.09.68'!Y96+'19.09.68'!Y96+'20.09.68'!Y96+'21.09.68'!Y96+'22.09.68'!Y96+'23.09.68'!Y96+'24.09.68'!Y96+'25.09.68'!Y96+'26.09.68'!Y96+'27.09.68'!Y96+'28.09.68'!Y96+'29.09.68'!Y96+'30.09.68'!Y96</f>
        <v>0</v>
      </c>
      <c r="Z96" s="66">
        <f t="shared" si="15"/>
        <v>0</v>
      </c>
    </row>
    <row r="97" spans="2:31">
      <c r="B97" s="50">
        <v>20059548</v>
      </c>
      <c r="C97" s="53" t="s">
        <v>199</v>
      </c>
      <c r="D97" s="52">
        <f>+'01.09.68'!D97+'02.09.68'!D97+'03.09.68'!D97+'04.09.68'!D97+'05.09.68'!D97+'06.09.68'!D97+'07.09.68'!D97+'08.09.68'!D97+'09.09.68'!D97+'10.09.68'!D97+'11.09.68'!D97+'12.09.68'!D97+'13.09.68'!D97+'14.09.68'!D97+'15.09.68'!D97+'16.09.68'!D97+'17.09.68'!D97+'18.09.68'!D97+'19.09.68'!D97+'20.09.68'!D97+'21.09.68'!D97+'22.09.68'!D97+'23.09.68'!D97+'24.09.68'!D97+'25.09.68'!D97+'26.09.68'!D97+'27.09.68'!D97+'28.09.68'!D97+'29.09.68'!D97+'30.09.68'!D97</f>
        <v>0</v>
      </c>
      <c r="E97" s="52">
        <f>+'01.09.68'!E97+'02.09.68'!E97+'03.09.68'!E97+'04.09.68'!E97+'05.09.68'!E97+'06.09.68'!E97+'07.09.68'!E97+'08.09.68'!E97+'09.09.68'!E97+'10.09.68'!E97+'11.09.68'!E97+'12.09.68'!E97+'13.09.68'!E97+'14.09.68'!E97+'15.09.68'!E97+'16.09.68'!E97+'17.09.68'!E97+'18.09.68'!E97+'19.09.68'!E97+'20.09.68'!E97+'21.09.68'!E97+'22.09.68'!E97+'23.09.68'!E97+'24.09.68'!E97+'25.09.68'!E97+'26.09.68'!E97+'27.09.68'!E97+'28.09.68'!E97+'29.09.68'!E97+'30.09.68'!E97</f>
        <v>0</v>
      </c>
      <c r="F97" s="65">
        <f t="shared" si="8"/>
        <v>0</v>
      </c>
      <c r="G97" s="52">
        <f>+'01.09.68'!G97+'02.09.68'!G97+'03.09.68'!G97+'04.09.68'!G97+'05.09.68'!G97+'06.09.68'!G97+'07.09.68'!G97+'08.09.68'!G97+'09.09.68'!G97+'10.09.68'!G97+'11.09.68'!G97+'12.09.68'!G97+'13.09.68'!G97+'14.09.68'!G97+'15.09.68'!G97+'16.09.68'!G97+'17.09.68'!G97+'18.09.68'!G97+'19.09.68'!G97+'20.09.68'!G97+'21.09.68'!G97+'22.09.68'!G97+'23.09.68'!G97+'24.09.68'!G97+'25.09.68'!G97+'26.09.68'!G97+'27.09.68'!G97+'28.09.68'!G97+'29.09.68'!G97+'30.09.68'!G97</f>
        <v>0</v>
      </c>
      <c r="H97" s="52">
        <f>+'01.09.68'!H97+'02.09.68'!H97+'03.09.68'!H97+'04.09.68'!H97+'05.09.68'!H97+'06.09.68'!H97+'07.09.68'!H97+'08.09.68'!H97+'09.09.68'!H97+'10.09.68'!H97+'11.09.68'!H97+'12.09.68'!H97+'13.09.68'!H97+'14.09.68'!H97+'15.09.68'!H97+'16.09.68'!H97+'17.09.68'!H97+'18.09.68'!H97+'19.09.68'!H97+'20.09.68'!H97+'21.09.68'!H97+'22.09.68'!H97+'23.09.68'!H97+'24.09.68'!H97+'25.09.68'!H97+'26.09.68'!H97+'27.09.68'!H97+'28.09.68'!H97+'29.09.68'!H97+'30.09.68'!H97</f>
        <v>0</v>
      </c>
      <c r="I97" s="65">
        <f t="shared" si="9"/>
        <v>0</v>
      </c>
      <c r="J97" s="52">
        <f>+'01.09.68'!J97+'02.09.68'!J97+'03.09.68'!J97+'04.09.68'!J97+'05.09.68'!J97+'06.09.68'!J97+'07.09.68'!J97+'08.09.68'!J97+'09.09.68'!J97+'10.09.68'!J97+'11.09.68'!J97+'12.09.68'!J97+'13.09.68'!J97+'14.09.68'!J97+'15.09.68'!J97+'16.09.68'!J97+'17.09.68'!J97+'18.09.68'!J97+'19.09.68'!J97+'20.09.68'!J97+'21.09.68'!J97+'22.09.68'!J97+'23.09.68'!J97+'24.09.68'!J97+'25.09.68'!J97+'26.09.68'!J97+'27.09.68'!J97+'28.09.68'!J97+'29.09.68'!J97+'30.09.68'!J97</f>
        <v>0</v>
      </c>
      <c r="K97" s="52">
        <f>+'01.09.68'!K97+'02.09.68'!K97+'03.09.68'!K97+'04.09.68'!K97+'05.09.68'!K97+'06.09.68'!K97+'07.09.68'!K97+'08.09.68'!K97+'09.09.68'!K97+'10.09.68'!K97+'11.09.68'!K97+'12.09.68'!K97+'13.09.68'!K97+'14.09.68'!K97+'15.09.68'!K97+'16.09.68'!K97+'17.09.68'!K97+'18.09.68'!K97+'19.09.68'!K97+'20.09.68'!K97+'21.09.68'!K97+'22.09.68'!K97+'23.09.68'!K97+'24.09.68'!K97+'25.09.68'!K97+'26.09.68'!K97+'27.09.68'!K97+'28.09.68'!K97+'29.09.68'!K97+'30.09.68'!K97</f>
        <v>0</v>
      </c>
      <c r="L97" s="65">
        <f t="shared" si="10"/>
        <v>0</v>
      </c>
      <c r="M97" s="52">
        <f>+'01.09.68'!M97+'02.09.68'!M97+'03.09.68'!M97+'04.09.68'!M97+'05.09.68'!M97+'06.09.68'!M97+'07.09.68'!M97+'08.09.68'!M97+'09.09.68'!M97+'10.09.68'!M97+'11.09.68'!M97+'12.09.68'!M97+'13.09.68'!M97+'14.09.68'!M97+'15.09.68'!M97+'16.09.68'!M97+'17.09.68'!M97+'18.09.68'!M97+'19.09.68'!M97+'20.09.68'!M97+'21.09.68'!M97+'22.09.68'!M97+'23.09.68'!M97+'24.09.68'!M97+'25.09.68'!M97+'26.09.68'!M97+'27.09.68'!M97+'28.09.68'!M97+'29.09.68'!M97+'30.09.68'!M97</f>
        <v>0</v>
      </c>
      <c r="N97" s="52">
        <f>+'01.09.68'!N97+'02.09.68'!N97+'03.09.68'!N97+'04.09.68'!N97+'05.09.68'!N97+'06.09.68'!N97+'07.09.68'!N97+'08.09.68'!N97+'09.09.68'!N97+'10.09.68'!N97+'11.09.68'!N97+'12.09.68'!N97+'13.09.68'!N97+'14.09.68'!N97+'15.09.68'!N97+'16.09.68'!N97+'17.09.68'!N97+'18.09.68'!N97+'19.09.68'!N97+'20.09.68'!N97+'21.09.68'!N97+'22.09.68'!N97+'23.09.68'!N97+'24.09.68'!N97+'25.09.68'!N97+'26.09.68'!N97+'27.09.68'!N97+'28.09.68'!N97+'29.09.68'!N97+'30.09.68'!N97</f>
        <v>0</v>
      </c>
      <c r="O97" s="65">
        <f t="shared" si="11"/>
        <v>0</v>
      </c>
      <c r="P97" s="52">
        <f>+'01.09.68'!P97+'02.09.68'!P97+'03.09.68'!P97+'04.09.68'!P97+'05.09.68'!P97+'06.09.68'!P97+'07.09.68'!P97+'08.09.68'!P97+'09.09.68'!P97+'10.09.68'!P97+'11.09.68'!P97+'12.09.68'!P97+'13.09.68'!P97+'14.09.68'!P97+'15.09.68'!P97+'16.09.68'!P97+'17.09.68'!P97+'18.09.68'!P97+'19.09.68'!P97+'20.09.68'!P97+'21.09.68'!P97+'22.09.68'!P97+'23.09.68'!P97+'24.09.68'!P97+'25.09.68'!P97+'26.09.68'!P97+'27.09.68'!P97+'28.09.68'!P97+'29.09.68'!P97+'30.09.68'!P97</f>
        <v>0</v>
      </c>
      <c r="Q97" s="52">
        <f>+'01.09.68'!Q97+'02.09.68'!Q97+'03.09.68'!Q97+'04.09.68'!Q97+'05.09.68'!Q97+'06.09.68'!Q97+'07.09.68'!Q97+'08.09.68'!Q97+'09.09.68'!Q97+'10.09.68'!Q97+'11.09.68'!Q97+'12.09.68'!Q97+'13.09.68'!Q97+'14.09.68'!Q97+'15.09.68'!Q97+'16.09.68'!Q97+'17.09.68'!Q97+'18.09.68'!Q97+'19.09.68'!Q97+'20.09.68'!Q97+'21.09.68'!Q97+'22.09.68'!Q97+'23.09.68'!Q97+'24.09.68'!Q97+'25.09.68'!Q97+'26.09.68'!Q97+'27.09.68'!Q97+'28.09.68'!Q97+'29.09.68'!Q97+'30.09.68'!Q97</f>
        <v>0</v>
      </c>
      <c r="R97" s="65">
        <f t="shared" si="12"/>
        <v>0</v>
      </c>
      <c r="S97" s="52">
        <f>+'01.09.68'!S97+'02.09.68'!S97+'03.09.68'!S97+'04.09.68'!S97+'05.09.68'!S97+'06.09.68'!S97+'07.09.68'!S97+'08.09.68'!S97+'09.09.68'!S97+'10.09.68'!S97+'11.09.68'!S97+'12.09.68'!S97+'13.09.68'!S97+'14.09.68'!S97+'15.09.68'!S97+'16.09.68'!S97+'17.09.68'!S97+'18.09.68'!S97+'19.09.68'!S97+'20.09.68'!S97+'21.09.68'!S97+'22.09.68'!S97+'23.09.68'!S97+'24.09.68'!S97+'25.09.68'!S97+'26.09.68'!S97+'27.09.68'!S97+'28.09.68'!S97+'29.09.68'!S97+'30.09.68'!S97</f>
        <v>0</v>
      </c>
      <c r="T97" s="52">
        <f>+'01.09.68'!T97+'02.09.68'!T97+'03.09.68'!T97+'04.09.68'!T97+'05.09.68'!T97+'06.09.68'!T97+'07.09.68'!T97+'08.09.68'!T97+'09.09.68'!T97+'10.09.68'!T97+'11.09.68'!T97+'12.09.68'!T97+'13.09.68'!T97+'14.09.68'!T97+'15.09.68'!T97+'16.09.68'!T97+'17.09.68'!T97+'18.09.68'!T97+'19.09.68'!T97+'20.09.68'!T97+'21.09.68'!T97+'22.09.68'!T97+'23.09.68'!T97+'24.09.68'!T97+'25.09.68'!T97+'26.09.68'!T97+'27.09.68'!T97+'28.09.68'!T97+'29.09.68'!T97+'30.09.68'!T97</f>
        <v>0</v>
      </c>
      <c r="U97" s="65">
        <f t="shared" si="13"/>
        <v>0</v>
      </c>
      <c r="V97" s="52">
        <f>+'01.09.68'!V97+'02.09.68'!V97+'03.09.68'!V97+'04.09.68'!V97+'05.09.68'!V97+'06.09.68'!V97+'07.09.68'!V97+'08.09.68'!V97+'09.09.68'!V97+'10.09.68'!V97+'11.09.68'!V97+'12.09.68'!V97+'13.09.68'!V97+'14.09.68'!V97+'15.09.68'!V97+'16.09.68'!V97+'17.09.68'!V97+'18.09.68'!V97+'19.09.68'!V97+'20.09.68'!V97+'21.09.68'!V97+'22.09.68'!V97+'23.09.68'!V97+'24.09.68'!V97+'25.09.68'!V97+'26.09.68'!V97+'27.09.68'!V97+'28.09.68'!V97+'29.09.68'!V97+'30.09.68'!V97</f>
        <v>0</v>
      </c>
      <c r="W97" s="52">
        <f>+'01.09.68'!W97+'02.09.68'!W97+'03.09.68'!W97+'04.09.68'!W97+'05.09.68'!W97+'06.09.68'!W97+'07.09.68'!W97+'08.09.68'!W97+'09.09.68'!W97+'10.09.68'!W97+'11.09.68'!W97+'12.09.68'!W97+'13.09.68'!W97+'14.09.68'!W97+'15.09.68'!W97+'16.09.68'!W97+'17.09.68'!W97+'18.09.68'!W97+'19.09.68'!W97+'20.09.68'!W97+'21.09.68'!W97+'22.09.68'!W97+'23.09.68'!W97+'24.09.68'!W97+'25.09.68'!W97+'26.09.68'!W97+'27.09.68'!W97+'28.09.68'!W97+'29.09.68'!W97+'30.09.68'!W97</f>
        <v>0</v>
      </c>
      <c r="X97" s="65">
        <f t="shared" si="14"/>
        <v>0</v>
      </c>
      <c r="Y97" s="52">
        <f>+'01.09.68'!Y97+'02.09.68'!Y97+'03.09.68'!Y97+'04.09.68'!Y97+'05.09.68'!Y97+'06.09.68'!Y97+'07.09.68'!Y97+'08.09.68'!Y97+'09.09.68'!Y97+'10.09.68'!Y97+'11.09.68'!Y97+'12.09.68'!Y97+'13.09.68'!Y97+'14.09.68'!Y97+'15.09.68'!Y97+'16.09.68'!Y97+'17.09.68'!Y97+'18.09.68'!Y97+'19.09.68'!Y97+'20.09.68'!Y97+'21.09.68'!Y97+'22.09.68'!Y97+'23.09.68'!Y97+'24.09.68'!Y97+'25.09.68'!Y97+'26.09.68'!Y97+'27.09.68'!Y97+'28.09.68'!Y97+'29.09.68'!Y97+'30.09.68'!Y97</f>
        <v>0</v>
      </c>
      <c r="Z97" s="66">
        <f t="shared" si="15"/>
        <v>0</v>
      </c>
    </row>
    <row r="98" spans="2:31">
      <c r="B98" s="50">
        <v>1100044</v>
      </c>
      <c r="C98" s="53" t="s">
        <v>142</v>
      </c>
      <c r="D98" s="52">
        <f>+'01.09.68'!D98+'02.09.68'!D98+'03.09.68'!D98+'04.09.68'!D98+'05.09.68'!D98+'06.09.68'!D98+'07.09.68'!D98+'08.09.68'!D98+'09.09.68'!D98+'10.09.68'!D98+'11.09.68'!D98+'12.09.68'!D98+'13.09.68'!D98+'14.09.68'!D98+'15.09.68'!D98+'16.09.68'!D98+'17.09.68'!D98+'18.09.68'!D98+'19.09.68'!D98+'20.09.68'!D98+'21.09.68'!D98+'22.09.68'!D98+'23.09.68'!D98+'24.09.68'!D98+'25.09.68'!D98+'26.09.68'!D98+'27.09.68'!D98+'28.09.68'!D98+'29.09.68'!D98+'30.09.68'!D98</f>
        <v>0</v>
      </c>
      <c r="E98" s="52">
        <f>+'01.09.68'!E98+'02.09.68'!E98+'03.09.68'!E98+'04.09.68'!E98+'05.09.68'!E98+'06.09.68'!E98+'07.09.68'!E98+'08.09.68'!E98+'09.09.68'!E98+'10.09.68'!E98+'11.09.68'!E98+'12.09.68'!E98+'13.09.68'!E98+'14.09.68'!E98+'15.09.68'!E98+'16.09.68'!E98+'17.09.68'!E98+'18.09.68'!E98+'19.09.68'!E98+'20.09.68'!E98+'21.09.68'!E98+'22.09.68'!E98+'23.09.68'!E98+'24.09.68'!E98+'25.09.68'!E98+'26.09.68'!E98+'27.09.68'!E98+'28.09.68'!E98+'29.09.68'!E98+'30.09.68'!E98</f>
        <v>0</v>
      </c>
      <c r="F98" s="65">
        <f t="shared" si="8"/>
        <v>0</v>
      </c>
      <c r="G98" s="52">
        <f>+'01.09.68'!G98+'02.09.68'!G98+'03.09.68'!G98+'04.09.68'!G98+'05.09.68'!G98+'06.09.68'!G98+'07.09.68'!G98+'08.09.68'!G98+'09.09.68'!G98+'10.09.68'!G98+'11.09.68'!G98+'12.09.68'!G98+'13.09.68'!G98+'14.09.68'!G98+'15.09.68'!G98+'16.09.68'!G98+'17.09.68'!G98+'18.09.68'!G98+'19.09.68'!G98+'20.09.68'!G98+'21.09.68'!G98+'22.09.68'!G98+'23.09.68'!G98+'24.09.68'!G98+'25.09.68'!G98+'26.09.68'!G98+'27.09.68'!G98+'28.09.68'!G98+'29.09.68'!G98+'30.09.68'!G98</f>
        <v>0</v>
      </c>
      <c r="H98" s="52">
        <f>+'01.09.68'!H98+'02.09.68'!H98+'03.09.68'!H98+'04.09.68'!H98+'05.09.68'!H98+'06.09.68'!H98+'07.09.68'!H98+'08.09.68'!H98+'09.09.68'!H98+'10.09.68'!H98+'11.09.68'!H98+'12.09.68'!H98+'13.09.68'!H98+'14.09.68'!H98+'15.09.68'!H98+'16.09.68'!H98+'17.09.68'!H98+'18.09.68'!H98+'19.09.68'!H98+'20.09.68'!H98+'21.09.68'!H98+'22.09.68'!H98+'23.09.68'!H98+'24.09.68'!H98+'25.09.68'!H98+'26.09.68'!H98+'27.09.68'!H98+'28.09.68'!H98+'29.09.68'!H98+'30.09.68'!H98</f>
        <v>0</v>
      </c>
      <c r="I98" s="65">
        <f t="shared" si="9"/>
        <v>0</v>
      </c>
      <c r="J98" s="52">
        <f>+'01.09.68'!J98+'02.09.68'!J98+'03.09.68'!J98+'04.09.68'!J98+'05.09.68'!J98+'06.09.68'!J98+'07.09.68'!J98+'08.09.68'!J98+'09.09.68'!J98+'10.09.68'!J98+'11.09.68'!J98+'12.09.68'!J98+'13.09.68'!J98+'14.09.68'!J98+'15.09.68'!J98+'16.09.68'!J98+'17.09.68'!J98+'18.09.68'!J98+'19.09.68'!J98+'20.09.68'!J98+'21.09.68'!J98+'22.09.68'!J98+'23.09.68'!J98+'24.09.68'!J98+'25.09.68'!J98+'26.09.68'!J98+'27.09.68'!J98+'28.09.68'!J98+'29.09.68'!J98+'30.09.68'!J98</f>
        <v>0</v>
      </c>
      <c r="K98" s="52">
        <f>+'01.09.68'!K98+'02.09.68'!K98+'03.09.68'!K98+'04.09.68'!K98+'05.09.68'!K98+'06.09.68'!K98+'07.09.68'!K98+'08.09.68'!K98+'09.09.68'!K98+'10.09.68'!K98+'11.09.68'!K98+'12.09.68'!K98+'13.09.68'!K98+'14.09.68'!K98+'15.09.68'!K98+'16.09.68'!K98+'17.09.68'!K98+'18.09.68'!K98+'19.09.68'!K98+'20.09.68'!K98+'21.09.68'!K98+'22.09.68'!K98+'23.09.68'!K98+'24.09.68'!K98+'25.09.68'!K98+'26.09.68'!K98+'27.09.68'!K98+'28.09.68'!K98+'29.09.68'!K98+'30.09.68'!K98</f>
        <v>0</v>
      </c>
      <c r="L98" s="65">
        <f t="shared" si="10"/>
        <v>0</v>
      </c>
      <c r="M98" s="52">
        <f>+'01.09.68'!M98+'02.09.68'!M98+'03.09.68'!M98+'04.09.68'!M98+'05.09.68'!M98+'06.09.68'!M98+'07.09.68'!M98+'08.09.68'!M98+'09.09.68'!M98+'10.09.68'!M98+'11.09.68'!M98+'12.09.68'!M98+'13.09.68'!M98+'14.09.68'!M98+'15.09.68'!M98+'16.09.68'!M98+'17.09.68'!M98+'18.09.68'!M98+'19.09.68'!M98+'20.09.68'!M98+'21.09.68'!M98+'22.09.68'!M98+'23.09.68'!M98+'24.09.68'!M98+'25.09.68'!M98+'26.09.68'!M98+'27.09.68'!M98+'28.09.68'!M98+'29.09.68'!M98+'30.09.68'!M98</f>
        <v>0</v>
      </c>
      <c r="N98" s="52">
        <f>+'01.09.68'!N98+'02.09.68'!N98+'03.09.68'!N98+'04.09.68'!N98+'05.09.68'!N98+'06.09.68'!N98+'07.09.68'!N98+'08.09.68'!N98+'09.09.68'!N98+'10.09.68'!N98+'11.09.68'!N98+'12.09.68'!N98+'13.09.68'!N98+'14.09.68'!N98+'15.09.68'!N98+'16.09.68'!N98+'17.09.68'!N98+'18.09.68'!N98+'19.09.68'!N98+'20.09.68'!N98+'21.09.68'!N98+'22.09.68'!N98+'23.09.68'!N98+'24.09.68'!N98+'25.09.68'!N98+'26.09.68'!N98+'27.09.68'!N98+'28.09.68'!N98+'29.09.68'!N98+'30.09.68'!N98</f>
        <v>0</v>
      </c>
      <c r="O98" s="65">
        <f t="shared" si="11"/>
        <v>0</v>
      </c>
      <c r="P98" s="52">
        <f>+'01.09.68'!P98+'02.09.68'!P98+'03.09.68'!P98+'04.09.68'!P98+'05.09.68'!P98+'06.09.68'!P98+'07.09.68'!P98+'08.09.68'!P98+'09.09.68'!P98+'10.09.68'!P98+'11.09.68'!P98+'12.09.68'!P98+'13.09.68'!P98+'14.09.68'!P98+'15.09.68'!P98+'16.09.68'!P98+'17.09.68'!P98+'18.09.68'!P98+'19.09.68'!P98+'20.09.68'!P98+'21.09.68'!P98+'22.09.68'!P98+'23.09.68'!P98+'24.09.68'!P98+'25.09.68'!P98+'26.09.68'!P98+'27.09.68'!P98+'28.09.68'!P98+'29.09.68'!P98+'30.09.68'!P98</f>
        <v>0</v>
      </c>
      <c r="Q98" s="52">
        <f>+'01.09.68'!Q98+'02.09.68'!Q98+'03.09.68'!Q98+'04.09.68'!Q98+'05.09.68'!Q98+'06.09.68'!Q98+'07.09.68'!Q98+'08.09.68'!Q98+'09.09.68'!Q98+'10.09.68'!Q98+'11.09.68'!Q98+'12.09.68'!Q98+'13.09.68'!Q98+'14.09.68'!Q98+'15.09.68'!Q98+'16.09.68'!Q98+'17.09.68'!Q98+'18.09.68'!Q98+'19.09.68'!Q98+'20.09.68'!Q98+'21.09.68'!Q98+'22.09.68'!Q98+'23.09.68'!Q98+'24.09.68'!Q98+'25.09.68'!Q98+'26.09.68'!Q98+'27.09.68'!Q98+'28.09.68'!Q98+'29.09.68'!Q98+'30.09.68'!Q98</f>
        <v>0</v>
      </c>
      <c r="R98" s="65">
        <f t="shared" si="12"/>
        <v>0</v>
      </c>
      <c r="S98" s="52">
        <f>+'01.09.68'!S98+'02.09.68'!S98+'03.09.68'!S98+'04.09.68'!S98+'05.09.68'!S98+'06.09.68'!S98+'07.09.68'!S98+'08.09.68'!S98+'09.09.68'!S98+'10.09.68'!S98+'11.09.68'!S98+'12.09.68'!S98+'13.09.68'!S98+'14.09.68'!S98+'15.09.68'!S98+'16.09.68'!S98+'17.09.68'!S98+'18.09.68'!S98+'19.09.68'!S98+'20.09.68'!S98+'21.09.68'!S98+'22.09.68'!S98+'23.09.68'!S98+'24.09.68'!S98+'25.09.68'!S98+'26.09.68'!S98+'27.09.68'!S98+'28.09.68'!S98+'29.09.68'!S98+'30.09.68'!S98</f>
        <v>0</v>
      </c>
      <c r="T98" s="52">
        <f>+'01.09.68'!T98+'02.09.68'!T98+'03.09.68'!T98+'04.09.68'!T98+'05.09.68'!T98+'06.09.68'!T98+'07.09.68'!T98+'08.09.68'!T98+'09.09.68'!T98+'10.09.68'!T98+'11.09.68'!T98+'12.09.68'!T98+'13.09.68'!T98+'14.09.68'!T98+'15.09.68'!T98+'16.09.68'!T98+'17.09.68'!T98+'18.09.68'!T98+'19.09.68'!T98+'20.09.68'!T98+'21.09.68'!T98+'22.09.68'!T98+'23.09.68'!T98+'24.09.68'!T98+'25.09.68'!T98+'26.09.68'!T98+'27.09.68'!T98+'28.09.68'!T98+'29.09.68'!T98+'30.09.68'!T98</f>
        <v>0</v>
      </c>
      <c r="U98" s="65">
        <f t="shared" si="13"/>
        <v>0</v>
      </c>
      <c r="V98" s="52">
        <f>+'01.09.68'!V98+'02.09.68'!V98+'03.09.68'!V98+'04.09.68'!V98+'05.09.68'!V98+'06.09.68'!V98+'07.09.68'!V98+'08.09.68'!V98+'09.09.68'!V98+'10.09.68'!V98+'11.09.68'!V98+'12.09.68'!V98+'13.09.68'!V98+'14.09.68'!V98+'15.09.68'!V98+'16.09.68'!V98+'17.09.68'!V98+'18.09.68'!V98+'19.09.68'!V98+'20.09.68'!V98+'21.09.68'!V98+'22.09.68'!V98+'23.09.68'!V98+'24.09.68'!V98+'25.09.68'!V98+'26.09.68'!V98+'27.09.68'!V98+'28.09.68'!V98+'29.09.68'!V98+'30.09.68'!V98</f>
        <v>0</v>
      </c>
      <c r="W98" s="52">
        <f>+'01.09.68'!W98+'02.09.68'!W98+'03.09.68'!W98+'04.09.68'!W98+'05.09.68'!W98+'06.09.68'!W98+'07.09.68'!W98+'08.09.68'!W98+'09.09.68'!W98+'10.09.68'!W98+'11.09.68'!W98+'12.09.68'!W98+'13.09.68'!W98+'14.09.68'!W98+'15.09.68'!W98+'16.09.68'!W98+'17.09.68'!W98+'18.09.68'!W98+'19.09.68'!W98+'20.09.68'!W98+'21.09.68'!W98+'22.09.68'!W98+'23.09.68'!W98+'24.09.68'!W98+'25.09.68'!W98+'26.09.68'!W98+'27.09.68'!W98+'28.09.68'!W98+'29.09.68'!W98+'30.09.68'!W98</f>
        <v>0</v>
      </c>
      <c r="X98" s="65">
        <f t="shared" si="14"/>
        <v>0</v>
      </c>
      <c r="Y98" s="52">
        <f>+'01.09.68'!Y98+'02.09.68'!Y98+'03.09.68'!Y98+'04.09.68'!Y98+'05.09.68'!Y98+'06.09.68'!Y98+'07.09.68'!Y98+'08.09.68'!Y98+'09.09.68'!Y98+'10.09.68'!Y98+'11.09.68'!Y98+'12.09.68'!Y98+'13.09.68'!Y98+'14.09.68'!Y98+'15.09.68'!Y98+'16.09.68'!Y98+'17.09.68'!Y98+'18.09.68'!Y98+'19.09.68'!Y98+'20.09.68'!Y98+'21.09.68'!Y98+'22.09.68'!Y98+'23.09.68'!Y98+'24.09.68'!Y98+'25.09.68'!Y98+'26.09.68'!Y98+'27.09.68'!Y98+'28.09.68'!Y98+'29.09.68'!Y98+'30.09.68'!Y98</f>
        <v>0</v>
      </c>
      <c r="Z98" s="66">
        <f t="shared" si="15"/>
        <v>0</v>
      </c>
    </row>
    <row r="99" spans="2:31">
      <c r="B99" s="50">
        <v>1100045</v>
      </c>
      <c r="C99" s="53" t="s">
        <v>200</v>
      </c>
      <c r="D99" s="52"/>
      <c r="E99" s="52"/>
      <c r="F99" s="65">
        <f t="shared" ref="F99:F110" si="16">SUM(D99:E99)</f>
        <v>0</v>
      </c>
      <c r="G99" s="52"/>
      <c r="H99" s="52"/>
      <c r="I99" s="65">
        <f t="shared" ref="I99:I110" si="17">SUM(G99:H99)</f>
        <v>0</v>
      </c>
      <c r="J99" s="52"/>
      <c r="K99" s="52"/>
      <c r="L99" s="65">
        <f t="shared" ref="L99:L110" si="18">SUM(J99:K99)</f>
        <v>0</v>
      </c>
      <c r="M99" s="52"/>
      <c r="N99" s="52"/>
      <c r="O99" s="65">
        <f t="shared" ref="O99:O110" si="19">SUM(M99:N99)</f>
        <v>0</v>
      </c>
      <c r="P99" s="52"/>
      <c r="Q99" s="52"/>
      <c r="R99" s="65">
        <f t="shared" ref="R99:R110" si="20">SUM(P99:Q99)</f>
        <v>0</v>
      </c>
      <c r="S99" s="52"/>
      <c r="T99" s="52"/>
      <c r="U99" s="65">
        <f t="shared" ref="U99:U110" si="21">SUM(S99:T99)</f>
        <v>0</v>
      </c>
      <c r="V99" s="52"/>
      <c r="W99" s="52"/>
      <c r="X99" s="65">
        <f t="shared" ref="X99:X110" si="22">SUM(V99:W99)</f>
        <v>0</v>
      </c>
      <c r="Y99" s="52"/>
      <c r="Z99" s="63">
        <f t="shared" si="15"/>
        <v>0</v>
      </c>
      <c r="AA99" s="50"/>
      <c r="AB99" s="50"/>
      <c r="AC99" s="61">
        <f t="shared" ref="AC99:AC153" si="23">+AA99+AB99-Z99</f>
        <v>0</v>
      </c>
      <c r="AD99" s="50"/>
      <c r="AE99" s="67">
        <f t="shared" ref="AE99:AE153" si="24">AC99+AD99</f>
        <v>0</v>
      </c>
    </row>
    <row r="100" spans="2:31">
      <c r="B100" s="50">
        <v>1004062</v>
      </c>
      <c r="C100" s="53" t="s">
        <v>238</v>
      </c>
      <c r="D100" s="52"/>
      <c r="E100" s="52"/>
      <c r="F100" s="65">
        <f t="shared" si="16"/>
        <v>0</v>
      </c>
      <c r="G100" s="52"/>
      <c r="H100" s="52"/>
      <c r="I100" s="65">
        <f t="shared" si="17"/>
        <v>0</v>
      </c>
      <c r="J100" s="52"/>
      <c r="K100" s="52"/>
      <c r="L100" s="65">
        <f t="shared" si="18"/>
        <v>0</v>
      </c>
      <c r="M100" s="52"/>
      <c r="N100" s="52"/>
      <c r="O100" s="65">
        <f t="shared" si="19"/>
        <v>0</v>
      </c>
      <c r="P100" s="52"/>
      <c r="Q100" s="52"/>
      <c r="R100" s="65">
        <f t="shared" si="20"/>
        <v>0</v>
      </c>
      <c r="S100" s="52"/>
      <c r="T100" s="52"/>
      <c r="U100" s="65">
        <f t="shared" si="21"/>
        <v>0</v>
      </c>
      <c r="V100" s="52"/>
      <c r="W100" s="52"/>
      <c r="X100" s="65">
        <f t="shared" si="22"/>
        <v>0</v>
      </c>
      <c r="Y100" s="52"/>
      <c r="Z100" s="63">
        <f t="shared" si="15"/>
        <v>0</v>
      </c>
      <c r="AA100" s="50"/>
      <c r="AB100" s="50"/>
      <c r="AC100" s="61">
        <f t="shared" si="23"/>
        <v>0</v>
      </c>
      <c r="AD100" s="50"/>
      <c r="AE100" s="67">
        <f t="shared" si="24"/>
        <v>0</v>
      </c>
    </row>
    <row r="101" spans="2:31">
      <c r="B101" s="50">
        <v>1004051</v>
      </c>
      <c r="C101" s="53" t="s">
        <v>239</v>
      </c>
      <c r="D101" s="52"/>
      <c r="E101" s="52"/>
      <c r="F101" s="65">
        <f t="shared" si="16"/>
        <v>0</v>
      </c>
      <c r="G101" s="52"/>
      <c r="H101" s="52"/>
      <c r="I101" s="65">
        <f t="shared" si="17"/>
        <v>0</v>
      </c>
      <c r="J101" s="52"/>
      <c r="K101" s="52"/>
      <c r="L101" s="65">
        <f t="shared" si="18"/>
        <v>0</v>
      </c>
      <c r="M101" s="52"/>
      <c r="N101" s="52"/>
      <c r="O101" s="65">
        <f t="shared" si="19"/>
        <v>0</v>
      </c>
      <c r="P101" s="52"/>
      <c r="Q101" s="52"/>
      <c r="R101" s="65">
        <f t="shared" si="20"/>
        <v>0</v>
      </c>
      <c r="S101" s="52"/>
      <c r="T101" s="52"/>
      <c r="U101" s="65">
        <f t="shared" si="21"/>
        <v>0</v>
      </c>
      <c r="V101" s="52"/>
      <c r="W101" s="52"/>
      <c r="X101" s="65">
        <f t="shared" si="22"/>
        <v>0</v>
      </c>
      <c r="Y101" s="52"/>
      <c r="Z101" s="63">
        <f t="shared" si="15"/>
        <v>0</v>
      </c>
      <c r="AA101" s="50"/>
      <c r="AB101" s="50"/>
      <c r="AC101" s="61">
        <f t="shared" si="23"/>
        <v>0</v>
      </c>
      <c r="AD101" s="50"/>
      <c r="AE101" s="67">
        <f t="shared" si="24"/>
        <v>0</v>
      </c>
    </row>
    <row r="102" spans="2:31">
      <c r="B102" s="50">
        <v>1111005</v>
      </c>
      <c r="C102" s="53" t="s">
        <v>240</v>
      </c>
      <c r="D102" s="52"/>
      <c r="E102" s="52"/>
      <c r="F102" s="65">
        <f t="shared" si="16"/>
        <v>0</v>
      </c>
      <c r="G102" s="52"/>
      <c r="H102" s="52"/>
      <c r="I102" s="65">
        <f t="shared" si="17"/>
        <v>0</v>
      </c>
      <c r="J102" s="52"/>
      <c r="K102" s="52"/>
      <c r="L102" s="65">
        <f t="shared" si="18"/>
        <v>0</v>
      </c>
      <c r="M102" s="52"/>
      <c r="N102" s="52"/>
      <c r="O102" s="65">
        <f t="shared" si="19"/>
        <v>0</v>
      </c>
      <c r="P102" s="52"/>
      <c r="Q102" s="52"/>
      <c r="R102" s="65">
        <f t="shared" si="20"/>
        <v>0</v>
      </c>
      <c r="S102" s="52"/>
      <c r="T102" s="52"/>
      <c r="U102" s="65">
        <f t="shared" si="21"/>
        <v>0</v>
      </c>
      <c r="V102" s="52"/>
      <c r="W102" s="52"/>
      <c r="X102" s="65">
        <f t="shared" si="22"/>
        <v>0</v>
      </c>
      <c r="Y102" s="52"/>
      <c r="Z102" s="63">
        <f t="shared" si="15"/>
        <v>0</v>
      </c>
      <c r="AA102" s="50"/>
      <c r="AB102" s="50"/>
      <c r="AC102" s="61">
        <f t="shared" si="23"/>
        <v>0</v>
      </c>
      <c r="AD102" s="50"/>
      <c r="AE102" s="67">
        <f t="shared" si="24"/>
        <v>0</v>
      </c>
    </row>
    <row r="103" spans="2:31">
      <c r="B103" s="50">
        <v>1111006</v>
      </c>
      <c r="C103" s="53" t="s">
        <v>241</v>
      </c>
      <c r="D103" s="52"/>
      <c r="E103" s="52"/>
      <c r="F103" s="65">
        <f t="shared" si="16"/>
        <v>0</v>
      </c>
      <c r="G103" s="52"/>
      <c r="H103" s="52"/>
      <c r="I103" s="65">
        <f t="shared" si="17"/>
        <v>0</v>
      </c>
      <c r="J103" s="52"/>
      <c r="K103" s="52"/>
      <c r="L103" s="65">
        <f t="shared" si="18"/>
        <v>0</v>
      </c>
      <c r="M103" s="52"/>
      <c r="N103" s="52"/>
      <c r="O103" s="65">
        <f t="shared" si="19"/>
        <v>0</v>
      </c>
      <c r="P103" s="52"/>
      <c r="Q103" s="52"/>
      <c r="R103" s="65">
        <f t="shared" si="20"/>
        <v>0</v>
      </c>
      <c r="S103" s="52"/>
      <c r="T103" s="52"/>
      <c r="U103" s="65">
        <f t="shared" si="21"/>
        <v>0</v>
      </c>
      <c r="V103" s="52"/>
      <c r="W103" s="52"/>
      <c r="X103" s="65">
        <f t="shared" si="22"/>
        <v>0</v>
      </c>
      <c r="Y103" s="52"/>
      <c r="Z103" s="63">
        <f t="shared" si="15"/>
        <v>0</v>
      </c>
      <c r="AA103" s="50"/>
      <c r="AB103" s="50"/>
      <c r="AC103" s="61">
        <f t="shared" si="23"/>
        <v>0</v>
      </c>
      <c r="AD103" s="50"/>
      <c r="AE103" s="67">
        <f t="shared" si="24"/>
        <v>0</v>
      </c>
    </row>
    <row r="104" spans="2:31">
      <c r="B104" s="50">
        <v>1004048</v>
      </c>
      <c r="C104" s="53" t="s">
        <v>242</v>
      </c>
      <c r="D104" s="52"/>
      <c r="E104" s="52"/>
      <c r="F104" s="65">
        <f t="shared" si="16"/>
        <v>0</v>
      </c>
      <c r="G104" s="52"/>
      <c r="H104" s="52"/>
      <c r="I104" s="65">
        <f t="shared" si="17"/>
        <v>0</v>
      </c>
      <c r="J104" s="52"/>
      <c r="K104" s="52"/>
      <c r="L104" s="65">
        <f t="shared" si="18"/>
        <v>0</v>
      </c>
      <c r="M104" s="52"/>
      <c r="N104" s="52"/>
      <c r="O104" s="65">
        <f t="shared" si="19"/>
        <v>0</v>
      </c>
      <c r="P104" s="52"/>
      <c r="Q104" s="52"/>
      <c r="R104" s="65">
        <f t="shared" si="20"/>
        <v>0</v>
      </c>
      <c r="S104" s="52"/>
      <c r="T104" s="52"/>
      <c r="U104" s="65">
        <f t="shared" si="21"/>
        <v>0</v>
      </c>
      <c r="V104" s="52"/>
      <c r="W104" s="52"/>
      <c r="X104" s="65">
        <f t="shared" si="22"/>
        <v>0</v>
      </c>
      <c r="Y104" s="52"/>
      <c r="Z104" s="63">
        <f t="shared" si="15"/>
        <v>0</v>
      </c>
      <c r="AA104" s="50"/>
      <c r="AB104" s="50"/>
      <c r="AC104" s="61">
        <f t="shared" si="23"/>
        <v>0</v>
      </c>
      <c r="AD104" s="50"/>
      <c r="AE104" s="67">
        <f t="shared" si="24"/>
        <v>0</v>
      </c>
    </row>
    <row r="105" spans="2:31">
      <c r="B105" s="50">
        <v>1113157</v>
      </c>
      <c r="C105" s="53" t="s">
        <v>243</v>
      </c>
      <c r="D105" s="52"/>
      <c r="E105" s="52"/>
      <c r="F105" s="65">
        <f t="shared" si="16"/>
        <v>0</v>
      </c>
      <c r="G105" s="52"/>
      <c r="H105" s="52"/>
      <c r="I105" s="65">
        <f t="shared" si="17"/>
        <v>0</v>
      </c>
      <c r="J105" s="52"/>
      <c r="K105" s="52"/>
      <c r="L105" s="65">
        <f t="shared" si="18"/>
        <v>0</v>
      </c>
      <c r="M105" s="52"/>
      <c r="N105" s="52"/>
      <c r="O105" s="65">
        <f t="shared" si="19"/>
        <v>0</v>
      </c>
      <c r="P105" s="52"/>
      <c r="Q105" s="52"/>
      <c r="R105" s="65">
        <f t="shared" si="20"/>
        <v>0</v>
      </c>
      <c r="S105" s="52"/>
      <c r="T105" s="52"/>
      <c r="U105" s="65">
        <f t="shared" si="21"/>
        <v>0</v>
      </c>
      <c r="V105" s="52"/>
      <c r="W105" s="52"/>
      <c r="X105" s="65">
        <f t="shared" si="22"/>
        <v>0</v>
      </c>
      <c r="Y105" s="52"/>
      <c r="Z105" s="63">
        <f t="shared" si="15"/>
        <v>0</v>
      </c>
      <c r="AA105" s="50"/>
      <c r="AB105" s="50"/>
      <c r="AC105" s="61">
        <f t="shared" si="23"/>
        <v>0</v>
      </c>
      <c r="AD105" s="50"/>
      <c r="AE105" s="67">
        <f t="shared" si="24"/>
        <v>0</v>
      </c>
    </row>
    <row r="106" spans="2:31">
      <c r="B106" s="50">
        <v>1004080</v>
      </c>
      <c r="C106" s="53" t="s">
        <v>244</v>
      </c>
      <c r="D106" s="52"/>
      <c r="E106" s="52"/>
      <c r="F106" s="65">
        <f t="shared" si="16"/>
        <v>0</v>
      </c>
      <c r="G106" s="52"/>
      <c r="H106" s="52"/>
      <c r="I106" s="65">
        <f t="shared" si="17"/>
        <v>0</v>
      </c>
      <c r="J106" s="52"/>
      <c r="K106" s="52"/>
      <c r="L106" s="65">
        <f t="shared" si="18"/>
        <v>0</v>
      </c>
      <c r="M106" s="52"/>
      <c r="N106" s="52"/>
      <c r="O106" s="65">
        <f t="shared" si="19"/>
        <v>0</v>
      </c>
      <c r="P106" s="52"/>
      <c r="Q106" s="52"/>
      <c r="R106" s="65">
        <f t="shared" si="20"/>
        <v>0</v>
      </c>
      <c r="S106" s="52"/>
      <c r="T106" s="52"/>
      <c r="U106" s="65">
        <f t="shared" si="21"/>
        <v>0</v>
      </c>
      <c r="V106" s="52"/>
      <c r="W106" s="52"/>
      <c r="X106" s="65">
        <f t="shared" si="22"/>
        <v>0</v>
      </c>
      <c r="Y106" s="52"/>
      <c r="Z106" s="63">
        <f t="shared" si="15"/>
        <v>0</v>
      </c>
      <c r="AA106" s="50"/>
      <c r="AB106" s="50"/>
      <c r="AC106" s="61">
        <f t="shared" si="23"/>
        <v>0</v>
      </c>
      <c r="AD106" s="50"/>
      <c r="AE106" s="67">
        <f t="shared" si="24"/>
        <v>0</v>
      </c>
    </row>
    <row r="107" spans="2:31">
      <c r="B107" s="50">
        <v>1004081</v>
      </c>
      <c r="C107" s="53" t="s">
        <v>245</v>
      </c>
      <c r="D107" s="52"/>
      <c r="E107" s="52"/>
      <c r="F107" s="65">
        <f t="shared" si="16"/>
        <v>0</v>
      </c>
      <c r="G107" s="52"/>
      <c r="H107" s="52"/>
      <c r="I107" s="65">
        <f t="shared" si="17"/>
        <v>0</v>
      </c>
      <c r="J107" s="52"/>
      <c r="K107" s="52"/>
      <c r="L107" s="65">
        <f t="shared" si="18"/>
        <v>0</v>
      </c>
      <c r="M107" s="52"/>
      <c r="N107" s="52"/>
      <c r="O107" s="65">
        <f t="shared" si="19"/>
        <v>0</v>
      </c>
      <c r="P107" s="52"/>
      <c r="Q107" s="52"/>
      <c r="R107" s="65">
        <f t="shared" si="20"/>
        <v>0</v>
      </c>
      <c r="S107" s="52"/>
      <c r="T107" s="52"/>
      <c r="U107" s="65">
        <f t="shared" si="21"/>
        <v>0</v>
      </c>
      <c r="V107" s="52"/>
      <c r="W107" s="52"/>
      <c r="X107" s="65">
        <f t="shared" si="22"/>
        <v>0</v>
      </c>
      <c r="Y107" s="52"/>
      <c r="Z107" s="63">
        <f t="shared" si="15"/>
        <v>0</v>
      </c>
      <c r="AA107" s="50"/>
      <c r="AB107" s="50"/>
      <c r="AC107" s="61">
        <f t="shared" si="23"/>
        <v>0</v>
      </c>
      <c r="AD107" s="50"/>
      <c r="AE107" s="67">
        <f t="shared" si="24"/>
        <v>0</v>
      </c>
    </row>
    <row r="108" spans="2:31">
      <c r="B108" s="50">
        <v>3001200</v>
      </c>
      <c r="C108" s="53" t="s">
        <v>246</v>
      </c>
      <c r="D108" s="52"/>
      <c r="E108" s="52"/>
      <c r="F108" s="65">
        <f t="shared" si="16"/>
        <v>0</v>
      </c>
      <c r="G108" s="52"/>
      <c r="H108" s="52"/>
      <c r="I108" s="65">
        <f t="shared" si="17"/>
        <v>0</v>
      </c>
      <c r="J108" s="52"/>
      <c r="K108" s="52"/>
      <c r="L108" s="65">
        <f t="shared" si="18"/>
        <v>0</v>
      </c>
      <c r="M108" s="52"/>
      <c r="N108" s="52"/>
      <c r="O108" s="65">
        <f t="shared" si="19"/>
        <v>0</v>
      </c>
      <c r="P108" s="52"/>
      <c r="Q108" s="52"/>
      <c r="R108" s="65">
        <f t="shared" si="20"/>
        <v>0</v>
      </c>
      <c r="S108" s="52"/>
      <c r="T108" s="52"/>
      <c r="U108" s="65">
        <f t="shared" si="21"/>
        <v>0</v>
      </c>
      <c r="V108" s="52"/>
      <c r="W108" s="52"/>
      <c r="X108" s="65">
        <f t="shared" si="22"/>
        <v>0</v>
      </c>
      <c r="Y108" s="52"/>
      <c r="Z108" s="63">
        <f t="shared" si="15"/>
        <v>0</v>
      </c>
      <c r="AA108" s="50"/>
      <c r="AB108" s="50"/>
      <c r="AC108" s="61">
        <f t="shared" si="23"/>
        <v>0</v>
      </c>
      <c r="AD108" s="50"/>
      <c r="AE108" s="67">
        <f t="shared" si="24"/>
        <v>0</v>
      </c>
    </row>
    <row r="109" spans="2:31">
      <c r="B109" s="50">
        <v>1004047</v>
      </c>
      <c r="C109" s="53" t="s">
        <v>247</v>
      </c>
      <c r="D109" s="52"/>
      <c r="E109" s="52"/>
      <c r="F109" s="65">
        <f t="shared" si="16"/>
        <v>0</v>
      </c>
      <c r="G109" s="52"/>
      <c r="H109" s="52"/>
      <c r="I109" s="65">
        <f t="shared" si="17"/>
        <v>0</v>
      </c>
      <c r="J109" s="52"/>
      <c r="K109" s="52"/>
      <c r="L109" s="65">
        <f t="shared" si="18"/>
        <v>0</v>
      </c>
      <c r="M109" s="52"/>
      <c r="N109" s="52"/>
      <c r="O109" s="65">
        <f t="shared" si="19"/>
        <v>0</v>
      </c>
      <c r="P109" s="52"/>
      <c r="Q109" s="52"/>
      <c r="R109" s="65">
        <f t="shared" si="20"/>
        <v>0</v>
      </c>
      <c r="S109" s="52"/>
      <c r="T109" s="52"/>
      <c r="U109" s="65">
        <f t="shared" si="21"/>
        <v>0</v>
      </c>
      <c r="V109" s="52"/>
      <c r="W109" s="52"/>
      <c r="X109" s="65">
        <f t="shared" si="22"/>
        <v>0</v>
      </c>
      <c r="Y109" s="52"/>
      <c r="Z109" s="63">
        <f t="shared" si="15"/>
        <v>0</v>
      </c>
      <c r="AA109" s="50"/>
      <c r="AB109" s="50"/>
      <c r="AC109" s="61">
        <f t="shared" si="23"/>
        <v>0</v>
      </c>
      <c r="AD109" s="50"/>
      <c r="AE109" s="67">
        <f t="shared" si="24"/>
        <v>0</v>
      </c>
    </row>
    <row r="110" spans="2:31">
      <c r="B110" s="50">
        <v>1004070</v>
      </c>
      <c r="C110" s="53" t="s">
        <v>248</v>
      </c>
      <c r="D110" s="52"/>
      <c r="E110" s="52"/>
      <c r="F110" s="65">
        <f t="shared" si="16"/>
        <v>0</v>
      </c>
      <c r="G110" s="52"/>
      <c r="H110" s="52"/>
      <c r="I110" s="65">
        <f t="shared" si="17"/>
        <v>0</v>
      </c>
      <c r="J110" s="52"/>
      <c r="K110" s="52"/>
      <c r="L110" s="65">
        <f t="shared" si="18"/>
        <v>0</v>
      </c>
      <c r="M110" s="52"/>
      <c r="N110" s="52"/>
      <c r="O110" s="65">
        <f t="shared" si="19"/>
        <v>0</v>
      </c>
      <c r="P110" s="52"/>
      <c r="Q110" s="52"/>
      <c r="R110" s="65">
        <f t="shared" si="20"/>
        <v>0</v>
      </c>
      <c r="S110" s="52"/>
      <c r="T110" s="52"/>
      <c r="U110" s="65">
        <f t="shared" si="21"/>
        <v>0</v>
      </c>
      <c r="V110" s="52"/>
      <c r="W110" s="52"/>
      <c r="X110" s="65">
        <f t="shared" si="22"/>
        <v>0</v>
      </c>
      <c r="Y110" s="52"/>
      <c r="Z110" s="63">
        <f t="shared" si="15"/>
        <v>0</v>
      </c>
      <c r="AA110" s="50"/>
      <c r="AB110" s="50"/>
      <c r="AC110" s="61">
        <f t="shared" si="23"/>
        <v>0</v>
      </c>
      <c r="AD110" s="50"/>
      <c r="AE110" s="67">
        <f t="shared" si="24"/>
        <v>0</v>
      </c>
    </row>
    <row r="111" spans="2:31">
      <c r="B111" s="50">
        <v>1004076</v>
      </c>
      <c r="C111" s="53" t="s">
        <v>249</v>
      </c>
      <c r="D111" s="52"/>
      <c r="E111" s="52"/>
      <c r="F111" s="65">
        <f t="shared" ref="F111:F153" si="25">SUM(D111:E111)</f>
        <v>0</v>
      </c>
      <c r="G111" s="52"/>
      <c r="H111" s="52"/>
      <c r="I111" s="65">
        <f t="shared" ref="I111:I153" si="26">SUM(G111:H111)</f>
        <v>0</v>
      </c>
      <c r="J111" s="52"/>
      <c r="K111" s="52"/>
      <c r="L111" s="65">
        <f t="shared" ref="L111:L153" si="27">SUM(J111:K111)</f>
        <v>0</v>
      </c>
      <c r="M111" s="52"/>
      <c r="N111" s="52"/>
      <c r="O111" s="65">
        <f t="shared" ref="O111:O153" si="28">SUM(M111:N111)</f>
        <v>0</v>
      </c>
      <c r="P111" s="52"/>
      <c r="Q111" s="52"/>
      <c r="R111" s="65">
        <f t="shared" ref="R111:R153" si="29">SUM(P111:Q111)</f>
        <v>0</v>
      </c>
      <c r="S111" s="52"/>
      <c r="T111" s="52"/>
      <c r="U111" s="65">
        <f t="shared" ref="U111:U153" si="30">SUM(S111:T111)</f>
        <v>0</v>
      </c>
      <c r="V111" s="52"/>
      <c r="W111" s="52"/>
      <c r="X111" s="65">
        <f t="shared" ref="X111:X153" si="31">SUM(V111:W111)</f>
        <v>0</v>
      </c>
      <c r="Y111" s="52"/>
      <c r="Z111" s="63">
        <f t="shared" si="15"/>
        <v>0</v>
      </c>
      <c r="AA111" s="50"/>
      <c r="AB111" s="50"/>
      <c r="AC111" s="61">
        <f t="shared" si="23"/>
        <v>0</v>
      </c>
      <c r="AD111" s="50"/>
      <c r="AE111" s="67">
        <f t="shared" si="24"/>
        <v>0</v>
      </c>
    </row>
    <row r="112" spans="2:31">
      <c r="B112" s="50">
        <v>1004050</v>
      </c>
      <c r="C112" s="53" t="s">
        <v>250</v>
      </c>
      <c r="D112" s="52"/>
      <c r="E112" s="52"/>
      <c r="F112" s="65">
        <f t="shared" si="25"/>
        <v>0</v>
      </c>
      <c r="G112" s="52"/>
      <c r="H112" s="52"/>
      <c r="I112" s="65">
        <f t="shared" si="26"/>
        <v>0</v>
      </c>
      <c r="J112" s="52"/>
      <c r="K112" s="52"/>
      <c r="L112" s="65">
        <f t="shared" si="27"/>
        <v>0</v>
      </c>
      <c r="M112" s="52"/>
      <c r="N112" s="52"/>
      <c r="O112" s="65">
        <f t="shared" si="28"/>
        <v>0</v>
      </c>
      <c r="P112" s="52"/>
      <c r="Q112" s="52"/>
      <c r="R112" s="65">
        <f t="shared" si="29"/>
        <v>0</v>
      </c>
      <c r="S112" s="52"/>
      <c r="T112" s="52"/>
      <c r="U112" s="65">
        <f t="shared" si="30"/>
        <v>0</v>
      </c>
      <c r="V112" s="52"/>
      <c r="W112" s="52"/>
      <c r="X112" s="65">
        <f t="shared" si="31"/>
        <v>0</v>
      </c>
      <c r="Y112" s="52"/>
      <c r="Z112" s="63">
        <f t="shared" si="15"/>
        <v>0</v>
      </c>
      <c r="AA112" s="50"/>
      <c r="AB112" s="50"/>
      <c r="AC112" s="61">
        <f t="shared" si="23"/>
        <v>0</v>
      </c>
      <c r="AD112" s="50"/>
      <c r="AE112" s="67">
        <f t="shared" si="24"/>
        <v>0</v>
      </c>
    </row>
    <row r="113" spans="2:31">
      <c r="B113" s="50">
        <v>1004048</v>
      </c>
      <c r="C113" s="53" t="s">
        <v>251</v>
      </c>
      <c r="D113" s="52"/>
      <c r="E113" s="52"/>
      <c r="F113" s="65">
        <f t="shared" si="25"/>
        <v>0</v>
      </c>
      <c r="G113" s="52"/>
      <c r="H113" s="52"/>
      <c r="I113" s="65">
        <f t="shared" si="26"/>
        <v>0</v>
      </c>
      <c r="J113" s="52"/>
      <c r="K113" s="52"/>
      <c r="L113" s="65">
        <f t="shared" si="27"/>
        <v>0</v>
      </c>
      <c r="M113" s="52"/>
      <c r="N113" s="52"/>
      <c r="O113" s="65">
        <f t="shared" si="28"/>
        <v>0</v>
      </c>
      <c r="P113" s="52"/>
      <c r="Q113" s="52"/>
      <c r="R113" s="65">
        <f t="shared" si="29"/>
        <v>0</v>
      </c>
      <c r="S113" s="52"/>
      <c r="T113" s="52"/>
      <c r="U113" s="65">
        <f t="shared" si="30"/>
        <v>0</v>
      </c>
      <c r="V113" s="52"/>
      <c r="W113" s="52"/>
      <c r="X113" s="65">
        <f t="shared" si="31"/>
        <v>0</v>
      </c>
      <c r="Y113" s="52"/>
      <c r="Z113" s="63">
        <f t="shared" si="15"/>
        <v>0</v>
      </c>
      <c r="AA113" s="50"/>
      <c r="AB113" s="50"/>
      <c r="AC113" s="61">
        <f t="shared" si="23"/>
        <v>0</v>
      </c>
      <c r="AD113" s="50"/>
      <c r="AE113" s="67">
        <f t="shared" si="24"/>
        <v>0</v>
      </c>
    </row>
    <row r="114" spans="2:31">
      <c r="B114" s="50">
        <v>1007020</v>
      </c>
      <c r="C114" s="53" t="s">
        <v>253</v>
      </c>
      <c r="D114" s="52"/>
      <c r="E114" s="52"/>
      <c r="F114" s="65">
        <f t="shared" si="25"/>
        <v>0</v>
      </c>
      <c r="G114" s="52"/>
      <c r="H114" s="52"/>
      <c r="I114" s="65">
        <f t="shared" si="26"/>
        <v>0</v>
      </c>
      <c r="J114" s="52"/>
      <c r="K114" s="52"/>
      <c r="L114" s="65">
        <f t="shared" si="27"/>
        <v>0</v>
      </c>
      <c r="M114" s="52"/>
      <c r="N114" s="52"/>
      <c r="O114" s="65">
        <f t="shared" si="28"/>
        <v>0</v>
      </c>
      <c r="P114" s="52"/>
      <c r="Q114" s="52"/>
      <c r="R114" s="65">
        <f t="shared" si="29"/>
        <v>0</v>
      </c>
      <c r="S114" s="52"/>
      <c r="T114" s="52"/>
      <c r="U114" s="65">
        <f t="shared" si="30"/>
        <v>0</v>
      </c>
      <c r="V114" s="52"/>
      <c r="W114" s="52"/>
      <c r="X114" s="65">
        <f t="shared" si="31"/>
        <v>0</v>
      </c>
      <c r="Y114" s="52"/>
      <c r="Z114" s="63">
        <f t="shared" si="15"/>
        <v>0</v>
      </c>
      <c r="AA114" s="50"/>
      <c r="AB114" s="50"/>
      <c r="AC114" s="61">
        <f t="shared" si="23"/>
        <v>0</v>
      </c>
      <c r="AD114" s="50"/>
      <c r="AE114" s="67">
        <f t="shared" si="24"/>
        <v>0</v>
      </c>
    </row>
    <row r="115" spans="2:31">
      <c r="B115" s="50">
        <v>1004063</v>
      </c>
      <c r="C115" s="53" t="s">
        <v>254</v>
      </c>
      <c r="D115" s="52"/>
      <c r="E115" s="52"/>
      <c r="F115" s="65">
        <f t="shared" si="25"/>
        <v>0</v>
      </c>
      <c r="G115" s="52"/>
      <c r="H115" s="52"/>
      <c r="I115" s="65">
        <f t="shared" si="26"/>
        <v>0</v>
      </c>
      <c r="J115" s="52"/>
      <c r="K115" s="52"/>
      <c r="L115" s="65">
        <f t="shared" si="27"/>
        <v>0</v>
      </c>
      <c r="M115" s="52"/>
      <c r="N115" s="52"/>
      <c r="O115" s="65">
        <f t="shared" si="28"/>
        <v>0</v>
      </c>
      <c r="P115" s="52"/>
      <c r="Q115" s="52"/>
      <c r="R115" s="65">
        <f t="shared" si="29"/>
        <v>0</v>
      </c>
      <c r="S115" s="52"/>
      <c r="T115" s="52"/>
      <c r="U115" s="65">
        <f t="shared" si="30"/>
        <v>0</v>
      </c>
      <c r="V115" s="52"/>
      <c r="W115" s="52"/>
      <c r="X115" s="65">
        <f t="shared" si="31"/>
        <v>0</v>
      </c>
      <c r="Y115" s="52"/>
      <c r="Z115" s="63">
        <f t="shared" si="15"/>
        <v>0</v>
      </c>
      <c r="AA115" s="50"/>
      <c r="AB115" s="50"/>
      <c r="AC115" s="61">
        <f t="shared" si="23"/>
        <v>0</v>
      </c>
      <c r="AD115" s="50"/>
      <c r="AE115" s="67">
        <f t="shared" si="24"/>
        <v>0</v>
      </c>
    </row>
    <row r="116" spans="2:31">
      <c r="B116" s="50">
        <v>1004065</v>
      </c>
      <c r="C116" s="53" t="s">
        <v>255</v>
      </c>
      <c r="D116" s="52"/>
      <c r="E116" s="52"/>
      <c r="F116" s="65">
        <f t="shared" si="25"/>
        <v>0</v>
      </c>
      <c r="G116" s="52"/>
      <c r="H116" s="52"/>
      <c r="I116" s="65">
        <f t="shared" si="26"/>
        <v>0</v>
      </c>
      <c r="J116" s="52"/>
      <c r="K116" s="52"/>
      <c r="L116" s="65">
        <f t="shared" si="27"/>
        <v>0</v>
      </c>
      <c r="M116" s="52"/>
      <c r="N116" s="52"/>
      <c r="O116" s="65">
        <f t="shared" si="28"/>
        <v>0</v>
      </c>
      <c r="P116" s="52"/>
      <c r="Q116" s="52"/>
      <c r="R116" s="65">
        <f t="shared" si="29"/>
        <v>0</v>
      </c>
      <c r="S116" s="52"/>
      <c r="T116" s="52"/>
      <c r="U116" s="65">
        <f t="shared" si="30"/>
        <v>0</v>
      </c>
      <c r="V116" s="52"/>
      <c r="W116" s="52"/>
      <c r="X116" s="65">
        <f t="shared" si="31"/>
        <v>0</v>
      </c>
      <c r="Y116" s="52"/>
      <c r="Z116" s="63">
        <f t="shared" si="15"/>
        <v>0</v>
      </c>
      <c r="AA116" s="50"/>
      <c r="AB116" s="50"/>
      <c r="AC116" s="61">
        <f t="shared" si="23"/>
        <v>0</v>
      </c>
      <c r="AD116" s="50"/>
      <c r="AE116" s="67">
        <f t="shared" si="24"/>
        <v>0</v>
      </c>
    </row>
    <row r="117" spans="2:31">
      <c r="B117" s="50">
        <v>1006982</v>
      </c>
      <c r="C117" s="53" t="s">
        <v>256</v>
      </c>
      <c r="D117" s="52"/>
      <c r="E117" s="52"/>
      <c r="F117" s="65">
        <f t="shared" si="25"/>
        <v>0</v>
      </c>
      <c r="G117" s="52"/>
      <c r="H117" s="52"/>
      <c r="I117" s="65">
        <f t="shared" si="26"/>
        <v>0</v>
      </c>
      <c r="J117" s="52"/>
      <c r="K117" s="52"/>
      <c r="L117" s="65">
        <f t="shared" si="27"/>
        <v>0</v>
      </c>
      <c r="M117" s="52"/>
      <c r="N117" s="52"/>
      <c r="O117" s="65">
        <f t="shared" si="28"/>
        <v>0</v>
      </c>
      <c r="P117" s="52"/>
      <c r="Q117" s="52"/>
      <c r="R117" s="65">
        <f t="shared" si="29"/>
        <v>0</v>
      </c>
      <c r="S117" s="52"/>
      <c r="T117" s="52"/>
      <c r="U117" s="65">
        <f t="shared" si="30"/>
        <v>0</v>
      </c>
      <c r="V117" s="52"/>
      <c r="W117" s="52"/>
      <c r="X117" s="65">
        <f t="shared" si="31"/>
        <v>0</v>
      </c>
      <c r="Y117" s="52"/>
      <c r="Z117" s="63">
        <f t="shared" si="15"/>
        <v>0</v>
      </c>
      <c r="AA117" s="50"/>
      <c r="AB117" s="50"/>
      <c r="AC117" s="61">
        <f t="shared" si="23"/>
        <v>0</v>
      </c>
      <c r="AD117" s="50"/>
      <c r="AE117" s="67">
        <f t="shared" si="24"/>
        <v>0</v>
      </c>
    </row>
    <row r="118" spans="2:31">
      <c r="B118" s="50">
        <v>1006000</v>
      </c>
      <c r="C118" s="53" t="s">
        <v>257</v>
      </c>
      <c r="D118" s="52"/>
      <c r="E118" s="52"/>
      <c r="F118" s="65">
        <f t="shared" si="25"/>
        <v>0</v>
      </c>
      <c r="G118" s="52"/>
      <c r="H118" s="52"/>
      <c r="I118" s="65">
        <f t="shared" si="26"/>
        <v>0</v>
      </c>
      <c r="J118" s="52"/>
      <c r="K118" s="52"/>
      <c r="L118" s="65">
        <f t="shared" si="27"/>
        <v>0</v>
      </c>
      <c r="M118" s="52"/>
      <c r="N118" s="52"/>
      <c r="O118" s="65">
        <f t="shared" si="28"/>
        <v>0</v>
      </c>
      <c r="P118" s="52"/>
      <c r="Q118" s="52"/>
      <c r="R118" s="65">
        <f t="shared" si="29"/>
        <v>0</v>
      </c>
      <c r="S118" s="52"/>
      <c r="T118" s="52"/>
      <c r="U118" s="65">
        <f t="shared" si="30"/>
        <v>0</v>
      </c>
      <c r="V118" s="52"/>
      <c r="W118" s="52"/>
      <c r="X118" s="65">
        <f t="shared" si="31"/>
        <v>0</v>
      </c>
      <c r="Y118" s="52"/>
      <c r="Z118" s="63">
        <f t="shared" si="15"/>
        <v>0</v>
      </c>
      <c r="AA118" s="50"/>
      <c r="AB118" s="50"/>
      <c r="AC118" s="61">
        <f t="shared" si="23"/>
        <v>0</v>
      </c>
      <c r="AD118" s="50"/>
      <c r="AE118" s="67">
        <f t="shared" si="24"/>
        <v>0</v>
      </c>
    </row>
    <row r="119" spans="2:31">
      <c r="B119" s="50">
        <v>1005998</v>
      </c>
      <c r="C119" s="53" t="s">
        <v>258</v>
      </c>
      <c r="D119" s="52"/>
      <c r="E119" s="52"/>
      <c r="F119" s="65">
        <f t="shared" si="25"/>
        <v>0</v>
      </c>
      <c r="G119" s="52"/>
      <c r="H119" s="52"/>
      <c r="I119" s="65">
        <f t="shared" si="26"/>
        <v>0</v>
      </c>
      <c r="J119" s="52"/>
      <c r="K119" s="52"/>
      <c r="L119" s="65">
        <f t="shared" si="27"/>
        <v>0</v>
      </c>
      <c r="M119" s="52"/>
      <c r="N119" s="52"/>
      <c r="O119" s="65">
        <f t="shared" si="28"/>
        <v>0</v>
      </c>
      <c r="P119" s="52"/>
      <c r="Q119" s="52"/>
      <c r="R119" s="65">
        <f t="shared" si="29"/>
        <v>0</v>
      </c>
      <c r="S119" s="52"/>
      <c r="T119" s="52"/>
      <c r="U119" s="65">
        <f t="shared" si="30"/>
        <v>0</v>
      </c>
      <c r="V119" s="52"/>
      <c r="W119" s="52"/>
      <c r="X119" s="65">
        <f t="shared" si="31"/>
        <v>0</v>
      </c>
      <c r="Y119" s="52"/>
      <c r="Z119" s="63">
        <f t="shared" si="15"/>
        <v>0</v>
      </c>
      <c r="AA119" s="50"/>
      <c r="AB119" s="50"/>
      <c r="AC119" s="61">
        <f t="shared" si="23"/>
        <v>0</v>
      </c>
      <c r="AD119" s="50"/>
      <c r="AE119" s="67">
        <f t="shared" si="24"/>
        <v>0</v>
      </c>
    </row>
    <row r="120" spans="2:31">
      <c r="B120" s="50">
        <v>1005995</v>
      </c>
      <c r="C120" s="53" t="s">
        <v>259</v>
      </c>
      <c r="D120" s="52"/>
      <c r="E120" s="52"/>
      <c r="F120" s="65">
        <f t="shared" si="25"/>
        <v>0</v>
      </c>
      <c r="G120" s="52"/>
      <c r="H120" s="52"/>
      <c r="I120" s="65">
        <f t="shared" si="26"/>
        <v>0</v>
      </c>
      <c r="J120" s="52"/>
      <c r="K120" s="52"/>
      <c r="L120" s="65">
        <f t="shared" si="27"/>
        <v>0</v>
      </c>
      <c r="M120" s="52"/>
      <c r="N120" s="52"/>
      <c r="O120" s="65">
        <f t="shared" si="28"/>
        <v>0</v>
      </c>
      <c r="P120" s="52"/>
      <c r="Q120" s="52"/>
      <c r="R120" s="65">
        <f t="shared" si="29"/>
        <v>0</v>
      </c>
      <c r="S120" s="52"/>
      <c r="T120" s="52"/>
      <c r="U120" s="65">
        <f t="shared" si="30"/>
        <v>0</v>
      </c>
      <c r="V120" s="52"/>
      <c r="W120" s="52"/>
      <c r="X120" s="65">
        <f t="shared" si="31"/>
        <v>0</v>
      </c>
      <c r="Y120" s="52"/>
      <c r="Z120" s="63">
        <f t="shared" si="15"/>
        <v>0</v>
      </c>
      <c r="AA120" s="50"/>
      <c r="AB120" s="50"/>
      <c r="AC120" s="61">
        <f t="shared" si="23"/>
        <v>0</v>
      </c>
      <c r="AD120" s="50"/>
      <c r="AE120" s="67">
        <f t="shared" si="24"/>
        <v>0</v>
      </c>
    </row>
    <row r="121" spans="2:31">
      <c r="B121" s="50"/>
      <c r="C121" s="53"/>
      <c r="D121" s="52"/>
      <c r="E121" s="52"/>
      <c r="F121" s="65">
        <f t="shared" si="25"/>
        <v>0</v>
      </c>
      <c r="G121" s="52"/>
      <c r="H121" s="52"/>
      <c r="I121" s="65">
        <f t="shared" si="26"/>
        <v>0</v>
      </c>
      <c r="J121" s="52"/>
      <c r="K121" s="52"/>
      <c r="L121" s="65">
        <f t="shared" si="27"/>
        <v>0</v>
      </c>
      <c r="M121" s="52"/>
      <c r="N121" s="52"/>
      <c r="O121" s="65">
        <f t="shared" si="28"/>
        <v>0</v>
      </c>
      <c r="P121" s="52"/>
      <c r="Q121" s="52"/>
      <c r="R121" s="65">
        <f t="shared" si="29"/>
        <v>0</v>
      </c>
      <c r="S121" s="52"/>
      <c r="T121" s="52"/>
      <c r="U121" s="65">
        <f t="shared" si="30"/>
        <v>0</v>
      </c>
      <c r="V121" s="52"/>
      <c r="W121" s="52"/>
      <c r="X121" s="65">
        <f t="shared" si="31"/>
        <v>0</v>
      </c>
      <c r="Y121" s="52"/>
      <c r="Z121" s="63">
        <f t="shared" si="15"/>
        <v>0</v>
      </c>
      <c r="AA121" s="50"/>
      <c r="AB121" s="50"/>
      <c r="AC121" s="61">
        <f t="shared" si="23"/>
        <v>0</v>
      </c>
      <c r="AD121" s="50"/>
      <c r="AE121" s="67">
        <f t="shared" si="24"/>
        <v>0</v>
      </c>
    </row>
    <row r="122" spans="2:31">
      <c r="B122" s="50"/>
      <c r="C122" s="53"/>
      <c r="D122" s="52"/>
      <c r="E122" s="52"/>
      <c r="F122" s="65">
        <f t="shared" si="25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7"/>
    </row>
    <row r="123" spans="2:31">
      <c r="B123" s="50"/>
      <c r="C123" s="53"/>
      <c r="D123" s="52"/>
      <c r="E123" s="52"/>
      <c r="F123" s="65">
        <f t="shared" si="25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7"/>
    </row>
    <row r="124" spans="2:31">
      <c r="B124" s="50"/>
      <c r="C124" s="53"/>
      <c r="D124" s="52"/>
      <c r="E124" s="52"/>
      <c r="F124" s="65">
        <f t="shared" si="25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7"/>
    </row>
    <row r="125" spans="2:31">
      <c r="B125" s="50"/>
      <c r="C125" s="53"/>
      <c r="D125" s="52"/>
      <c r="E125" s="52"/>
      <c r="F125" s="65">
        <f t="shared" si="25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7"/>
    </row>
    <row r="126" spans="2:31">
      <c r="B126" s="50"/>
      <c r="C126" s="53"/>
      <c r="D126" s="52"/>
      <c r="E126" s="52"/>
      <c r="F126" s="65">
        <f t="shared" si="25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7"/>
    </row>
    <row r="127" spans="2:31">
      <c r="B127" s="50"/>
      <c r="C127" s="53"/>
      <c r="D127" s="52"/>
      <c r="E127" s="52"/>
      <c r="F127" s="65">
        <f t="shared" si="25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7"/>
    </row>
    <row r="128" spans="2:31">
      <c r="B128" s="50"/>
      <c r="C128" s="53"/>
      <c r="D128" s="52"/>
      <c r="E128" s="52"/>
      <c r="F128" s="65">
        <f t="shared" si="25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7"/>
    </row>
    <row r="129" spans="2:31">
      <c r="B129" s="50"/>
      <c r="C129" s="53"/>
      <c r="D129" s="52"/>
      <c r="E129" s="52"/>
      <c r="F129" s="65">
        <f t="shared" si="25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7"/>
    </row>
    <row r="130" spans="2:31">
      <c r="B130" s="50"/>
      <c r="C130" s="53"/>
      <c r="D130" s="52"/>
      <c r="E130" s="52"/>
      <c r="F130" s="65">
        <f t="shared" si="25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7"/>
    </row>
    <row r="131" spans="2:31">
      <c r="B131" s="50"/>
      <c r="C131" s="53"/>
      <c r="D131" s="52"/>
      <c r="E131" s="52"/>
      <c r="F131" s="65">
        <f t="shared" si="25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7"/>
    </row>
    <row r="132" spans="2:31">
      <c r="B132" s="50"/>
      <c r="C132" s="53"/>
      <c r="D132" s="52"/>
      <c r="E132" s="52"/>
      <c r="F132" s="65">
        <f t="shared" si="25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7"/>
    </row>
    <row r="133" spans="2:31">
      <c r="B133" s="50"/>
      <c r="C133" s="53"/>
      <c r="D133" s="52"/>
      <c r="E133" s="52"/>
      <c r="F133" s="65">
        <f t="shared" si="25"/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7"/>
    </row>
    <row r="134" spans="2:31">
      <c r="B134" s="50"/>
      <c r="C134" s="53"/>
      <c r="D134" s="52"/>
      <c r="E134" s="52"/>
      <c r="F134" s="65">
        <f t="shared" si="25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7"/>
    </row>
    <row r="135" spans="2:31">
      <c r="B135" s="50"/>
      <c r="C135" s="53"/>
      <c r="D135" s="52"/>
      <c r="E135" s="52"/>
      <c r="F135" s="65">
        <f t="shared" si="25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7"/>
    </row>
    <row r="136" spans="2:31">
      <c r="B136" s="50"/>
      <c r="C136" s="53"/>
      <c r="D136" s="52"/>
      <c r="E136" s="52"/>
      <c r="F136" s="65">
        <f t="shared" si="25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7"/>
    </row>
    <row r="137" spans="2:31">
      <c r="B137" s="50"/>
      <c r="C137" s="53"/>
      <c r="D137" s="52"/>
      <c r="E137" s="52"/>
      <c r="F137" s="65">
        <f t="shared" si="25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7"/>
    </row>
    <row r="138" spans="2:31">
      <c r="B138" s="50"/>
      <c r="C138" s="53"/>
      <c r="D138" s="52"/>
      <c r="E138" s="52"/>
      <c r="F138" s="65">
        <f t="shared" si="25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7"/>
    </row>
    <row r="139" spans="2:31">
      <c r="B139" s="50"/>
      <c r="C139" s="53"/>
      <c r="D139" s="52"/>
      <c r="E139" s="52"/>
      <c r="F139" s="65">
        <f t="shared" si="25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7"/>
    </row>
    <row r="140" spans="2:31">
      <c r="B140" s="50"/>
      <c r="C140" s="53"/>
      <c r="D140" s="52"/>
      <c r="E140" s="52"/>
      <c r="F140" s="65">
        <f t="shared" si="25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7"/>
    </row>
    <row r="141" spans="2:31">
      <c r="B141" s="50"/>
      <c r="C141" s="53"/>
      <c r="D141" s="52"/>
      <c r="E141" s="52"/>
      <c r="F141" s="65">
        <f t="shared" si="25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7"/>
    </row>
    <row r="142" spans="2:31">
      <c r="B142" s="50"/>
      <c r="C142" s="53"/>
      <c r="D142" s="52"/>
      <c r="E142" s="52"/>
      <c r="F142" s="65">
        <f t="shared" si="25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7"/>
    </row>
    <row r="143" spans="2:31">
      <c r="B143" s="50"/>
      <c r="C143" s="53"/>
      <c r="D143" s="52"/>
      <c r="E143" s="52"/>
      <c r="F143" s="65">
        <f t="shared" si="25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7"/>
    </row>
    <row r="144" spans="2:31">
      <c r="B144" s="50"/>
      <c r="C144" s="53"/>
      <c r="D144" s="52"/>
      <c r="E144" s="52"/>
      <c r="F144" s="65">
        <f t="shared" si="25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7"/>
    </row>
    <row r="145" spans="2:31">
      <c r="B145" s="50"/>
      <c r="C145" s="53"/>
      <c r="D145" s="52"/>
      <c r="E145" s="52"/>
      <c r="F145" s="65">
        <f t="shared" si="25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7"/>
    </row>
    <row r="146" spans="2:31">
      <c r="B146" s="50"/>
      <c r="C146" s="53"/>
      <c r="D146" s="52"/>
      <c r="E146" s="52"/>
      <c r="F146" s="65">
        <f t="shared" si="25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7"/>
    </row>
    <row r="147" spans="2:31">
      <c r="B147" s="50"/>
      <c r="C147" s="53"/>
      <c r="D147" s="52"/>
      <c r="E147" s="52"/>
      <c r="F147" s="65">
        <f t="shared" si="25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7"/>
    </row>
    <row r="148" spans="2:31">
      <c r="B148" s="50"/>
      <c r="C148" s="53"/>
      <c r="D148" s="52"/>
      <c r="E148" s="52"/>
      <c r="F148" s="65">
        <f t="shared" si="25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7"/>
    </row>
    <row r="149" spans="2:31">
      <c r="B149" s="50"/>
      <c r="C149" s="53"/>
      <c r="D149" s="52"/>
      <c r="E149" s="52"/>
      <c r="F149" s="65">
        <f t="shared" si="25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7"/>
    </row>
    <row r="150" spans="2:31">
      <c r="B150" s="50"/>
      <c r="C150" s="53"/>
      <c r="D150" s="52"/>
      <c r="E150" s="52"/>
      <c r="F150" s="65">
        <f t="shared" si="25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7"/>
    </row>
    <row r="151" spans="2:31">
      <c r="B151" s="50"/>
      <c r="C151" s="53"/>
      <c r="D151" s="52"/>
      <c r="E151" s="52"/>
      <c r="F151" s="65">
        <f t="shared" si="25"/>
        <v>0</v>
      </c>
      <c r="G151" s="52"/>
      <c r="H151" s="52"/>
      <c r="I151" s="65">
        <f t="shared" si="26"/>
        <v>0</v>
      </c>
      <c r="J151" s="52"/>
      <c r="K151" s="52"/>
      <c r="L151" s="65">
        <f t="shared" si="27"/>
        <v>0</v>
      </c>
      <c r="M151" s="52"/>
      <c r="N151" s="52"/>
      <c r="O151" s="65">
        <f t="shared" si="28"/>
        <v>0</v>
      </c>
      <c r="P151" s="52"/>
      <c r="Q151" s="52"/>
      <c r="R151" s="65">
        <f t="shared" si="29"/>
        <v>0</v>
      </c>
      <c r="S151" s="52"/>
      <c r="T151" s="52"/>
      <c r="U151" s="65">
        <f t="shared" si="30"/>
        <v>0</v>
      </c>
      <c r="V151" s="52"/>
      <c r="W151" s="52"/>
      <c r="X151" s="65">
        <f t="shared" si="31"/>
        <v>0</v>
      </c>
      <c r="Y151" s="52"/>
      <c r="Z151" s="63">
        <f t="shared" ref="Z151:Z153" si="32">+F151+I151+L151+O151+R151+U151+X151+Y151</f>
        <v>0</v>
      </c>
      <c r="AA151" s="50"/>
      <c r="AB151" s="50"/>
      <c r="AC151" s="61">
        <f t="shared" si="23"/>
        <v>0</v>
      </c>
      <c r="AD151" s="50"/>
      <c r="AE151" s="67">
        <f t="shared" si="24"/>
        <v>0</v>
      </c>
    </row>
    <row r="152" spans="2:31">
      <c r="B152" s="50"/>
      <c r="C152" s="53"/>
      <c r="D152" s="52"/>
      <c r="E152" s="52"/>
      <c r="F152" s="65">
        <f t="shared" si="25"/>
        <v>0</v>
      </c>
      <c r="G152" s="52"/>
      <c r="H152" s="52"/>
      <c r="I152" s="65">
        <f t="shared" si="26"/>
        <v>0</v>
      </c>
      <c r="J152" s="52"/>
      <c r="K152" s="52"/>
      <c r="L152" s="65">
        <f t="shared" si="27"/>
        <v>0</v>
      </c>
      <c r="M152" s="52"/>
      <c r="N152" s="52"/>
      <c r="O152" s="65">
        <f t="shared" si="28"/>
        <v>0</v>
      </c>
      <c r="P152" s="52"/>
      <c r="Q152" s="52"/>
      <c r="R152" s="65">
        <f t="shared" si="29"/>
        <v>0</v>
      </c>
      <c r="S152" s="52"/>
      <c r="T152" s="52"/>
      <c r="U152" s="65">
        <f t="shared" si="30"/>
        <v>0</v>
      </c>
      <c r="V152" s="52"/>
      <c r="W152" s="52"/>
      <c r="X152" s="65">
        <f t="shared" si="31"/>
        <v>0</v>
      </c>
      <c r="Y152" s="52"/>
      <c r="Z152" s="63">
        <f t="shared" si="32"/>
        <v>0</v>
      </c>
      <c r="AA152" s="50"/>
      <c r="AB152" s="50"/>
      <c r="AC152" s="61">
        <f t="shared" si="23"/>
        <v>0</v>
      </c>
      <c r="AD152" s="50"/>
      <c r="AE152" s="67">
        <f t="shared" si="24"/>
        <v>0</v>
      </c>
    </row>
    <row r="153" spans="2:31">
      <c r="B153" s="50"/>
      <c r="C153" s="53"/>
      <c r="D153" s="52"/>
      <c r="E153" s="52"/>
      <c r="F153" s="65">
        <f t="shared" si="25"/>
        <v>0</v>
      </c>
      <c r="G153" s="52"/>
      <c r="H153" s="52"/>
      <c r="I153" s="65">
        <f t="shared" si="26"/>
        <v>0</v>
      </c>
      <c r="J153" s="52"/>
      <c r="K153" s="52"/>
      <c r="L153" s="65">
        <f t="shared" si="27"/>
        <v>0</v>
      </c>
      <c r="M153" s="52"/>
      <c r="N153" s="52"/>
      <c r="O153" s="65">
        <f t="shared" si="28"/>
        <v>0</v>
      </c>
      <c r="P153" s="52"/>
      <c r="Q153" s="52"/>
      <c r="R153" s="65">
        <f t="shared" si="29"/>
        <v>0</v>
      </c>
      <c r="S153" s="52"/>
      <c r="T153" s="52"/>
      <c r="U153" s="65">
        <f t="shared" si="30"/>
        <v>0</v>
      </c>
      <c r="V153" s="52"/>
      <c r="W153" s="52"/>
      <c r="X153" s="65">
        <f t="shared" si="31"/>
        <v>0</v>
      </c>
      <c r="Y153" s="52"/>
      <c r="Z153" s="63">
        <f t="shared" si="32"/>
        <v>0</v>
      </c>
      <c r="AA153" s="50"/>
      <c r="AB153" s="50"/>
      <c r="AC153" s="61">
        <f t="shared" si="23"/>
        <v>0</v>
      </c>
      <c r="AD153" s="50"/>
      <c r="AE153" s="67">
        <f t="shared" si="24"/>
        <v>0</v>
      </c>
    </row>
    <row r="154" spans="2:31" s="59" customFormat="1" ht="51.75">
      <c r="B154" s="97" t="s">
        <v>201</v>
      </c>
      <c r="C154" s="98"/>
      <c r="D154" s="62">
        <f t="shared" ref="D154:E154" si="33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3679</v>
      </c>
      <c r="E154" s="62">
        <f t="shared" si="33"/>
        <v>158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3837</v>
      </c>
      <c r="G154" s="62">
        <f t="shared" ref="G154:AE154" si="34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8453</v>
      </c>
      <c r="H154" s="62">
        <f t="shared" si="34"/>
        <v>0</v>
      </c>
      <c r="I154" s="62">
        <f t="shared" si="34"/>
        <v>8453</v>
      </c>
      <c r="J154" s="62">
        <f t="shared" si="34"/>
        <v>1427</v>
      </c>
      <c r="K154" s="62">
        <f t="shared" si="34"/>
        <v>0</v>
      </c>
      <c r="L154" s="62">
        <f t="shared" si="34"/>
        <v>1427</v>
      </c>
      <c r="M154" s="62">
        <f t="shared" si="34"/>
        <v>19215</v>
      </c>
      <c r="N154" s="62">
        <f t="shared" si="34"/>
        <v>0</v>
      </c>
      <c r="O154" s="62">
        <f t="shared" si="34"/>
        <v>19215</v>
      </c>
      <c r="P154" s="62">
        <f t="shared" si="34"/>
        <v>2014</v>
      </c>
      <c r="Q154" s="62">
        <f t="shared" si="34"/>
        <v>0</v>
      </c>
      <c r="R154" s="62">
        <f t="shared" si="34"/>
        <v>2014</v>
      </c>
      <c r="S154" s="62">
        <f t="shared" si="34"/>
        <v>0</v>
      </c>
      <c r="T154" s="62">
        <f t="shared" si="34"/>
        <v>0</v>
      </c>
      <c r="U154" s="62">
        <f t="shared" si="34"/>
        <v>0</v>
      </c>
      <c r="V154" s="62">
        <f t="shared" si="34"/>
        <v>0</v>
      </c>
      <c r="W154" s="62">
        <f t="shared" si="34"/>
        <v>0</v>
      </c>
      <c r="X154" s="62">
        <f t="shared" si="34"/>
        <v>0</v>
      </c>
      <c r="Y154" s="62">
        <f t="shared" si="34"/>
        <v>1503</v>
      </c>
      <c r="Z154" s="62">
        <f t="shared" si="34"/>
        <v>36449</v>
      </c>
      <c r="AA154" s="62">
        <f t="shared" si="34"/>
        <v>0</v>
      </c>
      <c r="AB154" s="62">
        <f t="shared" si="34"/>
        <v>0</v>
      </c>
      <c r="AC154" s="62">
        <f t="shared" si="34"/>
        <v>0</v>
      </c>
      <c r="AD154" s="62">
        <f t="shared" si="34"/>
        <v>0</v>
      </c>
      <c r="AE154" s="62">
        <f t="shared" si="34"/>
        <v>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48"/>
      <c r="AB155" s="48"/>
      <c r="AC155" s="48"/>
      <c r="AD155" s="48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AA156" s="48"/>
      <c r="AB156" s="48"/>
      <c r="AC156" s="48"/>
      <c r="AD156" s="48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AA157" s="48"/>
      <c r="AB157" s="48"/>
      <c r="AC157" s="48"/>
      <c r="AD157" s="48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AA158" s="48"/>
      <c r="AB158" s="48"/>
      <c r="AC158" s="48"/>
      <c r="AD158" s="48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AA159" s="48"/>
      <c r="AB159" s="48"/>
      <c r="AC159" s="48"/>
      <c r="AD159" s="48"/>
    </row>
  </sheetData>
  <autoFilter ref="A3:Z99" xr:uid="{E7EDB315-48AA-405D-807A-978FB15B15D4}"/>
  <mergeCells count="13">
    <mergeCell ref="B154:C154"/>
    <mergeCell ref="Y2:Y3"/>
    <mergeCell ref="Z2:Z3"/>
    <mergeCell ref="B1:Z1"/>
    <mergeCell ref="B2:B3"/>
    <mergeCell ref="C2:C3"/>
    <mergeCell ref="D2:F2"/>
    <mergeCell ref="G2:I2"/>
    <mergeCell ref="J2:L2"/>
    <mergeCell ref="M2:O2"/>
    <mergeCell ref="P2:R2"/>
    <mergeCell ref="S2:U2"/>
    <mergeCell ref="V2:X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บ่าย</vt:lpstr>
      <vt:lpstr>เย็น </vt:lpstr>
      <vt:lpstr>01.09.68</vt:lpstr>
      <vt:lpstr>02.09.68</vt:lpstr>
      <vt:lpstr>03.09.68</vt:lpstr>
      <vt:lpstr>04.09.68</vt:lpstr>
      <vt:lpstr>05.09.68</vt:lpstr>
      <vt:lpstr>06.09.68</vt:lpstr>
      <vt:lpstr>07.09.68</vt:lpstr>
      <vt:lpstr>08.09.68</vt:lpstr>
      <vt:lpstr>09.09.68</vt:lpstr>
      <vt:lpstr>10.09.68</vt:lpstr>
      <vt:lpstr>11.09.68</vt:lpstr>
      <vt:lpstr>12.09.68</vt:lpstr>
      <vt:lpstr>13.09.68</vt:lpstr>
      <vt:lpstr>14.09.68</vt:lpstr>
      <vt:lpstr>15.09.68</vt:lpstr>
      <vt:lpstr>16.09.68</vt:lpstr>
      <vt:lpstr>17.09.68</vt:lpstr>
      <vt:lpstr>18.09.68</vt:lpstr>
      <vt:lpstr>19.09.68</vt:lpstr>
      <vt:lpstr>20.09.68</vt:lpstr>
      <vt:lpstr>21.09.68</vt:lpstr>
      <vt:lpstr>22.09.68</vt:lpstr>
      <vt:lpstr>23.09.68</vt:lpstr>
      <vt:lpstr>24.09.68</vt:lpstr>
      <vt:lpstr>25.09.68</vt:lpstr>
      <vt:lpstr>26.09.68</vt:lpstr>
      <vt:lpstr>27.09.68</vt:lpstr>
      <vt:lpstr>28.09.68</vt:lpstr>
      <vt:lpstr>29.09.68</vt:lpstr>
      <vt:lpstr>30.09.68</vt:lpstr>
      <vt:lpstr>สรุป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2025-09-25T00:23:25Z</cp:lastPrinted>
  <dcterms:created xsi:type="dcterms:W3CDTF">2024-04-30T05:21:27Z</dcterms:created>
  <dcterms:modified xsi:type="dcterms:W3CDTF">2025-09-25T00:49:39Z</dcterms:modified>
</cp:coreProperties>
</file>