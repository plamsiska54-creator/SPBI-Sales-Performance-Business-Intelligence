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88C1C92F-4792-4EF2-A658-D0DBDDC5FBAF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5" l="1"/>
  <c r="M23" i="5"/>
  <c r="M26" i="5"/>
  <c r="M39" i="5"/>
  <c r="M42" i="5"/>
  <c r="M55" i="5"/>
  <c r="M58" i="5"/>
  <c r="M71" i="5"/>
  <c r="M74" i="5"/>
  <c r="M87" i="5"/>
  <c r="M90" i="5"/>
  <c r="M103" i="5"/>
  <c r="M106" i="5"/>
  <c r="M119" i="5"/>
  <c r="M122" i="5"/>
  <c r="M135" i="5"/>
  <c r="M138" i="5"/>
  <c r="M151" i="5"/>
  <c r="J8" i="5"/>
  <c r="M8" i="5" s="1"/>
  <c r="J9" i="5"/>
  <c r="M9" i="5" s="1"/>
  <c r="J10" i="5"/>
  <c r="J11" i="5"/>
  <c r="M11" i="5" s="1"/>
  <c r="J12" i="5"/>
  <c r="M12" i="5" s="1"/>
  <c r="J13" i="5"/>
  <c r="M13" i="5" s="1"/>
  <c r="J14" i="5"/>
  <c r="M14" i="5" s="1"/>
  <c r="J15" i="5"/>
  <c r="M15" i="5" s="1"/>
  <c r="J16" i="5"/>
  <c r="M16" i="5" s="1"/>
  <c r="J17" i="5"/>
  <c r="M17" i="5" s="1"/>
  <c r="J18" i="5"/>
  <c r="M18" i="5" s="1"/>
  <c r="J19" i="5"/>
  <c r="M19" i="5" s="1"/>
  <c r="J20" i="5"/>
  <c r="M20" i="5" s="1"/>
  <c r="J21" i="5"/>
  <c r="M21" i="5" s="1"/>
  <c r="J22" i="5"/>
  <c r="M22" i="5" s="1"/>
  <c r="J23" i="5"/>
  <c r="J24" i="5"/>
  <c r="M24" i="5" s="1"/>
  <c r="J25" i="5"/>
  <c r="M25" i="5" s="1"/>
  <c r="J26" i="5"/>
  <c r="J27" i="5"/>
  <c r="M27" i="5" s="1"/>
  <c r="J28" i="5"/>
  <c r="M28" i="5" s="1"/>
  <c r="J29" i="5"/>
  <c r="M29" i="5" s="1"/>
  <c r="J30" i="5"/>
  <c r="M30" i="5" s="1"/>
  <c r="J31" i="5"/>
  <c r="M31" i="5" s="1"/>
  <c r="J32" i="5"/>
  <c r="M32" i="5" s="1"/>
  <c r="J33" i="5"/>
  <c r="M33" i="5" s="1"/>
  <c r="J34" i="5"/>
  <c r="M34" i="5" s="1"/>
  <c r="J35" i="5"/>
  <c r="M35" i="5" s="1"/>
  <c r="J36" i="5"/>
  <c r="M36" i="5" s="1"/>
  <c r="J37" i="5"/>
  <c r="M37" i="5" s="1"/>
  <c r="J38" i="5"/>
  <c r="M38" i="5" s="1"/>
  <c r="J39" i="5"/>
  <c r="J40" i="5"/>
  <c r="M40" i="5" s="1"/>
  <c r="J41" i="5"/>
  <c r="M41" i="5" s="1"/>
  <c r="J42" i="5"/>
  <c r="J43" i="5"/>
  <c r="M43" i="5" s="1"/>
  <c r="J44" i="5"/>
  <c r="M44" i="5" s="1"/>
  <c r="J45" i="5"/>
  <c r="M45" i="5" s="1"/>
  <c r="J46" i="5"/>
  <c r="M46" i="5" s="1"/>
  <c r="J47" i="5"/>
  <c r="M47" i="5" s="1"/>
  <c r="J48" i="5"/>
  <c r="M48" i="5" s="1"/>
  <c r="J49" i="5"/>
  <c r="M49" i="5" s="1"/>
  <c r="J50" i="5"/>
  <c r="M50" i="5" s="1"/>
  <c r="J51" i="5"/>
  <c r="M51" i="5" s="1"/>
  <c r="J52" i="5"/>
  <c r="M52" i="5" s="1"/>
  <c r="J53" i="5"/>
  <c r="M53" i="5" s="1"/>
  <c r="J54" i="5"/>
  <c r="M54" i="5" s="1"/>
  <c r="J55" i="5"/>
  <c r="J56" i="5"/>
  <c r="M56" i="5" s="1"/>
  <c r="J57" i="5"/>
  <c r="M57" i="5" s="1"/>
  <c r="J58" i="5"/>
  <c r="J59" i="5"/>
  <c r="M59" i="5" s="1"/>
  <c r="J60" i="5"/>
  <c r="M60" i="5" s="1"/>
  <c r="J61" i="5"/>
  <c r="M61" i="5" s="1"/>
  <c r="J62" i="5"/>
  <c r="M62" i="5" s="1"/>
  <c r="J63" i="5"/>
  <c r="M63" i="5" s="1"/>
  <c r="J64" i="5"/>
  <c r="M64" i="5" s="1"/>
  <c r="J65" i="5"/>
  <c r="M65" i="5" s="1"/>
  <c r="J66" i="5"/>
  <c r="M66" i="5" s="1"/>
  <c r="J67" i="5"/>
  <c r="M67" i="5" s="1"/>
  <c r="J68" i="5"/>
  <c r="M68" i="5" s="1"/>
  <c r="J69" i="5"/>
  <c r="M69" i="5" s="1"/>
  <c r="J70" i="5"/>
  <c r="M70" i="5" s="1"/>
  <c r="J71" i="5"/>
  <c r="J72" i="5"/>
  <c r="M72" i="5" s="1"/>
  <c r="J73" i="5"/>
  <c r="M73" i="5" s="1"/>
  <c r="J74" i="5"/>
  <c r="J75" i="5"/>
  <c r="M75" i="5" s="1"/>
  <c r="J76" i="5"/>
  <c r="M76" i="5" s="1"/>
  <c r="J77" i="5"/>
  <c r="M77" i="5" s="1"/>
  <c r="R77" i="5" s="1"/>
  <c r="J78" i="5"/>
  <c r="M78" i="5" s="1"/>
  <c r="J79" i="5"/>
  <c r="M79" i="5" s="1"/>
  <c r="J80" i="5"/>
  <c r="M80" i="5" s="1"/>
  <c r="J81" i="5"/>
  <c r="M81" i="5" s="1"/>
  <c r="J82" i="5"/>
  <c r="M82" i="5" s="1"/>
  <c r="J83" i="5"/>
  <c r="M83" i="5" s="1"/>
  <c r="J84" i="5"/>
  <c r="M84" i="5" s="1"/>
  <c r="J85" i="5"/>
  <c r="M85" i="5" s="1"/>
  <c r="J86" i="5"/>
  <c r="M86" i="5" s="1"/>
  <c r="J87" i="5"/>
  <c r="J88" i="5"/>
  <c r="M88" i="5" s="1"/>
  <c r="J89" i="5"/>
  <c r="M89" i="5" s="1"/>
  <c r="J90" i="5"/>
  <c r="J91" i="5"/>
  <c r="M91" i="5" s="1"/>
  <c r="J92" i="5"/>
  <c r="M92" i="5" s="1"/>
  <c r="J93" i="5"/>
  <c r="M93" i="5" s="1"/>
  <c r="J94" i="5"/>
  <c r="M94" i="5" s="1"/>
  <c r="J95" i="5"/>
  <c r="M95" i="5" s="1"/>
  <c r="J96" i="5"/>
  <c r="M96" i="5" s="1"/>
  <c r="J97" i="5"/>
  <c r="M97" i="5" s="1"/>
  <c r="J98" i="5"/>
  <c r="M98" i="5" s="1"/>
  <c r="J99" i="5"/>
  <c r="M99" i="5" s="1"/>
  <c r="J100" i="5"/>
  <c r="M100" i="5" s="1"/>
  <c r="J101" i="5"/>
  <c r="M101" i="5" s="1"/>
  <c r="J102" i="5"/>
  <c r="M102" i="5" s="1"/>
  <c r="J103" i="5"/>
  <c r="J104" i="5"/>
  <c r="M104" i="5" s="1"/>
  <c r="J105" i="5"/>
  <c r="M105" i="5" s="1"/>
  <c r="J106" i="5"/>
  <c r="J107" i="5"/>
  <c r="M107" i="5" s="1"/>
  <c r="J108" i="5"/>
  <c r="M108" i="5" s="1"/>
  <c r="J109" i="5"/>
  <c r="M109" i="5" s="1"/>
  <c r="J110" i="5"/>
  <c r="M110" i="5" s="1"/>
  <c r="J111" i="5"/>
  <c r="M111" i="5" s="1"/>
  <c r="J112" i="5"/>
  <c r="M112" i="5" s="1"/>
  <c r="J113" i="5"/>
  <c r="M113" i="5" s="1"/>
  <c r="J114" i="5"/>
  <c r="M114" i="5" s="1"/>
  <c r="J115" i="5"/>
  <c r="M115" i="5" s="1"/>
  <c r="J116" i="5"/>
  <c r="M116" i="5" s="1"/>
  <c r="J117" i="5"/>
  <c r="M117" i="5" s="1"/>
  <c r="J118" i="5"/>
  <c r="M118" i="5" s="1"/>
  <c r="J119" i="5"/>
  <c r="J120" i="5"/>
  <c r="M120" i="5" s="1"/>
  <c r="J121" i="5"/>
  <c r="M121" i="5" s="1"/>
  <c r="J122" i="5"/>
  <c r="J123" i="5"/>
  <c r="M123" i="5" s="1"/>
  <c r="J124" i="5"/>
  <c r="M124" i="5" s="1"/>
  <c r="J125" i="5"/>
  <c r="M125" i="5" s="1"/>
  <c r="J126" i="5"/>
  <c r="M126" i="5" s="1"/>
  <c r="J127" i="5"/>
  <c r="M127" i="5" s="1"/>
  <c r="J128" i="5"/>
  <c r="M128" i="5" s="1"/>
  <c r="J129" i="5"/>
  <c r="M129" i="5" s="1"/>
  <c r="J130" i="5"/>
  <c r="M130" i="5" s="1"/>
  <c r="J131" i="5"/>
  <c r="M131" i="5" s="1"/>
  <c r="J132" i="5"/>
  <c r="M132" i="5" s="1"/>
  <c r="J133" i="5"/>
  <c r="M133" i="5" s="1"/>
  <c r="J134" i="5"/>
  <c r="M134" i="5" s="1"/>
  <c r="J135" i="5"/>
  <c r="J136" i="5"/>
  <c r="M136" i="5" s="1"/>
  <c r="J137" i="5"/>
  <c r="M137" i="5" s="1"/>
  <c r="J138" i="5"/>
  <c r="J139" i="5"/>
  <c r="M139" i="5" s="1"/>
  <c r="J140" i="5"/>
  <c r="M140" i="5" s="1"/>
  <c r="J141" i="5"/>
  <c r="M141" i="5" s="1"/>
  <c r="J142" i="5"/>
  <c r="M142" i="5" s="1"/>
  <c r="J143" i="5"/>
  <c r="M143" i="5" s="1"/>
  <c r="J144" i="5"/>
  <c r="M144" i="5" s="1"/>
  <c r="J145" i="5"/>
  <c r="M145" i="5" s="1"/>
  <c r="J146" i="5"/>
  <c r="M146" i="5" s="1"/>
  <c r="J147" i="5"/>
  <c r="M147" i="5" s="1"/>
  <c r="J148" i="5"/>
  <c r="M148" i="5" s="1"/>
  <c r="J149" i="5"/>
  <c r="M149" i="5" s="1"/>
  <c r="J150" i="5"/>
  <c r="M150" i="5" s="1"/>
  <c r="J151" i="5"/>
  <c r="J7" i="5"/>
  <c r="M7" i="5" s="1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I99" i="5"/>
  <c r="I152" i="5" s="1"/>
  <c r="K99" i="5"/>
  <c r="K152" i="5" s="1"/>
  <c r="D66" i="5"/>
  <c r="E66" i="5"/>
  <c r="F66" i="5"/>
  <c r="F152" i="5" s="1"/>
  <c r="G66" i="5"/>
  <c r="H66" i="5"/>
  <c r="I66" i="5"/>
  <c r="K66" i="5"/>
  <c r="E152" i="5" l="1"/>
  <c r="G152" i="5"/>
  <c r="D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<sst xmlns="http://schemas.openxmlformats.org/spreadsheetml/2006/main" count="626" uniqueCount="149">
  <si>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</si>
  <si>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</si>
  <si>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</si>
  <si>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</si>
  <si>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</si>
  <si>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</si>
  <si>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</si>
  <si>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</si>
  <si>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</si>
  <si>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</si>
  <si>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</si>
  <si>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</si>
  <si>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</si>
  <si>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</si>
  <si>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</si>
  <si>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</si>
  <si>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</si>
  <si>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</si>
  <si>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</si>
  <si>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</si>
  <si>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</si>
  <si>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</si>
  <si>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</si>
  <si>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</si>
  <si>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</si>
  <si>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</si>
  <si>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</si>
  <si>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</si>
  <si>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</si>
  <si>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</si>
  <si>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</si>
  <si>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</si>
  <si>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</si>
  <si>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</si>
  <si>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</si>
  <si>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</si>
  <si>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</si>
  <si>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</si>
  <si>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</si>
  <si>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</si>
  <si>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</si>
  <si>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</si>
  <si>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</si>
  <si>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</si>
  <si>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</si>
  <si>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</si>
  <si>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</si>
  <si>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</si>
  <si>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</si>
  <si>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</si>
  <si>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</si>
  <si>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</si>
  <si>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</si>
  <si>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</si>
  <si>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</si>
  <si>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</si>
  <si>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</si>
  <si>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</si>
  <si>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</si>
  <si>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</si>
  <si>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</si>
  <si>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</si>
  <si>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</si>
  <si>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</si>
  <si>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</si>
  <si>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</si>
  <si>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</si>
  <si>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</si>
  <si>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</si>
  <si>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</si>
  <si>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</si>
  <si>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</si>
  <si>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</si>
  <si>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</si>
  <si>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</si>
  <si>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</si>
  <si>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</si>
  <si>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</si>
  <si>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</si>
  <si>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</si>
  <si>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</si>
  <si>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</si>
  <si>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</si>
  <si>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</si>
  <si>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</si>
  <si>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</si>
  <si>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</si>
  <si>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</si>
  <si>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</si>
  <si>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</si>
  <si>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</si>
  <si>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</si>
  <si>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</si>
  <si>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</si>
  <si>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</si>
  <si>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</si>
  <si>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</si>
  <si>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</si>
  <si>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</si>
  <si>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</si>
  <si>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</si>
  <si>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</si>
  <si>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</si>
  <si>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</si>
  <si>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</si>
  <si>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</si>
  <si>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</si>
  <si>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</si>
  <si>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</si>
  <si>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</si>
  <si>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</si>
  <si>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</si>
  <si>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</si>
  <si>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</si>
  <si>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</si>
  <si>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</si>
  <si>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</si>
  <si>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</si>
  <si>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</si>
  <si>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</si>
  <si>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</si>
  <si>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</si>
  <si>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</si>
  <si>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</si>
  <si>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</si>
  <si>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</si>
  <si>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</si>
  <si>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</si>
  <si>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</si>
  <si>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</si>
  <si>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</si>
  <si>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</si>
  <si>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</si>
  <si>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</si>
  <si>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</si>
  <si>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</si>
  <si>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</si>
  <si>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</si>
  <si>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</si>
  <si>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</si>
  <si>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</si>
  <si>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</si>
  <si>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</si>
  <si>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</si>
  <si>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</si>
  <si>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</si>
  <si>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22/6/68  รวม</t>
  </si>
  <si>
    <t>ยอดจริง ออนไลน์ วันที่ 22/6/68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</si>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</sst>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4" zoomScale="60" zoomScaleNormal="60" workbookViewId="0">
      <selection activeCell="S132" sqref="S13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2</v>
      </c>
      <c r="E7" s="30">
        <v>11</v>
      </c>
      <c r="F7" s="30">
        <v>31</v>
      </c>
      <c r="G7" s="30">
        <v>2</v>
      </c>
      <c r="H7" s="30">
        <v>6</v>
      </c>
      <c r="I7" s="30"/>
      <c r="J7" s="43"/>
      <c r="K7" s="43"/>
      <c r="L7" s="36">
        <f>SUM(D7:K7)</f>
        <v>52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6</v>
      </c>
      <c r="F25" s="30"/>
      <c r="G25" s="30">
        <v>1</v>
      </c>
      <c r="H25" s="30"/>
      <c r="I25" s="30"/>
      <c r="J25" s="43"/>
      <c r="K25" s="43"/>
      <c r="L25" s="36">
        <f t="shared" si="0"/>
        <v>7</v>
      </c>
    </row>
    <row r="26" spans="2:12" x14ac:dyDescent="0.25">
      <c r="B26" s="11">
        <v>1004055</v>
      </c>
      <c r="C26" s="15" t="s">
        <v>108</v>
      </c>
      <c r="D26" s="30"/>
      <c r="E26" s="30"/>
      <c r="F26" s="30">
        <v>1</v>
      </c>
      <c r="G26" s="30">
        <v>36</v>
      </c>
      <c r="H26" s="30"/>
      <c r="I26" s="30"/>
      <c r="J26" s="43"/>
      <c r="K26" s="43"/>
      <c r="L26" s="36">
        <f t="shared" si="0"/>
        <v>37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 x14ac:dyDescent="0.25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 x14ac:dyDescent="0.25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 x14ac:dyDescent="0.25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 x14ac:dyDescent="0.25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 x14ac:dyDescent="0.25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 x14ac:dyDescent="0.25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 x14ac:dyDescent="0.25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36">
        <f t="shared" si="0"/>
        <v>4</v>
      </c>
    </row>
    <row r="48" spans="2:12" x14ac:dyDescent="0.25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36">
        <f t="shared" si="0"/>
        <v>4</v>
      </c>
    </row>
    <row r="49" spans="2:12" x14ac:dyDescent="0.25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36">
        <f t="shared" si="0"/>
        <v>4</v>
      </c>
    </row>
    <row r="50" spans="2:12" x14ac:dyDescent="0.25">
      <c r="B50" s="11">
        <v>1111067</v>
      </c>
      <c r="C50" s="15" t="s">
        <v>40</v>
      </c>
      <c r="D50" s="30"/>
      <c r="E50" s="30">
        <v>4</v>
      </c>
      <c r="F50" s="30"/>
      <c r="G50" s="30"/>
      <c r="H50" s="30"/>
      <c r="I50" s="30"/>
      <c r="J50" s="43"/>
      <c r="K50" s="43"/>
      <c r="L50" s="36">
        <f t="shared" si="0"/>
        <v>4</v>
      </c>
    </row>
    <row r="51" spans="2:12" x14ac:dyDescent="0.25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 x14ac:dyDescent="0.25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146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>
        <v>1</v>
      </c>
      <c r="F69" s="30">
        <v>5</v>
      </c>
      <c r="G69" s="30">
        <v>1</v>
      </c>
      <c r="H69" s="30"/>
      <c r="I69" s="30"/>
      <c r="J69" s="43"/>
      <c r="K69" s="43"/>
      <c r="L69" s="36">
        <f t="shared" ref="L69:L76" si="1">SUM(D69:K69)</f>
        <v>7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18</v>
      </c>
      <c r="F87" s="30"/>
      <c r="G87" s="30">
        <v>30</v>
      </c>
      <c r="H87" s="30">
        <v>24</v>
      </c>
      <c r="I87" s="30"/>
      <c r="J87" s="43"/>
      <c r="K87" s="43"/>
      <c r="L87" s="36">
        <f t="shared" si="2"/>
        <v>72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72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9</v>
      </c>
      <c r="E90" s="30">
        <v>1</v>
      </c>
      <c r="F90" s="30"/>
      <c r="G90" s="30">
        <v>31</v>
      </c>
      <c r="H90" s="30">
        <v>5</v>
      </c>
      <c r="I90" s="30"/>
      <c r="J90" s="43"/>
      <c r="K90" s="43"/>
      <c r="L90" s="36">
        <f t="shared" ref="L90:L99" si="3">SUM(D90:K90)</f>
        <v>46</v>
      </c>
    </row>
    <row r="91" spans="2:12" x14ac:dyDescent="0.25">
      <c r="B91" s="11">
        <v>1112011</v>
      </c>
      <c r="C91" s="19" t="s">
        <v>76</v>
      </c>
      <c r="D91" s="30">
        <v>15</v>
      </c>
      <c r="E91" s="30">
        <v>1</v>
      </c>
      <c r="F91" s="30">
        <v>2</v>
      </c>
      <c r="G91" s="30">
        <v>31</v>
      </c>
      <c r="H91" s="30">
        <v>5</v>
      </c>
      <c r="I91" s="30"/>
      <c r="J91" s="43"/>
      <c r="K91" s="43"/>
      <c r="L91" s="36">
        <f t="shared" si="3"/>
        <v>54</v>
      </c>
    </row>
    <row r="92" spans="2:12" x14ac:dyDescent="0.25">
      <c r="B92" s="11">
        <v>1112003</v>
      </c>
      <c r="C92" s="19" t="s">
        <v>77</v>
      </c>
      <c r="D92" s="30">
        <v>16</v>
      </c>
      <c r="E92" s="30">
        <v>1</v>
      </c>
      <c r="F92" s="30"/>
      <c r="G92" s="30">
        <v>31</v>
      </c>
      <c r="H92" s="30">
        <v>5</v>
      </c>
      <c r="I92" s="30"/>
      <c r="J92" s="43"/>
      <c r="K92" s="43"/>
      <c r="L92" s="36">
        <f t="shared" si="3"/>
        <v>53</v>
      </c>
    </row>
    <row r="93" spans="2:12" x14ac:dyDescent="0.25">
      <c r="B93" s="11">
        <v>1112005</v>
      </c>
      <c r="C93" s="19" t="s">
        <v>78</v>
      </c>
      <c r="D93" s="30">
        <v>14</v>
      </c>
      <c r="E93" s="30">
        <v>1</v>
      </c>
      <c r="F93" s="30"/>
      <c r="G93" s="30">
        <v>31</v>
      </c>
      <c r="H93" s="30">
        <v>5</v>
      </c>
      <c r="I93" s="30"/>
      <c r="J93" s="43"/>
      <c r="K93" s="43"/>
      <c r="L93" s="36">
        <f t="shared" si="3"/>
        <v>51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8</v>
      </c>
      <c r="E97" s="30">
        <v>1</v>
      </c>
      <c r="F97" s="30"/>
      <c r="G97" s="30">
        <v>31</v>
      </c>
      <c r="H97" s="30">
        <v>5</v>
      </c>
      <c r="I97" s="30"/>
      <c r="J97" s="43"/>
      <c r="K97" s="43"/>
      <c r="L97" s="36">
        <f t="shared" si="3"/>
        <v>45</v>
      </c>
    </row>
    <row r="98" spans="2:12" x14ac:dyDescent="0.25">
      <c r="B98" s="11">
        <v>1112013</v>
      </c>
      <c r="C98" s="19" t="s">
        <v>83</v>
      </c>
      <c r="D98" s="30"/>
      <c r="E98" s="30">
        <v>2</v>
      </c>
      <c r="F98" s="30">
        <v>1</v>
      </c>
      <c r="G98" s="30">
        <v>32</v>
      </c>
      <c r="H98" s="30">
        <v>5</v>
      </c>
      <c r="I98" s="30"/>
      <c r="J98" s="43"/>
      <c r="K98" s="43"/>
      <c r="L98" s="36">
        <f t="shared" si="3"/>
        <v>40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289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49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49</v>
      </c>
    </row>
    <row r="115" spans="2:12" x14ac:dyDescent="0.25">
      <c r="B115" s="11">
        <v>1113171</v>
      </c>
      <c r="C115" s="21" t="s">
        <v>88</v>
      </c>
      <c r="D115" s="30">
        <v>37</v>
      </c>
      <c r="E115" s="30"/>
      <c r="F115" s="30"/>
      <c r="G115" s="30"/>
      <c r="H115" s="30"/>
      <c r="I115" s="30"/>
      <c r="J115" s="43"/>
      <c r="K115" s="43"/>
      <c r="L115" s="36">
        <f t="shared" si="5"/>
        <v>37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>
        <v>2</v>
      </c>
      <c r="H121" s="30"/>
      <c r="I121" s="30"/>
      <c r="J121" s="43"/>
      <c r="K121" s="43"/>
      <c r="L121" s="36">
        <f t="shared" si="5"/>
        <v>2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4</v>
      </c>
      <c r="E123" s="30">
        <v>6</v>
      </c>
      <c r="F123" s="30"/>
      <c r="G123" s="30">
        <v>208</v>
      </c>
      <c r="H123" s="30">
        <v>81</v>
      </c>
      <c r="I123" s="30"/>
      <c r="J123" s="43"/>
      <c r="K123" s="43"/>
      <c r="L123" s="36">
        <f t="shared" si="5"/>
        <v>299</v>
      </c>
    </row>
    <row r="124" spans="2:12" x14ac:dyDescent="0.25">
      <c r="B124" s="11">
        <v>1114502</v>
      </c>
      <c r="C124" s="21" t="s">
        <v>96</v>
      </c>
      <c r="D124" s="30">
        <v>2</v>
      </c>
      <c r="E124" s="30">
        <v>1</v>
      </c>
      <c r="F124" s="30"/>
      <c r="G124" s="30">
        <v>202</v>
      </c>
      <c r="H124" s="30">
        <v>73</v>
      </c>
      <c r="I124" s="30"/>
      <c r="J124" s="43"/>
      <c r="K124" s="43"/>
      <c r="L124" s="36">
        <f t="shared" si="5"/>
        <v>278</v>
      </c>
    </row>
    <row r="125" spans="2:12" x14ac:dyDescent="0.25">
      <c r="B125" s="11">
        <v>1114503</v>
      </c>
      <c r="C125" s="21" t="s">
        <v>97</v>
      </c>
      <c r="D125" s="30">
        <v>3</v>
      </c>
      <c r="E125" s="30">
        <v>1</v>
      </c>
      <c r="F125" s="30"/>
      <c r="G125" s="30">
        <v>196</v>
      </c>
      <c r="H125" s="30">
        <v>76</v>
      </c>
      <c r="I125" s="30"/>
      <c r="J125" s="43"/>
      <c r="K125" s="43"/>
      <c r="L125" s="36">
        <f t="shared" si="5"/>
        <v>276</v>
      </c>
    </row>
    <row r="126" spans="2:12" x14ac:dyDescent="0.25">
      <c r="B126" s="11">
        <v>1124021</v>
      </c>
      <c r="C126" s="21" t="s">
        <v>98</v>
      </c>
      <c r="D126" s="30"/>
      <c r="E126" s="30">
        <v>18</v>
      </c>
      <c r="F126" s="30">
        <v>18</v>
      </c>
      <c r="G126" s="30">
        <v>9</v>
      </c>
      <c r="H126" s="30"/>
      <c r="I126" s="30"/>
      <c r="J126" s="43"/>
      <c r="K126" s="43"/>
      <c r="L126" s="36">
        <f t="shared" si="5"/>
        <v>45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126" zoomScale="50" zoomScaleNormal="50" workbookViewId="0">
      <selection activeCell="P135" sqref="P13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148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11</v>
      </c>
      <c r="F7" s="30">
        <f>'เย็น '!F7+'เช้า '!F7+บ่าย!F7</f>
        <v>31</v>
      </c>
      <c r="G7" s="30">
        <f>'เย็น '!G7+'เช้า '!G7+บ่าย!G7</f>
        <v>2</v>
      </c>
      <c r="H7" s="30">
        <f>'เย็น '!H7+'เช้า '!H7+บ่าย!H7</f>
        <v>6</v>
      </c>
      <c r="I7" s="30">
        <f>'เย็น '!I7+'เช้า '!I7+บ่าย!I7</f>
        <v>0</v>
      </c>
      <c r="J7" s="30">
        <f>+G7+H7+I7</f>
        <v>8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52</v>
      </c>
      <c r="N7" s="11">
        <v>39</v>
      </c>
      <c r="O7" s="11"/>
      <c r="P7" s="11">
        <v>20</v>
      </c>
      <c r="Q7" s="11">
        <v>70</v>
      </c>
      <c r="R7" s="44">
        <f>(N7+O7+P7+Q7)-M7</f>
        <v>77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7</v>
      </c>
      <c r="N25" s="11">
        <v>10</v>
      </c>
      <c r="O25" s="11">
        <v>3</v>
      </c>
      <c r="P25" s="11"/>
      <c r="Q25" s="11">
        <v>10</v>
      </c>
      <c r="R25" s="44">
        <f t="shared" si="2"/>
        <v>16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1</v>
      </c>
      <c r="G26" s="30">
        <f>'เย็น '!G26+'เช้า '!G26+บ่าย!G26</f>
        <v>36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36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37</v>
      </c>
      <c r="N26" s="11">
        <v>8</v>
      </c>
      <c r="O26" s="11"/>
      <c r="P26" s="11">
        <v>30</v>
      </c>
      <c r="Q26" s="11">
        <v>90</v>
      </c>
      <c r="R26" s="44">
        <f t="shared" si="2"/>
        <v>91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4</v>
      </c>
      <c r="N40" s="11"/>
      <c r="O40" s="11">
        <v>1</v>
      </c>
      <c r="P40" s="11"/>
      <c r="Q40" s="11"/>
      <c r="R40" s="44">
        <f t="shared" si="2"/>
        <v>-3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4</v>
      </c>
      <c r="N41" s="11"/>
      <c r="O41" s="11"/>
      <c r="P41" s="11"/>
      <c r="Q41" s="11"/>
      <c r="R41" s="44">
        <f t="shared" si="2"/>
        <v>-4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4</v>
      </c>
      <c r="N42" s="11"/>
      <c r="O42" s="11"/>
      <c r="P42" s="11"/>
      <c r="Q42" s="11"/>
      <c r="R42" s="44">
        <f t="shared" si="2"/>
        <v>-4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4</v>
      </c>
      <c r="N43" s="11"/>
      <c r="O43" s="11"/>
      <c r="P43" s="11"/>
      <c r="Q43" s="11"/>
      <c r="R43" s="44">
        <f t="shared" si="2"/>
        <v>-4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4</v>
      </c>
      <c r="N44" s="11"/>
      <c r="O44" s="11"/>
      <c r="P44" s="11"/>
      <c r="Q44" s="11"/>
      <c r="R44" s="44">
        <f t="shared" si="2"/>
        <v>-4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4</v>
      </c>
      <c r="N45" s="11"/>
      <c r="O45" s="11"/>
      <c r="P45" s="11"/>
      <c r="Q45" s="11"/>
      <c r="R45" s="44">
        <f t="shared" si="2"/>
        <v>-4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4</v>
      </c>
      <c r="N46" s="11"/>
      <c r="O46" s="11"/>
      <c r="P46" s="11"/>
      <c r="Q46" s="11"/>
      <c r="R46" s="44">
        <f t="shared" si="2"/>
        <v>-4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4</v>
      </c>
      <c r="N47" s="11"/>
      <c r="O47" s="11"/>
      <c r="P47" s="11"/>
      <c r="Q47" s="11"/>
      <c r="R47" s="44">
        <f t="shared" si="2"/>
        <v>-4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4</v>
      </c>
      <c r="N48" s="11"/>
      <c r="O48" s="11"/>
      <c r="P48" s="11"/>
      <c r="Q48" s="11"/>
      <c r="R48" s="44">
        <f t="shared" si="2"/>
        <v>-4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4</v>
      </c>
      <c r="N49" s="11"/>
      <c r="O49" s="11"/>
      <c r="P49" s="11"/>
      <c r="Q49" s="11"/>
      <c r="R49" s="44">
        <f t="shared" si="2"/>
        <v>-4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4</v>
      </c>
      <c r="N50" s="11"/>
      <c r="O50" s="11"/>
      <c r="P50" s="11"/>
      <c r="Q50" s="11"/>
      <c r="R50" s="44">
        <f t="shared" si="2"/>
        <v>-4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3</v>
      </c>
      <c r="N51" s="11"/>
      <c r="O51" s="11"/>
      <c r="P51" s="11"/>
      <c r="Q51" s="11"/>
      <c r="R51" s="44">
        <f t="shared" si="2"/>
        <v>-3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3</v>
      </c>
      <c r="N52" s="11"/>
      <c r="O52" s="11">
        <v>1</v>
      </c>
      <c r="P52" s="11"/>
      <c r="Q52" s="11"/>
      <c r="R52" s="44">
        <f t="shared" si="2"/>
        <v>-2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30">
        <f>'เย็น '!F69+'เช้า '!F69+บ่าย!F69</f>
        <v>5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7</v>
      </c>
      <c r="N69" s="11">
        <v>15</v>
      </c>
      <c r="O69" s="11">
        <v>9</v>
      </c>
      <c r="P69" s="11"/>
      <c r="Q69" s="11">
        <v>15</v>
      </c>
      <c r="R69" s="44">
        <f t="shared" ref="R69:R76" si="4">(N69+O69+P69+Q69)-M69</f>
        <v>32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18</v>
      </c>
      <c r="F87" s="30">
        <f>'เย็น '!F87+'เช้า '!F87+บ่าย!F87</f>
        <v>0</v>
      </c>
      <c r="G87" s="30">
        <f>'เย็น '!G87+'เช้า '!G87+บ่าย!G87</f>
        <v>30</v>
      </c>
      <c r="H87" s="30">
        <f>'เย็น '!H87+'เช้า '!H87+บ่าย!H87</f>
        <v>24</v>
      </c>
      <c r="I87" s="30">
        <f>'เย็น '!I87+'เช้า '!I87+บ่าย!I87</f>
        <v>0</v>
      </c>
      <c r="J87" s="30">
        <f t="shared" si="5"/>
        <v>54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72</v>
      </c>
      <c r="N87" s="11">
        <v>90</v>
      </c>
      <c r="O87" s="11">
        <v>3</v>
      </c>
      <c r="P87" s="11"/>
      <c r="Q87" s="11">
        <v>90</v>
      </c>
      <c r="R87" s="44">
        <f t="shared" si="8"/>
        <v>111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31</v>
      </c>
      <c r="H90" s="30">
        <f>'เย็น '!H90+'เช้า '!H90+บ่าย!H90</f>
        <v>5</v>
      </c>
      <c r="I90" s="30">
        <f>'เย็น '!I90+'เช้า '!I90+บ่าย!I90</f>
        <v>0</v>
      </c>
      <c r="J90" s="30">
        <f t="shared" si="5"/>
        <v>36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46</v>
      </c>
      <c r="N90" s="11">
        <v>50</v>
      </c>
      <c r="O90" s="11">
        <v>29</v>
      </c>
      <c r="P90" s="11"/>
      <c r="Q90" s="11">
        <v>50</v>
      </c>
      <c r="R90" s="44">
        <f t="shared" ref="R90:R100" si="9">(N90+O90+P90+Q90)-M90</f>
        <v>83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15</v>
      </c>
      <c r="E91" s="30">
        <f>'เย็น '!E91+'เช้า '!E91+บ่าย!E91</f>
        <v>1</v>
      </c>
      <c r="F91" s="30">
        <f>'เย็น '!F91+'เช้า '!F91+บ่าย!F91</f>
        <v>2</v>
      </c>
      <c r="G91" s="30">
        <f>'เย็น '!G91+'เช้า '!G91+บ่าย!G91</f>
        <v>31</v>
      </c>
      <c r="H91" s="30">
        <f>'เย็น '!H91+'เช้า '!H91+บ่าย!H91</f>
        <v>5</v>
      </c>
      <c r="I91" s="30">
        <f>'เย็น '!I91+'เช้า '!I91+บ่าย!I91</f>
        <v>0</v>
      </c>
      <c r="J91" s="30">
        <f t="shared" si="5"/>
        <v>36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54</v>
      </c>
      <c r="N91" s="11">
        <v>50</v>
      </c>
      <c r="O91" s="11">
        <v>29</v>
      </c>
      <c r="P91" s="11"/>
      <c r="Q91" s="11">
        <v>50</v>
      </c>
      <c r="R91" s="44">
        <f t="shared" si="9"/>
        <v>75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16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31</v>
      </c>
      <c r="H92" s="30">
        <f>'เย็น '!H92+'เช้า '!H92+บ่าย!H92</f>
        <v>5</v>
      </c>
      <c r="I92" s="30">
        <f>'เย็น '!I92+'เช้า '!I92+บ่าย!I92</f>
        <v>0</v>
      </c>
      <c r="J92" s="30">
        <f t="shared" si="5"/>
        <v>36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53</v>
      </c>
      <c r="N92" s="11">
        <v>50</v>
      </c>
      <c r="O92" s="11">
        <v>34</v>
      </c>
      <c r="P92" s="11"/>
      <c r="Q92" s="11">
        <v>50</v>
      </c>
      <c r="R92" s="44">
        <f t="shared" si="9"/>
        <v>81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14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31</v>
      </c>
      <c r="H93" s="30">
        <f>'เย็น '!H93+'เช้า '!H93+บ่าย!H93</f>
        <v>5</v>
      </c>
      <c r="I93" s="30">
        <f>'เย็น '!I93+'เช้า '!I93+บ่าย!I93</f>
        <v>0</v>
      </c>
      <c r="J93" s="30">
        <f t="shared" si="5"/>
        <v>36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51</v>
      </c>
      <c r="N93" s="11">
        <v>50</v>
      </c>
      <c r="O93" s="11">
        <v>31</v>
      </c>
      <c r="P93" s="11"/>
      <c r="Q93" s="11">
        <v>50</v>
      </c>
      <c r="R93" s="44">
        <f t="shared" si="9"/>
        <v>80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8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31</v>
      </c>
      <c r="H97" s="30">
        <f>'เย็น '!H97+'เช้า '!H97+บ่าย!H97</f>
        <v>5</v>
      </c>
      <c r="I97" s="30">
        <f>'เย็น '!I97+'เช้า '!I97+บ่าย!I97</f>
        <v>0</v>
      </c>
      <c r="J97" s="30">
        <f t="shared" si="5"/>
        <v>36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45</v>
      </c>
      <c r="N97" s="11">
        <v>50</v>
      </c>
      <c r="O97" s="11">
        <v>30</v>
      </c>
      <c r="P97" s="11"/>
      <c r="Q97" s="11">
        <v>50</v>
      </c>
      <c r="R97" s="44">
        <f t="shared" si="9"/>
        <v>85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32</v>
      </c>
      <c r="H98" s="30">
        <f>'เย็น '!H98+'เช้า '!H98+บ่าย!H98</f>
        <v>5</v>
      </c>
      <c r="I98" s="30">
        <f>'เย็น '!I98+'เช้า '!I98+บ่าย!I98</f>
        <v>0</v>
      </c>
      <c r="J98" s="30">
        <f t="shared" si="5"/>
        <v>37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40</v>
      </c>
      <c r="N98" s="11">
        <v>50</v>
      </c>
      <c r="O98" s="11">
        <v>25</v>
      </c>
      <c r="P98" s="11"/>
      <c r="Q98" s="11">
        <v>50</v>
      </c>
      <c r="R98" s="44">
        <f t="shared" si="9"/>
        <v>85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300</v>
      </c>
      <c r="O100" s="11">
        <f>SUM(O90:O99)</f>
        <v>178</v>
      </c>
      <c r="P100" s="11">
        <f>SUM(P90:P99)</f>
        <v>0</v>
      </c>
      <c r="Q100" s="11">
        <f>SUM(Q90:Q99)</f>
        <v>300</v>
      </c>
      <c r="R100" s="44">
        <f t="shared" si="9"/>
        <v>778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49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49</v>
      </c>
      <c r="N114" s="11"/>
      <c r="O114" s="11">
        <v>50</v>
      </c>
      <c r="P114" s="11"/>
      <c r="Q114" s="11"/>
      <c r="R114" s="44">
        <f t="shared" ref="R114:R151" si="11">(N114+O114+P114+Q114)-M114</f>
        <v>1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37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37</v>
      </c>
      <c r="N115" s="11"/>
      <c r="O115" s="11">
        <v>40</v>
      </c>
      <c r="P115" s="11"/>
      <c r="Q115" s="11"/>
      <c r="R115" s="44">
        <f t="shared" si="11"/>
        <v>3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1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1</v>
      </c>
      <c r="N120" s="11"/>
      <c r="O120" s="11"/>
      <c r="P120" s="11"/>
      <c r="Q120" s="11"/>
      <c r="R120" s="44">
        <f t="shared" si="11"/>
        <v>-1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2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2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2</v>
      </c>
      <c r="N121" s="11"/>
      <c r="O121" s="11"/>
      <c r="P121" s="11"/>
      <c r="Q121" s="11"/>
      <c r="R121" s="44">
        <f t="shared" si="11"/>
        <v>-2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4</v>
      </c>
      <c r="E123" s="30">
        <f>บ่าย!E123+'เช้า '!E123+'เย็น '!E123</f>
        <v>6</v>
      </c>
      <c r="F123" s="30">
        <f>บ่าย!F123+'เช้า '!F123+'เย็น '!F123</f>
        <v>0</v>
      </c>
      <c r="G123" s="30">
        <f>บ่าย!G123+'เช้า '!G123+'เย็น '!G123</f>
        <v>208</v>
      </c>
      <c r="H123" s="30">
        <f>บ่าย!H123+'เช้า '!H123+'เย็น '!H123</f>
        <v>81</v>
      </c>
      <c r="I123" s="30">
        <f>บ่าย!I123+'เช้า '!I123+'เย็น '!I123</f>
        <v>0</v>
      </c>
      <c r="J123" s="30">
        <f t="shared" si="5"/>
        <v>289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299</v>
      </c>
      <c r="N123" s="11">
        <v>198</v>
      </c>
      <c r="O123" s="11">
        <v>1021</v>
      </c>
      <c r="P123" s="11"/>
      <c r="Q123" s="11">
        <v>400</v>
      </c>
      <c r="R123" s="44">
        <f t="shared" si="11"/>
        <v>1320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1</v>
      </c>
      <c r="F124" s="30">
        <f>บ่าย!F124+'เช้า '!F124+'เย็น '!F124</f>
        <v>0</v>
      </c>
      <c r="G124" s="30">
        <f>บ่าย!G124+'เช้า '!G124+'เย็น '!G124</f>
        <v>202</v>
      </c>
      <c r="H124" s="30">
        <f>บ่าย!H124+'เช้า '!H124+'เย็น '!H124</f>
        <v>73</v>
      </c>
      <c r="I124" s="30">
        <f>บ่าย!I124+'เช้า '!I124+'เย็น '!I124</f>
        <v>0</v>
      </c>
      <c r="J124" s="30">
        <f t="shared" si="5"/>
        <v>275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278</v>
      </c>
      <c r="N124" s="11"/>
      <c r="O124" s="11">
        <v>787</v>
      </c>
      <c r="P124" s="11"/>
      <c r="Q124" s="11">
        <v>350</v>
      </c>
      <c r="R124" s="44">
        <f t="shared" si="11"/>
        <v>859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3</v>
      </c>
      <c r="E125" s="30">
        <f>บ่าย!E125+'เช้า '!E125+'เย็น '!E125</f>
        <v>1</v>
      </c>
      <c r="F125" s="30">
        <f>บ่าย!F125+'เช้า '!F125+'เย็น '!F125</f>
        <v>0</v>
      </c>
      <c r="G125" s="30">
        <f>บ่าย!G125+'เช้า '!G125+'เย็น '!G125</f>
        <v>196</v>
      </c>
      <c r="H125" s="30">
        <f>บ่าย!H125+'เช้า '!H125+'เย็น '!H125</f>
        <v>76</v>
      </c>
      <c r="I125" s="30">
        <f>บ่าย!I125+'เช้า '!I125+'เย็น '!I125</f>
        <v>0</v>
      </c>
      <c r="J125" s="30">
        <f t="shared" si="5"/>
        <v>272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276</v>
      </c>
      <c r="N125" s="11"/>
      <c r="O125" s="11">
        <v>750</v>
      </c>
      <c r="P125" s="11"/>
      <c r="Q125" s="11">
        <v>350</v>
      </c>
      <c r="R125" s="44">
        <f t="shared" si="11"/>
        <v>824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18</v>
      </c>
      <c r="F126" s="30">
        <f>บ่าย!F126+'เช้า '!F126+'เย็น '!F126</f>
        <v>18</v>
      </c>
      <c r="G126" s="30">
        <f>บ่าย!G126+'เช้า '!G126+'เย็น '!G126</f>
        <v>9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9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45</v>
      </c>
      <c r="N126" s="11">
        <v>30</v>
      </c>
      <c r="O126" s="11">
        <v>50</v>
      </c>
      <c r="P126" s="11"/>
      <c r="Q126" s="11">
        <v>30</v>
      </c>
      <c r="R126" s="44">
        <f t="shared" si="11"/>
        <v>65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159</v>
      </c>
      <c r="E152" s="60">
        <f t="shared" ref="E152:R152" si="14">SUM(E114:E151,E90:E99,E79:E87,E69:E76,E7:E66,E102:E111)</f>
        <v>119</v>
      </c>
      <c r="F152" s="60">
        <f t="shared" si="14"/>
        <v>58</v>
      </c>
      <c r="G152" s="60">
        <f t="shared" si="14"/>
        <v>875</v>
      </c>
      <c r="H152" s="60">
        <f t="shared" si="14"/>
        <v>290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0</v>
      </c>
      <c r="M152" s="60">
        <f t="shared" si="14"/>
        <v>1501</v>
      </c>
      <c r="N152" s="60">
        <f t="shared" si="14"/>
        <v>690</v>
      </c>
      <c r="O152" s="60">
        <f t="shared" si="14"/>
        <v>2893</v>
      </c>
      <c r="P152" s="60">
        <f t="shared" si="14"/>
        <v>50</v>
      </c>
      <c r="Q152" s="60">
        <f t="shared" si="14"/>
        <v>1705</v>
      </c>
      <c r="R152" s="60">
        <f t="shared" si="14"/>
        <v>3837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2025-06-22T00:33:28Z</cp:lastPrinted>
  <dcterms:created xsi:type="dcterms:W3CDTF">2024-04-30T05:21:27Z</dcterms:created>
  <dcterms:modified xsi:type="dcterms:W3CDTF">2025-06-29T15:03:30Z</dcterms:modified>
</cp:coreProperties>
</file>