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1437EFA2-D1DA-41A9-BB5D-9E586B1A4BA5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R143" i="5" s="1"/>
  <c r="J144" i="5"/>
  <c r="J145" i="5"/>
  <c r="R145" i="5" s="1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R136" i="5" s="1"/>
  <c r="E136" i="5"/>
  <c r="F136" i="5"/>
  <c r="G136" i="5"/>
  <c r="H136" i="5"/>
  <c r="I136" i="5"/>
  <c r="K136" i="5"/>
  <c r="L136" i="5"/>
  <c r="D137" i="5"/>
  <c r="E137" i="5"/>
  <c r="F137" i="5"/>
  <c r="G137" i="5"/>
  <c r="R137" i="5" s="1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R140" i="5" s="1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4" i="5" l="1"/>
  <c r="R146" i="5"/>
  <c r="R142" i="5"/>
  <c r="R134" i="5"/>
  <c r="R148" i="5"/>
  <c r="R141" i="5"/>
  <c r="R139" i="5"/>
  <c r="R133" i="5"/>
  <c r="R147" i="5"/>
  <c r="R135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1" i="5"/>
  <c r="R132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G152" i="5" l="1"/>
  <c r="E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<sst xmlns="http://schemas.openxmlformats.org/spreadsheetml/2006/main" count="629" uniqueCount="151">
  <si>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</si>
  <si>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</si>
  <si>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</si>
  <si>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</si>
  <si>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</si>
  <si>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</si>
  <si>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</si>
  <si>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</si>
  <si>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</si>
  <si>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</si>
  <si>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</si>
  <si>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</si>
  <si>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</si>
  <si>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</si>
  <si>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</si>
  <si>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</si>
  <si>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</si>
  <si>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</si>
  <si>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</si>
  <si>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</si>
  <si>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</si>
  <si>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</si>
  <si>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</si>
  <si>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</si>
  <si>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</si>
  <si>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</si>
  <si>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</si>
  <si>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</si>
  <si>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</si>
  <si>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</si>
  <si>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</si>
  <si>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</si>
  <si>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</si>
  <si>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</si>
  <si>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</si>
  <si>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</si>
  <si>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</si>
  <si>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</si>
  <si>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</si>
  <si>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</si>
  <si>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</si>
  <si>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</si>
  <si>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</si>
  <si>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</si>
  <si>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</si>
  <si>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</si>
  <si>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</si>
  <si>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</si>
  <si>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</si>
  <si>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</si>
  <si>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</si>
  <si>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</si>
  <si>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</si>
  <si>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</si>
  <si>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</si>
  <si>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</si>
  <si>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</si>
  <si>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</si>
  <si>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</si>
  <si>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</si>
  <si>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</si>
  <si>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</si>
  <si>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</si>
  <si>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</si>
  <si>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</si>
  <si>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</si>
  <si>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</si>
  <si>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</si>
  <si>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</si>
  <si>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</si>
  <si>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</si>
  <si>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</si>
  <si>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</si>
  <si>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</si>
  <si>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</si>
  <si>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</si>
  <si>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</si>
  <si>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</si>
  <si>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</si>
  <si>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</si>
  <si>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</si>
  <si>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</si>
  <si>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</si>
  <si>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</si>
  <si>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</si>
  <si>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</si>
  <si>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</si>
  <si>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</si>
  <si>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</si>
  <si>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</si>
  <si>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</si>
  <si>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</si>
  <si>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</si>
  <si>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</si>
  <si>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</si>
  <si>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</si>
  <si>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</si>
  <si>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</si>
  <si>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</si>
  <si>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</si>
  <si>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</si>
  <si>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</si>
  <si>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</si>
  <si>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</si>
  <si>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</si>
  <si>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</si>
  <si>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</si>
  <si>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</si>
  <si>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</si>
  <si>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</si>
  <si>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</si>
  <si>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</si>
  <si>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</si>
  <si>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</si>
  <si>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</si>
  <si>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</si>
  <si>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</si>
  <si>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</si>
  <si>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</si>
  <si>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</si>
  <si>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</si>
  <si>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</si>
  <si>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</si>
  <si>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</si>
  <si>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</si>
  <si>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</si>
  <si>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</si>
  <si>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</si>
  <si>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</si>
  <si>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</si>
  <si>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</si>
  <si>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</si>
  <si>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</si>
  <si>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</si>
  <si>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</si>
  <si>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</si>
  <si>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</si>
  <si>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</si>
  <si>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</si>
  <si>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</si>
  <si>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</si>
  <si>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</si>
  <si>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</si>
  <si>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</si>
  <si>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</si>
  <si>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</si>
  <si>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</si>
  <si>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</si>
  <si>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26-6-68เช้า</t>
  </si>
  <si>
    <t>ยอดจริง ออนไลน์ วันที่ 26-6-68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</si>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</sst>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5" zoomScale="60" zoomScaleNormal="60" workbookViewId="0">
      <selection activeCell="N136" sqref="N13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4</v>
      </c>
      <c r="E7" s="30">
        <v>29</v>
      </c>
      <c r="F7" s="30">
        <v>27</v>
      </c>
      <c r="G7" s="30">
        <v>1</v>
      </c>
      <c r="H7" s="30">
        <v>24</v>
      </c>
      <c r="I7" s="30"/>
      <c r="J7" s="43"/>
      <c r="K7" s="43">
        <v>1</v>
      </c>
      <c r="L7" s="36">
        <f>SUM(D7:K7)</f>
        <v>86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11</v>
      </c>
      <c r="F25" s="30">
        <v>6</v>
      </c>
      <c r="G25" s="30">
        <v>1</v>
      </c>
      <c r="H25" s="30">
        <v>2</v>
      </c>
      <c r="I25" s="30"/>
      <c r="J25" s="43"/>
      <c r="K25" s="43"/>
      <c r="L25" s="36">
        <f t="shared" si="0"/>
        <v>21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91</v>
      </c>
      <c r="H26" s="30">
        <v>3</v>
      </c>
      <c r="I26" s="30"/>
      <c r="J26" s="43"/>
      <c r="K26" s="43"/>
      <c r="L26" s="36">
        <f t="shared" si="0"/>
        <v>94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201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>
        <v>3</v>
      </c>
      <c r="E69" s="30">
        <v>4</v>
      </c>
      <c r="F69" s="30">
        <v>8</v>
      </c>
      <c r="G69" s="30">
        <v>2</v>
      </c>
      <c r="H69" s="30">
        <v>4</v>
      </c>
      <c r="I69" s="30"/>
      <c r="J69" s="43"/>
      <c r="K69" s="43"/>
      <c r="L69" s="36">
        <f t="shared" ref="L69:L76" si="1">SUM(D69:K69)</f>
        <v>21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2</v>
      </c>
      <c r="E87" s="30">
        <v>9</v>
      </c>
      <c r="F87" s="30"/>
      <c r="G87" s="30">
        <v>45</v>
      </c>
      <c r="H87" s="30">
        <v>32</v>
      </c>
      <c r="I87" s="30"/>
      <c r="J87" s="43"/>
      <c r="K87" s="43"/>
      <c r="L87" s="36">
        <f t="shared" si="2"/>
        <v>88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88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26</v>
      </c>
      <c r="E90" s="30"/>
      <c r="F90" s="30"/>
      <c r="G90" s="30">
        <v>20</v>
      </c>
      <c r="H90" s="30">
        <v>18</v>
      </c>
      <c r="I90" s="30"/>
      <c r="J90" s="43"/>
      <c r="K90" s="43"/>
      <c r="L90" s="36">
        <f t="shared" ref="L90:L99" si="3">SUM(D90:K90)</f>
        <v>64</v>
      </c>
    </row>
    <row r="91" spans="2:12" x14ac:dyDescent="0.25">
      <c r="B91" s="11">
        <v>1112011</v>
      </c>
      <c r="C91" s="19" t="s">
        <v>76</v>
      </c>
      <c r="D91" s="30">
        <v>42</v>
      </c>
      <c r="E91" s="30"/>
      <c r="F91" s="30">
        <v>2</v>
      </c>
      <c r="G91" s="30">
        <v>20</v>
      </c>
      <c r="H91" s="30"/>
      <c r="I91" s="30"/>
      <c r="J91" s="43"/>
      <c r="K91" s="43"/>
      <c r="L91" s="36">
        <f t="shared" si="3"/>
        <v>64</v>
      </c>
    </row>
    <row r="92" spans="2:12" x14ac:dyDescent="0.25">
      <c r="B92" s="11">
        <v>1112003</v>
      </c>
      <c r="C92" s="19" t="s">
        <v>77</v>
      </c>
      <c r="D92" s="30">
        <v>38</v>
      </c>
      <c r="E92" s="30"/>
      <c r="F92" s="30"/>
      <c r="G92" s="30">
        <v>20</v>
      </c>
      <c r="H92" s="30">
        <v>8</v>
      </c>
      <c r="I92" s="30"/>
      <c r="J92" s="43"/>
      <c r="K92" s="43"/>
      <c r="L92" s="36">
        <f t="shared" si="3"/>
        <v>66</v>
      </c>
    </row>
    <row r="93" spans="2:12" x14ac:dyDescent="0.25">
      <c r="B93" s="11">
        <v>1112005</v>
      </c>
      <c r="C93" s="19" t="s">
        <v>78</v>
      </c>
      <c r="D93" s="30">
        <v>42</v>
      </c>
      <c r="E93" s="30"/>
      <c r="F93" s="30"/>
      <c r="G93" s="30">
        <v>20</v>
      </c>
      <c r="H93" s="30">
        <v>8</v>
      </c>
      <c r="I93" s="30"/>
      <c r="J93" s="43"/>
      <c r="K93" s="43"/>
      <c r="L93" s="36">
        <f t="shared" si="3"/>
        <v>70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33</v>
      </c>
      <c r="E97" s="30"/>
      <c r="F97" s="30"/>
      <c r="G97" s="30">
        <v>20</v>
      </c>
      <c r="H97" s="30">
        <v>8</v>
      </c>
      <c r="I97" s="30"/>
      <c r="J97" s="43"/>
      <c r="K97" s="43"/>
      <c r="L97" s="36">
        <f t="shared" si="3"/>
        <v>61</v>
      </c>
    </row>
    <row r="98" spans="2:12" x14ac:dyDescent="0.25">
      <c r="B98" s="11">
        <v>1112013</v>
      </c>
      <c r="C98" s="19" t="s">
        <v>83</v>
      </c>
      <c r="D98" s="30">
        <v>24</v>
      </c>
      <c r="E98" s="30"/>
      <c r="F98" s="30"/>
      <c r="G98" s="30">
        <v>24</v>
      </c>
      <c r="H98" s="30">
        <v>10</v>
      </c>
      <c r="I98" s="30"/>
      <c r="J98" s="43"/>
      <c r="K98" s="43"/>
      <c r="L98" s="36">
        <f t="shared" si="3"/>
        <v>58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383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60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60</v>
      </c>
    </row>
    <row r="115" spans="2:12" x14ac:dyDescent="0.25">
      <c r="B115" s="11">
        <v>1113171</v>
      </c>
      <c r="C115" s="21" t="s">
        <v>88</v>
      </c>
      <c r="D115" s="30">
        <v>50</v>
      </c>
      <c r="E115" s="30"/>
      <c r="F115" s="30"/>
      <c r="G115" s="30"/>
      <c r="H115" s="30"/>
      <c r="I115" s="30"/>
      <c r="J115" s="43"/>
      <c r="K115" s="43"/>
      <c r="L115" s="36">
        <f t="shared" si="5"/>
        <v>50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14</v>
      </c>
      <c r="E123" s="30">
        <v>9</v>
      </c>
      <c r="F123" s="30">
        <v>1</v>
      </c>
      <c r="G123" s="30">
        <v>256</v>
      </c>
      <c r="H123" s="30">
        <v>207</v>
      </c>
      <c r="I123" s="30"/>
      <c r="J123" s="43"/>
      <c r="K123" s="43"/>
      <c r="L123" s="36">
        <f t="shared" si="5"/>
        <v>487</v>
      </c>
    </row>
    <row r="124" spans="2:12" x14ac:dyDescent="0.25">
      <c r="B124" s="11">
        <v>1114502</v>
      </c>
      <c r="C124" s="21" t="s">
        <v>96</v>
      </c>
      <c r="D124" s="30">
        <v>12</v>
      </c>
      <c r="E124" s="30"/>
      <c r="F124" s="30">
        <v>1</v>
      </c>
      <c r="G124" s="30">
        <v>194</v>
      </c>
      <c r="H124" s="30">
        <v>173</v>
      </c>
      <c r="I124" s="30"/>
      <c r="J124" s="43"/>
      <c r="K124" s="43"/>
      <c r="L124" s="36">
        <f t="shared" si="5"/>
        <v>380</v>
      </c>
    </row>
    <row r="125" spans="2:12" x14ac:dyDescent="0.25">
      <c r="B125" s="11">
        <v>1114503</v>
      </c>
      <c r="C125" s="21" t="s">
        <v>97</v>
      </c>
      <c r="D125" s="30">
        <v>12</v>
      </c>
      <c r="E125" s="30"/>
      <c r="F125" s="30">
        <v>1</v>
      </c>
      <c r="G125" s="30">
        <v>190</v>
      </c>
      <c r="H125" s="30">
        <v>170</v>
      </c>
      <c r="I125" s="30"/>
      <c r="J125" s="43"/>
      <c r="K125" s="43"/>
      <c r="L125" s="36">
        <f t="shared" si="5"/>
        <v>373</v>
      </c>
    </row>
    <row r="126" spans="2:12" x14ac:dyDescent="0.25">
      <c r="B126" s="11">
        <v>1124021</v>
      </c>
      <c r="C126" s="21" t="s">
        <v>98</v>
      </c>
      <c r="D126" s="30"/>
      <c r="E126" s="30">
        <v>19</v>
      </c>
      <c r="F126" s="30"/>
      <c r="G126" s="30">
        <v>10</v>
      </c>
      <c r="H126" s="30">
        <v>2</v>
      </c>
      <c r="I126" s="30"/>
      <c r="J126" s="43"/>
      <c r="K126" s="43"/>
      <c r="L126" s="36">
        <f t="shared" si="5"/>
        <v>31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62">
        <v>9</v>
      </c>
      <c r="H143" s="9">
        <v>3</v>
      </c>
      <c r="I143" s="9"/>
      <c r="J143" s="9"/>
      <c r="K143" s="9"/>
      <c r="L143" s="36">
        <f t="shared" si="6"/>
        <v>12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20" zoomScale="50" zoomScaleNormal="50" workbookViewId="0">
      <selection activeCell="B120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29</v>
      </c>
      <c r="F7" s="30">
        <f>'เย็น '!F7+'เช้า '!F7+บ่าย!F7</f>
        <v>27</v>
      </c>
      <c r="G7" s="30">
        <f>'เย็น '!G7+'เช้า '!G7+บ่าย!G7</f>
        <v>1</v>
      </c>
      <c r="H7" s="30">
        <f>'เย็น '!H7+'เช้า '!H7+บ่าย!H7</f>
        <v>24</v>
      </c>
      <c r="I7" s="30">
        <f>'เย็น '!I7+'เช้า '!I7+บ่าย!I7</f>
        <v>0</v>
      </c>
      <c r="J7" s="30">
        <f>+G7+H7+I7</f>
        <v>25</v>
      </c>
      <c r="K7" s="30">
        <f>'เย็น '!J7+'เช้า '!J7+บ่าย!J7</f>
        <v>0</v>
      </c>
      <c r="L7" s="30">
        <f>'เย็น '!K7+'เช้า '!K7+บ่าย!K7</f>
        <v>1</v>
      </c>
      <c r="M7" s="36">
        <f>+D7+E7+F7+J7+K7+L7</f>
        <v>86</v>
      </c>
      <c r="N7" s="11">
        <v>70</v>
      </c>
      <c r="O7" s="11">
        <v>58</v>
      </c>
      <c r="P7" s="11"/>
      <c r="Q7" s="11">
        <v>70</v>
      </c>
      <c r="R7" s="44">
        <f>(N7+O7+P7+Q7)-M7</f>
        <v>112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11</v>
      </c>
      <c r="F25" s="30">
        <f>'เย็น '!F25+'เช้า '!F25+บ่าย!F25</f>
        <v>6</v>
      </c>
      <c r="G25" s="30">
        <f>'เย็น '!G25+'เช้า '!G25+บ่าย!G25</f>
        <v>1</v>
      </c>
      <c r="H25" s="30">
        <f>'เย็น '!H25+'เช้า '!H25+บ่าย!H25</f>
        <v>2</v>
      </c>
      <c r="I25" s="30">
        <f>'เย็น '!I25+'เช้า '!I25+บ่าย!I25</f>
        <v>0</v>
      </c>
      <c r="J25" s="30">
        <f t="shared" si="0"/>
        <v>3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21</v>
      </c>
      <c r="N25" s="11"/>
      <c r="O25" s="11">
        <v>21</v>
      </c>
      <c r="P25" s="11"/>
      <c r="Q25" s="11"/>
      <c r="R25" s="44">
        <f t="shared" si="2"/>
        <v>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91</v>
      </c>
      <c r="H26" s="30">
        <f>'เย็น '!H26+'เช้า '!H26+บ่าย!H26</f>
        <v>3</v>
      </c>
      <c r="I26" s="30">
        <f>'เย็น '!I26+'เช้า '!I26+บ่าย!I26</f>
        <v>0</v>
      </c>
      <c r="J26" s="30">
        <f t="shared" si="0"/>
        <v>94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94</v>
      </c>
      <c r="N26" s="11">
        <v>90</v>
      </c>
      <c r="O26" s="11">
        <v>3</v>
      </c>
      <c r="P26" s="11"/>
      <c r="Q26" s="11">
        <v>90</v>
      </c>
      <c r="R26" s="44">
        <f t="shared" si="2"/>
        <v>89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4</v>
      </c>
      <c r="F69" s="30">
        <f>'เย็น '!F69+'เช้า '!F69+บ่าย!F69</f>
        <v>8</v>
      </c>
      <c r="G69" s="30">
        <f>'เย็น '!G69+'เช้า '!G69+บ่าย!G69</f>
        <v>2</v>
      </c>
      <c r="H69" s="30">
        <f>'เย็น '!H69+'เช้า '!H69+บ่าย!H69</f>
        <v>4</v>
      </c>
      <c r="I69" s="30">
        <f>'เย็น '!I69+'เช้า '!I69+บ่าย!I69</f>
        <v>0</v>
      </c>
      <c r="J69" s="30">
        <f t="shared" si="0"/>
        <v>6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21</v>
      </c>
      <c r="N69" s="11"/>
      <c r="O69" s="11">
        <v>33</v>
      </c>
      <c r="P69" s="11"/>
      <c r="Q69" s="11"/>
      <c r="R69" s="44">
        <f t="shared" ref="R69:R76" si="4">(N69+O69+P69+Q69)-M69</f>
        <v>12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45</v>
      </c>
      <c r="H87" s="30">
        <f>'เย็น '!H87+'เช้า '!H87+บ่าย!H87</f>
        <v>32</v>
      </c>
      <c r="I87" s="30">
        <f>'เย็น '!I87+'เช้า '!I87+บ่าย!I87</f>
        <v>0</v>
      </c>
      <c r="J87" s="30">
        <f t="shared" si="5"/>
        <v>77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88</v>
      </c>
      <c r="N87" s="11">
        <v>90</v>
      </c>
      <c r="O87" s="11">
        <v>6</v>
      </c>
      <c r="P87" s="11"/>
      <c r="Q87" s="11">
        <v>90</v>
      </c>
      <c r="R87" s="44">
        <f t="shared" si="8"/>
        <v>98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>
        <v>1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26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20</v>
      </c>
      <c r="H90" s="30">
        <f>'เย็น '!H90+'เช้า '!H90+บ่าย!H90</f>
        <v>18</v>
      </c>
      <c r="I90" s="30">
        <f>'เย็น '!I90+'เช้า '!I90+บ่าย!I90</f>
        <v>0</v>
      </c>
      <c r="J90" s="30">
        <f t="shared" si="5"/>
        <v>38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64</v>
      </c>
      <c r="N90" s="11">
        <v>50</v>
      </c>
      <c r="O90" s="11">
        <v>48</v>
      </c>
      <c r="P90" s="11"/>
      <c r="Q90" s="11">
        <v>50</v>
      </c>
      <c r="R90" s="44">
        <f t="shared" ref="R90:R100" si="9">(N90+O90+P90+Q90)-M90</f>
        <v>84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42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20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20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64</v>
      </c>
      <c r="N91" s="11">
        <v>50</v>
      </c>
      <c r="O91" s="11">
        <v>37</v>
      </c>
      <c r="P91" s="11"/>
      <c r="Q91" s="11">
        <v>50</v>
      </c>
      <c r="R91" s="44">
        <f t="shared" si="9"/>
        <v>73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38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20</v>
      </c>
      <c r="H92" s="30">
        <f>'เย็น '!H92+'เช้า '!H92+บ่าย!H92</f>
        <v>8</v>
      </c>
      <c r="I92" s="30">
        <f>'เย็น '!I92+'เช้า '!I92+บ่าย!I92</f>
        <v>0</v>
      </c>
      <c r="J92" s="30">
        <f t="shared" si="5"/>
        <v>28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66</v>
      </c>
      <c r="N92" s="11">
        <v>50</v>
      </c>
      <c r="O92" s="11">
        <v>37</v>
      </c>
      <c r="P92" s="11"/>
      <c r="Q92" s="11">
        <v>50</v>
      </c>
      <c r="R92" s="44">
        <f t="shared" si="9"/>
        <v>71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42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20</v>
      </c>
      <c r="H93" s="30">
        <f>'เย็น '!H93+'เช้า '!H93+บ่าย!H93</f>
        <v>8</v>
      </c>
      <c r="I93" s="30">
        <f>'เย็น '!I93+'เช้า '!I93+บ่าย!I93</f>
        <v>0</v>
      </c>
      <c r="J93" s="30">
        <f t="shared" si="5"/>
        <v>28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70</v>
      </c>
      <c r="N93" s="11">
        <v>50</v>
      </c>
      <c r="O93" s="11">
        <v>46</v>
      </c>
      <c r="P93" s="11"/>
      <c r="Q93" s="11">
        <v>50</v>
      </c>
      <c r="R93" s="44">
        <f t="shared" si="9"/>
        <v>76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20</v>
      </c>
      <c r="H97" s="30">
        <f>'เย็น '!H97+'เช้า '!H97+บ่าย!H97</f>
        <v>8</v>
      </c>
      <c r="I97" s="30">
        <f>'เย็น '!I97+'เช้า '!I97+บ่าย!I97</f>
        <v>0</v>
      </c>
      <c r="J97" s="30">
        <f t="shared" si="5"/>
        <v>28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61</v>
      </c>
      <c r="N97" s="11">
        <v>50</v>
      </c>
      <c r="O97" s="11">
        <v>50</v>
      </c>
      <c r="P97" s="11"/>
      <c r="Q97" s="11">
        <v>50</v>
      </c>
      <c r="R97" s="44">
        <f t="shared" si="9"/>
        <v>89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24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24</v>
      </c>
      <c r="H98" s="30">
        <f>'เย็น '!H98+'เช้า '!H98+บ่าย!H98</f>
        <v>10</v>
      </c>
      <c r="I98" s="30">
        <f>'เย็น '!I98+'เช้า '!I98+บ่าย!I98</f>
        <v>0</v>
      </c>
      <c r="J98" s="30">
        <f t="shared" si="5"/>
        <v>34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58</v>
      </c>
      <c r="N98" s="11">
        <v>50</v>
      </c>
      <c r="O98" s="11">
        <v>44</v>
      </c>
      <c r="P98" s="11"/>
      <c r="Q98" s="11">
        <v>50</v>
      </c>
      <c r="R98" s="44">
        <f t="shared" si="9"/>
        <v>86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262</v>
      </c>
      <c r="P100" s="11">
        <f>SUM(P90:P99)</f>
        <v>0</v>
      </c>
      <c r="Q100" s="11">
        <f>SUM(Q90:Q99)</f>
        <v>300</v>
      </c>
      <c r="R100" s="44">
        <f t="shared" si="9"/>
        <v>862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60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60</v>
      </c>
      <c r="N114" s="11">
        <v>60</v>
      </c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50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50</v>
      </c>
      <c r="N115" s="11">
        <v>40</v>
      </c>
      <c r="O115" s="11">
        <v>9</v>
      </c>
      <c r="P115" s="11">
        <v>1</v>
      </c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/>
      <c r="P120" s="11">
        <v>1</v>
      </c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14</v>
      </c>
      <c r="E123" s="30">
        <f>บ่าย!E123+'เช้า '!E123+'เย็น '!E123</f>
        <v>9</v>
      </c>
      <c r="F123" s="30">
        <f>บ่าย!F123+'เช้า '!F123+'เย็น '!F123</f>
        <v>1</v>
      </c>
      <c r="G123" s="30">
        <f>บ่าย!G123+'เช้า '!G123+'เย็น '!G123</f>
        <v>256</v>
      </c>
      <c r="H123" s="30">
        <f>บ่าย!H123+'เช้า '!H123+'เย็น '!H123</f>
        <v>207</v>
      </c>
      <c r="I123" s="30">
        <f>บ่าย!I123+'เช้า '!I123+'เย็น '!I123</f>
        <v>0</v>
      </c>
      <c r="J123" s="30">
        <f t="shared" si="5"/>
        <v>463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487</v>
      </c>
      <c r="N123" s="11"/>
      <c r="O123" s="11">
        <v>611</v>
      </c>
      <c r="P123" s="11"/>
      <c r="Q123" s="11">
        <v>400</v>
      </c>
      <c r="R123" s="44">
        <f t="shared" si="11"/>
        <v>524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12</v>
      </c>
      <c r="E124" s="30">
        <f>บ่าย!E124+'เช้า '!E124+'เย็น '!E124</f>
        <v>0</v>
      </c>
      <c r="F124" s="30">
        <f>บ่าย!F124+'เช้า '!F124+'เย็น '!F124</f>
        <v>1</v>
      </c>
      <c r="G124" s="30">
        <f>บ่าย!G124+'เช้า '!G124+'เย็น '!G124</f>
        <v>194</v>
      </c>
      <c r="H124" s="30">
        <f>บ่าย!H124+'เช้า '!H124+'เย็น '!H124</f>
        <v>173</v>
      </c>
      <c r="I124" s="30">
        <f>บ่าย!I124+'เช้า '!I124+'เย็น '!I124</f>
        <v>0</v>
      </c>
      <c r="J124" s="30">
        <f t="shared" si="5"/>
        <v>367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380</v>
      </c>
      <c r="N124" s="11"/>
      <c r="O124" s="11">
        <v>383</v>
      </c>
      <c r="P124" s="11"/>
      <c r="Q124" s="11">
        <v>350</v>
      </c>
      <c r="R124" s="44">
        <f t="shared" si="11"/>
        <v>353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12</v>
      </c>
      <c r="E125" s="30">
        <f>บ่าย!E125+'เช้า '!E125+'เย็น '!E125</f>
        <v>0</v>
      </c>
      <c r="F125" s="30">
        <f>บ่าย!F125+'เช้า '!F125+'เย็น '!F125</f>
        <v>1</v>
      </c>
      <c r="G125" s="30">
        <f>บ่าย!G125+'เช้า '!G125+'เย็น '!G125</f>
        <v>190</v>
      </c>
      <c r="H125" s="30">
        <f>บ่าย!H125+'เช้า '!H125+'เย็น '!H125</f>
        <v>170</v>
      </c>
      <c r="I125" s="30">
        <f>บ่าย!I125+'เช้า '!I125+'เย็น '!I125</f>
        <v>0</v>
      </c>
      <c r="J125" s="30">
        <f t="shared" si="5"/>
        <v>360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373</v>
      </c>
      <c r="N125" s="11"/>
      <c r="O125" s="11">
        <v>366</v>
      </c>
      <c r="P125" s="11"/>
      <c r="Q125" s="11">
        <v>350</v>
      </c>
      <c r="R125" s="44">
        <f t="shared" si="11"/>
        <v>343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19</v>
      </c>
      <c r="F126" s="30">
        <f>บ่าย!F126+'เช้า '!F126+'เย็น '!F126</f>
        <v>0</v>
      </c>
      <c r="G126" s="30">
        <f>บ่าย!G126+'เช้า '!G126+'เย็น '!G126</f>
        <v>10</v>
      </c>
      <c r="H126" s="30">
        <f>บ่าย!H126+'เช้า '!H126+'เย็น '!H126</f>
        <v>2</v>
      </c>
      <c r="I126" s="30">
        <f>บ่าย!I126+'เช้า '!I126+'เย็น '!I126</f>
        <v>0</v>
      </c>
      <c r="J126" s="30">
        <f t="shared" si="5"/>
        <v>12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31</v>
      </c>
      <c r="N126" s="11">
        <v>30</v>
      </c>
      <c r="O126" s="11">
        <v>5</v>
      </c>
      <c r="P126" s="11"/>
      <c r="Q126" s="11">
        <v>30</v>
      </c>
      <c r="R126" s="44">
        <f t="shared" si="11"/>
        <v>34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9</v>
      </c>
      <c r="H143" s="30">
        <f>บ่าย!H143+'เช้า '!H143+'เย็น '!H143</f>
        <v>3</v>
      </c>
      <c r="I143" s="30">
        <f>บ่าย!I143+'เช้า '!I143+'เย็น '!I143</f>
        <v>0</v>
      </c>
      <c r="J143" s="30">
        <f t="shared" si="12"/>
        <v>12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12</v>
      </c>
      <c r="N143" s="11"/>
      <c r="O143" s="11">
        <v>13</v>
      </c>
      <c r="P143" s="11"/>
      <c r="Q143" s="11"/>
      <c r="R143" s="44">
        <f t="shared" si="11"/>
        <v>1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363</v>
      </c>
      <c r="E152" s="60">
        <f t="shared" ref="E152:R152" si="14">SUM(E114:E151,E90:E99,E79:E87,E69:E76,E7:E66,E102:E111)</f>
        <v>81</v>
      </c>
      <c r="F152" s="60">
        <f t="shared" si="14"/>
        <v>46</v>
      </c>
      <c r="G152" s="60">
        <f t="shared" si="14"/>
        <v>924</v>
      </c>
      <c r="H152" s="60">
        <f t="shared" si="14"/>
        <v>672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</v>
      </c>
      <c r="M152" s="60">
        <f t="shared" si="14"/>
        <v>2087</v>
      </c>
      <c r="N152" s="60">
        <f t="shared" si="14"/>
        <v>680</v>
      </c>
      <c r="O152" s="60">
        <f t="shared" si="14"/>
        <v>1770</v>
      </c>
      <c r="P152" s="60">
        <f t="shared" si="14"/>
        <v>2</v>
      </c>
      <c r="Q152" s="60">
        <f t="shared" si="14"/>
        <v>1680</v>
      </c>
      <c r="R152" s="60">
        <f t="shared" si="14"/>
        <v>2045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2025-06-26T00:51:05Z</cp:lastPrinted>
  <dcterms:created xsi:type="dcterms:W3CDTF">2024-04-30T05:21:27Z</dcterms:created>
  <dcterms:modified xsi:type="dcterms:W3CDTF">2025-06-29T15:11:39Z</dcterms:modified>
</cp:coreProperties>
</file>