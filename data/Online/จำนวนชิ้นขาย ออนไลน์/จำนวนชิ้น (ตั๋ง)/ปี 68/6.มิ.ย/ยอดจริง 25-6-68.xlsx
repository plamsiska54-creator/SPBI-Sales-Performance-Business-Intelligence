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6.มิ.ย\"/>
    </mc:Choice>
  </mc:AlternateContent>
  <xr:revisionPtr revIDLastSave="0" documentId="13_ncr:1_{9686FA40-C96C-467B-A313-CBB6E1D45928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D103" i="5" l="1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R142" i="5" s="1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R143" i="5" s="1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R145" i="5" s="1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R147" i="5" s="1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R149" i="5" s="1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48" i="5" l="1"/>
  <c r="R140" i="5"/>
  <c r="R146" i="5"/>
  <c r="R138" i="5"/>
  <c r="R144" i="5"/>
  <c r="R151" i="5"/>
  <c r="R141" i="5"/>
  <c r="R139" i="5"/>
  <c r="L152" i="5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D152" i="5" s="1"/>
  <c r="E99" i="5"/>
  <c r="E152" i="5" s="1"/>
  <c r="F99" i="5"/>
  <c r="G99" i="5"/>
  <c r="H99" i="5"/>
  <c r="I99" i="5"/>
  <c r="K99" i="5"/>
  <c r="D66" i="5"/>
  <c r="E66" i="5"/>
  <c r="F66" i="5"/>
  <c r="F152" i="5" s="1"/>
  <c r="G66" i="5"/>
  <c r="H66" i="5"/>
  <c r="I66" i="5"/>
  <c r="K66" i="5"/>
  <c r="K152" i="5" l="1"/>
  <c r="I152" i="5"/>
  <c r="G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<sst xmlns="http://schemas.openxmlformats.org/spreadsheetml/2006/main" count="630" uniqueCount="151">
  <si>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</si>
  <si>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</si>
  <si>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</si>
  <si>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</si>
  <si>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</si>
  <si>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</si>
  <si>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</si>
  <si>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</si>
  <si>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</si>
  <si>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</si>
  <si>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</si>
  <si>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</si>
  <si>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</si>
  <si>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</si>
  <si>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</si>
  <si>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</si>
  <si>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</si>
  <si>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</si>
  <si>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</si>
  <si>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</si>
  <si>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</si>
  <si>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</si>
  <si>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</si>
  <si>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</si>
  <si>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</si>
  <si>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</si>
  <si>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</si>
  <si>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</si>
  <si>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</si>
  <si>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</si>
  <si>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</si>
  <si>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</si>
  <si>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</si>
  <si>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</si>
  <si>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</si>
  <si>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</si>
  <si>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</si>
  <si>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</si>
  <si>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</si>
  <si>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</si>
  <si>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</si>
  <si>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</si>
  <si>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</si>
  <si>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</si>
  <si>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</si>
  <si>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</si>
  <si>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</si>
  <si>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</si>
  <si>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</si>
  <si>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</si>
  <si>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</si>
  <si>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</si>
  <si>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</si>
  <si>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</si>
  <si>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</si>
  <si>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</si>
  <si>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</si>
  <si>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</si>
  <si>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</si>
  <si>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</si>
  <si>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</si>
  <si>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</si>
  <si>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</si>
  <si>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</si>
  <si>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</si>
  <si>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</si>
  <si>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</si>
  <si>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</si>
  <si>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</si>
  <si>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</si>
  <si>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</si>
  <si>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</si>
  <si>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</si>
  <si>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</si>
  <si>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</si>
  <si>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</si>
  <si>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</si>
  <si>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</si>
  <si>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</si>
  <si>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</si>
  <si>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</si>
  <si>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</si>
  <si>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</si>
  <si>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</si>
  <si>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</si>
  <si>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</si>
  <si>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</si>
  <si>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</si>
  <si>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</si>
  <si>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</si>
  <si>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</si>
  <si>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</si>
  <si>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</si>
  <si>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</si>
  <si>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</si>
  <si>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</si>
  <si>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</si>
  <si>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</si>
  <si>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</si>
  <si>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</si>
  <si>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</si>
  <si>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</si>
  <si>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</si>
  <si>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</si>
  <si>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</si>
  <si>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</si>
  <si>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</si>
  <si>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</si>
  <si>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</si>
  <si>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</si>
  <si>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</si>
  <si>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</si>
  <si>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</si>
  <si>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</si>
  <si>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</si>
  <si>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</si>
  <si>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</si>
  <si>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</si>
  <si>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</si>
  <si>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</si>
  <si>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</si>
  <si>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</si>
  <si>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</si>
  <si>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</si>
  <si>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</si>
  <si>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</si>
  <si>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</si>
  <si>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</si>
  <si>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</si>
  <si>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</si>
  <si>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</si>
  <si>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</si>
  <si>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</si>
  <si>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</si>
  <si>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</si>
  <si>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</si>
  <si>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</si>
  <si>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</si>
  <si>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</si>
  <si>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</si>
  <si>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</si>
  <si>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</si>
  <si>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</si>
  <si>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</si>
  <si>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</si>
  <si>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</si>
  <si>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</si>
  <si>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</si>
  <si>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 25/6/68 เช้า</t>
  </si>
  <si>
    <t>ยอดจริง ออนไลน์ วันที่  25/6/68รวม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</si>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</sst>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24" zoomScale="60" zoomScaleNormal="60" workbookViewId="0">
      <selection activeCell="U136" sqref="U13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148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>
        <v>41</v>
      </c>
      <c r="F7" s="30">
        <v>9</v>
      </c>
      <c r="G7" s="30"/>
      <c r="H7" s="30">
        <v>10</v>
      </c>
      <c r="I7" s="30">
        <v>6</v>
      </c>
      <c r="J7" s="43"/>
      <c r="K7" s="43">
        <v>3</v>
      </c>
      <c r="L7" s="36">
        <f>SUM(D7:K7)</f>
        <v>69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16</v>
      </c>
      <c r="F25" s="30"/>
      <c r="G25" s="30"/>
      <c r="H25" s="30"/>
      <c r="I25" s="30">
        <v>2</v>
      </c>
      <c r="J25" s="43"/>
      <c r="K25" s="43">
        <v>3</v>
      </c>
      <c r="L25" s="36">
        <f t="shared" si="0"/>
        <v>21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>
        <v>87</v>
      </c>
      <c r="H26" s="30"/>
      <c r="I26" s="30"/>
      <c r="J26" s="43"/>
      <c r="K26" s="43">
        <v>10</v>
      </c>
      <c r="L26" s="36">
        <f t="shared" si="0"/>
        <v>97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187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>
        <v>2</v>
      </c>
      <c r="F69" s="30">
        <v>3</v>
      </c>
      <c r="G69" s="30"/>
      <c r="H69" s="30">
        <v>3</v>
      </c>
      <c r="I69" s="30"/>
      <c r="J69" s="43"/>
      <c r="K69" s="43">
        <v>3</v>
      </c>
      <c r="L69" s="36">
        <f t="shared" ref="L69:L76" si="1">SUM(D69:K69)</f>
        <v>11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11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>
        <v>6</v>
      </c>
      <c r="F87" s="30"/>
      <c r="G87" s="30">
        <v>54</v>
      </c>
      <c r="H87" s="30">
        <v>49</v>
      </c>
      <c r="I87" s="30">
        <v>12</v>
      </c>
      <c r="J87" s="43"/>
      <c r="K87" s="43"/>
      <c r="L87" s="36">
        <f t="shared" si="2"/>
        <v>121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121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>
        <v>1</v>
      </c>
      <c r="E90" s="30"/>
      <c r="F90" s="30">
        <v>4</v>
      </c>
      <c r="G90" s="30">
        <v>22</v>
      </c>
      <c r="H90" s="30">
        <v>13</v>
      </c>
      <c r="I90" s="30">
        <v>8</v>
      </c>
      <c r="J90" s="43"/>
      <c r="K90" s="43">
        <v>15</v>
      </c>
      <c r="L90" s="36">
        <f t="shared" ref="L90:L99" si="3">SUM(D90:K90)</f>
        <v>63</v>
      </c>
    </row>
    <row r="91" spans="2:12" x14ac:dyDescent="0.25">
      <c r="B91" s="11">
        <v>1112011</v>
      </c>
      <c r="C91" s="19" t="s">
        <v>76</v>
      </c>
      <c r="D91" s="30">
        <v>1</v>
      </c>
      <c r="E91" s="30"/>
      <c r="F91" s="30">
        <v>6</v>
      </c>
      <c r="G91" s="30">
        <v>22</v>
      </c>
      <c r="H91" s="30">
        <v>13</v>
      </c>
      <c r="I91" s="30">
        <v>8</v>
      </c>
      <c r="J91" s="43"/>
      <c r="K91" s="43">
        <v>5</v>
      </c>
      <c r="L91" s="36">
        <f t="shared" si="3"/>
        <v>55</v>
      </c>
    </row>
    <row r="92" spans="2:12" x14ac:dyDescent="0.25">
      <c r="B92" s="11">
        <v>1112003</v>
      </c>
      <c r="C92" s="19" t="s">
        <v>77</v>
      </c>
      <c r="D92" s="30">
        <v>2</v>
      </c>
      <c r="E92" s="30"/>
      <c r="F92" s="30">
        <v>1</v>
      </c>
      <c r="G92" s="30">
        <v>22</v>
      </c>
      <c r="H92" s="30">
        <v>13</v>
      </c>
      <c r="I92" s="30">
        <v>9</v>
      </c>
      <c r="J92" s="43"/>
      <c r="K92" s="43"/>
      <c r="L92" s="36">
        <f t="shared" si="3"/>
        <v>47</v>
      </c>
    </row>
    <row r="93" spans="2:12" x14ac:dyDescent="0.25">
      <c r="B93" s="11">
        <v>1112005</v>
      </c>
      <c r="C93" s="19" t="s">
        <v>78</v>
      </c>
      <c r="D93" s="30">
        <v>5</v>
      </c>
      <c r="E93" s="30"/>
      <c r="F93" s="30"/>
      <c r="G93" s="30">
        <v>22</v>
      </c>
      <c r="H93" s="30">
        <v>13</v>
      </c>
      <c r="I93" s="30">
        <v>9</v>
      </c>
      <c r="J93" s="43"/>
      <c r="K93" s="43">
        <v>10</v>
      </c>
      <c r="L93" s="36">
        <f t="shared" si="3"/>
        <v>59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2</v>
      </c>
      <c r="E97" s="30"/>
      <c r="F97" s="30">
        <v>1</v>
      </c>
      <c r="G97" s="30">
        <v>23</v>
      </c>
      <c r="H97" s="30">
        <v>13</v>
      </c>
      <c r="I97" s="30">
        <v>9</v>
      </c>
      <c r="J97" s="43"/>
      <c r="K97" s="43"/>
      <c r="L97" s="36">
        <f t="shared" si="3"/>
        <v>48</v>
      </c>
    </row>
    <row r="98" spans="2:12" x14ac:dyDescent="0.25">
      <c r="B98" s="11">
        <v>1112013</v>
      </c>
      <c r="C98" s="19" t="s">
        <v>83</v>
      </c>
      <c r="D98" s="30">
        <v>1</v>
      </c>
      <c r="E98" s="30"/>
      <c r="F98" s="30">
        <v>1</v>
      </c>
      <c r="G98" s="30">
        <v>24</v>
      </c>
      <c r="H98" s="30">
        <v>13</v>
      </c>
      <c r="I98" s="30">
        <v>9</v>
      </c>
      <c r="J98" s="43"/>
      <c r="K98" s="43"/>
      <c r="L98" s="36">
        <f t="shared" si="3"/>
        <v>48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320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>
        <v>1</v>
      </c>
      <c r="G115" s="30"/>
      <c r="H115" s="30">
        <v>1</v>
      </c>
      <c r="I115" s="30"/>
      <c r="J115" s="43"/>
      <c r="K115" s="43"/>
      <c r="L115" s="36">
        <f t="shared" si="5"/>
        <v>2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>
        <v>60</v>
      </c>
      <c r="L119" s="36">
        <f t="shared" si="5"/>
        <v>60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3</v>
      </c>
      <c r="E123" s="30">
        <v>7</v>
      </c>
      <c r="F123" s="30">
        <v>2</v>
      </c>
      <c r="G123" s="30">
        <v>223</v>
      </c>
      <c r="H123" s="30">
        <v>216</v>
      </c>
      <c r="I123" s="30">
        <v>49</v>
      </c>
      <c r="J123" s="43"/>
      <c r="K123" s="43"/>
      <c r="L123" s="36">
        <f t="shared" si="5"/>
        <v>500</v>
      </c>
    </row>
    <row r="124" spans="2:12" x14ac:dyDescent="0.25">
      <c r="B124" s="11">
        <v>1114502</v>
      </c>
      <c r="C124" s="21" t="s">
        <v>96</v>
      </c>
      <c r="D124" s="30"/>
      <c r="E124" s="30">
        <v>3</v>
      </c>
      <c r="F124" s="30"/>
      <c r="G124" s="30">
        <v>208</v>
      </c>
      <c r="H124" s="30">
        <v>201</v>
      </c>
      <c r="I124" s="30">
        <v>43</v>
      </c>
      <c r="J124" s="43"/>
      <c r="K124" s="43"/>
      <c r="L124" s="36">
        <f t="shared" si="5"/>
        <v>455</v>
      </c>
    </row>
    <row r="125" spans="2:12" x14ac:dyDescent="0.25">
      <c r="B125" s="11">
        <v>1114503</v>
      </c>
      <c r="C125" s="21" t="s">
        <v>97</v>
      </c>
      <c r="D125" s="30"/>
      <c r="E125" s="30">
        <v>3</v>
      </c>
      <c r="F125" s="30"/>
      <c r="G125" s="30">
        <v>203</v>
      </c>
      <c r="H125" s="30">
        <v>195</v>
      </c>
      <c r="I125" s="30">
        <v>43</v>
      </c>
      <c r="J125" s="43"/>
      <c r="K125" s="43"/>
      <c r="L125" s="36">
        <f t="shared" si="5"/>
        <v>444</v>
      </c>
    </row>
    <row r="126" spans="2:12" x14ac:dyDescent="0.25">
      <c r="B126" s="11">
        <v>1124021</v>
      </c>
      <c r="C126" s="21" t="s">
        <v>98</v>
      </c>
      <c r="D126" s="30"/>
      <c r="E126" s="30">
        <v>1</v>
      </c>
      <c r="F126" s="30">
        <v>18</v>
      </c>
      <c r="G126" s="30"/>
      <c r="H126" s="30">
        <v>1</v>
      </c>
      <c r="I126" s="30">
        <v>6</v>
      </c>
      <c r="J126" s="43"/>
      <c r="K126" s="43"/>
      <c r="L126" s="36">
        <f t="shared" si="5"/>
        <v>26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>
        <v>2</v>
      </c>
      <c r="F135" s="30"/>
      <c r="G135" s="30"/>
      <c r="H135" s="30"/>
      <c r="I135" s="30"/>
      <c r="J135" s="43"/>
      <c r="K135" s="43"/>
      <c r="L135" s="36">
        <f t="shared" si="5"/>
        <v>2</v>
      </c>
    </row>
    <row r="136" spans="2:12" x14ac:dyDescent="0.25">
      <c r="B136" s="22"/>
      <c r="C136" s="21" t="s">
        <v>125</v>
      </c>
      <c r="D136" s="30"/>
      <c r="E136" s="30">
        <v>2</v>
      </c>
      <c r="F136" s="30"/>
      <c r="G136" s="30"/>
      <c r="H136" s="30"/>
      <c r="I136" s="30"/>
      <c r="J136" s="43"/>
      <c r="K136" s="43"/>
      <c r="L136" s="36">
        <f t="shared" si="5"/>
        <v>2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>
        <v>4</v>
      </c>
      <c r="L137" s="36">
        <f t="shared" si="5"/>
        <v>4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>
        <v>1100044</v>
      </c>
      <c r="C143" s="49" t="s">
        <v>146</v>
      </c>
      <c r="D143" s="51"/>
      <c r="E143" s="51"/>
      <c r="F143" s="51"/>
      <c r="G143" s="62">
        <v>33</v>
      </c>
      <c r="H143" s="9"/>
      <c r="I143" s="9"/>
      <c r="J143" s="9"/>
      <c r="K143" s="9"/>
      <c r="L143" s="36">
        <f t="shared" si="6"/>
        <v>33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135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137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7" t="s">
        <v>104</v>
      </c>
      <c r="C156" s="67"/>
      <c r="D156" s="32"/>
      <c r="E156" s="63"/>
      <c r="F156" s="63"/>
      <c r="G156" s="27"/>
      <c r="H156" s="26"/>
      <c r="I156" s="67" t="s">
        <v>104</v>
      </c>
      <c r="J156" s="67"/>
      <c r="K156" s="67"/>
      <c r="L156" s="67"/>
    </row>
    <row r="157" spans="2:12" x14ac:dyDescent="0.25">
      <c r="B157" s="63" t="s">
        <v>105</v>
      </c>
      <c r="C157" s="63"/>
      <c r="D157" s="33"/>
      <c r="E157" s="33"/>
      <c r="F157" s="33"/>
      <c r="G157" s="33"/>
      <c r="H157" s="33"/>
      <c r="I157" s="63" t="s">
        <v>106</v>
      </c>
      <c r="J157" s="63"/>
      <c r="K157" s="63"/>
      <c r="L157" s="63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C1" zoomScale="50" zoomScaleNormal="50" workbookViewId="0">
      <selection activeCell="J108" sqref="J10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9" t="s">
        <v>149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2:18" x14ac:dyDescent="0.25">
      <c r="B2" s="80"/>
      <c r="C2" s="81"/>
      <c r="D2" s="1"/>
      <c r="E2" s="82"/>
      <c r="F2" s="82"/>
      <c r="G2" s="2"/>
      <c r="H2" s="2"/>
      <c r="I2" s="2"/>
      <c r="J2" s="2"/>
      <c r="K2" s="2"/>
      <c r="L2" s="2"/>
      <c r="M2" s="3" t="s">
        <v>0</v>
      </c>
      <c r="N2" s="76" t="s">
        <v>127</v>
      </c>
      <c r="O2" s="76" t="s">
        <v>130</v>
      </c>
      <c r="P2" s="76" t="s">
        <v>140</v>
      </c>
      <c r="Q2" s="76" t="s">
        <v>141</v>
      </c>
      <c r="R2" s="84" t="s">
        <v>1</v>
      </c>
    </row>
    <row r="3" spans="2:18" x14ac:dyDescent="0.25">
      <c r="B3" s="80"/>
      <c r="C3" s="81"/>
      <c r="D3" s="4"/>
      <c r="E3" s="83"/>
      <c r="F3" s="83"/>
      <c r="G3" s="5"/>
      <c r="H3" s="5"/>
      <c r="I3" s="5"/>
      <c r="J3" s="72"/>
      <c r="K3" s="41"/>
      <c r="L3" s="41"/>
      <c r="M3" s="6" t="s">
        <v>2</v>
      </c>
      <c r="N3" s="77"/>
      <c r="O3" s="77"/>
      <c r="P3" s="77"/>
      <c r="Q3" s="77"/>
      <c r="R3" s="85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150</v>
      </c>
      <c r="K4" s="42" t="s">
        <v>133</v>
      </c>
      <c r="L4" s="42" t="s">
        <v>136</v>
      </c>
      <c r="M4" s="10" t="s">
        <v>10</v>
      </c>
      <c r="N4" s="78"/>
      <c r="O4" s="78"/>
      <c r="P4" s="78"/>
      <c r="Q4" s="78"/>
      <c r="R4" s="86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3" t="s">
        <v>11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5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41</v>
      </c>
      <c r="F7" s="30">
        <f>'เย็น '!F7+'เช้า '!F7+บ่าย!F7</f>
        <v>9</v>
      </c>
      <c r="G7" s="30">
        <f>'เย็น '!G7+'เช้า '!G7+บ่าย!G7</f>
        <v>0</v>
      </c>
      <c r="H7" s="30">
        <f>'เย็น '!H7+'เช้า '!H7+บ่าย!H7</f>
        <v>10</v>
      </c>
      <c r="I7" s="30">
        <f>'เย็น '!I7+'เช้า '!I7+บ่าย!I7</f>
        <v>6</v>
      </c>
      <c r="J7" s="30">
        <f>+G7+H7+I7</f>
        <v>16</v>
      </c>
      <c r="K7" s="30">
        <f>'เย็น '!J7+'เช้า '!J7+บ่าย!J7</f>
        <v>0</v>
      </c>
      <c r="L7" s="30">
        <f>'เย็น '!K7+'เช้า '!K7+บ่าย!K7</f>
        <v>3</v>
      </c>
      <c r="M7" s="36">
        <f>+D7+E7+F7+J7+K7+L7</f>
        <v>69</v>
      </c>
      <c r="N7" s="11">
        <v>73</v>
      </c>
      <c r="O7" s="11">
        <v>54</v>
      </c>
      <c r="P7" s="11"/>
      <c r="Q7" s="11">
        <v>70</v>
      </c>
      <c r="R7" s="44">
        <f>(N7+O7+P7+Q7)-M7</f>
        <v>128</v>
      </c>
    </row>
    <row r="8" spans="2:18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16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2</v>
      </c>
      <c r="J25" s="30">
        <f t="shared" si="0"/>
        <v>2</v>
      </c>
      <c r="K25" s="30">
        <f>'เย็น '!J25+'เช้า '!J25+บ่าย!J25</f>
        <v>0</v>
      </c>
      <c r="L25" s="30">
        <f>'เย็น '!K25+'เช้า '!K25+บ่าย!K25</f>
        <v>3</v>
      </c>
      <c r="M25" s="36">
        <f t="shared" si="1"/>
        <v>21</v>
      </c>
      <c r="N25" s="11">
        <v>13</v>
      </c>
      <c r="O25" s="11">
        <v>24</v>
      </c>
      <c r="P25" s="11"/>
      <c r="Q25" s="11"/>
      <c r="R25" s="44">
        <f t="shared" si="2"/>
        <v>16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87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87</v>
      </c>
      <c r="K26" s="30">
        <f>'เย็น '!J26+'เช้า '!J26+บ่าย!J26</f>
        <v>0</v>
      </c>
      <c r="L26" s="30">
        <f>'เย็น '!K26+'เช้า '!K26+บ่าย!K26</f>
        <v>10</v>
      </c>
      <c r="M26" s="36">
        <f t="shared" si="1"/>
        <v>97</v>
      </c>
      <c r="N26" s="11">
        <v>100</v>
      </c>
      <c r="O26" s="11"/>
      <c r="P26" s="11"/>
      <c r="Q26" s="11">
        <v>90</v>
      </c>
      <c r="R26" s="44">
        <f t="shared" si="2"/>
        <v>93</v>
      </c>
    </row>
    <row r="27" spans="2:18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0</v>
      </c>
      <c r="N40" s="11"/>
      <c r="O40" s="11"/>
      <c r="P40" s="11"/>
      <c r="Q40" s="11"/>
      <c r="R40" s="44">
        <f t="shared" si="2"/>
        <v>0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0</v>
      </c>
      <c r="N41" s="11"/>
      <c r="O41" s="11"/>
      <c r="P41" s="11"/>
      <c r="Q41" s="11"/>
      <c r="R41" s="44">
        <f t="shared" si="2"/>
        <v>0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0</v>
      </c>
      <c r="N42" s="11"/>
      <c r="O42" s="11"/>
      <c r="P42" s="11"/>
      <c r="Q42" s="11"/>
      <c r="R42" s="44">
        <f t="shared" si="2"/>
        <v>0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0</v>
      </c>
      <c r="N43" s="11"/>
      <c r="O43" s="11"/>
      <c r="P43" s="11"/>
      <c r="Q43" s="11"/>
      <c r="R43" s="44">
        <f t="shared" si="2"/>
        <v>0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0</v>
      </c>
      <c r="N44" s="11"/>
      <c r="O44" s="11"/>
      <c r="P44" s="11"/>
      <c r="Q44" s="11"/>
      <c r="R44" s="44">
        <f t="shared" si="2"/>
        <v>0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0</v>
      </c>
      <c r="N45" s="11"/>
      <c r="O45" s="11"/>
      <c r="P45" s="11"/>
      <c r="Q45" s="11"/>
      <c r="R45" s="44">
        <f t="shared" si="2"/>
        <v>0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0</v>
      </c>
      <c r="N46" s="11"/>
      <c r="O46" s="11"/>
      <c r="P46" s="11"/>
      <c r="Q46" s="11"/>
      <c r="R46" s="44">
        <f t="shared" si="2"/>
        <v>0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0</v>
      </c>
      <c r="N47" s="11"/>
      <c r="O47" s="11"/>
      <c r="P47" s="11"/>
      <c r="Q47" s="11"/>
      <c r="R47" s="44">
        <f t="shared" si="2"/>
        <v>0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0</v>
      </c>
      <c r="N48" s="11"/>
      <c r="O48" s="11"/>
      <c r="P48" s="11"/>
      <c r="Q48" s="11"/>
      <c r="R48" s="44">
        <f t="shared" si="2"/>
        <v>0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0</v>
      </c>
      <c r="N49" s="11"/>
      <c r="O49" s="11"/>
      <c r="P49" s="11"/>
      <c r="Q49" s="11"/>
      <c r="R49" s="44">
        <f t="shared" si="2"/>
        <v>0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3" t="s">
        <v>55</v>
      </c>
      <c r="C68" s="74"/>
      <c r="D68" s="74"/>
      <c r="E68" s="74"/>
      <c r="F68" s="74"/>
      <c r="G68" s="74"/>
      <c r="H68" s="74"/>
      <c r="I68" s="74"/>
      <c r="J68" s="30">
        <f t="shared" si="0"/>
        <v>0</v>
      </c>
      <c r="K68" s="74"/>
      <c r="L68" s="74"/>
      <c r="M68" s="36">
        <f t="shared" si="1"/>
        <v>0</v>
      </c>
      <c r="N68" s="74"/>
      <c r="O68" s="74"/>
      <c r="P68" s="74"/>
      <c r="Q68" s="74"/>
      <c r="R68" s="75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2</v>
      </c>
      <c r="F69" s="30">
        <f>'เย็น '!F69+'เช้า '!F69+บ่าย!F69</f>
        <v>3</v>
      </c>
      <c r="G69" s="30">
        <f>'เย็น '!G69+'เช้า '!G69+บ่าย!G69</f>
        <v>0</v>
      </c>
      <c r="H69" s="30">
        <f>'เย็น '!H69+'เช้า '!H69+บ่าย!H69</f>
        <v>3</v>
      </c>
      <c r="I69" s="30">
        <f>'เย็น '!I69+'เช้า '!I69+บ่าย!I69</f>
        <v>0</v>
      </c>
      <c r="J69" s="30">
        <f t="shared" si="0"/>
        <v>3</v>
      </c>
      <c r="K69" s="30">
        <f>'เย็น '!J69+'เช้า '!J69+บ่าย!J69</f>
        <v>0</v>
      </c>
      <c r="L69" s="30">
        <f>'เย็น '!K69+'เช้า '!K69+บ่าย!K69</f>
        <v>3</v>
      </c>
      <c r="M69" s="36">
        <f t="shared" si="1"/>
        <v>11</v>
      </c>
      <c r="N69" s="11">
        <v>18</v>
      </c>
      <c r="O69" s="11">
        <v>26</v>
      </c>
      <c r="P69" s="11"/>
      <c r="Q69" s="11"/>
      <c r="R69" s="44">
        <f t="shared" ref="R69:R76" si="4">(N69+O69+P69+Q69)-M69</f>
        <v>33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3" t="s">
        <v>64</v>
      </c>
      <c r="C78" s="74"/>
      <c r="D78" s="74"/>
      <c r="E78" s="74"/>
      <c r="F78" s="74"/>
      <c r="G78" s="74"/>
      <c r="H78" s="74"/>
      <c r="I78" s="74"/>
      <c r="J78" s="30">
        <f t="shared" si="5"/>
        <v>0</v>
      </c>
      <c r="K78" s="74"/>
      <c r="L78" s="74"/>
      <c r="M78" s="36">
        <f t="shared" si="6"/>
        <v>0</v>
      </c>
      <c r="N78" s="74"/>
      <c r="O78" s="74"/>
      <c r="P78" s="74"/>
      <c r="Q78" s="74"/>
      <c r="R78" s="75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6</v>
      </c>
      <c r="F87" s="30">
        <f>'เย็น '!F87+'เช้า '!F87+บ่าย!F87</f>
        <v>0</v>
      </c>
      <c r="G87" s="30">
        <f>'เย็น '!G87+'เช้า '!G87+บ่าย!G87</f>
        <v>54</v>
      </c>
      <c r="H87" s="30">
        <f>'เย็น '!H87+'เช้า '!H87+บ่าย!H87</f>
        <v>49</v>
      </c>
      <c r="I87" s="30">
        <f>'เย็น '!I87+'เช้า '!I87+บ่าย!I87</f>
        <v>12</v>
      </c>
      <c r="J87" s="30">
        <f t="shared" si="5"/>
        <v>115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121</v>
      </c>
      <c r="N87" s="11">
        <v>90</v>
      </c>
      <c r="O87" s="11">
        <v>34</v>
      </c>
      <c r="P87" s="11"/>
      <c r="Q87" s="11">
        <v>90</v>
      </c>
      <c r="R87" s="44">
        <f t="shared" si="8"/>
        <v>93</v>
      </c>
    </row>
    <row r="88" spans="2:18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3" t="s">
        <v>74</v>
      </c>
      <c r="C89" s="74"/>
      <c r="D89" s="74"/>
      <c r="E89" s="74"/>
      <c r="F89" s="74"/>
      <c r="G89" s="74"/>
      <c r="H89" s="74"/>
      <c r="I89" s="74"/>
      <c r="J89" s="30">
        <f t="shared" si="5"/>
        <v>0</v>
      </c>
      <c r="K89" s="74"/>
      <c r="L89" s="74"/>
      <c r="M89" s="36">
        <f t="shared" si="6"/>
        <v>0</v>
      </c>
      <c r="N89" s="74"/>
      <c r="O89" s="74"/>
      <c r="P89" s="74"/>
      <c r="Q89" s="74"/>
      <c r="R89" s="75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0</v>
      </c>
      <c r="F90" s="30">
        <f>'เย็น '!F90+'เช้า '!F90+บ่าย!F90</f>
        <v>4</v>
      </c>
      <c r="G90" s="30">
        <f>'เย็น '!G90+'เช้า '!G90+บ่าย!G90</f>
        <v>22</v>
      </c>
      <c r="H90" s="30">
        <f>'เย็น '!H90+'เช้า '!H90+บ่าย!H90</f>
        <v>13</v>
      </c>
      <c r="I90" s="30">
        <f>'เย็น '!I90+'เช้า '!I90+บ่าย!I90</f>
        <v>8</v>
      </c>
      <c r="J90" s="30">
        <f t="shared" si="5"/>
        <v>43</v>
      </c>
      <c r="K90" s="30">
        <f>'เย็น '!J90+'เช้า '!J90+บ่าย!J90</f>
        <v>0</v>
      </c>
      <c r="L90" s="30">
        <f>'เย็น '!K90+'เช้า '!K90+บ่าย!K90</f>
        <v>15</v>
      </c>
      <c r="M90" s="36">
        <f t="shared" si="6"/>
        <v>63</v>
      </c>
      <c r="N90" s="11">
        <v>65</v>
      </c>
      <c r="O90" s="11">
        <v>38</v>
      </c>
      <c r="P90" s="11"/>
      <c r="Q90" s="11">
        <v>50</v>
      </c>
      <c r="R90" s="44">
        <f t="shared" ref="R90:R100" si="9">(N90+O90+P90+Q90)-M90</f>
        <v>90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1</v>
      </c>
      <c r="E91" s="30">
        <f>'เย็น '!E91+'เช้า '!E91+บ่าย!E91</f>
        <v>0</v>
      </c>
      <c r="F91" s="30">
        <f>'เย็น '!F91+'เช้า '!F91+บ่าย!F91</f>
        <v>6</v>
      </c>
      <c r="G91" s="30">
        <f>'เย็น '!G91+'เช้า '!G91+บ่าย!G91</f>
        <v>22</v>
      </c>
      <c r="H91" s="30">
        <f>'เย็น '!H91+'เช้า '!H91+บ่าย!H91</f>
        <v>13</v>
      </c>
      <c r="I91" s="30">
        <f>'เย็น '!I91+'เช้า '!I91+บ่าย!I91</f>
        <v>8</v>
      </c>
      <c r="J91" s="30">
        <f t="shared" si="5"/>
        <v>43</v>
      </c>
      <c r="K91" s="30">
        <f>'เย็น '!J91+'เช้า '!J91+บ่าย!J91</f>
        <v>0</v>
      </c>
      <c r="L91" s="30">
        <f>'เย็น '!K91+'เช้า '!K91+บ่าย!K91</f>
        <v>5</v>
      </c>
      <c r="M91" s="36">
        <f t="shared" si="6"/>
        <v>55</v>
      </c>
      <c r="N91" s="11">
        <v>55</v>
      </c>
      <c r="O91" s="11">
        <v>34</v>
      </c>
      <c r="P91" s="11"/>
      <c r="Q91" s="11">
        <v>50</v>
      </c>
      <c r="R91" s="44">
        <f t="shared" si="9"/>
        <v>84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0</v>
      </c>
      <c r="F92" s="30">
        <f>'เย็น '!F92+'เช้า '!F92+บ่าย!F92</f>
        <v>1</v>
      </c>
      <c r="G92" s="30">
        <f>'เย็น '!G92+'เช้า '!G92+บ่าย!G92</f>
        <v>22</v>
      </c>
      <c r="H92" s="30">
        <f>'เย็น '!H92+'เช้า '!H92+บ่าย!H92</f>
        <v>13</v>
      </c>
      <c r="I92" s="30">
        <f>'เย็น '!I92+'เช้า '!I92+บ่าย!I92</f>
        <v>9</v>
      </c>
      <c r="J92" s="30">
        <f t="shared" si="5"/>
        <v>44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47</v>
      </c>
      <c r="N92" s="11">
        <v>50</v>
      </c>
      <c r="O92" s="11">
        <v>38</v>
      </c>
      <c r="P92" s="11"/>
      <c r="Q92" s="11">
        <v>50</v>
      </c>
      <c r="R92" s="44">
        <f t="shared" si="9"/>
        <v>91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5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22</v>
      </c>
      <c r="H93" s="30">
        <f>'เย็น '!H93+'เช้า '!H93+บ่าย!H93</f>
        <v>13</v>
      </c>
      <c r="I93" s="30">
        <f>'เย็น '!I93+'เช้า '!I93+บ่าย!I93</f>
        <v>9</v>
      </c>
      <c r="J93" s="30">
        <f t="shared" si="5"/>
        <v>44</v>
      </c>
      <c r="K93" s="30">
        <f>'เย็น '!J93+'เช้า '!J93+บ่าย!J93</f>
        <v>0</v>
      </c>
      <c r="L93" s="30">
        <f>'เย็น '!K93+'เช้า '!K93+บ่าย!K93</f>
        <v>10</v>
      </c>
      <c r="M93" s="36">
        <f t="shared" si="6"/>
        <v>59</v>
      </c>
      <c r="N93" s="11">
        <v>60</v>
      </c>
      <c r="O93" s="11">
        <v>56</v>
      </c>
      <c r="P93" s="11"/>
      <c r="Q93" s="11">
        <v>50</v>
      </c>
      <c r="R93" s="44">
        <f t="shared" si="9"/>
        <v>107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2</v>
      </c>
      <c r="E97" s="30">
        <f>'เย็น '!E97+'เช้า '!E97+บ่าย!E97</f>
        <v>0</v>
      </c>
      <c r="F97" s="30">
        <f>'เย็น '!F97+'เช้า '!F97+บ่าย!F97</f>
        <v>1</v>
      </c>
      <c r="G97" s="30">
        <f>'เย็น '!G97+'เช้า '!G97+บ่าย!G97</f>
        <v>23</v>
      </c>
      <c r="H97" s="30">
        <f>'เย็น '!H97+'เช้า '!H97+บ่าย!H97</f>
        <v>13</v>
      </c>
      <c r="I97" s="30">
        <f>'เย็น '!I97+'เช้า '!I97+บ่าย!I97</f>
        <v>9</v>
      </c>
      <c r="J97" s="30">
        <f t="shared" si="5"/>
        <v>45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48</v>
      </c>
      <c r="N97" s="11">
        <v>50</v>
      </c>
      <c r="O97" s="11">
        <v>44</v>
      </c>
      <c r="P97" s="11"/>
      <c r="Q97" s="11">
        <v>50</v>
      </c>
      <c r="R97" s="44">
        <f t="shared" si="9"/>
        <v>96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0</v>
      </c>
      <c r="F98" s="30">
        <f>'เย็น '!F98+'เช้า '!F98+บ่าย!F98</f>
        <v>1</v>
      </c>
      <c r="G98" s="30">
        <f>'เย็น '!G98+'เช้า '!G98+บ่าย!G98</f>
        <v>24</v>
      </c>
      <c r="H98" s="30">
        <f>'เย็น '!H98+'เช้า '!H98+บ่าย!H98</f>
        <v>13</v>
      </c>
      <c r="I98" s="30">
        <f>'เย็น '!I98+'เช้า '!I98+บ่าย!I98</f>
        <v>9</v>
      </c>
      <c r="J98" s="30">
        <f t="shared" si="5"/>
        <v>46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48</v>
      </c>
      <c r="N98" s="11">
        <v>50</v>
      </c>
      <c r="O98" s="11">
        <v>38</v>
      </c>
      <c r="P98" s="11"/>
      <c r="Q98" s="11">
        <v>50</v>
      </c>
      <c r="R98" s="44">
        <f t="shared" si="9"/>
        <v>90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330</v>
      </c>
      <c r="O100" s="11">
        <f>SUM(O90:O99)</f>
        <v>248</v>
      </c>
      <c r="P100" s="11">
        <f>SUM(P90:P99)</f>
        <v>0</v>
      </c>
      <c r="Q100" s="11">
        <f>SUM(Q90:Q99)</f>
        <v>300</v>
      </c>
      <c r="R100" s="44">
        <f t="shared" si="9"/>
        <v>878</v>
      </c>
    </row>
    <row r="101" spans="2:18" x14ac:dyDescent="0.25">
      <c r="B101" s="73" t="s">
        <v>85</v>
      </c>
      <c r="C101" s="74"/>
      <c r="D101" s="74"/>
      <c r="E101" s="74"/>
      <c r="F101" s="74"/>
      <c r="G101" s="74"/>
      <c r="H101" s="74"/>
      <c r="I101" s="74"/>
      <c r="J101" s="30">
        <f t="shared" si="5"/>
        <v>0</v>
      </c>
      <c r="K101" s="74"/>
      <c r="L101" s="74"/>
      <c r="M101" s="36">
        <f t="shared" si="6"/>
        <v>0</v>
      </c>
      <c r="N101" s="74"/>
      <c r="O101" s="74"/>
      <c r="P101" s="74"/>
      <c r="Q101" s="74"/>
      <c r="R101" s="75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3" t="s">
        <v>86</v>
      </c>
      <c r="C113" s="74"/>
      <c r="D113" s="74"/>
      <c r="E113" s="74"/>
      <c r="F113" s="74"/>
      <c r="G113" s="74"/>
      <c r="H113" s="74"/>
      <c r="I113" s="74"/>
      <c r="J113" s="30">
        <f t="shared" si="5"/>
        <v>0</v>
      </c>
      <c r="K113" s="74"/>
      <c r="L113" s="74"/>
      <c r="M113" s="36">
        <f t="shared" si="6"/>
        <v>0</v>
      </c>
      <c r="N113" s="74"/>
      <c r="O113" s="74"/>
      <c r="P113" s="74"/>
      <c r="Q113" s="74"/>
      <c r="R113" s="75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0</v>
      </c>
      <c r="N114" s="11"/>
      <c r="O114" s="11"/>
      <c r="P114" s="11"/>
      <c r="Q114" s="11">
        <v>60</v>
      </c>
      <c r="R114" s="44">
        <f t="shared" ref="R114:R151" si="11">(N114+O114+P114+Q114)-M114</f>
        <v>60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1</v>
      </c>
      <c r="G115" s="30">
        <f>บ่าย!G115+'เช้า '!G115+'เย็น '!G115</f>
        <v>0</v>
      </c>
      <c r="H115" s="30">
        <f>บ่าย!H115+'เช้า '!H115+'เย็น '!H115</f>
        <v>1</v>
      </c>
      <c r="I115" s="30">
        <f>บ่าย!I115+'เช้า '!I115+'เย็น '!I115</f>
        <v>0</v>
      </c>
      <c r="J115" s="30">
        <f t="shared" si="5"/>
        <v>1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2</v>
      </c>
      <c r="N115" s="11"/>
      <c r="O115" s="11">
        <v>12</v>
      </c>
      <c r="P115" s="11"/>
      <c r="Q115" s="11">
        <v>40</v>
      </c>
      <c r="R115" s="44">
        <f t="shared" si="11"/>
        <v>50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60</v>
      </c>
      <c r="M119" s="36">
        <f t="shared" si="6"/>
        <v>60</v>
      </c>
      <c r="N119" s="11">
        <v>60</v>
      </c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0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0</v>
      </c>
      <c r="N120" s="11"/>
      <c r="O120" s="11"/>
      <c r="P120" s="11"/>
      <c r="Q120" s="11"/>
      <c r="R120" s="44">
        <f t="shared" si="11"/>
        <v>0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3</v>
      </c>
      <c r="E123" s="30">
        <f>บ่าย!E123+'เช้า '!E123+'เย็น '!E123</f>
        <v>7</v>
      </c>
      <c r="F123" s="30">
        <f>บ่าย!F123+'เช้า '!F123+'เย็น '!F123</f>
        <v>2</v>
      </c>
      <c r="G123" s="30">
        <f>บ่าย!G123+'เช้า '!G123+'เย็น '!G123</f>
        <v>223</v>
      </c>
      <c r="H123" s="30">
        <f>บ่าย!H123+'เช้า '!H123+'เย็น '!H123</f>
        <v>216</v>
      </c>
      <c r="I123" s="30">
        <f>บ่าย!I123+'เช้า '!I123+'เย็น '!I123</f>
        <v>49</v>
      </c>
      <c r="J123" s="30">
        <f t="shared" si="5"/>
        <v>488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500</v>
      </c>
      <c r="N123" s="11">
        <v>63</v>
      </c>
      <c r="O123" s="11">
        <v>859</v>
      </c>
      <c r="P123" s="11"/>
      <c r="Q123" s="11"/>
      <c r="R123" s="44">
        <f t="shared" si="11"/>
        <v>422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3</v>
      </c>
      <c r="F124" s="30">
        <f>บ่าย!F124+'เช้า '!F124+'เย็น '!F124</f>
        <v>0</v>
      </c>
      <c r="G124" s="30">
        <f>บ่าย!G124+'เช้า '!G124+'เย็น '!G124</f>
        <v>208</v>
      </c>
      <c r="H124" s="30">
        <f>บ่าย!H124+'เช้า '!H124+'เย็น '!H124</f>
        <v>201</v>
      </c>
      <c r="I124" s="30">
        <f>บ่าย!I124+'เช้า '!I124+'เย็น '!I124</f>
        <v>43</v>
      </c>
      <c r="J124" s="30">
        <f t="shared" si="5"/>
        <v>452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455</v>
      </c>
      <c r="N124" s="11"/>
      <c r="O124" s="11">
        <v>593</v>
      </c>
      <c r="P124" s="11"/>
      <c r="Q124" s="11"/>
      <c r="R124" s="44">
        <f t="shared" si="11"/>
        <v>138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3</v>
      </c>
      <c r="F125" s="30">
        <f>บ่าย!F125+'เช้า '!F125+'เย็น '!F125</f>
        <v>0</v>
      </c>
      <c r="G125" s="30">
        <f>บ่าย!G125+'เช้า '!G125+'เย็น '!G125</f>
        <v>203</v>
      </c>
      <c r="H125" s="30">
        <f>บ่าย!H125+'เช้า '!H125+'เย็น '!H125</f>
        <v>195</v>
      </c>
      <c r="I125" s="30">
        <f>บ่าย!I125+'เช้า '!I125+'เย็น '!I125</f>
        <v>43</v>
      </c>
      <c r="J125" s="30">
        <f t="shared" si="5"/>
        <v>441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444</v>
      </c>
      <c r="N125" s="11"/>
      <c r="O125" s="11">
        <v>843</v>
      </c>
      <c r="P125" s="11"/>
      <c r="Q125" s="11"/>
      <c r="R125" s="44">
        <f t="shared" si="11"/>
        <v>399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</v>
      </c>
      <c r="F126" s="30">
        <f>บ่าย!F126+'เช้า '!F126+'เย็น '!F126</f>
        <v>18</v>
      </c>
      <c r="G126" s="30">
        <f>บ่าย!G126+'เช้า '!G126+'เย็น '!G126</f>
        <v>0</v>
      </c>
      <c r="H126" s="30">
        <f>บ่าย!H126+'เช้า '!H126+'เย็น '!H126</f>
        <v>1</v>
      </c>
      <c r="I126" s="30">
        <f>บ่าย!I126+'เช้า '!I126+'เย็น '!I126</f>
        <v>6</v>
      </c>
      <c r="J126" s="30">
        <f t="shared" si="5"/>
        <v>7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26</v>
      </c>
      <c r="N126" s="11">
        <v>30</v>
      </c>
      <c r="O126" s="11">
        <v>1</v>
      </c>
      <c r="P126" s="11"/>
      <c r="Q126" s="11">
        <v>30</v>
      </c>
      <c r="R126" s="44">
        <f t="shared" si="11"/>
        <v>35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2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2</v>
      </c>
      <c r="N135" s="11"/>
      <c r="O135" s="11"/>
      <c r="P135" s="11"/>
      <c r="Q135" s="11"/>
      <c r="R135" s="44">
        <f t="shared" si="11"/>
        <v>-2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2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2</v>
      </c>
      <c r="N136" s="11"/>
      <c r="O136" s="11"/>
      <c r="P136" s="11"/>
      <c r="Q136" s="11"/>
      <c r="R136" s="44">
        <f t="shared" si="11"/>
        <v>-2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4</v>
      </c>
      <c r="M137" s="36">
        <f t="shared" si="13"/>
        <v>4</v>
      </c>
      <c r="N137" s="11">
        <v>4</v>
      </c>
      <c r="O137" s="11"/>
      <c r="P137" s="11"/>
      <c r="Q137" s="11"/>
      <c r="R137" s="44">
        <f t="shared" si="11"/>
        <v>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>
        <f t="shared" si="11"/>
        <v>0</v>
      </c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>
        <f t="shared" si="11"/>
        <v>0</v>
      </c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>
        <f t="shared" si="11"/>
        <v>0</v>
      </c>
    </row>
    <row r="143" spans="2:19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33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33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33</v>
      </c>
      <c r="N143" s="11"/>
      <c r="O143" s="11">
        <v>46</v>
      </c>
      <c r="P143" s="11"/>
      <c r="Q143" s="11"/>
      <c r="R143" s="44">
        <f t="shared" si="11"/>
        <v>13</v>
      </c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>
        <f t="shared" si="11"/>
        <v>0</v>
      </c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>
        <f t="shared" si="11"/>
        <v>0</v>
      </c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>
        <f t="shared" si="11"/>
        <v>0</v>
      </c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>
        <f t="shared" si="11"/>
        <v>0</v>
      </c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>
        <f t="shared" si="11"/>
        <v>0</v>
      </c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>
        <f t="shared" si="11"/>
        <v>0</v>
      </c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15</v>
      </c>
      <c r="E152" s="60">
        <f t="shared" ref="E152:R152" si="14">SUM(E114:E151,E90:E99,E79:E87,E69:E76,E7:E66,E102:E111)</f>
        <v>83</v>
      </c>
      <c r="F152" s="60">
        <f t="shared" si="14"/>
        <v>46</v>
      </c>
      <c r="G152" s="60">
        <f t="shared" si="14"/>
        <v>943</v>
      </c>
      <c r="H152" s="60">
        <f t="shared" si="14"/>
        <v>754</v>
      </c>
      <c r="I152" s="60">
        <f t="shared" si="14"/>
        <v>213</v>
      </c>
      <c r="J152" s="60"/>
      <c r="K152" s="60">
        <f t="shared" si="14"/>
        <v>0</v>
      </c>
      <c r="L152" s="60">
        <f t="shared" si="14"/>
        <v>113</v>
      </c>
      <c r="M152" s="60">
        <f t="shared" si="14"/>
        <v>2167</v>
      </c>
      <c r="N152" s="60">
        <f t="shared" si="14"/>
        <v>781</v>
      </c>
      <c r="O152" s="60">
        <f t="shared" si="14"/>
        <v>2740</v>
      </c>
      <c r="P152" s="60">
        <f t="shared" si="14"/>
        <v>0</v>
      </c>
      <c r="Q152" s="60">
        <f t="shared" si="14"/>
        <v>680</v>
      </c>
      <c r="R152" s="60">
        <f t="shared" si="14"/>
        <v>2034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2025-06-25T00:42:00Z</cp:lastPrinted>
  <dcterms:created xsi:type="dcterms:W3CDTF">2024-04-30T05:21:27Z</dcterms:created>
  <dcterms:modified xsi:type="dcterms:W3CDTF">2025-06-29T15:10:06Z</dcterms:modified>
</cp:coreProperties>
</file>