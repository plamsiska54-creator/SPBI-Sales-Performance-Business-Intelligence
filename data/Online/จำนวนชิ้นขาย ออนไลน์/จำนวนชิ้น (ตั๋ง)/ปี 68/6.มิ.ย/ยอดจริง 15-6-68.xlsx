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6.มิ.ย\"/>
    </mc:Choice>
  </mc:AlternateContent>
  <xr:revisionPtr revIDLastSave="0" documentId="13_ncr:1_{0B4CADEF-06E8-433A-8E72-86538625DE3C}" xr6:coauthVersionLast="47" xr6:coauthVersionMax="47" xr10:uidLastSave="{00000000-0000-0000-0000-000000000000}"/>
  <bookViews>
    <workbookView xWindow="-108" yWindow="-108" windowWidth="23256" windowHeight="1389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R77" i="5" s="1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F152" i="5" s="1"/>
  <c r="G66" i="5"/>
  <c r="H66" i="5"/>
  <c r="I66" i="5"/>
  <c r="K66" i="5"/>
  <c r="E152" i="5" l="1"/>
  <c r="D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<sst xmlns="http://schemas.openxmlformats.org/spreadsheetml/2006/main" count="626" uniqueCount="149">
  <si>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</si>
  <si>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</si>
  <si>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</si>
  <si>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</si>
  <si>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</si>
  <si>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</si>
  <si>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</si>
  <si>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</si>
  <si>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</si>
  <si>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</si>
  <si>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</si>
  <si>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</si>
  <si>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</si>
  <si>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</si>
  <si>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</si>
  <si>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</si>
  <si>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</si>
  <si>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</si>
  <si>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</si>
  <si>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</si>
  <si>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</si>
  <si>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</si>
  <si>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</si>
  <si>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</si>
  <si>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</si>
  <si>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</si>
  <si>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</si>
  <si>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</si>
  <si>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</si>
  <si>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</si>
  <si>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</si>
  <si>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</si>
  <si>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</si>
  <si>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</si>
  <si>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</si>
  <si>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</si>
  <si>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</si>
  <si>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</si>
  <si>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</si>
  <si>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</si>
  <si>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</si>
  <si>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</si>
  <si>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</si>
  <si>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</si>
  <si>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</si>
  <si>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</si>
  <si>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</si>
  <si>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</si>
  <si>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</si>
  <si>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</si>
  <si>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</si>
  <si>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</si>
  <si>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</si>
  <si>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</si>
  <si>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</si>
  <si>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</si>
  <si>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</si>
  <si>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</si>
  <si>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</si>
  <si>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</si>
  <si>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</si>
  <si>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</si>
  <si>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</si>
  <si>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</si>
  <si>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</si>
  <si>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</si>
  <si>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</si>
  <si>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</si>
  <si>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</si>
  <si>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</si>
  <si>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</si>
  <si>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</si>
  <si>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</si>
  <si>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</si>
  <si>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</si>
  <si>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</si>
  <si>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</si>
  <si>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</si>
  <si>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</si>
  <si>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</si>
  <si>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</si>
  <si>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</si>
  <si>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</si>
  <si>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</si>
  <si>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</si>
  <si>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</si>
  <si>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</si>
  <si>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</si>
  <si>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</si>
  <si>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</si>
  <si>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</si>
  <si>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</si>
  <si>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</si>
  <si>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</si>
  <si>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</si>
  <si>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</si>
  <si>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</si>
  <si>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</si>
  <si>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</si>
  <si>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</si>
  <si>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</si>
  <si>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</si>
  <si>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</si>
  <si>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</si>
  <si>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</si>
  <si>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</si>
  <si>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</si>
  <si>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</si>
  <si>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</si>
  <si>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</si>
  <si>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</si>
  <si>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</si>
  <si>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</si>
  <si>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</si>
  <si>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</si>
  <si>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</si>
  <si>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</si>
  <si>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</si>
  <si>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</si>
  <si>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</si>
  <si>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</si>
  <si>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</si>
  <si>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</si>
  <si>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</si>
  <si>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</si>
  <si>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</si>
  <si>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</si>
  <si>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</si>
  <si>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</si>
  <si>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</si>
  <si>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</si>
  <si>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</si>
  <si>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</si>
  <si>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</si>
  <si>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</si>
  <si>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</si>
  <si>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</si>
  <si>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</si>
  <si>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</si>
  <si>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</si>
  <si>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</si>
  <si>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</si>
  <si>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</si>
  <si>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</si>
  <si>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</si>
  <si>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</si>
  <si>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ยอดจริง ออนไลน์ วันที่ 15/6/68 รวม</t>
  </si>
  <si>
    <t>ยอดจริง ออนไลน์ วันที่  15/6/68 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</si>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</sst>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10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zoomScale="60" zoomScaleNormal="60" workbookViewId="0">
      <selection activeCell="J49" sqref="J49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147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>
        <v>40</v>
      </c>
      <c r="F7" s="30">
        <v>6</v>
      </c>
      <c r="G7" s="30">
        <v>3</v>
      </c>
      <c r="H7" s="30">
        <v>5</v>
      </c>
      <c r="I7" s="30"/>
      <c r="J7" s="43"/>
      <c r="K7" s="43">
        <v>15</v>
      </c>
      <c r="L7" s="36">
        <f>SUM(D7:K7)</f>
        <v>69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>
        <v>4</v>
      </c>
      <c r="F25" s="30"/>
      <c r="G25" s="30">
        <v>3</v>
      </c>
      <c r="H25" s="30">
        <v>2</v>
      </c>
      <c r="I25" s="30"/>
      <c r="J25" s="43"/>
      <c r="K25" s="43"/>
      <c r="L25" s="36">
        <f t="shared" si="0"/>
        <v>9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>
        <v>42</v>
      </c>
      <c r="H26" s="30">
        <v>18</v>
      </c>
      <c r="I26" s="30"/>
      <c r="J26" s="43"/>
      <c r="K26" s="43"/>
      <c r="L26" s="36">
        <f t="shared" si="0"/>
        <v>60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138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>
        <v>2</v>
      </c>
      <c r="F69" s="30">
        <v>2</v>
      </c>
      <c r="G69" s="30"/>
      <c r="H69" s="30">
        <v>2</v>
      </c>
      <c r="I69" s="30"/>
      <c r="J69" s="43"/>
      <c r="K69" s="43"/>
      <c r="L69" s="36">
        <f t="shared" ref="L69:L76" si="1">SUM(D69:K69)</f>
        <v>6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6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>
        <v>1</v>
      </c>
      <c r="F87" s="30"/>
      <c r="G87" s="30">
        <v>42</v>
      </c>
      <c r="H87" s="30">
        <v>12</v>
      </c>
      <c r="I87" s="30"/>
      <c r="J87" s="43"/>
      <c r="K87" s="43"/>
      <c r="L87" s="36">
        <f t="shared" si="2"/>
        <v>55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55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>
        <v>8</v>
      </c>
      <c r="E90" s="30">
        <v>3</v>
      </c>
      <c r="F90" s="30">
        <v>1</v>
      </c>
      <c r="G90" s="30">
        <v>19</v>
      </c>
      <c r="H90" s="30">
        <v>2</v>
      </c>
      <c r="I90" s="30"/>
      <c r="J90" s="43"/>
      <c r="K90" s="43"/>
      <c r="L90" s="36">
        <f t="shared" ref="L90:L99" si="3">SUM(D90:K90)</f>
        <v>33</v>
      </c>
    </row>
    <row r="91" spans="2:12" x14ac:dyDescent="0.25">
      <c r="B91" s="11">
        <v>1112011</v>
      </c>
      <c r="C91" s="19" t="s">
        <v>76</v>
      </c>
      <c r="D91" s="30">
        <v>7</v>
      </c>
      <c r="E91" s="30">
        <v>3</v>
      </c>
      <c r="F91" s="30">
        <v>3</v>
      </c>
      <c r="G91" s="30">
        <v>19</v>
      </c>
      <c r="H91" s="30">
        <v>2</v>
      </c>
      <c r="I91" s="30"/>
      <c r="J91" s="43"/>
      <c r="K91" s="43"/>
      <c r="L91" s="36">
        <f t="shared" si="3"/>
        <v>34</v>
      </c>
    </row>
    <row r="92" spans="2:12" x14ac:dyDescent="0.25">
      <c r="B92" s="11">
        <v>1112003</v>
      </c>
      <c r="C92" s="19" t="s">
        <v>77</v>
      </c>
      <c r="D92" s="30">
        <v>10</v>
      </c>
      <c r="E92" s="30">
        <v>3</v>
      </c>
      <c r="F92" s="30">
        <v>1</v>
      </c>
      <c r="G92" s="30">
        <v>19</v>
      </c>
      <c r="H92" s="30">
        <v>2</v>
      </c>
      <c r="I92" s="30"/>
      <c r="J92" s="43"/>
      <c r="K92" s="43"/>
      <c r="L92" s="36">
        <f t="shared" si="3"/>
        <v>35</v>
      </c>
    </row>
    <row r="93" spans="2:12" x14ac:dyDescent="0.25">
      <c r="B93" s="11">
        <v>1112005</v>
      </c>
      <c r="C93" s="19" t="s">
        <v>78</v>
      </c>
      <c r="D93" s="30">
        <v>8</v>
      </c>
      <c r="E93" s="30">
        <v>4</v>
      </c>
      <c r="F93" s="30">
        <v>4</v>
      </c>
      <c r="G93" s="30">
        <v>22</v>
      </c>
      <c r="H93" s="30">
        <v>2</v>
      </c>
      <c r="I93" s="30"/>
      <c r="J93" s="43"/>
      <c r="K93" s="43"/>
      <c r="L93" s="36">
        <f t="shared" si="3"/>
        <v>40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2</v>
      </c>
      <c r="E97" s="30">
        <v>3</v>
      </c>
      <c r="F97" s="30">
        <v>1</v>
      </c>
      <c r="G97" s="30">
        <v>19</v>
      </c>
      <c r="H97" s="30">
        <v>2</v>
      </c>
      <c r="I97" s="30"/>
      <c r="J97" s="43"/>
      <c r="K97" s="43"/>
      <c r="L97" s="36">
        <f t="shared" si="3"/>
        <v>27</v>
      </c>
    </row>
    <row r="98" spans="2:12" x14ac:dyDescent="0.25">
      <c r="B98" s="11">
        <v>1112013</v>
      </c>
      <c r="C98" s="19" t="s">
        <v>83</v>
      </c>
      <c r="D98" s="30">
        <v>5</v>
      </c>
      <c r="E98" s="30">
        <v>3</v>
      </c>
      <c r="F98" s="30">
        <v>1</v>
      </c>
      <c r="G98" s="30">
        <v>19</v>
      </c>
      <c r="H98" s="30">
        <v>2</v>
      </c>
      <c r="I98" s="30"/>
      <c r="J98" s="43"/>
      <c r="K98" s="43"/>
      <c r="L98" s="36">
        <f t="shared" si="3"/>
        <v>30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199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>
        <v>12</v>
      </c>
      <c r="E114" s="30"/>
      <c r="F114" s="30"/>
      <c r="G114" s="30">
        <v>7</v>
      </c>
      <c r="H114" s="30">
        <v>2</v>
      </c>
      <c r="I114" s="30"/>
      <c r="J114" s="43"/>
      <c r="K114" s="43"/>
      <c r="L114" s="36">
        <f t="shared" ref="L114:L140" si="5">SUM(D114:K114)</f>
        <v>21</v>
      </c>
    </row>
    <row r="115" spans="2:12" x14ac:dyDescent="0.25">
      <c r="B115" s="11">
        <v>1113171</v>
      </c>
      <c r="C115" s="21" t="s">
        <v>88</v>
      </c>
      <c r="D115" s="30">
        <v>10</v>
      </c>
      <c r="E115" s="30"/>
      <c r="F115" s="30"/>
      <c r="G115" s="30"/>
      <c r="H115" s="30"/>
      <c r="I115" s="30"/>
      <c r="J115" s="43"/>
      <c r="K115" s="43"/>
      <c r="L115" s="36">
        <f t="shared" si="5"/>
        <v>10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6</v>
      </c>
      <c r="E123" s="30">
        <v>7</v>
      </c>
      <c r="F123" s="30">
        <v>5</v>
      </c>
      <c r="G123" s="30">
        <v>211</v>
      </c>
      <c r="H123" s="30">
        <v>64</v>
      </c>
      <c r="I123" s="30"/>
      <c r="J123" s="43"/>
      <c r="K123" s="43">
        <v>84</v>
      </c>
      <c r="L123" s="36">
        <f t="shared" si="5"/>
        <v>377</v>
      </c>
    </row>
    <row r="124" spans="2:12" x14ac:dyDescent="0.25">
      <c r="B124" s="11">
        <v>1114502</v>
      </c>
      <c r="C124" s="21" t="s">
        <v>96</v>
      </c>
      <c r="D124" s="30">
        <v>6</v>
      </c>
      <c r="E124" s="30">
        <v>3</v>
      </c>
      <c r="F124" s="30"/>
      <c r="G124" s="30">
        <v>196</v>
      </c>
      <c r="H124" s="30">
        <v>54</v>
      </c>
      <c r="I124" s="30"/>
      <c r="J124" s="43"/>
      <c r="K124" s="43"/>
      <c r="L124" s="36">
        <f t="shared" si="5"/>
        <v>259</v>
      </c>
    </row>
    <row r="125" spans="2:12" x14ac:dyDescent="0.25">
      <c r="B125" s="11">
        <v>1114503</v>
      </c>
      <c r="C125" s="21" t="s">
        <v>97</v>
      </c>
      <c r="D125" s="30">
        <v>6</v>
      </c>
      <c r="E125" s="30">
        <v>3</v>
      </c>
      <c r="F125" s="30"/>
      <c r="G125" s="30">
        <v>196</v>
      </c>
      <c r="H125" s="30">
        <v>54</v>
      </c>
      <c r="I125" s="30"/>
      <c r="J125" s="43"/>
      <c r="K125" s="43">
        <v>83</v>
      </c>
      <c r="L125" s="36">
        <f t="shared" si="5"/>
        <v>342</v>
      </c>
    </row>
    <row r="126" spans="2:12" x14ac:dyDescent="0.25">
      <c r="B126" s="11">
        <v>1124021</v>
      </c>
      <c r="C126" s="21" t="s">
        <v>98</v>
      </c>
      <c r="D126" s="30"/>
      <c r="E126" s="30">
        <v>32</v>
      </c>
      <c r="F126" s="30">
        <v>4</v>
      </c>
      <c r="G126" s="30">
        <v>4</v>
      </c>
      <c r="H126" s="30">
        <v>1</v>
      </c>
      <c r="I126" s="30"/>
      <c r="J126" s="43"/>
      <c r="K126" s="43"/>
      <c r="L126" s="36">
        <f t="shared" si="5"/>
        <v>41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62">
        <v>18</v>
      </c>
      <c r="H141" s="9">
        <v>3</v>
      </c>
      <c r="I141" s="9"/>
      <c r="J141" s="9"/>
      <c r="K141" s="9"/>
      <c r="L141" s="36">
        <f t="shared" ref="L141:L148" si="6">SUM(D141:K141)</f>
        <v>21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/>
      <c r="C143" s="49"/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D142" sqref="D142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135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7" t="s">
        <v>104</v>
      </c>
      <c r="C153" s="67"/>
      <c r="D153" s="32"/>
      <c r="E153" s="63"/>
      <c r="F153" s="63"/>
      <c r="G153" s="27"/>
      <c r="H153" s="26"/>
      <c r="I153" s="67" t="s">
        <v>104</v>
      </c>
      <c r="J153" s="67"/>
      <c r="K153" s="67"/>
      <c r="L153" s="67"/>
    </row>
    <row r="154" spans="2:12" x14ac:dyDescent="0.25">
      <c r="B154" s="63" t="s">
        <v>105</v>
      </c>
      <c r="C154" s="63"/>
      <c r="D154" s="33"/>
      <c r="E154" s="33"/>
      <c r="F154" s="33"/>
      <c r="G154" s="33"/>
      <c r="H154" s="33"/>
      <c r="I154" s="63" t="s">
        <v>106</v>
      </c>
      <c r="J154" s="63"/>
      <c r="K154" s="63"/>
      <c r="L154" s="63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D150" sqref="D150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4" t="s">
        <v>137</v>
      </c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2:12" x14ac:dyDescent="0.25">
      <c r="B2" s="68"/>
      <c r="C2" s="69"/>
      <c r="D2" s="1"/>
      <c r="E2" s="70"/>
      <c r="F2" s="70"/>
      <c r="G2" s="2"/>
      <c r="H2" s="2"/>
      <c r="I2" s="2"/>
      <c r="J2" s="2"/>
      <c r="K2" s="2"/>
      <c r="L2" s="3" t="s">
        <v>0</v>
      </c>
    </row>
    <row r="3" spans="2:12" x14ac:dyDescent="0.25">
      <c r="B3" s="68"/>
      <c r="C3" s="69"/>
      <c r="D3" s="4"/>
      <c r="E3" s="71"/>
      <c r="F3" s="71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5" t="s">
        <v>11</v>
      </c>
      <c r="C6" s="66"/>
      <c r="D6" s="66"/>
      <c r="E6" s="66"/>
      <c r="F6" s="66"/>
      <c r="G6" s="66"/>
      <c r="H6" s="66"/>
      <c r="I6" s="66"/>
      <c r="J6" s="66"/>
      <c r="K6" s="66"/>
      <c r="L6" s="66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5" t="s">
        <v>55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5" t="s">
        <v>64</v>
      </c>
      <c r="C78" s="66"/>
      <c r="D78" s="66"/>
      <c r="E78" s="66"/>
      <c r="F78" s="66"/>
      <c r="G78" s="66"/>
      <c r="H78" s="66"/>
      <c r="I78" s="66"/>
      <c r="J78" s="66"/>
      <c r="K78" s="66"/>
      <c r="L78" s="66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5" t="s">
        <v>74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5" t="s">
        <v>85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5" t="s">
        <v>86</v>
      </c>
      <c r="C113" s="66"/>
      <c r="D113" s="66"/>
      <c r="E113" s="66"/>
      <c r="F113" s="66"/>
      <c r="G113" s="66"/>
      <c r="H113" s="66"/>
      <c r="I113" s="66"/>
      <c r="J113" s="66"/>
      <c r="K113" s="66"/>
      <c r="L113" s="66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/>
      <c r="C143" s="49"/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7" t="s">
        <v>104</v>
      </c>
      <c r="C156" s="67"/>
      <c r="D156" s="32"/>
      <c r="E156" s="63"/>
      <c r="F156" s="63"/>
      <c r="G156" s="27"/>
      <c r="H156" s="26"/>
      <c r="I156" s="67" t="s">
        <v>104</v>
      </c>
      <c r="J156" s="67"/>
      <c r="K156" s="67"/>
      <c r="L156" s="67"/>
    </row>
    <row r="157" spans="2:12" x14ac:dyDescent="0.25">
      <c r="B157" s="63" t="s">
        <v>105</v>
      </c>
      <c r="C157" s="63"/>
      <c r="D157" s="33"/>
      <c r="E157" s="33"/>
      <c r="F157" s="33"/>
      <c r="G157" s="33"/>
      <c r="H157" s="33"/>
      <c r="I157" s="63" t="s">
        <v>106</v>
      </c>
      <c r="J157" s="63"/>
      <c r="K157" s="63"/>
      <c r="L157" s="63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B113" zoomScale="50" zoomScaleNormal="50" workbookViewId="0">
      <selection activeCell="B113" sqref="A1:XFD104857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146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86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148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40</v>
      </c>
      <c r="F7" s="30">
        <f>'เย็น '!F7+'เช้า '!F7+บ่าย!F7</f>
        <v>6</v>
      </c>
      <c r="G7" s="30">
        <f>'เย็น '!G7+'เช้า '!G7+บ่าย!G7</f>
        <v>3</v>
      </c>
      <c r="H7" s="30">
        <f>'เย็น '!H7+'เช้า '!H7+บ่าย!H7</f>
        <v>5</v>
      </c>
      <c r="I7" s="30">
        <f>'เย็น '!I7+'เช้า '!I7+บ่าย!I7</f>
        <v>0</v>
      </c>
      <c r="J7" s="30">
        <f>+G7+H7+I7</f>
        <v>8</v>
      </c>
      <c r="K7" s="30">
        <f>'เย็น '!J7+'เช้า '!J7+บ่าย!J7</f>
        <v>0</v>
      </c>
      <c r="L7" s="30">
        <f>'เย็น '!K7+'เช้า '!K7+บ่าย!K7</f>
        <v>15</v>
      </c>
      <c r="M7" s="36">
        <f>+D7+E7+F7+J7+K7+L7</f>
        <v>69</v>
      </c>
      <c r="N7" s="11">
        <v>55</v>
      </c>
      <c r="O7" s="11">
        <v>172</v>
      </c>
      <c r="P7" s="11"/>
      <c r="Q7" s="11">
        <v>50</v>
      </c>
      <c r="R7" s="44">
        <f>(N7+O7+P7+Q7)-M7</f>
        <v>208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4</v>
      </c>
      <c r="F25" s="30">
        <f>'เย็น '!F25+'เช้า '!F25+บ่าย!F25</f>
        <v>0</v>
      </c>
      <c r="G25" s="30">
        <f>'เย็น '!G25+'เช้า '!G25+บ่าย!G25</f>
        <v>3</v>
      </c>
      <c r="H25" s="30">
        <f>'เย็น '!H25+'เช้า '!H25+บ่าย!H25</f>
        <v>2</v>
      </c>
      <c r="I25" s="30">
        <f>'เย็น '!I25+'เช้า '!I25+บ่าย!I25</f>
        <v>0</v>
      </c>
      <c r="J25" s="30">
        <f t="shared" si="0"/>
        <v>5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9</v>
      </c>
      <c r="N25" s="11">
        <v>5</v>
      </c>
      <c r="O25" s="11">
        <v>43</v>
      </c>
      <c r="P25" s="11"/>
      <c r="Q25" s="11">
        <v>5</v>
      </c>
      <c r="R25" s="44">
        <f t="shared" si="2"/>
        <v>44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0</v>
      </c>
      <c r="F26" s="30">
        <f>'เย็น '!F26+'เช้า '!F26+บ่าย!F26</f>
        <v>0</v>
      </c>
      <c r="G26" s="30">
        <f>'เย็น '!G26+'เช้า '!G26+บ่าย!G26</f>
        <v>42</v>
      </c>
      <c r="H26" s="30">
        <f>'เย็น '!H26+'เช้า '!H26+บ่าย!H26</f>
        <v>18</v>
      </c>
      <c r="I26" s="30">
        <f>'เย็น '!I26+'เช้า '!I26+บ่าย!I26</f>
        <v>0</v>
      </c>
      <c r="J26" s="30">
        <f t="shared" si="0"/>
        <v>60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60</v>
      </c>
      <c r="N26" s="11">
        <v>60</v>
      </c>
      <c r="O26" s="11">
        <v>134</v>
      </c>
      <c r="P26" s="11"/>
      <c r="Q26" s="11">
        <v>60</v>
      </c>
      <c r="R26" s="44">
        <f t="shared" si="2"/>
        <v>194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0</v>
      </c>
      <c r="N40" s="11"/>
      <c r="O40" s="11"/>
      <c r="P40" s="11"/>
      <c r="Q40" s="11"/>
      <c r="R40" s="44">
        <f t="shared" si="2"/>
        <v>0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0</v>
      </c>
      <c r="N41" s="11"/>
      <c r="O41" s="11"/>
      <c r="P41" s="11"/>
      <c r="Q41" s="11"/>
      <c r="R41" s="44">
        <f t="shared" si="2"/>
        <v>0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0</v>
      </c>
      <c r="N42" s="11"/>
      <c r="O42" s="11"/>
      <c r="P42" s="11"/>
      <c r="Q42" s="11"/>
      <c r="R42" s="44">
        <f t="shared" si="2"/>
        <v>0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0</v>
      </c>
      <c r="N43" s="11"/>
      <c r="O43" s="11"/>
      <c r="P43" s="11"/>
      <c r="Q43" s="11"/>
      <c r="R43" s="44">
        <f t="shared" si="2"/>
        <v>0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0</v>
      </c>
      <c r="N44" s="11"/>
      <c r="O44" s="11"/>
      <c r="P44" s="11"/>
      <c r="Q44" s="11"/>
      <c r="R44" s="44">
        <f t="shared" si="2"/>
        <v>0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0</v>
      </c>
      <c r="N45" s="11"/>
      <c r="O45" s="11"/>
      <c r="P45" s="11"/>
      <c r="Q45" s="11"/>
      <c r="R45" s="44">
        <f t="shared" si="2"/>
        <v>0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0</v>
      </c>
      <c r="N46" s="11"/>
      <c r="O46" s="11"/>
      <c r="P46" s="11"/>
      <c r="Q46" s="11"/>
      <c r="R46" s="44">
        <f t="shared" si="2"/>
        <v>0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0</v>
      </c>
      <c r="N47" s="11"/>
      <c r="O47" s="11"/>
      <c r="P47" s="11"/>
      <c r="Q47" s="11"/>
      <c r="R47" s="44">
        <f t="shared" si="2"/>
        <v>0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0</v>
      </c>
      <c r="N48" s="11"/>
      <c r="O48" s="11"/>
      <c r="P48" s="11"/>
      <c r="Q48" s="11"/>
      <c r="R48" s="44">
        <f t="shared" si="2"/>
        <v>0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0</v>
      </c>
      <c r="N49" s="11"/>
      <c r="O49" s="11"/>
      <c r="P49" s="11"/>
      <c r="Q49" s="11"/>
      <c r="R49" s="44">
        <f t="shared" si="2"/>
        <v>0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0</v>
      </c>
      <c r="N50" s="11"/>
      <c r="O50" s="11"/>
      <c r="P50" s="11"/>
      <c r="Q50" s="11"/>
      <c r="R50" s="44">
        <f t="shared" si="2"/>
        <v>0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0</v>
      </c>
      <c r="N51" s="11"/>
      <c r="O51" s="11"/>
      <c r="P51" s="11"/>
      <c r="Q51" s="11"/>
      <c r="R51" s="44">
        <f t="shared" si="2"/>
        <v>0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0</v>
      </c>
      <c r="N52" s="11"/>
      <c r="O52" s="11"/>
      <c r="P52" s="11"/>
      <c r="Q52" s="11"/>
      <c r="R52" s="44">
        <f t="shared" si="2"/>
        <v>0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2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6</v>
      </c>
      <c r="N69" s="11">
        <v>10</v>
      </c>
      <c r="O69" s="11">
        <v>27</v>
      </c>
      <c r="P69" s="11"/>
      <c r="Q69" s="11">
        <v>10</v>
      </c>
      <c r="R69" s="44">
        <f t="shared" ref="R69:R76" si="4">(N69+O69+P69+Q69)-M69</f>
        <v>41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42</v>
      </c>
      <c r="H87" s="30">
        <f>'เย็น '!H87+'เช้า '!H87+บ่าย!H87</f>
        <v>12</v>
      </c>
      <c r="I87" s="30">
        <f>'เย็น '!I87+'เช้า '!I87+บ่าย!I87</f>
        <v>0</v>
      </c>
      <c r="J87" s="30">
        <f t="shared" si="5"/>
        <v>54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55</v>
      </c>
      <c r="N87" s="11">
        <v>60</v>
      </c>
      <c r="O87" s="11">
        <v>48</v>
      </c>
      <c r="P87" s="11"/>
      <c r="Q87" s="11">
        <v>60</v>
      </c>
      <c r="R87" s="44">
        <f t="shared" si="8"/>
        <v>113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8</v>
      </c>
      <c r="E90" s="30">
        <f>'เย็น '!E90+'เช้า '!E90+บ่าย!E90</f>
        <v>3</v>
      </c>
      <c r="F90" s="30">
        <f>'เย็น '!F90+'เช้า '!F90+บ่าย!F90</f>
        <v>1</v>
      </c>
      <c r="G90" s="30">
        <f>'เย็น '!G90+'เช้า '!G90+บ่าย!G90</f>
        <v>19</v>
      </c>
      <c r="H90" s="30">
        <f>'เย็น '!H90+'เช้า '!H90+บ่าย!H90</f>
        <v>2</v>
      </c>
      <c r="I90" s="30">
        <f>'เย็น '!I90+'เช้า '!I90+บ่าย!I90</f>
        <v>0</v>
      </c>
      <c r="J90" s="30">
        <f t="shared" si="5"/>
        <v>21</v>
      </c>
      <c r="K90" s="30">
        <f>'เย็น '!J90+'เช้า '!J90+บ่าย!J90</f>
        <v>0</v>
      </c>
      <c r="L90" s="30">
        <f>'เย็น '!K90+'เช้า '!K90+บ่าย!K90</f>
        <v>0</v>
      </c>
      <c r="M90" s="36">
        <f t="shared" si="6"/>
        <v>33</v>
      </c>
      <c r="N90" s="11">
        <v>30</v>
      </c>
      <c r="O90" s="11"/>
      <c r="P90" s="11">
        <v>13</v>
      </c>
      <c r="Q90" s="11">
        <v>30</v>
      </c>
      <c r="R90" s="44">
        <f t="shared" ref="R90:R100" si="9">(N90+O90+P90+Q90)-M90</f>
        <v>40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7</v>
      </c>
      <c r="E91" s="30">
        <f>'เย็น '!E91+'เช้า '!E91+บ่าย!E91</f>
        <v>3</v>
      </c>
      <c r="F91" s="30">
        <f>'เย็น '!F91+'เช้า '!F91+บ่าย!F91</f>
        <v>3</v>
      </c>
      <c r="G91" s="30">
        <f>'เย็น '!G91+'เช้า '!G91+บ่าย!G91</f>
        <v>19</v>
      </c>
      <c r="H91" s="30">
        <f>'เย็น '!H91+'เช้า '!H91+บ่าย!H91</f>
        <v>2</v>
      </c>
      <c r="I91" s="30">
        <f>'เย็น '!I91+'เช้า '!I91+บ่าย!I91</f>
        <v>0</v>
      </c>
      <c r="J91" s="30">
        <f t="shared" si="5"/>
        <v>21</v>
      </c>
      <c r="K91" s="30">
        <f>'เย็น '!J91+'เช้า '!J91+บ่าย!J91</f>
        <v>0</v>
      </c>
      <c r="L91" s="30">
        <f>'เย็น '!K91+'เช้า '!K91+บ่าย!K91</f>
        <v>0</v>
      </c>
      <c r="M91" s="36">
        <f t="shared" si="6"/>
        <v>34</v>
      </c>
      <c r="N91" s="11"/>
      <c r="O91" s="11">
        <v>39</v>
      </c>
      <c r="P91" s="11"/>
      <c r="Q91" s="11">
        <v>30</v>
      </c>
      <c r="R91" s="44">
        <f t="shared" si="9"/>
        <v>35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10</v>
      </c>
      <c r="E92" s="30">
        <f>'เย็น '!E92+'เช้า '!E92+บ่าย!E92</f>
        <v>3</v>
      </c>
      <c r="F92" s="30">
        <f>'เย็น '!F92+'เช้า '!F92+บ่าย!F92</f>
        <v>1</v>
      </c>
      <c r="G92" s="30">
        <f>'เย็น '!G92+'เช้า '!G92+บ่าย!G92</f>
        <v>19</v>
      </c>
      <c r="H92" s="30">
        <f>'เย็น '!H92+'เช้า '!H92+บ่าย!H92</f>
        <v>2</v>
      </c>
      <c r="I92" s="30">
        <f>'เย็น '!I92+'เช้า '!I92+บ่าย!I92</f>
        <v>0</v>
      </c>
      <c r="J92" s="30">
        <f t="shared" si="5"/>
        <v>21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35</v>
      </c>
      <c r="N92" s="11">
        <v>11</v>
      </c>
      <c r="O92" s="11"/>
      <c r="P92" s="11">
        <v>30</v>
      </c>
      <c r="Q92" s="11">
        <v>30</v>
      </c>
      <c r="R92" s="44">
        <f t="shared" si="9"/>
        <v>36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8</v>
      </c>
      <c r="E93" s="30">
        <f>'เย็น '!E93+'เช้า '!E93+บ่าย!E93</f>
        <v>4</v>
      </c>
      <c r="F93" s="30">
        <f>'เย็น '!F93+'เช้า '!F93+บ่าย!F93</f>
        <v>4</v>
      </c>
      <c r="G93" s="30">
        <f>'เย็น '!G93+'เช้า '!G93+บ่าย!G93</f>
        <v>22</v>
      </c>
      <c r="H93" s="30">
        <f>'เย็น '!H93+'เช้า '!H93+บ่าย!H93</f>
        <v>2</v>
      </c>
      <c r="I93" s="30">
        <f>'เย็น '!I93+'เช้า '!I93+บ่าย!I93</f>
        <v>0</v>
      </c>
      <c r="J93" s="30">
        <f t="shared" si="5"/>
        <v>24</v>
      </c>
      <c r="K93" s="30">
        <f>'เย็น '!J93+'เช้า '!J93+บ่าย!J93</f>
        <v>0</v>
      </c>
      <c r="L93" s="30">
        <f>'เย็น '!K93+'เช้า '!K93+บ่าย!K93</f>
        <v>0</v>
      </c>
      <c r="M93" s="36">
        <f t="shared" si="6"/>
        <v>40</v>
      </c>
      <c r="N93" s="11">
        <v>30</v>
      </c>
      <c r="O93" s="11">
        <v>25</v>
      </c>
      <c r="P93" s="11"/>
      <c r="Q93" s="11">
        <v>30</v>
      </c>
      <c r="R93" s="44">
        <f t="shared" si="9"/>
        <v>45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3</v>
      </c>
      <c r="F97" s="30">
        <f>'เย็น '!F97+'เช้า '!F97+บ่าย!F97</f>
        <v>1</v>
      </c>
      <c r="G97" s="30">
        <f>'เย็น '!G97+'เช้า '!G97+บ่าย!G97</f>
        <v>19</v>
      </c>
      <c r="H97" s="30">
        <f>'เย็น '!H97+'เช้า '!H97+บ่าย!H97</f>
        <v>2</v>
      </c>
      <c r="I97" s="30">
        <f>'เย็น '!I97+'เช้า '!I97+บ่าย!I97</f>
        <v>0</v>
      </c>
      <c r="J97" s="30">
        <f t="shared" si="5"/>
        <v>21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27</v>
      </c>
      <c r="N97" s="11">
        <v>22</v>
      </c>
      <c r="O97" s="11"/>
      <c r="P97" s="11">
        <v>15</v>
      </c>
      <c r="Q97" s="11">
        <v>30</v>
      </c>
      <c r="R97" s="44">
        <f t="shared" si="9"/>
        <v>40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5</v>
      </c>
      <c r="E98" s="30">
        <f>'เย็น '!E98+'เช้า '!E98+บ่าย!E98</f>
        <v>3</v>
      </c>
      <c r="F98" s="30">
        <f>'เย็น '!F98+'เช้า '!F98+บ่าย!F98</f>
        <v>1</v>
      </c>
      <c r="G98" s="30">
        <f>'เย็น '!G98+'เช้า '!G98+บ่าย!G98</f>
        <v>19</v>
      </c>
      <c r="H98" s="30">
        <f>'เย็น '!H98+'เช้า '!H98+บ่าย!H98</f>
        <v>2</v>
      </c>
      <c r="I98" s="30">
        <f>'เย็น '!I98+'เช้า '!I98+บ่าย!I98</f>
        <v>0</v>
      </c>
      <c r="J98" s="30">
        <f t="shared" si="5"/>
        <v>21</v>
      </c>
      <c r="K98" s="30">
        <f>'เย็น '!J98+'เช้า '!J98+บ่าย!J98</f>
        <v>0</v>
      </c>
      <c r="L98" s="30">
        <f>'เย็น '!K98+'เช้า '!K98+บ่าย!K98</f>
        <v>0</v>
      </c>
      <c r="M98" s="36">
        <f t="shared" si="6"/>
        <v>30</v>
      </c>
      <c r="N98" s="11">
        <v>23</v>
      </c>
      <c r="O98" s="11"/>
      <c r="P98" s="11">
        <v>15</v>
      </c>
      <c r="Q98" s="11">
        <v>30</v>
      </c>
      <c r="R98" s="44">
        <f t="shared" si="9"/>
        <v>38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116</v>
      </c>
      <c r="O100" s="11">
        <f>SUM(O90:O99)</f>
        <v>64</v>
      </c>
      <c r="P100" s="11">
        <f>SUM(P90:P99)</f>
        <v>73</v>
      </c>
      <c r="Q100" s="11">
        <f>SUM(Q90:Q99)</f>
        <v>180</v>
      </c>
      <c r="R100" s="44">
        <f t="shared" si="9"/>
        <v>433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12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7</v>
      </c>
      <c r="H114" s="30">
        <f>บ่าย!H114+'เช้า '!H114+'เย็น '!H114</f>
        <v>2</v>
      </c>
      <c r="I114" s="30">
        <f>บ่าย!I114+'เช้า '!I114+'เย็น '!I114</f>
        <v>0</v>
      </c>
      <c r="J114" s="30">
        <f t="shared" si="5"/>
        <v>9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21</v>
      </c>
      <c r="N114" s="11">
        <v>28</v>
      </c>
      <c r="O114" s="11"/>
      <c r="P114" s="11"/>
      <c r="Q114" s="11"/>
      <c r="R114" s="44">
        <f t="shared" ref="R114:R151" si="11">(N114+O114+P114+Q114)-M114</f>
        <v>7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10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10</v>
      </c>
      <c r="N115" s="11">
        <v>30</v>
      </c>
      <c r="O115" s="11"/>
      <c r="P115" s="11"/>
      <c r="Q115" s="11"/>
      <c r="R115" s="44">
        <f t="shared" si="11"/>
        <v>20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>
        <v>10</v>
      </c>
      <c r="O120" s="11"/>
      <c r="P120" s="11"/>
      <c r="Q120" s="11"/>
      <c r="R120" s="44">
        <f t="shared" si="11"/>
        <v>10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6</v>
      </c>
      <c r="E123" s="30">
        <f>บ่าย!E123+'เช้า '!E123+'เย็น '!E123</f>
        <v>7</v>
      </c>
      <c r="F123" s="30">
        <f>บ่าย!F123+'เช้า '!F123+'เย็น '!F123</f>
        <v>5</v>
      </c>
      <c r="G123" s="30">
        <f>บ่าย!G123+'เช้า '!G123+'เย็น '!G123</f>
        <v>211</v>
      </c>
      <c r="H123" s="30">
        <f>บ่าย!H123+'เช้า '!H123+'เย็น '!H123</f>
        <v>64</v>
      </c>
      <c r="I123" s="30">
        <f>บ่าย!I123+'เช้า '!I123+'เย็น '!I123</f>
        <v>0</v>
      </c>
      <c r="J123" s="30">
        <f t="shared" si="5"/>
        <v>275</v>
      </c>
      <c r="K123" s="30">
        <f>บ่าย!J123+'เช้า '!J123+'เย็น '!J123</f>
        <v>0</v>
      </c>
      <c r="L123" s="30">
        <f>บ่าย!K123+'เช้า '!K123+'เย็น '!K123</f>
        <v>84</v>
      </c>
      <c r="M123" s="36">
        <f t="shared" si="6"/>
        <v>377</v>
      </c>
      <c r="N123" s="11"/>
      <c r="O123" s="11">
        <v>442</v>
      </c>
      <c r="P123" s="11">
        <v>84</v>
      </c>
      <c r="Q123" s="11"/>
      <c r="R123" s="44">
        <f t="shared" si="11"/>
        <v>149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6</v>
      </c>
      <c r="E124" s="30">
        <f>บ่าย!E124+'เช้า '!E124+'เย็น '!E124</f>
        <v>3</v>
      </c>
      <c r="F124" s="30">
        <f>บ่าย!F124+'เช้า '!F124+'เย็น '!F124</f>
        <v>0</v>
      </c>
      <c r="G124" s="30">
        <f>บ่าย!G124+'เช้า '!G124+'เย็น '!G124</f>
        <v>196</v>
      </c>
      <c r="H124" s="30">
        <f>บ่าย!H124+'เช้า '!H124+'เย็น '!H124</f>
        <v>54</v>
      </c>
      <c r="I124" s="30">
        <f>บ่าย!I124+'เช้า '!I124+'เย็น '!I124</f>
        <v>0</v>
      </c>
      <c r="J124" s="30">
        <f t="shared" si="5"/>
        <v>250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259</v>
      </c>
      <c r="N124" s="11"/>
      <c r="O124" s="11">
        <v>314</v>
      </c>
      <c r="P124" s="11"/>
      <c r="Q124" s="11"/>
      <c r="R124" s="44">
        <f t="shared" si="11"/>
        <v>55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6</v>
      </c>
      <c r="E125" s="30">
        <f>บ่าย!E125+'เช้า '!E125+'เย็น '!E125</f>
        <v>3</v>
      </c>
      <c r="F125" s="30">
        <f>บ่าย!F125+'เช้า '!F125+'เย็น '!F125</f>
        <v>0</v>
      </c>
      <c r="G125" s="30">
        <f>บ่าย!G125+'เช้า '!G125+'เย็น '!G125</f>
        <v>196</v>
      </c>
      <c r="H125" s="30">
        <f>บ่าย!H125+'เช้า '!H125+'เย็น '!H125</f>
        <v>54</v>
      </c>
      <c r="I125" s="30">
        <f>บ่าย!I125+'เช้า '!I125+'เย็น '!I125</f>
        <v>0</v>
      </c>
      <c r="J125" s="30">
        <f t="shared" si="5"/>
        <v>250</v>
      </c>
      <c r="K125" s="30">
        <f>บ่าย!J125+'เช้า '!J125+'เย็น '!J125</f>
        <v>0</v>
      </c>
      <c r="L125" s="30">
        <f>บ่าย!K125+'เช้า '!K125+'เย็น '!K125</f>
        <v>83</v>
      </c>
      <c r="M125" s="36">
        <f t="shared" si="6"/>
        <v>342</v>
      </c>
      <c r="N125" s="11"/>
      <c r="O125" s="11">
        <v>304</v>
      </c>
      <c r="P125" s="11">
        <v>83</v>
      </c>
      <c r="Q125" s="11"/>
      <c r="R125" s="44">
        <f t="shared" si="11"/>
        <v>45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32</v>
      </c>
      <c r="F126" s="30">
        <f>บ่าย!F126+'เช้า '!F126+'เย็น '!F126</f>
        <v>4</v>
      </c>
      <c r="G126" s="30">
        <f>บ่าย!G126+'เช้า '!G126+'เย็น '!G126</f>
        <v>4</v>
      </c>
      <c r="H126" s="30">
        <f>บ่าย!H126+'เช้า '!H126+'เย็น '!H126</f>
        <v>1</v>
      </c>
      <c r="I126" s="30">
        <f>บ่าย!I126+'เช้า '!I126+'เย็น '!I126</f>
        <v>0</v>
      </c>
      <c r="J126" s="30">
        <f t="shared" si="5"/>
        <v>5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41</v>
      </c>
      <c r="N126" s="11">
        <v>15</v>
      </c>
      <c r="O126" s="11"/>
      <c r="P126" s="11">
        <v>30</v>
      </c>
      <c r="Q126" s="11">
        <v>15</v>
      </c>
      <c r="R126" s="44">
        <f t="shared" si="11"/>
        <v>19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0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0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0</v>
      </c>
      <c r="N137" s="11"/>
      <c r="O137" s="11"/>
      <c r="P137" s="11"/>
      <c r="Q137" s="11"/>
      <c r="R137" s="44">
        <f t="shared" si="11"/>
        <v>0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/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18</v>
      </c>
      <c r="H141" s="30">
        <f>บ่าย!H141+'เช้า '!H141+'เย็น '!H141</f>
        <v>3</v>
      </c>
      <c r="I141" s="30">
        <f>บ่าย!I141+'เช้า '!I141+'เย็น '!I141</f>
        <v>0</v>
      </c>
      <c r="J141" s="30">
        <f t="shared" si="12"/>
        <v>21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21</v>
      </c>
      <c r="N141" s="11"/>
      <c r="O141" s="11"/>
      <c r="P141" s="11"/>
      <c r="Q141" s="11"/>
      <c r="R141" s="44"/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/>
      <c r="P142" s="11"/>
      <c r="Q142" s="11"/>
      <c r="R142" s="44"/>
    </row>
    <row r="143" spans="2:19" x14ac:dyDescent="0.25">
      <c r="B143" s="50"/>
      <c r="C143" s="49"/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/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/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80</v>
      </c>
      <c r="E152" s="60">
        <f t="shared" ref="E152:R152" si="14">SUM(E114:E151,E90:E99,E79:E87,E69:E76,E7:E66,E102:E111)</f>
        <v>111</v>
      </c>
      <c r="F152" s="60">
        <f t="shared" si="14"/>
        <v>28</v>
      </c>
      <c r="G152" s="60">
        <f t="shared" si="14"/>
        <v>839</v>
      </c>
      <c r="H152" s="60">
        <f t="shared" si="14"/>
        <v>229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182</v>
      </c>
      <c r="M152" s="60">
        <f t="shared" si="14"/>
        <v>1469</v>
      </c>
      <c r="N152" s="60">
        <f t="shared" si="14"/>
        <v>389</v>
      </c>
      <c r="O152" s="60">
        <f t="shared" si="14"/>
        <v>1548</v>
      </c>
      <c r="P152" s="60">
        <f t="shared" si="14"/>
        <v>270</v>
      </c>
      <c r="Q152" s="60">
        <f t="shared" si="14"/>
        <v>380</v>
      </c>
      <c r="R152" s="60">
        <f t="shared" si="14"/>
        <v>1139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2024-10-30T00:45:46Z</cp:lastPrinted>
  <dcterms:created xsi:type="dcterms:W3CDTF">2024-04-30T05:21:27Z</dcterms:created>
  <dcterms:modified xsi:type="dcterms:W3CDTF">2025-06-21T17:01:53Z</dcterms:modified>
</cp:coreProperties>
</file>