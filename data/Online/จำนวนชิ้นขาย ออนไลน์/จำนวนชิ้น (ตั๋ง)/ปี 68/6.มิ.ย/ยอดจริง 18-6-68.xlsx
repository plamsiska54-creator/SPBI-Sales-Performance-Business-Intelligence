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5790FD56-6FC3-4A1A-95DD-605C5B83C9A1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6" i="5" l="1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R148" i="5" l="1"/>
  <c r="R141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R131" i="5" s="1"/>
  <c r="E131" i="5"/>
  <c r="F131" i="5"/>
  <c r="G131" i="5"/>
  <c r="H131" i="5"/>
  <c r="I131" i="5"/>
  <c r="K131" i="5"/>
  <c r="L131" i="5"/>
  <c r="D132" i="5"/>
  <c r="R132" i="5" s="1"/>
  <c r="E132" i="5"/>
  <c r="F132" i="5"/>
  <c r="G132" i="5"/>
  <c r="H132" i="5"/>
  <c r="I132" i="5"/>
  <c r="K132" i="5"/>
  <c r="L132" i="5"/>
  <c r="D133" i="5"/>
  <c r="R133" i="5" s="1"/>
  <c r="E133" i="5"/>
  <c r="F133" i="5"/>
  <c r="G133" i="5"/>
  <c r="H133" i="5"/>
  <c r="I133" i="5"/>
  <c r="K133" i="5"/>
  <c r="L133" i="5"/>
  <c r="D134" i="5"/>
  <c r="R134" i="5" s="1"/>
  <c r="E134" i="5"/>
  <c r="F134" i="5"/>
  <c r="G134" i="5"/>
  <c r="H134" i="5"/>
  <c r="I134" i="5"/>
  <c r="K134" i="5"/>
  <c r="L134" i="5"/>
  <c r="D135" i="5"/>
  <c r="E135" i="5"/>
  <c r="F135" i="5"/>
  <c r="G135" i="5"/>
  <c r="R135" i="5" s="1"/>
  <c r="H135" i="5"/>
  <c r="I135" i="5"/>
  <c r="K135" i="5"/>
  <c r="L135" i="5"/>
  <c r="D136" i="5"/>
  <c r="R136" i="5" s="1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R137" i="5" s="1"/>
  <c r="K137" i="5"/>
  <c r="L137" i="5"/>
  <c r="D138" i="5"/>
  <c r="R138" i="5" s="1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R139" i="5" s="1"/>
  <c r="D140" i="5"/>
  <c r="R140" i="5" s="1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R142" i="5" s="1"/>
  <c r="H142" i="5"/>
  <c r="I142" i="5"/>
  <c r="K142" i="5"/>
  <c r="L142" i="5"/>
  <c r="D143" i="5"/>
  <c r="R143" i="5" s="1"/>
  <c r="E143" i="5"/>
  <c r="F143" i="5"/>
  <c r="G143" i="5"/>
  <c r="H143" i="5"/>
  <c r="I143" i="5"/>
  <c r="K143" i="5"/>
  <c r="L143" i="5"/>
  <c r="D144" i="5"/>
  <c r="R144" i="5" s="1"/>
  <c r="E144" i="5"/>
  <c r="F144" i="5"/>
  <c r="G144" i="5"/>
  <c r="H144" i="5"/>
  <c r="I144" i="5"/>
  <c r="K144" i="5"/>
  <c r="L144" i="5"/>
  <c r="D145" i="5"/>
  <c r="R145" i="5" s="1"/>
  <c r="E145" i="5"/>
  <c r="F145" i="5"/>
  <c r="G145" i="5"/>
  <c r="H145" i="5"/>
  <c r="I145" i="5"/>
  <c r="K145" i="5"/>
  <c r="L145" i="5"/>
  <c r="D146" i="5"/>
  <c r="R146" i="5" s="1"/>
  <c r="E146" i="5"/>
  <c r="F146" i="5"/>
  <c r="G146" i="5"/>
  <c r="H146" i="5"/>
  <c r="I146" i="5"/>
  <c r="K146" i="5"/>
  <c r="L146" i="5"/>
  <c r="D147" i="5"/>
  <c r="R147" i="5" s="1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0" i="5"/>
  <c r="R129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D152" i="5" s="1"/>
  <c r="E99" i="5"/>
  <c r="E152" i="5" s="1"/>
  <c r="F99" i="5"/>
  <c r="G99" i="5"/>
  <c r="H99" i="5"/>
  <c r="H152" i="5" s="1"/>
  <c r="I99" i="5"/>
  <c r="K99" i="5"/>
  <c r="K152" i="5" s="1"/>
  <c r="D66" i="5"/>
  <c r="E66" i="5"/>
  <c r="F66" i="5"/>
  <c r="F152" i="5" s="1"/>
  <c r="G66" i="5"/>
  <c r="H66" i="5"/>
  <c r="I66" i="5"/>
  <c r="K66" i="5"/>
  <c r="G152" i="5" l="1"/>
  <c r="I152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<sst xmlns="http://schemas.openxmlformats.org/spreadsheetml/2006/main" count="626" uniqueCount="149">
  <si>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</si>
  <si>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</si>
  <si>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</si>
  <si>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</si>
  <si>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</si>
  <si>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</si>
  <si>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</si>
  <si>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</si>
  <si>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</si>
  <si>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</si>
  <si>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</si>
  <si>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</si>
  <si>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</si>
  <si>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</si>
  <si>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</si>
  <si>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</si>
  <si>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</si>
  <si>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</si>
  <si>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</si>
  <si>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</si>
  <si>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</si>
  <si>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</si>
  <si>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</si>
  <si>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</si>
  <si>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</si>
  <si>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</si>
  <si>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</si>
  <si>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</si>
  <si>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</si>
  <si>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</si>
  <si>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</si>
  <si>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</si>
  <si>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</si>
  <si>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</si>
  <si>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</si>
  <si>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</si>
  <si>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</si>
  <si>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</si>
  <si>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</si>
  <si>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</si>
  <si>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</si>
  <si>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</si>
  <si>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</si>
  <si>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</si>
  <si>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</si>
  <si>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</si>
  <si>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</si>
  <si>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</si>
  <si>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</si>
  <si>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</si>
  <si>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</si>
  <si>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</si>
  <si>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</si>
  <si>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</si>
  <si>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</si>
  <si>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</si>
  <si>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</si>
  <si>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</si>
  <si>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</si>
  <si>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</si>
  <si>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</si>
  <si>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</si>
  <si>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</si>
  <si>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</si>
  <si>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</si>
  <si>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</si>
  <si>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</si>
  <si>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</si>
  <si>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</si>
  <si>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</si>
  <si>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</si>
  <si>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</si>
  <si>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</si>
  <si>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</si>
  <si>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</si>
  <si>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</si>
  <si>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</si>
  <si>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</si>
  <si>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</si>
  <si>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</si>
  <si>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</si>
  <si>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</si>
  <si>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</si>
  <si>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</si>
  <si>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</si>
  <si>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</si>
  <si>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</si>
  <si>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</si>
  <si>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</si>
  <si>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</si>
  <si>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</si>
  <si>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</si>
  <si>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</si>
  <si>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</si>
  <si>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</si>
  <si>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</si>
  <si>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</si>
  <si>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</si>
  <si>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</si>
  <si>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</si>
  <si>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</si>
  <si>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</si>
  <si>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</si>
  <si>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</si>
  <si>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</si>
  <si>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</si>
  <si>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</si>
  <si>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</si>
  <si>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</si>
  <si>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</si>
  <si>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</si>
  <si>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</si>
  <si>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</si>
  <si>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</si>
  <si>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</si>
  <si>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</si>
  <si>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</si>
  <si>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</si>
  <si>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</si>
  <si>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</si>
  <si>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</si>
  <si>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</si>
  <si>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</si>
  <si>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</si>
  <si>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</si>
  <si>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</si>
  <si>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</si>
  <si>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</si>
  <si>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</si>
  <si>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</si>
  <si>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</si>
  <si>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</si>
  <si>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</si>
  <si>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</si>
  <si>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</si>
  <si>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</si>
  <si>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</si>
  <si>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</si>
  <si>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</si>
  <si>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</si>
  <si>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</si>
  <si>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</si>
  <si>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</si>
  <si>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</si>
  <si>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</si>
  <si>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</si>
  <si>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ยอดจริง ออนไลน์ วันที่ 18/6/68  รวม</t>
  </si>
  <si>
    <t>ยอดจริง ออนไลน์ วันที่  18/6/68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</si>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</sst>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47" zoomScale="60" zoomScaleNormal="60" workbookViewId="0">
      <selection activeCell="V151" sqref="V151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147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>
        <v>10</v>
      </c>
      <c r="E7" s="30">
        <v>6</v>
      </c>
      <c r="F7" s="30">
        <v>11</v>
      </c>
      <c r="G7" s="30">
        <v>13</v>
      </c>
      <c r="H7" s="30"/>
      <c r="I7" s="30"/>
      <c r="J7" s="43"/>
      <c r="K7" s="43">
        <v>15</v>
      </c>
      <c r="L7" s="36">
        <f>SUM(D7:K7)</f>
        <v>55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5</v>
      </c>
      <c r="F25" s="30">
        <v>6</v>
      </c>
      <c r="G25" s="30">
        <v>3</v>
      </c>
      <c r="H25" s="30"/>
      <c r="I25" s="30"/>
      <c r="J25" s="43"/>
      <c r="K25" s="43"/>
      <c r="L25" s="36">
        <f t="shared" si="0"/>
        <v>14</v>
      </c>
    </row>
    <row r="26" spans="2:12" x14ac:dyDescent="0.25">
      <c r="B26" s="11">
        <v>1004055</v>
      </c>
      <c r="C26" s="15" t="s">
        <v>108</v>
      </c>
      <c r="D26" s="30"/>
      <c r="E26" s="30">
        <v>13</v>
      </c>
      <c r="F26" s="30"/>
      <c r="G26" s="30">
        <v>141</v>
      </c>
      <c r="H26" s="30"/>
      <c r="I26" s="30"/>
      <c r="J26" s="43"/>
      <c r="K26" s="43">
        <v>27</v>
      </c>
      <c r="L26" s="36">
        <f t="shared" si="0"/>
        <v>181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10</v>
      </c>
      <c r="F40" s="30"/>
      <c r="G40" s="30"/>
      <c r="H40" s="30"/>
      <c r="I40" s="30"/>
      <c r="J40" s="43"/>
      <c r="K40" s="43"/>
      <c r="L40" s="36">
        <f t="shared" si="0"/>
        <v>10</v>
      </c>
    </row>
    <row r="41" spans="2:12" x14ac:dyDescent="0.25">
      <c r="B41" s="11">
        <v>1111058</v>
      </c>
      <c r="C41" s="15" t="s">
        <v>31</v>
      </c>
      <c r="D41" s="30"/>
      <c r="E41" s="30">
        <v>10</v>
      </c>
      <c r="F41" s="30"/>
      <c r="G41" s="30"/>
      <c r="H41" s="30"/>
      <c r="I41" s="30"/>
      <c r="J41" s="43"/>
      <c r="K41" s="43"/>
      <c r="L41" s="36">
        <f t="shared" si="0"/>
        <v>10</v>
      </c>
    </row>
    <row r="42" spans="2:12" x14ac:dyDescent="0.25">
      <c r="B42" s="11">
        <v>1111059</v>
      </c>
      <c r="C42" s="15" t="s">
        <v>32</v>
      </c>
      <c r="D42" s="30"/>
      <c r="E42" s="30">
        <v>10</v>
      </c>
      <c r="F42" s="30"/>
      <c r="G42" s="30"/>
      <c r="H42" s="30"/>
      <c r="I42" s="30"/>
      <c r="J42" s="43"/>
      <c r="K42" s="43"/>
      <c r="L42" s="36">
        <f t="shared" si="0"/>
        <v>10</v>
      </c>
    </row>
    <row r="43" spans="2:12" x14ac:dyDescent="0.25">
      <c r="B43" s="11">
        <v>1111060</v>
      </c>
      <c r="C43" s="15" t="s">
        <v>33</v>
      </c>
      <c r="D43" s="30"/>
      <c r="E43" s="30">
        <v>9</v>
      </c>
      <c r="F43" s="30"/>
      <c r="G43" s="30"/>
      <c r="H43" s="30"/>
      <c r="I43" s="30"/>
      <c r="J43" s="43"/>
      <c r="K43" s="43"/>
      <c r="L43" s="36">
        <f t="shared" si="0"/>
        <v>9</v>
      </c>
    </row>
    <row r="44" spans="2:12" x14ac:dyDescent="0.25">
      <c r="B44" s="11">
        <v>1111061</v>
      </c>
      <c r="C44" s="15" t="s">
        <v>34</v>
      </c>
      <c r="D44" s="30"/>
      <c r="E44" s="30">
        <v>9</v>
      </c>
      <c r="F44" s="30"/>
      <c r="G44" s="30"/>
      <c r="H44" s="30"/>
      <c r="I44" s="30"/>
      <c r="J44" s="43"/>
      <c r="K44" s="43"/>
      <c r="L44" s="36">
        <f t="shared" si="0"/>
        <v>9</v>
      </c>
    </row>
    <row r="45" spans="2:12" x14ac:dyDescent="0.25">
      <c r="B45" s="11">
        <v>1111062</v>
      </c>
      <c r="C45" s="15" t="s">
        <v>35</v>
      </c>
      <c r="D45" s="30"/>
      <c r="E45" s="30">
        <v>9</v>
      </c>
      <c r="F45" s="30"/>
      <c r="G45" s="30"/>
      <c r="H45" s="30"/>
      <c r="I45" s="30"/>
      <c r="J45" s="43"/>
      <c r="K45" s="43"/>
      <c r="L45" s="36">
        <f t="shared" si="0"/>
        <v>9</v>
      </c>
    </row>
    <row r="46" spans="2:12" x14ac:dyDescent="0.25">
      <c r="B46" s="11">
        <v>1111063</v>
      </c>
      <c r="C46" s="15" t="s">
        <v>36</v>
      </c>
      <c r="D46" s="30"/>
      <c r="E46" s="30">
        <v>9</v>
      </c>
      <c r="F46" s="30"/>
      <c r="G46" s="30"/>
      <c r="H46" s="30"/>
      <c r="I46" s="30"/>
      <c r="J46" s="43"/>
      <c r="K46" s="43"/>
      <c r="L46" s="36">
        <f t="shared" si="0"/>
        <v>9</v>
      </c>
    </row>
    <row r="47" spans="2:12" x14ac:dyDescent="0.25">
      <c r="B47" s="11">
        <v>1111064</v>
      </c>
      <c r="C47" s="15" t="s">
        <v>37</v>
      </c>
      <c r="D47" s="30"/>
      <c r="E47" s="30">
        <v>9</v>
      </c>
      <c r="F47" s="30"/>
      <c r="G47" s="30"/>
      <c r="H47" s="30"/>
      <c r="I47" s="30"/>
      <c r="J47" s="43"/>
      <c r="K47" s="43"/>
      <c r="L47" s="36">
        <f t="shared" si="0"/>
        <v>9</v>
      </c>
    </row>
    <row r="48" spans="2:12" x14ac:dyDescent="0.25">
      <c r="B48" s="11">
        <v>1111065</v>
      </c>
      <c r="C48" s="15" t="s">
        <v>38</v>
      </c>
      <c r="D48" s="30"/>
      <c r="E48" s="30">
        <v>9</v>
      </c>
      <c r="F48" s="30"/>
      <c r="G48" s="30"/>
      <c r="H48" s="30"/>
      <c r="I48" s="30"/>
      <c r="J48" s="43"/>
      <c r="K48" s="43"/>
      <c r="L48" s="36">
        <f t="shared" si="0"/>
        <v>9</v>
      </c>
    </row>
    <row r="49" spans="2:12" x14ac:dyDescent="0.25">
      <c r="B49" s="11">
        <v>1111066</v>
      </c>
      <c r="C49" s="15" t="s">
        <v>39</v>
      </c>
      <c r="D49" s="30"/>
      <c r="E49" s="30">
        <v>9</v>
      </c>
      <c r="F49" s="30"/>
      <c r="G49" s="30"/>
      <c r="H49" s="30"/>
      <c r="I49" s="30"/>
      <c r="J49" s="43"/>
      <c r="K49" s="43"/>
      <c r="L49" s="36">
        <f t="shared" si="0"/>
        <v>9</v>
      </c>
    </row>
    <row r="50" spans="2:12" x14ac:dyDescent="0.25">
      <c r="B50" s="11">
        <v>1111067</v>
      </c>
      <c r="C50" s="15" t="s">
        <v>40</v>
      </c>
      <c r="D50" s="30"/>
      <c r="E50" s="30">
        <v>9</v>
      </c>
      <c r="F50" s="30"/>
      <c r="G50" s="30"/>
      <c r="H50" s="30"/>
      <c r="I50" s="30"/>
      <c r="J50" s="43"/>
      <c r="K50" s="43"/>
      <c r="L50" s="36">
        <f t="shared" si="0"/>
        <v>9</v>
      </c>
    </row>
    <row r="51" spans="2:12" x14ac:dyDescent="0.25">
      <c r="B51" s="11">
        <v>1111068</v>
      </c>
      <c r="C51" s="15" t="s">
        <v>41</v>
      </c>
      <c r="D51" s="30"/>
      <c r="E51" s="30">
        <v>9</v>
      </c>
      <c r="F51" s="30"/>
      <c r="G51" s="30"/>
      <c r="H51" s="30"/>
      <c r="I51" s="30"/>
      <c r="J51" s="43"/>
      <c r="K51" s="43"/>
      <c r="L51" s="36">
        <f t="shared" si="0"/>
        <v>9</v>
      </c>
    </row>
    <row r="52" spans="2:12" x14ac:dyDescent="0.25">
      <c r="B52" s="11">
        <v>1111069</v>
      </c>
      <c r="C52" s="15" t="s">
        <v>42</v>
      </c>
      <c r="D52" s="30"/>
      <c r="E52" s="30">
        <v>9</v>
      </c>
      <c r="F52" s="30"/>
      <c r="G52" s="30"/>
      <c r="H52" s="30"/>
      <c r="I52" s="30"/>
      <c r="J52" s="43"/>
      <c r="K52" s="43"/>
      <c r="L52" s="36">
        <f t="shared" si="0"/>
        <v>9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370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>
        <v>6</v>
      </c>
      <c r="E69" s="30">
        <v>4</v>
      </c>
      <c r="F69" s="30">
        <v>2</v>
      </c>
      <c r="G69" s="30">
        <v>7</v>
      </c>
      <c r="H69" s="30"/>
      <c r="I69" s="30"/>
      <c r="J69" s="43"/>
      <c r="K69" s="43"/>
      <c r="L69" s="36">
        <f t="shared" ref="L69:L76" si="1">SUM(D69:K69)</f>
        <v>19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>
        <v>5</v>
      </c>
      <c r="L71" s="36">
        <f t="shared" si="1"/>
        <v>5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24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>
        <v>2</v>
      </c>
      <c r="L80" s="36">
        <f t="shared" si="2"/>
        <v>2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3</v>
      </c>
      <c r="E87" s="30"/>
      <c r="F87" s="30"/>
      <c r="G87" s="30">
        <v>57</v>
      </c>
      <c r="H87" s="30"/>
      <c r="I87" s="30"/>
      <c r="J87" s="43"/>
      <c r="K87" s="43"/>
      <c r="L87" s="36">
        <f t="shared" si="2"/>
        <v>60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62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>
        <v>9</v>
      </c>
      <c r="E90" s="30"/>
      <c r="F90" s="30"/>
      <c r="G90" s="30">
        <v>21</v>
      </c>
      <c r="H90" s="30"/>
      <c r="I90" s="30"/>
      <c r="J90" s="43"/>
      <c r="K90" s="43">
        <v>17</v>
      </c>
      <c r="L90" s="36">
        <f t="shared" ref="L90:L99" si="3">SUM(D90:K90)</f>
        <v>47</v>
      </c>
    </row>
    <row r="91" spans="2:12" x14ac:dyDescent="0.25">
      <c r="B91" s="11">
        <v>1112011</v>
      </c>
      <c r="C91" s="19" t="s">
        <v>76</v>
      </c>
      <c r="D91" s="30">
        <v>8</v>
      </c>
      <c r="E91" s="30"/>
      <c r="F91" s="30">
        <v>4</v>
      </c>
      <c r="G91" s="30">
        <v>18</v>
      </c>
      <c r="H91" s="30"/>
      <c r="I91" s="30"/>
      <c r="J91" s="43"/>
      <c r="K91" s="43">
        <v>5</v>
      </c>
      <c r="L91" s="36">
        <f t="shared" si="3"/>
        <v>35</v>
      </c>
    </row>
    <row r="92" spans="2:12" x14ac:dyDescent="0.25">
      <c r="B92" s="11">
        <v>1112003</v>
      </c>
      <c r="C92" s="19" t="s">
        <v>77</v>
      </c>
      <c r="D92" s="30">
        <v>9</v>
      </c>
      <c r="E92" s="30"/>
      <c r="F92" s="30"/>
      <c r="G92" s="30">
        <v>29</v>
      </c>
      <c r="H92" s="30"/>
      <c r="I92" s="30"/>
      <c r="J92" s="43"/>
      <c r="K92" s="43"/>
      <c r="L92" s="36">
        <f t="shared" si="3"/>
        <v>38</v>
      </c>
    </row>
    <row r="93" spans="2:12" x14ac:dyDescent="0.25">
      <c r="B93" s="11">
        <v>1112005</v>
      </c>
      <c r="C93" s="19" t="s">
        <v>78</v>
      </c>
      <c r="D93" s="30">
        <v>9</v>
      </c>
      <c r="E93" s="30"/>
      <c r="F93" s="30"/>
      <c r="G93" s="30">
        <v>21</v>
      </c>
      <c r="H93" s="30"/>
      <c r="I93" s="30"/>
      <c r="J93" s="43"/>
      <c r="K93" s="43">
        <v>10</v>
      </c>
      <c r="L93" s="36">
        <f t="shared" si="3"/>
        <v>40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6</v>
      </c>
      <c r="E97" s="30"/>
      <c r="F97" s="30"/>
      <c r="G97" s="30">
        <v>35</v>
      </c>
      <c r="H97" s="30"/>
      <c r="I97" s="30"/>
      <c r="J97" s="43"/>
      <c r="K97" s="43">
        <v>3</v>
      </c>
      <c r="L97" s="36">
        <f t="shared" si="3"/>
        <v>44</v>
      </c>
    </row>
    <row r="98" spans="2:12" x14ac:dyDescent="0.25">
      <c r="B98" s="11">
        <v>1112013</v>
      </c>
      <c r="C98" s="19" t="s">
        <v>83</v>
      </c>
      <c r="D98" s="30">
        <v>9</v>
      </c>
      <c r="E98" s="30"/>
      <c r="F98" s="30"/>
      <c r="G98" s="30">
        <v>21</v>
      </c>
      <c r="H98" s="30"/>
      <c r="I98" s="30"/>
      <c r="J98" s="43"/>
      <c r="K98" s="43">
        <v>5</v>
      </c>
      <c r="L98" s="36">
        <f t="shared" si="3"/>
        <v>35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239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>
        <v>20</v>
      </c>
      <c r="L102" s="36">
        <f t="shared" ref="L102:L111" si="4">SUM(D102:K102)</f>
        <v>20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>
        <v>20</v>
      </c>
      <c r="L103" s="36">
        <f t="shared" si="4"/>
        <v>20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>
        <v>20</v>
      </c>
      <c r="L104" s="36">
        <f t="shared" si="4"/>
        <v>20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100</v>
      </c>
      <c r="L105" s="36">
        <f t="shared" si="4"/>
        <v>100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160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>
        <v>5</v>
      </c>
      <c r="H120" s="30"/>
      <c r="I120" s="30"/>
      <c r="J120" s="43"/>
      <c r="K120" s="43">
        <v>5</v>
      </c>
      <c r="L120" s="36">
        <f t="shared" si="5"/>
        <v>10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1</v>
      </c>
      <c r="E123" s="30">
        <v>12</v>
      </c>
      <c r="F123" s="30">
        <v>35</v>
      </c>
      <c r="G123" s="30">
        <v>187</v>
      </c>
      <c r="H123" s="30"/>
      <c r="I123" s="30"/>
      <c r="J123" s="43"/>
      <c r="K123" s="43"/>
      <c r="L123" s="36">
        <f t="shared" si="5"/>
        <v>235</v>
      </c>
    </row>
    <row r="124" spans="2:12" x14ac:dyDescent="0.25">
      <c r="B124" s="11">
        <v>1114502</v>
      </c>
      <c r="C124" s="21" t="s">
        <v>96</v>
      </c>
      <c r="D124" s="30">
        <v>1</v>
      </c>
      <c r="E124" s="30">
        <v>5</v>
      </c>
      <c r="F124" s="30">
        <v>2</v>
      </c>
      <c r="G124" s="30">
        <v>163</v>
      </c>
      <c r="H124" s="30"/>
      <c r="I124" s="30"/>
      <c r="J124" s="43"/>
      <c r="K124" s="43"/>
      <c r="L124" s="36">
        <f t="shared" si="5"/>
        <v>171</v>
      </c>
    </row>
    <row r="125" spans="2:12" x14ac:dyDescent="0.25">
      <c r="B125" s="11">
        <v>1114503</v>
      </c>
      <c r="C125" s="21" t="s">
        <v>97</v>
      </c>
      <c r="D125" s="30">
        <v>1</v>
      </c>
      <c r="E125" s="30">
        <v>2</v>
      </c>
      <c r="F125" s="30"/>
      <c r="G125" s="30">
        <v>163</v>
      </c>
      <c r="H125" s="30"/>
      <c r="I125" s="30"/>
      <c r="J125" s="43"/>
      <c r="K125" s="43"/>
      <c r="L125" s="36">
        <f t="shared" si="5"/>
        <v>166</v>
      </c>
    </row>
    <row r="126" spans="2:12" x14ac:dyDescent="0.25">
      <c r="B126" s="11">
        <v>1124021</v>
      </c>
      <c r="C126" s="21" t="s">
        <v>98</v>
      </c>
      <c r="D126" s="30"/>
      <c r="E126" s="30">
        <v>6</v>
      </c>
      <c r="F126" s="30">
        <v>24</v>
      </c>
      <c r="G126" s="30">
        <v>5</v>
      </c>
      <c r="H126" s="30"/>
      <c r="I126" s="30"/>
      <c r="J126" s="43"/>
      <c r="K126" s="43"/>
      <c r="L126" s="36">
        <f t="shared" si="5"/>
        <v>35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62">
        <v>90</v>
      </c>
      <c r="H141" s="9"/>
      <c r="I141" s="9"/>
      <c r="J141" s="9"/>
      <c r="K141" s="9"/>
      <c r="L141" s="36">
        <f t="shared" ref="L141:L148" si="6">SUM(D141:K141)</f>
        <v>90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D142" sqref="D142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D150" sqref="D15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 x14ac:dyDescent="0.25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137" zoomScale="50" zoomScaleNormal="50" workbookViewId="0">
      <selection activeCell="B137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9" t="s">
        <v>146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2:18" x14ac:dyDescent="0.25">
      <c r="B2" s="80"/>
      <c r="C2" s="81"/>
      <c r="D2" s="1"/>
      <c r="E2" s="82"/>
      <c r="F2" s="82"/>
      <c r="G2" s="2"/>
      <c r="H2" s="2"/>
      <c r="I2" s="2"/>
      <c r="J2" s="2"/>
      <c r="K2" s="2"/>
      <c r="L2" s="2"/>
      <c r="M2" s="3" t="s">
        <v>0</v>
      </c>
      <c r="N2" s="76" t="s">
        <v>127</v>
      </c>
      <c r="O2" s="76" t="s">
        <v>130</v>
      </c>
      <c r="P2" s="76" t="s">
        <v>140</v>
      </c>
      <c r="Q2" s="76" t="s">
        <v>141</v>
      </c>
      <c r="R2" s="84" t="s">
        <v>1</v>
      </c>
    </row>
    <row r="3" spans="2:18" x14ac:dyDescent="0.25">
      <c r="B3" s="80"/>
      <c r="C3" s="81"/>
      <c r="D3" s="4"/>
      <c r="E3" s="83"/>
      <c r="F3" s="83"/>
      <c r="G3" s="5"/>
      <c r="H3" s="5"/>
      <c r="I3" s="5"/>
      <c r="J3" s="72"/>
      <c r="K3" s="41"/>
      <c r="L3" s="41"/>
      <c r="M3" s="6" t="s">
        <v>2</v>
      </c>
      <c r="N3" s="77"/>
      <c r="O3" s="77"/>
      <c r="P3" s="77"/>
      <c r="Q3" s="77"/>
      <c r="R3" s="85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148</v>
      </c>
      <c r="K4" s="42" t="s">
        <v>133</v>
      </c>
      <c r="L4" s="42" t="s">
        <v>136</v>
      </c>
      <c r="M4" s="10" t="s">
        <v>10</v>
      </c>
      <c r="N4" s="78"/>
      <c r="O4" s="78"/>
      <c r="P4" s="78"/>
      <c r="Q4" s="78"/>
      <c r="R4" s="86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3" t="s">
        <v>11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5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10</v>
      </c>
      <c r="E7" s="30">
        <f>'เย็น '!E7+'เช้า '!E7+บ่าย!E7</f>
        <v>6</v>
      </c>
      <c r="F7" s="30">
        <f>'เย็น '!F7+'เช้า '!F7+บ่าย!F7</f>
        <v>11</v>
      </c>
      <c r="G7" s="30">
        <f>'เย็น '!G7+'เช้า '!G7+บ่าย!G7</f>
        <v>13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13</v>
      </c>
      <c r="K7" s="30">
        <f>'เย็น '!J7+'เช้า '!J7+บ่าย!J7</f>
        <v>0</v>
      </c>
      <c r="L7" s="30">
        <f>'เย็น '!K7+'เช้า '!K7+บ่าย!K7</f>
        <v>15</v>
      </c>
      <c r="M7" s="36">
        <f>+D7+E7+F7+J7+K7+L7</f>
        <v>55</v>
      </c>
      <c r="N7" s="11">
        <v>65</v>
      </c>
      <c r="O7" s="11">
        <v>130</v>
      </c>
      <c r="P7" s="11"/>
      <c r="Q7" s="11"/>
      <c r="R7" s="44">
        <f>(N7+O7+P7+Q7)-M7</f>
        <v>140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5</v>
      </c>
      <c r="F25" s="30">
        <f>'เย็น '!F25+'เช้า '!F25+บ่าย!F25</f>
        <v>6</v>
      </c>
      <c r="G25" s="30">
        <f>'เย็น '!G25+'เช้า '!G25+บ่าย!G25</f>
        <v>3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3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14</v>
      </c>
      <c r="N25" s="11">
        <v>5</v>
      </c>
      <c r="O25" s="11">
        <v>2</v>
      </c>
      <c r="P25" s="11">
        <v>10</v>
      </c>
      <c r="Q25" s="11">
        <v>5</v>
      </c>
      <c r="R25" s="44">
        <f t="shared" si="2"/>
        <v>8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13</v>
      </c>
      <c r="F26" s="30">
        <f>'เย็น '!F26+'เช้า '!F26+บ่าย!F26</f>
        <v>0</v>
      </c>
      <c r="G26" s="30">
        <f>'เย็น '!G26+'เช้า '!G26+บ่าย!G26</f>
        <v>141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141</v>
      </c>
      <c r="K26" s="30">
        <f>'เย็น '!J26+'เช้า '!J26+บ่าย!J26</f>
        <v>0</v>
      </c>
      <c r="L26" s="30">
        <f>'เย็น '!K26+'เช้า '!K26+บ่าย!K26</f>
        <v>27</v>
      </c>
      <c r="M26" s="36">
        <f t="shared" si="1"/>
        <v>181</v>
      </c>
      <c r="N26" s="11">
        <v>87</v>
      </c>
      <c r="O26" s="11">
        <v>114</v>
      </c>
      <c r="P26" s="11"/>
      <c r="Q26" s="11">
        <v>60</v>
      </c>
      <c r="R26" s="44">
        <f t="shared" si="2"/>
        <v>80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10</v>
      </c>
      <c r="N40" s="11"/>
      <c r="O40" s="11"/>
      <c r="P40" s="11"/>
      <c r="Q40" s="11"/>
      <c r="R40" s="44">
        <f t="shared" si="2"/>
        <v>-10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10</v>
      </c>
      <c r="N41" s="11"/>
      <c r="O41" s="11"/>
      <c r="P41" s="11"/>
      <c r="Q41" s="11"/>
      <c r="R41" s="44">
        <f t="shared" si="2"/>
        <v>-10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10</v>
      </c>
      <c r="N42" s="11"/>
      <c r="O42" s="11"/>
      <c r="P42" s="11"/>
      <c r="Q42" s="11"/>
      <c r="R42" s="44">
        <f t="shared" si="2"/>
        <v>-10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9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9</v>
      </c>
      <c r="N43" s="11"/>
      <c r="O43" s="11"/>
      <c r="P43" s="11"/>
      <c r="Q43" s="11"/>
      <c r="R43" s="44">
        <f t="shared" si="2"/>
        <v>-9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9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9</v>
      </c>
      <c r="N44" s="11"/>
      <c r="O44" s="11"/>
      <c r="P44" s="11"/>
      <c r="Q44" s="11"/>
      <c r="R44" s="44">
        <f t="shared" si="2"/>
        <v>-9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9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9</v>
      </c>
      <c r="N45" s="11"/>
      <c r="O45" s="11"/>
      <c r="P45" s="11"/>
      <c r="Q45" s="11"/>
      <c r="R45" s="44">
        <f t="shared" si="2"/>
        <v>-9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9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9</v>
      </c>
      <c r="N46" s="11"/>
      <c r="O46" s="11"/>
      <c r="P46" s="11"/>
      <c r="Q46" s="11"/>
      <c r="R46" s="44">
        <f t="shared" si="2"/>
        <v>-9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9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9</v>
      </c>
      <c r="N47" s="11"/>
      <c r="O47" s="11"/>
      <c r="P47" s="11"/>
      <c r="Q47" s="11"/>
      <c r="R47" s="44">
        <f t="shared" si="2"/>
        <v>-9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9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9</v>
      </c>
      <c r="N48" s="11"/>
      <c r="O48" s="11"/>
      <c r="P48" s="11"/>
      <c r="Q48" s="11"/>
      <c r="R48" s="44">
        <f t="shared" si="2"/>
        <v>-9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9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9</v>
      </c>
      <c r="N49" s="11"/>
      <c r="O49" s="11"/>
      <c r="P49" s="11"/>
      <c r="Q49" s="11"/>
      <c r="R49" s="44">
        <f t="shared" si="2"/>
        <v>-9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9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9</v>
      </c>
      <c r="N50" s="11"/>
      <c r="O50" s="11"/>
      <c r="P50" s="11"/>
      <c r="Q50" s="11"/>
      <c r="R50" s="44">
        <f t="shared" si="2"/>
        <v>-9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9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9</v>
      </c>
      <c r="N51" s="11"/>
      <c r="O51" s="11"/>
      <c r="P51" s="11"/>
      <c r="Q51" s="11"/>
      <c r="R51" s="44">
        <f t="shared" si="2"/>
        <v>-9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9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9</v>
      </c>
      <c r="N52" s="11"/>
      <c r="O52" s="11"/>
      <c r="P52" s="11"/>
      <c r="Q52" s="11"/>
      <c r="R52" s="44">
        <f t="shared" si="2"/>
        <v>-9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3" t="s">
        <v>55</v>
      </c>
      <c r="C68" s="74"/>
      <c r="D68" s="74"/>
      <c r="E68" s="74"/>
      <c r="F68" s="74"/>
      <c r="G68" s="74"/>
      <c r="H68" s="74"/>
      <c r="I68" s="74"/>
      <c r="J68" s="30">
        <f t="shared" si="0"/>
        <v>0</v>
      </c>
      <c r="K68" s="74"/>
      <c r="L68" s="74"/>
      <c r="M68" s="36">
        <f t="shared" si="1"/>
        <v>0</v>
      </c>
      <c r="N68" s="74"/>
      <c r="O68" s="74"/>
      <c r="P68" s="74"/>
      <c r="Q68" s="74"/>
      <c r="R68" s="75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6</v>
      </c>
      <c r="E69" s="30">
        <f>'เย็น '!E69+'เช้า '!E69+บ่าย!E69</f>
        <v>4</v>
      </c>
      <c r="F69" s="30">
        <f>'เย็น '!F69+'เช้า '!F69+บ่าย!F69</f>
        <v>2</v>
      </c>
      <c r="G69" s="30">
        <f>'เย็น '!G69+'เช้า '!G69+บ่าย!G69</f>
        <v>7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7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19</v>
      </c>
      <c r="N69" s="11">
        <v>10</v>
      </c>
      <c r="O69" s="11">
        <v>18</v>
      </c>
      <c r="P69" s="11"/>
      <c r="Q69" s="11"/>
      <c r="R69" s="44">
        <f t="shared" ref="R69:R76" si="4">(N69+O69+P69+Q69)-M69</f>
        <v>9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5</v>
      </c>
      <c r="M71" s="36">
        <f t="shared" si="1"/>
        <v>5</v>
      </c>
      <c r="N71" s="11">
        <v>5</v>
      </c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3" t="s">
        <v>64</v>
      </c>
      <c r="C78" s="74"/>
      <c r="D78" s="74"/>
      <c r="E78" s="74"/>
      <c r="F78" s="74"/>
      <c r="G78" s="74"/>
      <c r="H78" s="74"/>
      <c r="I78" s="74"/>
      <c r="J78" s="30">
        <f t="shared" si="5"/>
        <v>0</v>
      </c>
      <c r="K78" s="74"/>
      <c r="L78" s="74"/>
      <c r="M78" s="36">
        <f t="shared" si="6"/>
        <v>0</v>
      </c>
      <c r="N78" s="74"/>
      <c r="O78" s="74"/>
      <c r="P78" s="74"/>
      <c r="Q78" s="74"/>
      <c r="R78" s="75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2</v>
      </c>
      <c r="M80" s="36">
        <f t="shared" si="6"/>
        <v>2</v>
      </c>
      <c r="N80" s="11">
        <v>2</v>
      </c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3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57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57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60</v>
      </c>
      <c r="N87" s="11">
        <v>60</v>
      </c>
      <c r="O87" s="11">
        <v>4</v>
      </c>
      <c r="P87" s="11"/>
      <c r="Q87" s="11">
        <v>60</v>
      </c>
      <c r="R87" s="44">
        <f t="shared" si="8"/>
        <v>64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3" t="s">
        <v>74</v>
      </c>
      <c r="C89" s="74"/>
      <c r="D89" s="74"/>
      <c r="E89" s="74"/>
      <c r="F89" s="74"/>
      <c r="G89" s="74"/>
      <c r="H89" s="74"/>
      <c r="I89" s="74"/>
      <c r="J89" s="30">
        <f t="shared" si="5"/>
        <v>0</v>
      </c>
      <c r="K89" s="74"/>
      <c r="L89" s="74"/>
      <c r="M89" s="36">
        <f t="shared" si="6"/>
        <v>0</v>
      </c>
      <c r="N89" s="74"/>
      <c r="O89" s="74"/>
      <c r="P89" s="74"/>
      <c r="Q89" s="74"/>
      <c r="R89" s="75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9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21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21</v>
      </c>
      <c r="K90" s="30">
        <f>'เย็น '!J90+'เช้า '!J90+บ่าย!J90</f>
        <v>0</v>
      </c>
      <c r="L90" s="30">
        <f>'เย็น '!K90+'เช้า '!K90+บ่าย!K90</f>
        <v>17</v>
      </c>
      <c r="M90" s="36">
        <f t="shared" si="6"/>
        <v>47</v>
      </c>
      <c r="N90" s="11">
        <v>47</v>
      </c>
      <c r="O90" s="11"/>
      <c r="P90" s="11"/>
      <c r="Q90" s="11">
        <v>45</v>
      </c>
      <c r="R90" s="44">
        <f t="shared" ref="R90:R100" si="9">(N90+O90+P90+Q90)-M90</f>
        <v>45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8</v>
      </c>
      <c r="E91" s="30">
        <f>'เย็น '!E91+'เช้า '!E91+บ่าย!E91</f>
        <v>0</v>
      </c>
      <c r="F91" s="30">
        <f>'เย็น '!F91+'เช้า '!F91+บ่าย!F91</f>
        <v>4</v>
      </c>
      <c r="G91" s="30">
        <f>'เย็น '!G91+'เช้า '!G91+บ่าย!G91</f>
        <v>18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18</v>
      </c>
      <c r="K91" s="30">
        <f>'เย็น '!J91+'เช้า '!J91+บ่าย!J91</f>
        <v>0</v>
      </c>
      <c r="L91" s="30">
        <f>'เย็น '!K91+'เช้า '!K91+บ่าย!K91</f>
        <v>5</v>
      </c>
      <c r="M91" s="36">
        <f t="shared" si="6"/>
        <v>35</v>
      </c>
      <c r="N91" s="11">
        <v>35</v>
      </c>
      <c r="O91" s="11"/>
      <c r="P91" s="11"/>
      <c r="Q91" s="11">
        <v>45</v>
      </c>
      <c r="R91" s="44">
        <f t="shared" si="9"/>
        <v>45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9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29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29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38</v>
      </c>
      <c r="N92" s="11">
        <v>30</v>
      </c>
      <c r="O92" s="11">
        <v>3</v>
      </c>
      <c r="P92" s="11">
        <v>5</v>
      </c>
      <c r="Q92" s="11">
        <v>45</v>
      </c>
      <c r="R92" s="44">
        <f t="shared" si="9"/>
        <v>45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9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21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21</v>
      </c>
      <c r="K93" s="30">
        <f>'เย็น '!J93+'เช้า '!J93+บ่าย!J93</f>
        <v>0</v>
      </c>
      <c r="L93" s="30">
        <f>'เย็น '!K93+'เช้า '!K93+บ่าย!K93</f>
        <v>10</v>
      </c>
      <c r="M93" s="36">
        <f t="shared" si="6"/>
        <v>40</v>
      </c>
      <c r="N93" s="11">
        <v>40</v>
      </c>
      <c r="O93" s="11"/>
      <c r="P93" s="11"/>
      <c r="Q93" s="11">
        <v>45</v>
      </c>
      <c r="R93" s="44">
        <f t="shared" si="9"/>
        <v>45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6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35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35</v>
      </c>
      <c r="K97" s="30">
        <f>'เย็น '!J97+'เช้า '!J97+บ่าย!J97</f>
        <v>0</v>
      </c>
      <c r="L97" s="30">
        <f>'เย็น '!K97+'เช้า '!K97+บ่าย!K97</f>
        <v>3</v>
      </c>
      <c r="M97" s="36">
        <f t="shared" si="6"/>
        <v>44</v>
      </c>
      <c r="N97" s="11">
        <v>33</v>
      </c>
      <c r="O97" s="11">
        <v>11</v>
      </c>
      <c r="P97" s="11"/>
      <c r="Q97" s="11">
        <v>40</v>
      </c>
      <c r="R97" s="44">
        <f t="shared" si="9"/>
        <v>40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9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21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21</v>
      </c>
      <c r="K98" s="30">
        <f>'เย็น '!J98+'เช้า '!J98+บ่าย!J98</f>
        <v>0</v>
      </c>
      <c r="L98" s="30">
        <f>'เย็น '!K98+'เช้า '!K98+บ่าย!K98</f>
        <v>5</v>
      </c>
      <c r="M98" s="36">
        <f t="shared" si="6"/>
        <v>35</v>
      </c>
      <c r="N98" s="11">
        <v>35</v>
      </c>
      <c r="O98" s="11"/>
      <c r="P98" s="11"/>
      <c r="Q98" s="11">
        <v>40</v>
      </c>
      <c r="R98" s="44">
        <f t="shared" si="9"/>
        <v>40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220</v>
      </c>
      <c r="O100" s="11">
        <f>SUM(O90:O99)</f>
        <v>14</v>
      </c>
      <c r="P100" s="11">
        <f>SUM(P90:P99)</f>
        <v>5</v>
      </c>
      <c r="Q100" s="11">
        <f>SUM(Q90:Q99)</f>
        <v>260</v>
      </c>
      <c r="R100" s="44">
        <f t="shared" si="9"/>
        <v>499</v>
      </c>
    </row>
    <row r="101" spans="2:18" x14ac:dyDescent="0.25">
      <c r="B101" s="73" t="s">
        <v>85</v>
      </c>
      <c r="C101" s="74"/>
      <c r="D101" s="74"/>
      <c r="E101" s="74"/>
      <c r="F101" s="74"/>
      <c r="G101" s="74"/>
      <c r="H101" s="74"/>
      <c r="I101" s="74"/>
      <c r="J101" s="30">
        <f t="shared" si="5"/>
        <v>0</v>
      </c>
      <c r="K101" s="74"/>
      <c r="L101" s="74"/>
      <c r="M101" s="36">
        <f t="shared" si="6"/>
        <v>0</v>
      </c>
      <c r="N101" s="74"/>
      <c r="O101" s="74"/>
      <c r="P101" s="74"/>
      <c r="Q101" s="74"/>
      <c r="R101" s="75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20</v>
      </c>
      <c r="M102" s="36">
        <f t="shared" si="6"/>
        <v>20</v>
      </c>
      <c r="N102" s="11">
        <v>20</v>
      </c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20</v>
      </c>
      <c r="M103" s="36">
        <f t="shared" si="6"/>
        <v>20</v>
      </c>
      <c r="N103" s="11">
        <v>20</v>
      </c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20</v>
      </c>
      <c r="M104" s="36">
        <f t="shared" si="6"/>
        <v>20</v>
      </c>
      <c r="N104" s="11">
        <v>20</v>
      </c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100</v>
      </c>
      <c r="M105" s="36">
        <f t="shared" si="6"/>
        <v>100</v>
      </c>
      <c r="N105" s="11">
        <v>100</v>
      </c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160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160</v>
      </c>
    </row>
    <row r="113" spans="2:18" x14ac:dyDescent="0.25">
      <c r="B113" s="73" t="s">
        <v>86</v>
      </c>
      <c r="C113" s="74"/>
      <c r="D113" s="74"/>
      <c r="E113" s="74"/>
      <c r="F113" s="74"/>
      <c r="G113" s="74"/>
      <c r="H113" s="74"/>
      <c r="I113" s="74"/>
      <c r="J113" s="30">
        <f t="shared" si="5"/>
        <v>0</v>
      </c>
      <c r="K113" s="74"/>
      <c r="L113" s="74"/>
      <c r="M113" s="36">
        <f t="shared" si="6"/>
        <v>0</v>
      </c>
      <c r="N113" s="74"/>
      <c r="O113" s="74"/>
      <c r="P113" s="74"/>
      <c r="Q113" s="74"/>
      <c r="R113" s="75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0</v>
      </c>
      <c r="N114" s="11"/>
      <c r="O114" s="11"/>
      <c r="P114" s="11"/>
      <c r="Q114" s="11"/>
      <c r="R114" s="44">
        <f t="shared" ref="R114:R151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0</v>
      </c>
      <c r="N115" s="11"/>
      <c r="O115" s="11"/>
      <c r="P115" s="11"/>
      <c r="Q115" s="11"/>
      <c r="R115" s="44">
        <f t="shared" si="11"/>
        <v>0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5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5</v>
      </c>
      <c r="K120" s="30">
        <f>บ่าย!J120+'เช้า '!J120+'เย็น '!J120</f>
        <v>0</v>
      </c>
      <c r="L120" s="30">
        <f>บ่าย!K120+'เช้า '!K120+'เย็น '!K120</f>
        <v>5</v>
      </c>
      <c r="M120" s="36">
        <f t="shared" si="6"/>
        <v>10</v>
      </c>
      <c r="N120" s="11"/>
      <c r="O120" s="11">
        <v>11</v>
      </c>
      <c r="P120" s="11"/>
      <c r="Q120" s="11"/>
      <c r="R120" s="44">
        <f t="shared" si="11"/>
        <v>1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>
        <v>13</v>
      </c>
      <c r="P121" s="11"/>
      <c r="Q121" s="11"/>
      <c r="R121" s="44">
        <f t="shared" si="11"/>
        <v>13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1</v>
      </c>
      <c r="E123" s="30">
        <f>บ่าย!E123+'เช้า '!E123+'เย็น '!E123</f>
        <v>12</v>
      </c>
      <c r="F123" s="30">
        <f>บ่าย!F123+'เช้า '!F123+'เย็น '!F123</f>
        <v>35</v>
      </c>
      <c r="G123" s="30">
        <f>บ่าย!G123+'เช้า '!G123+'เย็น '!G123</f>
        <v>187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 t="shared" si="5"/>
        <v>187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235</v>
      </c>
      <c r="N123" s="11">
        <v>350</v>
      </c>
      <c r="O123" s="11">
        <v>168</v>
      </c>
      <c r="P123" s="11"/>
      <c r="Q123" s="11">
        <v>350</v>
      </c>
      <c r="R123" s="44">
        <f t="shared" si="11"/>
        <v>633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1</v>
      </c>
      <c r="E124" s="30">
        <f>บ่าย!E124+'เช้า '!E124+'เย็น '!E124</f>
        <v>5</v>
      </c>
      <c r="F124" s="30">
        <f>บ่าย!F124+'เช้า '!F124+'เย็น '!F124</f>
        <v>2</v>
      </c>
      <c r="G124" s="30">
        <f>บ่าย!G124+'เช้า '!G124+'เย็น '!G124</f>
        <v>163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 t="shared" si="5"/>
        <v>163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171</v>
      </c>
      <c r="N124" s="11">
        <v>246</v>
      </c>
      <c r="O124" s="11">
        <v>1</v>
      </c>
      <c r="P124" s="11"/>
      <c r="Q124" s="11">
        <v>250</v>
      </c>
      <c r="R124" s="44">
        <f t="shared" si="11"/>
        <v>326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1</v>
      </c>
      <c r="E125" s="30">
        <f>บ่าย!E125+'เช้า '!E125+'เย็น '!E125</f>
        <v>2</v>
      </c>
      <c r="F125" s="30">
        <f>บ่าย!F125+'เช้า '!F125+'เย็น '!F125</f>
        <v>0</v>
      </c>
      <c r="G125" s="30">
        <f>บ่าย!G125+'เช้า '!G125+'เย็น '!G125</f>
        <v>163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 t="shared" si="5"/>
        <v>163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166</v>
      </c>
      <c r="N125" s="11">
        <v>158</v>
      </c>
      <c r="O125" s="11">
        <v>1</v>
      </c>
      <c r="P125" s="11">
        <v>7</v>
      </c>
      <c r="Q125" s="11">
        <v>250</v>
      </c>
      <c r="R125" s="44">
        <f t="shared" si="11"/>
        <v>250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6</v>
      </c>
      <c r="F126" s="30">
        <f>บ่าย!F126+'เช้า '!F126+'เย็น '!F126</f>
        <v>24</v>
      </c>
      <c r="G126" s="30">
        <f>บ่าย!G126+'เช้า '!G126+'เย็น '!G126</f>
        <v>5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5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35</v>
      </c>
      <c r="N126" s="11">
        <v>15</v>
      </c>
      <c r="O126" s="11">
        <v>41</v>
      </c>
      <c r="P126" s="11"/>
      <c r="Q126" s="11">
        <v>15</v>
      </c>
      <c r="R126" s="44">
        <f t="shared" si="11"/>
        <v>36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90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90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90</v>
      </c>
      <c r="N141" s="11"/>
      <c r="O141" s="11">
        <v>147</v>
      </c>
      <c r="P141" s="11"/>
      <c r="Q141" s="11"/>
      <c r="R141" s="44">
        <f t="shared" si="11"/>
        <v>57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>
        <f t="shared" si="11"/>
        <v>0</v>
      </c>
    </row>
    <row r="143" spans="2:19" x14ac:dyDescent="0.25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>
        <f t="shared" si="11"/>
        <v>0</v>
      </c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>
        <f t="shared" si="11"/>
        <v>0</v>
      </c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>
        <f t="shared" si="11"/>
        <v>0</v>
      </c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>
        <f t="shared" si="11"/>
        <v>0</v>
      </c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>
        <f t="shared" si="11"/>
        <v>0</v>
      </c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72</v>
      </c>
      <c r="E152" s="60">
        <f t="shared" ref="E152:R152" si="14">SUM(E114:E151,E90:E99,E79:E87,E69:E76,E7:E66,E102:E111)</f>
        <v>173</v>
      </c>
      <c r="F152" s="60">
        <f t="shared" si="14"/>
        <v>84</v>
      </c>
      <c r="G152" s="60">
        <f t="shared" si="14"/>
        <v>979</v>
      </c>
      <c r="H152" s="60">
        <f t="shared" si="14"/>
        <v>0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254</v>
      </c>
      <c r="M152" s="60">
        <f t="shared" si="14"/>
        <v>1562</v>
      </c>
      <c r="N152" s="60">
        <f t="shared" si="14"/>
        <v>1383</v>
      </c>
      <c r="O152" s="60">
        <f t="shared" si="14"/>
        <v>664</v>
      </c>
      <c r="P152" s="60">
        <f t="shared" si="14"/>
        <v>22</v>
      </c>
      <c r="Q152" s="60">
        <f t="shared" si="14"/>
        <v>1250</v>
      </c>
      <c r="R152" s="60">
        <f t="shared" si="14"/>
        <v>1757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2025-06-18T00:39:24Z</cp:lastPrinted>
  <dcterms:created xsi:type="dcterms:W3CDTF">2024-04-30T05:21:27Z</dcterms:created>
  <dcterms:modified xsi:type="dcterms:W3CDTF">2025-06-29T14:55:10Z</dcterms:modified>
</cp:coreProperties>
</file>