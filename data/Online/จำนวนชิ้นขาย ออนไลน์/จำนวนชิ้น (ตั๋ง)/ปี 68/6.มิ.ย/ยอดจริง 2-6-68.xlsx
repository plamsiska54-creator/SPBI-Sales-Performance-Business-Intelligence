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670B2ED1-69C0-4AAD-8893-559497779967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K91" i="5"/>
  <c r="D92" i="5"/>
  <c r="E92" i="5"/>
  <c r="F92" i="5"/>
  <c r="G92" i="5"/>
  <c r="H92" i="5"/>
  <c r="I92" i="5"/>
  <c r="K92" i="5"/>
  <c r="D93" i="5"/>
  <c r="E93" i="5"/>
  <c r="F93" i="5"/>
  <c r="G93" i="5"/>
  <c r="H93" i="5"/>
  <c r="I93" i="5"/>
  <c r="K93" i="5"/>
  <c r="D94" i="5"/>
  <c r="E94" i="5"/>
  <c r="F94" i="5"/>
  <c r="G94" i="5"/>
  <c r="H94" i="5"/>
  <c r="I94" i="5"/>
  <c r="K94" i="5"/>
  <c r="D95" i="5"/>
  <c r="E95" i="5"/>
  <c r="F95" i="5"/>
  <c r="G95" i="5"/>
  <c r="H95" i="5"/>
  <c r="I95" i="5"/>
  <c r="K95" i="5"/>
  <c r="D96" i="5"/>
  <c r="E96" i="5"/>
  <c r="F96" i="5"/>
  <c r="G96" i="5"/>
  <c r="H96" i="5"/>
  <c r="I96" i="5"/>
  <c r="K96" i="5"/>
  <c r="D97" i="5"/>
  <c r="E97" i="5"/>
  <c r="F97" i="5"/>
  <c r="G97" i="5"/>
  <c r="H97" i="5"/>
  <c r="I97" i="5"/>
  <c r="K97" i="5"/>
  <c r="D98" i="5"/>
  <c r="E98" i="5"/>
  <c r="F98" i="5"/>
  <c r="G98" i="5"/>
  <c r="H98" i="5"/>
  <c r="I98" i="5"/>
  <c r="K98" i="5"/>
  <c r="E90" i="5"/>
  <c r="F90" i="5"/>
  <c r="G90" i="5"/>
  <c r="H90" i="5"/>
  <c r="I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100" i="3"/>
  <c r="L67" i="3"/>
  <c r="L77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<sst xmlns="http://schemas.openxmlformats.org/spreadsheetml/2006/main" count="617" uniqueCount="146">
  <si>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</si>
  <si>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</si>
  <si>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</si>
  <si>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</si>
  <si>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</si>
  <si>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</si>
  <si>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</si>
  <si>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</si>
  <si>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</si>
  <si>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</si>
  <si>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</si>
  <si>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</si>
  <si>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</si>
  <si>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</si>
  <si>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</si>
  <si>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</si>
  <si>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</si>
  <si>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</si>
  <si>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</si>
  <si>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</si>
  <si>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</si>
  <si>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</si>
  <si>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</si>
  <si>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</si>
  <si>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</si>
  <si>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</si>
  <si>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</si>
  <si>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</si>
  <si>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</si>
  <si>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</si>
  <si>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</si>
  <si>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</si>
  <si>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</si>
  <si>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</si>
  <si>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</si>
  <si>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</si>
  <si>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</si>
  <si>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</si>
  <si>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</si>
  <si>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</si>
  <si>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</si>
  <si>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</si>
  <si>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</si>
  <si>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</si>
  <si>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</si>
  <si>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</si>
  <si>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</si>
  <si>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</si>
  <si>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</si>
  <si>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</si>
  <si>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</si>
  <si>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</si>
  <si>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</si>
  <si>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</si>
  <si>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</si>
  <si>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</si>
  <si>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</si>
  <si>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</si>
  <si>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</si>
  <si>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</si>
  <si>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</si>
  <si>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</si>
  <si>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</si>
  <si>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</si>
  <si>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</si>
  <si>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</si>
  <si>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</si>
  <si>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</si>
  <si>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</si>
  <si>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</si>
  <si>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</si>
  <si>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</si>
  <si>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</si>
  <si>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</si>
  <si>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</si>
  <si>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</si>
  <si>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</si>
  <si>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</si>
  <si>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</si>
  <si>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</si>
  <si>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</si>
  <si>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</si>
  <si>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</si>
  <si>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</si>
  <si>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</si>
  <si>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</si>
  <si>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</si>
  <si>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</si>
  <si>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</si>
  <si>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</si>
  <si>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</si>
  <si>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</si>
  <si>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</si>
  <si>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</si>
  <si>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</si>
  <si>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</si>
  <si>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</si>
  <si>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</si>
  <si>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</si>
  <si>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</si>
  <si>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</si>
  <si>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</si>
  <si>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</si>
  <si>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</si>
  <si>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</si>
  <si>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</si>
  <si>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</si>
  <si>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</si>
  <si>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</si>
  <si>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</si>
  <si>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</si>
  <si>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</si>
  <si>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</si>
  <si>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</si>
  <si>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</si>
  <si>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</si>
  <si>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</si>
  <si>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</si>
  <si>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</si>
  <si>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</si>
  <si>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</si>
  <si>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</si>
  <si>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</si>
  <si>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</si>
  <si>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</si>
  <si>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</si>
  <si>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</si>
  <si>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</si>
  <si>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</si>
  <si>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</si>
  <si>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</si>
  <si>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</si>
  <si>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</si>
  <si>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</si>
  <si>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</si>
  <si>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</si>
  <si>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</si>
  <si>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</si>
  <si>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</si>
  <si>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</si>
  <si>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</si>
  <si>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</si>
  <si>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</si>
  <si>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</si>
  <si>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2/6/68 รวม</t>
  </si>
  <si>
    <t>ยอดจริง ออนไลน์ วันที่  2/6/68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</si>
</sst>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P57" sqref="P57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5</v>
      </c>
      <c r="E7" s="30">
        <v>18</v>
      </c>
      <c r="F7" s="30">
        <v>23</v>
      </c>
      <c r="G7" s="30"/>
      <c r="H7" s="30"/>
      <c r="I7" s="30">
        <v>10</v>
      </c>
      <c r="J7" s="43"/>
      <c r="K7" s="43"/>
      <c r="L7" s="36">
        <f>SUM(D7:K7)</f>
        <v>56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3</v>
      </c>
      <c r="E25" s="30">
        <v>7</v>
      </c>
      <c r="F25" s="30">
        <v>2</v>
      </c>
      <c r="G25" s="30"/>
      <c r="H25" s="30">
        <v>3</v>
      </c>
      <c r="I25" s="30">
        <v>1</v>
      </c>
      <c r="J25" s="43"/>
      <c r="K25" s="43"/>
      <c r="L25" s="36">
        <f t="shared" si="0"/>
        <v>16</v>
      </c>
    </row>
    <row r="26" spans="2:12">
      <c r="B26" s="11">
        <v>1004055</v>
      </c>
      <c r="C26" s="15" t="s">
        <v>108</v>
      </c>
      <c r="D26" s="30">
        <v>6</v>
      </c>
      <c r="E26" s="30"/>
      <c r="F26" s="30"/>
      <c r="G26" s="30">
        <v>9</v>
      </c>
      <c r="H26" s="30">
        <v>30</v>
      </c>
      <c r="I26" s="30">
        <v>93</v>
      </c>
      <c r="J26" s="43"/>
      <c r="K26" s="43">
        <v>30</v>
      </c>
      <c r="L26" s="36">
        <f t="shared" si="0"/>
        <v>168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240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5</v>
      </c>
      <c r="E69" s="30">
        <v>2</v>
      </c>
      <c r="F69" s="30">
        <v>6</v>
      </c>
      <c r="G69" s="30"/>
      <c r="H69" s="30"/>
      <c r="I69" s="30">
        <v>3</v>
      </c>
      <c r="J69" s="43"/>
      <c r="K69" s="43"/>
      <c r="L69" s="36">
        <f t="shared" ref="L69:L76" si="1">SUM(D69:K69)</f>
        <v>16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>
        <v>1</v>
      </c>
      <c r="E71" s="30"/>
      <c r="F71" s="30"/>
      <c r="G71" s="30"/>
      <c r="H71" s="30"/>
      <c r="I71" s="30"/>
      <c r="J71" s="43"/>
      <c r="K71" s="43"/>
      <c r="L71" s="36">
        <f t="shared" si="1"/>
        <v>1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>
        <v>1</v>
      </c>
      <c r="E76" s="30"/>
      <c r="F76" s="30"/>
      <c r="G76" s="30"/>
      <c r="H76" s="30"/>
      <c r="I76" s="30"/>
      <c r="J76" s="43"/>
      <c r="K76" s="43"/>
      <c r="L76" s="36">
        <f t="shared" si="1"/>
        <v>1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18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2</v>
      </c>
      <c r="E87" s="30">
        <v>6</v>
      </c>
      <c r="F87" s="30"/>
      <c r="G87" s="30">
        <v>3</v>
      </c>
      <c r="H87" s="30">
        <v>30</v>
      </c>
      <c r="I87" s="30">
        <v>129</v>
      </c>
      <c r="J87" s="43"/>
      <c r="K87" s="43"/>
      <c r="L87" s="36">
        <f t="shared" si="2"/>
        <v>170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170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5</v>
      </c>
      <c r="E90" s="30"/>
      <c r="F90" s="30">
        <v>1</v>
      </c>
      <c r="G90" s="30">
        <v>8</v>
      </c>
      <c r="H90" s="30">
        <v>13</v>
      </c>
      <c r="I90" s="30">
        <v>22</v>
      </c>
      <c r="J90" s="43"/>
      <c r="K90" s="43"/>
      <c r="L90" s="36">
        <f t="shared" ref="L90:L99" si="3">SUM(D90:K90)</f>
        <v>49</v>
      </c>
    </row>
    <row r="91" spans="2:12">
      <c r="B91" s="11">
        <v>1112011</v>
      </c>
      <c r="C91" s="19" t="s">
        <v>76</v>
      </c>
      <c r="D91" s="30">
        <v>3</v>
      </c>
      <c r="E91" s="30"/>
      <c r="F91" s="30">
        <v>3</v>
      </c>
      <c r="G91" s="30">
        <v>8</v>
      </c>
      <c r="H91" s="30">
        <v>13</v>
      </c>
      <c r="I91" s="30">
        <v>22</v>
      </c>
      <c r="J91" s="43"/>
      <c r="K91" s="43"/>
      <c r="L91" s="36">
        <f t="shared" si="3"/>
        <v>49</v>
      </c>
    </row>
    <row r="92" spans="2:12">
      <c r="B92" s="11">
        <v>1112003</v>
      </c>
      <c r="C92" s="19" t="s">
        <v>77</v>
      </c>
      <c r="D92" s="30">
        <v>2</v>
      </c>
      <c r="E92" s="30"/>
      <c r="F92" s="30">
        <v>2</v>
      </c>
      <c r="G92" s="30">
        <v>9</v>
      </c>
      <c r="H92" s="30">
        <v>13</v>
      </c>
      <c r="I92" s="30">
        <v>22</v>
      </c>
      <c r="J92" s="43"/>
      <c r="K92" s="43"/>
      <c r="L92" s="36">
        <f t="shared" si="3"/>
        <v>48</v>
      </c>
    </row>
    <row r="93" spans="2:12">
      <c r="B93" s="11">
        <v>1112005</v>
      </c>
      <c r="C93" s="19" t="s">
        <v>78</v>
      </c>
      <c r="D93" s="30">
        <v>6</v>
      </c>
      <c r="E93" s="30"/>
      <c r="F93" s="30">
        <v>1</v>
      </c>
      <c r="G93" s="30">
        <v>8</v>
      </c>
      <c r="H93" s="30">
        <v>13</v>
      </c>
      <c r="I93" s="30">
        <v>22</v>
      </c>
      <c r="J93" s="43"/>
      <c r="K93" s="43"/>
      <c r="L93" s="36">
        <f t="shared" si="3"/>
        <v>50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1</v>
      </c>
      <c r="E97" s="30"/>
      <c r="F97" s="30">
        <v>2</v>
      </c>
      <c r="G97" s="30">
        <v>8</v>
      </c>
      <c r="H97" s="30">
        <v>16</v>
      </c>
      <c r="I97" s="30">
        <v>22</v>
      </c>
      <c r="J97" s="43"/>
      <c r="K97" s="43"/>
      <c r="L97" s="36">
        <f t="shared" si="3"/>
        <v>49</v>
      </c>
    </row>
    <row r="98" spans="2:12">
      <c r="B98" s="11">
        <v>1112013</v>
      </c>
      <c r="C98" s="19" t="s">
        <v>83</v>
      </c>
      <c r="D98" s="30">
        <v>2</v>
      </c>
      <c r="E98" s="30"/>
      <c r="F98" s="30">
        <v>2</v>
      </c>
      <c r="G98" s="30">
        <v>8</v>
      </c>
      <c r="H98" s="30">
        <v>13</v>
      </c>
      <c r="I98" s="30">
        <v>22</v>
      </c>
      <c r="J98" s="43"/>
      <c r="K98" s="43"/>
      <c r="L98" s="36">
        <f t="shared" si="3"/>
        <v>47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292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>
        <v>17</v>
      </c>
      <c r="E114" s="30"/>
      <c r="F114" s="30"/>
      <c r="G114" s="30"/>
      <c r="H114" s="30">
        <v>1</v>
      </c>
      <c r="I114" s="30">
        <v>2</v>
      </c>
      <c r="J114" s="43"/>
      <c r="K114" s="43"/>
      <c r="L114" s="36">
        <f t="shared" ref="L114:L140" si="5">SUM(D114:K114)</f>
        <v>20</v>
      </c>
    </row>
    <row r="115" spans="2:12">
      <c r="B115" s="11">
        <v>1113171</v>
      </c>
      <c r="C115" s="21" t="s">
        <v>88</v>
      </c>
      <c r="D115" s="30">
        <v>15</v>
      </c>
      <c r="E115" s="30"/>
      <c r="F115" s="30"/>
      <c r="G115" s="30">
        <v>1</v>
      </c>
      <c r="H115" s="30"/>
      <c r="I115" s="30"/>
      <c r="J115" s="43"/>
      <c r="K115" s="43"/>
      <c r="L115" s="36">
        <f t="shared" si="5"/>
        <v>16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>
        <v>8</v>
      </c>
      <c r="I120" s="30"/>
      <c r="J120" s="43"/>
      <c r="K120" s="43"/>
      <c r="L120" s="36">
        <f t="shared" si="5"/>
        <v>8</v>
      </c>
    </row>
    <row r="121" spans="2:12">
      <c r="B121" s="11">
        <v>1200001</v>
      </c>
      <c r="C121" s="21" t="s">
        <v>93</v>
      </c>
      <c r="D121" s="30">
        <v>100</v>
      </c>
      <c r="E121" s="30"/>
      <c r="F121" s="30"/>
      <c r="G121" s="30"/>
      <c r="H121" s="30"/>
      <c r="I121" s="30"/>
      <c r="J121" s="43"/>
      <c r="K121" s="43"/>
      <c r="L121" s="36">
        <f t="shared" si="5"/>
        <v>100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11</v>
      </c>
      <c r="E123" s="30">
        <v>3</v>
      </c>
      <c r="F123" s="30"/>
      <c r="G123" s="30">
        <v>248</v>
      </c>
      <c r="H123" s="30">
        <v>236</v>
      </c>
      <c r="I123" s="30">
        <v>128</v>
      </c>
      <c r="J123" s="43"/>
      <c r="K123" s="43"/>
      <c r="L123" s="36">
        <f t="shared" si="5"/>
        <v>626</v>
      </c>
    </row>
    <row r="124" spans="2:12">
      <c r="B124" s="11">
        <v>1114502</v>
      </c>
      <c r="C124" s="21" t="s">
        <v>96</v>
      </c>
      <c r="D124" s="30">
        <v>12</v>
      </c>
      <c r="E124" s="30">
        <v>2</v>
      </c>
      <c r="F124" s="30">
        <v>1</v>
      </c>
      <c r="G124" s="30">
        <v>203</v>
      </c>
      <c r="H124" s="30">
        <v>188</v>
      </c>
      <c r="I124" s="30">
        <v>149</v>
      </c>
      <c r="J124" s="43"/>
      <c r="K124" s="43"/>
      <c r="L124" s="36">
        <f t="shared" si="5"/>
        <v>555</v>
      </c>
    </row>
    <row r="125" spans="2:12">
      <c r="B125" s="11">
        <v>1114503</v>
      </c>
      <c r="C125" s="21" t="s">
        <v>97</v>
      </c>
      <c r="D125" s="30">
        <v>12</v>
      </c>
      <c r="E125" s="30">
        <v>2</v>
      </c>
      <c r="F125" s="30"/>
      <c r="G125" s="30">
        <v>200</v>
      </c>
      <c r="H125" s="30">
        <v>185</v>
      </c>
      <c r="I125" s="30">
        <v>116</v>
      </c>
      <c r="J125" s="43"/>
      <c r="K125" s="43"/>
      <c r="L125" s="36">
        <f t="shared" si="5"/>
        <v>515</v>
      </c>
    </row>
    <row r="126" spans="2:12">
      <c r="B126" s="11">
        <v>1124021</v>
      </c>
      <c r="C126" s="21" t="s">
        <v>98</v>
      </c>
      <c r="D126" s="30">
        <v>2</v>
      </c>
      <c r="E126" s="30">
        <v>10</v>
      </c>
      <c r="F126" s="30">
        <v>12</v>
      </c>
      <c r="G126" s="30"/>
      <c r="H126" s="30">
        <v>5</v>
      </c>
      <c r="I126" s="30">
        <v>2</v>
      </c>
      <c r="J126" s="43"/>
      <c r="K126" s="43"/>
      <c r="L126" s="36">
        <f t="shared" si="5"/>
        <v>31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Y63" sqref="Y63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5</v>
      </c>
      <c r="E7" s="30">
        <f>'เย็น '!E7+'เช้า '!E7+บ่าย!E7</f>
        <v>18</v>
      </c>
      <c r="F7" s="30">
        <f>'เย็น '!F7+'เช้า '!F7+บ่าย!F7</f>
        <v>23</v>
      </c>
      <c r="G7" s="30">
        <f>'เย็น '!G7+'เช้า '!G7+บ่าย!G7</f>
        <v>0</v>
      </c>
      <c r="H7" s="30">
        <f>'เย็น '!H7+'เช้า '!H7+บ่าย!H7</f>
        <v>0</v>
      </c>
      <c r="I7" s="30">
        <f>'เย็น '!I7+'เช้า '!I7+บ่าย!I7</f>
        <v>10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56</v>
      </c>
      <c r="M7" s="11">
        <v>70</v>
      </c>
      <c r="N7" s="11">
        <v>65</v>
      </c>
      <c r="O7" s="11"/>
      <c r="P7" s="11">
        <v>70</v>
      </c>
      <c r="Q7" s="44">
        <f>(M7+N7+O7+P7)-L7</f>
        <v>149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3</v>
      </c>
      <c r="E25" s="30">
        <f>'เย็น '!E25+'เช้า '!E25+บ่าย!E25</f>
        <v>7</v>
      </c>
      <c r="F25" s="30">
        <f>'เย็น '!F25+'เช้า '!F25+บ่าย!F25</f>
        <v>2</v>
      </c>
      <c r="G25" s="30">
        <f>'เย็น '!G25+'เช้า '!G25+บ่าย!G25</f>
        <v>0</v>
      </c>
      <c r="H25" s="30">
        <f>'เย็น '!H25+'เช้า '!H25+บ่าย!H25</f>
        <v>3</v>
      </c>
      <c r="I25" s="30">
        <f>'เย็น '!I25+'เช้า '!I25+บ่าย!I25</f>
        <v>1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16</v>
      </c>
      <c r="M25" s="11">
        <v>15</v>
      </c>
      <c r="N25" s="11">
        <v>21</v>
      </c>
      <c r="O25" s="11"/>
      <c r="P25" s="11">
        <v>15</v>
      </c>
      <c r="Q25" s="44">
        <f t="shared" si="1"/>
        <v>35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6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9</v>
      </c>
      <c r="H26" s="30">
        <f>'เย็น '!H26+'เช้า '!H26+บ่าย!H26</f>
        <v>30</v>
      </c>
      <c r="I26" s="30">
        <f>'เย็น '!I26+'เช้า '!I26+บ่าย!I26</f>
        <v>93</v>
      </c>
      <c r="J26" s="30">
        <f>'เย็น '!J26+'เช้า '!J26+บ่าย!J26</f>
        <v>0</v>
      </c>
      <c r="K26" s="30">
        <f>'เย็น '!K26+'เช้า '!K26+บ่าย!K26</f>
        <v>30</v>
      </c>
      <c r="L26" s="36">
        <f t="shared" si="0"/>
        <v>168</v>
      </c>
      <c r="M26" s="11">
        <v>120</v>
      </c>
      <c r="N26" s="11">
        <v>80</v>
      </c>
      <c r="O26" s="11"/>
      <c r="P26" s="11">
        <v>90</v>
      </c>
      <c r="Q26" s="44">
        <f t="shared" si="1"/>
        <v>122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5</v>
      </c>
      <c r="E69" s="30">
        <f>'เย็น '!E69+'เช้า '!E69+บ่าย!E69</f>
        <v>2</v>
      </c>
      <c r="F69" s="30">
        <f>'เย็น '!F69+'เช้า '!F69+บ่าย!F69</f>
        <v>6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3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16</v>
      </c>
      <c r="M69" s="11">
        <v>30</v>
      </c>
      <c r="N69" s="11">
        <v>1</v>
      </c>
      <c r="O69" s="11"/>
      <c r="P69" s="11">
        <v>15</v>
      </c>
      <c r="Q69" s="44">
        <f t="shared" ref="Q69:Q76" si="5">(M69+N69+O69+P69)-L69</f>
        <v>30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1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1</v>
      </c>
      <c r="M71" s="11">
        <v>5</v>
      </c>
      <c r="N71" s="11"/>
      <c r="O71" s="11"/>
      <c r="P71" s="11"/>
      <c r="Q71" s="44">
        <f t="shared" si="5"/>
        <v>4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1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1</v>
      </c>
      <c r="M76" s="11">
        <v>5</v>
      </c>
      <c r="N76" s="11"/>
      <c r="O76" s="11"/>
      <c r="P76" s="11"/>
      <c r="Q76" s="44">
        <f t="shared" si="5"/>
        <v>4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2</v>
      </c>
      <c r="E87" s="30">
        <f>'เย็น '!E87+'เช้า '!E87+บ่าย!E87</f>
        <v>6</v>
      </c>
      <c r="F87" s="30">
        <f>'เย็น '!F87+'เช้า '!F87+บ่าย!F87</f>
        <v>0</v>
      </c>
      <c r="G87" s="30">
        <f>'เย็น '!G87+'เช้า '!G87+บ่าย!G87</f>
        <v>3</v>
      </c>
      <c r="H87" s="30">
        <f>'เย็น '!H87+'เช้า '!H87+บ่าย!H87</f>
        <v>30</v>
      </c>
      <c r="I87" s="30">
        <f>'เย็น '!I87+'เช้า '!I87+บ่าย!I87</f>
        <v>129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170</v>
      </c>
      <c r="M87" s="11">
        <v>90</v>
      </c>
      <c r="N87" s="11">
        <v>88</v>
      </c>
      <c r="O87" s="11"/>
      <c r="P87" s="11">
        <v>90</v>
      </c>
      <c r="Q87" s="44">
        <f t="shared" si="8"/>
        <v>98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5</v>
      </c>
      <c r="E90" s="30">
        <f>'เย็น '!E90+'เช้า '!E90+บ่าย!E90</f>
        <v>0</v>
      </c>
      <c r="F90" s="30">
        <f>'เย็น '!F90+'เช้า '!F90+บ่าย!F90</f>
        <v>1</v>
      </c>
      <c r="G90" s="30">
        <f>'เย็น '!G90+'เช้า '!G90+บ่าย!G90</f>
        <v>8</v>
      </c>
      <c r="H90" s="30">
        <f>'เย็น '!H90+'เช้า '!H90+บ่าย!H90</f>
        <v>13</v>
      </c>
      <c r="I90" s="30">
        <f>'เย็น '!I90+'เช้า '!I90+บ่าย!I90</f>
        <v>22</v>
      </c>
      <c r="J90" s="30"/>
      <c r="K90" s="30">
        <f>'เย็น '!K90+'เช้า '!K90+บ่าย!K90</f>
        <v>0</v>
      </c>
      <c r="L90" s="36">
        <f t="shared" ref="L90:L99" si="9">SUM(D90:K90)</f>
        <v>49</v>
      </c>
      <c r="M90" s="11">
        <v>51</v>
      </c>
      <c r="N90" s="11">
        <v>48</v>
      </c>
      <c r="O90" s="11"/>
      <c r="P90" s="11">
        <v>50</v>
      </c>
      <c r="Q90" s="44">
        <f t="shared" ref="Q90:Q100" si="10">(M90+N90+O90+P90)-L90</f>
        <v>100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3</v>
      </c>
      <c r="E91" s="30">
        <f>'เย็น '!E91+'เช้า '!E91+บ่าย!E91</f>
        <v>0</v>
      </c>
      <c r="F91" s="30">
        <f>'เย็น '!F91+'เช้า '!F91+บ่าย!F91</f>
        <v>3</v>
      </c>
      <c r="G91" s="30">
        <f>'เย็น '!G91+'เช้า '!G91+บ่าย!G91</f>
        <v>8</v>
      </c>
      <c r="H91" s="30">
        <f>'เย็น '!H91+'เช้า '!H91+บ่าย!H91</f>
        <v>13</v>
      </c>
      <c r="I91" s="30">
        <f>'เย็น '!I91+'เช้า '!I91+บ่าย!I91</f>
        <v>22</v>
      </c>
      <c r="J91" s="30"/>
      <c r="K91" s="30">
        <f>'เย็น '!K91+'เช้า '!K91+บ่าย!K91</f>
        <v>0</v>
      </c>
      <c r="L91" s="36">
        <f t="shared" si="9"/>
        <v>49</v>
      </c>
      <c r="M91" s="11">
        <v>60</v>
      </c>
      <c r="N91" s="11">
        <v>27</v>
      </c>
      <c r="O91" s="11"/>
      <c r="P91" s="11">
        <v>50</v>
      </c>
      <c r="Q91" s="44">
        <f t="shared" si="10"/>
        <v>88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2</v>
      </c>
      <c r="E92" s="30">
        <f>'เย็น '!E92+'เช้า '!E92+บ่าย!E92</f>
        <v>0</v>
      </c>
      <c r="F92" s="30">
        <f>'เย็น '!F92+'เช้า '!F92+บ่าย!F92</f>
        <v>2</v>
      </c>
      <c r="G92" s="30">
        <f>'เย็น '!G92+'เช้า '!G92+บ่าย!G92</f>
        <v>9</v>
      </c>
      <c r="H92" s="30">
        <f>'เย็น '!H92+'เช้า '!H92+บ่าย!H92</f>
        <v>13</v>
      </c>
      <c r="I92" s="30">
        <f>'เย็น '!I92+'เช้า '!I92+บ่าย!I92</f>
        <v>22</v>
      </c>
      <c r="J92" s="30"/>
      <c r="K92" s="30">
        <f>'เย็น '!K92+'เช้า '!K92+บ่าย!K92</f>
        <v>0</v>
      </c>
      <c r="L92" s="36">
        <f t="shared" si="9"/>
        <v>48</v>
      </c>
      <c r="M92" s="11">
        <v>96</v>
      </c>
      <c r="N92" s="11"/>
      <c r="O92" s="11"/>
      <c r="P92" s="11">
        <v>50</v>
      </c>
      <c r="Q92" s="44">
        <f t="shared" si="10"/>
        <v>98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6</v>
      </c>
      <c r="E93" s="30">
        <f>'เย็น '!E93+'เช้า '!E93+บ่าย!E93</f>
        <v>0</v>
      </c>
      <c r="F93" s="30">
        <f>'เย็น '!F93+'เช้า '!F93+บ่าย!F93</f>
        <v>1</v>
      </c>
      <c r="G93" s="30">
        <f>'เย็น '!G93+'เช้า '!G93+บ่าย!G93</f>
        <v>8</v>
      </c>
      <c r="H93" s="30">
        <f>'เย็น '!H93+'เช้า '!H93+บ่าย!H93</f>
        <v>13</v>
      </c>
      <c r="I93" s="30">
        <f>'เย็น '!I93+'เช้า '!I93+บ่าย!I93</f>
        <v>22</v>
      </c>
      <c r="J93" s="30"/>
      <c r="K93" s="30">
        <f>'เย็น '!K93+'เช้า '!K93+บ่าย!K93</f>
        <v>0</v>
      </c>
      <c r="L93" s="36">
        <f t="shared" si="9"/>
        <v>50</v>
      </c>
      <c r="M93" s="11">
        <v>77</v>
      </c>
      <c r="N93" s="11">
        <v>4</v>
      </c>
      <c r="O93" s="11"/>
      <c r="P93" s="11">
        <v>50</v>
      </c>
      <c r="Q93" s="44">
        <f t="shared" si="10"/>
        <v>81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/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/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/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1</v>
      </c>
      <c r="E97" s="30">
        <f>'เย็น '!E97+'เช้า '!E97+บ่าย!E97</f>
        <v>0</v>
      </c>
      <c r="F97" s="30">
        <f>'เย็น '!F97+'เช้า '!F97+บ่าย!F97</f>
        <v>2</v>
      </c>
      <c r="G97" s="30">
        <f>'เย็น '!G97+'เช้า '!G97+บ่าย!G97</f>
        <v>8</v>
      </c>
      <c r="H97" s="30">
        <f>'เย็น '!H97+'เช้า '!H97+บ่าย!H97</f>
        <v>16</v>
      </c>
      <c r="I97" s="30">
        <f>'เย็น '!I97+'เช้า '!I97+บ่าย!I97</f>
        <v>22</v>
      </c>
      <c r="J97" s="30"/>
      <c r="K97" s="30">
        <f>'เย็น '!K97+'เช้า '!K97+บ่าย!K97</f>
        <v>0</v>
      </c>
      <c r="L97" s="36">
        <f t="shared" si="9"/>
        <v>49</v>
      </c>
      <c r="M97" s="11">
        <v>106</v>
      </c>
      <c r="N97" s="11">
        <v>15</v>
      </c>
      <c r="O97" s="11"/>
      <c r="P97" s="11">
        <v>50</v>
      </c>
      <c r="Q97" s="44">
        <f t="shared" si="10"/>
        <v>122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2</v>
      </c>
      <c r="E98" s="30">
        <f>'เย็น '!E98+'เช้า '!E98+บ่าย!E98</f>
        <v>0</v>
      </c>
      <c r="F98" s="30">
        <f>'เย็น '!F98+'เช้า '!F98+บ่าย!F98</f>
        <v>2</v>
      </c>
      <c r="G98" s="30">
        <f>'เย็น '!G98+'เช้า '!G98+บ่าย!G98</f>
        <v>8</v>
      </c>
      <c r="H98" s="30">
        <f>'เย็น '!H98+'เช้า '!H98+บ่าย!H98</f>
        <v>13</v>
      </c>
      <c r="I98" s="30">
        <f>'เย็น '!I98+'เช้า '!I98+บ่าย!I98</f>
        <v>22</v>
      </c>
      <c r="J98" s="30"/>
      <c r="K98" s="30">
        <f>'เย็น '!K98+'เช้า '!K98+บ่าย!K98</f>
        <v>0</v>
      </c>
      <c r="L98" s="36">
        <f t="shared" si="9"/>
        <v>47</v>
      </c>
      <c r="M98" s="11">
        <v>72</v>
      </c>
      <c r="N98" s="11">
        <v>29</v>
      </c>
      <c r="O98" s="11"/>
      <c r="P98" s="11">
        <v>50</v>
      </c>
      <c r="Q98" s="44">
        <f t="shared" si="10"/>
        <v>104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292</v>
      </c>
      <c r="M100" s="11">
        <f>SUM(M90:M99)</f>
        <v>462</v>
      </c>
      <c r="N100" s="11">
        <f>SUM(N90:N99)</f>
        <v>123</v>
      </c>
      <c r="O100" s="11">
        <f>SUM(O90:O99)</f>
        <v>0</v>
      </c>
      <c r="P100" s="11">
        <f>SUM(P90:P99)</f>
        <v>300</v>
      </c>
      <c r="Q100" s="44">
        <f t="shared" si="10"/>
        <v>593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17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1</v>
      </c>
      <c r="I114" s="30">
        <f>'เย็น '!I114+'เช้า '!I114+บ่าย!I114</f>
        <v>2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20</v>
      </c>
      <c r="M114" s="11">
        <v>20</v>
      </c>
      <c r="N114" s="11">
        <v>3</v>
      </c>
      <c r="O114" s="11"/>
      <c r="P114" s="11"/>
      <c r="Q114" s="44">
        <f t="shared" ref="Q114:Q140" si="14">(M114+N114+O114+P114)-L114</f>
        <v>3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15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1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16</v>
      </c>
      <c r="M115" s="11">
        <v>15</v>
      </c>
      <c r="N115" s="11">
        <v>7</v>
      </c>
      <c r="O115" s="11"/>
      <c r="P115" s="11"/>
      <c r="Q115" s="44">
        <f t="shared" si="14"/>
        <v>6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8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8</v>
      </c>
      <c r="M120" s="11"/>
      <c r="N120" s="11">
        <v>29</v>
      </c>
      <c r="O120" s="11"/>
      <c r="P120" s="11"/>
      <c r="Q120" s="44">
        <f t="shared" si="14"/>
        <v>21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100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100</v>
      </c>
      <c r="M121" s="11"/>
      <c r="N121" s="11"/>
      <c r="O121" s="11"/>
      <c r="P121" s="11"/>
      <c r="Q121" s="44">
        <f t="shared" si="14"/>
        <v>-100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11</v>
      </c>
      <c r="E123" s="30">
        <f>'เย็น '!E123+'เช้า '!E123+บ่าย!E123</f>
        <v>3</v>
      </c>
      <c r="F123" s="30">
        <f>'เย็น '!F123+'เช้า '!F123+บ่าย!F123</f>
        <v>0</v>
      </c>
      <c r="G123" s="30">
        <f>'เย็น '!G123+'เช้า '!G123+บ่าย!G123</f>
        <v>248</v>
      </c>
      <c r="H123" s="30">
        <f>'เย็น '!H123+'เช้า '!H123+บ่าย!H123</f>
        <v>236</v>
      </c>
      <c r="I123" s="30">
        <f>'เย็น '!I123+'เช้า '!I123+บ่าย!I123</f>
        <v>128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626</v>
      </c>
      <c r="M123" s="11">
        <v>388</v>
      </c>
      <c r="N123" s="11">
        <v>224</v>
      </c>
      <c r="O123" s="11"/>
      <c r="P123" s="11">
        <v>400</v>
      </c>
      <c r="Q123" s="44">
        <f t="shared" si="14"/>
        <v>386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12</v>
      </c>
      <c r="E124" s="30">
        <f>'เย็น '!E124+'เช้า '!E124+บ่าย!E124</f>
        <v>2</v>
      </c>
      <c r="F124" s="30">
        <f>'เย็น '!F124+'เช้า '!F124+บ่าย!F124</f>
        <v>1</v>
      </c>
      <c r="G124" s="30">
        <f>'เย็น '!G124+'เช้า '!G124+บ่าย!G124</f>
        <v>203</v>
      </c>
      <c r="H124" s="30">
        <f>'เย็น '!H124+'เช้า '!H124+บ่าย!H124</f>
        <v>188</v>
      </c>
      <c r="I124" s="30">
        <f>'เย็น '!I124+'เช้า '!I124+บ่าย!I124</f>
        <v>149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555</v>
      </c>
      <c r="M124" s="11">
        <v>460</v>
      </c>
      <c r="N124" s="11">
        <v>397</v>
      </c>
      <c r="O124" s="11"/>
      <c r="P124" s="11">
        <v>300</v>
      </c>
      <c r="Q124" s="44">
        <f t="shared" si="14"/>
        <v>602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12</v>
      </c>
      <c r="E125" s="30">
        <f>'เย็น '!E125+'เช้า '!E125+บ่าย!E125</f>
        <v>2</v>
      </c>
      <c r="F125" s="30">
        <f>'เย็น '!F125+'เช้า '!F125+บ่าย!F125</f>
        <v>0</v>
      </c>
      <c r="G125" s="30">
        <f>'เย็น '!G125+'เช้า '!G125+บ่าย!G125</f>
        <v>200</v>
      </c>
      <c r="H125" s="30">
        <f>'เย็น '!H125+'เช้า '!H125+บ่าย!H125</f>
        <v>185</v>
      </c>
      <c r="I125" s="30">
        <f>'เย็น '!I125+'เช้า '!I125+บ่าย!I125</f>
        <v>116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515</v>
      </c>
      <c r="M125" s="11">
        <v>700</v>
      </c>
      <c r="N125" s="11">
        <v>107</v>
      </c>
      <c r="O125" s="11"/>
      <c r="P125" s="11">
        <v>300</v>
      </c>
      <c r="Q125" s="44">
        <f t="shared" si="14"/>
        <v>592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2</v>
      </c>
      <c r="E126" s="30">
        <f>'เย็น '!E126+'เช้า '!E126+บ่าย!E126</f>
        <v>10</v>
      </c>
      <c r="F126" s="30">
        <f>'เย็น '!F126+'เช้า '!F126+บ่าย!F126</f>
        <v>12</v>
      </c>
      <c r="G126" s="30">
        <f>'เย็น '!G126+'เช้า '!G126+บ่าย!G126</f>
        <v>0</v>
      </c>
      <c r="H126" s="30">
        <f>'เย็น '!H126+'เช้า '!H126+บ่าย!H126</f>
        <v>5</v>
      </c>
      <c r="I126" s="30">
        <f>'เย็น '!I126+'เช้า '!I126+บ่าย!I126</f>
        <v>2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31</v>
      </c>
      <c r="M126" s="11">
        <v>30</v>
      </c>
      <c r="N126" s="11">
        <v>6</v>
      </c>
      <c r="O126" s="11"/>
      <c r="P126" s="11">
        <v>30</v>
      </c>
      <c r="Q126" s="44">
        <f t="shared" si="14"/>
        <v>35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211</v>
      </c>
      <c r="E141" s="36">
        <f t="shared" ref="E141:K141" si="15">SUM(E114:E140,E90:E99,E79:E87,E69:E76,E7:E66,E102:E111)</f>
        <v>50</v>
      </c>
      <c r="F141" s="36">
        <f t="shared" si="15"/>
        <v>55</v>
      </c>
      <c r="G141" s="36">
        <f t="shared" si="15"/>
        <v>713</v>
      </c>
      <c r="H141" s="36">
        <f t="shared" si="15"/>
        <v>767</v>
      </c>
      <c r="I141" s="36">
        <f t="shared" si="15"/>
        <v>765</v>
      </c>
      <c r="J141" s="36">
        <f t="shared" si="15"/>
        <v>0</v>
      </c>
      <c r="K141" s="36">
        <f t="shared" si="15"/>
        <v>30</v>
      </c>
      <c r="L141" s="36">
        <f>SUM(L114:L140,L90:L99,L79:L87,L69:L76,L7:L66,L102:L111)</f>
        <v>2591</v>
      </c>
      <c r="M141" s="36">
        <f>SUM(M114:M140,M90:M99,M79:M87,M69:M76,M7:M66,M102:M111)</f>
        <v>2410</v>
      </c>
      <c r="N141" s="36">
        <f t="shared" ref="N141" si="16">SUM(N114:N140,N90:N99,N79:N87,N69:N76,N7:N66,N102:N111)</f>
        <v>1151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1610</v>
      </c>
      <c r="Q141" s="36">
        <f t="shared" ref="Q141" si="19">SUM(Q114:Q140,Q90:Q99,Q79:Q87,Q69:Q76,Q7:Q66,Q102:Q111)</f>
        <v>2580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2025-06-02T00:18:02Z</cp:lastPrinted>
  <dcterms:created xsi:type="dcterms:W3CDTF">2024-04-30T05:21:27Z</dcterms:created>
  <dcterms:modified xsi:type="dcterms:W3CDTF">2025-06-02T00:41:27Z</dcterms:modified>
</cp:coreProperties>
</file>