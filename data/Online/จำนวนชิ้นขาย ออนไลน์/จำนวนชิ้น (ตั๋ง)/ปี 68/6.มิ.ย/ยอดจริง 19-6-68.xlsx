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49D0E7B1-2F60-40D3-B36D-113626D6DA59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J67" i="5"/>
  <c r="J68" i="5"/>
  <c r="J77" i="5"/>
  <c r="J78" i="5"/>
  <c r="J88" i="5"/>
  <c r="J89" i="5"/>
  <c r="J100" i="5"/>
  <c r="J101" i="5"/>
  <c r="J112" i="5"/>
  <c r="J113" i="5"/>
  <c r="J137" i="5"/>
  <c r="J138" i="5"/>
  <c r="J139" i="5"/>
  <c r="J143" i="5"/>
  <c r="L141" i="3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J141" i="5" s="1"/>
  <c r="H141" i="5"/>
  <c r="I141" i="5"/>
  <c r="K141" i="5"/>
  <c r="L141" i="5"/>
  <c r="D142" i="5"/>
  <c r="E142" i="5"/>
  <c r="F142" i="5"/>
  <c r="G142" i="5"/>
  <c r="H142" i="5"/>
  <c r="I142" i="5"/>
  <c r="K142" i="5"/>
  <c r="L142" i="5"/>
  <c r="D143" i="5"/>
  <c r="E143" i="5"/>
  <c r="F143" i="5"/>
  <c r="G143" i="5"/>
  <c r="R143" i="5" s="1"/>
  <c r="H143" i="5"/>
  <c r="K143" i="5"/>
  <c r="L143" i="5"/>
  <c r="E137" i="5"/>
  <c r="F137" i="5"/>
  <c r="G137" i="5"/>
  <c r="H137" i="5"/>
  <c r="I137" i="5"/>
  <c r="K137" i="5"/>
  <c r="L137" i="5"/>
  <c r="L141" i="4"/>
  <c r="J140" i="5" l="1"/>
  <c r="J142" i="5"/>
  <c r="R140" i="5"/>
  <c r="R142" i="5"/>
  <c r="R141" i="5"/>
  <c r="L7" i="5" l="1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N144" i="5" l="1"/>
  <c r="O144" i="5"/>
  <c r="P144" i="5"/>
  <c r="Q14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J136" i="5" s="1"/>
  <c r="H136" i="5"/>
  <c r="I136" i="5"/>
  <c r="K136" i="5"/>
  <c r="L136" i="5"/>
  <c r="D137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77" i="6" s="1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D9" i="5"/>
  <c r="E9" i="5"/>
  <c r="F9" i="5"/>
  <c r="G9" i="5"/>
  <c r="H9" i="5"/>
  <c r="I9" i="5"/>
  <c r="K9" i="5"/>
  <c r="D10" i="5"/>
  <c r="E10" i="5"/>
  <c r="F10" i="5"/>
  <c r="G10" i="5"/>
  <c r="H10" i="5"/>
  <c r="I10" i="5"/>
  <c r="K10" i="5"/>
  <c r="D11" i="5"/>
  <c r="E11" i="5"/>
  <c r="F11" i="5"/>
  <c r="G11" i="5"/>
  <c r="H11" i="5"/>
  <c r="I11" i="5"/>
  <c r="K11" i="5"/>
  <c r="D12" i="5"/>
  <c r="E12" i="5"/>
  <c r="F12" i="5"/>
  <c r="G12" i="5"/>
  <c r="H12" i="5"/>
  <c r="I12" i="5"/>
  <c r="K12" i="5"/>
  <c r="D13" i="5"/>
  <c r="E13" i="5"/>
  <c r="F13" i="5"/>
  <c r="G13" i="5"/>
  <c r="H13" i="5"/>
  <c r="I13" i="5"/>
  <c r="K13" i="5"/>
  <c r="D14" i="5"/>
  <c r="E14" i="5"/>
  <c r="F14" i="5"/>
  <c r="G14" i="5"/>
  <c r="H14" i="5"/>
  <c r="I14" i="5"/>
  <c r="K14" i="5"/>
  <c r="D15" i="5"/>
  <c r="E15" i="5"/>
  <c r="F15" i="5"/>
  <c r="G15" i="5"/>
  <c r="H15" i="5"/>
  <c r="I15" i="5"/>
  <c r="K15" i="5"/>
  <c r="D16" i="5"/>
  <c r="E16" i="5"/>
  <c r="F16" i="5"/>
  <c r="G16" i="5"/>
  <c r="H16" i="5"/>
  <c r="I16" i="5"/>
  <c r="K16" i="5"/>
  <c r="D17" i="5"/>
  <c r="E17" i="5"/>
  <c r="F17" i="5"/>
  <c r="G17" i="5"/>
  <c r="H17" i="5"/>
  <c r="I17" i="5"/>
  <c r="K17" i="5"/>
  <c r="D18" i="5"/>
  <c r="E18" i="5"/>
  <c r="F18" i="5"/>
  <c r="G18" i="5"/>
  <c r="H18" i="5"/>
  <c r="I18" i="5"/>
  <c r="K18" i="5"/>
  <c r="D19" i="5"/>
  <c r="E19" i="5"/>
  <c r="F19" i="5"/>
  <c r="G19" i="5"/>
  <c r="H19" i="5"/>
  <c r="I19" i="5"/>
  <c r="K19" i="5"/>
  <c r="D20" i="5"/>
  <c r="E20" i="5"/>
  <c r="F20" i="5"/>
  <c r="G20" i="5"/>
  <c r="H20" i="5"/>
  <c r="I20" i="5"/>
  <c r="K20" i="5"/>
  <c r="D21" i="5"/>
  <c r="E21" i="5"/>
  <c r="F21" i="5"/>
  <c r="G21" i="5"/>
  <c r="J21" i="5" s="1"/>
  <c r="H21" i="5"/>
  <c r="I21" i="5"/>
  <c r="K21" i="5"/>
  <c r="D22" i="5"/>
  <c r="E22" i="5"/>
  <c r="F22" i="5"/>
  <c r="G22" i="5"/>
  <c r="H22" i="5"/>
  <c r="I22" i="5"/>
  <c r="K22" i="5"/>
  <c r="D23" i="5"/>
  <c r="E23" i="5"/>
  <c r="F23" i="5"/>
  <c r="G23" i="5"/>
  <c r="H23" i="5"/>
  <c r="I23" i="5"/>
  <c r="K23" i="5"/>
  <c r="D24" i="5"/>
  <c r="E24" i="5"/>
  <c r="F24" i="5"/>
  <c r="G24" i="5"/>
  <c r="H24" i="5"/>
  <c r="I24" i="5"/>
  <c r="K24" i="5"/>
  <c r="D25" i="5"/>
  <c r="E25" i="5"/>
  <c r="F25" i="5"/>
  <c r="G25" i="5"/>
  <c r="H25" i="5"/>
  <c r="I25" i="5"/>
  <c r="K25" i="5"/>
  <c r="D26" i="5"/>
  <c r="E26" i="5"/>
  <c r="F26" i="5"/>
  <c r="G26" i="5"/>
  <c r="H26" i="5"/>
  <c r="I26" i="5"/>
  <c r="K26" i="5"/>
  <c r="D27" i="5"/>
  <c r="E27" i="5"/>
  <c r="F27" i="5"/>
  <c r="G27" i="5"/>
  <c r="H27" i="5"/>
  <c r="I27" i="5"/>
  <c r="K27" i="5"/>
  <c r="D28" i="5"/>
  <c r="E28" i="5"/>
  <c r="F28" i="5"/>
  <c r="G28" i="5"/>
  <c r="J28" i="5" s="1"/>
  <c r="H28" i="5"/>
  <c r="I28" i="5"/>
  <c r="K28" i="5"/>
  <c r="D29" i="5"/>
  <c r="E29" i="5"/>
  <c r="F29" i="5"/>
  <c r="G29" i="5"/>
  <c r="H29" i="5"/>
  <c r="I29" i="5"/>
  <c r="K29" i="5"/>
  <c r="D30" i="5"/>
  <c r="E30" i="5"/>
  <c r="F30" i="5"/>
  <c r="G30" i="5"/>
  <c r="H30" i="5"/>
  <c r="I30" i="5"/>
  <c r="K30" i="5"/>
  <c r="D31" i="5"/>
  <c r="E31" i="5"/>
  <c r="F31" i="5"/>
  <c r="G31" i="5"/>
  <c r="H31" i="5"/>
  <c r="I31" i="5"/>
  <c r="K31" i="5"/>
  <c r="D32" i="5"/>
  <c r="E32" i="5"/>
  <c r="F32" i="5"/>
  <c r="G32" i="5"/>
  <c r="H32" i="5"/>
  <c r="I32" i="5"/>
  <c r="K32" i="5"/>
  <c r="D33" i="5"/>
  <c r="E33" i="5"/>
  <c r="F33" i="5"/>
  <c r="G33" i="5"/>
  <c r="H33" i="5"/>
  <c r="I33" i="5"/>
  <c r="K33" i="5"/>
  <c r="D34" i="5"/>
  <c r="E34" i="5"/>
  <c r="F34" i="5"/>
  <c r="G34" i="5"/>
  <c r="H34" i="5"/>
  <c r="I34" i="5"/>
  <c r="K34" i="5"/>
  <c r="D35" i="5"/>
  <c r="E35" i="5"/>
  <c r="F35" i="5"/>
  <c r="G35" i="5"/>
  <c r="H35" i="5"/>
  <c r="I35" i="5"/>
  <c r="K35" i="5"/>
  <c r="D36" i="5"/>
  <c r="E36" i="5"/>
  <c r="F36" i="5"/>
  <c r="G36" i="5"/>
  <c r="H36" i="5"/>
  <c r="I36" i="5"/>
  <c r="K36" i="5"/>
  <c r="D37" i="5"/>
  <c r="E37" i="5"/>
  <c r="F37" i="5"/>
  <c r="G37" i="5"/>
  <c r="J37" i="5" s="1"/>
  <c r="H37" i="5"/>
  <c r="I37" i="5"/>
  <c r="K37" i="5"/>
  <c r="D38" i="5"/>
  <c r="E38" i="5"/>
  <c r="F38" i="5"/>
  <c r="G38" i="5"/>
  <c r="H38" i="5"/>
  <c r="I38" i="5"/>
  <c r="K38" i="5"/>
  <c r="D39" i="5"/>
  <c r="E39" i="5"/>
  <c r="F39" i="5"/>
  <c r="G39" i="5"/>
  <c r="H39" i="5"/>
  <c r="I39" i="5"/>
  <c r="K39" i="5"/>
  <c r="D40" i="5"/>
  <c r="E40" i="5"/>
  <c r="F40" i="5"/>
  <c r="G40" i="5"/>
  <c r="H40" i="5"/>
  <c r="I40" i="5"/>
  <c r="K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J16" i="5" l="1"/>
  <c r="J73" i="5"/>
  <c r="J71" i="5"/>
  <c r="J86" i="5"/>
  <c r="J82" i="5"/>
  <c r="J80" i="5"/>
  <c r="J94" i="5"/>
  <c r="R94" i="5" s="1"/>
  <c r="J133" i="5"/>
  <c r="J127" i="5"/>
  <c r="J117" i="5"/>
  <c r="R117" i="5" s="1"/>
  <c r="J65" i="5"/>
  <c r="J63" i="5"/>
  <c r="J61" i="5"/>
  <c r="J59" i="5"/>
  <c r="J55" i="5"/>
  <c r="J53" i="5"/>
  <c r="J51" i="5"/>
  <c r="J49" i="5"/>
  <c r="J47" i="5"/>
  <c r="J45" i="5"/>
  <c r="J43" i="5"/>
  <c r="J41" i="5"/>
  <c r="J9" i="5"/>
  <c r="J69" i="5"/>
  <c r="J79" i="5"/>
  <c r="J114" i="5"/>
  <c r="J27" i="5"/>
  <c r="J29" i="5"/>
  <c r="J135" i="5"/>
  <c r="M7" i="5"/>
  <c r="J15" i="5"/>
  <c r="J40" i="5"/>
  <c r="J76" i="5"/>
  <c r="J72" i="5"/>
  <c r="J83" i="5"/>
  <c r="J124" i="5"/>
  <c r="J44" i="5"/>
  <c r="J17" i="5"/>
  <c r="J7" i="5"/>
  <c r="J26" i="5"/>
  <c r="J10" i="5"/>
  <c r="J30" i="5"/>
  <c r="J23" i="5"/>
  <c r="J32" i="5"/>
  <c r="J98" i="5"/>
  <c r="J92" i="5"/>
  <c r="J131" i="5"/>
  <c r="J125" i="5"/>
  <c r="J121" i="5"/>
  <c r="J115" i="5"/>
  <c r="J18" i="5"/>
  <c r="J11" i="5"/>
  <c r="J20" i="5"/>
  <c r="J38" i="5"/>
  <c r="J22" i="5"/>
  <c r="J126" i="5"/>
  <c r="R126" i="5" s="1"/>
  <c r="J52" i="5"/>
  <c r="J35" i="5"/>
  <c r="J19" i="5"/>
  <c r="J14" i="5"/>
  <c r="J39" i="5"/>
  <c r="J75" i="5"/>
  <c r="J84" i="5"/>
  <c r="J96" i="5"/>
  <c r="R96" i="5" s="1"/>
  <c r="J129" i="5"/>
  <c r="J123" i="5"/>
  <c r="R123" i="5" s="1"/>
  <c r="J119" i="5"/>
  <c r="R119" i="5" s="1"/>
  <c r="J57" i="5"/>
  <c r="J25" i="5"/>
  <c r="J34" i="5"/>
  <c r="J36" i="5"/>
  <c r="J13" i="5"/>
  <c r="J31" i="5"/>
  <c r="J24" i="5"/>
  <c r="J8" i="5"/>
  <c r="J74" i="5"/>
  <c r="J70" i="5"/>
  <c r="J87" i="5"/>
  <c r="J85" i="5"/>
  <c r="J81" i="5"/>
  <c r="J97" i="5"/>
  <c r="J95" i="5"/>
  <c r="J93" i="5"/>
  <c r="J91" i="5"/>
  <c r="R91" i="5" s="1"/>
  <c r="J134" i="5"/>
  <c r="R134" i="5" s="1"/>
  <c r="J132" i="5"/>
  <c r="R132" i="5" s="1"/>
  <c r="J130" i="5"/>
  <c r="J128" i="5"/>
  <c r="J122" i="5"/>
  <c r="R122" i="5" s="1"/>
  <c r="J120" i="5"/>
  <c r="J118" i="5"/>
  <c r="J116" i="5"/>
  <c r="R116" i="5" s="1"/>
  <c r="J64" i="5"/>
  <c r="J62" i="5"/>
  <c r="J60" i="5"/>
  <c r="J58" i="5"/>
  <c r="J56" i="5"/>
  <c r="J54" i="5"/>
  <c r="J50" i="5"/>
  <c r="J48" i="5"/>
  <c r="J46" i="5"/>
  <c r="J42" i="5"/>
  <c r="J33" i="5"/>
  <c r="J90" i="5"/>
  <c r="J12" i="5"/>
  <c r="L112" i="3"/>
  <c r="L100" i="6"/>
  <c r="L67" i="6"/>
  <c r="L88" i="6"/>
  <c r="L144" i="5"/>
  <c r="L67" i="4"/>
  <c r="L142" i="4"/>
  <c r="L88" i="4"/>
  <c r="R136" i="5"/>
  <c r="R137" i="5"/>
  <c r="R135" i="5"/>
  <c r="L100" i="4"/>
  <c r="R133" i="5"/>
  <c r="R138" i="5"/>
  <c r="R131" i="5"/>
  <c r="L112" i="4"/>
  <c r="R139" i="5"/>
  <c r="L77" i="3"/>
  <c r="L88" i="3"/>
  <c r="L100" i="3"/>
  <c r="L67" i="3"/>
  <c r="R130" i="5"/>
  <c r="R129" i="5"/>
  <c r="R93" i="5"/>
  <c r="R95" i="5"/>
  <c r="R127" i="5"/>
  <c r="R118" i="5"/>
  <c r="R124" i="5"/>
  <c r="R128" i="5"/>
  <c r="R125" i="5"/>
  <c r="R120" i="5"/>
  <c r="R87" i="5"/>
  <c r="R115" i="5"/>
  <c r="R92" i="5"/>
  <c r="R98" i="5"/>
  <c r="R97" i="5"/>
  <c r="D103" i="5"/>
  <c r="E103" i="5"/>
  <c r="F103" i="5"/>
  <c r="G103" i="5"/>
  <c r="H103" i="5"/>
  <c r="I103" i="5"/>
  <c r="K103" i="5"/>
  <c r="D104" i="5"/>
  <c r="E104" i="5"/>
  <c r="F104" i="5"/>
  <c r="G104" i="5"/>
  <c r="J104" i="5" s="1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J111" i="5" s="1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H99" i="5"/>
  <c r="I99" i="5"/>
  <c r="K99" i="5"/>
  <c r="D66" i="5"/>
  <c r="E66" i="5"/>
  <c r="F66" i="5"/>
  <c r="G66" i="5"/>
  <c r="H66" i="5"/>
  <c r="I66" i="5"/>
  <c r="K66" i="5"/>
  <c r="J108" i="5" l="1"/>
  <c r="R108" i="5" s="1"/>
  <c r="J110" i="5"/>
  <c r="J103" i="5"/>
  <c r="J106" i="5"/>
  <c r="J102" i="5"/>
  <c r="J105" i="5"/>
  <c r="J66" i="5"/>
  <c r="J107" i="5"/>
  <c r="R66" i="5"/>
  <c r="J109" i="5"/>
  <c r="J99" i="5"/>
  <c r="R100" i="5" s="1"/>
  <c r="K144" i="5"/>
  <c r="G144" i="5"/>
  <c r="I144" i="5"/>
  <c r="F144" i="5"/>
  <c r="E144" i="5"/>
  <c r="H144" i="5"/>
  <c r="D144" i="5"/>
  <c r="R121" i="5"/>
  <c r="R114" i="5"/>
  <c r="R90" i="5"/>
  <c r="R99" i="5" s="1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35" i="5"/>
  <c r="R44" i="5"/>
  <c r="R62" i="5"/>
  <c r="R23" i="5"/>
  <c r="R50" i="5"/>
  <c r="R34" i="5"/>
  <c r="R18" i="5"/>
  <c r="R82" i="5"/>
  <c r="M144" i="5" l="1"/>
  <c r="R102" i="5"/>
  <c r="R144" i="5" s="1"/>
  <c r="R112" i="5"/>
  <c r="R88" i="5"/>
  <c r="R67" i="5"/>
</calcChain>
</file>

<file path=xl/sharedStrings.xml><?xml version="1.0" encoding="utf-8"?>
<sst xmlns="http://schemas.openxmlformats.org/spreadsheetml/2006/main" count="621" uniqueCount="148">
  <si>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</si>
  <si>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</si>
  <si>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</si>
  <si>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</si>
  <si>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</si>
  <si>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</si>
  <si>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</si>
  <si>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</si>
  <si>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</si>
  <si>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</si>
  <si>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</si>
  <si>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</si>
  <si>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</si>
  <si>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</si>
  <si>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</si>
  <si>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</si>
  <si>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</si>
  <si>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</si>
  <si>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</si>
  <si>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</si>
  <si>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</si>
  <si>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</si>
  <si>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</si>
  <si>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</si>
  <si>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</si>
  <si>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</si>
  <si>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</si>
  <si>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</si>
  <si>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</si>
  <si>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</si>
  <si>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</si>
  <si>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</si>
  <si>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</si>
  <si>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</si>
  <si>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</si>
  <si>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</si>
  <si>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</si>
  <si>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</si>
  <si>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</si>
  <si>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</si>
  <si>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</si>
  <si>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</si>
  <si>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</si>
  <si>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</si>
  <si>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</si>
  <si>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</si>
  <si>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</si>
  <si>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</si>
  <si>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</si>
  <si>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</si>
  <si>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</si>
  <si>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</si>
  <si>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</si>
  <si>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</si>
  <si>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</si>
  <si>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</si>
  <si>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</si>
  <si>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</si>
  <si>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</si>
  <si>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</si>
  <si>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</si>
  <si>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</si>
  <si>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</si>
  <si>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</si>
  <si>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</si>
  <si>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</si>
  <si>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</si>
  <si>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</si>
  <si>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</si>
  <si>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</si>
  <si>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</si>
  <si>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</si>
  <si>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</si>
  <si>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</si>
  <si>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</si>
  <si>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</si>
  <si>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</si>
  <si>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</si>
  <si>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</si>
  <si>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</si>
  <si>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</si>
  <si>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</si>
  <si>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</si>
  <si>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</si>
  <si>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</si>
  <si>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</si>
  <si>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</si>
  <si>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</si>
  <si>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</si>
  <si>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</si>
  <si>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</si>
  <si>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</si>
  <si>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</si>
  <si>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</si>
  <si>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</si>
  <si>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</si>
  <si>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</si>
  <si>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</si>
  <si>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</si>
  <si>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</si>
  <si>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</si>
  <si>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</si>
  <si>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</si>
  <si>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</si>
  <si>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</si>
  <si>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</si>
  <si>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</si>
  <si>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</si>
  <si>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</si>
  <si>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</si>
  <si>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</si>
  <si>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</si>
  <si>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</si>
  <si>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</si>
  <si>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</si>
  <si>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</si>
  <si>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</si>
  <si>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</si>
  <si>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</si>
  <si>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</si>
  <si>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</si>
  <si>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</si>
  <si>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</si>
  <si>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</si>
  <si>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</si>
  <si>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</si>
  <si>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</si>
  <si>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</si>
  <si>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</si>
  <si>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</si>
  <si>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</si>
  <si>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</si>
  <si>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</si>
  <si>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</si>
  <si>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</si>
  <si>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</si>
  <si>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</si>
  <si>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</si>
  <si>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</si>
  <si>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</si>
  <si>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</si>
  <si>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</si>
  <si>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</si>
  <si>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</t>
  </si>
  <si>
    <t>ยอดจริง ออนไลน์ วันที่ 13/6/68 บ่าย</t>
  </si>
  <si>
    <t>ยอดจริง ออนไลน์ วันที่ 19/6/68  รวม</t>
  </si>
  <si>
    <t>ยอดจริง ออนไลน์ วันที่  19/6/68เช้า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</si>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</sst>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22"/>
      <color theme="1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2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20" zoomScale="60" zoomScaleNormal="60" workbookViewId="0">
      <selection activeCell="B1" sqref="B1:L12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7" width="14.3984375" style="16" customWidth="1"/>
    <col min="8" max="10" width="14.3984375" style="16" hidden="1" customWidth="1"/>
    <col min="11" max="11" width="14.3984375" style="16" customWidth="1"/>
    <col min="12" max="12" width="17.59765625" style="25" customWidth="1"/>
  </cols>
  <sheetData>
    <row r="1" spans="2:12" x14ac:dyDescent="0.25">
      <c r="B1" s="58" t="s">
        <v>146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>
        <v>13</v>
      </c>
      <c r="E7" s="30">
        <v>2</v>
      </c>
      <c r="F7" s="30">
        <v>11</v>
      </c>
      <c r="G7" s="30">
        <v>6</v>
      </c>
      <c r="H7" s="30"/>
      <c r="I7" s="30"/>
      <c r="J7" s="43"/>
      <c r="K7" s="43">
        <v>10</v>
      </c>
      <c r="L7" s="36">
        <f>SUM(D7:K7)</f>
        <v>42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3</v>
      </c>
      <c r="F25" s="30"/>
      <c r="G25" s="30">
        <v>1</v>
      </c>
      <c r="H25" s="30"/>
      <c r="I25" s="30"/>
      <c r="J25" s="43"/>
      <c r="K25" s="43">
        <v>5</v>
      </c>
      <c r="L25" s="36">
        <f t="shared" si="0"/>
        <v>9</v>
      </c>
    </row>
    <row r="26" spans="2:12" x14ac:dyDescent="0.25">
      <c r="B26" s="11">
        <v>1004055</v>
      </c>
      <c r="C26" s="15" t="s">
        <v>108</v>
      </c>
      <c r="D26" s="30"/>
      <c r="E26" s="30">
        <v>4</v>
      </c>
      <c r="F26" s="30"/>
      <c r="G26" s="30">
        <v>61</v>
      </c>
      <c r="H26" s="30"/>
      <c r="I26" s="30"/>
      <c r="J26" s="43"/>
      <c r="K26" s="43"/>
      <c r="L26" s="36">
        <f t="shared" si="0"/>
        <v>65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>
        <v>3</v>
      </c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13</v>
      </c>
    </row>
    <row r="41" spans="2:12" x14ac:dyDescent="0.25">
      <c r="B41" s="11">
        <v>1111058</v>
      </c>
      <c r="C41" s="15" t="s">
        <v>31</v>
      </c>
      <c r="D41" s="30">
        <v>3</v>
      </c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13</v>
      </c>
    </row>
    <row r="42" spans="2:12" x14ac:dyDescent="0.25">
      <c r="B42" s="11">
        <v>1111059</v>
      </c>
      <c r="C42" s="15" t="s">
        <v>32</v>
      </c>
      <c r="D42" s="30">
        <v>3</v>
      </c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13</v>
      </c>
    </row>
    <row r="43" spans="2:12" x14ac:dyDescent="0.25">
      <c r="B43" s="11">
        <v>1111060</v>
      </c>
      <c r="C43" s="15" t="s">
        <v>33</v>
      </c>
      <c r="D43" s="30">
        <v>3</v>
      </c>
      <c r="E43" s="30">
        <v>10</v>
      </c>
      <c r="F43" s="30"/>
      <c r="G43" s="30"/>
      <c r="H43" s="30"/>
      <c r="I43" s="30"/>
      <c r="J43" s="43"/>
      <c r="K43" s="43"/>
      <c r="L43" s="36">
        <f t="shared" si="0"/>
        <v>13</v>
      </c>
    </row>
    <row r="44" spans="2:12" x14ac:dyDescent="0.25">
      <c r="B44" s="11">
        <v>1111061</v>
      </c>
      <c r="C44" s="15" t="s">
        <v>34</v>
      </c>
      <c r="D44" s="30">
        <v>3</v>
      </c>
      <c r="E44" s="30">
        <v>10</v>
      </c>
      <c r="F44" s="30"/>
      <c r="G44" s="30"/>
      <c r="H44" s="30"/>
      <c r="I44" s="30"/>
      <c r="J44" s="43"/>
      <c r="K44" s="43"/>
      <c r="L44" s="36">
        <f t="shared" si="0"/>
        <v>13</v>
      </c>
    </row>
    <row r="45" spans="2:12" x14ac:dyDescent="0.25">
      <c r="B45" s="11">
        <v>1111062</v>
      </c>
      <c r="C45" s="15" t="s">
        <v>35</v>
      </c>
      <c r="D45" s="30">
        <v>3</v>
      </c>
      <c r="E45" s="30">
        <v>10</v>
      </c>
      <c r="F45" s="30"/>
      <c r="G45" s="30"/>
      <c r="H45" s="30"/>
      <c r="I45" s="30"/>
      <c r="J45" s="43"/>
      <c r="K45" s="43"/>
      <c r="L45" s="36">
        <f t="shared" si="0"/>
        <v>13</v>
      </c>
    </row>
    <row r="46" spans="2:12" x14ac:dyDescent="0.25">
      <c r="B46" s="11">
        <v>1111063</v>
      </c>
      <c r="C46" s="15" t="s">
        <v>36</v>
      </c>
      <c r="D46" s="30">
        <v>3</v>
      </c>
      <c r="E46" s="30">
        <v>10</v>
      </c>
      <c r="F46" s="30"/>
      <c r="G46" s="30"/>
      <c r="H46" s="30"/>
      <c r="I46" s="30"/>
      <c r="J46" s="43"/>
      <c r="K46" s="43"/>
      <c r="L46" s="36">
        <f t="shared" si="0"/>
        <v>13</v>
      </c>
    </row>
    <row r="47" spans="2:12" x14ac:dyDescent="0.25">
      <c r="B47" s="11">
        <v>1111064</v>
      </c>
      <c r="C47" s="15" t="s">
        <v>37</v>
      </c>
      <c r="D47" s="30">
        <v>3</v>
      </c>
      <c r="E47" s="30">
        <v>10</v>
      </c>
      <c r="F47" s="30"/>
      <c r="G47" s="30"/>
      <c r="H47" s="30"/>
      <c r="I47" s="30"/>
      <c r="J47" s="43"/>
      <c r="K47" s="43"/>
      <c r="L47" s="36">
        <f t="shared" si="0"/>
        <v>13</v>
      </c>
    </row>
    <row r="48" spans="2:12" x14ac:dyDescent="0.25">
      <c r="B48" s="11">
        <v>1111065</v>
      </c>
      <c r="C48" s="15" t="s">
        <v>38</v>
      </c>
      <c r="D48" s="30">
        <v>3</v>
      </c>
      <c r="E48" s="30">
        <v>10</v>
      </c>
      <c r="F48" s="30"/>
      <c r="G48" s="30"/>
      <c r="H48" s="30"/>
      <c r="I48" s="30"/>
      <c r="J48" s="43"/>
      <c r="K48" s="43"/>
      <c r="L48" s="36">
        <f t="shared" si="0"/>
        <v>13</v>
      </c>
    </row>
    <row r="49" spans="2:12" x14ac:dyDescent="0.25">
      <c r="B49" s="11">
        <v>1111066</v>
      </c>
      <c r="C49" s="15" t="s">
        <v>39</v>
      </c>
      <c r="D49" s="30">
        <v>3</v>
      </c>
      <c r="E49" s="30">
        <v>10</v>
      </c>
      <c r="F49" s="30"/>
      <c r="G49" s="30"/>
      <c r="H49" s="30"/>
      <c r="I49" s="30"/>
      <c r="J49" s="43"/>
      <c r="K49" s="43"/>
      <c r="L49" s="36">
        <f t="shared" si="0"/>
        <v>13</v>
      </c>
    </row>
    <row r="50" spans="2:12" hidden="1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hidden="1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hidden="1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hidden="1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hidden="1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hidden="1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hidden="1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hidden="1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hidden="1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hidden="1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hidden="1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hidden="1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hidden="1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hidden="1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hidden="1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hidden="1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hidden="1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246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>
        <v>5</v>
      </c>
      <c r="E69" s="30">
        <v>3</v>
      </c>
      <c r="F69" s="30"/>
      <c r="G69" s="30">
        <v>1</v>
      </c>
      <c r="H69" s="30"/>
      <c r="I69" s="30"/>
      <c r="J69" s="43"/>
      <c r="K69" s="43">
        <v>10</v>
      </c>
      <c r="L69" s="36">
        <f t="shared" ref="L69:L76" si="1">SUM(D69:K69)</f>
        <v>19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>
        <v>1</v>
      </c>
      <c r="E71" s="30"/>
      <c r="F71" s="30"/>
      <c r="G71" s="30"/>
      <c r="H71" s="30"/>
      <c r="I71" s="30"/>
      <c r="J71" s="43"/>
      <c r="K71" s="43"/>
      <c r="L71" s="36">
        <f t="shared" si="1"/>
        <v>1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3</v>
      </c>
      <c r="E87" s="30">
        <v>4</v>
      </c>
      <c r="F87" s="30"/>
      <c r="G87" s="30">
        <v>61</v>
      </c>
      <c r="H87" s="30"/>
      <c r="I87" s="30"/>
      <c r="J87" s="43"/>
      <c r="K87" s="43"/>
      <c r="L87" s="36">
        <f t="shared" si="2"/>
        <v>68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68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>
        <v>18</v>
      </c>
      <c r="E90" s="30">
        <v>1</v>
      </c>
      <c r="F90" s="30"/>
      <c r="G90" s="30">
        <v>24</v>
      </c>
      <c r="H90" s="30"/>
      <c r="I90" s="30"/>
      <c r="J90" s="43"/>
      <c r="K90" s="43">
        <v>3</v>
      </c>
      <c r="L90" s="36">
        <f t="shared" ref="L90:L99" si="3">SUM(D90:K90)</f>
        <v>46</v>
      </c>
    </row>
    <row r="91" spans="2:12" x14ac:dyDescent="0.25">
      <c r="B91" s="11">
        <v>1112011</v>
      </c>
      <c r="C91" s="19" t="s">
        <v>76</v>
      </c>
      <c r="D91" s="30">
        <v>31</v>
      </c>
      <c r="E91" s="30">
        <v>1</v>
      </c>
      <c r="F91" s="30"/>
      <c r="G91" s="30">
        <v>24</v>
      </c>
      <c r="H91" s="30"/>
      <c r="I91" s="30"/>
      <c r="J91" s="43"/>
      <c r="K91" s="43">
        <v>3</v>
      </c>
      <c r="L91" s="36">
        <f t="shared" si="3"/>
        <v>59</v>
      </c>
    </row>
    <row r="92" spans="2:12" x14ac:dyDescent="0.25">
      <c r="B92" s="11">
        <v>1112003</v>
      </c>
      <c r="C92" s="19" t="s">
        <v>77</v>
      </c>
      <c r="D92" s="30">
        <v>16</v>
      </c>
      <c r="E92" s="30">
        <v>1</v>
      </c>
      <c r="F92" s="30"/>
      <c r="G92" s="30">
        <v>24</v>
      </c>
      <c r="H92" s="30"/>
      <c r="I92" s="30"/>
      <c r="J92" s="43"/>
      <c r="K92" s="43"/>
      <c r="L92" s="36">
        <f t="shared" si="3"/>
        <v>41</v>
      </c>
    </row>
    <row r="93" spans="2:12" x14ac:dyDescent="0.25">
      <c r="B93" s="11">
        <v>1112005</v>
      </c>
      <c r="C93" s="19" t="s">
        <v>78</v>
      </c>
      <c r="D93" s="30">
        <v>19</v>
      </c>
      <c r="E93" s="30">
        <v>1</v>
      </c>
      <c r="F93" s="30"/>
      <c r="G93" s="30">
        <v>23</v>
      </c>
      <c r="H93" s="30"/>
      <c r="I93" s="30"/>
      <c r="J93" s="43"/>
      <c r="K93" s="43"/>
      <c r="L93" s="36">
        <f t="shared" si="3"/>
        <v>43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13</v>
      </c>
      <c r="E97" s="30"/>
      <c r="F97" s="30"/>
      <c r="G97" s="30">
        <v>24</v>
      </c>
      <c r="H97" s="30"/>
      <c r="I97" s="30"/>
      <c r="J97" s="43"/>
      <c r="K97" s="43"/>
      <c r="L97" s="36">
        <f t="shared" si="3"/>
        <v>37</v>
      </c>
    </row>
    <row r="98" spans="2:12" x14ac:dyDescent="0.25">
      <c r="B98" s="11">
        <v>1112013</v>
      </c>
      <c r="C98" s="19" t="s">
        <v>83</v>
      </c>
      <c r="D98" s="30">
        <v>15</v>
      </c>
      <c r="E98" s="30"/>
      <c r="F98" s="30"/>
      <c r="G98" s="30">
        <v>24</v>
      </c>
      <c r="H98" s="30"/>
      <c r="I98" s="30"/>
      <c r="J98" s="43"/>
      <c r="K98" s="43"/>
      <c r="L98" s="36">
        <f t="shared" si="3"/>
        <v>39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265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/>
      <c r="J121" s="43"/>
      <c r="K121" s="43"/>
      <c r="L121" s="36">
        <f t="shared" si="5"/>
        <v>1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6</v>
      </c>
      <c r="E123" s="30">
        <v>8</v>
      </c>
      <c r="F123" s="30">
        <v>3</v>
      </c>
      <c r="G123" s="30">
        <v>191</v>
      </c>
      <c r="H123" s="30"/>
      <c r="I123" s="30"/>
      <c r="J123" s="43"/>
      <c r="K123" s="43"/>
      <c r="L123" s="36">
        <f t="shared" si="5"/>
        <v>208</v>
      </c>
    </row>
    <row r="124" spans="2:12" x14ac:dyDescent="0.25">
      <c r="B124" s="11">
        <v>1114502</v>
      </c>
      <c r="C124" s="21" t="s">
        <v>96</v>
      </c>
      <c r="D124" s="30">
        <v>5</v>
      </c>
      <c r="E124" s="30">
        <v>3</v>
      </c>
      <c r="F124" s="30">
        <v>1</v>
      </c>
      <c r="G124" s="30">
        <v>158</v>
      </c>
      <c r="H124" s="30"/>
      <c r="I124" s="30"/>
      <c r="J124" s="43"/>
      <c r="K124" s="43"/>
      <c r="L124" s="36">
        <f t="shared" si="5"/>
        <v>167</v>
      </c>
    </row>
    <row r="125" spans="2:12" x14ac:dyDescent="0.25">
      <c r="B125" s="11">
        <v>1114503</v>
      </c>
      <c r="C125" s="21" t="s">
        <v>97</v>
      </c>
      <c r="D125" s="30">
        <v>7</v>
      </c>
      <c r="E125" s="30">
        <v>2</v>
      </c>
      <c r="F125" s="30"/>
      <c r="G125" s="30">
        <v>146</v>
      </c>
      <c r="H125" s="30"/>
      <c r="I125" s="30"/>
      <c r="J125" s="43"/>
      <c r="K125" s="43"/>
      <c r="L125" s="36">
        <f t="shared" si="5"/>
        <v>155</v>
      </c>
    </row>
    <row r="126" spans="2:12" x14ac:dyDescent="0.25">
      <c r="B126" s="11">
        <v>1124021</v>
      </c>
      <c r="C126" s="21" t="s">
        <v>98</v>
      </c>
      <c r="D126" s="30"/>
      <c r="E126" s="30">
        <v>12</v>
      </c>
      <c r="F126" s="30"/>
      <c r="G126" s="30">
        <v>2</v>
      </c>
      <c r="H126" s="30"/>
      <c r="I126" s="30"/>
      <c r="J126" s="43"/>
      <c r="K126" s="43"/>
      <c r="L126" s="36">
        <f t="shared" si="5"/>
        <v>14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143</v>
      </c>
      <c r="D141" s="51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D141" sqref="D141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4"/>
  <sheetViews>
    <sheetView zoomScale="60" zoomScaleNormal="60" workbookViewId="0">
      <selection activeCell="B1" sqref="B1:L1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6" width="14.3984375" style="16" hidden="1" customWidth="1"/>
    <col min="7" max="7" width="14.3984375" style="16" customWidth="1"/>
    <col min="8" max="11" width="14.3984375" style="16" hidden="1" customWidth="1"/>
    <col min="12" max="12" width="17.59765625" style="25" customWidth="1"/>
  </cols>
  <sheetData>
    <row r="1" spans="2:12" x14ac:dyDescent="0.25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/>
      <c r="C141" s="49" t="s">
        <v>143</v>
      </c>
      <c r="D141" s="51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3"/>
      <c r="C142" s="54"/>
      <c r="D142" s="31"/>
      <c r="E142" s="31"/>
      <c r="F142" s="31"/>
      <c r="G142" s="26"/>
      <c r="L142" s="39">
        <f>SUM(L114:L141,L102:L111,L90:L99,L79:L87,L69:L76,L7:L66)</f>
        <v>0</v>
      </c>
    </row>
    <row r="143" spans="2:12" x14ac:dyDescent="0.25">
      <c r="B143" s="53"/>
      <c r="C143" s="54"/>
      <c r="D143" s="31"/>
      <c r="E143" s="31"/>
      <c r="F143" s="31"/>
      <c r="G143" s="26"/>
      <c r="L143" s="39"/>
    </row>
    <row r="144" spans="2:12" x14ac:dyDescent="0.25">
      <c r="B144" s="53"/>
      <c r="C144" s="54"/>
      <c r="D144" s="31"/>
      <c r="E144" s="31"/>
      <c r="F144" s="31"/>
      <c r="G144" s="26"/>
      <c r="L144" s="55"/>
    </row>
    <row r="145" spans="2:12" x14ac:dyDescent="0.25">
      <c r="B145" s="53"/>
      <c r="C145" s="54"/>
      <c r="D145" s="31"/>
      <c r="E145" s="31"/>
      <c r="F145" s="31"/>
      <c r="G145" s="26"/>
      <c r="L145" s="55"/>
    </row>
    <row r="146" spans="2:12" x14ac:dyDescent="0.25">
      <c r="B146" s="61" t="s">
        <v>104</v>
      </c>
      <c r="C146" s="61"/>
      <c r="D146" s="32"/>
      <c r="E146" s="57"/>
      <c r="F146" s="57"/>
      <c r="G146" s="27"/>
      <c r="H146" s="26"/>
      <c r="I146" s="61" t="s">
        <v>104</v>
      </c>
      <c r="J146" s="61"/>
      <c r="K146" s="61"/>
      <c r="L146" s="61"/>
    </row>
    <row r="147" spans="2:12" x14ac:dyDescent="0.25">
      <c r="B147" s="57" t="s">
        <v>105</v>
      </c>
      <c r="C147" s="57"/>
      <c r="D147" s="33"/>
      <c r="E147" s="33"/>
      <c r="F147" s="33"/>
      <c r="G147" s="33"/>
      <c r="H147" s="33"/>
      <c r="I147" s="57" t="s">
        <v>106</v>
      </c>
      <c r="J147" s="57"/>
      <c r="K147" s="57"/>
      <c r="L147" s="57"/>
    </row>
    <row r="148" spans="2:12" x14ac:dyDescent="0.25">
      <c r="B148" s="31"/>
      <c r="C148" s="31"/>
      <c r="D148" s="33"/>
      <c r="E148" s="33"/>
      <c r="F148" s="33"/>
      <c r="G148" s="33"/>
      <c r="H148" s="33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3.8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3.8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ht="13.8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4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</sheetData>
  <mergeCells count="14">
    <mergeCell ref="B78:L78"/>
    <mergeCell ref="B89:L89"/>
    <mergeCell ref="B101:L101"/>
    <mergeCell ref="B113:L113"/>
    <mergeCell ref="B147:C147"/>
    <mergeCell ref="I147:L147"/>
    <mergeCell ref="B146:C146"/>
    <mergeCell ref="E146:F146"/>
    <mergeCell ref="I146:L146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6"/>
  <sheetViews>
    <sheetView tabSelected="1" topLeftCell="A112" zoomScale="50" zoomScaleNormal="50" workbookViewId="0">
      <selection activeCell="O133" sqref="O132:O13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ht="40.5" customHeight="1" x14ac:dyDescent="0.25">
      <c r="B1" s="73" t="s">
        <v>145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2:18" x14ac:dyDescent="0.25">
      <c r="B2" s="74"/>
      <c r="C2" s="75"/>
      <c r="D2" s="1"/>
      <c r="E2" s="76"/>
      <c r="F2" s="76"/>
      <c r="G2" s="2"/>
      <c r="H2" s="2"/>
      <c r="I2" s="2"/>
      <c r="J2" s="2"/>
      <c r="K2" s="2"/>
      <c r="L2" s="2"/>
      <c r="M2" s="3" t="s">
        <v>0</v>
      </c>
      <c r="N2" s="70" t="s">
        <v>127</v>
      </c>
      <c r="O2" s="70" t="s">
        <v>130</v>
      </c>
      <c r="P2" s="70" t="s">
        <v>139</v>
      </c>
      <c r="Q2" s="70" t="s">
        <v>140</v>
      </c>
      <c r="R2" s="78" t="s">
        <v>1</v>
      </c>
    </row>
    <row r="3" spans="2:18" x14ac:dyDescent="0.25">
      <c r="B3" s="74"/>
      <c r="C3" s="75"/>
      <c r="D3" s="4"/>
      <c r="E3" s="77"/>
      <c r="F3" s="77"/>
      <c r="G3" s="5"/>
      <c r="H3" s="5"/>
      <c r="I3" s="5"/>
      <c r="J3" s="66"/>
      <c r="K3" s="41"/>
      <c r="L3" s="41"/>
      <c r="M3" s="6" t="s">
        <v>2</v>
      </c>
      <c r="N3" s="71"/>
      <c r="O3" s="71"/>
      <c r="P3" s="71"/>
      <c r="Q3" s="71"/>
      <c r="R3" s="79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147</v>
      </c>
      <c r="K4" s="42" t="s">
        <v>133</v>
      </c>
      <c r="L4" s="42" t="s">
        <v>135</v>
      </c>
      <c r="M4" s="10" t="s">
        <v>10</v>
      </c>
      <c r="N4" s="72"/>
      <c r="O4" s="72"/>
      <c r="P4" s="72"/>
      <c r="Q4" s="72"/>
      <c r="R4" s="80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67" t="s">
        <v>11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9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13</v>
      </c>
      <c r="E7" s="30">
        <f>'เย็น '!E7+'เช้า '!E7+บ่าย!E7</f>
        <v>2</v>
      </c>
      <c r="F7" s="30">
        <f>'เย็น '!F7+'เช้า '!F7+บ่าย!F7</f>
        <v>11</v>
      </c>
      <c r="G7" s="30">
        <f>'เย็น '!G7+'เช้า '!G7+บ่าย!G7</f>
        <v>6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6</v>
      </c>
      <c r="K7" s="30">
        <f>'เย็น '!J7+'เช้า '!J7+บ่าย!J7</f>
        <v>0</v>
      </c>
      <c r="L7" s="30">
        <f>'เย็น '!K7+'เช้า '!K7+บ่าย!K7</f>
        <v>10</v>
      </c>
      <c r="M7" s="36">
        <f>+D7+E7+F7+J7+K7+L7</f>
        <v>42</v>
      </c>
      <c r="N7" s="11"/>
      <c r="O7" s="11"/>
      <c r="P7" s="11"/>
      <c r="Q7" s="11"/>
      <c r="R7" s="44">
        <f>(N7+O7+P7+Q7)-M7</f>
        <v>-42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>(N9+O9+P9+Q9)-M9</f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3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1</v>
      </c>
      <c r="K25" s="30">
        <f>'เย็น '!J25+'เช้า '!J25+บ่าย!J25</f>
        <v>0</v>
      </c>
      <c r="L25" s="30">
        <f>'เย็น '!K25+'เช้า '!K25+บ่าย!K25</f>
        <v>5</v>
      </c>
      <c r="M25" s="36">
        <f t="shared" si="1"/>
        <v>9</v>
      </c>
      <c r="N25" s="11"/>
      <c r="O25" s="11"/>
      <c r="P25" s="11"/>
      <c r="Q25" s="11"/>
      <c r="R25" s="44">
        <f t="shared" si="2"/>
        <v>-9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4</v>
      </c>
      <c r="F26" s="30">
        <f>'เย็น '!F26+'เช้า '!F26+บ่าย!F26</f>
        <v>0</v>
      </c>
      <c r="G26" s="30">
        <f>'เย็น '!G26+'เช้า '!G26+บ่าย!G26</f>
        <v>61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61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65</v>
      </c>
      <c r="N26" s="11"/>
      <c r="O26" s="11"/>
      <c r="P26" s="11"/>
      <c r="Q26" s="11"/>
      <c r="R26" s="44">
        <f t="shared" si="2"/>
        <v>-65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3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13</v>
      </c>
      <c r="N40" s="11"/>
      <c r="O40" s="11"/>
      <c r="P40" s="11"/>
      <c r="Q40" s="11"/>
      <c r="R40" s="44">
        <f t="shared" si="2"/>
        <v>-13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3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13</v>
      </c>
      <c r="N41" s="11"/>
      <c r="O41" s="11"/>
      <c r="P41" s="11"/>
      <c r="Q41" s="11"/>
      <c r="R41" s="44">
        <f t="shared" si="2"/>
        <v>-13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3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13</v>
      </c>
      <c r="N42" s="11"/>
      <c r="O42" s="11"/>
      <c r="P42" s="11"/>
      <c r="Q42" s="11"/>
      <c r="R42" s="44">
        <f t="shared" si="2"/>
        <v>-13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3</v>
      </c>
      <c r="E43" s="30">
        <f>'เย็น '!E43+'เช้า '!E43+บ่าย!E43</f>
        <v>10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13</v>
      </c>
      <c r="N43" s="11"/>
      <c r="O43" s="11"/>
      <c r="P43" s="11"/>
      <c r="Q43" s="11"/>
      <c r="R43" s="44">
        <f t="shared" si="2"/>
        <v>-13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3</v>
      </c>
      <c r="E44" s="30">
        <f>'เย็น '!E44+'เช้า '!E44+บ่าย!E44</f>
        <v>10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13</v>
      </c>
      <c r="N44" s="11"/>
      <c r="O44" s="11"/>
      <c r="P44" s="11"/>
      <c r="Q44" s="11"/>
      <c r="R44" s="44">
        <f t="shared" si="2"/>
        <v>-13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3</v>
      </c>
      <c r="E45" s="30">
        <f>'เย็น '!E45+'เช้า '!E45+บ่าย!E45</f>
        <v>10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13</v>
      </c>
      <c r="N45" s="11"/>
      <c r="O45" s="11"/>
      <c r="P45" s="11"/>
      <c r="Q45" s="11"/>
      <c r="R45" s="44">
        <f t="shared" si="2"/>
        <v>-13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3</v>
      </c>
      <c r="E46" s="30">
        <f>'เย็น '!E46+'เช้า '!E46+บ่าย!E46</f>
        <v>10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13</v>
      </c>
      <c r="N46" s="11"/>
      <c r="O46" s="11"/>
      <c r="P46" s="11"/>
      <c r="Q46" s="11"/>
      <c r="R46" s="44">
        <f t="shared" si="2"/>
        <v>-13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3</v>
      </c>
      <c r="E47" s="30">
        <f>'เย็น '!E47+'เช้า '!E47+บ่าย!E47</f>
        <v>10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13</v>
      </c>
      <c r="N47" s="11"/>
      <c r="O47" s="11"/>
      <c r="P47" s="11"/>
      <c r="Q47" s="11"/>
      <c r="R47" s="44">
        <f t="shared" si="2"/>
        <v>-13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3</v>
      </c>
      <c r="E48" s="30">
        <f>'เย็น '!E48+'เช้า '!E48+บ่าย!E48</f>
        <v>10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13</v>
      </c>
      <c r="N48" s="11"/>
      <c r="O48" s="11"/>
      <c r="P48" s="11"/>
      <c r="Q48" s="11"/>
      <c r="R48" s="44">
        <f t="shared" si="2"/>
        <v>-13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3</v>
      </c>
      <c r="E49" s="30">
        <f>'เย็น '!E49+'เช้า '!E49+บ่าย!E49</f>
        <v>10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13</v>
      </c>
      <c r="N49" s="11"/>
      <c r="O49" s="11"/>
      <c r="P49" s="11"/>
      <c r="Q49" s="11"/>
      <c r="R49" s="44">
        <f t="shared" si="2"/>
        <v>-13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67" t="s">
        <v>55</v>
      </c>
      <c r="C68" s="68"/>
      <c r="D68" s="68"/>
      <c r="E68" s="68"/>
      <c r="F68" s="68"/>
      <c r="G68" s="68"/>
      <c r="H68" s="68"/>
      <c r="I68" s="68"/>
      <c r="J68" s="30">
        <f t="shared" si="0"/>
        <v>0</v>
      </c>
      <c r="K68" s="68"/>
      <c r="L68" s="68"/>
      <c r="M68" s="36">
        <f t="shared" si="1"/>
        <v>0</v>
      </c>
      <c r="N68" s="68"/>
      <c r="O68" s="68"/>
      <c r="P68" s="68"/>
      <c r="Q68" s="68"/>
      <c r="R68" s="69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5</v>
      </c>
      <c r="E69" s="30">
        <f>'เย็น '!E69+'เช้า '!E69+บ่าย!E69</f>
        <v>3</v>
      </c>
      <c r="F69" s="30">
        <f>'เย็น '!F69+'เช้า '!F69+บ่าย!F69</f>
        <v>0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1</v>
      </c>
      <c r="K69" s="30">
        <f>'เย็น '!J69+'เช้า '!J69+บ่าย!J69</f>
        <v>0</v>
      </c>
      <c r="L69" s="30">
        <f>'เย็น '!K69+'เช้า '!K69+บ่าย!K69</f>
        <v>10</v>
      </c>
      <c r="M69" s="36">
        <f t="shared" si="1"/>
        <v>19</v>
      </c>
      <c r="N69" s="11"/>
      <c r="O69" s="11"/>
      <c r="P69" s="11"/>
      <c r="Q69" s="11"/>
      <c r="R69" s="44">
        <f t="shared" ref="R69:R76" si="4">(N69+O69+P69+Q69)-M69</f>
        <v>-19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1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1</v>
      </c>
      <c r="N71" s="11"/>
      <c r="O71" s="11"/>
      <c r="P71" s="11"/>
      <c r="Q71" s="11"/>
      <c r="R71" s="44">
        <f t="shared" si="4"/>
        <v>-1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67" t="s">
        <v>64</v>
      </c>
      <c r="C78" s="68"/>
      <c r="D78" s="68"/>
      <c r="E78" s="68"/>
      <c r="F78" s="68"/>
      <c r="G78" s="68"/>
      <c r="H78" s="68"/>
      <c r="I78" s="68"/>
      <c r="J78" s="30">
        <f t="shared" si="5"/>
        <v>0</v>
      </c>
      <c r="K78" s="68"/>
      <c r="L78" s="68"/>
      <c r="M78" s="36">
        <f t="shared" si="6"/>
        <v>0</v>
      </c>
      <c r="N78" s="68"/>
      <c r="O78" s="68"/>
      <c r="P78" s="68"/>
      <c r="Q78" s="68"/>
      <c r="R78" s="69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3</v>
      </c>
      <c r="E87" s="30">
        <f>'เย็น '!E87+'เช้า '!E87+บ่าย!E87</f>
        <v>4</v>
      </c>
      <c r="F87" s="30">
        <f>'เย็น '!F87+'เช้า '!F87+บ่าย!F87</f>
        <v>0</v>
      </c>
      <c r="G87" s="30">
        <f>'เย็น '!G87+'เช้า '!G87+บ่าย!G87</f>
        <v>61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61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68</v>
      </c>
      <c r="N87" s="11"/>
      <c r="O87" s="11"/>
      <c r="P87" s="11"/>
      <c r="Q87" s="11"/>
      <c r="R87" s="44">
        <f t="shared" si="8"/>
        <v>-68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67" t="s">
        <v>74</v>
      </c>
      <c r="C89" s="68"/>
      <c r="D89" s="68"/>
      <c r="E89" s="68"/>
      <c r="F89" s="68"/>
      <c r="G89" s="68"/>
      <c r="H89" s="68"/>
      <c r="I89" s="68"/>
      <c r="J89" s="30">
        <f t="shared" si="5"/>
        <v>0</v>
      </c>
      <c r="K89" s="68"/>
      <c r="L89" s="68"/>
      <c r="M89" s="36">
        <f t="shared" si="6"/>
        <v>0</v>
      </c>
      <c r="N89" s="68"/>
      <c r="O89" s="68"/>
      <c r="P89" s="68"/>
      <c r="Q89" s="68"/>
      <c r="R89" s="69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18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24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24</v>
      </c>
      <c r="K90" s="30">
        <f>'เย็น '!J90+'เช้า '!J90+บ่าย!J90</f>
        <v>0</v>
      </c>
      <c r="L90" s="30">
        <f>'เย็น '!K90+'เช้า '!K90+บ่าย!K90</f>
        <v>3</v>
      </c>
      <c r="M90" s="36">
        <f t="shared" si="6"/>
        <v>46</v>
      </c>
      <c r="N90" s="11"/>
      <c r="O90" s="11"/>
      <c r="P90" s="11"/>
      <c r="Q90" s="11"/>
      <c r="R90" s="44">
        <f t="shared" ref="R90:R100" si="9">(N90+O90+P90+Q90)-M90</f>
        <v>-46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31</v>
      </c>
      <c r="E91" s="30">
        <f>'เย็น '!E91+'เช้า '!E91+บ่าย!E91</f>
        <v>1</v>
      </c>
      <c r="F91" s="30">
        <f>'เย็น '!F91+'เช้า '!F91+บ่าย!F91</f>
        <v>0</v>
      </c>
      <c r="G91" s="30">
        <f>'เย็น '!G91+'เช้า '!G91+บ่าย!G91</f>
        <v>24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24</v>
      </c>
      <c r="K91" s="30">
        <f>'เย็น '!J91+'เช้า '!J91+บ่าย!J91</f>
        <v>0</v>
      </c>
      <c r="L91" s="30">
        <f>'เย็น '!K91+'เช้า '!K91+บ่าย!K91</f>
        <v>3</v>
      </c>
      <c r="M91" s="36">
        <f t="shared" si="6"/>
        <v>59</v>
      </c>
      <c r="N91" s="11"/>
      <c r="O91" s="11"/>
      <c r="P91" s="11"/>
      <c r="Q91" s="11"/>
      <c r="R91" s="44">
        <f t="shared" si="9"/>
        <v>-59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16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24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24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41</v>
      </c>
      <c r="N92" s="11"/>
      <c r="O92" s="11"/>
      <c r="P92" s="11"/>
      <c r="Q92" s="11"/>
      <c r="R92" s="44">
        <f t="shared" si="9"/>
        <v>-41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19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23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23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43</v>
      </c>
      <c r="N93" s="11"/>
      <c r="O93" s="11"/>
      <c r="P93" s="11"/>
      <c r="Q93" s="11"/>
      <c r="R93" s="44">
        <f t="shared" si="9"/>
        <v>-43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13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24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24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37</v>
      </c>
      <c r="N97" s="11"/>
      <c r="O97" s="11"/>
      <c r="P97" s="11"/>
      <c r="Q97" s="11"/>
      <c r="R97" s="44">
        <f t="shared" si="9"/>
        <v>-37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15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24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24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39</v>
      </c>
      <c r="N98" s="11"/>
      <c r="O98" s="11"/>
      <c r="P98" s="11"/>
      <c r="Q98" s="11"/>
      <c r="R98" s="44">
        <f t="shared" si="9"/>
        <v>-39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>SUM(R90:R98)</f>
        <v>-265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/>
      <c r="O100" s="11"/>
      <c r="P100" s="11"/>
      <c r="Q100" s="11"/>
      <c r="R100" s="44">
        <f t="shared" si="9"/>
        <v>0</v>
      </c>
    </row>
    <row r="101" spans="2:18" x14ac:dyDescent="0.25">
      <c r="B101" s="67" t="s">
        <v>85</v>
      </c>
      <c r="C101" s="68"/>
      <c r="D101" s="68"/>
      <c r="E101" s="68"/>
      <c r="F101" s="68"/>
      <c r="G101" s="68"/>
      <c r="H101" s="68"/>
      <c r="I101" s="68"/>
      <c r="J101" s="30">
        <f t="shared" si="5"/>
        <v>0</v>
      </c>
      <c r="K101" s="68"/>
      <c r="L101" s="68"/>
      <c r="M101" s="36">
        <f t="shared" si="6"/>
        <v>0</v>
      </c>
      <c r="N101" s="68"/>
      <c r="O101" s="68"/>
      <c r="P101" s="68"/>
      <c r="Q101" s="68"/>
      <c r="R101" s="69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43"/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43"/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43"/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43"/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43"/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43"/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43"/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43"/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43"/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43"/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/>
      <c r="O112" s="11"/>
      <c r="P112" s="11"/>
      <c r="Q112" s="11"/>
      <c r="R112" s="44">
        <f t="shared" si="10"/>
        <v>0</v>
      </c>
    </row>
    <row r="113" spans="2:18" x14ac:dyDescent="0.25">
      <c r="B113" s="67" t="s">
        <v>86</v>
      </c>
      <c r="C113" s="68"/>
      <c r="D113" s="68"/>
      <c r="E113" s="68"/>
      <c r="F113" s="68"/>
      <c r="G113" s="68"/>
      <c r="H113" s="68"/>
      <c r="I113" s="68"/>
      <c r="J113" s="30">
        <f t="shared" si="5"/>
        <v>0</v>
      </c>
      <c r="K113" s="68"/>
      <c r="L113" s="68"/>
      <c r="M113" s="36">
        <f t="shared" si="6"/>
        <v>0</v>
      </c>
      <c r="N113" s="68"/>
      <c r="O113" s="68"/>
      <c r="P113" s="68"/>
      <c r="Q113" s="68"/>
      <c r="R113" s="69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 t="shared" si="5"/>
        <v>0</v>
      </c>
      <c r="K114" s="30">
        <f>'เย็น '!J114+'เช้า '!J114+บ่าย!J114</f>
        <v>0</v>
      </c>
      <c r="L114" s="30">
        <f>'เย็น '!K114+'เช้า '!K114+บ่าย!K114</f>
        <v>0</v>
      </c>
      <c r="M114" s="36">
        <f t="shared" si="6"/>
        <v>0</v>
      </c>
      <c r="N114" s="11"/>
      <c r="O114" s="11"/>
      <c r="P114" s="11"/>
      <c r="Q114" s="11"/>
      <c r="R114" s="44">
        <f t="shared" ref="R114:R143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 t="shared" si="5"/>
        <v>0</v>
      </c>
      <c r="K115" s="30">
        <f>'เย็น '!J115+'เช้า '!J115+บ่าย!J115</f>
        <v>0</v>
      </c>
      <c r="L115" s="30">
        <f>'เย็น '!K115+'เช้า '!K115+บ่าย!K115</f>
        <v>0</v>
      </c>
      <c r="M115" s="36">
        <f t="shared" si="6"/>
        <v>0</v>
      </c>
      <c r="N115" s="11"/>
      <c r="O115" s="11"/>
      <c r="P115" s="11"/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5"/>
        <v>0</v>
      </c>
      <c r="K116" s="30">
        <f>'เย็น '!J116+'เช้า '!J116+บ่าย!J116</f>
        <v>0</v>
      </c>
      <c r="L116" s="30">
        <f>'เย็น '!K116+'เช้า '!K116+บ่าย!K116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5"/>
        <v>0</v>
      </c>
      <c r="K117" s="30">
        <f>'เย็น '!J117+'เช้า '!J117+บ่าย!J117</f>
        <v>0</v>
      </c>
      <c r="L117" s="30">
        <f>'เย็น '!K117+'เช้า '!K117+บ่าย!K117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5"/>
        <v>0</v>
      </c>
      <c r="K118" s="30">
        <f>'เย็น '!J118+'เช้า '!J118+บ่าย!J118</f>
        <v>0</v>
      </c>
      <c r="L118" s="30">
        <f>'เย็น '!K118+'เช้า '!K118+บ่าย!K118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5"/>
        <v>0</v>
      </c>
      <c r="K119" s="30">
        <f>'เย็น '!J119+'เช้า '!J119+บ่าย!J119</f>
        <v>0</v>
      </c>
      <c r="L119" s="30">
        <f>'เย็น '!K119+'เช้า '!K119+บ่าย!K119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 t="shared" si="5"/>
        <v>0</v>
      </c>
      <c r="K120" s="30">
        <f>'เย็น '!J120+'เช้า '!J120+บ่าย!J120</f>
        <v>0</v>
      </c>
      <c r="L120" s="30">
        <f>'เย็น '!K120+'เช้า '!K120+บ่าย!K120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1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5"/>
        <v>0</v>
      </c>
      <c r="K121" s="30">
        <f>'เย็น '!J121+'เช้า '!J121+บ่าย!J121</f>
        <v>0</v>
      </c>
      <c r="L121" s="30">
        <f>'เย็น '!K121+'เช้า '!K121+บ่าย!K121</f>
        <v>0</v>
      </c>
      <c r="M121" s="36">
        <f t="shared" si="6"/>
        <v>1</v>
      </c>
      <c r="N121" s="11"/>
      <c r="O121" s="11"/>
      <c r="P121" s="11"/>
      <c r="Q121" s="11"/>
      <c r="R121" s="44">
        <f t="shared" si="11"/>
        <v>-1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5"/>
        <v>0</v>
      </c>
      <c r="K122" s="30">
        <f>'เย็น '!J122+'เช้า '!J122+บ่าย!J122</f>
        <v>0</v>
      </c>
      <c r="L122" s="30">
        <f>'เย็น '!K122+'เช้า '!K122+บ่าย!K122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6</v>
      </c>
      <c r="E123" s="30">
        <f>'เย็น '!E123+'เช้า '!E123+บ่าย!E123</f>
        <v>8</v>
      </c>
      <c r="F123" s="30">
        <f>'เย็น '!F123+'เช้า '!F123+บ่าย!F123</f>
        <v>3</v>
      </c>
      <c r="G123" s="30">
        <f>'เย็น '!G123+'เช้า '!G123+บ่าย!G123</f>
        <v>191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 t="shared" si="5"/>
        <v>191</v>
      </c>
      <c r="K123" s="30">
        <f>'เย็น '!J123+'เช้า '!J123+บ่าย!J123</f>
        <v>0</v>
      </c>
      <c r="L123" s="30">
        <f>'เย็น '!K123+'เช้า '!K123+บ่าย!K123</f>
        <v>0</v>
      </c>
      <c r="M123" s="36">
        <f t="shared" si="6"/>
        <v>208</v>
      </c>
      <c r="N123" s="11"/>
      <c r="O123" s="11"/>
      <c r="P123" s="11"/>
      <c r="Q123" s="11"/>
      <c r="R123" s="44">
        <f t="shared" si="11"/>
        <v>-208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5</v>
      </c>
      <c r="E124" s="30">
        <f>'เย็น '!E124+'เช้า '!E124+บ่าย!E124</f>
        <v>3</v>
      </c>
      <c r="F124" s="30">
        <f>'เย็น '!F124+'เช้า '!F124+บ่าย!F124</f>
        <v>1</v>
      </c>
      <c r="G124" s="30">
        <f>'เย็น '!G124+'เช้า '!G124+บ่าย!G124</f>
        <v>158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 t="shared" si="5"/>
        <v>158</v>
      </c>
      <c r="K124" s="30">
        <f>'เย็น '!J124+'เช้า '!J124+บ่าย!J124</f>
        <v>0</v>
      </c>
      <c r="L124" s="30">
        <f>'เย็น '!K124+'เช้า '!K124+บ่าย!K124</f>
        <v>0</v>
      </c>
      <c r="M124" s="36">
        <f t="shared" si="6"/>
        <v>167</v>
      </c>
      <c r="N124" s="11"/>
      <c r="O124" s="11"/>
      <c r="P124" s="11"/>
      <c r="Q124" s="11"/>
      <c r="R124" s="44">
        <f t="shared" si="11"/>
        <v>-167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7</v>
      </c>
      <c r="E125" s="30">
        <f>'เย็น '!E125+'เช้า '!E125+บ่าย!E125</f>
        <v>2</v>
      </c>
      <c r="F125" s="30">
        <f>'เย็น '!F125+'เช้า '!F125+บ่าย!F125</f>
        <v>0</v>
      </c>
      <c r="G125" s="30">
        <f>'เย็น '!G125+'เช้า '!G125+บ่าย!G125</f>
        <v>146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 t="shared" si="5"/>
        <v>146</v>
      </c>
      <c r="K125" s="30">
        <f>'เย็น '!J125+'เช้า '!J125+บ่าย!J125</f>
        <v>0</v>
      </c>
      <c r="L125" s="30">
        <f>'เย็น '!K125+'เช้า '!K125+บ่าย!K125</f>
        <v>0</v>
      </c>
      <c r="M125" s="36">
        <f t="shared" si="6"/>
        <v>155</v>
      </c>
      <c r="N125" s="11"/>
      <c r="O125" s="11"/>
      <c r="P125" s="11"/>
      <c r="Q125" s="11"/>
      <c r="R125" s="44">
        <f t="shared" si="11"/>
        <v>-155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12</v>
      </c>
      <c r="F126" s="30">
        <f>'เย็น '!F126+'เช้า '!F126+บ่าย!F126</f>
        <v>0</v>
      </c>
      <c r="G126" s="30">
        <f>'เย็น '!G126+'เช้า '!G126+บ่าย!G126</f>
        <v>2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 t="shared" si="5"/>
        <v>2</v>
      </c>
      <c r="K126" s="30">
        <f>'เย็น '!J126+'เช้า '!J126+บ่าย!J126</f>
        <v>0</v>
      </c>
      <c r="L126" s="30">
        <f>'เย็น '!K126+'เช้า '!K126+บ่าย!K126</f>
        <v>0</v>
      </c>
      <c r="M126" s="36">
        <f t="shared" si="6"/>
        <v>14</v>
      </c>
      <c r="N126" s="11"/>
      <c r="O126" s="11"/>
      <c r="P126" s="11"/>
      <c r="Q126" s="11"/>
      <c r="R126" s="44">
        <f t="shared" si="11"/>
        <v>-14</v>
      </c>
    </row>
    <row r="127" spans="2:18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5"/>
        <v>0</v>
      </c>
      <c r="K127" s="30">
        <f>'เย็น '!J127+'เช้า '!J127+บ่าย!J127</f>
        <v>0</v>
      </c>
      <c r="L127" s="30">
        <f>'เย็น '!K127+'เช้า '!K127+บ่าย!K127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5"/>
        <v>0</v>
      </c>
      <c r="K128" s="30">
        <f>'เย็น '!J128+'เช้า '!J128+บ่าย!J128</f>
        <v>0</v>
      </c>
      <c r="L128" s="30">
        <f>'เย็น '!K128+'เช้า '!K128+บ่าย!K128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8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5"/>
        <v>0</v>
      </c>
      <c r="K129" s="30">
        <f>'เย็น '!J129+'เช้า '!J129+บ่าย!J129</f>
        <v>0</v>
      </c>
      <c r="L129" s="30">
        <f>'เย็น '!K129+'เช้า '!K129+บ่าย!K129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8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5"/>
        <v>0</v>
      </c>
      <c r="K130" s="30">
        <f>'เย็น '!J130+'เช้า '!J130+บ่าย!J130</f>
        <v>0</v>
      </c>
      <c r="L130" s="30">
        <f>'เย็น '!K130+'เช้า '!K130+บ่าย!K130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8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5"/>
        <v>0</v>
      </c>
      <c r="K131" s="30">
        <f>'เย็น '!J131+'เช้า '!J131+บ่าย!J131</f>
        <v>0</v>
      </c>
      <c r="L131" s="30">
        <f>'เย็น '!K131+'เช้า '!K131+บ่าย!K131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8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5"/>
        <v>0</v>
      </c>
      <c r="K132" s="30">
        <f>'เย็น '!J132+'เช้า '!J132+บ่าย!J132</f>
        <v>0</v>
      </c>
      <c r="L132" s="30">
        <f>'เย็น '!K132+'เช้า '!K132+บ่าย!K132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8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5"/>
        <v>0</v>
      </c>
      <c r="K133" s="30">
        <f>'เย็น '!J133+'เช้า '!J133+บ่าย!J133</f>
        <v>0</v>
      </c>
      <c r="L133" s="30">
        <f>'เย็น '!K133+'เช้า '!K133+บ่าย!K133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8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5"/>
        <v>0</v>
      </c>
      <c r="K134" s="30">
        <f>'เย็น '!J134+'เช้า '!J134+บ่าย!J134</f>
        <v>0</v>
      </c>
      <c r="L134" s="30">
        <f>'เย็น '!K134+'เช้า '!K134+บ่าย!K134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5"/>
        <v>0</v>
      </c>
      <c r="K135" s="30">
        <f>'เย็น '!J135+'เช้า '!J135+บ่าย!J135</f>
        <v>0</v>
      </c>
      <c r="L135" s="30">
        <f>'เย็น '!K135+'เช้า '!K135+บ่าย!K135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3" si="12">+G136+H136+I136</f>
        <v>0</v>
      </c>
      <c r="K136" s="30">
        <f>'เย็น '!J136+'เช้า '!J136+บ่าย!J136</f>
        <v>0</v>
      </c>
      <c r="L136" s="30">
        <f>'เย็น '!K136+'เช้า '!K136+บ่าย!K136</f>
        <v>0</v>
      </c>
      <c r="M136" s="36">
        <f t="shared" ref="M136:M143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8" x14ac:dyDescent="0.25">
      <c r="B137" s="22">
        <v>20052721</v>
      </c>
      <c r="C137" s="21" t="s">
        <v>141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 t="shared" si="12"/>
        <v>0</v>
      </c>
      <c r="K137" s="30">
        <f>'เย็น '!J137+'เช้า '!J137+บ่าย!J137</f>
        <v>0</v>
      </c>
      <c r="L137" s="30">
        <f>'เย็น '!K137+'เช้า '!K137+บ่าย!K137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8" x14ac:dyDescent="0.25">
      <c r="B138" s="50">
        <v>1004046</v>
      </c>
      <c r="C138" s="49" t="s">
        <v>142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2"/>
        <v>0</v>
      </c>
      <c r="K138" s="30">
        <f>'เย็น '!J138+'เช้า '!J138+บ่าย!J138</f>
        <v>0</v>
      </c>
      <c r="L138" s="30">
        <f>'เย็น '!K138+'เช้า '!K138+บ่าย!K138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8" x14ac:dyDescent="0.25">
      <c r="B139" s="50"/>
      <c r="C139" s="49" t="s">
        <v>137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2"/>
        <v>0</v>
      </c>
      <c r="K139" s="30">
        <f>'เย็น '!J139+'เช้า '!J139+บ่าย!J139</f>
        <v>0</v>
      </c>
      <c r="L139" s="30">
        <f>'เย็น '!K139+'เช้า '!K139+บ่าย!K139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8" x14ac:dyDescent="0.25">
      <c r="B140" s="50"/>
      <c r="C140" s="49" t="s">
        <v>138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2"/>
        <v>0</v>
      </c>
      <c r="K140" s="30">
        <f>'เย็น '!J140+'เช้า '!J140+บ่าย!J140</f>
        <v>0</v>
      </c>
      <c r="L140" s="30">
        <f>'เย็น '!K140+'เช้า '!K140+บ่าย!K140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1"/>
        <v>0</v>
      </c>
    </row>
    <row r="141" spans="2:18" x14ac:dyDescent="0.25">
      <c r="B141" s="50">
        <v>20059548</v>
      </c>
      <c r="C141" s="49" t="s">
        <v>143</v>
      </c>
      <c r="D141" s="30">
        <f>'เย็น '!D141+'เช้า '!D141+บ่าย!D141</f>
        <v>0</v>
      </c>
      <c r="E141" s="30">
        <f>'เย็น '!E141+'เช้า '!E141+บ่าย!E141</f>
        <v>0</v>
      </c>
      <c r="F141" s="30">
        <f>'เย็น '!F141+'เช้า '!F141+บ่าย!F141</f>
        <v>0</v>
      </c>
      <c r="G141" s="30">
        <f>'เย็น '!G141+'เช้า '!G141+บ่าย!G141</f>
        <v>0</v>
      </c>
      <c r="H141" s="30">
        <f>'เย็น '!H141+'เช้า '!H141+บ่าย!H141</f>
        <v>0</v>
      </c>
      <c r="I141" s="30">
        <f>'เย็น '!I141+'เช้า '!I141+บ่าย!I141</f>
        <v>0</v>
      </c>
      <c r="J141" s="30">
        <f t="shared" si="12"/>
        <v>0</v>
      </c>
      <c r="K141" s="30">
        <f>'เย็น '!J141+'เช้า '!J141+บ่าย!J141</f>
        <v>0</v>
      </c>
      <c r="L141" s="30">
        <f>'เย็น '!K141+'เช้า '!K141+บ่าย!K141</f>
        <v>0</v>
      </c>
      <c r="M141" s="36">
        <f t="shared" si="13"/>
        <v>0</v>
      </c>
      <c r="N141" s="12"/>
      <c r="O141" s="12"/>
      <c r="P141" s="12"/>
      <c r="Q141" s="12"/>
      <c r="R141" s="44">
        <f t="shared" si="11"/>
        <v>0</v>
      </c>
    </row>
    <row r="142" spans="2:18" x14ac:dyDescent="0.25">
      <c r="B142" s="50"/>
      <c r="C142" s="49"/>
      <c r="D142" s="30">
        <f>'เย็น '!D142+'เช้า '!D142+บ่าย!D142</f>
        <v>0</v>
      </c>
      <c r="E142" s="30">
        <f>'เย็น '!E142+'เช้า '!E142+บ่าย!E142</f>
        <v>0</v>
      </c>
      <c r="F142" s="30">
        <f>'เย็น '!F142+'เช้า '!F142+บ่าย!F142</f>
        <v>0</v>
      </c>
      <c r="G142" s="30">
        <f>'เย็น '!G142+'เช้า '!G142+บ่าย!G142</f>
        <v>0</v>
      </c>
      <c r="H142" s="30">
        <f>'เย็น '!H142+'เช้า '!H142+บ่าย!H142</f>
        <v>0</v>
      </c>
      <c r="I142" s="30">
        <f>'เย็น '!I142+'เช้า '!I142+บ่าย!I142</f>
        <v>0</v>
      </c>
      <c r="J142" s="30">
        <f t="shared" si="12"/>
        <v>0</v>
      </c>
      <c r="K142" s="30">
        <f>'เย็น '!J142+'เช้า '!J142+บ่าย!J142</f>
        <v>0</v>
      </c>
      <c r="L142" s="30">
        <f>'เย็น '!K142+'เช้า '!K142+บ่าย!K142</f>
        <v>0</v>
      </c>
      <c r="M142" s="36">
        <f t="shared" si="13"/>
        <v>0</v>
      </c>
      <c r="N142" s="12"/>
      <c r="O142" s="12"/>
      <c r="P142" s="12"/>
      <c r="Q142" s="12"/>
      <c r="R142" s="44">
        <f t="shared" si="11"/>
        <v>0</v>
      </c>
    </row>
    <row r="143" spans="2:18" x14ac:dyDescent="0.25">
      <c r="B143" s="50"/>
      <c r="C143" s="49"/>
      <c r="D143" s="30">
        <f>'เย็น '!D143+'เช้า '!D143+บ่าย!D143</f>
        <v>0</v>
      </c>
      <c r="E143" s="30">
        <f>'เย็น '!E143+'เช้า '!E143+บ่าย!E143</f>
        <v>0</v>
      </c>
      <c r="F143" s="30">
        <f>'เย็น '!F143+'เช้า '!F143+บ่าย!F143</f>
        <v>0</v>
      </c>
      <c r="G143" s="30">
        <f>'เย็น '!G143+'เช้า '!G143+บ่าย!G143</f>
        <v>0</v>
      </c>
      <c r="H143" s="30">
        <f>'เย็น '!H143+'เช้า '!H143+บ่าย!H143</f>
        <v>0</v>
      </c>
      <c r="I143" s="30"/>
      <c r="J143" s="30">
        <f t="shared" si="12"/>
        <v>0</v>
      </c>
      <c r="K143" s="30">
        <f>'เย็น '!J143+'เช้า '!J143+บ่าย!J143</f>
        <v>0</v>
      </c>
      <c r="L143" s="30">
        <f>'เย็น '!K143+'เช้า '!K143+บ่าย!K143</f>
        <v>0</v>
      </c>
      <c r="M143" s="36">
        <f t="shared" si="13"/>
        <v>0</v>
      </c>
      <c r="N143" s="12"/>
      <c r="O143" s="12"/>
      <c r="P143" s="12"/>
      <c r="Q143" s="12"/>
      <c r="R143" s="44">
        <f t="shared" si="11"/>
        <v>0</v>
      </c>
    </row>
    <row r="144" spans="2:18" ht="40.5" customHeight="1" x14ac:dyDescent="0.25">
      <c r="B144" s="11"/>
      <c r="C144" s="21"/>
      <c r="D144" s="36">
        <f t="shared" ref="D144:L144" si="14">SUM(D114:D142,D90:D99,D79:D87,D69:D76,D7:D66,D102:D111)</f>
        <v>182</v>
      </c>
      <c r="E144" s="36">
        <f t="shared" si="14"/>
        <v>146</v>
      </c>
      <c r="F144" s="36">
        <f t="shared" si="14"/>
        <v>15</v>
      </c>
      <c r="G144" s="36">
        <f t="shared" si="14"/>
        <v>770</v>
      </c>
      <c r="H144" s="36">
        <f t="shared" si="14"/>
        <v>0</v>
      </c>
      <c r="I144" s="36">
        <f t="shared" si="14"/>
        <v>0</v>
      </c>
      <c r="J144" s="36"/>
      <c r="K144" s="36">
        <f t="shared" si="14"/>
        <v>0</v>
      </c>
      <c r="L144" s="36">
        <f t="shared" si="14"/>
        <v>31</v>
      </c>
      <c r="M144" s="36">
        <f>SUM(M114:M142,M90:M99,M79:M87,M69:M76,M7:M66,M102:M111)</f>
        <v>1144</v>
      </c>
      <c r="N144" s="36">
        <f>SUM(N114:N140,N90:N99,N79:N87,N69:N76,N7:N66,N102:N111)</f>
        <v>0</v>
      </c>
      <c r="O144" s="36">
        <f t="shared" ref="O144" si="15">SUM(O114:O140,O90:O99,O79:O87,O69:O76,O7:O66,O102:O111)</f>
        <v>0</v>
      </c>
      <c r="P144" s="36">
        <f t="shared" ref="P144" si="16">SUM(P114:P140,P90:P99,P79:P87,P69:P76,P7:P66,P102:P111)</f>
        <v>0</v>
      </c>
      <c r="Q144" s="36">
        <f t="shared" ref="Q144" si="17">SUM(Q114:Q140,Q90:Q99,Q79:Q87,Q69:Q76,Q7:Q66,Q102:Q111)</f>
        <v>0</v>
      </c>
      <c r="R144" s="36">
        <f t="shared" ref="R144" si="18">SUM(R114:R140,R90:R99,R79:R87,R69:R76,R7:R66,R102:R111)</f>
        <v>-1409</v>
      </c>
    </row>
    <row r="145" spans="2:13" x14ac:dyDescent="0.25">
      <c r="B145" s="37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9"/>
    </row>
    <row r="146" spans="2:13" x14ac:dyDescent="0.25">
      <c r="B146" s="37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9"/>
    </row>
    <row r="147" spans="2:13" x14ac:dyDescent="0.25">
      <c r="C147" s="24"/>
      <c r="D147" s="31"/>
      <c r="E147" s="31"/>
      <c r="F147" s="31"/>
      <c r="G147" s="26"/>
      <c r="M147" s="40"/>
    </row>
    <row r="148" spans="2:13" x14ac:dyDescent="0.25">
      <c r="B148" s="31" t="s">
        <v>104</v>
      </c>
      <c r="C148" s="31"/>
      <c r="D148" s="32"/>
      <c r="E148" s="32"/>
      <c r="F148" s="32"/>
      <c r="G148" s="27"/>
      <c r="H148" s="26"/>
      <c r="I148" s="31" t="s">
        <v>104</v>
      </c>
      <c r="J148" s="31"/>
      <c r="K148" s="31"/>
      <c r="L148" s="31"/>
      <c r="M148" s="31"/>
    </row>
    <row r="149" spans="2:13" x14ac:dyDescent="0.25">
      <c r="B149" s="32" t="s">
        <v>105</v>
      </c>
      <c r="C149" s="32"/>
      <c r="D149" s="33"/>
      <c r="E149" s="33"/>
      <c r="F149" s="33"/>
      <c r="G149" s="33"/>
      <c r="H149" s="33"/>
      <c r="I149" s="32" t="s">
        <v>106</v>
      </c>
      <c r="J149" s="32"/>
      <c r="K149" s="32"/>
      <c r="L149" s="32"/>
      <c r="M149" s="32"/>
    </row>
    <row r="150" spans="2:13" x14ac:dyDescent="0.25">
      <c r="B150" s="31"/>
      <c r="C150" s="31"/>
      <c r="D150" s="33"/>
      <c r="E150" s="33"/>
      <c r="F150" s="33"/>
      <c r="G150" s="33"/>
      <c r="H150" s="33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ht="20.399999999999999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4"/>
    </row>
    <row r="154" spans="2:13" ht="20.399999999999999" x14ac:dyDescent="0.25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4"/>
    </row>
    <row r="155" spans="2:13" ht="20.399999999999999" x14ac:dyDescent="0.2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4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2025-06-19T01:01:19Z</cp:lastPrinted>
  <dcterms:created xsi:type="dcterms:W3CDTF">2024-04-30T05:21:27Z</dcterms:created>
  <dcterms:modified xsi:type="dcterms:W3CDTF">2025-06-29T14:56:52Z</dcterms:modified>
</cp:coreProperties>
</file>