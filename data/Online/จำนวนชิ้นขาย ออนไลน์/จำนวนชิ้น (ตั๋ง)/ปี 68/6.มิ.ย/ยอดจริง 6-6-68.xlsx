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9EA69E7C-B6DD-493D-BA23-AF270B6D3591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1" i="5" l="1"/>
  <c r="L132" i="5"/>
  <c r="L133" i="5"/>
  <c r="L134" i="5"/>
  <c r="L135" i="5"/>
  <c r="Q135" i="5" s="1"/>
  <c r="L136" i="5"/>
  <c r="Q136" i="5" s="1"/>
  <c r="L138" i="5"/>
  <c r="Q138" i="5" s="1"/>
  <c r="L139" i="5"/>
  <c r="Q139" i="5" s="1"/>
  <c r="L140" i="5"/>
  <c r="Q140" i="5" s="1"/>
  <c r="L141" i="5"/>
  <c r="Q141" i="5" s="1"/>
  <c r="L142" i="5"/>
  <c r="Q142" i="5" s="1"/>
  <c r="L143" i="5"/>
  <c r="Q143" i="5" s="1"/>
  <c r="L144" i="5"/>
  <c r="Q144" i="5" s="1"/>
  <c r="L145" i="5"/>
  <c r="Q145" i="5" s="1"/>
  <c r="L146" i="5"/>
  <c r="Q146" i="5" s="1"/>
  <c r="Q134" i="5"/>
  <c r="Q147" i="5"/>
  <c r="Q148" i="5"/>
  <c r="Q149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L137" i="5" s="1"/>
  <c r="Q137" i="5" s="1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D142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Q131" i="5"/>
  <c r="Q132" i="5"/>
  <c r="Q133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<sst xmlns="http://schemas.openxmlformats.org/spreadsheetml/2006/main" count="621" uniqueCount="147">
  <si>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</si>
  <si>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</si>
  <si>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</si>
  <si>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</si>
  <si>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</si>
  <si>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</si>
  <si>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</si>
  <si>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</si>
  <si>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</si>
  <si>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</si>
  <si>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</si>
  <si>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</si>
  <si>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</si>
  <si>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</si>
  <si>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</si>
  <si>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</si>
  <si>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</si>
  <si>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</si>
  <si>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</si>
  <si>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</si>
  <si>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</si>
  <si>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</si>
  <si>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</si>
  <si>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</si>
  <si>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</si>
  <si>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</si>
  <si>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</si>
  <si>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</si>
  <si>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</si>
  <si>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</si>
  <si>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</si>
  <si>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</si>
  <si>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</si>
  <si>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</si>
  <si>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</si>
  <si>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</si>
  <si>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</si>
  <si>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</si>
  <si>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</si>
  <si>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</si>
  <si>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</si>
  <si>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</si>
  <si>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</si>
  <si>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</si>
  <si>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</si>
  <si>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</si>
  <si>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</si>
  <si>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</si>
  <si>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</si>
  <si>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</si>
  <si>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</si>
  <si>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</si>
  <si>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</si>
  <si>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</si>
  <si>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</si>
  <si>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</si>
  <si>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</si>
  <si>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</si>
  <si>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</si>
  <si>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</si>
  <si>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</si>
  <si>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</si>
  <si>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</si>
  <si>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</si>
  <si>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</si>
  <si>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</si>
  <si>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</si>
  <si>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</si>
  <si>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</si>
  <si>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</si>
  <si>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</si>
  <si>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</si>
  <si>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</si>
  <si>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</si>
  <si>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</si>
  <si>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</si>
  <si>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</si>
  <si>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</si>
  <si>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</si>
  <si>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</si>
  <si>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</si>
  <si>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</si>
  <si>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</si>
  <si>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</si>
  <si>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</si>
  <si>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</si>
  <si>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</si>
  <si>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</si>
  <si>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</si>
  <si>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</si>
  <si>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</si>
  <si>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</si>
  <si>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</si>
  <si>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</si>
  <si>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</si>
  <si>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</si>
  <si>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</si>
  <si>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</si>
  <si>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</si>
  <si>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</si>
  <si>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</si>
  <si>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</si>
  <si>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</si>
  <si>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</si>
  <si>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</si>
  <si>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</si>
  <si>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</si>
  <si>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</si>
  <si>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</si>
  <si>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</si>
  <si>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</si>
  <si>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</si>
  <si>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</si>
  <si>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</si>
  <si>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</si>
  <si>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</si>
  <si>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</si>
  <si>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</si>
  <si>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</si>
  <si>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</si>
  <si>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</si>
  <si>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</si>
  <si>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</si>
  <si>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</si>
  <si>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</si>
  <si>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</si>
  <si>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</si>
  <si>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</si>
  <si>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</si>
  <si>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</si>
  <si>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</si>
  <si>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</si>
  <si>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</si>
  <si>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</si>
  <si>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</si>
  <si>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รวม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</si>
  <si>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</si>
  <si>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</si>
  <si>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</si>
  <si>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ยอดจริง ออนไลน์ วันที่  - เช้า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</si>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</sst>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6" zoomScale="60" zoomScaleNormal="60" workbookViewId="0">
      <selection activeCell="Q93" sqref="Q9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137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>
        <v>23</v>
      </c>
      <c r="F7" s="30">
        <v>47</v>
      </c>
      <c r="G7" s="30">
        <v>19</v>
      </c>
      <c r="H7" s="30">
        <v>10</v>
      </c>
      <c r="I7" s="30">
        <v>1</v>
      </c>
      <c r="J7" s="43"/>
      <c r="K7" s="43"/>
      <c r="L7" s="36">
        <f>SUM(D7:K7)</f>
        <v>100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</v>
      </c>
      <c r="F25" s="30"/>
      <c r="G25" s="30">
        <v>4</v>
      </c>
      <c r="H25" s="30">
        <v>1</v>
      </c>
      <c r="I25" s="30"/>
      <c r="J25" s="43"/>
      <c r="K25" s="43"/>
      <c r="L25" s="36">
        <f t="shared" si="0"/>
        <v>8</v>
      </c>
    </row>
    <row r="26" spans="2:12">
      <c r="B26" s="11">
        <v>1004055</v>
      </c>
      <c r="C26" s="15" t="s">
        <v>108</v>
      </c>
      <c r="D26" s="30">
        <v>1</v>
      </c>
      <c r="E26" s="30">
        <v>1</v>
      </c>
      <c r="F26" s="30"/>
      <c r="G26" s="30">
        <v>42</v>
      </c>
      <c r="H26" s="30">
        <v>48</v>
      </c>
      <c r="I26" s="30">
        <v>24</v>
      </c>
      <c r="J26" s="43"/>
      <c r="K26" s="43">
        <v>40</v>
      </c>
      <c r="L26" s="36">
        <f t="shared" si="0"/>
        <v>156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264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3</v>
      </c>
      <c r="F69" s="30">
        <v>4</v>
      </c>
      <c r="G69" s="30">
        <v>3</v>
      </c>
      <c r="H69" s="30"/>
      <c r="I69" s="30"/>
      <c r="J69" s="43"/>
      <c r="K69" s="43"/>
      <c r="L69" s="36">
        <f t="shared" ref="L69:L76" si="1">SUM(D69:K69)</f>
        <v>10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</v>
      </c>
      <c r="F87" s="30"/>
      <c r="G87" s="30">
        <v>30</v>
      </c>
      <c r="H87" s="30">
        <v>42</v>
      </c>
      <c r="I87" s="30">
        <v>16</v>
      </c>
      <c r="J87" s="43"/>
      <c r="K87" s="43"/>
      <c r="L87" s="36">
        <f t="shared" si="2"/>
        <v>89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89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>
        <v>3</v>
      </c>
      <c r="G90" s="30">
        <v>16</v>
      </c>
      <c r="H90" s="30">
        <v>17</v>
      </c>
      <c r="I90" s="30">
        <v>20</v>
      </c>
      <c r="J90" s="43"/>
      <c r="K90" s="43">
        <v>10</v>
      </c>
      <c r="L90" s="36">
        <f t="shared" ref="L90:L99" si="3">SUM(D90:K90)</f>
        <v>66</v>
      </c>
    </row>
    <row r="91" spans="2:12">
      <c r="B91" s="11">
        <v>1112011</v>
      </c>
      <c r="C91" s="19" t="s">
        <v>76</v>
      </c>
      <c r="D91" s="30">
        <v>2</v>
      </c>
      <c r="E91" s="30"/>
      <c r="F91" s="30">
        <v>3</v>
      </c>
      <c r="G91" s="30">
        <v>16</v>
      </c>
      <c r="H91" s="30">
        <v>17</v>
      </c>
      <c r="I91" s="30">
        <v>19</v>
      </c>
      <c r="J91" s="43"/>
      <c r="K91" s="43"/>
      <c r="L91" s="36">
        <f t="shared" si="3"/>
        <v>57</v>
      </c>
    </row>
    <row r="92" spans="2:12">
      <c r="B92" s="11">
        <v>1112003</v>
      </c>
      <c r="C92" s="19" t="s">
        <v>77</v>
      </c>
      <c r="D92" s="30"/>
      <c r="E92" s="30"/>
      <c r="F92" s="30">
        <v>3</v>
      </c>
      <c r="G92" s="30">
        <v>17</v>
      </c>
      <c r="H92" s="30">
        <v>18</v>
      </c>
      <c r="I92" s="30">
        <v>21</v>
      </c>
      <c r="J92" s="43"/>
      <c r="K92" s="43"/>
      <c r="L92" s="36">
        <f t="shared" si="3"/>
        <v>59</v>
      </c>
    </row>
    <row r="93" spans="2:12">
      <c r="B93" s="11">
        <v>1112005</v>
      </c>
      <c r="C93" s="19" t="s">
        <v>78</v>
      </c>
      <c r="D93" s="30">
        <v>2</v>
      </c>
      <c r="E93" s="30"/>
      <c r="F93" s="30">
        <v>3</v>
      </c>
      <c r="G93" s="30">
        <v>12</v>
      </c>
      <c r="H93" s="30">
        <v>12</v>
      </c>
      <c r="I93" s="30">
        <v>14</v>
      </c>
      <c r="J93" s="43"/>
      <c r="K93" s="43">
        <v>10</v>
      </c>
      <c r="L93" s="36">
        <f t="shared" si="3"/>
        <v>53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6</v>
      </c>
      <c r="G97" s="30">
        <v>20</v>
      </c>
      <c r="H97" s="30">
        <v>22</v>
      </c>
      <c r="I97" s="30">
        <v>34</v>
      </c>
      <c r="J97" s="43"/>
      <c r="K97" s="43"/>
      <c r="L97" s="36">
        <f t="shared" si="3"/>
        <v>82</v>
      </c>
    </row>
    <row r="98" spans="2:12">
      <c r="B98" s="11">
        <v>1112013</v>
      </c>
      <c r="C98" s="19" t="s">
        <v>83</v>
      </c>
      <c r="D98" s="30">
        <v>1</v>
      </c>
      <c r="E98" s="30"/>
      <c r="F98" s="30">
        <v>3</v>
      </c>
      <c r="G98" s="30">
        <v>16</v>
      </c>
      <c r="H98" s="30">
        <v>18</v>
      </c>
      <c r="I98" s="30">
        <v>9</v>
      </c>
      <c r="J98" s="43"/>
      <c r="K98" s="43"/>
      <c r="L98" s="36">
        <f t="shared" si="3"/>
        <v>47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364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4</v>
      </c>
      <c r="E114" s="30"/>
      <c r="F114" s="30"/>
      <c r="G114" s="30">
        <v>1</v>
      </c>
      <c r="H114" s="30">
        <v>1</v>
      </c>
      <c r="I114" s="30">
        <v>1</v>
      </c>
      <c r="J114" s="43"/>
      <c r="K114" s="43"/>
      <c r="L114" s="36">
        <f t="shared" ref="L114:L140" si="5">SUM(D114:K114)</f>
        <v>7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/>
      <c r="G115" s="30"/>
      <c r="H115" s="30"/>
      <c r="I115" s="30">
        <v>1</v>
      </c>
      <c r="J115" s="43"/>
      <c r="K115" s="43"/>
      <c r="L115" s="36">
        <f t="shared" si="5"/>
        <v>5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2</v>
      </c>
      <c r="H120" s="30"/>
      <c r="I120" s="30"/>
      <c r="J120" s="43"/>
      <c r="K120" s="43"/>
      <c r="L120" s="36">
        <f t="shared" si="5"/>
        <v>2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10</v>
      </c>
      <c r="F123" s="30">
        <v>26</v>
      </c>
      <c r="G123" s="30">
        <v>232</v>
      </c>
      <c r="H123" s="30">
        <v>253</v>
      </c>
      <c r="I123" s="30">
        <v>171</v>
      </c>
      <c r="J123" s="43"/>
      <c r="K123" s="43"/>
      <c r="L123" s="36">
        <f t="shared" si="5"/>
        <v>694</v>
      </c>
    </row>
    <row r="124" spans="2:12">
      <c r="B124" s="11">
        <v>1114502</v>
      </c>
      <c r="C124" s="21" t="s">
        <v>96</v>
      </c>
      <c r="D124" s="30">
        <v>6</v>
      </c>
      <c r="E124" s="30">
        <v>5</v>
      </c>
      <c r="F124" s="30">
        <v>7</v>
      </c>
      <c r="G124" s="30">
        <v>211</v>
      </c>
      <c r="H124" s="30">
        <v>201</v>
      </c>
      <c r="I124" s="30">
        <v>139</v>
      </c>
      <c r="J124" s="43"/>
      <c r="K124" s="43"/>
      <c r="L124" s="36">
        <f t="shared" si="5"/>
        <v>569</v>
      </c>
    </row>
    <row r="125" spans="2:12">
      <c r="B125" s="11">
        <v>1114503</v>
      </c>
      <c r="C125" s="21" t="s">
        <v>97</v>
      </c>
      <c r="D125" s="30">
        <v>2</v>
      </c>
      <c r="E125" s="30">
        <v>6</v>
      </c>
      <c r="F125" s="30">
        <v>2</v>
      </c>
      <c r="G125" s="30">
        <v>208</v>
      </c>
      <c r="H125" s="30">
        <v>199</v>
      </c>
      <c r="I125" s="30">
        <v>135</v>
      </c>
      <c r="J125" s="43"/>
      <c r="K125" s="43"/>
      <c r="L125" s="36">
        <f t="shared" si="5"/>
        <v>552</v>
      </c>
    </row>
    <row r="126" spans="2:12">
      <c r="B126" s="11">
        <v>1124021</v>
      </c>
      <c r="C126" s="21" t="s">
        <v>98</v>
      </c>
      <c r="D126" s="30"/>
      <c r="E126" s="30">
        <v>25</v>
      </c>
      <c r="F126" s="30">
        <v>10</v>
      </c>
      <c r="G126" s="30">
        <v>4</v>
      </c>
      <c r="H126" s="30"/>
      <c r="I126" s="30"/>
      <c r="J126" s="43"/>
      <c r="K126" s="43"/>
      <c r="L126" s="36">
        <f t="shared" si="5"/>
        <v>39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>
        <v>7</v>
      </c>
      <c r="G135" s="30"/>
      <c r="H135" s="30"/>
      <c r="I135" s="30"/>
      <c r="J135" s="43"/>
      <c r="K135" s="43"/>
      <c r="L135" s="36">
        <f t="shared" si="5"/>
        <v>9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144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>
      <c r="B138" s="50">
        <v>1004046</v>
      </c>
      <c r="C138" s="49" t="s">
        <v>145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140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141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146</v>
      </c>
      <c r="D141" s="48"/>
      <c r="E141" s="48"/>
      <c r="F141" s="51"/>
      <c r="G141" s="78">
        <v>24</v>
      </c>
      <c r="H141" s="9"/>
      <c r="I141" s="9"/>
      <c r="J141" s="9"/>
      <c r="K141" s="9"/>
      <c r="L141" s="36">
        <f t="shared" ref="L141:L148" si="6">SUM(D141:K141)</f>
        <v>24</v>
      </c>
    </row>
    <row r="142" spans="2:12">
      <c r="B142" s="50"/>
      <c r="C142" s="49"/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1" sqref="D14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137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144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145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140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141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146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/>
      <c r="C142" s="49"/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F138" sqref="F13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138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137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144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145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140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141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146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/>
      <c r="C142" s="49"/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99" zoomScale="50" zoomScaleNormal="50" workbookViewId="0">
      <selection activeCell="AF112" sqref="AF11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142</v>
      </c>
      <c r="P2" s="72" t="s">
        <v>143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137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23</v>
      </c>
      <c r="F7" s="30">
        <f>'เย็น '!F7+'เช้า '!F7+บ่าย!F7</f>
        <v>47</v>
      </c>
      <c r="G7" s="30">
        <f>'เย็น '!G7+'เช้า '!G7+บ่าย!G7</f>
        <v>19</v>
      </c>
      <c r="H7" s="30">
        <f>'เย็น '!H7+'เช้า '!H7+บ่าย!H7</f>
        <v>10</v>
      </c>
      <c r="I7" s="30">
        <f>'เย็น '!I7+'เช้า '!I7+บ่าย!I7</f>
        <v>1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100</v>
      </c>
      <c r="M7" s="11">
        <v>70</v>
      </c>
      <c r="N7" s="11">
        <v>159</v>
      </c>
      <c r="O7" s="11"/>
      <c r="P7" s="11">
        <v>70</v>
      </c>
      <c r="Q7" s="44">
        <f>(M7+N7+O7+P7)-L7</f>
        <v>199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0</v>
      </c>
      <c r="G25" s="30">
        <f>'เย็น '!G25+'เช้า '!G25+บ่าย!G25</f>
        <v>4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>
        <v>15</v>
      </c>
      <c r="N25" s="11">
        <v>21</v>
      </c>
      <c r="O25" s="11"/>
      <c r="P25" s="11">
        <v>15</v>
      </c>
      <c r="Q25" s="44">
        <f t="shared" si="1"/>
        <v>43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1</v>
      </c>
      <c r="F26" s="30">
        <f>'เย็น '!F26+'เช้า '!F26+บ่าย!F26</f>
        <v>0</v>
      </c>
      <c r="G26" s="30">
        <f>'เย็น '!G26+'เช้า '!G26+บ่าย!G26</f>
        <v>42</v>
      </c>
      <c r="H26" s="30">
        <f>'เย็น '!H26+'เช้า '!H26+บ่าย!H26</f>
        <v>48</v>
      </c>
      <c r="I26" s="30">
        <f>'เย็น '!I26+'เช้า '!I26+บ่าย!I26</f>
        <v>24</v>
      </c>
      <c r="J26" s="30">
        <f>'เย็น '!J26+'เช้า '!J26+บ่าย!J26</f>
        <v>0</v>
      </c>
      <c r="K26" s="30">
        <f>'เย็น '!K26+'เช้า '!K26+บ่าย!K26</f>
        <v>40</v>
      </c>
      <c r="L26" s="36">
        <f t="shared" si="0"/>
        <v>156</v>
      </c>
      <c r="M26" s="11">
        <v>130</v>
      </c>
      <c r="N26" s="11">
        <v>40</v>
      </c>
      <c r="O26" s="11"/>
      <c r="P26" s="11">
        <v>90</v>
      </c>
      <c r="Q26" s="44">
        <f t="shared" si="1"/>
        <v>104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3</v>
      </c>
      <c r="F69" s="30">
        <f>'เย็น '!F69+'เช้า '!F69+บ่าย!F69</f>
        <v>4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10</v>
      </c>
      <c r="M69" s="11">
        <v>15</v>
      </c>
      <c r="N69" s="11">
        <v>21</v>
      </c>
      <c r="O69" s="11"/>
      <c r="P69" s="11">
        <v>15</v>
      </c>
      <c r="Q69" s="44">
        <f t="shared" ref="Q69:Q76" si="5">(M69+N69+O69+P69)-L69</f>
        <v>41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30</v>
      </c>
      <c r="H87" s="30">
        <f>'เย็น '!H87+'เช้า '!H87+บ่าย!H87</f>
        <v>42</v>
      </c>
      <c r="I87" s="30">
        <f>'เย็น '!I87+'เช้า '!I87+บ่าย!I87</f>
        <v>16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89</v>
      </c>
      <c r="M87" s="11">
        <v>90</v>
      </c>
      <c r="N87" s="11">
        <v>11</v>
      </c>
      <c r="O87" s="11"/>
      <c r="P87" s="11">
        <v>90</v>
      </c>
      <c r="Q87" s="44">
        <f t="shared" si="8"/>
        <v>102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16</v>
      </c>
      <c r="H90" s="30">
        <f>'เย็น '!H90+'เช้า '!H90+บ่าย!H90</f>
        <v>17</v>
      </c>
      <c r="I90" s="30">
        <f>'เย็น '!I90+'เช้า '!I90+บ่าย!I90</f>
        <v>20</v>
      </c>
      <c r="J90" s="30">
        <f>'เย็น '!J90+'เช้า '!J90+บ่าย!J90</f>
        <v>0</v>
      </c>
      <c r="K90" s="30">
        <f>'เย็น '!K90+'เช้า '!K90+บ่าย!K90</f>
        <v>10</v>
      </c>
      <c r="L90" s="36">
        <f t="shared" ref="L90:L99" si="9">SUM(D90:K90)</f>
        <v>66</v>
      </c>
      <c r="M90" s="11">
        <v>100</v>
      </c>
      <c r="N90" s="11">
        <v>64</v>
      </c>
      <c r="O90" s="11"/>
      <c r="P90" s="11">
        <v>90</v>
      </c>
      <c r="Q90" s="44">
        <f t="shared" ref="Q90:Q100" si="10">(M90+N90+O90+P90)-L90</f>
        <v>188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16</v>
      </c>
      <c r="H91" s="30">
        <f>'เย็น '!H91+'เช้า '!H91+บ่าย!H91</f>
        <v>17</v>
      </c>
      <c r="I91" s="30">
        <f>'เย็น '!I91+'เช้า '!I91+บ่าย!I91</f>
        <v>19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57</v>
      </c>
      <c r="M91" s="11">
        <v>90</v>
      </c>
      <c r="N91" s="11">
        <v>64</v>
      </c>
      <c r="O91" s="11"/>
      <c r="P91" s="11">
        <v>90</v>
      </c>
      <c r="Q91" s="44">
        <f t="shared" si="10"/>
        <v>187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3</v>
      </c>
      <c r="G92" s="30">
        <f>'เย็น '!G92+'เช้า '!G92+บ่าย!G92</f>
        <v>17</v>
      </c>
      <c r="H92" s="30">
        <f>'เย็น '!H92+'เช้า '!H92+บ่าย!H92</f>
        <v>18</v>
      </c>
      <c r="I92" s="30">
        <f>'เย็น '!I92+'เช้า '!I92+บ่าย!I92</f>
        <v>21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59</v>
      </c>
      <c r="M92" s="11">
        <v>123</v>
      </c>
      <c r="N92" s="11">
        <v>38</v>
      </c>
      <c r="O92" s="11"/>
      <c r="P92" s="11">
        <v>90</v>
      </c>
      <c r="Q92" s="44">
        <f t="shared" si="10"/>
        <v>192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0</v>
      </c>
      <c r="F93" s="30">
        <f>'เย็น '!F93+'เช้า '!F93+บ่าย!F93</f>
        <v>3</v>
      </c>
      <c r="G93" s="30">
        <f>'เย็น '!G93+'เช้า '!G93+บ่าย!G93</f>
        <v>12</v>
      </c>
      <c r="H93" s="30">
        <f>'เย็น '!H93+'เช้า '!H93+บ่าย!H93</f>
        <v>12</v>
      </c>
      <c r="I93" s="30">
        <f>'เย็น '!I93+'เช้า '!I93+บ่าย!I93</f>
        <v>14</v>
      </c>
      <c r="J93" s="30">
        <f>'เย็น '!J93+'เช้า '!J93+บ่าย!J93</f>
        <v>0</v>
      </c>
      <c r="K93" s="30">
        <f>'เย็น '!K93+'เช้า '!K93+บ่าย!K93</f>
        <v>10</v>
      </c>
      <c r="L93" s="36">
        <f t="shared" si="9"/>
        <v>53</v>
      </c>
      <c r="M93" s="11">
        <v>100</v>
      </c>
      <c r="N93" s="11">
        <v>38</v>
      </c>
      <c r="O93" s="11"/>
      <c r="P93" s="11">
        <v>90</v>
      </c>
      <c r="Q93" s="44">
        <f t="shared" si="10"/>
        <v>175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6</v>
      </c>
      <c r="G97" s="30">
        <f>'เย็น '!G97+'เช้า '!G97+บ่าย!G97</f>
        <v>20</v>
      </c>
      <c r="H97" s="30">
        <f>'เย็น '!H97+'เช้า '!H97+บ่าย!H97</f>
        <v>22</v>
      </c>
      <c r="I97" s="30">
        <f>'เย็น '!I97+'เช้า '!I97+บ่าย!I97</f>
        <v>34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82</v>
      </c>
      <c r="M97" s="11">
        <v>118</v>
      </c>
      <c r="N97" s="11">
        <v>69</v>
      </c>
      <c r="O97" s="11"/>
      <c r="P97" s="11">
        <v>90</v>
      </c>
      <c r="Q97" s="44">
        <f t="shared" si="10"/>
        <v>195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3</v>
      </c>
      <c r="G98" s="30">
        <f>'เย็น '!G98+'เช้า '!G98+บ่าย!G98</f>
        <v>16</v>
      </c>
      <c r="H98" s="30">
        <f>'เย็น '!H98+'เช้า '!H98+บ่าย!H98</f>
        <v>18</v>
      </c>
      <c r="I98" s="30">
        <f>'เย็น '!I98+'เช้า '!I98+บ่าย!I98</f>
        <v>9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47</v>
      </c>
      <c r="M98" s="11">
        <v>90</v>
      </c>
      <c r="N98" s="11">
        <v>48</v>
      </c>
      <c r="O98" s="11"/>
      <c r="P98" s="11">
        <v>90</v>
      </c>
      <c r="Q98" s="44">
        <f t="shared" si="10"/>
        <v>181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364</v>
      </c>
      <c r="M100" s="11">
        <f>SUM(M90:M99)</f>
        <v>621</v>
      </c>
      <c r="N100" s="11">
        <f>SUM(N90:N99)</f>
        <v>321</v>
      </c>
      <c r="O100" s="11">
        <f>SUM(O90:O99)</f>
        <v>0</v>
      </c>
      <c r="P100" s="11">
        <f>SUM(P90:P99)</f>
        <v>540</v>
      </c>
      <c r="Q100" s="44">
        <f t="shared" si="10"/>
        <v>1118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4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1</v>
      </c>
      <c r="I114" s="30">
        <f>บ่าย!I114+'เช้า '!I114+'เย็น '!I114</f>
        <v>1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7</v>
      </c>
      <c r="M114" s="11"/>
      <c r="N114" s="11">
        <v>11</v>
      </c>
      <c r="O114" s="11"/>
      <c r="P114" s="11"/>
      <c r="Q114" s="44">
        <f t="shared" ref="Q114:Q151" si="14">(M114+N114+O114+P114)-L114</f>
        <v>4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4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1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5</v>
      </c>
      <c r="M115" s="11"/>
      <c r="N115" s="11">
        <v>15</v>
      </c>
      <c r="O115" s="11"/>
      <c r="P115" s="11"/>
      <c r="Q115" s="44">
        <f t="shared" si="14"/>
        <v>10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2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2</v>
      </c>
      <c r="M120" s="11"/>
      <c r="N120" s="11"/>
      <c r="O120" s="11">
        <v>2</v>
      </c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10</v>
      </c>
      <c r="F123" s="30">
        <f>บ่าย!F123+'เช้า '!F123+'เย็น '!F123</f>
        <v>26</v>
      </c>
      <c r="G123" s="30">
        <f>บ่าย!G123+'เช้า '!G123+'เย็น '!G123</f>
        <v>232</v>
      </c>
      <c r="H123" s="30">
        <f>บ่าย!H123+'เช้า '!H123+'เย็น '!H123</f>
        <v>253</v>
      </c>
      <c r="I123" s="30">
        <f>บ่าย!I123+'เช้า '!I123+'เย็น '!I123</f>
        <v>171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694</v>
      </c>
      <c r="M123" s="11">
        <v>844</v>
      </c>
      <c r="N123" s="11">
        <v>21</v>
      </c>
      <c r="O123" s="11"/>
      <c r="P123" s="11">
        <v>600</v>
      </c>
      <c r="Q123" s="44">
        <f t="shared" si="14"/>
        <v>771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6</v>
      </c>
      <c r="E124" s="30">
        <f>บ่าย!E124+'เช้า '!E124+'เย็น '!E124</f>
        <v>5</v>
      </c>
      <c r="F124" s="30">
        <f>บ่าย!F124+'เช้า '!F124+'เย็น '!F124</f>
        <v>7</v>
      </c>
      <c r="G124" s="30">
        <f>บ่าย!G124+'เช้า '!G124+'เย็น '!G124</f>
        <v>211</v>
      </c>
      <c r="H124" s="30">
        <f>บ่าย!H124+'เช้า '!H124+'เย็น '!H124</f>
        <v>201</v>
      </c>
      <c r="I124" s="30">
        <f>บ่าย!I124+'เช้า '!I124+'เย็น '!I124</f>
        <v>139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569</v>
      </c>
      <c r="M124" s="11">
        <v>840</v>
      </c>
      <c r="N124" s="11">
        <v>402</v>
      </c>
      <c r="O124" s="11"/>
      <c r="P124" s="11">
        <v>500</v>
      </c>
      <c r="Q124" s="44">
        <f t="shared" si="14"/>
        <v>1173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6</v>
      </c>
      <c r="F125" s="30">
        <f>บ่าย!F125+'เช้า '!F125+'เย็น '!F125</f>
        <v>2</v>
      </c>
      <c r="G125" s="30">
        <f>บ่าย!G125+'เช้า '!G125+'เย็น '!G125</f>
        <v>208</v>
      </c>
      <c r="H125" s="30">
        <f>บ่าย!H125+'เช้า '!H125+'เย็น '!H125</f>
        <v>199</v>
      </c>
      <c r="I125" s="30">
        <f>บ่าย!I125+'เช้า '!I125+'เย็น '!I125</f>
        <v>135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552</v>
      </c>
      <c r="M125" s="11">
        <v>656</v>
      </c>
      <c r="N125" s="11">
        <v>166</v>
      </c>
      <c r="O125" s="11"/>
      <c r="P125" s="11">
        <v>500</v>
      </c>
      <c r="Q125" s="44">
        <f t="shared" si="14"/>
        <v>770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25</v>
      </c>
      <c r="F126" s="30">
        <f>บ่าย!F126+'เช้า '!F126+'เย็น '!F126</f>
        <v>10</v>
      </c>
      <c r="G126" s="30">
        <f>บ่าย!G126+'เช้า '!G126+'เย็น '!G126</f>
        <v>4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39</v>
      </c>
      <c r="M126" s="11">
        <v>35</v>
      </c>
      <c r="N126" s="11">
        <v>1</v>
      </c>
      <c r="O126" s="11">
        <v>5</v>
      </c>
      <c r="P126" s="11">
        <v>30</v>
      </c>
      <c r="Q126" s="44">
        <f t="shared" si="14"/>
        <v>32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7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9</v>
      </c>
      <c r="M135" s="11"/>
      <c r="N135" s="11"/>
      <c r="O135" s="11"/>
      <c r="P135" s="11"/>
      <c r="Q135" s="44">
        <f t="shared" si="14"/>
        <v>-9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144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10</v>
      </c>
      <c r="L137" s="36">
        <f t="shared" si="13"/>
        <v>10</v>
      </c>
      <c r="M137" s="11">
        <v>10</v>
      </c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145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140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141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146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24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24</v>
      </c>
      <c r="M141" s="11"/>
      <c r="N141" s="11">
        <v>15</v>
      </c>
      <c r="O141" s="11">
        <v>9</v>
      </c>
      <c r="P141" s="11"/>
      <c r="Q141" s="44">
        <f t="shared" si="14"/>
        <v>0</v>
      </c>
      <c r="R141" s="61"/>
    </row>
    <row r="142" spans="2:18">
      <c r="B142" s="50"/>
      <c r="C142" s="49"/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24</v>
      </c>
      <c r="E152" s="60">
        <f t="shared" ref="E152:Q152" si="15">SUM(E114:E151,E90:E99,E79:E87,E69:E76,E7:E66,E102:E111)</f>
        <v>79</v>
      </c>
      <c r="F152" s="60">
        <f t="shared" si="15"/>
        <v>124</v>
      </c>
      <c r="G152" s="60">
        <f t="shared" si="15"/>
        <v>877</v>
      </c>
      <c r="H152" s="60">
        <f t="shared" si="15"/>
        <v>859</v>
      </c>
      <c r="I152" s="60">
        <f t="shared" si="15"/>
        <v>605</v>
      </c>
      <c r="J152" s="60">
        <f t="shared" si="15"/>
        <v>0</v>
      </c>
      <c r="K152" s="60">
        <f t="shared" si="15"/>
        <v>70</v>
      </c>
      <c r="L152" s="60">
        <f t="shared" si="15"/>
        <v>2638</v>
      </c>
      <c r="M152" s="60">
        <f t="shared" si="15"/>
        <v>3326</v>
      </c>
      <c r="N152" s="60">
        <f t="shared" si="15"/>
        <v>1204</v>
      </c>
      <c r="O152" s="60">
        <f t="shared" si="15"/>
        <v>16</v>
      </c>
      <c r="P152" s="60">
        <f t="shared" si="15"/>
        <v>2450</v>
      </c>
      <c r="Q152" s="60">
        <f t="shared" si="15"/>
        <v>4358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2025-06-06T00:39:16Z</dcterms:modified>
</cp:coreProperties>
</file>