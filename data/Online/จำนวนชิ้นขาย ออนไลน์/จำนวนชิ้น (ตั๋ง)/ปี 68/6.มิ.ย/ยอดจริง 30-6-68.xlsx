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"/>
    </mc:Choice>
  </mc:AlternateContent>
  <xr:revisionPtr revIDLastSave="0" documentId="13_ncr:1_{5B9EBD13-E467-4E83-B870-A1533BE39EA6}" xr6:coauthVersionLast="47" xr6:coauthVersionMax="47" xr10:uidLastSave="{00000000-0000-0000-0000-000000000000}"/>
  <bookViews>
    <workbookView xWindow="-108" yWindow="-108" windowWidth="23256" windowHeight="1389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8" i="5" l="1"/>
  <c r="M69" i="5"/>
  <c r="M70" i="5"/>
  <c r="M71" i="5"/>
  <c r="M72" i="5"/>
  <c r="M73" i="5"/>
  <c r="M74" i="5"/>
  <c r="M75" i="5"/>
  <c r="M76" i="5"/>
  <c r="M77" i="5"/>
  <c r="R77" i="5" s="1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E152" i="5" l="1"/>
  <c r="D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<sst xmlns="http://schemas.openxmlformats.org/spreadsheetml/2006/main" count="630" uniqueCount="151">
  <si>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</si>
  <si>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</si>
  <si>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</si>
  <si>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</si>
  <si>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</si>
  <si>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</si>
  <si>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</si>
  <si>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</si>
  <si>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</si>
  <si>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</si>
  <si>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</si>
  <si>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</si>
  <si>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</si>
  <si>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</si>
  <si>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</si>
  <si>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</si>
  <si>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</si>
  <si>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</si>
  <si>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</si>
  <si>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</si>
  <si>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</si>
  <si>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</si>
  <si>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</si>
  <si>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</si>
  <si>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</si>
  <si>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</si>
  <si>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</si>
  <si>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</si>
  <si>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</si>
  <si>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</si>
  <si>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</si>
  <si>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</si>
  <si>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</si>
  <si>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</si>
  <si>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</si>
  <si>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</si>
  <si>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</si>
  <si>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</si>
  <si>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</si>
  <si>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</si>
  <si>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</si>
  <si>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</si>
  <si>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</si>
  <si>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</si>
  <si>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</si>
  <si>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</si>
  <si>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</si>
  <si>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</si>
  <si>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</si>
  <si>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</si>
  <si>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</si>
  <si>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</si>
  <si>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</si>
  <si>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</si>
  <si>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</si>
  <si>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</si>
  <si>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</si>
  <si>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</si>
  <si>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</si>
  <si>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</si>
  <si>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</si>
  <si>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</si>
  <si>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</si>
  <si>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</si>
  <si>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</si>
  <si>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</si>
  <si>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</si>
  <si>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</si>
  <si>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</si>
  <si>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</si>
  <si>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</si>
  <si>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</si>
  <si>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</si>
  <si>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</si>
  <si>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</si>
  <si>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</si>
  <si>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</si>
  <si>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</si>
  <si>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</si>
  <si>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</si>
  <si>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</si>
  <si>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</si>
  <si>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</si>
  <si>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</si>
  <si>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</si>
  <si>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</si>
  <si>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</si>
  <si>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</si>
  <si>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</si>
  <si>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</si>
  <si>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</si>
  <si>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</si>
  <si>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</si>
  <si>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</si>
  <si>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</si>
  <si>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</si>
  <si>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</si>
  <si>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</si>
  <si>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</si>
  <si>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</si>
  <si>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</si>
  <si>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</si>
  <si>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</si>
  <si>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</si>
  <si>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</si>
  <si>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</si>
  <si>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</si>
  <si>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</si>
  <si>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</si>
  <si>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</si>
  <si>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</si>
  <si>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</si>
  <si>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</si>
  <si>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</si>
  <si>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</si>
  <si>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</si>
  <si>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</si>
  <si>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</si>
  <si>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</si>
  <si>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</si>
  <si>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</si>
  <si>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</si>
  <si>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</si>
  <si>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</si>
  <si>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</si>
  <si>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</si>
  <si>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</si>
  <si>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</si>
  <si>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</si>
  <si>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</si>
  <si>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</si>
  <si>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</si>
  <si>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</si>
  <si>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</si>
  <si>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</si>
  <si>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</si>
  <si>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</si>
  <si>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</si>
  <si>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</si>
  <si>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</si>
  <si>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</si>
  <si>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</si>
  <si>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</si>
  <si>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</si>
  <si>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</si>
  <si>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</si>
  <si>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</si>
  <si>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</si>
  <si>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30/6/2568 รวม</t>
  </si>
  <si>
    <t>ยอดจริง ออนไลน์ วันที่  30/6/68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</si>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</sst>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6" zoomScale="60" zoomScaleNormal="60" workbookViewId="0">
      <selection activeCell="B1" sqref="B1:L14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>
        <v>24</v>
      </c>
      <c r="F7" s="30">
        <v>27</v>
      </c>
      <c r="G7" s="30">
        <v>21</v>
      </c>
      <c r="H7" s="30">
        <v>4</v>
      </c>
      <c r="I7" s="30"/>
      <c r="J7" s="43"/>
      <c r="K7" s="43"/>
      <c r="L7" s="36">
        <f>SUM(D7:K7)</f>
        <v>76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3</v>
      </c>
      <c r="E25" s="30">
        <v>2</v>
      </c>
      <c r="F25" s="30">
        <v>1</v>
      </c>
      <c r="G25" s="30"/>
      <c r="H25" s="30">
        <v>3</v>
      </c>
      <c r="I25" s="30"/>
      <c r="J25" s="43"/>
      <c r="K25" s="43"/>
      <c r="L25" s="36">
        <f t="shared" si="0"/>
        <v>9</v>
      </c>
    </row>
    <row r="26" spans="2:12" x14ac:dyDescent="0.25">
      <c r="B26" s="11">
        <v>1004055</v>
      </c>
      <c r="C26" s="15" t="s">
        <v>108</v>
      </c>
      <c r="D26" s="30"/>
      <c r="E26" s="30">
        <v>6</v>
      </c>
      <c r="F26" s="30">
        <v>1</v>
      </c>
      <c r="G26" s="30">
        <v>27</v>
      </c>
      <c r="H26" s="30">
        <v>9</v>
      </c>
      <c r="I26" s="30"/>
      <c r="J26" s="43"/>
      <c r="K26" s="43"/>
      <c r="L26" s="36">
        <f t="shared" si="0"/>
        <v>43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 x14ac:dyDescent="0.25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 x14ac:dyDescent="0.25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 x14ac:dyDescent="0.25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 x14ac:dyDescent="0.25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 x14ac:dyDescent="0.25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 x14ac:dyDescent="0.25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 x14ac:dyDescent="0.25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/>
      <c r="L47" s="36">
        <f t="shared" si="0"/>
        <v>4</v>
      </c>
    </row>
    <row r="48" spans="2:12" x14ac:dyDescent="0.25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/>
      <c r="L48" s="36">
        <f t="shared" si="0"/>
        <v>4</v>
      </c>
    </row>
    <row r="49" spans="2:12" x14ac:dyDescent="0.25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/>
      <c r="L49" s="36">
        <f t="shared" si="0"/>
        <v>4</v>
      </c>
    </row>
    <row r="50" spans="2:12" x14ac:dyDescent="0.25">
      <c r="B50" s="11">
        <v>1111067</v>
      </c>
      <c r="C50" s="15" t="s">
        <v>40</v>
      </c>
      <c r="D50" s="30">
        <v>1</v>
      </c>
      <c r="E50" s="30">
        <v>4</v>
      </c>
      <c r="F50" s="30"/>
      <c r="G50" s="30"/>
      <c r="H50" s="30"/>
      <c r="I50" s="30"/>
      <c r="J50" s="43"/>
      <c r="K50" s="43"/>
      <c r="L50" s="36">
        <f t="shared" si="0"/>
        <v>5</v>
      </c>
    </row>
    <row r="51" spans="2:12" x14ac:dyDescent="0.25">
      <c r="B51" s="11">
        <v>1111068</v>
      </c>
      <c r="C51" s="15" t="s">
        <v>41</v>
      </c>
      <c r="D51" s="30">
        <v>1</v>
      </c>
      <c r="E51" s="30">
        <v>3</v>
      </c>
      <c r="F51" s="30"/>
      <c r="G51" s="30"/>
      <c r="H51" s="30"/>
      <c r="I51" s="30"/>
      <c r="J51" s="43"/>
      <c r="K51" s="43"/>
      <c r="L51" s="36">
        <f t="shared" si="0"/>
        <v>4</v>
      </c>
    </row>
    <row r="52" spans="2:12" x14ac:dyDescent="0.25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180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6</v>
      </c>
      <c r="E69" s="30">
        <v>4</v>
      </c>
      <c r="F69" s="30">
        <v>5</v>
      </c>
      <c r="G69" s="30">
        <v>61</v>
      </c>
      <c r="H69" s="30">
        <v>1</v>
      </c>
      <c r="I69" s="30"/>
      <c r="J69" s="43"/>
      <c r="K69" s="43"/>
      <c r="L69" s="36">
        <f t="shared" ref="L69:L76" si="1">SUM(D69:K69)</f>
        <v>77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77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15</v>
      </c>
      <c r="F87" s="30"/>
      <c r="G87" s="30">
        <v>30</v>
      </c>
      <c r="H87" s="30">
        <v>34</v>
      </c>
      <c r="I87" s="30"/>
      <c r="J87" s="43"/>
      <c r="K87" s="43"/>
      <c r="L87" s="36">
        <f t="shared" si="2"/>
        <v>79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79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2</v>
      </c>
      <c r="E90" s="30">
        <v>2</v>
      </c>
      <c r="F90" s="30">
        <v>2</v>
      </c>
      <c r="G90" s="30">
        <v>36</v>
      </c>
      <c r="H90" s="30">
        <v>5</v>
      </c>
      <c r="I90" s="30"/>
      <c r="J90" s="43"/>
      <c r="K90" s="43"/>
      <c r="L90" s="36">
        <f t="shared" ref="L90:L99" si="3">SUM(D90:K90)</f>
        <v>47</v>
      </c>
    </row>
    <row r="91" spans="2:12" x14ac:dyDescent="0.25">
      <c r="B91" s="11">
        <v>1112011</v>
      </c>
      <c r="C91" s="19" t="s">
        <v>76</v>
      </c>
      <c r="D91" s="30">
        <v>3</v>
      </c>
      <c r="E91" s="30">
        <v>1</v>
      </c>
      <c r="F91" s="30">
        <v>6</v>
      </c>
      <c r="G91" s="30">
        <v>30</v>
      </c>
      <c r="H91" s="30"/>
      <c r="I91" s="30"/>
      <c r="J91" s="43"/>
      <c r="K91" s="43"/>
      <c r="L91" s="36">
        <f t="shared" si="3"/>
        <v>40</v>
      </c>
    </row>
    <row r="92" spans="2:12" x14ac:dyDescent="0.25">
      <c r="B92" s="11">
        <v>1112003</v>
      </c>
      <c r="C92" s="19" t="s">
        <v>77</v>
      </c>
      <c r="D92" s="30">
        <v>1</v>
      </c>
      <c r="E92" s="30">
        <v>2</v>
      </c>
      <c r="F92" s="30"/>
      <c r="G92" s="30">
        <v>42</v>
      </c>
      <c r="H92" s="30">
        <v>11</v>
      </c>
      <c r="I92" s="30"/>
      <c r="J92" s="43"/>
      <c r="K92" s="43"/>
      <c r="L92" s="36">
        <f t="shared" si="3"/>
        <v>56</v>
      </c>
    </row>
    <row r="93" spans="2:12" x14ac:dyDescent="0.25">
      <c r="B93" s="11">
        <v>1112005</v>
      </c>
      <c r="C93" s="19" t="s">
        <v>78</v>
      </c>
      <c r="D93" s="30">
        <v>1</v>
      </c>
      <c r="E93" s="30">
        <v>2</v>
      </c>
      <c r="F93" s="30"/>
      <c r="G93" s="30">
        <v>36</v>
      </c>
      <c r="H93" s="30">
        <v>6</v>
      </c>
      <c r="I93" s="30"/>
      <c r="J93" s="43"/>
      <c r="K93" s="43"/>
      <c r="L93" s="36">
        <f t="shared" si="3"/>
        <v>45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3</v>
      </c>
      <c r="E97" s="30">
        <v>1</v>
      </c>
      <c r="F97" s="30"/>
      <c r="G97" s="30">
        <v>36</v>
      </c>
      <c r="H97" s="30">
        <v>6</v>
      </c>
      <c r="I97" s="30"/>
      <c r="J97" s="43"/>
      <c r="K97" s="43"/>
      <c r="L97" s="36">
        <f t="shared" si="3"/>
        <v>46</v>
      </c>
    </row>
    <row r="98" spans="2:12" x14ac:dyDescent="0.25">
      <c r="B98" s="11">
        <v>1112013</v>
      </c>
      <c r="C98" s="19" t="s">
        <v>83</v>
      </c>
      <c r="D98" s="30">
        <v>1</v>
      </c>
      <c r="E98" s="30">
        <v>2</v>
      </c>
      <c r="F98" s="30"/>
      <c r="G98" s="30">
        <v>36</v>
      </c>
      <c r="H98" s="30">
        <v>6</v>
      </c>
      <c r="I98" s="30"/>
      <c r="J98" s="43"/>
      <c r="K98" s="43"/>
      <c r="L98" s="36">
        <f t="shared" si="3"/>
        <v>45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279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>
        <v>5</v>
      </c>
      <c r="H120" s="30"/>
      <c r="I120" s="30"/>
      <c r="J120" s="43"/>
      <c r="K120" s="43"/>
      <c r="L120" s="36">
        <f t="shared" si="5"/>
        <v>5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2</v>
      </c>
      <c r="E123" s="30">
        <v>15</v>
      </c>
      <c r="F123" s="30">
        <v>2</v>
      </c>
      <c r="G123" s="30">
        <v>209</v>
      </c>
      <c r="H123" s="30">
        <v>69</v>
      </c>
      <c r="I123" s="30"/>
      <c r="J123" s="43"/>
      <c r="K123" s="43"/>
      <c r="L123" s="36">
        <f t="shared" si="5"/>
        <v>297</v>
      </c>
    </row>
    <row r="124" spans="2:12" x14ac:dyDescent="0.25">
      <c r="B124" s="11">
        <v>1114502</v>
      </c>
      <c r="C124" s="21" t="s">
        <v>96</v>
      </c>
      <c r="D124" s="30">
        <v>2</v>
      </c>
      <c r="E124" s="30">
        <v>5</v>
      </c>
      <c r="F124" s="30">
        <v>2</v>
      </c>
      <c r="G124" s="30">
        <v>209</v>
      </c>
      <c r="H124" s="30">
        <v>69</v>
      </c>
      <c r="I124" s="30"/>
      <c r="J124" s="43"/>
      <c r="K124" s="43"/>
      <c r="L124" s="36">
        <f t="shared" si="5"/>
        <v>287</v>
      </c>
    </row>
    <row r="125" spans="2:12" x14ac:dyDescent="0.25">
      <c r="B125" s="11">
        <v>1114503</v>
      </c>
      <c r="C125" s="21" t="s">
        <v>97</v>
      </c>
      <c r="D125" s="30">
        <v>2</v>
      </c>
      <c r="E125" s="30">
        <v>5</v>
      </c>
      <c r="F125" s="30">
        <v>4</v>
      </c>
      <c r="G125" s="30">
        <v>197</v>
      </c>
      <c r="H125" s="30">
        <v>66</v>
      </c>
      <c r="I125" s="30"/>
      <c r="J125" s="43"/>
      <c r="K125" s="43"/>
      <c r="L125" s="36">
        <f t="shared" si="5"/>
        <v>274</v>
      </c>
    </row>
    <row r="126" spans="2:12" x14ac:dyDescent="0.25">
      <c r="B126" s="11">
        <v>1124021</v>
      </c>
      <c r="C126" s="21" t="s">
        <v>98</v>
      </c>
      <c r="D126" s="30"/>
      <c r="E126" s="30">
        <v>12</v>
      </c>
      <c r="F126" s="30">
        <v>6</v>
      </c>
      <c r="G126" s="30">
        <v>2</v>
      </c>
      <c r="H126" s="30"/>
      <c r="I126" s="30"/>
      <c r="J126" s="43"/>
      <c r="K126" s="43"/>
      <c r="L126" s="36">
        <f t="shared" si="5"/>
        <v>20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>
        <v>8</v>
      </c>
      <c r="H137" s="30"/>
      <c r="I137" s="30"/>
      <c r="J137" s="43"/>
      <c r="K137" s="43"/>
      <c r="L137" s="36">
        <f t="shared" si="5"/>
        <v>8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zoomScale="50" zoomScaleNormal="50" workbookViewId="0">
      <selection activeCell="S3" sqref="S2:S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148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24</v>
      </c>
      <c r="F7" s="30">
        <f>'เย็น '!F7+'เช้า '!F7+บ่าย!F7</f>
        <v>27</v>
      </c>
      <c r="G7" s="30">
        <f>'เย็น '!G7+'เช้า '!G7+บ่าย!G7</f>
        <v>21</v>
      </c>
      <c r="H7" s="30">
        <f>'เย็น '!H7+'เช้า '!H7+บ่าย!H7</f>
        <v>4</v>
      </c>
      <c r="I7" s="30">
        <f>'เย็น '!I7+'เช้า '!I7+บ่าย!I7</f>
        <v>0</v>
      </c>
      <c r="J7" s="30">
        <f>+G7+H7+I7</f>
        <v>25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76</v>
      </c>
      <c r="N7" s="11">
        <v>70</v>
      </c>
      <c r="O7" s="11">
        <v>4</v>
      </c>
      <c r="P7" s="11"/>
      <c r="Q7" s="11">
        <v>70</v>
      </c>
      <c r="R7" s="44">
        <f>(N7+O7+P7+Q7)-M7</f>
        <v>68</v>
      </c>
    </row>
    <row r="8" spans="2:18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2</v>
      </c>
      <c r="F25" s="30">
        <f>'เย็น '!F25+'เช้า '!F25+บ่าย!F25</f>
        <v>1</v>
      </c>
      <c r="G25" s="30">
        <f>'เย็น '!G25+'เช้า '!G25+บ่าย!G25</f>
        <v>0</v>
      </c>
      <c r="H25" s="30">
        <f>'เย็น '!H25+'เช้า '!H25+บ่าย!H25</f>
        <v>3</v>
      </c>
      <c r="I25" s="30">
        <f>'เย็น '!I25+'เช้า '!I25+บ่าย!I25</f>
        <v>0</v>
      </c>
      <c r="J25" s="30">
        <f t="shared" si="0"/>
        <v>3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9</v>
      </c>
      <c r="N25" s="11"/>
      <c r="O25" s="11">
        <v>5</v>
      </c>
      <c r="P25" s="11"/>
      <c r="Q25" s="11">
        <v>10</v>
      </c>
      <c r="R25" s="44">
        <f t="shared" si="2"/>
        <v>6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6</v>
      </c>
      <c r="F26" s="30">
        <f>'เย็น '!F26+'เช้า '!F26+บ่าย!F26</f>
        <v>1</v>
      </c>
      <c r="G26" s="30">
        <f>'เย็น '!G26+'เช้า '!G26+บ่าย!G26</f>
        <v>27</v>
      </c>
      <c r="H26" s="30">
        <f>'เย็น '!H26+'เช้า '!H26+บ่าย!H26</f>
        <v>9</v>
      </c>
      <c r="I26" s="30">
        <f>'เย็น '!I26+'เช้า '!I26+บ่าย!I26</f>
        <v>0</v>
      </c>
      <c r="J26" s="30">
        <f t="shared" si="0"/>
        <v>36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43</v>
      </c>
      <c r="N26" s="11">
        <v>90</v>
      </c>
      <c r="O26" s="11">
        <v>5</v>
      </c>
      <c r="P26" s="11"/>
      <c r="Q26" s="11">
        <v>90</v>
      </c>
      <c r="R26" s="44">
        <f t="shared" si="2"/>
        <v>142</v>
      </c>
    </row>
    <row r="27" spans="2:18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4</v>
      </c>
      <c r="N40" s="11"/>
      <c r="O40" s="11"/>
      <c r="P40" s="11"/>
      <c r="Q40" s="11"/>
      <c r="R40" s="44">
        <f t="shared" si="2"/>
        <v>-4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4</v>
      </c>
      <c r="N41" s="11"/>
      <c r="O41" s="11"/>
      <c r="P41" s="11"/>
      <c r="Q41" s="11"/>
      <c r="R41" s="44">
        <f t="shared" si="2"/>
        <v>-4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4</v>
      </c>
      <c r="N42" s="11"/>
      <c r="O42" s="11"/>
      <c r="P42" s="11"/>
      <c r="Q42" s="11"/>
      <c r="R42" s="44">
        <f t="shared" si="2"/>
        <v>-4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4</v>
      </c>
      <c r="N43" s="11"/>
      <c r="O43" s="11"/>
      <c r="P43" s="11"/>
      <c r="Q43" s="11"/>
      <c r="R43" s="44">
        <f t="shared" si="2"/>
        <v>-4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4</v>
      </c>
      <c r="N44" s="11"/>
      <c r="O44" s="11"/>
      <c r="P44" s="11"/>
      <c r="Q44" s="11"/>
      <c r="R44" s="44">
        <f t="shared" si="2"/>
        <v>-4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4</v>
      </c>
      <c r="N45" s="11"/>
      <c r="O45" s="11"/>
      <c r="P45" s="11"/>
      <c r="Q45" s="11"/>
      <c r="R45" s="44">
        <f t="shared" si="2"/>
        <v>-4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4</v>
      </c>
      <c r="N46" s="11"/>
      <c r="O46" s="11"/>
      <c r="P46" s="11"/>
      <c r="Q46" s="11"/>
      <c r="R46" s="44">
        <f t="shared" si="2"/>
        <v>-4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4</v>
      </c>
      <c r="N47" s="11"/>
      <c r="O47" s="11"/>
      <c r="P47" s="11"/>
      <c r="Q47" s="11"/>
      <c r="R47" s="44">
        <f t="shared" si="2"/>
        <v>-4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4</v>
      </c>
      <c r="N48" s="11"/>
      <c r="O48" s="11"/>
      <c r="P48" s="11"/>
      <c r="Q48" s="11"/>
      <c r="R48" s="44">
        <f t="shared" si="2"/>
        <v>-4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4</v>
      </c>
      <c r="N49" s="11"/>
      <c r="O49" s="11"/>
      <c r="P49" s="11"/>
      <c r="Q49" s="11"/>
      <c r="R49" s="44">
        <f t="shared" si="2"/>
        <v>-4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1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5</v>
      </c>
      <c r="N50" s="11"/>
      <c r="O50" s="11"/>
      <c r="P50" s="11"/>
      <c r="Q50" s="11"/>
      <c r="R50" s="44">
        <f t="shared" si="2"/>
        <v>-5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1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4</v>
      </c>
      <c r="N51" s="11"/>
      <c r="O51" s="11"/>
      <c r="P51" s="11"/>
      <c r="Q51" s="11"/>
      <c r="R51" s="44">
        <f t="shared" si="2"/>
        <v>-4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3</v>
      </c>
      <c r="N52" s="11"/>
      <c r="O52" s="11"/>
      <c r="P52" s="11"/>
      <c r="Q52" s="11"/>
      <c r="R52" s="44">
        <f t="shared" si="2"/>
        <v>-3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6</v>
      </c>
      <c r="E69" s="30">
        <f>'เย็น '!E69+'เช้า '!E69+บ่าย!E69</f>
        <v>4</v>
      </c>
      <c r="F69" s="30">
        <f>'เย็น '!F69+'เช้า '!F69+บ่าย!F69</f>
        <v>5</v>
      </c>
      <c r="G69" s="30">
        <f>'เย็น '!G69+'เช้า '!G69+บ่าย!G69</f>
        <v>61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 t="shared" si="0"/>
        <v>62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77</v>
      </c>
      <c r="N69" s="11">
        <v>15</v>
      </c>
      <c r="O69" s="11">
        <v>5</v>
      </c>
      <c r="P69" s="11">
        <v>60</v>
      </c>
      <c r="Q69" s="11">
        <v>15</v>
      </c>
      <c r="R69" s="44">
        <f t="shared" ref="R69:R76" si="4">(N69+O69+P69+Q69)-M69</f>
        <v>18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15</v>
      </c>
      <c r="F87" s="30">
        <f>'เย็น '!F87+'เช้า '!F87+บ่าย!F87</f>
        <v>0</v>
      </c>
      <c r="G87" s="30">
        <f>'เย็น '!G87+'เช้า '!G87+บ่าย!G87</f>
        <v>30</v>
      </c>
      <c r="H87" s="30">
        <f>'เย็น '!H87+'เช้า '!H87+บ่าย!H87</f>
        <v>34</v>
      </c>
      <c r="I87" s="30">
        <f>'เย็น '!I87+'เช้า '!I87+บ่าย!I87</f>
        <v>0</v>
      </c>
      <c r="J87" s="30">
        <f t="shared" si="5"/>
        <v>64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79</v>
      </c>
      <c r="N87" s="11">
        <v>90</v>
      </c>
      <c r="O87" s="11">
        <v>120</v>
      </c>
      <c r="P87" s="11"/>
      <c r="Q87" s="11">
        <v>90</v>
      </c>
      <c r="R87" s="44">
        <f t="shared" si="8"/>
        <v>221</v>
      </c>
    </row>
    <row r="88" spans="2:18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2</v>
      </c>
      <c r="F90" s="30">
        <f>'เย็น '!F90+'เช้า '!F90+บ่าย!F90</f>
        <v>2</v>
      </c>
      <c r="G90" s="30">
        <f>'เย็น '!G90+'เช้า '!G90+บ่าย!G90</f>
        <v>36</v>
      </c>
      <c r="H90" s="30">
        <f>'เย็น '!H90+'เช้า '!H90+บ่าย!H90</f>
        <v>5</v>
      </c>
      <c r="I90" s="30">
        <f>'เย็น '!I90+'เช้า '!I90+บ่าย!I90</f>
        <v>0</v>
      </c>
      <c r="J90" s="30">
        <f t="shared" si="5"/>
        <v>41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47</v>
      </c>
      <c r="N90" s="11">
        <v>50</v>
      </c>
      <c r="O90" s="11">
        <v>73</v>
      </c>
      <c r="P90" s="11"/>
      <c r="Q90" s="11">
        <v>50</v>
      </c>
      <c r="R90" s="44">
        <f t="shared" ref="R90:R100" si="9">(N90+O90+P90+Q90)-M90</f>
        <v>126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1</v>
      </c>
      <c r="F91" s="30">
        <f>'เย็น '!F91+'เช้า '!F91+บ่าย!F91</f>
        <v>6</v>
      </c>
      <c r="G91" s="30">
        <f>'เย็น '!G91+'เช้า '!G91+บ่าย!G91</f>
        <v>30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30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40</v>
      </c>
      <c r="N91" s="11">
        <v>50</v>
      </c>
      <c r="O91" s="11">
        <v>59</v>
      </c>
      <c r="P91" s="11"/>
      <c r="Q91" s="11">
        <v>50</v>
      </c>
      <c r="R91" s="44">
        <f t="shared" si="9"/>
        <v>119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42</v>
      </c>
      <c r="H92" s="30">
        <f>'เย็น '!H92+'เช้า '!H92+บ่าย!H92</f>
        <v>11</v>
      </c>
      <c r="I92" s="30">
        <f>'เย็น '!I92+'เช้า '!I92+บ่าย!I92</f>
        <v>0</v>
      </c>
      <c r="J92" s="30">
        <f t="shared" si="5"/>
        <v>53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56</v>
      </c>
      <c r="N92" s="11">
        <v>50</v>
      </c>
      <c r="O92" s="11">
        <v>85</v>
      </c>
      <c r="P92" s="11"/>
      <c r="Q92" s="11">
        <v>50</v>
      </c>
      <c r="R92" s="44">
        <f t="shared" si="9"/>
        <v>129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1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36</v>
      </c>
      <c r="H93" s="30">
        <f>'เย็น '!H93+'เช้า '!H93+บ่าย!H93</f>
        <v>6</v>
      </c>
      <c r="I93" s="30">
        <f>'เย็น '!I93+'เช้า '!I93+บ่าย!I93</f>
        <v>0</v>
      </c>
      <c r="J93" s="30">
        <f t="shared" si="5"/>
        <v>42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45</v>
      </c>
      <c r="N93" s="11">
        <v>50</v>
      </c>
      <c r="O93" s="11">
        <v>72</v>
      </c>
      <c r="P93" s="11"/>
      <c r="Q93" s="11">
        <v>50</v>
      </c>
      <c r="R93" s="44">
        <f t="shared" si="9"/>
        <v>127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36</v>
      </c>
      <c r="H97" s="30">
        <f>'เย็น '!H97+'เช้า '!H97+บ่าย!H97</f>
        <v>6</v>
      </c>
      <c r="I97" s="30">
        <f>'เย็น '!I97+'เช้า '!I97+บ่าย!I97</f>
        <v>0</v>
      </c>
      <c r="J97" s="30">
        <f t="shared" si="5"/>
        <v>42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46</v>
      </c>
      <c r="N97" s="11">
        <v>50</v>
      </c>
      <c r="O97" s="11">
        <v>78</v>
      </c>
      <c r="P97" s="11"/>
      <c r="Q97" s="11">
        <v>50</v>
      </c>
      <c r="R97" s="44">
        <f t="shared" si="9"/>
        <v>132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2</v>
      </c>
      <c r="F98" s="30">
        <f>'เย็น '!F98+'เช้า '!F98+บ่าย!F98</f>
        <v>0</v>
      </c>
      <c r="G98" s="30">
        <f>'เย็น '!G98+'เช้า '!G98+บ่าย!G98</f>
        <v>36</v>
      </c>
      <c r="H98" s="30">
        <f>'เย็น '!H98+'เช้า '!H98+บ่าย!H98</f>
        <v>6</v>
      </c>
      <c r="I98" s="30">
        <f>'เย็น '!I98+'เช้า '!I98+บ่าย!I98</f>
        <v>0</v>
      </c>
      <c r="J98" s="30">
        <f t="shared" si="5"/>
        <v>42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45</v>
      </c>
      <c r="N98" s="11">
        <v>50</v>
      </c>
      <c r="O98" s="11">
        <v>76</v>
      </c>
      <c r="P98" s="11"/>
      <c r="Q98" s="11">
        <v>50</v>
      </c>
      <c r="R98" s="44">
        <f t="shared" si="9"/>
        <v>131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300</v>
      </c>
      <c r="O100" s="11">
        <f>SUM(O90:O99)</f>
        <v>443</v>
      </c>
      <c r="P100" s="11">
        <f>SUM(P90:P99)</f>
        <v>0</v>
      </c>
      <c r="Q100" s="11">
        <f>SUM(Q90:Q99)</f>
        <v>300</v>
      </c>
      <c r="R100" s="44">
        <f t="shared" si="9"/>
        <v>1043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/>
      <c r="P114" s="11"/>
      <c r="Q114" s="11">
        <v>60</v>
      </c>
      <c r="R114" s="44">
        <f t="shared" ref="R114:R151" si="11">(N114+O114+P114+Q114)-M114</f>
        <v>60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0</v>
      </c>
      <c r="N115" s="11"/>
      <c r="O115" s="11"/>
      <c r="P115" s="11"/>
      <c r="Q115" s="11">
        <v>50</v>
      </c>
      <c r="R115" s="44">
        <f t="shared" si="11"/>
        <v>50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5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5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5</v>
      </c>
      <c r="N120" s="11"/>
      <c r="O120" s="11">
        <v>20</v>
      </c>
      <c r="P120" s="11"/>
      <c r="Q120" s="11"/>
      <c r="R120" s="44">
        <f t="shared" si="11"/>
        <v>15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15</v>
      </c>
      <c r="F123" s="30">
        <f>บ่าย!F123+'เช้า '!F123+'เย็น '!F123</f>
        <v>2</v>
      </c>
      <c r="G123" s="30">
        <f>บ่าย!G123+'เช้า '!G123+'เย็น '!G123</f>
        <v>209</v>
      </c>
      <c r="H123" s="30">
        <f>บ่าย!H123+'เช้า '!H123+'เย็น '!H123</f>
        <v>69</v>
      </c>
      <c r="I123" s="30">
        <f>บ่าย!I123+'เช้า '!I123+'เย็น '!I123</f>
        <v>0</v>
      </c>
      <c r="J123" s="30">
        <f t="shared" si="5"/>
        <v>278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297</v>
      </c>
      <c r="N123" s="11">
        <v>417</v>
      </c>
      <c r="O123" s="11">
        <v>593</v>
      </c>
      <c r="P123" s="11"/>
      <c r="Q123" s="11">
        <v>400</v>
      </c>
      <c r="R123" s="44">
        <f t="shared" si="11"/>
        <v>1113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2</v>
      </c>
      <c r="E124" s="30">
        <f>บ่าย!E124+'เช้า '!E124+'เย็น '!E124</f>
        <v>5</v>
      </c>
      <c r="F124" s="30">
        <f>บ่าย!F124+'เช้า '!F124+'เย็น '!F124</f>
        <v>2</v>
      </c>
      <c r="G124" s="30">
        <f>บ่าย!G124+'เช้า '!G124+'เย็น '!G124</f>
        <v>209</v>
      </c>
      <c r="H124" s="30">
        <f>บ่าย!H124+'เช้า '!H124+'เย็น '!H124</f>
        <v>69</v>
      </c>
      <c r="I124" s="30">
        <f>บ่าย!I124+'เช้า '!I124+'เย็น '!I124</f>
        <v>0</v>
      </c>
      <c r="J124" s="30">
        <f t="shared" si="5"/>
        <v>278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287</v>
      </c>
      <c r="N124" s="11">
        <v>363</v>
      </c>
      <c r="O124" s="11">
        <v>420</v>
      </c>
      <c r="P124" s="11"/>
      <c r="Q124" s="11">
        <v>350</v>
      </c>
      <c r="R124" s="44">
        <f t="shared" si="11"/>
        <v>846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5</v>
      </c>
      <c r="F125" s="30">
        <f>บ่าย!F125+'เช้า '!F125+'เย็น '!F125</f>
        <v>4</v>
      </c>
      <c r="G125" s="30">
        <f>บ่าย!G125+'เช้า '!G125+'เย็น '!G125</f>
        <v>197</v>
      </c>
      <c r="H125" s="30">
        <f>บ่าย!H125+'เช้า '!H125+'เย็น '!H125</f>
        <v>66</v>
      </c>
      <c r="I125" s="30">
        <f>บ่าย!I125+'เช้า '!I125+'เย็น '!I125</f>
        <v>0</v>
      </c>
      <c r="J125" s="30">
        <f t="shared" si="5"/>
        <v>263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274</v>
      </c>
      <c r="N125" s="11">
        <v>414</v>
      </c>
      <c r="O125" s="11">
        <v>410</v>
      </c>
      <c r="P125" s="11"/>
      <c r="Q125" s="11">
        <v>350</v>
      </c>
      <c r="R125" s="44">
        <f t="shared" si="11"/>
        <v>900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12</v>
      </c>
      <c r="F126" s="30">
        <f>บ่าย!F126+'เช้า '!F126+'เย็น '!F126</f>
        <v>6</v>
      </c>
      <c r="G126" s="30">
        <f>บ่าย!G126+'เช้า '!G126+'เย็น '!G126</f>
        <v>2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2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20</v>
      </c>
      <c r="N126" s="11">
        <v>30</v>
      </c>
      <c r="O126" s="11">
        <v>1</v>
      </c>
      <c r="P126" s="11"/>
      <c r="Q126" s="11">
        <v>30</v>
      </c>
      <c r="R126" s="44">
        <f t="shared" si="11"/>
        <v>41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8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8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8</v>
      </c>
      <c r="N137" s="11"/>
      <c r="O137" s="11">
        <v>40</v>
      </c>
      <c r="P137" s="11"/>
      <c r="Q137" s="11"/>
      <c r="R137" s="44">
        <f t="shared" si="11"/>
        <v>32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28</v>
      </c>
      <c r="E152" s="60">
        <f t="shared" ref="E152:R152" si="14">SUM(E114:E151,E90:E99,E79:E87,E69:E76,E7:E66,E102:E111)</f>
        <v>148</v>
      </c>
      <c r="F152" s="60">
        <f t="shared" si="14"/>
        <v>56</v>
      </c>
      <c r="G152" s="60">
        <f t="shared" si="14"/>
        <v>985</v>
      </c>
      <c r="H152" s="60">
        <f t="shared" si="14"/>
        <v>289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0</v>
      </c>
      <c r="M152" s="60">
        <f t="shared" si="14"/>
        <v>1506</v>
      </c>
      <c r="N152" s="60">
        <f t="shared" si="14"/>
        <v>1789</v>
      </c>
      <c r="O152" s="60">
        <f t="shared" si="14"/>
        <v>2066</v>
      </c>
      <c r="P152" s="60">
        <f t="shared" si="14"/>
        <v>60</v>
      </c>
      <c r="Q152" s="60">
        <f t="shared" si="14"/>
        <v>1815</v>
      </c>
      <c r="R152" s="60">
        <f t="shared" si="14"/>
        <v>4224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2025-06-30T00:35:10Z</cp:lastPrinted>
  <dcterms:created xsi:type="dcterms:W3CDTF">2024-04-30T05:21:27Z</dcterms:created>
  <dcterms:modified xsi:type="dcterms:W3CDTF">2025-07-01T07:12:26Z</dcterms:modified>
</cp:coreProperties>
</file>