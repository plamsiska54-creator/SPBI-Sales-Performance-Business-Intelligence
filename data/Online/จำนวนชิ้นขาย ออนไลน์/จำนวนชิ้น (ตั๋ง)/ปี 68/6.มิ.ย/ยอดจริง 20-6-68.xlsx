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E10BB555-E8FC-4085-94B3-812104DCA06D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7" i="5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7" i="4"/>
  <c r="L141" i="3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D142" i="5"/>
  <c r="E142" i="5"/>
  <c r="F142" i="5"/>
  <c r="G142" i="5"/>
  <c r="H142" i="5"/>
  <c r="I142" i="5"/>
  <c r="K142" i="5"/>
  <c r="L142" i="5"/>
  <c r="D143" i="5"/>
  <c r="E143" i="5"/>
  <c r="F143" i="5"/>
  <c r="G143" i="5"/>
  <c r="R143" i="5" s="1"/>
  <c r="H143" i="5"/>
  <c r="K143" i="5"/>
  <c r="L143" i="5"/>
  <c r="E137" i="5"/>
  <c r="F137" i="5"/>
  <c r="G137" i="5"/>
  <c r="H137" i="5"/>
  <c r="I137" i="5"/>
  <c r="K137" i="5"/>
  <c r="L137" i="5"/>
  <c r="R140" i="5" l="1"/>
  <c r="R142" i="5"/>
  <c r="R141" i="5"/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N144" i="5" l="1"/>
  <c r="O144" i="5"/>
  <c r="P144" i="5"/>
  <c r="Q14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77" i="6" s="1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D9" i="5"/>
  <c r="E9" i="5"/>
  <c r="F9" i="5"/>
  <c r="G9" i="5"/>
  <c r="H9" i="5"/>
  <c r="I9" i="5"/>
  <c r="K9" i="5"/>
  <c r="D10" i="5"/>
  <c r="E10" i="5"/>
  <c r="F10" i="5"/>
  <c r="G10" i="5"/>
  <c r="H10" i="5"/>
  <c r="I10" i="5"/>
  <c r="K10" i="5"/>
  <c r="D11" i="5"/>
  <c r="E11" i="5"/>
  <c r="F11" i="5"/>
  <c r="G11" i="5"/>
  <c r="H11" i="5"/>
  <c r="I11" i="5"/>
  <c r="K11" i="5"/>
  <c r="D12" i="5"/>
  <c r="E12" i="5"/>
  <c r="F12" i="5"/>
  <c r="G12" i="5"/>
  <c r="H12" i="5"/>
  <c r="I12" i="5"/>
  <c r="K12" i="5"/>
  <c r="D13" i="5"/>
  <c r="E13" i="5"/>
  <c r="F13" i="5"/>
  <c r="G13" i="5"/>
  <c r="H13" i="5"/>
  <c r="I13" i="5"/>
  <c r="K13" i="5"/>
  <c r="D14" i="5"/>
  <c r="E14" i="5"/>
  <c r="F14" i="5"/>
  <c r="G14" i="5"/>
  <c r="H14" i="5"/>
  <c r="I14" i="5"/>
  <c r="K14" i="5"/>
  <c r="D15" i="5"/>
  <c r="E15" i="5"/>
  <c r="F15" i="5"/>
  <c r="G15" i="5"/>
  <c r="H15" i="5"/>
  <c r="I15" i="5"/>
  <c r="K15" i="5"/>
  <c r="D16" i="5"/>
  <c r="E16" i="5"/>
  <c r="F16" i="5"/>
  <c r="G16" i="5"/>
  <c r="H16" i="5"/>
  <c r="I16" i="5"/>
  <c r="K16" i="5"/>
  <c r="D17" i="5"/>
  <c r="E17" i="5"/>
  <c r="F17" i="5"/>
  <c r="G17" i="5"/>
  <c r="H17" i="5"/>
  <c r="I17" i="5"/>
  <c r="K17" i="5"/>
  <c r="D18" i="5"/>
  <c r="E18" i="5"/>
  <c r="F18" i="5"/>
  <c r="G18" i="5"/>
  <c r="H18" i="5"/>
  <c r="I18" i="5"/>
  <c r="K18" i="5"/>
  <c r="D19" i="5"/>
  <c r="E19" i="5"/>
  <c r="F19" i="5"/>
  <c r="G19" i="5"/>
  <c r="H19" i="5"/>
  <c r="I19" i="5"/>
  <c r="K19" i="5"/>
  <c r="D20" i="5"/>
  <c r="E20" i="5"/>
  <c r="F20" i="5"/>
  <c r="G20" i="5"/>
  <c r="H20" i="5"/>
  <c r="I20" i="5"/>
  <c r="K20" i="5"/>
  <c r="D21" i="5"/>
  <c r="E21" i="5"/>
  <c r="F21" i="5"/>
  <c r="G21" i="5"/>
  <c r="H21" i="5"/>
  <c r="I21" i="5"/>
  <c r="K21" i="5"/>
  <c r="D22" i="5"/>
  <c r="E22" i="5"/>
  <c r="F22" i="5"/>
  <c r="G22" i="5"/>
  <c r="H22" i="5"/>
  <c r="I22" i="5"/>
  <c r="K22" i="5"/>
  <c r="D23" i="5"/>
  <c r="E23" i="5"/>
  <c r="F23" i="5"/>
  <c r="G23" i="5"/>
  <c r="H23" i="5"/>
  <c r="I23" i="5"/>
  <c r="K23" i="5"/>
  <c r="D24" i="5"/>
  <c r="E24" i="5"/>
  <c r="F24" i="5"/>
  <c r="G24" i="5"/>
  <c r="H24" i="5"/>
  <c r="I24" i="5"/>
  <c r="K24" i="5"/>
  <c r="D25" i="5"/>
  <c r="E25" i="5"/>
  <c r="F25" i="5"/>
  <c r="G25" i="5"/>
  <c r="H25" i="5"/>
  <c r="I25" i="5"/>
  <c r="K25" i="5"/>
  <c r="D26" i="5"/>
  <c r="E26" i="5"/>
  <c r="F26" i="5"/>
  <c r="G26" i="5"/>
  <c r="H26" i="5"/>
  <c r="I26" i="5"/>
  <c r="K26" i="5"/>
  <c r="D27" i="5"/>
  <c r="E27" i="5"/>
  <c r="F27" i="5"/>
  <c r="G27" i="5"/>
  <c r="H27" i="5"/>
  <c r="I27" i="5"/>
  <c r="K27" i="5"/>
  <c r="D28" i="5"/>
  <c r="E28" i="5"/>
  <c r="F28" i="5"/>
  <c r="G28" i="5"/>
  <c r="H28" i="5"/>
  <c r="I28" i="5"/>
  <c r="K28" i="5"/>
  <c r="D29" i="5"/>
  <c r="E29" i="5"/>
  <c r="F29" i="5"/>
  <c r="G29" i="5"/>
  <c r="H29" i="5"/>
  <c r="I29" i="5"/>
  <c r="K29" i="5"/>
  <c r="D30" i="5"/>
  <c r="E30" i="5"/>
  <c r="F30" i="5"/>
  <c r="G30" i="5"/>
  <c r="H30" i="5"/>
  <c r="I30" i="5"/>
  <c r="K30" i="5"/>
  <c r="D31" i="5"/>
  <c r="E31" i="5"/>
  <c r="F31" i="5"/>
  <c r="G31" i="5"/>
  <c r="H31" i="5"/>
  <c r="I31" i="5"/>
  <c r="K31" i="5"/>
  <c r="D32" i="5"/>
  <c r="E32" i="5"/>
  <c r="F32" i="5"/>
  <c r="G32" i="5"/>
  <c r="H32" i="5"/>
  <c r="I32" i="5"/>
  <c r="K32" i="5"/>
  <c r="D33" i="5"/>
  <c r="E33" i="5"/>
  <c r="F33" i="5"/>
  <c r="G33" i="5"/>
  <c r="H33" i="5"/>
  <c r="I33" i="5"/>
  <c r="K33" i="5"/>
  <c r="D34" i="5"/>
  <c r="E34" i="5"/>
  <c r="F34" i="5"/>
  <c r="G34" i="5"/>
  <c r="H34" i="5"/>
  <c r="I34" i="5"/>
  <c r="K34" i="5"/>
  <c r="D35" i="5"/>
  <c r="E35" i="5"/>
  <c r="F35" i="5"/>
  <c r="G35" i="5"/>
  <c r="H35" i="5"/>
  <c r="I35" i="5"/>
  <c r="K35" i="5"/>
  <c r="D36" i="5"/>
  <c r="E36" i="5"/>
  <c r="F36" i="5"/>
  <c r="G36" i="5"/>
  <c r="H36" i="5"/>
  <c r="I36" i="5"/>
  <c r="K36" i="5"/>
  <c r="D37" i="5"/>
  <c r="E37" i="5"/>
  <c r="F37" i="5"/>
  <c r="G37" i="5"/>
  <c r="H37" i="5"/>
  <c r="I37" i="5"/>
  <c r="K37" i="5"/>
  <c r="D38" i="5"/>
  <c r="E38" i="5"/>
  <c r="F38" i="5"/>
  <c r="G38" i="5"/>
  <c r="H38" i="5"/>
  <c r="I38" i="5"/>
  <c r="K38" i="5"/>
  <c r="D39" i="5"/>
  <c r="E39" i="5"/>
  <c r="F39" i="5"/>
  <c r="G39" i="5"/>
  <c r="H39" i="5"/>
  <c r="I39" i="5"/>
  <c r="K39" i="5"/>
  <c r="D40" i="5"/>
  <c r="E40" i="5"/>
  <c r="F40" i="5"/>
  <c r="G40" i="5"/>
  <c r="H40" i="5"/>
  <c r="I40" i="5"/>
  <c r="K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F7" i="5"/>
  <c r="G7" i="5"/>
  <c r="H7" i="5"/>
  <c r="I7" i="5"/>
  <c r="K7" i="5"/>
  <c r="D7" i="5"/>
  <c r="L112" i="3" l="1"/>
  <c r="L100" i="6"/>
  <c r="L67" i="6"/>
  <c r="L88" i="6"/>
  <c r="L112" i="6"/>
  <c r="L144" i="5"/>
  <c r="M142" i="4"/>
  <c r="R136" i="5"/>
  <c r="R137" i="5"/>
  <c r="R135" i="5"/>
  <c r="R133" i="5"/>
  <c r="R138" i="5"/>
  <c r="R134" i="5"/>
  <c r="R132" i="5"/>
  <c r="R131" i="5"/>
  <c r="R139" i="5"/>
  <c r="L77" i="3"/>
  <c r="L88" i="3"/>
  <c r="L100" i="3"/>
  <c r="L67" i="3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G144" i="5" l="1"/>
  <c r="K144" i="5"/>
  <c r="I144" i="5"/>
  <c r="F144" i="5"/>
  <c r="E144" i="5"/>
  <c r="H144" i="5"/>
  <c r="D144" i="5"/>
  <c r="R121" i="5"/>
  <c r="R114" i="5"/>
  <c r="R90" i="5"/>
  <c r="R99" i="5" s="1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100" i="5"/>
  <c r="R35" i="5"/>
  <c r="R44" i="5"/>
  <c r="R62" i="5"/>
  <c r="R23" i="5"/>
  <c r="R66" i="5"/>
  <c r="R50" i="5"/>
  <c r="R34" i="5"/>
  <c r="R18" i="5"/>
  <c r="R82" i="5"/>
  <c r="M144" i="5" l="1"/>
  <c r="R102" i="5"/>
  <c r="R144" i="5" s="1"/>
  <c r="R112" i="5"/>
  <c r="R88" i="5"/>
  <c r="R67" i="5"/>
</calcChain>
</file>

<file path=xl/sharedStrings.xml><?xml version="1.0" encoding="utf-8"?>
<sst xmlns="http://schemas.openxmlformats.org/spreadsheetml/2006/main" count="622" uniqueCount="148">
  <si>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</si>
  <si>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</si>
  <si>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</si>
  <si>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</si>
  <si>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</si>
  <si>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</si>
  <si>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</si>
  <si>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</si>
  <si>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</si>
  <si>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</si>
  <si>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</si>
  <si>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</si>
  <si>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</si>
  <si>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</si>
  <si>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</si>
  <si>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</si>
  <si>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</si>
  <si>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</si>
  <si>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</si>
  <si>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</si>
  <si>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</si>
  <si>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</si>
  <si>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</si>
  <si>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</si>
  <si>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</si>
  <si>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</si>
  <si>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</si>
  <si>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</si>
  <si>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</si>
  <si>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</si>
  <si>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</si>
  <si>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</si>
  <si>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</si>
  <si>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</si>
  <si>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</si>
  <si>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</si>
  <si>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</si>
  <si>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</si>
  <si>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</si>
  <si>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</si>
  <si>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</si>
  <si>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</si>
  <si>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</si>
  <si>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</si>
  <si>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</si>
  <si>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</si>
  <si>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</si>
  <si>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</si>
  <si>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</si>
  <si>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</si>
  <si>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</si>
  <si>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</si>
  <si>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</si>
  <si>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</si>
  <si>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</si>
  <si>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</si>
  <si>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</si>
  <si>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</si>
  <si>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</si>
  <si>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</si>
  <si>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</si>
  <si>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</si>
  <si>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</si>
  <si>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</si>
  <si>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</si>
  <si>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</si>
  <si>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</si>
  <si>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</si>
  <si>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</si>
  <si>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</si>
  <si>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</si>
  <si>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</si>
  <si>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</si>
  <si>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</si>
  <si>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</si>
  <si>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</si>
  <si>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</si>
  <si>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</si>
  <si>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</si>
  <si>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</si>
  <si>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</si>
  <si>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</si>
  <si>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</si>
  <si>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</si>
  <si>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</si>
  <si>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</si>
  <si>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</si>
  <si>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</si>
  <si>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</si>
  <si>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</si>
  <si>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</si>
  <si>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</si>
  <si>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</si>
  <si>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</si>
  <si>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</si>
  <si>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</si>
  <si>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</si>
  <si>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</si>
  <si>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</si>
  <si>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</si>
  <si>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</si>
  <si>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</si>
  <si>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</si>
  <si>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</si>
  <si>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</si>
  <si>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</si>
  <si>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</si>
  <si>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</si>
  <si>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</si>
  <si>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</si>
  <si>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</si>
  <si>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</si>
  <si>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</si>
  <si>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</si>
  <si>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</si>
  <si>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</si>
  <si>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</si>
  <si>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</si>
  <si>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</si>
  <si>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</si>
  <si>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</si>
  <si>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</si>
  <si>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</si>
  <si>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</si>
  <si>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</si>
  <si>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</si>
  <si>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</si>
  <si>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</si>
  <si>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</si>
  <si>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</si>
  <si>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</si>
  <si>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</si>
  <si>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</si>
  <si>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</si>
  <si>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</si>
  <si>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</si>
  <si>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</si>
  <si>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</si>
  <si>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</si>
  <si>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</si>
  <si>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</si>
  <si>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</si>
  <si>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</si>
  <si>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</t>
  </si>
  <si>
    <t>ยอดจริง ออนไลน์ วันที่ 20/6/68  รวม</t>
  </si>
  <si>
    <t>ยอดจริง ออนไลน์ วันที่  20/6/68เช้า</t>
  </si>
  <si>
    <t>ยอดจริง ออนไลน์ วันที่ 20/6/68 บ่าย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</si>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</sst>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22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2" zoomScale="60" zoomScaleNormal="60" workbookViewId="0">
      <selection activeCell="O69" sqref="O69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2</v>
      </c>
      <c r="E7" s="30">
        <v>2</v>
      </c>
      <c r="F7" s="30">
        <v>12</v>
      </c>
      <c r="G7" s="30">
        <v>10</v>
      </c>
      <c r="H7" s="30"/>
      <c r="I7" s="30"/>
      <c r="J7" s="43"/>
      <c r="K7" s="43"/>
      <c r="L7" s="36">
        <f>SUM(D7:K7)</f>
        <v>26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/>
      <c r="F25" s="30">
        <v>3</v>
      </c>
      <c r="G25" s="30">
        <v>1</v>
      </c>
      <c r="H25" s="30"/>
      <c r="I25" s="30"/>
      <c r="J25" s="43"/>
      <c r="K25" s="43"/>
      <c r="L25" s="36">
        <f t="shared" si="0"/>
        <v>5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33</v>
      </c>
      <c r="H26" s="30"/>
      <c r="I26" s="30"/>
      <c r="J26" s="43"/>
      <c r="K26" s="43">
        <v>30</v>
      </c>
      <c r="L26" s="36">
        <f t="shared" si="0"/>
        <v>63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27</v>
      </c>
      <c r="F40" s="30"/>
      <c r="G40" s="30"/>
      <c r="H40" s="30"/>
      <c r="I40" s="30"/>
      <c r="J40" s="43"/>
      <c r="K40" s="43"/>
      <c r="L40" s="36">
        <f t="shared" si="0"/>
        <v>27</v>
      </c>
    </row>
    <row r="41" spans="2:12" x14ac:dyDescent="0.25">
      <c r="B41" s="11">
        <v>1111058</v>
      </c>
      <c r="C41" s="15" t="s">
        <v>31</v>
      </c>
      <c r="D41" s="30"/>
      <c r="E41" s="30">
        <v>27</v>
      </c>
      <c r="F41" s="30"/>
      <c r="G41" s="30"/>
      <c r="H41" s="30"/>
      <c r="I41" s="30"/>
      <c r="J41" s="43"/>
      <c r="K41" s="43"/>
      <c r="L41" s="36">
        <f t="shared" si="0"/>
        <v>27</v>
      </c>
    </row>
    <row r="42" spans="2:12" x14ac:dyDescent="0.25">
      <c r="B42" s="11">
        <v>1111059</v>
      </c>
      <c r="C42" s="15" t="s">
        <v>32</v>
      </c>
      <c r="D42" s="30"/>
      <c r="E42" s="30">
        <v>27</v>
      </c>
      <c r="F42" s="30"/>
      <c r="G42" s="30"/>
      <c r="H42" s="30"/>
      <c r="I42" s="30"/>
      <c r="J42" s="43"/>
      <c r="K42" s="43"/>
      <c r="L42" s="36">
        <f t="shared" si="0"/>
        <v>27</v>
      </c>
    </row>
    <row r="43" spans="2:12" x14ac:dyDescent="0.25">
      <c r="B43" s="11">
        <v>1111060</v>
      </c>
      <c r="C43" s="15" t="s">
        <v>33</v>
      </c>
      <c r="D43" s="30"/>
      <c r="E43" s="30">
        <v>27</v>
      </c>
      <c r="F43" s="30"/>
      <c r="G43" s="30"/>
      <c r="H43" s="30"/>
      <c r="I43" s="30"/>
      <c r="J43" s="43"/>
      <c r="K43" s="43"/>
      <c r="L43" s="36">
        <f t="shared" si="0"/>
        <v>27</v>
      </c>
    </row>
    <row r="44" spans="2:12" x14ac:dyDescent="0.25">
      <c r="B44" s="11">
        <v>1111061</v>
      </c>
      <c r="C44" s="15" t="s">
        <v>34</v>
      </c>
      <c r="D44" s="30"/>
      <c r="E44" s="30">
        <v>27</v>
      </c>
      <c r="F44" s="30"/>
      <c r="G44" s="30"/>
      <c r="H44" s="30"/>
      <c r="I44" s="30"/>
      <c r="J44" s="43"/>
      <c r="K44" s="43"/>
      <c r="L44" s="36">
        <f t="shared" si="0"/>
        <v>27</v>
      </c>
    </row>
    <row r="45" spans="2:12" x14ac:dyDescent="0.25">
      <c r="B45" s="11">
        <v>1111062</v>
      </c>
      <c r="C45" s="15" t="s">
        <v>35</v>
      </c>
      <c r="D45" s="30"/>
      <c r="E45" s="30">
        <v>27</v>
      </c>
      <c r="F45" s="30"/>
      <c r="G45" s="30"/>
      <c r="H45" s="30"/>
      <c r="I45" s="30"/>
      <c r="J45" s="43"/>
      <c r="K45" s="43"/>
      <c r="L45" s="36">
        <f t="shared" si="0"/>
        <v>27</v>
      </c>
    </row>
    <row r="46" spans="2:12" x14ac:dyDescent="0.25">
      <c r="B46" s="11">
        <v>1111063</v>
      </c>
      <c r="C46" s="15" t="s">
        <v>36</v>
      </c>
      <c r="D46" s="30"/>
      <c r="E46" s="30">
        <v>27</v>
      </c>
      <c r="F46" s="30"/>
      <c r="G46" s="30"/>
      <c r="H46" s="30"/>
      <c r="I46" s="30"/>
      <c r="J46" s="43"/>
      <c r="K46" s="43"/>
      <c r="L46" s="36">
        <f t="shared" si="0"/>
        <v>27</v>
      </c>
    </row>
    <row r="47" spans="2:12" x14ac:dyDescent="0.25">
      <c r="B47" s="11">
        <v>1111064</v>
      </c>
      <c r="C47" s="15" t="s">
        <v>37</v>
      </c>
      <c r="D47" s="30"/>
      <c r="E47" s="30">
        <v>27</v>
      </c>
      <c r="F47" s="30"/>
      <c r="G47" s="30"/>
      <c r="H47" s="30"/>
      <c r="I47" s="30"/>
      <c r="J47" s="43"/>
      <c r="K47" s="43"/>
      <c r="L47" s="36">
        <f t="shared" si="0"/>
        <v>27</v>
      </c>
    </row>
    <row r="48" spans="2:12" x14ac:dyDescent="0.25">
      <c r="B48" s="11">
        <v>1111065</v>
      </c>
      <c r="C48" s="15" t="s">
        <v>38</v>
      </c>
      <c r="D48" s="30"/>
      <c r="E48" s="30">
        <v>27</v>
      </c>
      <c r="F48" s="30"/>
      <c r="G48" s="30"/>
      <c r="H48" s="30"/>
      <c r="I48" s="30"/>
      <c r="J48" s="43"/>
      <c r="K48" s="43"/>
      <c r="L48" s="36">
        <f t="shared" si="0"/>
        <v>27</v>
      </c>
    </row>
    <row r="49" spans="2:12" x14ac:dyDescent="0.25">
      <c r="B49" s="11">
        <v>1111066</v>
      </c>
      <c r="C49" s="15" t="s">
        <v>39</v>
      </c>
      <c r="D49" s="30"/>
      <c r="E49" s="30">
        <v>27</v>
      </c>
      <c r="F49" s="30"/>
      <c r="G49" s="30"/>
      <c r="H49" s="30"/>
      <c r="I49" s="30"/>
      <c r="J49" s="43"/>
      <c r="K49" s="43"/>
      <c r="L49" s="36">
        <f t="shared" si="0"/>
        <v>27</v>
      </c>
    </row>
    <row r="50" spans="2:12" hidden="1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hidden="1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hidden="1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hidden="1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hidden="1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hidden="1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hidden="1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hidden="1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hidden="1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hidden="1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hidden="1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hidden="1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hidden="1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hidden="1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hidden="1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hidden="1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hidden="1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364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2</v>
      </c>
      <c r="E69" s="30"/>
      <c r="F69" s="30">
        <v>1</v>
      </c>
      <c r="G69" s="30"/>
      <c r="H69" s="30"/>
      <c r="I69" s="30"/>
      <c r="J69" s="43"/>
      <c r="K69" s="43"/>
      <c r="L69" s="36">
        <f t="shared" ref="L69:L76" si="1">SUM(D69:K69)</f>
        <v>3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61</v>
      </c>
      <c r="E87" s="30"/>
      <c r="F87" s="30"/>
      <c r="G87" s="30"/>
      <c r="H87" s="30"/>
      <c r="I87" s="30"/>
      <c r="J87" s="43"/>
      <c r="K87" s="43">
        <v>5</v>
      </c>
      <c r="L87" s="36">
        <f t="shared" si="2"/>
        <v>66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66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5</v>
      </c>
      <c r="E90" s="30"/>
      <c r="F90" s="30"/>
      <c r="G90" s="30">
        <v>6</v>
      </c>
      <c r="H90" s="30"/>
      <c r="I90" s="30"/>
      <c r="J90" s="43"/>
      <c r="K90" s="43"/>
      <c r="L90" s="36">
        <f t="shared" ref="L90:L99" si="3">SUM(D90:K90)</f>
        <v>11</v>
      </c>
    </row>
    <row r="91" spans="2:12" x14ac:dyDescent="0.25">
      <c r="B91" s="11">
        <v>1112011</v>
      </c>
      <c r="C91" s="19" t="s">
        <v>76</v>
      </c>
      <c r="D91" s="30">
        <v>3</v>
      </c>
      <c r="E91" s="30"/>
      <c r="F91" s="30">
        <v>2</v>
      </c>
      <c r="G91" s="30">
        <v>6</v>
      </c>
      <c r="H91" s="30"/>
      <c r="I91" s="30"/>
      <c r="J91" s="43"/>
      <c r="K91" s="43"/>
      <c r="L91" s="36">
        <f t="shared" si="3"/>
        <v>11</v>
      </c>
    </row>
    <row r="92" spans="2:12" x14ac:dyDescent="0.25">
      <c r="B92" s="11">
        <v>1112003</v>
      </c>
      <c r="C92" s="19" t="s">
        <v>77</v>
      </c>
      <c r="D92" s="30">
        <v>7</v>
      </c>
      <c r="E92" s="30"/>
      <c r="F92" s="30"/>
      <c r="G92" s="30">
        <v>6</v>
      </c>
      <c r="H92" s="30"/>
      <c r="I92" s="30"/>
      <c r="J92" s="43"/>
      <c r="K92" s="43"/>
      <c r="L92" s="36">
        <f t="shared" si="3"/>
        <v>13</v>
      </c>
    </row>
    <row r="93" spans="2:12" x14ac:dyDescent="0.25">
      <c r="B93" s="11">
        <v>1112005</v>
      </c>
      <c r="C93" s="19" t="s">
        <v>78</v>
      </c>
      <c r="D93" s="30">
        <v>5</v>
      </c>
      <c r="E93" s="30"/>
      <c r="F93" s="30"/>
      <c r="G93" s="30">
        <v>6</v>
      </c>
      <c r="H93" s="30"/>
      <c r="I93" s="30"/>
      <c r="J93" s="43"/>
      <c r="K93" s="43"/>
      <c r="L93" s="36">
        <f t="shared" si="3"/>
        <v>11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4</v>
      </c>
      <c r="E97" s="30"/>
      <c r="F97" s="30"/>
      <c r="G97" s="30">
        <v>6</v>
      </c>
      <c r="H97" s="30"/>
      <c r="I97" s="30"/>
      <c r="J97" s="43"/>
      <c r="K97" s="43"/>
      <c r="L97" s="36">
        <f t="shared" si="3"/>
        <v>10</v>
      </c>
    </row>
    <row r="98" spans="2:12" x14ac:dyDescent="0.25">
      <c r="B98" s="11">
        <v>1112013</v>
      </c>
      <c r="C98" s="19" t="s">
        <v>83</v>
      </c>
      <c r="D98" s="30">
        <v>4</v>
      </c>
      <c r="E98" s="30"/>
      <c r="F98" s="30"/>
      <c r="G98" s="30">
        <v>6</v>
      </c>
      <c r="H98" s="30"/>
      <c r="I98" s="30"/>
      <c r="J98" s="43"/>
      <c r="K98" s="43"/>
      <c r="L98" s="36">
        <f t="shared" si="3"/>
        <v>10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66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>
        <v>50</v>
      </c>
      <c r="E121" s="30"/>
      <c r="F121" s="30"/>
      <c r="G121" s="30"/>
      <c r="H121" s="30"/>
      <c r="I121" s="30"/>
      <c r="J121" s="43"/>
      <c r="K121" s="43"/>
      <c r="L121" s="36">
        <f t="shared" si="5"/>
        <v>50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3</v>
      </c>
      <c r="E123" s="30">
        <v>4</v>
      </c>
      <c r="F123" s="30">
        <v>6</v>
      </c>
      <c r="G123" s="30">
        <v>91</v>
      </c>
      <c r="H123" s="30"/>
      <c r="I123" s="30"/>
      <c r="J123" s="43"/>
      <c r="K123" s="43"/>
      <c r="L123" s="36">
        <f t="shared" si="5"/>
        <v>104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>
        <v>1</v>
      </c>
      <c r="F124" s="30"/>
      <c r="G124" s="30">
        <v>82</v>
      </c>
      <c r="H124" s="30"/>
      <c r="I124" s="30"/>
      <c r="J124" s="43"/>
      <c r="K124" s="43"/>
      <c r="L124" s="36">
        <f t="shared" si="5"/>
        <v>85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>
        <v>1</v>
      </c>
      <c r="F125" s="30"/>
      <c r="G125" s="30">
        <v>78</v>
      </c>
      <c r="H125" s="30"/>
      <c r="I125" s="30"/>
      <c r="J125" s="43"/>
      <c r="K125" s="43"/>
      <c r="L125" s="36">
        <f t="shared" si="5"/>
        <v>81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143</v>
      </c>
      <c r="D141" s="51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D141" sqref="D14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M164"/>
  <sheetViews>
    <sheetView topLeftCell="A126" zoomScale="60" zoomScaleNormal="60" workbookViewId="0">
      <selection activeCell="A126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</cols>
  <sheetData>
    <row r="1" spans="2:13" x14ac:dyDescent="0.25">
      <c r="B1" s="69" t="s">
        <v>146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2:13" x14ac:dyDescent="0.25">
      <c r="B2" s="70"/>
      <c r="C2" s="71"/>
      <c r="D2" s="1"/>
      <c r="E2" s="72"/>
      <c r="F2" s="72"/>
      <c r="G2" s="2"/>
      <c r="H2" s="2"/>
      <c r="I2" s="2"/>
      <c r="J2" s="2"/>
      <c r="K2" s="2"/>
      <c r="L2" s="2"/>
      <c r="M2" s="3" t="s">
        <v>0</v>
      </c>
    </row>
    <row r="3" spans="2:13" x14ac:dyDescent="0.25">
      <c r="B3" s="70"/>
      <c r="C3" s="71"/>
      <c r="D3" s="4"/>
      <c r="E3" s="73"/>
      <c r="F3" s="73"/>
      <c r="G3" s="5"/>
      <c r="H3" s="5"/>
      <c r="I3" s="5"/>
      <c r="J3" s="66"/>
      <c r="K3" s="41"/>
      <c r="L3" s="41"/>
      <c r="M3" s="6" t="s">
        <v>2</v>
      </c>
    </row>
    <row r="4" spans="2:13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147</v>
      </c>
      <c r="K4" s="42" t="s">
        <v>133</v>
      </c>
      <c r="L4" s="42" t="s">
        <v>135</v>
      </c>
      <c r="M4" s="10" t="s">
        <v>10</v>
      </c>
    </row>
    <row r="5" spans="2:13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</row>
    <row r="6" spans="2:13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x14ac:dyDescent="0.25">
      <c r="B7" s="11">
        <v>1111002</v>
      </c>
      <c r="C7" s="15" t="s">
        <v>107</v>
      </c>
      <c r="D7" s="30"/>
      <c r="E7" s="30">
        <v>6</v>
      </c>
      <c r="F7" s="30">
        <v>9</v>
      </c>
      <c r="G7" s="30">
        <v>3</v>
      </c>
      <c r="H7" s="30"/>
      <c r="I7" s="30"/>
      <c r="J7" s="43">
        <f>+G7+H7+I7</f>
        <v>3</v>
      </c>
      <c r="K7" s="43"/>
      <c r="L7" s="43"/>
      <c r="M7" s="36">
        <f>+D7+E7+F7+J7+K7+L7</f>
        <v>18</v>
      </c>
    </row>
    <row r="8" spans="2:13" ht="22.5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>
        <f t="shared" ref="J8:J71" si="0">+G8+H8+I8</f>
        <v>0</v>
      </c>
      <c r="K8" s="43"/>
      <c r="L8" s="43"/>
      <c r="M8" s="36">
        <f t="shared" ref="M8:M71" si="1">+D8+E8+F8+J8+K8+L8</f>
        <v>0</v>
      </c>
    </row>
    <row r="9" spans="2:13" ht="22.5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>
        <f t="shared" si="0"/>
        <v>0</v>
      </c>
      <c r="K9" s="43"/>
      <c r="L9" s="43"/>
      <c r="M9" s="36">
        <f t="shared" si="1"/>
        <v>0</v>
      </c>
    </row>
    <row r="10" spans="2:13" ht="22.5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>
        <f t="shared" si="0"/>
        <v>0</v>
      </c>
      <c r="K10" s="43"/>
      <c r="L10" s="43"/>
      <c r="M10" s="36">
        <f t="shared" si="1"/>
        <v>0</v>
      </c>
    </row>
    <row r="11" spans="2:13" ht="22.5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>
        <f t="shared" si="0"/>
        <v>0</v>
      </c>
      <c r="K11" s="43"/>
      <c r="L11" s="43"/>
      <c r="M11" s="36">
        <f t="shared" si="1"/>
        <v>0</v>
      </c>
    </row>
    <row r="12" spans="2:13" ht="22.5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>
        <f t="shared" si="0"/>
        <v>0</v>
      </c>
      <c r="K12" s="43"/>
      <c r="L12" s="43"/>
      <c r="M12" s="36">
        <f t="shared" si="1"/>
        <v>0</v>
      </c>
    </row>
    <row r="13" spans="2:13" ht="22.5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>
        <f t="shared" si="0"/>
        <v>0</v>
      </c>
      <c r="K13" s="43"/>
      <c r="L13" s="43"/>
      <c r="M13" s="36">
        <f t="shared" si="1"/>
        <v>0</v>
      </c>
    </row>
    <row r="14" spans="2:13" ht="22.5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>
        <f t="shared" si="0"/>
        <v>0</v>
      </c>
      <c r="K14" s="43"/>
      <c r="L14" s="43"/>
      <c r="M14" s="36">
        <f t="shared" si="1"/>
        <v>0</v>
      </c>
    </row>
    <row r="15" spans="2:13" ht="22.5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>
        <f t="shared" si="0"/>
        <v>0</v>
      </c>
      <c r="K15" s="43"/>
      <c r="L15" s="43"/>
      <c r="M15" s="36">
        <f t="shared" si="1"/>
        <v>0</v>
      </c>
    </row>
    <row r="16" spans="2:13" ht="22.5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>
        <f t="shared" si="0"/>
        <v>0</v>
      </c>
      <c r="K16" s="43"/>
      <c r="L16" s="43"/>
      <c r="M16" s="36">
        <f t="shared" si="1"/>
        <v>0</v>
      </c>
    </row>
    <row r="17" spans="2:13" ht="22.5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>
        <f t="shared" si="0"/>
        <v>0</v>
      </c>
      <c r="K17" s="43"/>
      <c r="L17" s="43"/>
      <c r="M17" s="36">
        <f t="shared" si="1"/>
        <v>0</v>
      </c>
    </row>
    <row r="18" spans="2:13" ht="22.5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>
        <f t="shared" si="0"/>
        <v>0</v>
      </c>
      <c r="K18" s="43"/>
      <c r="L18" s="43"/>
      <c r="M18" s="36">
        <f t="shared" si="1"/>
        <v>0</v>
      </c>
    </row>
    <row r="19" spans="2:13" ht="22.5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>
        <f t="shared" si="0"/>
        <v>0</v>
      </c>
      <c r="K19" s="43"/>
      <c r="L19" s="43"/>
      <c r="M19" s="36">
        <f t="shared" si="1"/>
        <v>0</v>
      </c>
    </row>
    <row r="20" spans="2:13" ht="22.5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>
        <f t="shared" si="0"/>
        <v>0</v>
      </c>
      <c r="K20" s="43"/>
      <c r="L20" s="43"/>
      <c r="M20" s="36">
        <f t="shared" si="1"/>
        <v>0</v>
      </c>
    </row>
    <row r="21" spans="2:13" ht="22.5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>
        <f t="shared" si="0"/>
        <v>0</v>
      </c>
      <c r="K21" s="43"/>
      <c r="L21" s="43"/>
      <c r="M21" s="36">
        <f t="shared" si="1"/>
        <v>0</v>
      </c>
    </row>
    <row r="22" spans="2:13" ht="22.5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>
        <f t="shared" si="0"/>
        <v>0</v>
      </c>
      <c r="K22" s="43"/>
      <c r="L22" s="43"/>
      <c r="M22" s="36">
        <f t="shared" si="1"/>
        <v>0</v>
      </c>
    </row>
    <row r="23" spans="2:13" ht="22.5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>
        <f t="shared" si="0"/>
        <v>0</v>
      </c>
      <c r="K23" s="43"/>
      <c r="L23" s="43"/>
      <c r="M23" s="36">
        <f t="shared" si="1"/>
        <v>0</v>
      </c>
    </row>
    <row r="24" spans="2:13" ht="22.5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>
        <f t="shared" si="0"/>
        <v>0</v>
      </c>
      <c r="K24" s="43"/>
      <c r="L24" s="43"/>
      <c r="M24" s="36">
        <f t="shared" si="1"/>
        <v>0</v>
      </c>
    </row>
    <row r="25" spans="2:13" x14ac:dyDescent="0.25">
      <c r="B25" s="11">
        <v>1111056</v>
      </c>
      <c r="C25" s="15" t="s">
        <v>28</v>
      </c>
      <c r="D25" s="30"/>
      <c r="E25" s="30"/>
      <c r="F25" s="30"/>
      <c r="G25" s="30">
        <v>1</v>
      </c>
      <c r="H25" s="30"/>
      <c r="I25" s="30"/>
      <c r="J25" s="43">
        <f t="shared" si="0"/>
        <v>1</v>
      </c>
      <c r="K25" s="43"/>
      <c r="L25" s="43"/>
      <c r="M25" s="36">
        <f t="shared" si="1"/>
        <v>1</v>
      </c>
    </row>
    <row r="26" spans="2:13" x14ac:dyDescent="0.25">
      <c r="B26" s="11">
        <v>1004055</v>
      </c>
      <c r="C26" s="15" t="s">
        <v>108</v>
      </c>
      <c r="D26" s="30"/>
      <c r="E26" s="30"/>
      <c r="F26" s="30"/>
      <c r="G26" s="30">
        <v>12</v>
      </c>
      <c r="H26" s="30"/>
      <c r="I26" s="30"/>
      <c r="J26" s="43">
        <f t="shared" si="0"/>
        <v>12</v>
      </c>
      <c r="K26" s="43"/>
      <c r="L26" s="43"/>
      <c r="M26" s="36">
        <f t="shared" si="1"/>
        <v>12</v>
      </c>
    </row>
    <row r="27" spans="2:13" ht="22.5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>
        <f t="shared" si="0"/>
        <v>0</v>
      </c>
      <c r="K27" s="43"/>
      <c r="L27" s="43"/>
      <c r="M27" s="36">
        <f t="shared" si="1"/>
        <v>0</v>
      </c>
    </row>
    <row r="28" spans="2:13" ht="22.5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>
        <f t="shared" si="0"/>
        <v>0</v>
      </c>
      <c r="K28" s="43"/>
      <c r="L28" s="43"/>
      <c r="M28" s="36">
        <f t="shared" si="1"/>
        <v>0</v>
      </c>
    </row>
    <row r="29" spans="2:13" ht="22.5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>
        <f t="shared" si="0"/>
        <v>0</v>
      </c>
      <c r="K29" s="43"/>
      <c r="L29" s="43"/>
      <c r="M29" s="36">
        <f t="shared" si="1"/>
        <v>0</v>
      </c>
    </row>
    <row r="30" spans="2:13" ht="22.5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>
        <f t="shared" si="0"/>
        <v>0</v>
      </c>
      <c r="K30" s="43"/>
      <c r="L30" s="43"/>
      <c r="M30" s="36">
        <f t="shared" si="1"/>
        <v>0</v>
      </c>
    </row>
    <row r="31" spans="2:13" ht="22.5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>
        <f t="shared" si="0"/>
        <v>0</v>
      </c>
      <c r="K31" s="43"/>
      <c r="L31" s="43"/>
      <c r="M31" s="36">
        <f t="shared" si="1"/>
        <v>0</v>
      </c>
    </row>
    <row r="32" spans="2:13" ht="22.5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>
        <f t="shared" si="0"/>
        <v>0</v>
      </c>
      <c r="K32" s="43"/>
      <c r="L32" s="43"/>
      <c r="M32" s="36">
        <f t="shared" si="1"/>
        <v>0</v>
      </c>
    </row>
    <row r="33" spans="2:13" ht="22.5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>
        <f t="shared" si="0"/>
        <v>0</v>
      </c>
      <c r="K33" s="43"/>
      <c r="L33" s="43"/>
      <c r="M33" s="36">
        <f t="shared" si="1"/>
        <v>0</v>
      </c>
    </row>
    <row r="34" spans="2:13" ht="22.5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>
        <f t="shared" si="0"/>
        <v>0</v>
      </c>
      <c r="K34" s="43"/>
      <c r="L34" s="43"/>
      <c r="M34" s="36">
        <f t="shared" si="1"/>
        <v>0</v>
      </c>
    </row>
    <row r="35" spans="2:13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>
        <f t="shared" si="0"/>
        <v>0</v>
      </c>
      <c r="K35" s="43"/>
      <c r="L35" s="43"/>
      <c r="M35" s="36">
        <f t="shared" si="1"/>
        <v>0</v>
      </c>
    </row>
    <row r="36" spans="2:13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>
        <f t="shared" si="0"/>
        <v>0</v>
      </c>
      <c r="K36" s="43"/>
      <c r="L36" s="43"/>
      <c r="M36" s="36">
        <f t="shared" si="1"/>
        <v>0</v>
      </c>
    </row>
    <row r="37" spans="2:13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>
        <f t="shared" si="0"/>
        <v>0</v>
      </c>
      <c r="K37" s="43"/>
      <c r="L37" s="43"/>
      <c r="M37" s="36">
        <f t="shared" si="1"/>
        <v>0</v>
      </c>
    </row>
    <row r="38" spans="2:13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>
        <f t="shared" si="0"/>
        <v>0</v>
      </c>
      <c r="K38" s="43"/>
      <c r="L38" s="43"/>
      <c r="M38" s="36">
        <f t="shared" si="1"/>
        <v>0</v>
      </c>
    </row>
    <row r="39" spans="2:13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>
        <f t="shared" si="0"/>
        <v>0</v>
      </c>
      <c r="K39" s="43"/>
      <c r="L39" s="43"/>
      <c r="M39" s="36">
        <f t="shared" si="1"/>
        <v>0</v>
      </c>
    </row>
    <row r="40" spans="2:13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>
        <f t="shared" si="0"/>
        <v>0</v>
      </c>
      <c r="K40" s="43"/>
      <c r="L40" s="43"/>
      <c r="M40" s="36">
        <f t="shared" si="1"/>
        <v>0</v>
      </c>
    </row>
    <row r="41" spans="2:13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>
        <f t="shared" si="0"/>
        <v>0</v>
      </c>
      <c r="K41" s="43"/>
      <c r="L41" s="43"/>
      <c r="M41" s="36">
        <f t="shared" si="1"/>
        <v>0</v>
      </c>
    </row>
    <row r="42" spans="2:13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>
        <f t="shared" si="0"/>
        <v>0</v>
      </c>
      <c r="K42" s="43"/>
      <c r="L42" s="43"/>
      <c r="M42" s="36">
        <f t="shared" si="1"/>
        <v>0</v>
      </c>
    </row>
    <row r="43" spans="2:13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>
        <f t="shared" si="0"/>
        <v>0</v>
      </c>
      <c r="K43" s="43"/>
      <c r="L43" s="43"/>
      <c r="M43" s="36">
        <f t="shared" si="1"/>
        <v>0</v>
      </c>
    </row>
    <row r="44" spans="2:13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>
        <f t="shared" si="0"/>
        <v>0</v>
      </c>
      <c r="K44" s="43"/>
      <c r="L44" s="43"/>
      <c r="M44" s="36">
        <f t="shared" si="1"/>
        <v>0</v>
      </c>
    </row>
    <row r="45" spans="2:13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>
        <f t="shared" si="0"/>
        <v>0</v>
      </c>
      <c r="K45" s="43"/>
      <c r="L45" s="43"/>
      <c r="M45" s="36">
        <f t="shared" si="1"/>
        <v>0</v>
      </c>
    </row>
    <row r="46" spans="2:13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>
        <f t="shared" si="0"/>
        <v>0</v>
      </c>
      <c r="K46" s="43"/>
      <c r="L46" s="43"/>
      <c r="M46" s="36">
        <f t="shared" si="1"/>
        <v>0</v>
      </c>
    </row>
    <row r="47" spans="2:13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>
        <f t="shared" si="0"/>
        <v>0</v>
      </c>
      <c r="K47" s="43"/>
      <c r="L47" s="43"/>
      <c r="M47" s="36">
        <f t="shared" si="1"/>
        <v>0</v>
      </c>
    </row>
    <row r="48" spans="2:13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>
        <f t="shared" si="0"/>
        <v>0</v>
      </c>
      <c r="K48" s="43"/>
      <c r="L48" s="43"/>
      <c r="M48" s="36">
        <f t="shared" si="1"/>
        <v>0</v>
      </c>
    </row>
    <row r="49" spans="2:13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>
        <f t="shared" si="0"/>
        <v>0</v>
      </c>
      <c r="K49" s="43"/>
      <c r="L49" s="43"/>
      <c r="M49" s="36">
        <f t="shared" si="1"/>
        <v>0</v>
      </c>
    </row>
    <row r="50" spans="2:13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>
        <f t="shared" si="0"/>
        <v>0</v>
      </c>
      <c r="K50" s="43"/>
      <c r="L50" s="43"/>
      <c r="M50" s="36">
        <f t="shared" si="1"/>
        <v>0</v>
      </c>
    </row>
    <row r="51" spans="2:13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>
        <f t="shared" si="0"/>
        <v>0</v>
      </c>
      <c r="K51" s="43"/>
      <c r="L51" s="43"/>
      <c r="M51" s="36">
        <f t="shared" si="1"/>
        <v>0</v>
      </c>
    </row>
    <row r="52" spans="2:13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>
        <f t="shared" si="0"/>
        <v>0</v>
      </c>
      <c r="K52" s="43"/>
      <c r="L52" s="43"/>
      <c r="M52" s="36">
        <f t="shared" si="1"/>
        <v>0</v>
      </c>
    </row>
    <row r="53" spans="2:13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>
        <f t="shared" si="0"/>
        <v>0</v>
      </c>
      <c r="K53" s="43"/>
      <c r="L53" s="43"/>
      <c r="M53" s="36">
        <f t="shared" si="1"/>
        <v>0</v>
      </c>
    </row>
    <row r="54" spans="2:13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>
        <f t="shared" si="0"/>
        <v>0</v>
      </c>
      <c r="K54" s="43"/>
      <c r="L54" s="43"/>
      <c r="M54" s="36">
        <f t="shared" si="1"/>
        <v>0</v>
      </c>
    </row>
    <row r="55" spans="2:13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>
        <f t="shared" si="0"/>
        <v>0</v>
      </c>
      <c r="K55" s="43"/>
      <c r="L55" s="43"/>
      <c r="M55" s="36">
        <f t="shared" si="1"/>
        <v>0</v>
      </c>
    </row>
    <row r="56" spans="2:13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>
        <f t="shared" si="0"/>
        <v>0</v>
      </c>
      <c r="K56" s="43"/>
      <c r="L56" s="43"/>
      <c r="M56" s="36">
        <f t="shared" si="1"/>
        <v>0</v>
      </c>
    </row>
    <row r="57" spans="2:13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>
        <f t="shared" si="0"/>
        <v>0</v>
      </c>
      <c r="K57" s="43"/>
      <c r="L57" s="43"/>
      <c r="M57" s="36">
        <f t="shared" si="1"/>
        <v>0</v>
      </c>
    </row>
    <row r="58" spans="2:13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>
        <f t="shared" si="0"/>
        <v>0</v>
      </c>
      <c r="K58" s="43"/>
      <c r="L58" s="43"/>
      <c r="M58" s="36">
        <f t="shared" si="1"/>
        <v>0</v>
      </c>
    </row>
    <row r="59" spans="2:13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>
        <f t="shared" si="0"/>
        <v>0</v>
      </c>
      <c r="K59" s="43"/>
      <c r="L59" s="43"/>
      <c r="M59" s="36">
        <f t="shared" si="1"/>
        <v>0</v>
      </c>
    </row>
    <row r="60" spans="2:13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>
        <f t="shared" si="0"/>
        <v>0</v>
      </c>
      <c r="K60" s="43"/>
      <c r="L60" s="43"/>
      <c r="M60" s="36">
        <f t="shared" si="1"/>
        <v>0</v>
      </c>
    </row>
    <row r="61" spans="2:13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>
        <f t="shared" si="0"/>
        <v>0</v>
      </c>
      <c r="K61" s="43"/>
      <c r="L61" s="43"/>
      <c r="M61" s="36">
        <f t="shared" si="1"/>
        <v>0</v>
      </c>
    </row>
    <row r="62" spans="2:13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>
        <f t="shared" si="0"/>
        <v>0</v>
      </c>
      <c r="K62" s="43"/>
      <c r="L62" s="43"/>
      <c r="M62" s="36">
        <f t="shared" si="1"/>
        <v>0</v>
      </c>
    </row>
    <row r="63" spans="2:13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>
        <f t="shared" si="0"/>
        <v>0</v>
      </c>
      <c r="K63" s="43"/>
      <c r="L63" s="43"/>
      <c r="M63" s="36">
        <f t="shared" si="1"/>
        <v>0</v>
      </c>
    </row>
    <row r="64" spans="2:13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>
        <f t="shared" si="0"/>
        <v>0</v>
      </c>
      <c r="K64" s="43"/>
      <c r="L64" s="43"/>
      <c r="M64" s="36">
        <f t="shared" si="1"/>
        <v>0</v>
      </c>
    </row>
    <row r="65" spans="2:13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>
        <f t="shared" si="0"/>
        <v>0</v>
      </c>
      <c r="K65" s="43"/>
      <c r="L65" s="43"/>
      <c r="M65" s="36">
        <f t="shared" si="1"/>
        <v>0</v>
      </c>
    </row>
    <row r="66" spans="2:13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>
        <f t="shared" si="0"/>
        <v>0</v>
      </c>
      <c r="K66" s="43"/>
      <c r="L66" s="43"/>
      <c r="M66" s="36">
        <f t="shared" si="1"/>
        <v>0</v>
      </c>
    </row>
    <row r="67" spans="2:13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43">
        <f t="shared" si="0"/>
        <v>0</v>
      </c>
      <c r="K67" s="20"/>
      <c r="L67" s="20"/>
      <c r="M67" s="36">
        <f t="shared" si="1"/>
        <v>0</v>
      </c>
    </row>
    <row r="68" spans="2:13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43">
        <f t="shared" si="0"/>
        <v>0</v>
      </c>
      <c r="K68" s="68"/>
      <c r="L68" s="68"/>
      <c r="M68" s="36">
        <f t="shared" si="1"/>
        <v>0</v>
      </c>
    </row>
    <row r="69" spans="2:13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>
        <f t="shared" si="0"/>
        <v>0</v>
      </c>
      <c r="K69" s="43"/>
      <c r="L69" s="43"/>
      <c r="M69" s="36">
        <f t="shared" si="1"/>
        <v>0</v>
      </c>
    </row>
    <row r="70" spans="2:13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>
        <f t="shared" si="0"/>
        <v>0</v>
      </c>
      <c r="K70" s="43"/>
      <c r="L70" s="43"/>
      <c r="M70" s="36">
        <f t="shared" si="1"/>
        <v>0</v>
      </c>
    </row>
    <row r="71" spans="2:13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>
        <f t="shared" si="0"/>
        <v>0</v>
      </c>
      <c r="K71" s="43"/>
      <c r="L71" s="43"/>
      <c r="M71" s="36">
        <f t="shared" si="1"/>
        <v>0</v>
      </c>
    </row>
    <row r="72" spans="2:13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>
        <f t="shared" ref="J72:J135" si="2">+G72+H72+I72</f>
        <v>0</v>
      </c>
      <c r="K72" s="43"/>
      <c r="L72" s="43"/>
      <c r="M72" s="36">
        <f t="shared" ref="M72:M135" si="3">+D72+E72+F72+J72+K72+L72</f>
        <v>0</v>
      </c>
    </row>
    <row r="73" spans="2:13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>
        <f t="shared" si="2"/>
        <v>0</v>
      </c>
      <c r="K73" s="43"/>
      <c r="L73" s="43"/>
      <c r="M73" s="36">
        <f t="shared" si="3"/>
        <v>0</v>
      </c>
    </row>
    <row r="74" spans="2:13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>
        <f t="shared" si="2"/>
        <v>0</v>
      </c>
      <c r="K74" s="43"/>
      <c r="L74" s="43"/>
      <c r="M74" s="36">
        <f t="shared" si="3"/>
        <v>0</v>
      </c>
    </row>
    <row r="75" spans="2:13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>
        <f t="shared" si="2"/>
        <v>0</v>
      </c>
      <c r="K75" s="43"/>
      <c r="L75" s="43"/>
      <c r="M75" s="36">
        <f t="shared" si="3"/>
        <v>0</v>
      </c>
    </row>
    <row r="76" spans="2:13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>
        <f t="shared" si="2"/>
        <v>0</v>
      </c>
      <c r="K76" s="43"/>
      <c r="L76" s="43"/>
      <c r="M76" s="36">
        <f t="shared" si="3"/>
        <v>0</v>
      </c>
    </row>
    <row r="77" spans="2:13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43">
        <f t="shared" si="2"/>
        <v>0</v>
      </c>
      <c r="K77" s="20"/>
      <c r="L77" s="20"/>
      <c r="M77" s="36">
        <f t="shared" si="3"/>
        <v>0</v>
      </c>
    </row>
    <row r="78" spans="2:13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43">
        <f t="shared" si="2"/>
        <v>0</v>
      </c>
      <c r="K78" s="68"/>
      <c r="L78" s="68"/>
      <c r="M78" s="36">
        <f t="shared" si="3"/>
        <v>0</v>
      </c>
    </row>
    <row r="79" spans="2:13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>
        <f t="shared" si="2"/>
        <v>0</v>
      </c>
      <c r="K79" s="43"/>
      <c r="L79" s="43"/>
      <c r="M79" s="36">
        <f t="shared" si="3"/>
        <v>0</v>
      </c>
    </row>
    <row r="80" spans="2:13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>
        <f t="shared" si="2"/>
        <v>0</v>
      </c>
      <c r="K80" s="43"/>
      <c r="L80" s="43"/>
      <c r="M80" s="36">
        <f t="shared" si="3"/>
        <v>0</v>
      </c>
    </row>
    <row r="81" spans="2:13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>
        <f t="shared" si="2"/>
        <v>0</v>
      </c>
      <c r="K81" s="43"/>
      <c r="L81" s="43"/>
      <c r="M81" s="36">
        <f t="shared" si="3"/>
        <v>0</v>
      </c>
    </row>
    <row r="82" spans="2:13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>
        <f t="shared" si="2"/>
        <v>0</v>
      </c>
      <c r="K82" s="43"/>
      <c r="L82" s="43"/>
      <c r="M82" s="36">
        <f t="shared" si="3"/>
        <v>0</v>
      </c>
    </row>
    <row r="83" spans="2:13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>
        <f t="shared" si="2"/>
        <v>0</v>
      </c>
      <c r="K83" s="43"/>
      <c r="L83" s="43"/>
      <c r="M83" s="36">
        <f t="shared" si="3"/>
        <v>0</v>
      </c>
    </row>
    <row r="84" spans="2:13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>
        <f t="shared" si="2"/>
        <v>0</v>
      </c>
      <c r="K84" s="43"/>
      <c r="L84" s="43"/>
      <c r="M84" s="36">
        <f t="shared" si="3"/>
        <v>0</v>
      </c>
    </row>
    <row r="85" spans="2:13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>
        <f t="shared" si="2"/>
        <v>0</v>
      </c>
      <c r="K85" s="43"/>
      <c r="L85" s="43"/>
      <c r="M85" s="36">
        <f t="shared" si="3"/>
        <v>0</v>
      </c>
    </row>
    <row r="86" spans="2:13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>
        <f t="shared" si="2"/>
        <v>0</v>
      </c>
      <c r="K86" s="43"/>
      <c r="L86" s="43"/>
      <c r="M86" s="36">
        <f t="shared" si="3"/>
        <v>0</v>
      </c>
    </row>
    <row r="87" spans="2:13" x14ac:dyDescent="0.25">
      <c r="B87" s="11">
        <v>1111008</v>
      </c>
      <c r="C87" s="19" t="s">
        <v>73</v>
      </c>
      <c r="D87" s="30"/>
      <c r="E87" s="30"/>
      <c r="F87" s="30"/>
      <c r="G87" s="30">
        <v>37</v>
      </c>
      <c r="H87" s="30"/>
      <c r="I87" s="30"/>
      <c r="J87" s="43">
        <f t="shared" si="2"/>
        <v>37</v>
      </c>
      <c r="K87" s="43"/>
      <c r="L87" s="43"/>
      <c r="M87" s="36">
        <f t="shared" si="3"/>
        <v>37</v>
      </c>
    </row>
    <row r="88" spans="2:13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43">
        <f t="shared" si="2"/>
        <v>0</v>
      </c>
      <c r="K88" s="20"/>
      <c r="L88" s="20"/>
      <c r="M88" s="36">
        <f t="shared" si="3"/>
        <v>0</v>
      </c>
    </row>
    <row r="89" spans="2:13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43">
        <f t="shared" si="2"/>
        <v>0</v>
      </c>
      <c r="K89" s="68"/>
      <c r="L89" s="68"/>
      <c r="M89" s="36">
        <f t="shared" si="3"/>
        <v>0</v>
      </c>
    </row>
    <row r="90" spans="2:13" x14ac:dyDescent="0.25">
      <c r="B90" s="11">
        <v>1112009</v>
      </c>
      <c r="C90" s="19" t="s">
        <v>75</v>
      </c>
      <c r="D90" s="30"/>
      <c r="E90" s="30">
        <v>1</v>
      </c>
      <c r="F90" s="30"/>
      <c r="G90" s="30">
        <v>19</v>
      </c>
      <c r="H90" s="30"/>
      <c r="I90" s="30"/>
      <c r="J90" s="43">
        <f t="shared" si="2"/>
        <v>19</v>
      </c>
      <c r="K90" s="43"/>
      <c r="L90" s="43"/>
      <c r="M90" s="36">
        <f t="shared" si="3"/>
        <v>20</v>
      </c>
    </row>
    <row r="91" spans="2:13" x14ac:dyDescent="0.25">
      <c r="B91" s="11">
        <v>1112011</v>
      </c>
      <c r="C91" s="19" t="s">
        <v>76</v>
      </c>
      <c r="D91" s="30"/>
      <c r="E91" s="30">
        <v>1</v>
      </c>
      <c r="F91" s="30"/>
      <c r="G91" s="30">
        <v>19</v>
      </c>
      <c r="H91" s="30"/>
      <c r="I91" s="30"/>
      <c r="J91" s="43">
        <f t="shared" si="2"/>
        <v>19</v>
      </c>
      <c r="K91" s="43"/>
      <c r="L91" s="43"/>
      <c r="M91" s="36">
        <f t="shared" si="3"/>
        <v>20</v>
      </c>
    </row>
    <row r="92" spans="2:13" x14ac:dyDescent="0.25">
      <c r="B92" s="11">
        <v>1112003</v>
      </c>
      <c r="C92" s="19" t="s">
        <v>77</v>
      </c>
      <c r="D92" s="30"/>
      <c r="E92" s="30">
        <v>1</v>
      </c>
      <c r="F92" s="30"/>
      <c r="G92" s="30">
        <v>18</v>
      </c>
      <c r="H92" s="30"/>
      <c r="I92" s="30"/>
      <c r="J92" s="43">
        <f t="shared" si="2"/>
        <v>18</v>
      </c>
      <c r="K92" s="43"/>
      <c r="L92" s="43"/>
      <c r="M92" s="36">
        <f t="shared" si="3"/>
        <v>19</v>
      </c>
    </row>
    <row r="93" spans="2:13" x14ac:dyDescent="0.25">
      <c r="B93" s="11">
        <v>1112005</v>
      </c>
      <c r="C93" s="19" t="s">
        <v>78</v>
      </c>
      <c r="D93" s="30"/>
      <c r="E93" s="30"/>
      <c r="F93" s="30"/>
      <c r="G93" s="30">
        <v>18</v>
      </c>
      <c r="H93" s="30"/>
      <c r="I93" s="30"/>
      <c r="J93" s="43">
        <f t="shared" si="2"/>
        <v>18</v>
      </c>
      <c r="K93" s="43"/>
      <c r="L93" s="43"/>
      <c r="M93" s="36">
        <f t="shared" si="3"/>
        <v>18</v>
      </c>
    </row>
    <row r="94" spans="2:13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>
        <f t="shared" si="2"/>
        <v>0</v>
      </c>
      <c r="K94" s="43"/>
      <c r="L94" s="43"/>
      <c r="M94" s="36">
        <f t="shared" si="3"/>
        <v>0</v>
      </c>
    </row>
    <row r="95" spans="2:13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>
        <f t="shared" si="2"/>
        <v>0</v>
      </c>
      <c r="K95" s="43"/>
      <c r="L95" s="43"/>
      <c r="M95" s="36">
        <f t="shared" si="3"/>
        <v>0</v>
      </c>
    </row>
    <row r="96" spans="2:13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>
        <f t="shared" si="2"/>
        <v>0</v>
      </c>
      <c r="K96" s="43"/>
      <c r="L96" s="43"/>
      <c r="M96" s="36">
        <f t="shared" si="3"/>
        <v>0</v>
      </c>
    </row>
    <row r="97" spans="2:13" x14ac:dyDescent="0.25">
      <c r="B97" s="11">
        <v>1112015</v>
      </c>
      <c r="C97" s="19" t="s">
        <v>82</v>
      </c>
      <c r="D97" s="30"/>
      <c r="E97" s="30"/>
      <c r="F97" s="30"/>
      <c r="G97" s="30">
        <v>19</v>
      </c>
      <c r="H97" s="30"/>
      <c r="I97" s="30"/>
      <c r="J97" s="43">
        <f t="shared" si="2"/>
        <v>19</v>
      </c>
      <c r="K97" s="43"/>
      <c r="L97" s="43"/>
      <c r="M97" s="36">
        <f t="shared" si="3"/>
        <v>19</v>
      </c>
    </row>
    <row r="98" spans="2:13" x14ac:dyDescent="0.25">
      <c r="B98" s="11">
        <v>1112013</v>
      </c>
      <c r="C98" s="19" t="s">
        <v>83</v>
      </c>
      <c r="D98" s="30"/>
      <c r="E98" s="30"/>
      <c r="F98" s="30"/>
      <c r="G98" s="30">
        <v>19</v>
      </c>
      <c r="H98" s="30"/>
      <c r="I98" s="30"/>
      <c r="J98" s="43">
        <f t="shared" si="2"/>
        <v>19</v>
      </c>
      <c r="K98" s="43"/>
      <c r="L98" s="43"/>
      <c r="M98" s="36">
        <f t="shared" si="3"/>
        <v>19</v>
      </c>
    </row>
    <row r="99" spans="2:13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>
        <f t="shared" si="2"/>
        <v>0</v>
      </c>
      <c r="K99" s="43"/>
      <c r="L99" s="43"/>
      <c r="M99" s="36">
        <f t="shared" si="3"/>
        <v>0</v>
      </c>
    </row>
    <row r="100" spans="2:13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43">
        <f t="shared" si="2"/>
        <v>0</v>
      </c>
      <c r="K100" s="20"/>
      <c r="L100" s="20"/>
      <c r="M100" s="36">
        <f t="shared" si="3"/>
        <v>0</v>
      </c>
    </row>
    <row r="101" spans="2:13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43">
        <f t="shared" si="2"/>
        <v>0</v>
      </c>
      <c r="K101" s="68"/>
      <c r="L101" s="68"/>
      <c r="M101" s="36">
        <f t="shared" si="3"/>
        <v>0</v>
      </c>
    </row>
    <row r="102" spans="2:13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>
        <f t="shared" si="2"/>
        <v>0</v>
      </c>
      <c r="K102" s="43"/>
      <c r="L102" s="43"/>
      <c r="M102" s="36">
        <f t="shared" si="3"/>
        <v>0</v>
      </c>
    </row>
    <row r="103" spans="2:13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>
        <f t="shared" si="2"/>
        <v>0</v>
      </c>
      <c r="K103" s="43"/>
      <c r="L103" s="43"/>
      <c r="M103" s="36">
        <f t="shared" si="3"/>
        <v>0</v>
      </c>
    </row>
    <row r="104" spans="2:13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>
        <f t="shared" si="2"/>
        <v>0</v>
      </c>
      <c r="K104" s="43"/>
      <c r="L104" s="43"/>
      <c r="M104" s="36">
        <f t="shared" si="3"/>
        <v>0</v>
      </c>
    </row>
    <row r="105" spans="2:13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>
        <f t="shared" si="2"/>
        <v>0</v>
      </c>
      <c r="K105" s="43"/>
      <c r="L105" s="43"/>
      <c r="M105" s="36">
        <f t="shared" si="3"/>
        <v>0</v>
      </c>
    </row>
    <row r="106" spans="2:13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>
        <f t="shared" si="2"/>
        <v>0</v>
      </c>
      <c r="K106" s="43"/>
      <c r="L106" s="43"/>
      <c r="M106" s="36">
        <f t="shared" si="3"/>
        <v>0</v>
      </c>
    </row>
    <row r="107" spans="2:13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>
        <f t="shared" si="2"/>
        <v>0</v>
      </c>
      <c r="K107" s="43"/>
      <c r="L107" s="43"/>
      <c r="M107" s="36">
        <f t="shared" si="3"/>
        <v>0</v>
      </c>
    </row>
    <row r="108" spans="2:13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>
        <f t="shared" si="2"/>
        <v>0</v>
      </c>
      <c r="K108" s="43"/>
      <c r="L108" s="43"/>
      <c r="M108" s="36">
        <f t="shared" si="3"/>
        <v>0</v>
      </c>
    </row>
    <row r="109" spans="2:13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>
        <f t="shared" si="2"/>
        <v>0</v>
      </c>
      <c r="K109" s="43"/>
      <c r="L109" s="43"/>
      <c r="M109" s="36">
        <f t="shared" si="3"/>
        <v>0</v>
      </c>
    </row>
    <row r="110" spans="2:13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>
        <f t="shared" si="2"/>
        <v>0</v>
      </c>
      <c r="K110" s="43"/>
      <c r="L110" s="43"/>
      <c r="M110" s="36">
        <f t="shared" si="3"/>
        <v>0</v>
      </c>
    </row>
    <row r="111" spans="2:13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>
        <f t="shared" si="2"/>
        <v>0</v>
      </c>
      <c r="K111" s="43"/>
      <c r="L111" s="43"/>
      <c r="M111" s="36">
        <f t="shared" si="3"/>
        <v>0</v>
      </c>
    </row>
    <row r="112" spans="2:13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43">
        <f t="shared" si="2"/>
        <v>0</v>
      </c>
      <c r="K112" s="20"/>
      <c r="L112" s="20"/>
      <c r="M112" s="36">
        <f t="shared" si="3"/>
        <v>0</v>
      </c>
    </row>
    <row r="113" spans="2:13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43">
        <f t="shared" si="2"/>
        <v>0</v>
      </c>
      <c r="K113" s="68"/>
      <c r="L113" s="68"/>
      <c r="M113" s="36">
        <f t="shared" si="3"/>
        <v>0</v>
      </c>
    </row>
    <row r="114" spans="2:13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>
        <f t="shared" si="2"/>
        <v>0</v>
      </c>
      <c r="K114" s="43"/>
      <c r="L114" s="43"/>
      <c r="M114" s="36">
        <f t="shared" si="3"/>
        <v>0</v>
      </c>
    </row>
    <row r="115" spans="2:13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>
        <f t="shared" si="2"/>
        <v>0</v>
      </c>
      <c r="K115" s="43"/>
      <c r="L115" s="43"/>
      <c r="M115" s="36">
        <f t="shared" si="3"/>
        <v>0</v>
      </c>
    </row>
    <row r="116" spans="2:13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>
        <f t="shared" si="2"/>
        <v>0</v>
      </c>
      <c r="K116" s="43"/>
      <c r="L116" s="43"/>
      <c r="M116" s="36">
        <f t="shared" si="3"/>
        <v>0</v>
      </c>
    </row>
    <row r="117" spans="2:13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>
        <f t="shared" si="2"/>
        <v>0</v>
      </c>
      <c r="K117" s="43"/>
      <c r="L117" s="43"/>
      <c r="M117" s="36">
        <f t="shared" si="3"/>
        <v>0</v>
      </c>
    </row>
    <row r="118" spans="2:13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>
        <f t="shared" si="2"/>
        <v>0</v>
      </c>
      <c r="K118" s="43"/>
      <c r="L118" s="43"/>
      <c r="M118" s="36">
        <f t="shared" si="3"/>
        <v>0</v>
      </c>
    </row>
    <row r="119" spans="2:13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>
        <f t="shared" si="2"/>
        <v>0</v>
      </c>
      <c r="K119" s="43"/>
      <c r="L119" s="43"/>
      <c r="M119" s="36">
        <f t="shared" si="3"/>
        <v>0</v>
      </c>
    </row>
    <row r="120" spans="2:13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>
        <f t="shared" si="2"/>
        <v>0</v>
      </c>
      <c r="K120" s="43"/>
      <c r="L120" s="43"/>
      <c r="M120" s="36">
        <f t="shared" si="3"/>
        <v>0</v>
      </c>
    </row>
    <row r="121" spans="2:13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>
        <f t="shared" si="2"/>
        <v>0</v>
      </c>
      <c r="K121" s="43"/>
      <c r="L121" s="43"/>
      <c r="M121" s="36">
        <f t="shared" si="3"/>
        <v>0</v>
      </c>
    </row>
    <row r="122" spans="2:13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>
        <f t="shared" si="2"/>
        <v>0</v>
      </c>
      <c r="K122" s="43"/>
      <c r="L122" s="43"/>
      <c r="M122" s="36">
        <f t="shared" si="3"/>
        <v>0</v>
      </c>
    </row>
    <row r="123" spans="2:13" x14ac:dyDescent="0.25">
      <c r="B123" s="11">
        <v>1114501</v>
      </c>
      <c r="C123" s="21" t="s">
        <v>95</v>
      </c>
      <c r="D123" s="30"/>
      <c r="E123" s="30">
        <v>4</v>
      </c>
      <c r="F123" s="30">
        <v>6</v>
      </c>
      <c r="G123" s="30">
        <v>85</v>
      </c>
      <c r="H123" s="30"/>
      <c r="I123" s="30"/>
      <c r="J123" s="43">
        <f t="shared" si="2"/>
        <v>85</v>
      </c>
      <c r="K123" s="43"/>
      <c r="L123" s="43"/>
      <c r="M123" s="36">
        <f t="shared" si="3"/>
        <v>95</v>
      </c>
    </row>
    <row r="124" spans="2:13" x14ac:dyDescent="0.25">
      <c r="B124" s="11">
        <v>1114502</v>
      </c>
      <c r="C124" s="21" t="s">
        <v>96</v>
      </c>
      <c r="D124" s="30"/>
      <c r="E124" s="30"/>
      <c r="F124" s="30"/>
      <c r="G124" s="30">
        <v>52</v>
      </c>
      <c r="H124" s="30"/>
      <c r="I124" s="30"/>
      <c r="J124" s="43">
        <f t="shared" si="2"/>
        <v>52</v>
      </c>
      <c r="K124" s="43"/>
      <c r="L124" s="43"/>
      <c r="M124" s="36">
        <f t="shared" si="3"/>
        <v>52</v>
      </c>
    </row>
    <row r="125" spans="2:13" x14ac:dyDescent="0.25">
      <c r="B125" s="11">
        <v>1114503</v>
      </c>
      <c r="C125" s="21" t="s">
        <v>97</v>
      </c>
      <c r="D125" s="30"/>
      <c r="E125" s="30"/>
      <c r="F125" s="30"/>
      <c r="G125" s="30">
        <v>52</v>
      </c>
      <c r="H125" s="30"/>
      <c r="I125" s="30"/>
      <c r="J125" s="43">
        <f t="shared" si="2"/>
        <v>52</v>
      </c>
      <c r="K125" s="43"/>
      <c r="L125" s="43"/>
      <c r="M125" s="36">
        <f t="shared" si="3"/>
        <v>52</v>
      </c>
    </row>
    <row r="126" spans="2:13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>
        <f t="shared" si="2"/>
        <v>0</v>
      </c>
      <c r="K126" s="43"/>
      <c r="L126" s="43"/>
      <c r="M126" s="36">
        <f t="shared" si="3"/>
        <v>0</v>
      </c>
    </row>
    <row r="127" spans="2:13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>
        <f t="shared" si="2"/>
        <v>0</v>
      </c>
      <c r="K127" s="43"/>
      <c r="L127" s="43"/>
      <c r="M127" s="36">
        <f t="shared" si="3"/>
        <v>0</v>
      </c>
    </row>
    <row r="128" spans="2:13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>
        <f t="shared" si="2"/>
        <v>0</v>
      </c>
      <c r="K128" s="43"/>
      <c r="L128" s="43"/>
      <c r="M128" s="36">
        <f t="shared" si="3"/>
        <v>0</v>
      </c>
    </row>
    <row r="129" spans="2:13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>
        <f t="shared" si="2"/>
        <v>0</v>
      </c>
      <c r="K129" s="43"/>
      <c r="L129" s="43"/>
      <c r="M129" s="36">
        <f t="shared" si="3"/>
        <v>0</v>
      </c>
    </row>
    <row r="130" spans="2:13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>
        <f t="shared" si="2"/>
        <v>0</v>
      </c>
      <c r="K130" s="43"/>
      <c r="L130" s="43"/>
      <c r="M130" s="36">
        <f t="shared" si="3"/>
        <v>0</v>
      </c>
    </row>
    <row r="131" spans="2:13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>
        <f t="shared" si="2"/>
        <v>0</v>
      </c>
      <c r="K131" s="43"/>
      <c r="L131" s="43"/>
      <c r="M131" s="36">
        <f t="shared" si="3"/>
        <v>0</v>
      </c>
    </row>
    <row r="132" spans="2:13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>
        <f t="shared" si="2"/>
        <v>0</v>
      </c>
      <c r="K132" s="43"/>
      <c r="L132" s="43"/>
      <c r="M132" s="36">
        <f t="shared" si="3"/>
        <v>0</v>
      </c>
    </row>
    <row r="133" spans="2:13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>
        <f t="shared" si="2"/>
        <v>0</v>
      </c>
      <c r="K133" s="43"/>
      <c r="L133" s="43"/>
      <c r="M133" s="36">
        <f t="shared" si="3"/>
        <v>0</v>
      </c>
    </row>
    <row r="134" spans="2:13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>
        <f t="shared" si="2"/>
        <v>0</v>
      </c>
      <c r="K134" s="43"/>
      <c r="L134" s="43"/>
      <c r="M134" s="36">
        <f t="shared" si="3"/>
        <v>0</v>
      </c>
    </row>
    <row r="135" spans="2:13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>
        <f t="shared" si="2"/>
        <v>0</v>
      </c>
      <c r="K135" s="43"/>
      <c r="L135" s="43"/>
      <c r="M135" s="36">
        <f t="shared" si="3"/>
        <v>0</v>
      </c>
    </row>
    <row r="136" spans="2:13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>
        <f t="shared" ref="J136:J141" si="4">+G136+H136+I136</f>
        <v>0</v>
      </c>
      <c r="K136" s="43"/>
      <c r="L136" s="43"/>
      <c r="M136" s="36">
        <f t="shared" ref="M136:M141" si="5">+D136+E136+F136+J136+K136+L136</f>
        <v>0</v>
      </c>
    </row>
    <row r="137" spans="2:13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>
        <f t="shared" si="4"/>
        <v>0</v>
      </c>
      <c r="K137" s="43"/>
      <c r="L137" s="43"/>
      <c r="M137" s="36">
        <f t="shared" si="5"/>
        <v>0</v>
      </c>
    </row>
    <row r="138" spans="2:13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>
        <f t="shared" si="4"/>
        <v>0</v>
      </c>
      <c r="K138" s="43"/>
      <c r="L138" s="43"/>
      <c r="M138" s="36">
        <f t="shared" si="5"/>
        <v>0</v>
      </c>
    </row>
    <row r="139" spans="2:13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3">
        <f t="shared" si="4"/>
        <v>0</v>
      </c>
      <c r="K139" s="48"/>
      <c r="L139" s="48"/>
      <c r="M139" s="36">
        <f t="shared" si="5"/>
        <v>0</v>
      </c>
    </row>
    <row r="140" spans="2:13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43">
        <f t="shared" si="4"/>
        <v>0</v>
      </c>
      <c r="K140" s="9"/>
      <c r="L140" s="9"/>
      <c r="M140" s="36">
        <f t="shared" si="5"/>
        <v>0</v>
      </c>
    </row>
    <row r="141" spans="2:13" x14ac:dyDescent="0.25">
      <c r="B141" s="50"/>
      <c r="C141" s="49" t="s">
        <v>143</v>
      </c>
      <c r="D141" s="51"/>
      <c r="E141" s="51"/>
      <c r="F141" s="51"/>
      <c r="G141" s="52"/>
      <c r="H141" s="9"/>
      <c r="I141" s="9"/>
      <c r="J141" s="43">
        <f t="shared" si="4"/>
        <v>0</v>
      </c>
      <c r="K141" s="9"/>
      <c r="L141" s="9"/>
      <c r="M141" s="36">
        <f t="shared" si="5"/>
        <v>0</v>
      </c>
    </row>
    <row r="142" spans="2:13" x14ac:dyDescent="0.25">
      <c r="B142" s="53"/>
      <c r="C142" s="54"/>
      <c r="D142" s="31"/>
      <c r="E142" s="31"/>
      <c r="F142" s="31"/>
      <c r="G142" s="26"/>
      <c r="M142" s="39">
        <f>SUM(M114:M141,M102:M111,M90:M99,M79:M87,M69:M76,M7:M66)</f>
        <v>382</v>
      </c>
    </row>
    <row r="143" spans="2:13" x14ac:dyDescent="0.25">
      <c r="B143" s="53"/>
      <c r="C143" s="54"/>
      <c r="D143" s="31"/>
      <c r="E143" s="31"/>
      <c r="F143" s="31"/>
      <c r="G143" s="26"/>
      <c r="M143" s="39"/>
    </row>
    <row r="144" spans="2:13" x14ac:dyDescent="0.25">
      <c r="B144" s="53"/>
      <c r="C144" s="54"/>
      <c r="D144" s="31"/>
      <c r="E144" s="31"/>
      <c r="F144" s="31"/>
      <c r="G144" s="26"/>
      <c r="M144" s="55"/>
    </row>
    <row r="145" spans="2:13" x14ac:dyDescent="0.25">
      <c r="B145" s="53"/>
      <c r="C145" s="54"/>
      <c r="D145" s="31"/>
      <c r="E145" s="31"/>
      <c r="F145" s="31"/>
      <c r="G145" s="26"/>
      <c r="M145" s="55"/>
    </row>
    <row r="146" spans="2:13" x14ac:dyDescent="0.25">
      <c r="B146" s="31" t="s">
        <v>104</v>
      </c>
      <c r="C146" s="31"/>
      <c r="D146" s="32"/>
      <c r="E146" s="32"/>
      <c r="F146" s="32"/>
      <c r="G146" s="27"/>
      <c r="H146" s="26"/>
      <c r="I146" s="31" t="s">
        <v>104</v>
      </c>
      <c r="J146" s="31"/>
      <c r="K146" s="31"/>
      <c r="L146" s="31"/>
      <c r="M146" s="31"/>
    </row>
    <row r="147" spans="2:13" x14ac:dyDescent="0.25">
      <c r="B147" s="32" t="s">
        <v>105</v>
      </c>
      <c r="C147" s="32"/>
      <c r="D147" s="33"/>
      <c r="E147" s="33"/>
      <c r="F147" s="33"/>
      <c r="G147" s="33"/>
      <c r="H147" s="33"/>
      <c r="I147" s="32" t="s">
        <v>106</v>
      </c>
      <c r="J147" s="32"/>
      <c r="K147" s="32"/>
      <c r="L147" s="32"/>
      <c r="M147" s="32"/>
    </row>
    <row r="148" spans="2:13" x14ac:dyDescent="0.25">
      <c r="B148" s="31"/>
      <c r="C148" s="31"/>
      <c r="D148" s="33"/>
      <c r="E148" s="33"/>
      <c r="F148" s="33"/>
      <c r="G148" s="33"/>
      <c r="H148" s="33"/>
      <c r="I148" s="31"/>
      <c r="J148" s="31"/>
      <c r="K148" s="31"/>
      <c r="L148" s="31"/>
      <c r="M148" s="34"/>
    </row>
    <row r="149" spans="2:13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13.8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13.8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ht="13.8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4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6"/>
  <sheetViews>
    <sheetView tabSelected="1" topLeftCell="A112" zoomScale="50" zoomScaleNormal="50" workbookViewId="0">
      <selection activeCell="A112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78" t="s">
        <v>144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0"/>
      <c r="C2" s="71"/>
      <c r="D2" s="1"/>
      <c r="E2" s="72"/>
      <c r="F2" s="72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139</v>
      </c>
      <c r="Q2" s="75" t="s">
        <v>140</v>
      </c>
      <c r="R2" s="79" t="s">
        <v>1</v>
      </c>
    </row>
    <row r="3" spans="2:18" x14ac:dyDescent="0.25">
      <c r="B3" s="70"/>
      <c r="C3" s="71"/>
      <c r="D3" s="4"/>
      <c r="E3" s="73"/>
      <c r="F3" s="73"/>
      <c r="G3" s="5"/>
      <c r="H3" s="5"/>
      <c r="I3" s="5"/>
      <c r="J3" s="66"/>
      <c r="K3" s="41"/>
      <c r="L3" s="41"/>
      <c r="M3" s="6" t="s">
        <v>2</v>
      </c>
      <c r="N3" s="76"/>
      <c r="O3" s="76"/>
      <c r="P3" s="76"/>
      <c r="Q3" s="76"/>
      <c r="R3" s="80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147</v>
      </c>
      <c r="K4" s="42" t="s">
        <v>133</v>
      </c>
      <c r="L4" s="42" t="s">
        <v>135</v>
      </c>
      <c r="M4" s="10" t="s">
        <v>10</v>
      </c>
      <c r="N4" s="77"/>
      <c r="O4" s="77"/>
      <c r="P4" s="77"/>
      <c r="Q4" s="77"/>
      <c r="R4" s="81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</v>
      </c>
      <c r="E7" s="30">
        <v>4</v>
      </c>
      <c r="F7" s="30">
        <f>'เย็น '!F7+'เช้า '!F7+บ่าย!F7</f>
        <v>21</v>
      </c>
      <c r="G7" s="30">
        <f>'เย็น '!G7+'เช้า '!G7+บ่าย!G7</f>
        <v>13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13</v>
      </c>
      <c r="K7" s="30">
        <f>'เย็น '!J7+'เช้า '!J7+บ่าย!K7</f>
        <v>0</v>
      </c>
      <c r="L7" s="30">
        <f>'เย็น '!K7+'เช้า '!K7+บ่าย!L7</f>
        <v>0</v>
      </c>
      <c r="M7" s="36">
        <f>+D7+E7+F7+J7+K7+L7</f>
        <v>40</v>
      </c>
      <c r="N7" s="11"/>
      <c r="O7" s="11">
        <v>82</v>
      </c>
      <c r="P7" s="11"/>
      <c r="Q7" s="11"/>
      <c r="R7" s="44">
        <f>(N7+O7+P7+Q7)-M7</f>
        <v>42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'!J8+บ่าย!K8</f>
        <v>0</v>
      </c>
      <c r="L8" s="30">
        <f>'เย็น '!K8+'เช้า '!K8+บ่าย!L8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'!J9+บ่าย!K9</f>
        <v>0</v>
      </c>
      <c r="L9" s="30">
        <f>'เย็น '!K9+'เช้า '!K9+บ่าย!L9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'!J10+บ่าย!K10</f>
        <v>0</v>
      </c>
      <c r="L10" s="30">
        <f>'เย็น '!K10+'เช้า '!K10+บ่าย!L10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'!J11+บ่าย!K11</f>
        <v>0</v>
      </c>
      <c r="L11" s="30">
        <f>'เย็น '!K11+'เช้า '!K11+บ่าย!L11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'!J12+บ่าย!K12</f>
        <v>0</v>
      </c>
      <c r="L12" s="30">
        <f>'เย็น '!K12+'เช้า '!K12+บ่าย!L12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'!J13+บ่าย!K13</f>
        <v>0</v>
      </c>
      <c r="L13" s="30">
        <f>'เย็น '!K13+'เช้า '!K13+บ่าย!L13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'!J14+บ่าย!K14</f>
        <v>0</v>
      </c>
      <c r="L14" s="30">
        <f>'เย็น '!K14+'เช้า '!K14+บ่าย!L14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'!J15+บ่าย!K15</f>
        <v>0</v>
      </c>
      <c r="L15" s="30">
        <f>'เย็น '!K15+'เช้า '!K15+บ่าย!L15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'!J16+บ่าย!K16</f>
        <v>0</v>
      </c>
      <c r="L16" s="30">
        <f>'เย็น '!K16+'เช้า '!K16+บ่าย!L16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'!J17+บ่าย!K17</f>
        <v>0</v>
      </c>
      <c r="L17" s="30">
        <f>'เย็น '!K17+'เช้า '!K17+บ่าย!L17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'!J18+บ่าย!K18</f>
        <v>0</v>
      </c>
      <c r="L18" s="30">
        <f>'เย็น '!K18+'เช้า '!K18+บ่าย!L18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'!J19+บ่าย!K19</f>
        <v>0</v>
      </c>
      <c r="L19" s="30">
        <f>'เย็น '!K19+'เช้า '!K19+บ่าย!L19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'!J20+บ่าย!K20</f>
        <v>0</v>
      </c>
      <c r="L20" s="30">
        <f>'เย็น '!K20+'เช้า '!K20+บ่าย!L20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'!J21+บ่าย!K21</f>
        <v>0</v>
      </c>
      <c r="L21" s="30">
        <f>'เย็น '!K21+'เช้า '!K21+บ่าย!L21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'!J22+บ่าย!K22</f>
        <v>0</v>
      </c>
      <c r="L22" s="30">
        <f>'เย็น '!K22+'เช้า '!K22+บ่าย!L22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'!J23+บ่าย!K23</f>
        <v>0</v>
      </c>
      <c r="L23" s="30">
        <f>'เย็น '!K23+'เช้า '!K23+บ่าย!L23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'!J24+บ่าย!K24</f>
        <v>0</v>
      </c>
      <c r="L24" s="30">
        <f>'เย็น '!K24+'เช้า '!K24+บ่าย!L24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0</v>
      </c>
      <c r="F25" s="30">
        <f>'เย็น '!F25+'เช้า '!F25+บ่าย!F25</f>
        <v>3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'!J25+บ่าย!K25</f>
        <v>0</v>
      </c>
      <c r="L25" s="30">
        <f>'เย็น '!K25+'เช้า '!K25+บ่าย!L25</f>
        <v>0</v>
      </c>
      <c r="M25" s="36">
        <f t="shared" si="1"/>
        <v>6</v>
      </c>
      <c r="N25" s="11">
        <v>5</v>
      </c>
      <c r="O25" s="11">
        <v>4</v>
      </c>
      <c r="P25" s="11"/>
      <c r="Q25" s="11">
        <v>5</v>
      </c>
      <c r="R25" s="44">
        <f t="shared" si="2"/>
        <v>8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45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45</v>
      </c>
      <c r="K26" s="30">
        <f>'เย็น '!J26+'เช้า '!J26+บ่าย!K26</f>
        <v>0</v>
      </c>
      <c r="L26" s="30">
        <f>'เย็น '!K26+'เช้า '!K26+บ่าย!L26</f>
        <v>30</v>
      </c>
      <c r="M26" s="36">
        <f t="shared" si="1"/>
        <v>75</v>
      </c>
      <c r="N26" s="11">
        <v>30</v>
      </c>
      <c r="O26" s="11">
        <v>14</v>
      </c>
      <c r="P26" s="11"/>
      <c r="Q26" s="11"/>
      <c r="R26" s="44">
        <f t="shared" si="2"/>
        <v>-31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'!J27+บ่าย!K27</f>
        <v>0</v>
      </c>
      <c r="L27" s="30">
        <f>'เย็น '!K27+'เช้า '!K27+บ่าย!L27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'!J28+บ่าย!K28</f>
        <v>0</v>
      </c>
      <c r="L28" s="30">
        <f>'เย็น '!K28+'เช้า '!K28+บ่าย!L28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'!J29+บ่าย!K29</f>
        <v>0</v>
      </c>
      <c r="L29" s="30">
        <f>'เย็น '!K29+'เช้า '!K29+บ่าย!L29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'!J30+บ่าย!K30</f>
        <v>0</v>
      </c>
      <c r="L30" s="30">
        <f>'เย็น '!K30+'เช้า '!K30+บ่าย!L30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'!J31+บ่าย!K31</f>
        <v>0</v>
      </c>
      <c r="L31" s="30">
        <f>'เย็น '!K31+'เช้า '!K31+บ่าย!L31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'!J32+บ่าย!K32</f>
        <v>0</v>
      </c>
      <c r="L32" s="30">
        <f>'เย็น '!K32+'เช้า '!K32+บ่าย!L32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'!J33+บ่าย!K33</f>
        <v>0</v>
      </c>
      <c r="L33" s="30">
        <f>'เย็น '!K33+'เช้า '!K33+บ่าย!L33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'!J34+บ่าย!K34</f>
        <v>0</v>
      </c>
      <c r="L34" s="30">
        <f>'เย็น '!K34+'เช้า '!K34+บ่าย!L34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'!J35+บ่าย!K35</f>
        <v>0</v>
      </c>
      <c r="L35" s="30">
        <f>'เย็น '!K35+'เช้า '!K35+บ่าย!L35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'!J36+บ่าย!K36</f>
        <v>0</v>
      </c>
      <c r="L36" s="30">
        <f>'เย็น '!K36+'เช้า '!K36+บ่าย!L36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'!J37+บ่าย!K37</f>
        <v>0</v>
      </c>
      <c r="L37" s="30">
        <f>'เย็น '!K37+'เช้า '!K37+บ่าย!L37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'!J38+บ่าย!K38</f>
        <v>0</v>
      </c>
      <c r="L38" s="30">
        <f>'เย็น '!K38+'เช้า '!K38+บ่าย!L38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'!J39+บ่าย!K39</f>
        <v>0</v>
      </c>
      <c r="L39" s="30">
        <f>'เย็น '!K39+'เช้า '!K39+บ่าย!L39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27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'!J40+บ่าย!K40</f>
        <v>0</v>
      </c>
      <c r="L40" s="30">
        <f>'เย็น '!K40+'เช้า '!K40+บ่าย!L40</f>
        <v>0</v>
      </c>
      <c r="M40" s="36">
        <f t="shared" si="1"/>
        <v>27</v>
      </c>
      <c r="N40" s="11"/>
      <c r="O40" s="11"/>
      <c r="P40" s="11"/>
      <c r="Q40" s="11"/>
      <c r="R40" s="44">
        <f t="shared" si="2"/>
        <v>-27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27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'!J41+บ่าย!K41</f>
        <v>0</v>
      </c>
      <c r="L41" s="30">
        <f>'เย็น '!K41+'เช้า '!K41+บ่าย!L41</f>
        <v>0</v>
      </c>
      <c r="M41" s="36">
        <f t="shared" si="1"/>
        <v>27</v>
      </c>
      <c r="N41" s="11"/>
      <c r="O41" s="11"/>
      <c r="P41" s="11"/>
      <c r="Q41" s="11"/>
      <c r="R41" s="44">
        <f t="shared" si="2"/>
        <v>-27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27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'!J42+บ่าย!K42</f>
        <v>0</v>
      </c>
      <c r="L42" s="30">
        <f>'เย็น '!K42+'เช้า '!K42+บ่าย!L42</f>
        <v>0</v>
      </c>
      <c r="M42" s="36">
        <f t="shared" si="1"/>
        <v>27</v>
      </c>
      <c r="N42" s="11"/>
      <c r="O42" s="11"/>
      <c r="P42" s="11"/>
      <c r="Q42" s="11"/>
      <c r="R42" s="44">
        <f t="shared" si="2"/>
        <v>-27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27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'!J43+บ่าย!K43</f>
        <v>0</v>
      </c>
      <c r="L43" s="30">
        <f>'เย็น '!K43+'เช้า '!K43+บ่าย!L43</f>
        <v>0</v>
      </c>
      <c r="M43" s="36">
        <f t="shared" si="1"/>
        <v>27</v>
      </c>
      <c r="N43" s="11"/>
      <c r="O43" s="11"/>
      <c r="P43" s="11"/>
      <c r="Q43" s="11"/>
      <c r="R43" s="44">
        <f t="shared" si="2"/>
        <v>-27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27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'!J44+บ่าย!K44</f>
        <v>0</v>
      </c>
      <c r="L44" s="30">
        <f>'เย็น '!K44+'เช้า '!K44+บ่าย!L44</f>
        <v>0</v>
      </c>
      <c r="M44" s="36">
        <f t="shared" si="1"/>
        <v>27</v>
      </c>
      <c r="N44" s="11"/>
      <c r="O44" s="11"/>
      <c r="P44" s="11"/>
      <c r="Q44" s="11"/>
      <c r="R44" s="44">
        <f t="shared" si="2"/>
        <v>-27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27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'!J45+บ่าย!K45</f>
        <v>0</v>
      </c>
      <c r="L45" s="30">
        <f>'เย็น '!K45+'เช้า '!K45+บ่าย!L45</f>
        <v>0</v>
      </c>
      <c r="M45" s="36">
        <f t="shared" si="1"/>
        <v>27</v>
      </c>
      <c r="N45" s="11"/>
      <c r="O45" s="11"/>
      <c r="P45" s="11"/>
      <c r="Q45" s="11"/>
      <c r="R45" s="44">
        <f t="shared" si="2"/>
        <v>-27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27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'!J46+บ่าย!K46</f>
        <v>0</v>
      </c>
      <c r="L46" s="30">
        <f>'เย็น '!K46+'เช้า '!K46+บ่าย!L46</f>
        <v>0</v>
      </c>
      <c r="M46" s="36">
        <f t="shared" si="1"/>
        <v>27</v>
      </c>
      <c r="N46" s="11"/>
      <c r="O46" s="11"/>
      <c r="P46" s="11"/>
      <c r="Q46" s="11"/>
      <c r="R46" s="44">
        <f t="shared" si="2"/>
        <v>-27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27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'!J47+บ่าย!K47</f>
        <v>0</v>
      </c>
      <c r="L47" s="30">
        <f>'เย็น '!K47+'เช้า '!K47+บ่าย!L47</f>
        <v>0</v>
      </c>
      <c r="M47" s="36">
        <f t="shared" si="1"/>
        <v>27</v>
      </c>
      <c r="N47" s="11"/>
      <c r="O47" s="11"/>
      <c r="P47" s="11"/>
      <c r="Q47" s="11"/>
      <c r="R47" s="44">
        <f t="shared" si="2"/>
        <v>-27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27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'!J48+บ่าย!K48</f>
        <v>0</v>
      </c>
      <c r="L48" s="30">
        <f>'เย็น '!K48+'เช้า '!K48+บ่าย!L48</f>
        <v>0</v>
      </c>
      <c r="M48" s="36">
        <f t="shared" si="1"/>
        <v>27</v>
      </c>
      <c r="N48" s="11"/>
      <c r="O48" s="11"/>
      <c r="P48" s="11"/>
      <c r="Q48" s="11"/>
      <c r="R48" s="44">
        <f t="shared" si="2"/>
        <v>-27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'!J49+บ่าย!K49</f>
        <v>0</v>
      </c>
      <c r="L49" s="30">
        <f>'เย็น '!K49+'เช้า '!K49+บ่าย!L49</f>
        <v>0</v>
      </c>
      <c r="M49" s="36">
        <f t="shared" si="1"/>
        <v>27</v>
      </c>
      <c r="N49" s="11"/>
      <c r="O49" s="11"/>
      <c r="P49" s="11"/>
      <c r="Q49" s="11"/>
      <c r="R49" s="44">
        <f t="shared" si="2"/>
        <v>-27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'!J50+บ่าย!K50</f>
        <v>0</v>
      </c>
      <c r="L50" s="30">
        <f>'เย็น '!K50+'เช้า '!K50+บ่าย!L50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'!J51+บ่าย!K51</f>
        <v>0</v>
      </c>
      <c r="L51" s="30">
        <f>'เย็น '!K51+'เช้า '!K51+บ่าย!L51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'!J52+บ่าย!K52</f>
        <v>0</v>
      </c>
      <c r="L52" s="30">
        <f>'เย็น '!K52+'เช้า '!K52+บ่าย!L52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'!J53+บ่าย!K53</f>
        <v>0</v>
      </c>
      <c r="L53" s="30">
        <f>'เย็น '!K53+'เช้า '!K53+บ่าย!L53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'!J54+บ่าย!K54</f>
        <v>0</v>
      </c>
      <c r="L54" s="30">
        <f>'เย็น '!K54+'เช้า '!K54+บ่าย!L54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'!J55+บ่าย!K55</f>
        <v>0</v>
      </c>
      <c r="L55" s="30">
        <f>'เย็น '!K55+'เช้า '!K55+บ่าย!L55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'!J56+บ่าย!K56</f>
        <v>0</v>
      </c>
      <c r="L56" s="30">
        <f>'เย็น '!K56+'เช้า '!K56+บ่าย!L56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'!J57+บ่าย!K57</f>
        <v>0</v>
      </c>
      <c r="L57" s="30">
        <f>'เย็น '!K57+'เช้า '!K57+บ่าย!L57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'!J58+บ่าย!K58</f>
        <v>0</v>
      </c>
      <c r="L58" s="30">
        <f>'เย็น '!K58+'เช้า '!K58+บ่าย!L58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'!J59+บ่าย!K59</f>
        <v>0</v>
      </c>
      <c r="L59" s="30">
        <f>'เย็น '!K59+'เช้า '!K59+บ่าย!L59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'!J60+บ่าย!K60</f>
        <v>0</v>
      </c>
      <c r="L60" s="30">
        <f>'เย็น '!K60+'เช้า '!K60+บ่าย!L60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'!J61+บ่าย!K61</f>
        <v>0</v>
      </c>
      <c r="L61" s="30">
        <f>'เย็น '!K61+'เช้า '!K61+บ่าย!L61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'!J62+บ่าย!K62</f>
        <v>0</v>
      </c>
      <c r="L62" s="30">
        <f>'เย็น '!K62+'เช้า '!K62+บ่าย!L62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'!J63+บ่าย!K63</f>
        <v>0</v>
      </c>
      <c r="L63" s="30">
        <f>'เย็น '!K63+'เช้า '!K63+บ่าย!L63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'!J64+บ่าย!K64</f>
        <v>0</v>
      </c>
      <c r="L64" s="30">
        <f>'เย็น '!K64+'เช้า '!K64+บ่าย!L64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'!J65+บ่าย!K65</f>
        <v>0</v>
      </c>
      <c r="L65" s="30">
        <f>'เย็น '!K65+'เช้า '!K65+บ่าย!L65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บ่าย!K66+'เช้า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0</v>
      </c>
      <c r="F69" s="30">
        <f>'เย็น '!F69+'เช้า '!F69+บ่าย!F69</f>
        <v>1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0</v>
      </c>
      <c r="K69" s="30">
        <f>'เย็น '!J69+'เช้า '!J69+บ่าย!K69</f>
        <v>0</v>
      </c>
      <c r="L69" s="30">
        <f>'เย็น '!K69+'เช้า '!K69+บ่าย!L69</f>
        <v>0</v>
      </c>
      <c r="M69" s="36">
        <f t="shared" si="1"/>
        <v>3</v>
      </c>
      <c r="N69" s="11"/>
      <c r="O69" s="11"/>
      <c r="P69" s="11"/>
      <c r="Q69" s="11">
        <v>10</v>
      </c>
      <c r="R69" s="44">
        <f t="shared" ref="R69:R76" si="4">(N69+O69+P69+Q69)-M69</f>
        <v>7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'!J70+บ่าย!K70</f>
        <v>0</v>
      </c>
      <c r="L70" s="30">
        <f>'เย็น '!K70+'เช้า '!K70+บ่าย!L70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'!J71+บ่าย!K71</f>
        <v>0</v>
      </c>
      <c r="L71" s="30">
        <f>'เย็น '!K71+'เช้า '!K71+บ่าย!L71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'!J72+บ่าย!K72</f>
        <v>0</v>
      </c>
      <c r="L72" s="30">
        <f>'เย็น '!K72+'เช้า '!K72+บ่าย!L72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'!J73+บ่าย!K73</f>
        <v>0</v>
      </c>
      <c r="L73" s="30">
        <f>'เย็น '!K73+'เช้า '!K73+บ่าย!L73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'!J74+บ่าย!K74</f>
        <v>0</v>
      </c>
      <c r="L74" s="30">
        <f>'เย็น '!K74+'เช้า '!K74+บ่าย!L74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'!J75+บ่าย!K75</f>
        <v>0</v>
      </c>
      <c r="L75" s="30">
        <f>'เย็น '!K75+'เช้า '!K75+บ่าย!L75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'!J76+บ่าย!K76</f>
        <v>0</v>
      </c>
      <c r="L76" s="30">
        <f>'เย็น '!K76+'เช้า '!K76+บ่าย!L76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'!J79+บ่าย!K79</f>
        <v>0</v>
      </c>
      <c r="L79" s="30">
        <f>'เย็น '!K79+'เช้า '!K79+บ่าย!L79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'!J80+บ่าย!K80</f>
        <v>0</v>
      </c>
      <c r="L80" s="30">
        <f>'เย็น '!K80+'เช้า '!K80+บ่าย!L80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'!J81+บ่าย!K81</f>
        <v>0</v>
      </c>
      <c r="L81" s="30">
        <f>'เย็น '!K81+'เช้า '!K81+บ่าย!L81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'!J82+บ่าย!K82</f>
        <v>0</v>
      </c>
      <c r="L82" s="30">
        <f>'เย็น '!K82+'เช้า '!K82+บ่าย!L82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'!J83+บ่าย!K83</f>
        <v>0</v>
      </c>
      <c r="L83" s="30">
        <f>'เย็น '!K83+'เช้า '!K83+บ่าย!L83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'!J84+บ่าย!K84</f>
        <v>0</v>
      </c>
      <c r="L84" s="30">
        <f>'เย็น '!K84+'เช้า '!K84+บ่าย!L84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'!J85+บ่าย!K85</f>
        <v>0</v>
      </c>
      <c r="L85" s="30">
        <f>'เย็น '!K85+'เช้า '!K85+บ่าย!L85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'!J86+บ่าย!K86</f>
        <v>0</v>
      </c>
      <c r="L86" s="30">
        <f>'เย็น '!K86+'เช้า '!K86+บ่าย!L86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61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37</v>
      </c>
      <c r="K87" s="30">
        <f>'เย็น '!J87+'เช้า '!J87+บ่าย!K87</f>
        <v>0</v>
      </c>
      <c r="L87" s="30">
        <f>'เย็น '!K87+'เช้า '!K87+บ่าย!L87</f>
        <v>5</v>
      </c>
      <c r="M87" s="36">
        <f t="shared" si="6"/>
        <v>103</v>
      </c>
      <c r="N87" s="11">
        <v>65</v>
      </c>
      <c r="O87" s="11">
        <v>3</v>
      </c>
      <c r="P87" s="11"/>
      <c r="Q87" s="11">
        <v>60</v>
      </c>
      <c r="R87" s="44">
        <f t="shared" si="8"/>
        <v>25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25</v>
      </c>
      <c r="K90" s="30">
        <f>'เย็น '!J90+'เช้า '!J90+บ่าย!K90</f>
        <v>0</v>
      </c>
      <c r="L90" s="30">
        <f>'เย็น '!K90+'เช้า '!K90+บ่าย!L90</f>
        <v>0</v>
      </c>
      <c r="M90" s="36">
        <f t="shared" si="6"/>
        <v>31</v>
      </c>
      <c r="N90" s="11">
        <v>45</v>
      </c>
      <c r="O90" s="11">
        <v>13</v>
      </c>
      <c r="P90" s="11"/>
      <c r="Q90" s="11">
        <v>45</v>
      </c>
      <c r="R90" s="44">
        <f t="shared" ref="R90:R100" si="9">(N90+O90+P90+Q90)-M90</f>
        <v>72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25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25</v>
      </c>
      <c r="K91" s="30">
        <f>'เย็น '!J91+'เช้า '!J91+บ่าย!K91</f>
        <v>0</v>
      </c>
      <c r="L91" s="30">
        <f>'เย็น '!K91+'เช้า '!K91+บ่าย!L91</f>
        <v>0</v>
      </c>
      <c r="M91" s="36">
        <f t="shared" si="6"/>
        <v>31</v>
      </c>
      <c r="N91" s="11">
        <v>45</v>
      </c>
      <c r="O91" s="11"/>
      <c r="P91" s="11"/>
      <c r="Q91" s="11">
        <v>45</v>
      </c>
      <c r="R91" s="44">
        <f t="shared" si="9"/>
        <v>59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7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24</v>
      </c>
      <c r="K92" s="30">
        <f>'เย็น '!J92+'เช้า '!J92+บ่าย!K92</f>
        <v>0</v>
      </c>
      <c r="L92" s="30">
        <f>'เย็น '!K92+'เช้า '!K92+บ่าย!L92</f>
        <v>0</v>
      </c>
      <c r="M92" s="36">
        <f t="shared" si="6"/>
        <v>32</v>
      </c>
      <c r="N92" s="11">
        <v>45</v>
      </c>
      <c r="O92" s="11">
        <v>6</v>
      </c>
      <c r="P92" s="11"/>
      <c r="Q92" s="11">
        <v>45</v>
      </c>
      <c r="R92" s="44">
        <f t="shared" si="9"/>
        <v>64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24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24</v>
      </c>
      <c r="K93" s="30">
        <f>'เย็น '!J93+'เช้า '!J93+บ่าย!K93</f>
        <v>0</v>
      </c>
      <c r="L93" s="30">
        <f>'เย็น '!K93+'เช้า '!K93+บ่าย!L93</f>
        <v>0</v>
      </c>
      <c r="M93" s="36">
        <f t="shared" si="6"/>
        <v>29</v>
      </c>
      <c r="N93" s="11">
        <v>45</v>
      </c>
      <c r="O93" s="11">
        <v>11</v>
      </c>
      <c r="P93" s="11"/>
      <c r="Q93" s="11">
        <v>45</v>
      </c>
      <c r="R93" s="44">
        <f t="shared" si="9"/>
        <v>72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'!J94+บ่าย!K94</f>
        <v>0</v>
      </c>
      <c r="L94" s="30">
        <f>'เย็น '!K94+'เช้า '!K94+บ่าย!L94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'!J95+บ่าย!K95</f>
        <v>0</v>
      </c>
      <c r="L95" s="30">
        <f>'เย็น '!K95+'เช้า '!K95+บ่าย!L95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'!J96+บ่าย!K96</f>
        <v>0</v>
      </c>
      <c r="L96" s="30">
        <f>'เย็น '!K96+'เช้า '!K96+บ่าย!L96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25</v>
      </c>
      <c r="K97" s="30">
        <f>'เย็น '!J97+'เช้า '!J97+บ่าย!K97</f>
        <v>0</v>
      </c>
      <c r="L97" s="30">
        <f>'เย็น '!K97+'เช้า '!K97+บ่าย!L97</f>
        <v>0</v>
      </c>
      <c r="M97" s="36">
        <f t="shared" si="6"/>
        <v>29</v>
      </c>
      <c r="N97" s="11">
        <v>40</v>
      </c>
      <c r="O97" s="11">
        <v>8</v>
      </c>
      <c r="P97" s="11"/>
      <c r="Q97" s="11">
        <v>40</v>
      </c>
      <c r="R97" s="44">
        <f t="shared" si="9"/>
        <v>59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25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25</v>
      </c>
      <c r="K98" s="30">
        <f>'เย็น '!J98+'เช้า '!J98+บ่าย!K98</f>
        <v>0</v>
      </c>
      <c r="L98" s="30">
        <f>'เย็น '!K98+'เช้า '!K98+บ่าย!L98</f>
        <v>0</v>
      </c>
      <c r="M98" s="36">
        <f t="shared" si="6"/>
        <v>29</v>
      </c>
      <c r="N98" s="11">
        <v>40</v>
      </c>
      <c r="O98" s="11">
        <v>3</v>
      </c>
      <c r="P98" s="11"/>
      <c r="Q98" s="11">
        <v>40</v>
      </c>
      <c r="R98" s="44">
        <f t="shared" si="9"/>
        <v>54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บ่าย!K99+'เช้า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>SUM(R90:R98)</f>
        <v>380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/>
      <c r="O100" s="11"/>
      <c r="P100" s="11"/>
      <c r="Q100" s="11"/>
      <c r="R100" s="44">
        <f t="shared" si="9"/>
        <v>0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บ่าย!K102+'เช้า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บ่าย!K103+'เช้า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บ่าย!K104+'เช้า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บ่าย!K105+'เช้า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บ่าย!K106+'เช้า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บ่าย!K107+'เช้า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บ่าย!K108+'เช้า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บ่าย!K109+'เช้า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บ่าย!K110+'เช้า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บ่าย!K111+'เช้า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/>
      <c r="O112" s="11"/>
      <c r="P112" s="11"/>
      <c r="Q112" s="11"/>
      <c r="R112" s="44">
        <f t="shared" si="10"/>
        <v>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74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'!J114+บ่าย!K114</f>
        <v>0</v>
      </c>
      <c r="L114" s="30">
        <f>'เย็น '!K114+'เช้า '!K114+บ่าย!L114</f>
        <v>0</v>
      </c>
      <c r="M114" s="36">
        <f t="shared" si="6"/>
        <v>0</v>
      </c>
      <c r="N114" s="11">
        <v>50</v>
      </c>
      <c r="O114" s="11"/>
      <c r="P114" s="11"/>
      <c r="Q114" s="11"/>
      <c r="R114" s="44">
        <f t="shared" ref="R114:R143" si="11">(N114+O114+P114+Q114)-M114</f>
        <v>50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'!J115+บ่าย!K115</f>
        <v>0</v>
      </c>
      <c r="L115" s="30">
        <f>'เย็น '!K115+'เช้า '!K115+บ่าย!L115</f>
        <v>0</v>
      </c>
      <c r="M115" s="36">
        <f t="shared" si="6"/>
        <v>0</v>
      </c>
      <c r="N115" s="11">
        <v>40</v>
      </c>
      <c r="O115" s="11"/>
      <c r="P115" s="11"/>
      <c r="Q115" s="11"/>
      <c r="R115" s="44">
        <f t="shared" si="11"/>
        <v>40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'!J116+บ่าย!K116</f>
        <v>0</v>
      </c>
      <c r="L116" s="30">
        <f>'เย็น '!K116+'เช้า '!K116+บ่าย!L116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'!J117+บ่าย!K117</f>
        <v>0</v>
      </c>
      <c r="L117" s="30">
        <f>'เย็น '!K117+'เช้า '!K117+บ่าย!L117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'!J118+บ่าย!K118</f>
        <v>0</v>
      </c>
      <c r="L118" s="30">
        <f>'เย็น '!K118+'เช้า '!K118+บ่าย!L118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'!J119+บ่าย!K119</f>
        <v>0</v>
      </c>
      <c r="L119" s="30">
        <f>'เย็น '!K119+'เช้า '!K119+บ่าย!L119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'!J120+บ่าย!K120</f>
        <v>0</v>
      </c>
      <c r="L120" s="30">
        <f>'เย็น '!K120+'เช้า '!K120+บ่าย!L120</f>
        <v>0</v>
      </c>
      <c r="M120" s="36">
        <f t="shared" si="6"/>
        <v>0</v>
      </c>
      <c r="N120" s="11"/>
      <c r="O120" s="11">
        <v>1</v>
      </c>
      <c r="P120" s="11"/>
      <c r="Q120" s="11"/>
      <c r="R120" s="44">
        <f t="shared" si="11"/>
        <v>1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50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'!J121+บ่าย!K121</f>
        <v>0</v>
      </c>
      <c r="L121" s="30">
        <f>'เย็น '!K121+'เช้า '!K121+บ่าย!L121</f>
        <v>0</v>
      </c>
      <c r="M121" s="36">
        <f t="shared" si="6"/>
        <v>50</v>
      </c>
      <c r="N121" s="11"/>
      <c r="O121" s="11">
        <v>12</v>
      </c>
      <c r="P121" s="11"/>
      <c r="Q121" s="11"/>
      <c r="R121" s="44">
        <f t="shared" si="11"/>
        <v>-38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'!J122+บ่าย!K122</f>
        <v>0</v>
      </c>
      <c r="L122" s="30">
        <f>'เย็น '!K122+'เช้า '!K122+บ่าย!L122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8</v>
      </c>
      <c r="F123" s="30">
        <f>'เย็น '!F123+'เช้า '!F123+บ่าย!F123</f>
        <v>12</v>
      </c>
      <c r="G123" s="30">
        <f>'เย็น '!G123+'เช้า '!G123+บ่าย!G123</f>
        <v>176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 t="shared" si="5"/>
        <v>176</v>
      </c>
      <c r="K123" s="30">
        <f>'เย็น '!J123+'เช้า '!J123+บ่าย!K123</f>
        <v>0</v>
      </c>
      <c r="L123" s="30">
        <f>'เย็น '!K123+'เช้า '!K123+บ่าย!L123</f>
        <v>0</v>
      </c>
      <c r="M123" s="36">
        <f t="shared" si="6"/>
        <v>199</v>
      </c>
      <c r="N123" s="11">
        <v>351</v>
      </c>
      <c r="O123" s="11">
        <v>430</v>
      </c>
      <c r="P123" s="11"/>
      <c r="Q123" s="11">
        <v>350</v>
      </c>
      <c r="R123" s="44">
        <f t="shared" si="11"/>
        <v>932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134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 t="shared" si="5"/>
        <v>134</v>
      </c>
      <c r="K124" s="30">
        <f>'เย็น '!J124+'เช้า '!J124+บ่าย!K124</f>
        <v>0</v>
      </c>
      <c r="L124" s="30">
        <f>'เย็น '!K124+'เช้า '!K124+บ่าย!L124</f>
        <v>0</v>
      </c>
      <c r="M124" s="36">
        <f t="shared" si="6"/>
        <v>137</v>
      </c>
      <c r="N124" s="11">
        <v>244</v>
      </c>
      <c r="O124" s="11">
        <v>166</v>
      </c>
      <c r="P124" s="11"/>
      <c r="Q124" s="11">
        <v>250</v>
      </c>
      <c r="R124" s="44">
        <f t="shared" si="11"/>
        <v>523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130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 t="shared" si="5"/>
        <v>130</v>
      </c>
      <c r="K125" s="30">
        <f>'เย็น '!J125+'เช้า '!J125+บ่าย!K125</f>
        <v>0</v>
      </c>
      <c r="L125" s="30">
        <f>'เย็น '!K125+'เช้า '!K125+บ่าย!L125</f>
        <v>0</v>
      </c>
      <c r="M125" s="36">
        <f t="shared" si="6"/>
        <v>133</v>
      </c>
      <c r="N125" s="11">
        <v>240</v>
      </c>
      <c r="O125" s="11">
        <v>116</v>
      </c>
      <c r="P125" s="11"/>
      <c r="Q125" s="11">
        <v>250</v>
      </c>
      <c r="R125" s="44">
        <f t="shared" si="11"/>
        <v>473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0</v>
      </c>
      <c r="K126" s="30">
        <f>'เย็น '!J126+'เช้า '!J126+บ่าย!K126</f>
        <v>0</v>
      </c>
      <c r="L126" s="30">
        <f>'เย็น '!K126+'เช้า '!K126+บ่าย!L126</f>
        <v>0</v>
      </c>
      <c r="M126" s="36">
        <f t="shared" si="6"/>
        <v>0</v>
      </c>
      <c r="N126" s="11">
        <v>15</v>
      </c>
      <c r="O126" s="11">
        <v>22</v>
      </c>
      <c r="P126" s="11"/>
      <c r="Q126" s="11"/>
      <c r="R126" s="44">
        <f t="shared" si="11"/>
        <v>37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'!J127+บ่าย!K127</f>
        <v>0</v>
      </c>
      <c r="L127" s="30">
        <f>'เย็น '!K127+'เช้า '!K127+บ่าย!L127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'!J128+บ่าย!K128</f>
        <v>0</v>
      </c>
      <c r="L128" s="30">
        <f>'เย็น '!K128+'เช้า '!K128+บ่าย!L128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'!J129+บ่าย!K129</f>
        <v>0</v>
      </c>
      <c r="L129" s="30">
        <f>'เย็น '!K129+'เช้า '!K129+บ่าย!L129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'!J130+บ่าย!K130</f>
        <v>0</v>
      </c>
      <c r="L130" s="30">
        <f>'เย็น '!K130+'เช้า '!K130+บ่าย!L130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'!J131+บ่าย!K131</f>
        <v>0</v>
      </c>
      <c r="L131" s="30">
        <f>'เย็น '!K131+'เช้า '!K131+บ่าย!L131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'!J132+บ่าย!K132</f>
        <v>0</v>
      </c>
      <c r="L132" s="30">
        <f>'เย็น '!K132+'เช้า '!K132+บ่าย!L132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'!J133+บ่าย!K133</f>
        <v>0</v>
      </c>
      <c r="L133" s="30">
        <f>'เย็น '!K133+'เช้า '!K133+บ่าย!L133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'!J134+บ่าย!K134</f>
        <v>0</v>
      </c>
      <c r="L134" s="30">
        <f>'เย็น '!K134+'เช้า '!K134+บ่าย!L134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'!J135+บ่าย!K135</f>
        <v>0</v>
      </c>
      <c r="L135" s="30">
        <f>'เย็น '!K135+'เช้า '!K135+บ่าย!L135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3" si="12">+G136+H136+I136</f>
        <v>0</v>
      </c>
      <c r="K136" s="30">
        <f>'เย็น '!J136+'เช้า '!J136+บ่าย!K136</f>
        <v>0</v>
      </c>
      <c r="L136" s="30">
        <f>'เย็น '!K136+'เช้า '!K136+บ่าย!L136</f>
        <v>0</v>
      </c>
      <c r="M136" s="36">
        <f t="shared" ref="M136:M143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'!J137+บ่าย!K137</f>
        <v>0</v>
      </c>
      <c r="L137" s="30">
        <f>'เย็น '!K137+'เช้า '!K137+บ่าย!L137</f>
        <v>10</v>
      </c>
      <c r="M137" s="36">
        <f t="shared" si="13"/>
        <v>10</v>
      </c>
      <c r="N137" s="11">
        <v>15</v>
      </c>
      <c r="O137" s="11"/>
      <c r="P137" s="11"/>
      <c r="Q137" s="11"/>
      <c r="R137" s="44">
        <f t="shared" si="11"/>
        <v>5</v>
      </c>
    </row>
    <row r="138" spans="2:18" x14ac:dyDescent="0.25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'!J138+บ่าย!K138</f>
        <v>0</v>
      </c>
      <c r="L138" s="30">
        <f>'เย็น '!K138+'เช้า '!K138+บ่าย!L138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'!J139+บ่าย!K139</f>
        <v>0</v>
      </c>
      <c r="L139" s="30">
        <f>'เย็น '!K139+'เช้า '!K139+บ่าย!L139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'!J140+บ่าย!K140</f>
        <v>0</v>
      </c>
      <c r="L140" s="30">
        <f>'เย็น '!K140+'เช้า '!K140+บ่าย!L140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x14ac:dyDescent="0.25">
      <c r="B141" s="50">
        <v>20059548</v>
      </c>
      <c r="C141" s="49" t="s">
        <v>143</v>
      </c>
      <c r="D141" s="30">
        <f>'เย็น '!D141+'เช้า '!D141+บ่าย!D141</f>
        <v>0</v>
      </c>
      <c r="E141" s="30">
        <f>'เย็น '!E141+'เช้า '!E141+บ่าย!E141</f>
        <v>0</v>
      </c>
      <c r="F141" s="30">
        <f>'เย็น '!F141+'เช้า '!F141+บ่าย!F141</f>
        <v>0</v>
      </c>
      <c r="G141" s="30">
        <f>'เย็น '!G141+'เช้า '!G141+บ่าย!G141</f>
        <v>0</v>
      </c>
      <c r="H141" s="30">
        <f>'เย็น '!H141+'เช้า '!H141+บ่าย!H141</f>
        <v>0</v>
      </c>
      <c r="I141" s="30">
        <f>'เย็น '!I141+'เช้า '!I141+บ่าย!I141</f>
        <v>0</v>
      </c>
      <c r="J141" s="30">
        <f t="shared" si="12"/>
        <v>0</v>
      </c>
      <c r="K141" s="30">
        <f>'เย็น '!J141+'เช้า '!J141+บ่าย!K141</f>
        <v>0</v>
      </c>
      <c r="L141" s="30">
        <f>'เย็น '!K141+'เช้า '!K141+บ่าย!L141</f>
        <v>0</v>
      </c>
      <c r="M141" s="36">
        <f t="shared" si="13"/>
        <v>0</v>
      </c>
      <c r="N141" s="12"/>
      <c r="O141" s="12"/>
      <c r="P141" s="12"/>
      <c r="Q141" s="12"/>
      <c r="R141" s="44">
        <f t="shared" si="11"/>
        <v>0</v>
      </c>
    </row>
    <row r="142" spans="2:18" x14ac:dyDescent="0.25">
      <c r="B142" s="50"/>
      <c r="C142" s="49"/>
      <c r="D142" s="30">
        <f>'เย็น '!D142+'เช้า '!D142+บ่าย!D142</f>
        <v>0</v>
      </c>
      <c r="E142" s="30">
        <f>'เย็น '!E142+'เช้า '!E142+บ่าย!E142</f>
        <v>0</v>
      </c>
      <c r="F142" s="30">
        <f>'เย็น '!F142+'เช้า '!F142+บ่าย!F142</f>
        <v>0</v>
      </c>
      <c r="G142" s="30">
        <f>'เย็น '!G142+'เช้า '!G142+บ่าย!G142</f>
        <v>0</v>
      </c>
      <c r="H142" s="30">
        <f>'เย็น '!H142+'เช้า '!H142+บ่าย!H142</f>
        <v>0</v>
      </c>
      <c r="I142" s="30">
        <f>'เย็น '!I142+'เช้า '!I142+บ่าย!I142</f>
        <v>0</v>
      </c>
      <c r="J142" s="30">
        <f t="shared" si="12"/>
        <v>0</v>
      </c>
      <c r="K142" s="30">
        <f>'เย็น '!J142+'เช้า '!J142+บ่าย!K142</f>
        <v>0</v>
      </c>
      <c r="L142" s="30">
        <f>'เย็น '!K142+'เช้า '!K142+บ่าย!L142</f>
        <v>0</v>
      </c>
      <c r="M142" s="36">
        <f t="shared" si="13"/>
        <v>0</v>
      </c>
      <c r="N142" s="12"/>
      <c r="O142" s="12"/>
      <c r="P142" s="12"/>
      <c r="Q142" s="12"/>
      <c r="R142" s="44">
        <f t="shared" si="11"/>
        <v>0</v>
      </c>
    </row>
    <row r="143" spans="2:18" x14ac:dyDescent="0.25">
      <c r="B143" s="50"/>
      <c r="C143" s="49"/>
      <c r="D143" s="30">
        <f>'เย็น '!D143+'เช้า '!D143+บ่าย!D143</f>
        <v>0</v>
      </c>
      <c r="E143" s="30">
        <f>'เย็น '!E143+'เช้า '!E143+บ่าย!E143</f>
        <v>0</v>
      </c>
      <c r="F143" s="30">
        <f>'เย็น '!F143+'เช้า '!F143+บ่าย!F143</f>
        <v>0</v>
      </c>
      <c r="G143" s="30">
        <f>'เย็น '!G143+'เช้า '!G143+บ่าย!G143</f>
        <v>0</v>
      </c>
      <c r="H143" s="30">
        <f>'เย็น '!H143+'เช้า '!H143+บ่าย!H143</f>
        <v>0</v>
      </c>
      <c r="I143" s="30"/>
      <c r="J143" s="30">
        <f t="shared" si="12"/>
        <v>0</v>
      </c>
      <c r="K143" s="30">
        <f>'เย็น '!J143+'เช้า '!J143+บ่าย!K143</f>
        <v>0</v>
      </c>
      <c r="L143" s="30">
        <f>'เย็น '!K143+'เช้า '!K143+บ่าย!L143</f>
        <v>0</v>
      </c>
      <c r="M143" s="36">
        <f t="shared" si="13"/>
        <v>0</v>
      </c>
      <c r="N143" s="12"/>
      <c r="O143" s="12"/>
      <c r="P143" s="12"/>
      <c r="Q143" s="12"/>
      <c r="R143" s="44">
        <f t="shared" si="11"/>
        <v>0</v>
      </c>
    </row>
    <row r="144" spans="2:18" ht="40.5" customHeight="1" x14ac:dyDescent="0.25">
      <c r="B144" s="11"/>
      <c r="C144" s="21"/>
      <c r="D144" s="36">
        <f t="shared" ref="D144:L144" si="14">SUM(D114:D142,D90:D99,D79:D87,D69:D76,D7:D66,D102:D111)</f>
        <v>151</v>
      </c>
      <c r="E144" s="36">
        <f t="shared" si="14"/>
        <v>287</v>
      </c>
      <c r="F144" s="36">
        <f t="shared" si="14"/>
        <v>39</v>
      </c>
      <c r="G144" s="36">
        <f t="shared" si="14"/>
        <v>685</v>
      </c>
      <c r="H144" s="36">
        <f t="shared" si="14"/>
        <v>0</v>
      </c>
      <c r="I144" s="36">
        <f t="shared" si="14"/>
        <v>0</v>
      </c>
      <c r="J144" s="36"/>
      <c r="K144" s="36">
        <f t="shared" si="14"/>
        <v>0</v>
      </c>
      <c r="L144" s="36">
        <f t="shared" si="14"/>
        <v>45</v>
      </c>
      <c r="M144" s="36">
        <f>SUM(M114:M142,M90:M99,M79:M87,M69:M76,M7:M66,M102:M111)</f>
        <v>1207</v>
      </c>
      <c r="N144" s="36">
        <f>SUM(N114:N140,N90:N99,N79:N87,N69:N76,N7:N66,N102:N111)</f>
        <v>1315</v>
      </c>
      <c r="O144" s="36">
        <f t="shared" ref="O144" si="15">SUM(O114:O140,O90:O99,O79:O87,O69:O76,O7:O66,O102:O111)</f>
        <v>891</v>
      </c>
      <c r="P144" s="36">
        <f t="shared" ref="P144" si="16">SUM(P114:P140,P90:P99,P79:P87,P69:P76,P7:P66,P102:P111)</f>
        <v>0</v>
      </c>
      <c r="Q144" s="36">
        <f t="shared" ref="Q144" si="17">SUM(Q114:Q140,Q90:Q99,Q79:Q87,Q69:Q76,Q7:Q66,Q102:Q111)</f>
        <v>1185</v>
      </c>
      <c r="R144" s="36">
        <f t="shared" ref="R144" si="18">SUM(R114:R140,R90:R99,R79:R87,R69:R76,R7:R66,R102:R111)</f>
        <v>2564</v>
      </c>
    </row>
    <row r="145" spans="2:13" x14ac:dyDescent="0.25">
      <c r="B145" s="37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9"/>
    </row>
    <row r="146" spans="2:13" x14ac:dyDescent="0.25">
      <c r="B146" s="37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9"/>
    </row>
    <row r="147" spans="2:13" x14ac:dyDescent="0.25">
      <c r="C147" s="24"/>
      <c r="D147" s="31"/>
      <c r="E147" s="31"/>
      <c r="F147" s="31"/>
      <c r="G147" s="26"/>
      <c r="M147" s="40"/>
    </row>
    <row r="148" spans="2:13" x14ac:dyDescent="0.25">
      <c r="B148" s="31" t="s">
        <v>104</v>
      </c>
      <c r="C148" s="31"/>
      <c r="D148" s="32"/>
      <c r="E148" s="32"/>
      <c r="F148" s="32"/>
      <c r="G148" s="27"/>
      <c r="H148" s="26"/>
      <c r="I148" s="31" t="s">
        <v>104</v>
      </c>
      <c r="J148" s="31"/>
      <c r="K148" s="31"/>
      <c r="L148" s="31"/>
      <c r="M148" s="31"/>
    </row>
    <row r="149" spans="2:13" x14ac:dyDescent="0.25">
      <c r="B149" s="32" t="s">
        <v>105</v>
      </c>
      <c r="C149" s="32"/>
      <c r="D149" s="33"/>
      <c r="E149" s="33"/>
      <c r="F149" s="33"/>
      <c r="G149" s="33"/>
      <c r="H149" s="33"/>
      <c r="I149" s="32" t="s">
        <v>106</v>
      </c>
      <c r="J149" s="32"/>
      <c r="K149" s="32"/>
      <c r="L149" s="32"/>
      <c r="M149" s="32"/>
    </row>
    <row r="150" spans="2:13" x14ac:dyDescent="0.25">
      <c r="B150" s="31"/>
      <c r="C150" s="31"/>
      <c r="D150" s="33"/>
      <c r="E150" s="33"/>
      <c r="F150" s="33"/>
      <c r="G150" s="33"/>
      <c r="H150" s="33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ht="20.399999999999999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4"/>
    </row>
    <row r="154" spans="2:13" ht="20.399999999999999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4"/>
    </row>
    <row r="155" spans="2:13" ht="20.399999999999999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4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2025-06-20T06:15:35Z</cp:lastPrinted>
  <dcterms:created xsi:type="dcterms:W3CDTF">2024-04-30T05:21:27Z</dcterms:created>
  <dcterms:modified xsi:type="dcterms:W3CDTF">2025-06-29T15:00:57Z</dcterms:modified>
</cp:coreProperties>
</file>