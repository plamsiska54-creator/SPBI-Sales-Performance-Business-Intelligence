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0E70C21-73DD-468A-88FB-0C56C976EDFB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1" i="5" l="1"/>
  <c r="L141" i="5"/>
  <c r="K141" i="5"/>
  <c r="J141" i="5"/>
  <c r="I141" i="5"/>
  <c r="H141" i="5"/>
  <c r="G141" i="5"/>
  <c r="F141" i="5"/>
  <c r="E141" i="5"/>
  <c r="D141" i="5"/>
  <c r="D139" i="5"/>
  <c r="E139" i="5"/>
  <c r="F139" i="5"/>
  <c r="G139" i="5"/>
  <c r="H139" i="5"/>
  <c r="I139" i="5"/>
  <c r="J139" i="5"/>
  <c r="K139" i="5"/>
  <c r="L141" i="3"/>
  <c r="L77" i="6"/>
  <c r="P100" i="5"/>
  <c r="O100" i="5"/>
  <c r="N100" i="5"/>
  <c r="M100" i="5"/>
  <c r="P112" i="5"/>
  <c r="O112" i="5"/>
  <c r="N112" i="5"/>
  <c r="M112" i="5"/>
  <c r="M142" i="5"/>
  <c r="N142" i="5"/>
  <c r="O142" i="5"/>
  <c r="P142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9" i="5" l="1"/>
  <c r="Q139" i="5" s="1"/>
  <c r="L137" i="5"/>
  <c r="L135" i="5"/>
  <c r="Q135" i="5" s="1"/>
  <c r="L138" i="5"/>
  <c r="Q138" i="5" s="1"/>
  <c r="L134" i="5"/>
  <c r="Q134" i="5" s="1"/>
  <c r="L132" i="5"/>
  <c r="Q132" i="5" s="1"/>
  <c r="L136" i="5"/>
  <c r="K142" i="5"/>
  <c r="L133" i="5"/>
  <c r="Q133" i="5" s="1"/>
  <c r="L131" i="5"/>
  <c r="Q131" i="5" s="1"/>
  <c r="L67" i="3"/>
  <c r="L100" i="3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F142" i="5" l="1"/>
  <c r="H142" i="5"/>
  <c r="J142" i="5"/>
  <c r="I142" i="5"/>
  <c r="G142" i="5"/>
  <c r="E142" i="5"/>
  <c r="Q114" i="5"/>
  <c r="Q90" i="5"/>
  <c r="L100" i="5"/>
  <c r="Q100" i="5" s="1"/>
  <c r="D142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2" i="5" s="1"/>
  <c r="L112" i="5"/>
  <c r="Q112" i="5" s="1"/>
  <c r="L142" i="5"/>
  <c r="L88" i="5"/>
  <c r="Q88" i="5" s="1"/>
  <c r="L67" i="5"/>
  <c r="Q67" i="5" s="1"/>
</calcChain>
</file>

<file path=xl/sharedStrings.xml><?xml version="1.0" encoding="utf-8"?>
<sst xmlns="http://schemas.openxmlformats.org/spreadsheetml/2006/main" count="619" uniqueCount="147">
  <si>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</si>
  <si>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</si>
  <si>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</si>
  <si>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</si>
  <si>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</si>
  <si>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</si>
  <si>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</si>
  <si>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</si>
  <si>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</si>
  <si>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</si>
  <si>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</si>
  <si>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</si>
  <si>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</si>
  <si>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</si>
  <si>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</si>
  <si>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</si>
  <si>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</si>
  <si>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</si>
  <si>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</si>
  <si>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</si>
  <si>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</si>
  <si>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</si>
  <si>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</si>
  <si>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</si>
  <si>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</si>
  <si>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</si>
  <si>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</si>
  <si>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</si>
  <si>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</si>
  <si>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</si>
  <si>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</si>
  <si>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</si>
  <si>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</si>
  <si>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</si>
  <si>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</si>
  <si>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</si>
  <si>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</si>
  <si>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</si>
  <si>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</si>
  <si>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</si>
  <si>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</si>
  <si>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</si>
  <si>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</si>
  <si>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</si>
  <si>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</si>
  <si>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</si>
  <si>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</si>
  <si>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</si>
  <si>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</si>
  <si>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</si>
  <si>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</si>
  <si>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</si>
  <si>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</si>
  <si>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</si>
  <si>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</si>
  <si>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</si>
  <si>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</si>
  <si>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</si>
  <si>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</si>
  <si>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</si>
  <si>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</si>
  <si>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</si>
  <si>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</si>
  <si>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</si>
  <si>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</si>
  <si>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</si>
  <si>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</si>
  <si>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</si>
  <si>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</si>
  <si>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</si>
  <si>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</si>
  <si>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</si>
  <si>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</si>
  <si>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</si>
  <si>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</si>
  <si>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</si>
  <si>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</si>
  <si>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</si>
  <si>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</si>
  <si>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</si>
  <si>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</si>
  <si>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</si>
  <si>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</si>
  <si>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</si>
  <si>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</si>
  <si>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</si>
  <si>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</si>
  <si>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</si>
  <si>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</si>
  <si>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</si>
  <si>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</si>
  <si>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</si>
  <si>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</si>
  <si>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</si>
  <si>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</si>
  <si>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</si>
  <si>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</si>
  <si>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</si>
  <si>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</si>
  <si>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</si>
  <si>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</si>
  <si>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</si>
  <si>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</si>
  <si>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</si>
  <si>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</si>
  <si>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</si>
  <si>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</si>
  <si>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</si>
  <si>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</si>
  <si>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</si>
  <si>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</si>
  <si>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</si>
  <si>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</si>
  <si>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</si>
  <si>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</si>
  <si>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</si>
  <si>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</si>
  <si>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</si>
  <si>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</si>
  <si>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</si>
  <si>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</si>
  <si>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</si>
  <si>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</si>
  <si>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</si>
  <si>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</si>
  <si>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</si>
  <si>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</si>
  <si>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</si>
  <si>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</si>
  <si>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</si>
  <si>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</si>
  <si>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</si>
  <si>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</si>
  <si>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</si>
  <si>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</si>
  <si>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</si>
  <si>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</si>
  <si>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</si>
  <si>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</si>
  <si>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</si>
  <si>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</si>
  <si>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</si>
  <si>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</si>
  <si>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</si>
  <si>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วันที่5/6/68  รวม</t>
  </si>
  <si>
    <t>ยอดจริง ออนไลน์ วันที่  5/6/68 เช้า</t>
  </si>
  <si>
    <t>มินิบันไก่หยองน้ำสลัด 110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</si>
</sst>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4" zoomScale="60" zoomScaleNormal="60" workbookViewId="0">
      <selection activeCell="T134" sqref="T13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18</v>
      </c>
      <c r="F7" s="30">
        <v>7</v>
      </c>
      <c r="G7" s="30">
        <v>22</v>
      </c>
      <c r="H7" s="30">
        <v>15</v>
      </c>
      <c r="I7" s="30"/>
      <c r="J7" s="43"/>
      <c r="K7" s="43"/>
      <c r="L7" s="36">
        <f>SUM(D7:K7)</f>
        <v>63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7</v>
      </c>
      <c r="F25" s="30"/>
      <c r="G25" s="30"/>
      <c r="H25" s="30"/>
      <c r="I25" s="30"/>
      <c r="J25" s="43"/>
      <c r="K25" s="43"/>
      <c r="L25" s="36">
        <f t="shared" si="0"/>
        <v>8</v>
      </c>
    </row>
    <row r="26" spans="2:12">
      <c r="B26" s="11">
        <v>1004055</v>
      </c>
      <c r="C26" s="15" t="s">
        <v>108</v>
      </c>
      <c r="D26" s="30">
        <v>4</v>
      </c>
      <c r="E26" s="30">
        <v>3</v>
      </c>
      <c r="F26" s="30"/>
      <c r="G26" s="30">
        <v>88</v>
      </c>
      <c r="H26" s="30">
        <v>6</v>
      </c>
      <c r="I26" s="30"/>
      <c r="J26" s="43"/>
      <c r="K26" s="43"/>
      <c r="L26" s="36">
        <f t="shared" si="0"/>
        <v>101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20</v>
      </c>
      <c r="E56" s="30"/>
      <c r="F56" s="30"/>
      <c r="G56" s="30"/>
      <c r="H56" s="30"/>
      <c r="I56" s="30"/>
      <c r="J56" s="43"/>
      <c r="K56" s="43"/>
      <c r="L56" s="36">
        <f t="shared" si="0"/>
        <v>20</v>
      </c>
    </row>
    <row r="57" spans="2:12">
      <c r="B57" s="11">
        <v>1111075</v>
      </c>
      <c r="C57" s="15" t="s">
        <v>45</v>
      </c>
      <c r="D57" s="30">
        <v>20</v>
      </c>
      <c r="E57" s="30"/>
      <c r="F57" s="30"/>
      <c r="G57" s="30"/>
      <c r="H57" s="30"/>
      <c r="I57" s="30"/>
      <c r="J57" s="43"/>
      <c r="K57" s="43"/>
      <c r="L57" s="36">
        <f t="shared" si="0"/>
        <v>20</v>
      </c>
    </row>
    <row r="58" spans="2:12">
      <c r="B58" s="11">
        <v>1111076</v>
      </c>
      <c r="C58" s="15" t="s">
        <v>46</v>
      </c>
      <c r="D58" s="30">
        <v>20</v>
      </c>
      <c r="E58" s="30"/>
      <c r="F58" s="30"/>
      <c r="G58" s="30"/>
      <c r="H58" s="30"/>
      <c r="I58" s="30"/>
      <c r="J58" s="43"/>
      <c r="K58" s="43"/>
      <c r="L58" s="36">
        <f t="shared" si="0"/>
        <v>20</v>
      </c>
    </row>
    <row r="59" spans="2:12">
      <c r="B59" s="11">
        <v>1111077</v>
      </c>
      <c r="C59" s="15" t="s">
        <v>47</v>
      </c>
      <c r="D59" s="30">
        <v>20</v>
      </c>
      <c r="E59" s="30"/>
      <c r="F59" s="30"/>
      <c r="G59" s="30"/>
      <c r="H59" s="30"/>
      <c r="I59" s="30"/>
      <c r="J59" s="43"/>
      <c r="K59" s="43"/>
      <c r="L59" s="36">
        <f t="shared" si="0"/>
        <v>20</v>
      </c>
    </row>
    <row r="60" spans="2:12">
      <c r="B60" s="11">
        <v>1111078</v>
      </c>
      <c r="C60" s="15" t="s">
        <v>48</v>
      </c>
      <c r="D60" s="30">
        <v>20</v>
      </c>
      <c r="E60" s="30"/>
      <c r="F60" s="30"/>
      <c r="G60" s="30"/>
      <c r="H60" s="30"/>
      <c r="I60" s="30"/>
      <c r="J60" s="43"/>
      <c r="K60" s="43"/>
      <c r="L60" s="36">
        <f t="shared" si="0"/>
        <v>20</v>
      </c>
    </row>
    <row r="61" spans="2:12">
      <c r="B61" s="11">
        <v>1111079</v>
      </c>
      <c r="C61" s="15" t="s">
        <v>49</v>
      </c>
      <c r="D61" s="30">
        <v>20</v>
      </c>
      <c r="E61" s="30"/>
      <c r="F61" s="30"/>
      <c r="G61" s="30"/>
      <c r="H61" s="30"/>
      <c r="I61" s="30"/>
      <c r="J61" s="43"/>
      <c r="K61" s="43"/>
      <c r="L61" s="36">
        <f t="shared" si="0"/>
        <v>20</v>
      </c>
    </row>
    <row r="62" spans="2:12">
      <c r="B62" s="11">
        <v>1111080</v>
      </c>
      <c r="C62" s="15" t="s">
        <v>50</v>
      </c>
      <c r="D62" s="30">
        <v>20</v>
      </c>
      <c r="E62" s="30"/>
      <c r="F62" s="30"/>
      <c r="G62" s="30"/>
      <c r="H62" s="30"/>
      <c r="I62" s="30"/>
      <c r="J62" s="43"/>
      <c r="K62" s="43"/>
      <c r="L62" s="36">
        <f t="shared" si="0"/>
        <v>20</v>
      </c>
    </row>
    <row r="63" spans="2:12">
      <c r="B63" s="11">
        <v>1111081</v>
      </c>
      <c r="C63" s="15" t="s">
        <v>51</v>
      </c>
      <c r="D63" s="30">
        <v>20</v>
      </c>
      <c r="E63" s="30"/>
      <c r="F63" s="30"/>
      <c r="G63" s="30"/>
      <c r="H63" s="30"/>
      <c r="I63" s="30"/>
      <c r="J63" s="43"/>
      <c r="K63" s="43"/>
      <c r="L63" s="36">
        <f t="shared" si="0"/>
        <v>20</v>
      </c>
    </row>
    <row r="64" spans="2:12">
      <c r="B64" s="11">
        <v>1111082</v>
      </c>
      <c r="C64" s="15" t="s">
        <v>52</v>
      </c>
      <c r="D64" s="30">
        <v>20</v>
      </c>
      <c r="E64" s="30"/>
      <c r="F64" s="30"/>
      <c r="G64" s="30"/>
      <c r="H64" s="30"/>
      <c r="I64" s="30"/>
      <c r="J64" s="43"/>
      <c r="K64" s="43"/>
      <c r="L64" s="36">
        <f t="shared" si="0"/>
        <v>20</v>
      </c>
    </row>
    <row r="65" spans="2:12">
      <c r="B65" s="11">
        <v>1111083</v>
      </c>
      <c r="C65" s="15" t="s">
        <v>53</v>
      </c>
      <c r="D65" s="30">
        <v>20</v>
      </c>
      <c r="E65" s="30"/>
      <c r="F65" s="30"/>
      <c r="G65" s="30"/>
      <c r="H65" s="30"/>
      <c r="I65" s="30"/>
      <c r="J65" s="43"/>
      <c r="K65" s="43"/>
      <c r="L65" s="36">
        <f t="shared" si="0"/>
        <v>20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372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7</v>
      </c>
      <c r="E69" s="30">
        <v>9</v>
      </c>
      <c r="F69" s="30"/>
      <c r="G69" s="30">
        <v>2</v>
      </c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2</v>
      </c>
      <c r="E71" s="30"/>
      <c r="F71" s="30"/>
      <c r="G71" s="30"/>
      <c r="H71" s="30"/>
      <c r="I71" s="30"/>
      <c r="J71" s="43"/>
      <c r="K71" s="43"/>
      <c r="L71" s="36">
        <f t="shared" si="1"/>
        <v>2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2</v>
      </c>
      <c r="E76" s="30"/>
      <c r="F76" s="30"/>
      <c r="G76" s="30"/>
      <c r="H76" s="30"/>
      <c r="I76" s="30"/>
      <c r="J76" s="43"/>
      <c r="K76" s="43"/>
      <c r="L76" s="36">
        <f t="shared" si="1"/>
        <v>2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22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4</v>
      </c>
      <c r="E87" s="30"/>
      <c r="F87" s="30"/>
      <c r="G87" s="30">
        <v>81</v>
      </c>
      <c r="H87" s="30"/>
      <c r="I87" s="30"/>
      <c r="J87" s="43"/>
      <c r="K87" s="43"/>
      <c r="L87" s="36">
        <f t="shared" si="2"/>
        <v>85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4</v>
      </c>
      <c r="E90" s="30">
        <v>1</v>
      </c>
      <c r="F90" s="30">
        <v>1</v>
      </c>
      <c r="G90" s="30">
        <v>32</v>
      </c>
      <c r="H90" s="30">
        <v>7</v>
      </c>
      <c r="I90" s="30"/>
      <c r="J90" s="43"/>
      <c r="K90" s="43"/>
      <c r="L90" s="36">
        <f t="shared" ref="L90:L99" si="3">SUM(D90:K90)</f>
        <v>45</v>
      </c>
    </row>
    <row r="91" spans="2:12">
      <c r="B91" s="11">
        <v>1112011</v>
      </c>
      <c r="C91" s="19" t="s">
        <v>76</v>
      </c>
      <c r="D91" s="30">
        <v>2</v>
      </c>
      <c r="E91" s="30">
        <v>1</v>
      </c>
      <c r="F91" s="30">
        <v>1</v>
      </c>
      <c r="G91" s="30">
        <v>32</v>
      </c>
      <c r="H91" s="30">
        <v>7</v>
      </c>
      <c r="I91" s="30"/>
      <c r="J91" s="43"/>
      <c r="K91" s="43"/>
      <c r="L91" s="36">
        <f t="shared" si="3"/>
        <v>43</v>
      </c>
    </row>
    <row r="92" spans="2:12">
      <c r="B92" s="11">
        <v>1112003</v>
      </c>
      <c r="C92" s="19" t="s">
        <v>77</v>
      </c>
      <c r="D92" s="30">
        <v>5</v>
      </c>
      <c r="E92" s="30"/>
      <c r="F92" s="30">
        <v>1</v>
      </c>
      <c r="G92" s="30">
        <v>32</v>
      </c>
      <c r="H92" s="30">
        <v>7</v>
      </c>
      <c r="I92" s="30"/>
      <c r="J92" s="43"/>
      <c r="K92" s="43"/>
      <c r="L92" s="36">
        <f t="shared" si="3"/>
        <v>45</v>
      </c>
    </row>
    <row r="93" spans="2:12">
      <c r="B93" s="11">
        <v>1112005</v>
      </c>
      <c r="C93" s="19" t="s">
        <v>78</v>
      </c>
      <c r="D93" s="30">
        <v>9</v>
      </c>
      <c r="E93" s="30"/>
      <c r="F93" s="30">
        <v>1</v>
      </c>
      <c r="G93" s="30"/>
      <c r="H93" s="30">
        <v>7</v>
      </c>
      <c r="I93" s="30"/>
      <c r="J93" s="43"/>
      <c r="K93" s="43"/>
      <c r="L93" s="36">
        <f t="shared" si="3"/>
        <v>17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>
        <v>1</v>
      </c>
      <c r="G97" s="30">
        <v>63</v>
      </c>
      <c r="H97" s="30">
        <v>9</v>
      </c>
      <c r="I97" s="30"/>
      <c r="J97" s="43"/>
      <c r="K97" s="43"/>
      <c r="L97" s="36">
        <f t="shared" si="3"/>
        <v>76</v>
      </c>
    </row>
    <row r="98" spans="2:12">
      <c r="B98" s="11">
        <v>1112013</v>
      </c>
      <c r="C98" s="19" t="s">
        <v>83</v>
      </c>
      <c r="D98" s="30">
        <v>2</v>
      </c>
      <c r="E98" s="30">
        <v>1</v>
      </c>
      <c r="F98" s="30">
        <v>1</v>
      </c>
      <c r="G98" s="30">
        <v>32</v>
      </c>
      <c r="H98" s="30">
        <v>7</v>
      </c>
      <c r="I98" s="30"/>
      <c r="J98" s="43"/>
      <c r="K98" s="43"/>
      <c r="L98" s="36">
        <f t="shared" si="3"/>
        <v>43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3</v>
      </c>
      <c r="F102" s="30"/>
      <c r="G102" s="30"/>
      <c r="H102" s="30"/>
      <c r="I102" s="30"/>
      <c r="J102" s="43"/>
      <c r="K102" s="43"/>
      <c r="L102" s="36">
        <f t="shared" ref="L102:L111" si="4">SUM(D102:K102)</f>
        <v>3</v>
      </c>
    </row>
    <row r="103" spans="2:12">
      <c r="B103" s="11">
        <v>1112010</v>
      </c>
      <c r="C103" s="19" t="s">
        <v>76</v>
      </c>
      <c r="D103" s="30"/>
      <c r="E103" s="30">
        <v>1</v>
      </c>
      <c r="F103" s="30"/>
      <c r="G103" s="30"/>
      <c r="H103" s="30"/>
      <c r="I103" s="30"/>
      <c r="J103" s="43"/>
      <c r="K103" s="43"/>
      <c r="L103" s="36">
        <f t="shared" si="4"/>
        <v>1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4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13</v>
      </c>
      <c r="E114" s="30"/>
      <c r="F114" s="30"/>
      <c r="G114" s="30">
        <v>2</v>
      </c>
      <c r="H114" s="30"/>
      <c r="I114" s="30"/>
      <c r="J114" s="43"/>
      <c r="K114" s="43"/>
      <c r="L114" s="36">
        <f t="shared" ref="L114:L141" si="5">SUM(D114:K114)</f>
        <v>15</v>
      </c>
    </row>
    <row r="115" spans="2:12">
      <c r="B115" s="11">
        <v>1113171</v>
      </c>
      <c r="C115" s="21" t="s">
        <v>88</v>
      </c>
      <c r="D115" s="30">
        <v>5</v>
      </c>
      <c r="E115" s="30"/>
      <c r="F115" s="30"/>
      <c r="G115" s="30">
        <v>2</v>
      </c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1</v>
      </c>
      <c r="F120" s="30"/>
      <c r="G120" s="30"/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1</v>
      </c>
      <c r="F123" s="30"/>
      <c r="G123" s="30">
        <v>236</v>
      </c>
      <c r="H123" s="30">
        <v>43</v>
      </c>
      <c r="I123" s="30"/>
      <c r="J123" s="43"/>
      <c r="K123" s="43"/>
      <c r="L123" s="36">
        <f t="shared" si="5"/>
        <v>285</v>
      </c>
    </row>
    <row r="124" spans="2:12">
      <c r="B124" s="11">
        <v>1114502</v>
      </c>
      <c r="C124" s="21" t="s">
        <v>96</v>
      </c>
      <c r="D124" s="30">
        <v>6</v>
      </c>
      <c r="E124" s="30">
        <v>2</v>
      </c>
      <c r="F124" s="30"/>
      <c r="G124" s="30">
        <v>197</v>
      </c>
      <c r="H124" s="30">
        <v>40</v>
      </c>
      <c r="I124" s="30"/>
      <c r="J124" s="43"/>
      <c r="K124" s="43"/>
      <c r="L124" s="36">
        <f t="shared" si="5"/>
        <v>245</v>
      </c>
    </row>
    <row r="125" spans="2:12">
      <c r="B125" s="11">
        <v>1114503</v>
      </c>
      <c r="C125" s="21" t="s">
        <v>97</v>
      </c>
      <c r="D125" s="30">
        <v>4</v>
      </c>
      <c r="E125" s="30">
        <v>1</v>
      </c>
      <c r="F125" s="30"/>
      <c r="G125" s="30">
        <v>197</v>
      </c>
      <c r="H125" s="30">
        <v>40</v>
      </c>
      <c r="I125" s="30"/>
      <c r="J125" s="43"/>
      <c r="K125" s="43"/>
      <c r="L125" s="36">
        <f t="shared" si="5"/>
        <v>242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>
        <v>10</v>
      </c>
      <c r="G126" s="30">
        <v>12</v>
      </c>
      <c r="H126" s="30"/>
      <c r="I126" s="30"/>
      <c r="J126" s="43"/>
      <c r="K126" s="43"/>
      <c r="L126" s="36">
        <f t="shared" si="5"/>
        <v>23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7</v>
      </c>
      <c r="F136" s="30"/>
      <c r="G136" s="30"/>
      <c r="H136" s="30"/>
      <c r="I136" s="30"/>
      <c r="J136" s="43"/>
      <c r="K136" s="43"/>
      <c r="L136" s="36">
        <f t="shared" si="5"/>
        <v>7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20059498</v>
      </c>
      <c r="C141" s="49" t="s">
        <v>146</v>
      </c>
      <c r="D141" s="51"/>
      <c r="E141" s="51"/>
      <c r="F141" s="51"/>
      <c r="G141" s="73">
        <v>12</v>
      </c>
      <c r="H141" s="9"/>
      <c r="I141" s="9"/>
      <c r="J141" s="9"/>
      <c r="K141" s="9"/>
      <c r="L141" s="36">
        <f t="shared" si="5"/>
        <v>12</v>
      </c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55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4"/>
  <sheetViews>
    <sheetView tabSelected="1" zoomScale="50" zoomScaleNormal="50" workbookViewId="0">
      <selection activeCell="W46" sqref="W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18</v>
      </c>
      <c r="F7" s="30">
        <f>'เย็น '!F7+'เช้า '!F7+บ่าย!F7</f>
        <v>7</v>
      </c>
      <c r="G7" s="30">
        <f>'เย็น '!G7+'เช้า '!G7+บ่าย!G7</f>
        <v>22</v>
      </c>
      <c r="H7" s="30">
        <f>'เย็น '!H7+'เช้า '!H7+บ่าย!H7</f>
        <v>15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v>10</v>
      </c>
      <c r="L7" s="36">
        <f>SUM(D7:K7)</f>
        <v>73</v>
      </c>
      <c r="M7" s="11">
        <v>80</v>
      </c>
      <c r="N7" s="11">
        <v>142</v>
      </c>
      <c r="O7" s="11"/>
      <c r="P7" s="11">
        <v>70</v>
      </c>
      <c r="Q7" s="44">
        <f>(M7+N7+O7+P7)-L7</f>
        <v>219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7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15</v>
      </c>
      <c r="N25" s="11">
        <v>33</v>
      </c>
      <c r="O25" s="11"/>
      <c r="P25" s="11">
        <v>15</v>
      </c>
      <c r="Q25" s="44">
        <f t="shared" si="1"/>
        <v>55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88</v>
      </c>
      <c r="H26" s="30">
        <f>'เย็น '!H26+'เช้า '!H26+บ่าย!H26</f>
        <v>6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101</v>
      </c>
      <c r="M26" s="11">
        <v>90</v>
      </c>
      <c r="N26" s="11">
        <v>53</v>
      </c>
      <c r="O26" s="11"/>
      <c r="P26" s="11">
        <v>90</v>
      </c>
      <c r="Q26" s="44">
        <f t="shared" si="1"/>
        <v>132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20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20</v>
      </c>
      <c r="M56" s="11"/>
      <c r="N56" s="11"/>
      <c r="O56" s="11"/>
      <c r="P56" s="11"/>
      <c r="Q56" s="44">
        <f t="shared" si="1"/>
        <v>-20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20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20</v>
      </c>
      <c r="M57" s="11"/>
      <c r="N57" s="11"/>
      <c r="O57" s="11"/>
      <c r="P57" s="11"/>
      <c r="Q57" s="44">
        <f t="shared" si="1"/>
        <v>-20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20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20</v>
      </c>
      <c r="M58" s="11"/>
      <c r="N58" s="11"/>
      <c r="O58" s="11"/>
      <c r="P58" s="11"/>
      <c r="Q58" s="44">
        <f t="shared" si="1"/>
        <v>-20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20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20</v>
      </c>
      <c r="M59" s="11"/>
      <c r="N59" s="11"/>
      <c r="O59" s="11"/>
      <c r="P59" s="11"/>
      <c r="Q59" s="44">
        <f t="shared" si="1"/>
        <v>-20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20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20</v>
      </c>
      <c r="M60" s="11"/>
      <c r="N60" s="11"/>
      <c r="O60" s="11"/>
      <c r="P60" s="11"/>
      <c r="Q60" s="44">
        <f t="shared" si="1"/>
        <v>-20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20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20</v>
      </c>
      <c r="M61" s="11"/>
      <c r="N61" s="11"/>
      <c r="O61" s="11"/>
      <c r="P61" s="11"/>
      <c r="Q61" s="44">
        <f t="shared" si="1"/>
        <v>-20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20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20</v>
      </c>
      <c r="M62" s="11"/>
      <c r="N62" s="11"/>
      <c r="O62" s="11"/>
      <c r="P62" s="11"/>
      <c r="Q62" s="44">
        <f t="shared" si="1"/>
        <v>-20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20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20</v>
      </c>
      <c r="M63" s="11"/>
      <c r="N63" s="11"/>
      <c r="O63" s="11"/>
      <c r="P63" s="11"/>
      <c r="Q63" s="44">
        <f t="shared" si="1"/>
        <v>-20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20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20</v>
      </c>
      <c r="M64" s="11"/>
      <c r="N64" s="11"/>
      <c r="O64" s="11"/>
      <c r="P64" s="11"/>
      <c r="Q64" s="44">
        <f t="shared" si="1"/>
        <v>-20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20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20</v>
      </c>
      <c r="M65" s="11"/>
      <c r="N65" s="11"/>
      <c r="O65" s="11"/>
      <c r="P65" s="11"/>
      <c r="Q65" s="44">
        <f t="shared" si="1"/>
        <v>-20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7</v>
      </c>
      <c r="E69" s="30">
        <f>'เย็น '!E69+'เช้า '!E69+บ่าย!E69</f>
        <v>9</v>
      </c>
      <c r="F69" s="30">
        <f>'เย็น '!F69+'เช้า '!F69+บ่าย!F69</f>
        <v>0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15</v>
      </c>
      <c r="N69" s="11">
        <v>28</v>
      </c>
      <c r="O69" s="11"/>
      <c r="P69" s="11">
        <v>15</v>
      </c>
      <c r="Q69" s="44">
        <f t="shared" ref="Q69:Q76" si="5">(M69+N69+O69+P69)-L69</f>
        <v>40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2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2</v>
      </c>
      <c r="M71" s="11"/>
      <c r="N71" s="11">
        <v>4</v>
      </c>
      <c r="O71" s="11"/>
      <c r="P71" s="11"/>
      <c r="Q71" s="44">
        <f t="shared" si="5"/>
        <v>2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2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2</v>
      </c>
      <c r="M76" s="11"/>
      <c r="N76" s="11">
        <v>4</v>
      </c>
      <c r="O76" s="11"/>
      <c r="P76" s="11"/>
      <c r="Q76" s="44">
        <f t="shared" si="5"/>
        <v>2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4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81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85</v>
      </c>
      <c r="M87" s="11">
        <v>90</v>
      </c>
      <c r="N87" s="11">
        <v>3</v>
      </c>
      <c r="O87" s="11"/>
      <c r="P87" s="11">
        <v>90</v>
      </c>
      <c r="Q87" s="44">
        <f t="shared" si="8"/>
        <v>98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32</v>
      </c>
      <c r="H90" s="30">
        <f>'เย็น '!H90+'เช้า '!H90+บ่าย!H90</f>
        <v>7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45</v>
      </c>
      <c r="M90" s="11">
        <v>76</v>
      </c>
      <c r="N90" s="11">
        <v>19</v>
      </c>
      <c r="O90" s="11"/>
      <c r="P90" s="11">
        <v>90</v>
      </c>
      <c r="Q90" s="44">
        <f t="shared" ref="Q90:Q100" si="10">(M90+N90+O90+P90)-L90</f>
        <v>140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1</v>
      </c>
      <c r="G91" s="30">
        <f>'เย็น '!G91+'เช้า '!G91+บ่าย!G91</f>
        <v>32</v>
      </c>
      <c r="H91" s="30">
        <f>'เย็น '!H91+'เช้า '!H91+บ่าย!H91</f>
        <v>7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43</v>
      </c>
      <c r="M91" s="11">
        <v>66</v>
      </c>
      <c r="N91" s="11">
        <v>23</v>
      </c>
      <c r="O91" s="11"/>
      <c r="P91" s="11">
        <v>90</v>
      </c>
      <c r="Q91" s="44">
        <f t="shared" si="10"/>
        <v>136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32</v>
      </c>
      <c r="H92" s="30">
        <f>'เย็น '!H92+'เช้า '!H92+บ่าย!H92</f>
        <v>7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45</v>
      </c>
      <c r="M92" s="11">
        <v>115</v>
      </c>
      <c r="N92" s="11"/>
      <c r="O92" s="11"/>
      <c r="P92" s="11">
        <v>90</v>
      </c>
      <c r="Q92" s="44">
        <f t="shared" si="10"/>
        <v>160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9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0</v>
      </c>
      <c r="H93" s="30">
        <f>'เย็น '!H93+'เช้า '!H93+บ่าย!H93</f>
        <v>7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17</v>
      </c>
      <c r="M93" s="11">
        <v>16</v>
      </c>
      <c r="N93" s="11">
        <v>30</v>
      </c>
      <c r="O93" s="11"/>
      <c r="P93" s="11">
        <v>90</v>
      </c>
      <c r="Q93" s="44">
        <f t="shared" si="10"/>
        <v>119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63</v>
      </c>
      <c r="H97" s="30">
        <f>'เย็น '!H97+'เช้า '!H97+บ่าย!H97</f>
        <v>9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76</v>
      </c>
      <c r="M97" s="11">
        <v>159</v>
      </c>
      <c r="N97" s="11"/>
      <c r="O97" s="11"/>
      <c r="P97" s="11">
        <v>90</v>
      </c>
      <c r="Q97" s="44">
        <f t="shared" si="10"/>
        <v>173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32</v>
      </c>
      <c r="H98" s="30">
        <f>'เย็น '!H98+'เช้า '!H98+บ่าย!H98</f>
        <v>7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43</v>
      </c>
      <c r="M98" s="11">
        <v>86</v>
      </c>
      <c r="N98" s="11"/>
      <c r="O98" s="11"/>
      <c r="P98" s="11">
        <v>90</v>
      </c>
      <c r="Q98" s="44">
        <f t="shared" si="10"/>
        <v>133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269</v>
      </c>
      <c r="M100" s="11">
        <f>SUM(M90:M99)</f>
        <v>518</v>
      </c>
      <c r="N100" s="11">
        <f>SUM(N90:N99)</f>
        <v>72</v>
      </c>
      <c r="O100" s="11">
        <f>SUM(O90:O99)</f>
        <v>0</v>
      </c>
      <c r="P100" s="11">
        <f>SUM(P90:P99)</f>
        <v>540</v>
      </c>
      <c r="Q100" s="44">
        <f t="shared" si="10"/>
        <v>861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3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3</v>
      </c>
      <c r="M102" s="11"/>
      <c r="N102" s="11"/>
      <c r="O102" s="11">
        <v>3</v>
      </c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1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1</v>
      </c>
      <c r="M103" s="11"/>
      <c r="N103" s="11"/>
      <c r="O103" s="11">
        <v>1</v>
      </c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4</v>
      </c>
      <c r="M112" s="11">
        <f>SUM(M102:M111)</f>
        <v>0</v>
      </c>
      <c r="N112" s="11">
        <f>SUM(N102:N111)</f>
        <v>0</v>
      </c>
      <c r="O112" s="11">
        <f>SUM(O102:O111)</f>
        <v>4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13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2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1" si="13">SUM(D114:K114)</f>
        <v>15</v>
      </c>
      <c r="M114" s="11">
        <v>26</v>
      </c>
      <c r="N114" s="11"/>
      <c r="O114" s="11"/>
      <c r="P114" s="11"/>
      <c r="Q114" s="44">
        <f t="shared" ref="Q114:Q141" si="14">(M114+N114+O114+P114)-L114</f>
        <v>11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5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2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7</v>
      </c>
      <c r="M115" s="11">
        <v>21</v>
      </c>
      <c r="N115" s="11">
        <v>1</v>
      </c>
      <c r="O115" s="11"/>
      <c r="P115" s="11"/>
      <c r="Q115" s="44">
        <f t="shared" si="14"/>
        <v>15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1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1</v>
      </c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1</v>
      </c>
      <c r="F123" s="30">
        <f>'เย็น '!F123+'เช้า '!F123+บ่าย!F123</f>
        <v>0</v>
      </c>
      <c r="G123" s="30">
        <f>'เย็น '!G123+'เช้า '!G123+บ่าย!G123</f>
        <v>236</v>
      </c>
      <c r="H123" s="30">
        <f>'เย็น '!H123+'เช้า '!H123+บ่าย!H123</f>
        <v>43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285</v>
      </c>
      <c r="M123" s="11">
        <v>484</v>
      </c>
      <c r="N123" s="11">
        <v>62</v>
      </c>
      <c r="O123" s="11"/>
      <c r="P123" s="11">
        <v>600</v>
      </c>
      <c r="Q123" s="44">
        <f t="shared" si="14"/>
        <v>861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6</v>
      </c>
      <c r="E124" s="30">
        <f>'เย็น '!E124+'เช้า '!E124+บ่าย!E124</f>
        <v>2</v>
      </c>
      <c r="F124" s="30">
        <f>'เย็น '!F124+'เช้า '!F124+บ่าย!F124</f>
        <v>0</v>
      </c>
      <c r="G124" s="30">
        <f>'เย็น '!G124+'เช้า '!G124+บ่าย!G124</f>
        <v>197</v>
      </c>
      <c r="H124" s="30">
        <f>'เย็น '!H124+'เช้า '!H124+บ่าย!H124</f>
        <v>40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245</v>
      </c>
      <c r="M124" s="11">
        <v>723</v>
      </c>
      <c r="N124" s="11">
        <v>68</v>
      </c>
      <c r="O124" s="11"/>
      <c r="P124" s="11">
        <v>500</v>
      </c>
      <c r="Q124" s="44">
        <f t="shared" si="14"/>
        <v>1046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4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197</v>
      </c>
      <c r="H125" s="30">
        <f>'เย็น '!H125+'เช้า '!H125+บ่าย!H125</f>
        <v>40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242</v>
      </c>
      <c r="M125" s="11">
        <v>588</v>
      </c>
      <c r="N125" s="11">
        <v>4</v>
      </c>
      <c r="O125" s="11"/>
      <c r="P125" s="11">
        <v>500</v>
      </c>
      <c r="Q125" s="44">
        <f t="shared" si="14"/>
        <v>850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</v>
      </c>
      <c r="F126" s="30">
        <f>'เย็น '!F126+'เช้า '!F126+บ่าย!F126</f>
        <v>10</v>
      </c>
      <c r="G126" s="30">
        <f>'เย็น '!G126+'เช้า '!G126+บ่าย!G126</f>
        <v>12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23</v>
      </c>
      <c r="M126" s="11">
        <v>18</v>
      </c>
      <c r="N126" s="11"/>
      <c r="O126" s="11">
        <v>5</v>
      </c>
      <c r="P126" s="11">
        <v>30</v>
      </c>
      <c r="Q126" s="44">
        <f t="shared" si="14"/>
        <v>30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7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7</v>
      </c>
      <c r="M136" s="11"/>
      <c r="N136" s="11"/>
      <c r="O136" s="11"/>
      <c r="P136" s="11"/>
      <c r="Q136" s="44">
        <f t="shared" si="14"/>
        <v>-7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>
      <c r="B141" s="50">
        <v>20059498</v>
      </c>
      <c r="C141" s="49" t="s">
        <v>146</v>
      </c>
      <c r="D141" s="30">
        <f>'เย็น '!D141+'เช้า '!D141+บ่าย!D141</f>
        <v>0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12</v>
      </c>
      <c r="H141" s="30">
        <f>'เย็น '!H141+'เช้า '!H141+บ่าย!H141</f>
        <v>0</v>
      </c>
      <c r="I141" s="30">
        <f>'เย็น '!I141+'เช้า '!I141+บ่าย!I141</f>
        <v>0</v>
      </c>
      <c r="J141" s="30">
        <f>'เย็น '!J141+'เช้า '!J141+บ่าย!J141</f>
        <v>0</v>
      </c>
      <c r="K141" s="30">
        <f>'เย็น '!K141+'เช้า '!K141+บ่าย!K141</f>
        <v>0</v>
      </c>
      <c r="L141" s="36">
        <f t="shared" si="13"/>
        <v>12</v>
      </c>
      <c r="M141" s="11"/>
      <c r="N141" s="11"/>
      <c r="O141" s="11"/>
      <c r="P141" s="11"/>
      <c r="Q141" s="44">
        <f t="shared" si="14"/>
        <v>-12</v>
      </c>
    </row>
    <row r="142" spans="2:17" ht="40.5" customHeight="1">
      <c r="C142" s="35"/>
      <c r="D142" s="36">
        <f>SUM(D114:D140,D90:D99,D79:D87,D69:D76,D7:D66,D102:D111)</f>
        <v>278</v>
      </c>
      <c r="E142" s="36">
        <f>SUM(E114:E140,E90:E99,E79:E87,E69:E76,E7:E66,E102:E111)</f>
        <v>58</v>
      </c>
      <c r="F142" s="36">
        <f>SUM(F114:F140,F90:F99,F79:F87,F69:F76,F7:F66,F102:F111)</f>
        <v>23</v>
      </c>
      <c r="G142" s="36">
        <f>SUM(G114:G140,G90:G99,G79:G87,G69:G76,G7:G66,G102:G111)</f>
        <v>1030</v>
      </c>
      <c r="H142" s="36">
        <f>SUM(H114:H140,H90:H99,H79:H87,H69:H76,H7:H66,H102:H111)</f>
        <v>188</v>
      </c>
      <c r="I142" s="36">
        <f>SUM(I114:I140,I90:I99,I79:I87,I69:I76,I7:I66,I102:I111)</f>
        <v>0</v>
      </c>
      <c r="J142" s="36">
        <f>SUM(J114:J140,J90:J99,J79:J87,J69:J76,J7:J66,J102:J111)</f>
        <v>0</v>
      </c>
      <c r="K142" s="36">
        <f>SUM(K114:K140,K90:K99,K79:K87,K69:K76,K7:K66,K102:K111)</f>
        <v>10</v>
      </c>
      <c r="L142" s="36">
        <f>SUM(L114:L140,L90:L99,L79:L87,L69:L76,L7:L66,L102:L111)</f>
        <v>1587</v>
      </c>
      <c r="M142" s="36">
        <f>SUM(M114:M140,M90:M99,M79:M87,M69:M76,M7:M66,M102:M111)</f>
        <v>2668</v>
      </c>
      <c r="N142" s="36">
        <f>SUM(N114:N140,N90:N99,N79:N87,N69:N76,N7:N66,N102:N111)</f>
        <v>475</v>
      </c>
      <c r="O142" s="36">
        <f>SUM(O114:O140,O90:O99,O79:O87,O69:O76,O7:O66,O102:O111)</f>
        <v>9</v>
      </c>
      <c r="P142" s="36">
        <f>SUM(P114:P140,P90:P99,P79:P87,P69:P76,P7:P66,P102:P111)</f>
        <v>2450</v>
      </c>
      <c r="Q142" s="36">
        <f>SUM(Q114:Q140,Q90:Q99,Q79:Q87,Q69:Q76,Q7:Q66,Q102:Q111)</f>
        <v>4015</v>
      </c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B144" s="37"/>
      <c r="C144" s="35"/>
      <c r="D144" s="38"/>
      <c r="E144" s="38"/>
      <c r="F144" s="38"/>
      <c r="G144" s="38"/>
      <c r="H144" s="38"/>
      <c r="I144" s="38"/>
      <c r="J144" s="38"/>
      <c r="K144" s="38"/>
      <c r="L144" s="39"/>
    </row>
    <row r="145" spans="2:12">
      <c r="C145" s="24"/>
      <c r="D145" s="31"/>
      <c r="E145" s="61"/>
      <c r="F145" s="61"/>
      <c r="G145" s="26"/>
      <c r="L145" s="40"/>
    </row>
    <row r="146" spans="2:12">
      <c r="B146" s="61" t="s">
        <v>104</v>
      </c>
      <c r="C146" s="61"/>
      <c r="D146" s="32"/>
      <c r="E146" s="57"/>
      <c r="F146" s="57"/>
      <c r="G146" s="27"/>
      <c r="H146" s="26"/>
      <c r="I146" s="61" t="s">
        <v>104</v>
      </c>
      <c r="J146" s="61"/>
      <c r="K146" s="61"/>
      <c r="L146" s="61"/>
    </row>
    <row r="147" spans="2:12">
      <c r="B147" s="57" t="s">
        <v>105</v>
      </c>
      <c r="C147" s="57"/>
      <c r="D147" s="33"/>
      <c r="E147" s="33"/>
      <c r="F147" s="33"/>
      <c r="G147" s="33"/>
      <c r="H147" s="33"/>
      <c r="I147" s="57" t="s">
        <v>106</v>
      </c>
      <c r="J147" s="57"/>
      <c r="K147" s="57"/>
      <c r="L147" s="57"/>
    </row>
    <row r="148" spans="2:12">
      <c r="B148" s="31"/>
      <c r="C148" s="31"/>
      <c r="D148" s="33"/>
      <c r="E148" s="33"/>
      <c r="F148" s="33"/>
      <c r="G148" s="33"/>
      <c r="H148" s="33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21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7:C147"/>
    <mergeCell ref="I147:L147"/>
    <mergeCell ref="B101:Q101"/>
    <mergeCell ref="B113:Q113"/>
    <mergeCell ref="E145:F145"/>
    <mergeCell ref="B146:C146"/>
    <mergeCell ref="E146:F146"/>
    <mergeCell ref="I146:L14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2025-06-05T00:39:58Z</cp:lastPrinted>
  <dcterms:created xsi:type="dcterms:W3CDTF">2024-04-30T05:21:27Z</dcterms:created>
  <dcterms:modified xsi:type="dcterms:W3CDTF">2025-06-05T00:54:06Z</dcterms:modified>
</cp:coreProperties>
</file>