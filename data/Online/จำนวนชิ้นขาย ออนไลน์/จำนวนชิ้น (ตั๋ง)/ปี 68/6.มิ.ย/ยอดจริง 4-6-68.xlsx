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8\6-68\"/>
    </mc:Choice>
  </mc:AlternateContent>
  <xr:revisionPtr revIDLastSave="0" documentId="13_ncr:1_{5FCA9739-0374-484F-B6E8-3C6ED526C576}" xr6:coauthVersionLast="47" xr6:coauthVersionMax="47" xr10:uidLastSave="{00000000-0000-0000-0000-000000000000}"/>
  <bookViews>
    <workbookView xWindow="480" yWindow="60" windowWidth="20070" windowHeight="14550" activeTab="3" xr2:uid="{55C9AAA3-F459-48EC-A639-AACFFC6390F5}"/>
  </bookViews>
  <sheets>
    <sheet name="เช้า " sheetId="3" r:id="rId1"/>
    <sheet name="เย็น " sheetId="6" state="hidden" r:id="rId2"/>
    <sheet name="บ่าย" sheetId="4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5" l="1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L77" i="6" l="1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D37" i="5"/>
  <c r="E37" i="5"/>
  <c r="F37" i="5"/>
  <c r="G37" i="5"/>
  <c r="H37" i="5"/>
  <c r="I37" i="5"/>
  <c r="J37" i="5"/>
  <c r="D38" i="5"/>
  <c r="E38" i="5"/>
  <c r="F38" i="5"/>
  <c r="G38" i="5"/>
  <c r="H38" i="5"/>
  <c r="I38" i="5"/>
  <c r="J38" i="5"/>
  <c r="D39" i="5"/>
  <c r="E39" i="5"/>
  <c r="F39" i="5"/>
  <c r="G39" i="5"/>
  <c r="H39" i="5"/>
  <c r="I39" i="5"/>
  <c r="J39" i="5"/>
  <c r="D40" i="5"/>
  <c r="E40" i="5"/>
  <c r="F40" i="5"/>
  <c r="G40" i="5"/>
  <c r="H40" i="5"/>
  <c r="I40" i="5"/>
  <c r="J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77" i="3" l="1"/>
  <c r="L88" i="3"/>
  <c r="K141" i="5"/>
  <c r="L100" i="3"/>
  <c r="L67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<sst xmlns="http://schemas.openxmlformats.org/spreadsheetml/2006/main" count="617" uniqueCount="146">
  <si>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</si>
  <si>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</si>
  <si>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</si>
  <si>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</si>
  <si>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</si>
  <si>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</si>
  <si>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</si>
  <si>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</si>
  <si>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</si>
  <si>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</si>
  <si>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</si>
  <si>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</si>
  <si>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</si>
  <si>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</si>
  <si>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</si>
  <si>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</si>
  <si>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</si>
  <si>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</si>
  <si>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</si>
  <si>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</si>
  <si>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</si>
  <si>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</si>
  <si>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</si>
  <si>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</si>
  <si>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</si>
  <si>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</si>
  <si>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</si>
  <si>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</si>
  <si>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</si>
  <si>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</si>
  <si>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</si>
  <si>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</si>
  <si>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</si>
  <si>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</si>
  <si>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</si>
  <si>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</si>
  <si>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</si>
  <si>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</si>
  <si>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</si>
  <si>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</si>
  <si>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</si>
  <si>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</si>
  <si>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</si>
  <si>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</si>
  <si>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</si>
  <si>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</si>
  <si>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</si>
  <si>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</si>
  <si>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</si>
  <si>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</si>
  <si>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</si>
  <si>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</si>
  <si>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</si>
  <si>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</si>
  <si>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</si>
  <si>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</si>
  <si>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</si>
  <si>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</si>
  <si>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</si>
  <si>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</si>
  <si>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</si>
  <si>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</si>
  <si>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</si>
  <si>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</si>
  <si>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</si>
  <si>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</si>
  <si>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</si>
  <si>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</si>
  <si>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</si>
  <si>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</si>
  <si>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</si>
  <si>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</si>
  <si>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</si>
  <si>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</si>
  <si>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</si>
  <si>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</si>
  <si>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</si>
  <si>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</si>
  <si>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</si>
  <si>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</si>
  <si>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</si>
  <si>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</si>
  <si>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</si>
  <si>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</si>
  <si>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</si>
  <si>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</si>
  <si>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</si>
  <si>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</si>
  <si>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</si>
  <si>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</si>
  <si>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</si>
  <si>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</si>
  <si>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</si>
  <si>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</si>
  <si>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</si>
  <si>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</si>
  <si>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</si>
  <si>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</si>
  <si>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</si>
  <si>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</si>
  <si>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</si>
  <si>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</si>
  <si>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</si>
  <si>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</si>
  <si>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</si>
  <si>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</si>
  <si>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</si>
  <si>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</si>
  <si>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</si>
  <si>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</si>
  <si>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</si>
  <si>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</si>
  <si>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</si>
  <si>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</si>
  <si>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</si>
  <si>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</si>
  <si>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</si>
  <si>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</si>
  <si>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</si>
  <si>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</si>
  <si>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</si>
  <si>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</si>
  <si>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</si>
  <si>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</si>
  <si>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</si>
  <si>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</si>
  <si>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</si>
  <si>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</si>
  <si>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</si>
  <si>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</si>
  <si>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</si>
  <si>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</si>
  <si>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</si>
  <si>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</si>
  <si>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</si>
  <si>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</si>
  <si>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</si>
  <si>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</si>
  <si>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</si>
  <si>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</si>
  <si>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</si>
  <si>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</si>
  <si>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</si>
  <si>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</si>
  <si>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 4/6/68เช้า</t>
  </si>
  <si>
    <t>ยอดจริง ออนไลน์ วันที่ 4/6/68 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</si>
</sst>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3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  <font>
      <sz val="22"/>
      <color theme="1"/>
      <name val="Tahoma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45" zoomScale="60" zoomScaleNormal="60" workbookViewId="0">
      <selection activeCell="H127" sqref="H127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>
        <v>2</v>
      </c>
      <c r="F7" s="30">
        <v>5</v>
      </c>
      <c r="G7" s="30"/>
      <c r="H7" s="30">
        <v>12</v>
      </c>
      <c r="I7" s="30"/>
      <c r="J7" s="43"/>
      <c r="K7" s="43">
        <v>50</v>
      </c>
      <c r="L7" s="36">
        <f>SUM(D7:K7)</f>
        <v>69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>
        <v>6</v>
      </c>
      <c r="F25" s="30"/>
      <c r="G25" s="30"/>
      <c r="H25" s="30">
        <v>1</v>
      </c>
      <c r="I25" s="30"/>
      <c r="J25" s="43"/>
      <c r="K25" s="43"/>
      <c r="L25" s="36">
        <f t="shared" si="0"/>
        <v>7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>
        <v>3</v>
      </c>
      <c r="H26" s="30">
        <v>57</v>
      </c>
      <c r="I26" s="30"/>
      <c r="J26" s="43"/>
      <c r="K26" s="43">
        <v>27</v>
      </c>
      <c r="L26" s="36">
        <f t="shared" si="0"/>
        <v>87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163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>
        <v>1</v>
      </c>
      <c r="H69" s="30"/>
      <c r="I69" s="30"/>
      <c r="J69" s="43"/>
      <c r="K69" s="43"/>
      <c r="L69" s="36">
        <f t="shared" ref="L69:L76" si="1">SUM(D69:K69)</f>
        <v>1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>
        <v>5</v>
      </c>
      <c r="L71" s="36">
        <f t="shared" si="1"/>
        <v>5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6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>
        <v>2</v>
      </c>
      <c r="L80" s="36">
        <f t="shared" si="2"/>
        <v>2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>
        <v>39</v>
      </c>
      <c r="H87" s="30">
        <v>48</v>
      </c>
      <c r="I87" s="30"/>
      <c r="J87" s="43"/>
      <c r="K87" s="43"/>
      <c r="L87" s="36">
        <f t="shared" si="2"/>
        <v>87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89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/>
      <c r="F90" s="30">
        <v>2</v>
      </c>
      <c r="G90" s="30">
        <v>18</v>
      </c>
      <c r="H90" s="30">
        <v>37</v>
      </c>
      <c r="I90" s="30"/>
      <c r="J90" s="43"/>
      <c r="K90" s="43">
        <v>15</v>
      </c>
      <c r="L90" s="36">
        <f t="shared" ref="L90:L99" si="3">SUM(D90:K90)</f>
        <v>72</v>
      </c>
    </row>
    <row r="91" spans="2:12" x14ac:dyDescent="0.2">
      <c r="B91" s="11">
        <v>1112011</v>
      </c>
      <c r="C91" s="19" t="s">
        <v>76</v>
      </c>
      <c r="D91" s="30"/>
      <c r="E91" s="30"/>
      <c r="F91" s="30">
        <v>2</v>
      </c>
      <c r="G91" s="30">
        <v>18</v>
      </c>
      <c r="H91" s="30">
        <v>37</v>
      </c>
      <c r="I91" s="30"/>
      <c r="J91" s="43"/>
      <c r="K91" s="43">
        <v>5</v>
      </c>
      <c r="L91" s="36">
        <f t="shared" si="3"/>
        <v>62</v>
      </c>
    </row>
    <row r="92" spans="2:12" x14ac:dyDescent="0.2">
      <c r="B92" s="11">
        <v>1112003</v>
      </c>
      <c r="C92" s="19" t="s">
        <v>77</v>
      </c>
      <c r="D92" s="30"/>
      <c r="E92" s="30"/>
      <c r="F92" s="30">
        <v>2</v>
      </c>
      <c r="G92" s="30">
        <v>19</v>
      </c>
      <c r="H92" s="30">
        <v>38</v>
      </c>
      <c r="I92" s="30"/>
      <c r="J92" s="43"/>
      <c r="K92" s="43"/>
      <c r="L92" s="36">
        <f t="shared" si="3"/>
        <v>59</v>
      </c>
    </row>
    <row r="93" spans="2:12" x14ac:dyDescent="0.2">
      <c r="B93" s="11">
        <v>1112005</v>
      </c>
      <c r="C93" s="19" t="s">
        <v>78</v>
      </c>
      <c r="D93" s="30"/>
      <c r="E93" s="30"/>
      <c r="F93" s="30">
        <v>2</v>
      </c>
      <c r="G93" s="30">
        <v>19</v>
      </c>
      <c r="H93" s="30">
        <v>38</v>
      </c>
      <c r="I93" s="30"/>
      <c r="J93" s="43"/>
      <c r="K93" s="43">
        <v>10</v>
      </c>
      <c r="L93" s="36">
        <f t="shared" si="3"/>
        <v>69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>
        <v>2</v>
      </c>
      <c r="G97" s="30">
        <v>19</v>
      </c>
      <c r="H97" s="30">
        <v>38</v>
      </c>
      <c r="I97" s="30"/>
      <c r="J97" s="43"/>
      <c r="K97" s="43">
        <v>3</v>
      </c>
      <c r="L97" s="36">
        <f t="shared" si="3"/>
        <v>62</v>
      </c>
    </row>
    <row r="98" spans="2:12" x14ac:dyDescent="0.2">
      <c r="B98" s="11">
        <v>1112013</v>
      </c>
      <c r="C98" s="19" t="s">
        <v>83</v>
      </c>
      <c r="D98" s="30"/>
      <c r="E98" s="30"/>
      <c r="F98" s="30">
        <v>2</v>
      </c>
      <c r="G98" s="30">
        <v>19</v>
      </c>
      <c r="H98" s="30">
        <v>38</v>
      </c>
      <c r="I98" s="30"/>
      <c r="J98" s="43"/>
      <c r="K98" s="43">
        <v>5</v>
      </c>
      <c r="L98" s="36">
        <f t="shared" si="3"/>
        <v>64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388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>
        <v>2</v>
      </c>
      <c r="I115" s="30"/>
      <c r="J115" s="43"/>
      <c r="K115" s="43"/>
      <c r="L115" s="36">
        <f t="shared" si="5"/>
        <v>2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>
        <v>6</v>
      </c>
      <c r="H120" s="30">
        <v>4</v>
      </c>
      <c r="I120" s="30"/>
      <c r="J120" s="43"/>
      <c r="K120" s="43"/>
      <c r="L120" s="36">
        <f t="shared" si="5"/>
        <v>10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>
        <v>10</v>
      </c>
      <c r="L121" s="36">
        <f t="shared" si="5"/>
        <v>10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>
        <v>2</v>
      </c>
      <c r="F123" s="30">
        <v>1</v>
      </c>
      <c r="G123" s="30">
        <v>268</v>
      </c>
      <c r="H123" s="30">
        <v>152</v>
      </c>
      <c r="I123" s="30"/>
      <c r="J123" s="43"/>
      <c r="K123" s="43"/>
      <c r="L123" s="36">
        <f t="shared" si="5"/>
        <v>423</v>
      </c>
    </row>
    <row r="124" spans="2:12" x14ac:dyDescent="0.2">
      <c r="B124" s="11">
        <v>1114502</v>
      </c>
      <c r="C124" s="21" t="s">
        <v>96</v>
      </c>
      <c r="D124" s="30"/>
      <c r="E124" s="30">
        <v>2</v>
      </c>
      <c r="F124" s="30">
        <v>1</v>
      </c>
      <c r="G124" s="30">
        <v>232</v>
      </c>
      <c r="H124" s="30">
        <v>170</v>
      </c>
      <c r="I124" s="30"/>
      <c r="J124" s="43"/>
      <c r="K124" s="43"/>
      <c r="L124" s="36">
        <f t="shared" si="5"/>
        <v>405</v>
      </c>
    </row>
    <row r="125" spans="2:12" x14ac:dyDescent="0.2">
      <c r="B125" s="11">
        <v>1114503</v>
      </c>
      <c r="C125" s="21" t="s">
        <v>97</v>
      </c>
      <c r="D125" s="30"/>
      <c r="E125" s="30">
        <v>2</v>
      </c>
      <c r="F125" s="30">
        <v>1</v>
      </c>
      <c r="G125" s="30">
        <v>232</v>
      </c>
      <c r="H125" s="30">
        <v>148</v>
      </c>
      <c r="I125" s="30"/>
      <c r="J125" s="43"/>
      <c r="K125" s="43"/>
      <c r="L125" s="36">
        <f t="shared" si="5"/>
        <v>383</v>
      </c>
    </row>
    <row r="126" spans="2:12" x14ac:dyDescent="0.2">
      <c r="B126" s="11">
        <v>1124021</v>
      </c>
      <c r="C126" s="21" t="s">
        <v>98</v>
      </c>
      <c r="D126" s="30"/>
      <c r="E126" s="30">
        <v>14</v>
      </c>
      <c r="F126" s="30"/>
      <c r="G126" s="30">
        <v>3</v>
      </c>
      <c r="H126" s="30">
        <v>9</v>
      </c>
      <c r="I126" s="30"/>
      <c r="J126" s="43"/>
      <c r="K126" s="43"/>
      <c r="L126" s="36">
        <f t="shared" si="5"/>
        <v>26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zoomScale="60" zoomScaleNormal="60" workbookViewId="0">
      <selection activeCell="D141" sqref="D141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A89" zoomScale="50" zoomScaleNormal="50" workbookViewId="0">
      <selection activeCell="M90" sqref="M1:R1048576"/>
    </sheetView>
  </sheetViews>
  <sheetFormatPr defaultRowHeight="22.5" x14ac:dyDescent="0.2"/>
  <cols>
    <col min="2" max="2" width="22.125" style="23" customWidth="1"/>
    <col min="3" max="3" width="59.125" style="23" customWidth="1"/>
    <col min="4" max="8" width="14.375" style="16" customWidth="1"/>
    <col min="9" max="10" width="14.375" style="16" hidden="1" customWidth="1"/>
    <col min="11" max="11" width="14.375" style="16" customWidth="1"/>
    <col min="12" max="12" width="17.625" style="25" customWidth="1"/>
    <col min="13" max="13" width="16.125" style="23" hidden="1" customWidth="1"/>
    <col min="14" max="15" width="15.375" style="23" hidden="1" customWidth="1"/>
    <col min="16" max="16" width="25.375" style="23" hidden="1" customWidth="1"/>
    <col min="17" max="17" width="14.375" style="28" hidden="1" customWidth="1"/>
    <col min="18" max="18" width="9.125" hidden="1" customWidth="1"/>
    <col min="19" max="19" width="7.375" customWidth="1"/>
    <col min="20" max="20" width="22.75" customWidth="1"/>
  </cols>
  <sheetData>
    <row r="1" spans="2:17" ht="40.5" customHeight="1" x14ac:dyDescent="0.2">
      <c r="B1" s="73" t="s">
        <v>145</v>
      </c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2:17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2</v>
      </c>
      <c r="F7" s="30">
        <f>'เย็น '!F7+'เช้า '!F7+บ่าย!F7</f>
        <v>5</v>
      </c>
      <c r="G7" s="30">
        <f>'เย็น '!G7+'เช้า '!G7+บ่าย!G7</f>
        <v>0</v>
      </c>
      <c r="H7" s="30">
        <f>'เย็น '!H7+'เช้า '!H7+บ่าย!H7</f>
        <v>12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50</v>
      </c>
      <c r="L7" s="36">
        <f>SUM(D7:K7)</f>
        <v>69</v>
      </c>
      <c r="M7" s="11"/>
      <c r="N7" s="11">
        <v>88</v>
      </c>
      <c r="O7" s="11">
        <v>70</v>
      </c>
      <c r="P7" s="11"/>
      <c r="Q7" s="44">
        <f>(M7+N7+O7+P7)-L7</f>
        <v>89</v>
      </c>
    </row>
    <row r="8" spans="2:17" hidden="1" x14ac:dyDescent="0.2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 x14ac:dyDescent="0.2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 x14ac:dyDescent="0.2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 x14ac:dyDescent="0.2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 x14ac:dyDescent="0.2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 x14ac:dyDescent="0.2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 x14ac:dyDescent="0.2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 x14ac:dyDescent="0.2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 x14ac:dyDescent="0.2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 x14ac:dyDescent="0.2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 x14ac:dyDescent="0.2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 x14ac:dyDescent="0.2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 x14ac:dyDescent="0.2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 x14ac:dyDescent="0.2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 x14ac:dyDescent="0.2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 x14ac:dyDescent="0.2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 x14ac:dyDescent="0.2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6</v>
      </c>
      <c r="F25" s="30">
        <f>'เย็น '!F25+'เช้า '!F25+บ่าย!F25</f>
        <v>0</v>
      </c>
      <c r="G25" s="30">
        <f>'เย็น '!G25+'เช้า '!G25+บ่าย!G25</f>
        <v>0</v>
      </c>
      <c r="H25" s="30">
        <f>'เย็น '!H25+'เช้า '!H25+บ่าย!H25</f>
        <v>1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7</v>
      </c>
      <c r="M25" s="11"/>
      <c r="N25" s="11">
        <v>25</v>
      </c>
      <c r="O25" s="11">
        <v>15</v>
      </c>
      <c r="P25" s="11"/>
      <c r="Q25" s="44">
        <f t="shared" si="1"/>
        <v>33</v>
      </c>
    </row>
    <row r="26" spans="2:17" x14ac:dyDescent="0.2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3</v>
      </c>
      <c r="H26" s="30">
        <f>'เย็น '!H26+'เช้า '!H26+บ่าย!H26</f>
        <v>57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27</v>
      </c>
      <c r="L26" s="36">
        <f t="shared" si="0"/>
        <v>87</v>
      </c>
      <c r="M26" s="11"/>
      <c r="N26" s="11">
        <v>14</v>
      </c>
      <c r="O26" s="11">
        <v>90</v>
      </c>
      <c r="P26" s="11"/>
      <c r="Q26" s="44">
        <f t="shared" si="1"/>
        <v>17</v>
      </c>
    </row>
    <row r="27" spans="2:17" hidden="1" x14ac:dyDescent="0.2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 x14ac:dyDescent="0.2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 x14ac:dyDescent="0.2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 x14ac:dyDescent="0.2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 x14ac:dyDescent="0.2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 x14ac:dyDescent="0.2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 x14ac:dyDescent="0.2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 x14ac:dyDescent="0.2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 x14ac:dyDescent="0.2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 x14ac:dyDescent="0.2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 x14ac:dyDescent="0.2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 x14ac:dyDescent="0.2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 x14ac:dyDescent="0.2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 hidden="1" x14ac:dyDescent="0.2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 hidden="1" x14ac:dyDescent="0.2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 hidden="1" x14ac:dyDescent="0.2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 hidden="1" x14ac:dyDescent="0.2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 hidden="1" x14ac:dyDescent="0.2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 hidden="1" x14ac:dyDescent="0.2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 hidden="1" x14ac:dyDescent="0.2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 hidden="1" x14ac:dyDescent="0.2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 hidden="1" x14ac:dyDescent="0.2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 hidden="1" x14ac:dyDescent="0.2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 hidden="1" x14ac:dyDescent="0.2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 hidden="1" x14ac:dyDescent="0.2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 hidden="1" x14ac:dyDescent="0.2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 hidden="1" x14ac:dyDescent="0.2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 hidden="1" x14ac:dyDescent="0.2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 x14ac:dyDescent="0.2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 hidden="1" x14ac:dyDescent="0.2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 hidden="1" x14ac:dyDescent="0.2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 hidden="1" x14ac:dyDescent="0.2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 hidden="1" x14ac:dyDescent="0.2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 hidden="1" x14ac:dyDescent="0.2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 hidden="1" x14ac:dyDescent="0.2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 hidden="1" x14ac:dyDescent="0.2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 hidden="1" x14ac:dyDescent="0.2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 hidden="1" x14ac:dyDescent="0.2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 hidden="1" x14ac:dyDescent="0.2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 x14ac:dyDescent="0.2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0</v>
      </c>
      <c r="F69" s="30">
        <f>'เย็น '!F69+'เช้า '!F69+บ่าย!F69</f>
        <v>0</v>
      </c>
      <c r="G69" s="30">
        <f>'เย็น '!G69+'เช้า '!G69+บ่าย!G69</f>
        <v>1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</v>
      </c>
      <c r="M69" s="11"/>
      <c r="N69" s="11">
        <v>17</v>
      </c>
      <c r="O69" s="11">
        <v>15</v>
      </c>
      <c r="P69" s="11"/>
      <c r="Q69" s="44">
        <f t="shared" ref="Q69:Q76" si="5">(M69+N69+O69+P69)-L69</f>
        <v>31</v>
      </c>
    </row>
    <row r="70" spans="2:20" x14ac:dyDescent="0.2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 x14ac:dyDescent="0.2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5</v>
      </c>
      <c r="L71" s="36">
        <f t="shared" si="4"/>
        <v>5</v>
      </c>
      <c r="M71" s="11"/>
      <c r="N71" s="11">
        <v>4</v>
      </c>
      <c r="O71" s="11"/>
      <c r="P71" s="11"/>
      <c r="Q71" s="44">
        <f t="shared" si="5"/>
        <v>-1</v>
      </c>
    </row>
    <row r="72" spans="2:20" x14ac:dyDescent="0.2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 x14ac:dyDescent="0.2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 x14ac:dyDescent="0.2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 x14ac:dyDescent="0.2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 x14ac:dyDescent="0.2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>
        <v>4</v>
      </c>
      <c r="O76" s="11"/>
      <c r="P76" s="11"/>
      <c r="Q76" s="44">
        <f t="shared" si="5"/>
        <v>4</v>
      </c>
    </row>
    <row r="77" spans="2:20" hidden="1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x14ac:dyDescent="0.2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 x14ac:dyDescent="0.2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2</v>
      </c>
      <c r="L80" s="36">
        <f t="shared" si="7"/>
        <v>2</v>
      </c>
      <c r="M80" s="11"/>
      <c r="N80" s="11"/>
      <c r="O80" s="11"/>
      <c r="P80" s="11"/>
      <c r="Q80" s="44">
        <f t="shared" si="8"/>
        <v>-2</v>
      </c>
    </row>
    <row r="81" spans="2:17" x14ac:dyDescent="0.2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 x14ac:dyDescent="0.2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 x14ac:dyDescent="0.2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 x14ac:dyDescent="0.2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 x14ac:dyDescent="0.2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 x14ac:dyDescent="0.2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 x14ac:dyDescent="0.2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39</v>
      </c>
      <c r="H87" s="30">
        <f>'เย็น '!H87+'เช้า '!H87+บ่าย!H87</f>
        <v>48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87</v>
      </c>
      <c r="M87" s="11"/>
      <c r="N87" s="11"/>
      <c r="O87" s="11">
        <v>90</v>
      </c>
      <c r="P87" s="11"/>
      <c r="Q87" s="44">
        <f t="shared" si="8"/>
        <v>3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">
      <c r="B90" s="11">
        <v>1112009</v>
      </c>
      <c r="C90" s="19" t="s">
        <v>75</v>
      </c>
      <c r="D90" s="30">
        <f>'เย็น '!D90+'เช้า '!D90+บ่าย!D90</f>
        <v>0</v>
      </c>
      <c r="E90" s="30">
        <f>'เย็น '!E90+'เช้า '!E90+บ่าย!E90</f>
        <v>0</v>
      </c>
      <c r="F90" s="30">
        <f>'เย็น '!F90+'เช้า '!F90+บ่าย!F90</f>
        <v>2</v>
      </c>
      <c r="G90" s="30">
        <f>'เย็น '!G90+'เช้า '!G90+บ่าย!G90</f>
        <v>18</v>
      </c>
      <c r="H90" s="30">
        <f>'เย็น '!H90+'เช้า '!H90+บ่าย!H90</f>
        <v>37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15</v>
      </c>
      <c r="L90" s="36">
        <f t="shared" ref="L90:L99" si="9">SUM(D90:K90)</f>
        <v>72</v>
      </c>
      <c r="M90" s="11"/>
      <c r="N90" s="11">
        <v>42</v>
      </c>
      <c r="O90" s="11">
        <v>50</v>
      </c>
      <c r="P90" s="11"/>
      <c r="Q90" s="44">
        <f t="shared" ref="Q90:Q100" si="10">(M90+N90+O90+P90)-L90</f>
        <v>20</v>
      </c>
    </row>
    <row r="91" spans="2:17" x14ac:dyDescent="0.2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0</v>
      </c>
      <c r="F91" s="30">
        <f>'เย็น '!F91+'เช้า '!F91+บ่าย!F91</f>
        <v>2</v>
      </c>
      <c r="G91" s="30">
        <f>'เย็น '!G91+'เช้า '!G91+บ่าย!G91</f>
        <v>18</v>
      </c>
      <c r="H91" s="30">
        <f>'เย็น '!H91+'เช้า '!H91+บ่าย!H91</f>
        <v>37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5</v>
      </c>
      <c r="L91" s="36">
        <f t="shared" si="9"/>
        <v>62</v>
      </c>
      <c r="M91" s="11"/>
      <c r="N91" s="11">
        <v>46</v>
      </c>
      <c r="O91" s="11">
        <v>50</v>
      </c>
      <c r="P91" s="11"/>
      <c r="Q91" s="44">
        <f t="shared" si="10"/>
        <v>34</v>
      </c>
    </row>
    <row r="92" spans="2:17" x14ac:dyDescent="0.2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0</v>
      </c>
      <c r="F92" s="30">
        <f>'เย็น '!F92+'เช้า '!F92+บ่าย!F92</f>
        <v>2</v>
      </c>
      <c r="G92" s="30">
        <f>'เย็น '!G92+'เช้า '!G92+บ่าย!G92</f>
        <v>19</v>
      </c>
      <c r="H92" s="30">
        <f>'เย็น '!H92+'เช้า '!H92+บ่าย!H92</f>
        <v>38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59</v>
      </c>
      <c r="M92" s="11"/>
      <c r="N92" s="11">
        <v>35</v>
      </c>
      <c r="O92" s="11">
        <v>50</v>
      </c>
      <c r="P92" s="11"/>
      <c r="Q92" s="44">
        <f t="shared" si="10"/>
        <v>26</v>
      </c>
    </row>
    <row r="93" spans="2:17" x14ac:dyDescent="0.2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0</v>
      </c>
      <c r="F93" s="30">
        <f>'เย็น '!F93+'เช้า '!F93+บ่าย!F93</f>
        <v>2</v>
      </c>
      <c r="G93" s="30">
        <f>'เย็น '!G93+'เช้า '!G93+บ่าย!G93</f>
        <v>19</v>
      </c>
      <c r="H93" s="30">
        <f>'เย็น '!H93+'เช้า '!H93+บ่าย!H93</f>
        <v>38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10</v>
      </c>
      <c r="L93" s="36">
        <f t="shared" si="9"/>
        <v>69</v>
      </c>
      <c r="M93" s="11"/>
      <c r="N93" s="11"/>
      <c r="O93" s="11">
        <v>50</v>
      </c>
      <c r="P93" s="11"/>
      <c r="Q93" s="44">
        <f t="shared" si="10"/>
        <v>-19</v>
      </c>
    </row>
    <row r="94" spans="2:17" x14ac:dyDescent="0.2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 x14ac:dyDescent="0.2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 x14ac:dyDescent="0.2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 x14ac:dyDescent="0.2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0</v>
      </c>
      <c r="F97" s="30">
        <f>'เย็น '!F97+'เช้า '!F97+บ่าย!F97</f>
        <v>2</v>
      </c>
      <c r="G97" s="30">
        <f>'เย็น '!G97+'เช้า '!G97+บ่าย!G97</f>
        <v>19</v>
      </c>
      <c r="H97" s="30">
        <f>'เย็น '!H97+'เช้า '!H97+บ่าย!H97</f>
        <v>38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3</v>
      </c>
      <c r="L97" s="36">
        <f t="shared" si="9"/>
        <v>62</v>
      </c>
      <c r="M97" s="11"/>
      <c r="N97" s="11">
        <v>45</v>
      </c>
      <c r="O97" s="11">
        <v>66</v>
      </c>
      <c r="P97" s="11"/>
      <c r="Q97" s="44">
        <f t="shared" si="10"/>
        <v>49</v>
      </c>
    </row>
    <row r="98" spans="2:17" x14ac:dyDescent="0.2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0</v>
      </c>
      <c r="F98" s="30">
        <f>'เย็น '!F98+'เช้า '!F98+บ่าย!F98</f>
        <v>2</v>
      </c>
      <c r="G98" s="30">
        <f>'เย็น '!G98+'เช้า '!G98+บ่าย!G98</f>
        <v>19</v>
      </c>
      <c r="H98" s="30">
        <f>'เย็น '!H98+'เช้า '!H98+บ่าย!H98</f>
        <v>38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5</v>
      </c>
      <c r="L98" s="36">
        <f t="shared" si="9"/>
        <v>64</v>
      </c>
      <c r="M98" s="11"/>
      <c r="N98" s="11">
        <v>20</v>
      </c>
      <c r="O98" s="11">
        <v>21</v>
      </c>
      <c r="P98" s="11"/>
      <c r="Q98" s="44">
        <f t="shared" si="10"/>
        <v>-23</v>
      </c>
    </row>
    <row r="99" spans="2:17" x14ac:dyDescent="0.2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388</v>
      </c>
      <c r="M100" s="11"/>
      <c r="N100" s="11"/>
      <c r="O100" s="11"/>
      <c r="P100" s="11"/>
      <c r="Q100" s="44">
        <f t="shared" si="10"/>
        <v>-388</v>
      </c>
    </row>
    <row r="101" spans="2:17" ht="19.5" hidden="1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hidden="1" x14ac:dyDescent="0.2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 hidden="1" x14ac:dyDescent="0.2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 hidden="1" x14ac:dyDescent="0.2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 hidden="1" x14ac:dyDescent="0.2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 hidden="1" x14ac:dyDescent="0.2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 hidden="1" x14ac:dyDescent="0.2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 hidden="1" x14ac:dyDescent="0.2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 hidden="1" x14ac:dyDescent="0.2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 hidden="1" x14ac:dyDescent="0.2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 hidden="1" x14ac:dyDescent="0.2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/>
      <c r="N112" s="11"/>
      <c r="O112" s="11"/>
      <c r="P112" s="11"/>
      <c r="Q112" s="44">
        <f t="shared" si="12"/>
        <v>0</v>
      </c>
    </row>
    <row r="113" spans="2:17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 x14ac:dyDescent="0.2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2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2</v>
      </c>
      <c r="M115" s="11"/>
      <c r="N115" s="11">
        <v>3</v>
      </c>
      <c r="O115" s="11"/>
      <c r="P115" s="11"/>
      <c r="Q115" s="44">
        <f t="shared" si="14"/>
        <v>1</v>
      </c>
    </row>
    <row r="116" spans="2:17" x14ac:dyDescent="0.2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 x14ac:dyDescent="0.2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 x14ac:dyDescent="0.2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 x14ac:dyDescent="0.2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 x14ac:dyDescent="0.2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6</v>
      </c>
      <c r="H120" s="30">
        <f>'เย็น '!H120+'เช้า '!H120+บ่าย!H120</f>
        <v>4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10</v>
      </c>
      <c r="M120" s="11"/>
      <c r="N120" s="11">
        <v>10</v>
      </c>
      <c r="O120" s="11"/>
      <c r="P120" s="11"/>
      <c r="Q120" s="44">
        <f t="shared" si="14"/>
        <v>0</v>
      </c>
    </row>
    <row r="121" spans="2:17" x14ac:dyDescent="0.2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10</v>
      </c>
      <c r="L121" s="36">
        <f t="shared" si="13"/>
        <v>10</v>
      </c>
      <c r="M121" s="11"/>
      <c r="N121" s="11"/>
      <c r="O121" s="11"/>
      <c r="P121" s="11"/>
      <c r="Q121" s="44">
        <f t="shared" si="14"/>
        <v>-10</v>
      </c>
    </row>
    <row r="122" spans="2:17" x14ac:dyDescent="0.2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 x14ac:dyDescent="0.2">
      <c r="B123" s="11">
        <v>1114501</v>
      </c>
      <c r="C123" s="21" t="s">
        <v>95</v>
      </c>
      <c r="D123" s="30">
        <f>'เย็น '!D123+'เช้า '!D123+บ่าย!D123</f>
        <v>0</v>
      </c>
      <c r="E123" s="30">
        <f>'เย็น '!E123+'เช้า '!E123+บ่าย!E123</f>
        <v>2</v>
      </c>
      <c r="F123" s="30">
        <f>'เย็น '!F123+'เช้า '!F123+บ่าย!F123</f>
        <v>1</v>
      </c>
      <c r="G123" s="30">
        <f>'เย็น '!G123+'เช้า '!G123+บ่าย!G123</f>
        <v>268</v>
      </c>
      <c r="H123" s="30">
        <f>'เย็น '!H123+'เช้า '!H123+บ่าย!H123</f>
        <v>152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423</v>
      </c>
      <c r="M123" s="11"/>
      <c r="N123" s="11">
        <v>26</v>
      </c>
      <c r="O123" s="11">
        <v>153</v>
      </c>
      <c r="P123" s="11"/>
      <c r="Q123" s="44">
        <f t="shared" si="14"/>
        <v>-244</v>
      </c>
    </row>
    <row r="124" spans="2:17" x14ac:dyDescent="0.2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2</v>
      </c>
      <c r="F124" s="30">
        <f>'เย็น '!F124+'เช้า '!F124+บ่าย!F124</f>
        <v>1</v>
      </c>
      <c r="G124" s="30">
        <f>'เย็น '!G124+'เช้า '!G124+บ่าย!G124</f>
        <v>232</v>
      </c>
      <c r="H124" s="30">
        <f>'เย็น '!H124+'เช้า '!H124+บ่าย!H124</f>
        <v>170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405</v>
      </c>
      <c r="M124" s="11"/>
      <c r="N124" s="11"/>
      <c r="O124" s="11">
        <v>755</v>
      </c>
      <c r="P124" s="11"/>
      <c r="Q124" s="44">
        <f t="shared" si="14"/>
        <v>350</v>
      </c>
    </row>
    <row r="125" spans="2:17" x14ac:dyDescent="0.2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2</v>
      </c>
      <c r="F125" s="30">
        <f>'เย็น '!F125+'เช้า '!F125+บ่าย!F125</f>
        <v>1</v>
      </c>
      <c r="G125" s="30">
        <f>'เย็น '!G125+'เช้า '!G125+บ่าย!G125</f>
        <v>232</v>
      </c>
      <c r="H125" s="30">
        <f>'เย็น '!H125+'เช้า '!H125+บ่าย!H125</f>
        <v>148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383</v>
      </c>
      <c r="M125" s="11"/>
      <c r="N125" s="11">
        <v>165</v>
      </c>
      <c r="O125" s="11">
        <v>259</v>
      </c>
      <c r="P125" s="11"/>
      <c r="Q125" s="44">
        <f t="shared" si="14"/>
        <v>41</v>
      </c>
    </row>
    <row r="126" spans="2:17" x14ac:dyDescent="0.2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14</v>
      </c>
      <c r="F126" s="30">
        <f>'เย็น '!F126+'เช้า '!F126+บ่าย!F126</f>
        <v>0</v>
      </c>
      <c r="G126" s="30">
        <f>'เย็น '!G126+'เช้า '!G126+บ่าย!G126</f>
        <v>3</v>
      </c>
      <c r="H126" s="30">
        <f>'เย็น '!H126+'เช้า '!H126+บ่าย!H126</f>
        <v>9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26</v>
      </c>
      <c r="M126" s="11"/>
      <c r="N126" s="11"/>
      <c r="O126" s="11">
        <v>23</v>
      </c>
      <c r="P126" s="11"/>
      <c r="Q126" s="44">
        <f t="shared" si="14"/>
        <v>-3</v>
      </c>
    </row>
    <row r="127" spans="2:17" x14ac:dyDescent="0.2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 x14ac:dyDescent="0.2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 x14ac:dyDescent="0.2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 x14ac:dyDescent="0.2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 x14ac:dyDescent="0.2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 x14ac:dyDescent="0.2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 x14ac:dyDescent="0.2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 x14ac:dyDescent="0.2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 x14ac:dyDescent="0.2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 x14ac:dyDescent="0.2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 x14ac:dyDescent="0.2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/>
      <c r="Q137" s="44"/>
    </row>
    <row r="138" spans="2:17" x14ac:dyDescent="0.2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 x14ac:dyDescent="0.2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 x14ac:dyDescent="0.2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 x14ac:dyDescent="0.2">
      <c r="C141" s="35"/>
      <c r="D141" s="36">
        <f>SUM(D114:D140,D90:D99,D79:D87,D69:D76,D7:D66,D102:D111)</f>
        <v>0</v>
      </c>
      <c r="E141" s="36">
        <f t="shared" ref="E141:K141" si="15">SUM(E114:E140,E90:E99,E79:E87,E69:E76,E7:E66,E102:E111)</f>
        <v>28</v>
      </c>
      <c r="F141" s="36">
        <f t="shared" si="15"/>
        <v>20</v>
      </c>
      <c r="G141" s="36">
        <f t="shared" si="15"/>
        <v>896</v>
      </c>
      <c r="H141" s="36">
        <f t="shared" si="15"/>
        <v>829</v>
      </c>
      <c r="I141" s="36">
        <f t="shared" si="15"/>
        <v>0</v>
      </c>
      <c r="J141" s="36">
        <f t="shared" si="15"/>
        <v>0</v>
      </c>
      <c r="K141" s="36">
        <f t="shared" si="15"/>
        <v>132</v>
      </c>
      <c r="L141" s="36">
        <f>SUM(L114:L140,L90:L99,L79:L87,L69:L76,L7:L66,L102:L111)</f>
        <v>1905</v>
      </c>
      <c r="M141" s="36">
        <f>SUM(M114:M140,M90:M99,M79:M87,M69:M76,M7:M66,M102:M111)</f>
        <v>0</v>
      </c>
      <c r="N141" s="36">
        <f t="shared" ref="N141" si="16">SUM(N114:N140,N90:N99,N79:N87,N69:N76,N7:N66,N102:N111)</f>
        <v>544</v>
      </c>
      <c r="O141" s="36">
        <f t="shared" ref="O141" si="17">SUM(O114:O140,O90:O99,O79:O87,O69:O76,O7:O66,O102:O111)</f>
        <v>1757</v>
      </c>
      <c r="P141" s="36">
        <f t="shared" ref="P141" si="18">SUM(P114:P140,P90:P99,P79:P87,P69:P76,P7:P66,P102:P111)</f>
        <v>0</v>
      </c>
      <c r="Q141" s="36">
        <f t="shared" ref="Q141" si="19">SUM(Q114:Q140,Q90:Q99,Q79:Q87,Q69:Q76,Q7:Q66,Q102:Q111)</f>
        <v>396</v>
      </c>
    </row>
    <row r="142" spans="2:17" x14ac:dyDescent="0.2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 x14ac:dyDescent="0.2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 x14ac:dyDescent="0.2">
      <c r="C144" s="24"/>
      <c r="D144" s="31"/>
      <c r="E144" s="61"/>
      <c r="F144" s="61"/>
      <c r="G144" s="26"/>
      <c r="L144" s="40"/>
    </row>
    <row r="145" spans="2:12" x14ac:dyDescent="0.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 x14ac:dyDescent="0.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 x14ac:dyDescent="0.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19.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9.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9.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19.5" x14ac:dyDescent="0.2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19.5" x14ac:dyDescent="0.2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  <row r="162" spans="4:8" x14ac:dyDescent="0.2">
      <c r="D162" s="31"/>
      <c r="E162" s="31"/>
      <c r="F162" s="31"/>
      <c r="G162" s="31"/>
      <c r="H162" s="31"/>
    </row>
    <row r="163" spans="4:8" x14ac:dyDescent="0.2">
      <c r="D163" s="31"/>
      <c r="E163" s="31"/>
      <c r="F163" s="31"/>
      <c r="G163" s="31"/>
      <c r="H163" s="31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2025-06-04T00:40:06Z</cp:lastPrinted>
  <dcterms:created xsi:type="dcterms:W3CDTF">2024-04-30T05:21:27Z</dcterms:created>
  <dcterms:modified xsi:type="dcterms:W3CDTF">2025-06-04T01:43:34Z</dcterms:modified>
</cp:coreProperties>
</file>