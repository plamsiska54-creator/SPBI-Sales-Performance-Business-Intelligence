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DC7F8F7F-CA84-4019-8DC8-2DD5129E9977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D152" i="5" l="1"/>
  <c r="E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<sst xmlns="http://schemas.openxmlformats.org/spreadsheetml/2006/main" count="626" uniqueCount="149">
  <si>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</si>
  <si>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</si>
  <si>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</si>
  <si>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</si>
  <si>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</si>
  <si>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</si>
  <si>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</si>
  <si>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</si>
  <si>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</si>
  <si>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</si>
  <si>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</si>
  <si>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</si>
  <si>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</si>
  <si>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</si>
  <si>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</si>
  <si>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</si>
  <si>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</si>
  <si>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</si>
  <si>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</si>
  <si>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</si>
  <si>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</si>
  <si>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</si>
  <si>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</si>
  <si>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</si>
  <si>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</si>
  <si>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</si>
  <si>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</si>
  <si>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</si>
  <si>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</si>
  <si>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</si>
  <si>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</si>
  <si>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</si>
  <si>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</si>
  <si>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</si>
  <si>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</si>
  <si>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</si>
  <si>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</si>
  <si>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</si>
  <si>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</si>
  <si>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</si>
  <si>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</si>
  <si>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</si>
  <si>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</si>
  <si>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</si>
  <si>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</si>
  <si>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</si>
  <si>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</si>
  <si>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</si>
  <si>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</si>
  <si>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</si>
  <si>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</si>
  <si>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</si>
  <si>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</si>
  <si>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</si>
  <si>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</si>
  <si>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</si>
  <si>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</si>
  <si>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</si>
  <si>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</si>
  <si>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</si>
  <si>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</si>
  <si>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</si>
  <si>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</si>
  <si>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</si>
  <si>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</si>
  <si>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</si>
  <si>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</si>
  <si>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</si>
  <si>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</si>
  <si>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</si>
  <si>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</si>
  <si>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</si>
  <si>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</si>
  <si>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</si>
  <si>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</si>
  <si>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</si>
  <si>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</si>
  <si>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</si>
  <si>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</si>
  <si>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</si>
  <si>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</si>
  <si>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</si>
  <si>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</si>
  <si>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</si>
  <si>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</si>
  <si>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</si>
  <si>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</si>
  <si>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</si>
  <si>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</si>
  <si>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</si>
  <si>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</si>
  <si>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</si>
  <si>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</si>
  <si>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</si>
  <si>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</si>
  <si>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</si>
  <si>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</si>
  <si>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</si>
  <si>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</si>
  <si>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</si>
  <si>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</si>
  <si>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</si>
  <si>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</si>
  <si>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</si>
  <si>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</si>
  <si>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</si>
  <si>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</si>
  <si>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</si>
  <si>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</si>
  <si>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</si>
  <si>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</si>
  <si>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</si>
  <si>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</si>
  <si>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</si>
  <si>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</si>
  <si>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</si>
  <si>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</si>
  <si>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</si>
  <si>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</si>
  <si>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</si>
  <si>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</si>
  <si>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</si>
  <si>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</si>
  <si>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</si>
  <si>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</si>
  <si>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</si>
  <si>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</si>
  <si>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</si>
  <si>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</si>
  <si>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</si>
  <si>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</si>
  <si>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</si>
  <si>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</si>
  <si>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</si>
  <si>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</si>
  <si>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</si>
  <si>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</si>
  <si>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</si>
  <si>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</si>
  <si>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</si>
  <si>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</si>
  <si>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</si>
  <si>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</si>
  <si>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</si>
  <si>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</si>
  <si>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</si>
  <si>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21/6/68 รวม</t>
  </si>
  <si>
    <t>ยอดจริง ออนไลน์ วันที่  21/6/68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</si>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</sst>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1" zoomScale="60" zoomScaleNormal="60" workbookViewId="0">
      <selection activeCell="B1" sqref="B1:L143"/>
    </sheetView>
  </sheetViews>
  <sheetFormatPr defaultRowHeight="22.2" x14ac:dyDescent="0.25"/>
  <cols>
    <col min="2" max="2" width="22.09765625" style="23" customWidth="1"/>
    <col min="3" max="3" width="58.898437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3</v>
      </c>
      <c r="E7" s="30">
        <v>17</v>
      </c>
      <c r="F7" s="30">
        <v>7</v>
      </c>
      <c r="G7" s="30"/>
      <c r="H7" s="30"/>
      <c r="I7" s="30"/>
      <c r="J7" s="43"/>
      <c r="K7" s="43"/>
      <c r="L7" s="36">
        <f>SUM(D7:K7)</f>
        <v>27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1</v>
      </c>
      <c r="E25" s="30">
        <v>4</v>
      </c>
      <c r="F25" s="30"/>
      <c r="G25" s="30"/>
      <c r="H25" s="30"/>
      <c r="I25" s="30"/>
      <c r="J25" s="43"/>
      <c r="K25" s="43"/>
      <c r="L25" s="36">
        <f t="shared" si="0"/>
        <v>5</v>
      </c>
    </row>
    <row r="26" spans="2:12" x14ac:dyDescent="0.25">
      <c r="B26" s="11">
        <v>1004055</v>
      </c>
      <c r="C26" s="15" t="s">
        <v>108</v>
      </c>
      <c r="D26" s="30">
        <v>10</v>
      </c>
      <c r="E26" s="30"/>
      <c r="F26" s="30">
        <v>3</v>
      </c>
      <c r="G26" s="30">
        <v>39</v>
      </c>
      <c r="H26" s="30"/>
      <c r="I26" s="30"/>
      <c r="J26" s="43"/>
      <c r="K26" s="43"/>
      <c r="L26" s="36">
        <f t="shared" si="0"/>
        <v>52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84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1</v>
      </c>
      <c r="E69" s="30">
        <v>2</v>
      </c>
      <c r="F69" s="30"/>
      <c r="G69" s="30"/>
      <c r="H69" s="30"/>
      <c r="I69" s="30"/>
      <c r="J69" s="43"/>
      <c r="K69" s="43"/>
      <c r="L69" s="36">
        <f t="shared" ref="L69:L76" si="1">SUM(D69:K69)</f>
        <v>3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>
        <v>25</v>
      </c>
      <c r="H87" s="30"/>
      <c r="I87" s="30"/>
      <c r="J87" s="43"/>
      <c r="K87" s="43"/>
      <c r="L87" s="36">
        <f t="shared" si="2"/>
        <v>25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25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7</v>
      </c>
      <c r="E90" s="30"/>
      <c r="F90" s="30">
        <v>2</v>
      </c>
      <c r="G90" s="30">
        <v>23</v>
      </c>
      <c r="H90" s="30"/>
      <c r="I90" s="30"/>
      <c r="J90" s="43"/>
      <c r="K90" s="43">
        <v>5</v>
      </c>
      <c r="L90" s="36">
        <f t="shared" ref="L90:L99" si="3">SUM(D90:K90)</f>
        <v>37</v>
      </c>
    </row>
    <row r="91" spans="2:12" x14ac:dyDescent="0.25">
      <c r="B91" s="11">
        <v>1112011</v>
      </c>
      <c r="C91" s="19" t="s">
        <v>76</v>
      </c>
      <c r="D91" s="30">
        <v>7</v>
      </c>
      <c r="E91" s="30"/>
      <c r="F91" s="30"/>
      <c r="G91" s="30">
        <v>23</v>
      </c>
      <c r="H91" s="30"/>
      <c r="I91" s="30"/>
      <c r="J91" s="43"/>
      <c r="K91" s="43"/>
      <c r="L91" s="36">
        <f t="shared" si="3"/>
        <v>30</v>
      </c>
    </row>
    <row r="92" spans="2:12" x14ac:dyDescent="0.25">
      <c r="B92" s="11">
        <v>1112003</v>
      </c>
      <c r="C92" s="19" t="s">
        <v>77</v>
      </c>
      <c r="D92" s="30">
        <v>11</v>
      </c>
      <c r="E92" s="30"/>
      <c r="F92" s="30"/>
      <c r="G92" s="30">
        <v>23</v>
      </c>
      <c r="H92" s="30"/>
      <c r="I92" s="30"/>
      <c r="J92" s="43"/>
      <c r="K92" s="43"/>
      <c r="L92" s="36">
        <f t="shared" si="3"/>
        <v>34</v>
      </c>
    </row>
    <row r="93" spans="2:12" x14ac:dyDescent="0.25">
      <c r="B93" s="11">
        <v>1112005</v>
      </c>
      <c r="C93" s="19" t="s">
        <v>78</v>
      </c>
      <c r="D93" s="30">
        <v>10</v>
      </c>
      <c r="E93" s="30"/>
      <c r="F93" s="30"/>
      <c r="G93" s="30">
        <v>23</v>
      </c>
      <c r="H93" s="30"/>
      <c r="I93" s="30"/>
      <c r="J93" s="43"/>
      <c r="K93" s="43"/>
      <c r="L93" s="36">
        <f t="shared" si="3"/>
        <v>33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7</v>
      </c>
      <c r="E97" s="30"/>
      <c r="F97" s="30"/>
      <c r="G97" s="30">
        <v>24</v>
      </c>
      <c r="H97" s="30"/>
      <c r="I97" s="30"/>
      <c r="J97" s="43"/>
      <c r="K97" s="43"/>
      <c r="L97" s="36">
        <f t="shared" si="3"/>
        <v>31</v>
      </c>
    </row>
    <row r="98" spans="2:12" x14ac:dyDescent="0.25">
      <c r="B98" s="11">
        <v>1112013</v>
      </c>
      <c r="C98" s="19" t="s">
        <v>83</v>
      </c>
      <c r="D98" s="30">
        <v>10</v>
      </c>
      <c r="E98" s="30"/>
      <c r="F98" s="30"/>
      <c r="G98" s="30">
        <v>23</v>
      </c>
      <c r="H98" s="30"/>
      <c r="I98" s="30"/>
      <c r="J98" s="43"/>
      <c r="K98" s="43"/>
      <c r="L98" s="36">
        <f t="shared" si="3"/>
        <v>33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198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15</v>
      </c>
      <c r="E123" s="30">
        <v>8</v>
      </c>
      <c r="F123" s="30"/>
      <c r="G123" s="30">
        <v>93</v>
      </c>
      <c r="H123" s="30"/>
      <c r="I123" s="30"/>
      <c r="J123" s="43"/>
      <c r="K123" s="43"/>
      <c r="L123" s="36">
        <f t="shared" si="5"/>
        <v>116</v>
      </c>
    </row>
    <row r="124" spans="2:12" x14ac:dyDescent="0.25">
      <c r="B124" s="11">
        <v>1114502</v>
      </c>
      <c r="C124" s="21" t="s">
        <v>96</v>
      </c>
      <c r="D124" s="30">
        <v>14</v>
      </c>
      <c r="E124" s="30">
        <v>1</v>
      </c>
      <c r="F124" s="30"/>
      <c r="G124" s="30">
        <v>81</v>
      </c>
      <c r="H124" s="30"/>
      <c r="I124" s="30"/>
      <c r="J124" s="43"/>
      <c r="K124" s="43"/>
      <c r="L124" s="36">
        <f t="shared" si="5"/>
        <v>96</v>
      </c>
    </row>
    <row r="125" spans="2:12" x14ac:dyDescent="0.25">
      <c r="B125" s="11">
        <v>1114503</v>
      </c>
      <c r="C125" s="21" t="s">
        <v>97</v>
      </c>
      <c r="D125" s="30">
        <v>11</v>
      </c>
      <c r="E125" s="30">
        <v>1</v>
      </c>
      <c r="F125" s="30"/>
      <c r="G125" s="30">
        <v>69</v>
      </c>
      <c r="H125" s="30"/>
      <c r="I125" s="30"/>
      <c r="J125" s="43"/>
      <c r="K125" s="43"/>
      <c r="L125" s="36">
        <f t="shared" si="5"/>
        <v>81</v>
      </c>
    </row>
    <row r="126" spans="2:12" x14ac:dyDescent="0.25">
      <c r="B126" s="11">
        <v>1124021</v>
      </c>
      <c r="C126" s="21" t="s">
        <v>98</v>
      </c>
      <c r="D126" s="30"/>
      <c r="E126" s="30">
        <v>1</v>
      </c>
      <c r="F126" s="30">
        <v>1</v>
      </c>
      <c r="G126" s="30"/>
      <c r="H126" s="30"/>
      <c r="I126" s="30"/>
      <c r="J126" s="43"/>
      <c r="K126" s="43"/>
      <c r="L126" s="36">
        <f t="shared" si="5"/>
        <v>2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70" zoomScale="50" zoomScaleNormal="50" workbookViewId="0">
      <selection activeCell="A70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8" width="14.3984375" style="16" customWidth="1"/>
    <col min="9" max="10" width="15.19921875" style="16" customWidth="1"/>
    <col min="11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3</v>
      </c>
      <c r="E7" s="30">
        <f>'เย็น '!E7+'เช้า '!E7+บ่าย!E7</f>
        <v>17</v>
      </c>
      <c r="F7" s="30">
        <f>'เย็น '!F7+'เช้า '!F7+บ่าย!F7</f>
        <v>7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0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27</v>
      </c>
      <c r="N7" s="11"/>
      <c r="O7" s="11">
        <v>6</v>
      </c>
      <c r="P7" s="11"/>
      <c r="Q7" s="11">
        <v>70</v>
      </c>
      <c r="R7" s="44">
        <f>(N7+O7+P7+Q7)-M7</f>
        <v>49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1</v>
      </c>
      <c r="E25" s="30">
        <f>'เย็น '!E25+'เช้า '!E25+บ่าย!E25</f>
        <v>4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5</v>
      </c>
      <c r="N25" s="11">
        <v>5</v>
      </c>
      <c r="O25" s="11">
        <v>3</v>
      </c>
      <c r="P25" s="11"/>
      <c r="Q25" s="11">
        <v>10</v>
      </c>
      <c r="R25" s="44">
        <f t="shared" si="2"/>
        <v>13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0</v>
      </c>
      <c r="F26" s="30">
        <f>'เย็น '!F26+'เช้า '!F26+บ่าย!F26</f>
        <v>3</v>
      </c>
      <c r="G26" s="30">
        <f>'เย็น '!G26+'เช้า '!G26+บ่าย!G26</f>
        <v>39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39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52</v>
      </c>
      <c r="N26" s="11"/>
      <c r="O26" s="11"/>
      <c r="P26" s="11"/>
      <c r="Q26" s="11">
        <v>90</v>
      </c>
      <c r="R26" s="44">
        <f t="shared" si="2"/>
        <v>38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2</v>
      </c>
      <c r="F69" s="30">
        <f>'เย็น '!F69+'เช้า '!F69+บ่าย!F69</f>
        <v>0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0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3</v>
      </c>
      <c r="N69" s="11">
        <v>10</v>
      </c>
      <c r="O69" s="11"/>
      <c r="P69" s="11"/>
      <c r="Q69" s="11">
        <v>15</v>
      </c>
      <c r="R69" s="44">
        <f t="shared" ref="R69:R76" si="4">(N69+O69+P69+Q69)-M69</f>
        <v>22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25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25</v>
      </c>
      <c r="N87" s="11">
        <v>25</v>
      </c>
      <c r="O87" s="11"/>
      <c r="P87" s="11"/>
      <c r="Q87" s="11">
        <v>90</v>
      </c>
      <c r="R87" s="44">
        <f t="shared" si="8"/>
        <v>90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7</v>
      </c>
      <c r="E90" s="30">
        <f>'เย็น '!E90+'เช้า '!E90+บ่าย!E90</f>
        <v>0</v>
      </c>
      <c r="F90" s="30">
        <f>'เย็น '!F90+'เช้า '!F90+บ่าย!F90</f>
        <v>2</v>
      </c>
      <c r="G90" s="30">
        <f>'เย็น '!G90+'เช้า '!G90+บ่าย!G90</f>
        <v>23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23</v>
      </c>
      <c r="K90" s="30">
        <f>'เย็น '!J90+'เช้า '!J90+บ่าย!J90</f>
        <v>0</v>
      </c>
      <c r="L90" s="30">
        <f>'เย็น '!K90+'เช้า '!K90+บ่าย!K90</f>
        <v>5</v>
      </c>
      <c r="M90" s="36">
        <f t="shared" si="6"/>
        <v>37</v>
      </c>
      <c r="N90" s="11">
        <v>45</v>
      </c>
      <c r="O90" s="11">
        <v>20</v>
      </c>
      <c r="P90" s="11"/>
      <c r="Q90" s="11">
        <v>50</v>
      </c>
      <c r="R90" s="44">
        <f t="shared" ref="R90:R100" si="9">(N90+O90+P90+Q90)-M90</f>
        <v>78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7</v>
      </c>
      <c r="E91" s="30">
        <f>'เย็น '!E91+'เช้า '!E91+บ่าย!E91</f>
        <v>0</v>
      </c>
      <c r="F91" s="30">
        <f>'เย็น '!F91+'เช้า '!F91+บ่าย!F91</f>
        <v>0</v>
      </c>
      <c r="G91" s="30">
        <f>'เย็น '!G91+'เช้า '!G91+บ่าย!G91</f>
        <v>23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23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30</v>
      </c>
      <c r="N91" s="11">
        <v>45</v>
      </c>
      <c r="O91" s="11">
        <v>16</v>
      </c>
      <c r="P91" s="11"/>
      <c r="Q91" s="11">
        <v>50</v>
      </c>
      <c r="R91" s="44">
        <f t="shared" si="9"/>
        <v>81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11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23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34</v>
      </c>
      <c r="N92" s="11">
        <v>45</v>
      </c>
      <c r="O92" s="11">
        <v>10</v>
      </c>
      <c r="P92" s="11"/>
      <c r="Q92" s="11">
        <v>50</v>
      </c>
      <c r="R92" s="44">
        <f t="shared" si="9"/>
        <v>71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23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33</v>
      </c>
      <c r="N93" s="11">
        <v>45</v>
      </c>
      <c r="O93" s="11">
        <v>23</v>
      </c>
      <c r="P93" s="11"/>
      <c r="Q93" s="11">
        <v>50</v>
      </c>
      <c r="R93" s="44">
        <f t="shared" si="9"/>
        <v>85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7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24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24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31</v>
      </c>
      <c r="N97" s="11">
        <v>40</v>
      </c>
      <c r="O97" s="11">
        <v>19</v>
      </c>
      <c r="P97" s="11"/>
      <c r="Q97" s="11">
        <v>50</v>
      </c>
      <c r="R97" s="44">
        <f t="shared" si="9"/>
        <v>78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23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23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33</v>
      </c>
      <c r="N98" s="11">
        <v>40</v>
      </c>
      <c r="O98" s="11">
        <v>5</v>
      </c>
      <c r="P98" s="11"/>
      <c r="Q98" s="11">
        <v>50</v>
      </c>
      <c r="R98" s="44">
        <f t="shared" si="9"/>
        <v>62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260</v>
      </c>
      <c r="O100" s="11">
        <f>SUM(O90:O99)</f>
        <v>93</v>
      </c>
      <c r="P100" s="11">
        <f>SUM(P90:P99)</f>
        <v>0</v>
      </c>
      <c r="Q100" s="11">
        <f>SUM(Q90:Q99)</f>
        <v>300</v>
      </c>
      <c r="R100" s="44">
        <f t="shared" si="9"/>
        <v>653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>
        <v>50</v>
      </c>
      <c r="P114" s="11"/>
      <c r="Q114" s="11"/>
      <c r="R114" s="44">
        <f t="shared" ref="R114:R151" si="11">(N114+O114+P114+Q114)-M114</f>
        <v>50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>
        <v>40</v>
      </c>
      <c r="P115" s="11"/>
      <c r="Q115" s="11"/>
      <c r="R115" s="44">
        <f t="shared" si="11"/>
        <v>40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>
        <v>1</v>
      </c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15</v>
      </c>
      <c r="E123" s="30">
        <f>บ่าย!E123+'เช้า '!E123+'เย็น '!E123</f>
        <v>8</v>
      </c>
      <c r="F123" s="30">
        <f>บ่าย!F123+'เช้า '!F123+'เย็น '!F123</f>
        <v>0</v>
      </c>
      <c r="G123" s="30">
        <f>บ่าย!G123+'เช้า '!G123+'เย็น '!G123</f>
        <v>93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93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116</v>
      </c>
      <c r="N123" s="11">
        <v>433</v>
      </c>
      <c r="O123" s="11">
        <v>502</v>
      </c>
      <c r="P123" s="11"/>
      <c r="Q123" s="11">
        <v>400</v>
      </c>
      <c r="R123" s="44">
        <f t="shared" si="11"/>
        <v>1219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14</v>
      </c>
      <c r="E124" s="30">
        <f>บ่าย!E124+'เช้า '!E124+'เย็น '!E124</f>
        <v>1</v>
      </c>
      <c r="F124" s="30">
        <f>บ่าย!F124+'เช้า '!F124+'เย็น '!F124</f>
        <v>0</v>
      </c>
      <c r="G124" s="30">
        <f>บ่าย!G124+'เช้า '!G124+'เย็น '!G124</f>
        <v>81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81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96</v>
      </c>
      <c r="N124" s="11"/>
      <c r="O124" s="11">
        <v>534</v>
      </c>
      <c r="P124" s="11"/>
      <c r="Q124" s="11">
        <v>350</v>
      </c>
      <c r="R124" s="44">
        <f t="shared" si="11"/>
        <v>788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11</v>
      </c>
      <c r="E125" s="30">
        <f>บ่าย!E125+'เช้า '!E125+'เย็น '!E125</f>
        <v>1</v>
      </c>
      <c r="F125" s="30">
        <f>บ่าย!F125+'เช้า '!F125+'เย็น '!F125</f>
        <v>0</v>
      </c>
      <c r="G125" s="30">
        <f>บ่าย!G125+'เช้า '!G125+'เย็น '!G125</f>
        <v>69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69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81</v>
      </c>
      <c r="N125" s="11"/>
      <c r="O125" s="11">
        <v>489</v>
      </c>
      <c r="P125" s="11"/>
      <c r="Q125" s="11">
        <v>350</v>
      </c>
      <c r="R125" s="44">
        <f t="shared" si="11"/>
        <v>758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</v>
      </c>
      <c r="F126" s="30">
        <f>บ่าย!F126+'เช้า '!F126+'เย็น '!F126</f>
        <v>1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2</v>
      </c>
      <c r="N126" s="11">
        <v>15</v>
      </c>
      <c r="O126" s="11"/>
      <c r="P126" s="11"/>
      <c r="Q126" s="11">
        <v>30</v>
      </c>
      <c r="R126" s="44">
        <f t="shared" si="11"/>
        <v>43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107</v>
      </c>
      <c r="E152" s="60">
        <f t="shared" ref="E152:R152" si="14">SUM(E114:E151,E90:E99,E79:E87,E69:E76,E7:E66,E102:E111)</f>
        <v>34</v>
      </c>
      <c r="F152" s="60">
        <f t="shared" si="14"/>
        <v>13</v>
      </c>
      <c r="G152" s="60">
        <f t="shared" si="14"/>
        <v>447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5</v>
      </c>
      <c r="M152" s="60">
        <f t="shared" si="14"/>
        <v>606</v>
      </c>
      <c r="N152" s="60">
        <f t="shared" si="14"/>
        <v>748</v>
      </c>
      <c r="O152" s="60">
        <f t="shared" si="14"/>
        <v>1718</v>
      </c>
      <c r="P152" s="60">
        <f t="shared" si="14"/>
        <v>0</v>
      </c>
      <c r="Q152" s="60">
        <f t="shared" si="14"/>
        <v>1705</v>
      </c>
      <c r="R152" s="60">
        <f t="shared" si="14"/>
        <v>3565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2025-06-21T00:37:55Z</cp:lastPrinted>
  <dcterms:created xsi:type="dcterms:W3CDTF">2024-04-30T05:21:27Z</dcterms:created>
  <dcterms:modified xsi:type="dcterms:W3CDTF">2025-06-29T15:02:15Z</dcterms:modified>
</cp:coreProperties>
</file>