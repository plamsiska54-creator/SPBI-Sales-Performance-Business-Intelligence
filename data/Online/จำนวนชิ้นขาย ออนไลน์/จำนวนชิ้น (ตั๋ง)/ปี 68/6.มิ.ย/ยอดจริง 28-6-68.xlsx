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6B636BB4-B23D-46C3-91D3-6A65C75AAD44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H152" i="5" s="1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E152" i="5" l="1"/>
  <c r="G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<sst xmlns="http://schemas.openxmlformats.org/spreadsheetml/2006/main" count="630" uniqueCount="151">
  <si>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</si>
  <si>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</si>
  <si>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</si>
  <si>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</si>
  <si>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</si>
  <si>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</si>
  <si>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</si>
  <si>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</si>
  <si>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</si>
  <si>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</si>
  <si>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</si>
  <si>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</si>
  <si>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</si>
  <si>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</si>
  <si>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</si>
  <si>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</si>
  <si>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</si>
  <si>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</si>
  <si>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</si>
  <si>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</si>
  <si>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</si>
  <si>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</si>
  <si>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</si>
  <si>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</si>
  <si>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</si>
  <si>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</si>
  <si>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</si>
  <si>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</si>
  <si>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</si>
  <si>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</si>
  <si>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</si>
  <si>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</si>
  <si>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</si>
  <si>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</si>
  <si>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</si>
  <si>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</si>
  <si>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</si>
  <si>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</si>
  <si>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</si>
  <si>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</si>
  <si>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</si>
  <si>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</si>
  <si>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</si>
  <si>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</si>
  <si>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</si>
  <si>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</si>
  <si>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</si>
  <si>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</si>
  <si>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</si>
  <si>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</si>
  <si>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</si>
  <si>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</si>
  <si>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</si>
  <si>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</si>
  <si>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</si>
  <si>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</si>
  <si>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</si>
  <si>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</si>
  <si>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</si>
  <si>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</si>
  <si>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</si>
  <si>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</si>
  <si>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</si>
  <si>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</si>
  <si>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</si>
  <si>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</si>
  <si>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</si>
  <si>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</si>
  <si>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</si>
  <si>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</si>
  <si>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</si>
  <si>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</si>
  <si>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</si>
  <si>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</si>
  <si>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</si>
  <si>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</si>
  <si>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</si>
  <si>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</si>
  <si>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</si>
  <si>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</si>
  <si>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</si>
  <si>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</si>
  <si>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</si>
  <si>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</si>
  <si>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</si>
  <si>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</si>
  <si>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</si>
  <si>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</si>
  <si>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</si>
  <si>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</si>
  <si>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</si>
  <si>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</si>
  <si>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</si>
  <si>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</si>
  <si>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</si>
  <si>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</si>
  <si>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</si>
  <si>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</si>
  <si>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</si>
  <si>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</si>
  <si>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</si>
  <si>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</si>
  <si>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</si>
  <si>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</si>
  <si>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</si>
  <si>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</si>
  <si>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</si>
  <si>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</si>
  <si>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</si>
  <si>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</si>
  <si>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</si>
  <si>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</si>
  <si>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</si>
  <si>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</si>
  <si>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</si>
  <si>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</si>
  <si>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</si>
  <si>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</si>
  <si>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</si>
  <si>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</si>
  <si>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</si>
  <si>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</si>
  <si>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</si>
  <si>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</si>
  <si>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</si>
  <si>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</si>
  <si>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</si>
  <si>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</si>
  <si>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</si>
  <si>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</si>
  <si>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</si>
  <si>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</si>
  <si>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</si>
  <si>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</si>
  <si>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</si>
  <si>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</si>
  <si>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</si>
  <si>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</si>
  <si>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</si>
  <si>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</si>
  <si>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</si>
  <si>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</si>
  <si>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</si>
  <si>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</si>
  <si>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</si>
  <si>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</si>
  <si>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</si>
  <si>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</si>
  <si>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28/6/68  รวม</t>
  </si>
  <si>
    <t>ยอดจริง ออนไลน์ วันที่  28/6/68เช้า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</si>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</sst>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00" zoomScale="60" zoomScaleNormal="60" workbookViewId="0">
      <selection activeCell="J123" sqref="J12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17</v>
      </c>
      <c r="E7" s="30">
        <v>22</v>
      </c>
      <c r="F7" s="30">
        <v>42</v>
      </c>
      <c r="G7" s="30">
        <v>23</v>
      </c>
      <c r="H7" s="30"/>
      <c r="I7" s="30"/>
      <c r="J7" s="43"/>
      <c r="K7" s="43">
        <v>5</v>
      </c>
      <c r="L7" s="36">
        <f>SUM(D7:K7)</f>
        <v>109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6</v>
      </c>
      <c r="F25" s="30"/>
      <c r="G25" s="30">
        <v>1</v>
      </c>
      <c r="H25" s="30"/>
      <c r="I25" s="30"/>
      <c r="J25" s="43"/>
      <c r="K25" s="43"/>
      <c r="L25" s="36">
        <f t="shared" si="0"/>
        <v>7</v>
      </c>
    </row>
    <row r="26" spans="2:12" x14ac:dyDescent="0.25">
      <c r="B26" s="11">
        <v>1004055</v>
      </c>
      <c r="C26" s="15" t="s">
        <v>108</v>
      </c>
      <c r="D26" s="30">
        <v>20</v>
      </c>
      <c r="E26" s="30"/>
      <c r="F26" s="30"/>
      <c r="G26" s="30">
        <v>57</v>
      </c>
      <c r="H26" s="30"/>
      <c r="I26" s="30"/>
      <c r="J26" s="43"/>
      <c r="K26" s="43"/>
      <c r="L26" s="36">
        <f t="shared" si="0"/>
        <v>77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5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5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5">
      <c r="B43" s="11">
        <v>1111060</v>
      </c>
      <c r="C43" s="15" t="s">
        <v>33</v>
      </c>
      <c r="D43" s="30"/>
      <c r="E43" s="30">
        <v>9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 x14ac:dyDescent="0.25">
      <c r="B44" s="11">
        <v>1111061</v>
      </c>
      <c r="C44" s="15" t="s">
        <v>34</v>
      </c>
      <c r="D44" s="30"/>
      <c r="E44" s="30">
        <v>9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 x14ac:dyDescent="0.25">
      <c r="B45" s="11">
        <v>1111062</v>
      </c>
      <c r="C45" s="15" t="s">
        <v>35</v>
      </c>
      <c r="D45" s="30"/>
      <c r="E45" s="30">
        <v>9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 x14ac:dyDescent="0.25">
      <c r="B46" s="11">
        <v>1111063</v>
      </c>
      <c r="C46" s="15" t="s">
        <v>36</v>
      </c>
      <c r="D46" s="30"/>
      <c r="E46" s="30">
        <v>9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 x14ac:dyDescent="0.25">
      <c r="B47" s="11">
        <v>1111064</v>
      </c>
      <c r="C47" s="15" t="s">
        <v>37</v>
      </c>
      <c r="D47" s="30"/>
      <c r="E47" s="30">
        <v>9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 x14ac:dyDescent="0.25">
      <c r="B48" s="11">
        <v>1111065</v>
      </c>
      <c r="C48" s="15" t="s">
        <v>38</v>
      </c>
      <c r="D48" s="30"/>
      <c r="E48" s="30">
        <v>9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 x14ac:dyDescent="0.25">
      <c r="B49" s="11">
        <v>1111066</v>
      </c>
      <c r="C49" s="15" t="s">
        <v>39</v>
      </c>
      <c r="D49" s="30"/>
      <c r="E49" s="30">
        <v>9</v>
      </c>
      <c r="F49" s="30"/>
      <c r="G49" s="30"/>
      <c r="H49" s="30"/>
      <c r="I49" s="30"/>
      <c r="J49" s="43"/>
      <c r="K49" s="43"/>
      <c r="L49" s="36">
        <f t="shared" si="0"/>
        <v>9</v>
      </c>
    </row>
    <row r="50" spans="2:12" x14ac:dyDescent="0.25">
      <c r="B50" s="11">
        <v>1111067</v>
      </c>
      <c r="C50" s="15" t="s">
        <v>40</v>
      </c>
      <c r="D50" s="30"/>
      <c r="E50" s="30">
        <v>9</v>
      </c>
      <c r="F50" s="30"/>
      <c r="G50" s="30"/>
      <c r="H50" s="30"/>
      <c r="I50" s="30"/>
      <c r="J50" s="43"/>
      <c r="K50" s="43"/>
      <c r="L50" s="36">
        <f t="shared" si="0"/>
        <v>9</v>
      </c>
    </row>
    <row r="51" spans="2:12" x14ac:dyDescent="0.25">
      <c r="B51" s="11">
        <v>1111068</v>
      </c>
      <c r="C51" s="15" t="s">
        <v>41</v>
      </c>
      <c r="D51" s="30"/>
      <c r="E51" s="30">
        <v>9</v>
      </c>
      <c r="F51" s="30"/>
      <c r="G51" s="30"/>
      <c r="H51" s="30"/>
      <c r="I51" s="30"/>
      <c r="J51" s="43"/>
      <c r="K51" s="43"/>
      <c r="L51" s="36">
        <f t="shared" si="0"/>
        <v>9</v>
      </c>
    </row>
    <row r="52" spans="2:12" x14ac:dyDescent="0.25">
      <c r="B52" s="11">
        <v>1111069</v>
      </c>
      <c r="C52" s="15" t="s">
        <v>42</v>
      </c>
      <c r="D52" s="30"/>
      <c r="E52" s="30">
        <v>9</v>
      </c>
      <c r="F52" s="30"/>
      <c r="G52" s="30"/>
      <c r="H52" s="30"/>
      <c r="I52" s="30"/>
      <c r="J52" s="43"/>
      <c r="K52" s="43"/>
      <c r="L52" s="36">
        <f t="shared" si="0"/>
        <v>9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313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12</v>
      </c>
      <c r="E69" s="30"/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14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</v>
      </c>
      <c r="E87" s="30"/>
      <c r="F87" s="30"/>
      <c r="G87" s="30">
        <v>51</v>
      </c>
      <c r="H87" s="30"/>
      <c r="I87" s="30"/>
      <c r="J87" s="43"/>
      <c r="K87" s="43"/>
      <c r="L87" s="36">
        <f t="shared" si="2"/>
        <v>52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52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9</v>
      </c>
      <c r="E90" s="30">
        <v>1</v>
      </c>
      <c r="F90" s="30"/>
      <c r="G90" s="30">
        <v>27</v>
      </c>
      <c r="H90" s="30"/>
      <c r="I90" s="30"/>
      <c r="J90" s="43"/>
      <c r="K90" s="43"/>
      <c r="L90" s="36">
        <f t="shared" ref="L90:L99" si="3">SUM(D90:K90)</f>
        <v>37</v>
      </c>
    </row>
    <row r="91" spans="2:12" x14ac:dyDescent="0.25">
      <c r="B91" s="11">
        <v>1112011</v>
      </c>
      <c r="C91" s="19" t="s">
        <v>76</v>
      </c>
      <c r="D91" s="30">
        <v>12</v>
      </c>
      <c r="E91" s="30">
        <v>1</v>
      </c>
      <c r="F91" s="30">
        <v>2</v>
      </c>
      <c r="G91" s="30">
        <v>17</v>
      </c>
      <c r="H91" s="30"/>
      <c r="I91" s="30"/>
      <c r="J91" s="43"/>
      <c r="K91" s="43"/>
      <c r="L91" s="36">
        <f t="shared" si="3"/>
        <v>32</v>
      </c>
    </row>
    <row r="92" spans="2:12" x14ac:dyDescent="0.25">
      <c r="B92" s="11">
        <v>1112003</v>
      </c>
      <c r="C92" s="19" t="s">
        <v>77</v>
      </c>
      <c r="D92" s="30">
        <v>10</v>
      </c>
      <c r="E92" s="30"/>
      <c r="F92" s="30"/>
      <c r="G92" s="30">
        <v>27</v>
      </c>
      <c r="H92" s="30"/>
      <c r="I92" s="30"/>
      <c r="J92" s="43"/>
      <c r="K92" s="43"/>
      <c r="L92" s="36">
        <f t="shared" si="3"/>
        <v>37</v>
      </c>
    </row>
    <row r="93" spans="2:12" x14ac:dyDescent="0.25">
      <c r="B93" s="11">
        <v>1112005</v>
      </c>
      <c r="C93" s="19" t="s">
        <v>78</v>
      </c>
      <c r="D93" s="30">
        <v>10</v>
      </c>
      <c r="E93" s="30"/>
      <c r="F93" s="30"/>
      <c r="G93" s="30">
        <v>27</v>
      </c>
      <c r="H93" s="30"/>
      <c r="I93" s="30"/>
      <c r="J93" s="43"/>
      <c r="K93" s="43"/>
      <c r="L93" s="36">
        <f t="shared" si="3"/>
        <v>37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8</v>
      </c>
      <c r="E97" s="30">
        <v>1</v>
      </c>
      <c r="F97" s="30"/>
      <c r="G97" s="30">
        <v>37</v>
      </c>
      <c r="H97" s="30"/>
      <c r="I97" s="30"/>
      <c r="J97" s="43"/>
      <c r="K97" s="43"/>
      <c r="L97" s="36">
        <f t="shared" si="3"/>
        <v>46</v>
      </c>
    </row>
    <row r="98" spans="2:12" x14ac:dyDescent="0.25">
      <c r="B98" s="11">
        <v>1112013</v>
      </c>
      <c r="C98" s="19" t="s">
        <v>83</v>
      </c>
      <c r="D98" s="30">
        <v>9</v>
      </c>
      <c r="E98" s="30">
        <v>1</v>
      </c>
      <c r="F98" s="30"/>
      <c r="G98" s="30">
        <v>28</v>
      </c>
      <c r="H98" s="30"/>
      <c r="I98" s="30"/>
      <c r="J98" s="43"/>
      <c r="K98" s="43"/>
      <c r="L98" s="36">
        <f t="shared" si="3"/>
        <v>38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227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50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50</v>
      </c>
    </row>
    <row r="115" spans="2:12" x14ac:dyDescent="0.25">
      <c r="B115" s="11">
        <v>1113171</v>
      </c>
      <c r="C115" s="21" t="s">
        <v>88</v>
      </c>
      <c r="D115" s="30">
        <v>40</v>
      </c>
      <c r="E115" s="30"/>
      <c r="F115" s="30"/>
      <c r="G115" s="30"/>
      <c r="H115" s="30"/>
      <c r="I115" s="30"/>
      <c r="J115" s="43"/>
      <c r="K115" s="43"/>
      <c r="L115" s="36">
        <f t="shared" si="5"/>
        <v>40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</v>
      </c>
      <c r="E123" s="30">
        <v>5</v>
      </c>
      <c r="F123" s="30">
        <v>20</v>
      </c>
      <c r="G123" s="30">
        <v>176</v>
      </c>
      <c r="H123" s="30"/>
      <c r="I123" s="30"/>
      <c r="J123" s="43"/>
      <c r="K123" s="43"/>
      <c r="L123" s="36">
        <f t="shared" si="5"/>
        <v>202</v>
      </c>
    </row>
    <row r="124" spans="2:12" x14ac:dyDescent="0.25">
      <c r="B124" s="11">
        <v>1114502</v>
      </c>
      <c r="C124" s="21" t="s">
        <v>96</v>
      </c>
      <c r="D124" s="30">
        <v>1</v>
      </c>
      <c r="E124" s="30">
        <v>5</v>
      </c>
      <c r="F124" s="30">
        <v>1</v>
      </c>
      <c r="G124" s="30">
        <v>158</v>
      </c>
      <c r="H124" s="30"/>
      <c r="I124" s="30"/>
      <c r="J124" s="43"/>
      <c r="K124" s="43"/>
      <c r="L124" s="36">
        <f t="shared" si="5"/>
        <v>165</v>
      </c>
    </row>
    <row r="125" spans="2:12" x14ac:dyDescent="0.25">
      <c r="B125" s="11">
        <v>1114503</v>
      </c>
      <c r="C125" s="21" t="s">
        <v>97</v>
      </c>
      <c r="D125" s="30">
        <v>4</v>
      </c>
      <c r="E125" s="30">
        <v>4</v>
      </c>
      <c r="F125" s="30">
        <v>1</v>
      </c>
      <c r="G125" s="30">
        <v>155</v>
      </c>
      <c r="H125" s="30"/>
      <c r="I125" s="30"/>
      <c r="J125" s="43"/>
      <c r="K125" s="43"/>
      <c r="L125" s="36">
        <f t="shared" si="5"/>
        <v>164</v>
      </c>
    </row>
    <row r="126" spans="2:12" x14ac:dyDescent="0.25">
      <c r="B126" s="11">
        <v>1124021</v>
      </c>
      <c r="C126" s="21" t="s">
        <v>98</v>
      </c>
      <c r="D126" s="30"/>
      <c r="E126" s="30">
        <v>11</v>
      </c>
      <c r="F126" s="30"/>
      <c r="G126" s="30">
        <v>13</v>
      </c>
      <c r="H126" s="30"/>
      <c r="I126" s="30"/>
      <c r="J126" s="43"/>
      <c r="K126" s="43"/>
      <c r="L126" s="36">
        <f t="shared" si="5"/>
        <v>24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17" zoomScale="50" zoomScaleNormal="50" workbookViewId="0">
      <selection activeCell="A117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17</v>
      </c>
      <c r="E7" s="30">
        <f>'เย็น '!E7+'เช้า '!E7+บ่าย!E7</f>
        <v>22</v>
      </c>
      <c r="F7" s="30">
        <f>'เย็น '!F7+'เช้า '!F7+บ่าย!F7</f>
        <v>42</v>
      </c>
      <c r="G7" s="30">
        <f>'เย็น '!G7+'เช้า '!G7+บ่าย!G7</f>
        <v>23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23</v>
      </c>
      <c r="K7" s="30">
        <f>'เย็น '!J7+'เช้า '!J7+บ่าย!J7</f>
        <v>0</v>
      </c>
      <c r="L7" s="30">
        <f>'เย็น '!K7+'เช้า '!K7+บ่าย!K7</f>
        <v>5</v>
      </c>
      <c r="M7" s="36">
        <f>+D7+E7+F7+J7+K7+L7</f>
        <v>109</v>
      </c>
      <c r="N7" s="11">
        <v>73</v>
      </c>
      <c r="O7" s="11">
        <v>45</v>
      </c>
      <c r="P7" s="11"/>
      <c r="Q7" s="11">
        <v>70</v>
      </c>
      <c r="R7" s="44">
        <f>(N7+O7+P7+Q7)-M7</f>
        <v>79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7</v>
      </c>
      <c r="N25" s="11">
        <v>12</v>
      </c>
      <c r="O25" s="11"/>
      <c r="P25" s="11"/>
      <c r="Q25" s="11">
        <v>10</v>
      </c>
      <c r="R25" s="44">
        <f t="shared" si="2"/>
        <v>15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20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57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77</v>
      </c>
      <c r="N26" s="11">
        <v>90</v>
      </c>
      <c r="O26" s="11">
        <v>4</v>
      </c>
      <c r="P26" s="11"/>
      <c r="Q26" s="11">
        <v>90</v>
      </c>
      <c r="R26" s="44">
        <f t="shared" si="2"/>
        <v>107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10</v>
      </c>
      <c r="N40" s="11"/>
      <c r="O40" s="11"/>
      <c r="P40" s="11"/>
      <c r="Q40" s="11"/>
      <c r="R40" s="44">
        <f t="shared" si="2"/>
        <v>-10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10</v>
      </c>
      <c r="N41" s="11"/>
      <c r="O41" s="11"/>
      <c r="P41" s="11"/>
      <c r="Q41" s="11"/>
      <c r="R41" s="44">
        <f t="shared" si="2"/>
        <v>-10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10</v>
      </c>
      <c r="N42" s="11"/>
      <c r="O42" s="11"/>
      <c r="P42" s="11"/>
      <c r="Q42" s="11"/>
      <c r="R42" s="44">
        <f t="shared" si="2"/>
        <v>-10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9</v>
      </c>
      <c r="N43" s="11"/>
      <c r="O43" s="11"/>
      <c r="P43" s="11"/>
      <c r="Q43" s="11"/>
      <c r="R43" s="44">
        <f t="shared" si="2"/>
        <v>-9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9</v>
      </c>
      <c r="N44" s="11"/>
      <c r="O44" s="11"/>
      <c r="P44" s="11"/>
      <c r="Q44" s="11"/>
      <c r="R44" s="44">
        <f t="shared" si="2"/>
        <v>-9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9</v>
      </c>
      <c r="N45" s="11"/>
      <c r="O45" s="11"/>
      <c r="P45" s="11"/>
      <c r="Q45" s="11"/>
      <c r="R45" s="44">
        <f t="shared" si="2"/>
        <v>-9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9</v>
      </c>
      <c r="N46" s="11"/>
      <c r="O46" s="11"/>
      <c r="P46" s="11"/>
      <c r="Q46" s="11"/>
      <c r="R46" s="44">
        <f t="shared" si="2"/>
        <v>-9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9</v>
      </c>
      <c r="N47" s="11"/>
      <c r="O47" s="11"/>
      <c r="P47" s="11"/>
      <c r="Q47" s="11"/>
      <c r="R47" s="44">
        <f t="shared" si="2"/>
        <v>-9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9</v>
      </c>
      <c r="N48" s="11"/>
      <c r="O48" s="11"/>
      <c r="P48" s="11"/>
      <c r="Q48" s="11"/>
      <c r="R48" s="44">
        <f t="shared" si="2"/>
        <v>-9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9</v>
      </c>
      <c r="N49" s="11"/>
      <c r="O49" s="11"/>
      <c r="P49" s="11"/>
      <c r="Q49" s="11"/>
      <c r="R49" s="44">
        <f t="shared" si="2"/>
        <v>-9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9</v>
      </c>
      <c r="N50" s="11"/>
      <c r="O50" s="11"/>
      <c r="P50" s="11"/>
      <c r="Q50" s="11"/>
      <c r="R50" s="44">
        <f t="shared" si="2"/>
        <v>-9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9</v>
      </c>
      <c r="N51" s="11"/>
      <c r="O51" s="11"/>
      <c r="P51" s="11"/>
      <c r="Q51" s="11"/>
      <c r="R51" s="44">
        <f t="shared" si="2"/>
        <v>-9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9</v>
      </c>
      <c r="N52" s="11"/>
      <c r="O52" s="11"/>
      <c r="P52" s="11"/>
      <c r="Q52" s="11"/>
      <c r="R52" s="44">
        <f t="shared" si="2"/>
        <v>-9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12</v>
      </c>
      <c r="E69" s="30">
        <f>'เย็น '!E69+'เช้า '!E69+บ่าย!E69</f>
        <v>0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0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14</v>
      </c>
      <c r="N69" s="11">
        <v>10</v>
      </c>
      <c r="O69" s="11">
        <v>1</v>
      </c>
      <c r="P69" s="11"/>
      <c r="Q69" s="11">
        <v>15</v>
      </c>
      <c r="R69" s="44">
        <f t="shared" ref="R69:R76" si="4">(N69+O69+P69+Q69)-M69</f>
        <v>12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51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52</v>
      </c>
      <c r="N87" s="11">
        <v>90</v>
      </c>
      <c r="O87" s="11">
        <v>28</v>
      </c>
      <c r="P87" s="11"/>
      <c r="Q87" s="11">
        <v>90</v>
      </c>
      <c r="R87" s="44">
        <f t="shared" si="8"/>
        <v>156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27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37</v>
      </c>
      <c r="N90" s="11">
        <v>50</v>
      </c>
      <c r="O90" s="11">
        <v>45</v>
      </c>
      <c r="P90" s="11"/>
      <c r="Q90" s="11">
        <v>50</v>
      </c>
      <c r="R90" s="44">
        <f t="shared" ref="R90:R100" si="9">(N90+O90+P90+Q90)-M90</f>
        <v>108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12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17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17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32</v>
      </c>
      <c r="N91" s="11">
        <v>50</v>
      </c>
      <c r="O91" s="11">
        <v>40</v>
      </c>
      <c r="P91" s="11"/>
      <c r="Q91" s="11">
        <v>50</v>
      </c>
      <c r="R91" s="44">
        <f t="shared" si="9"/>
        <v>108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27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37</v>
      </c>
      <c r="N92" s="11">
        <v>50</v>
      </c>
      <c r="O92" s="11">
        <v>47</v>
      </c>
      <c r="P92" s="11"/>
      <c r="Q92" s="11">
        <v>50</v>
      </c>
      <c r="R92" s="44">
        <f t="shared" si="9"/>
        <v>110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27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37</v>
      </c>
      <c r="N93" s="11">
        <v>50</v>
      </c>
      <c r="O93" s="11">
        <v>45</v>
      </c>
      <c r="P93" s="11"/>
      <c r="Q93" s="11">
        <v>50</v>
      </c>
      <c r="R93" s="44">
        <f t="shared" si="9"/>
        <v>108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8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37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37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46</v>
      </c>
      <c r="N97" s="11">
        <v>50</v>
      </c>
      <c r="O97" s="11">
        <v>54</v>
      </c>
      <c r="P97" s="11"/>
      <c r="Q97" s="11">
        <v>50</v>
      </c>
      <c r="R97" s="44">
        <f t="shared" si="9"/>
        <v>108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9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28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28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38</v>
      </c>
      <c r="N98" s="11">
        <v>50</v>
      </c>
      <c r="O98" s="11">
        <v>48</v>
      </c>
      <c r="P98" s="11"/>
      <c r="Q98" s="11">
        <v>50</v>
      </c>
      <c r="R98" s="44">
        <f t="shared" si="9"/>
        <v>110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279</v>
      </c>
      <c r="P100" s="11">
        <f>SUM(P90:P99)</f>
        <v>0</v>
      </c>
      <c r="Q100" s="11">
        <f>SUM(Q90:Q99)</f>
        <v>300</v>
      </c>
      <c r="R100" s="44">
        <f t="shared" si="9"/>
        <v>879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50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50</v>
      </c>
      <c r="N114" s="11"/>
      <c r="O114" s="11"/>
      <c r="P114" s="11">
        <v>50</v>
      </c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40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40</v>
      </c>
      <c r="N115" s="11"/>
      <c r="O115" s="11"/>
      <c r="P115" s="11">
        <v>40</v>
      </c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>
        <v>20</v>
      </c>
      <c r="R120" s="44">
        <f t="shared" si="11"/>
        <v>20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5</v>
      </c>
      <c r="F123" s="30">
        <f>บ่าย!F123+'เช้า '!F123+'เย็น '!F123</f>
        <v>20</v>
      </c>
      <c r="G123" s="30">
        <f>บ่าย!G123+'เช้า '!G123+'เย็น '!G123</f>
        <v>176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176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202</v>
      </c>
      <c r="N123" s="11">
        <v>401</v>
      </c>
      <c r="O123" s="11">
        <v>215</v>
      </c>
      <c r="P123" s="11"/>
      <c r="Q123" s="11">
        <v>400</v>
      </c>
      <c r="R123" s="44">
        <f t="shared" si="11"/>
        <v>814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5</v>
      </c>
      <c r="F124" s="30">
        <f>บ่าย!F124+'เช้า '!F124+'เย็น '!F124</f>
        <v>1</v>
      </c>
      <c r="G124" s="30">
        <f>บ่าย!G124+'เช้า '!G124+'เย็น '!G124</f>
        <v>158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158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165</v>
      </c>
      <c r="N124" s="11">
        <v>349</v>
      </c>
      <c r="O124" s="11">
        <v>86</v>
      </c>
      <c r="P124" s="11"/>
      <c r="Q124" s="11">
        <v>350</v>
      </c>
      <c r="R124" s="44">
        <f t="shared" si="11"/>
        <v>620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4</v>
      </c>
      <c r="E125" s="30">
        <f>บ่าย!E125+'เช้า '!E125+'เย็น '!E125</f>
        <v>4</v>
      </c>
      <c r="F125" s="30">
        <f>บ่าย!F125+'เช้า '!F125+'เย็น '!F125</f>
        <v>1</v>
      </c>
      <c r="G125" s="30">
        <f>บ่าย!G125+'เช้า '!G125+'เย็น '!G125</f>
        <v>155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155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164</v>
      </c>
      <c r="N125" s="11">
        <v>354</v>
      </c>
      <c r="O125" s="11">
        <v>58</v>
      </c>
      <c r="P125" s="11"/>
      <c r="Q125" s="11">
        <v>350</v>
      </c>
      <c r="R125" s="44">
        <f t="shared" si="11"/>
        <v>598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11</v>
      </c>
      <c r="F126" s="30">
        <f>บ่าย!F126+'เช้า '!F126+'เย็น '!F126</f>
        <v>0</v>
      </c>
      <c r="G126" s="30">
        <f>บ่าย!G126+'เช้า '!G126+'เย็น '!G126</f>
        <v>13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13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24</v>
      </c>
      <c r="N126" s="11">
        <v>30</v>
      </c>
      <c r="O126" s="11"/>
      <c r="P126" s="11"/>
      <c r="Q126" s="11">
        <v>30</v>
      </c>
      <c r="R126" s="44">
        <f t="shared" si="11"/>
        <v>36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>
        <v>40</v>
      </c>
      <c r="R137" s="44">
        <f t="shared" si="11"/>
        <v>40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204</v>
      </c>
      <c r="E152" s="60">
        <f t="shared" ref="E152:R152" si="14">SUM(E114:E151,E90:E99,E79:E87,E69:E76,E7:E66,E102:E111)</f>
        <v>177</v>
      </c>
      <c r="F152" s="60">
        <f t="shared" si="14"/>
        <v>68</v>
      </c>
      <c r="G152" s="60">
        <f t="shared" si="14"/>
        <v>797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5</v>
      </c>
      <c r="M152" s="60">
        <f t="shared" si="14"/>
        <v>1251</v>
      </c>
      <c r="N152" s="60">
        <f t="shared" si="14"/>
        <v>1709</v>
      </c>
      <c r="O152" s="60">
        <f t="shared" si="14"/>
        <v>716</v>
      </c>
      <c r="P152" s="60">
        <f t="shared" si="14"/>
        <v>90</v>
      </c>
      <c r="Q152" s="60">
        <f t="shared" si="14"/>
        <v>1765</v>
      </c>
      <c r="R152" s="60">
        <f t="shared" si="14"/>
        <v>3029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2025-06-28T00:44:55Z</cp:lastPrinted>
  <dcterms:created xsi:type="dcterms:W3CDTF">2024-04-30T05:21:27Z</dcterms:created>
  <dcterms:modified xsi:type="dcterms:W3CDTF">2025-06-29T15:14:50Z</dcterms:modified>
</cp:coreProperties>
</file>