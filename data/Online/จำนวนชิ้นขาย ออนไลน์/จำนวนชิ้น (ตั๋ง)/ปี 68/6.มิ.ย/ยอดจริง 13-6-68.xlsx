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6-68\"/>
    </mc:Choice>
  </mc:AlternateContent>
  <xr:revisionPtr revIDLastSave="0" documentId="13_ncr:1_{EB9D4C74-0001-42E5-9EBB-556A296D7B2D}" xr6:coauthVersionLast="47" xr6:coauthVersionMax="47" xr10:uidLastSave="{00000000-0000-0000-0000-000000000000}"/>
  <bookViews>
    <workbookView xWindow="2040" yWindow="390" windowWidth="24390" windowHeight="14655" activeTab="3" xr2:uid="{55C9AAA3-F459-48EC-A639-AACFFC6390F5}"/>
  </bookViews>
  <sheets>
    <sheet name="เช้า " sheetId="3" r:id="rId1"/>
    <sheet name="เย็น " sheetId="6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8" i="5" l="1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D142" i="5"/>
  <c r="E142" i="5"/>
  <c r="F142" i="5"/>
  <c r="L142" i="5" s="1"/>
  <c r="Q142" i="5" s="1"/>
  <c r="G142" i="5"/>
  <c r="H142" i="5"/>
  <c r="I142" i="5"/>
  <c r="J142" i="5"/>
  <c r="K142" i="5"/>
  <c r="D143" i="5"/>
  <c r="E143" i="5"/>
  <c r="F143" i="5"/>
  <c r="G143" i="5"/>
  <c r="Q143" i="5" s="1"/>
  <c r="H143" i="5"/>
  <c r="J143" i="5"/>
  <c r="K143" i="5"/>
  <c r="E137" i="5"/>
  <c r="F137" i="5"/>
  <c r="G137" i="5"/>
  <c r="H137" i="5"/>
  <c r="I137" i="5"/>
  <c r="J137" i="5"/>
  <c r="K137" i="5"/>
  <c r="L140" i="5"/>
  <c r="Q140" i="5" s="1"/>
  <c r="L141" i="4"/>
  <c r="L141" i="5" l="1"/>
  <c r="Q141" i="5" s="1"/>
  <c r="K7" i="5" l="1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L77" i="6" l="1"/>
  <c r="M144" i="5"/>
  <c r="N144" i="5"/>
  <c r="O144" i="5"/>
  <c r="P14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44" i="5" l="1"/>
  <c r="L67" i="4"/>
  <c r="L142" i="4"/>
  <c r="L88" i="4"/>
  <c r="L136" i="5"/>
  <c r="Q136" i="5" s="1"/>
  <c r="L137" i="5"/>
  <c r="Q137" i="5" s="1"/>
  <c r="L135" i="5"/>
  <c r="Q135" i="5" s="1"/>
  <c r="L100" i="4"/>
  <c r="L133" i="5"/>
  <c r="Q133" i="5" s="1"/>
  <c r="L138" i="5"/>
  <c r="Q138" i="5" s="1"/>
  <c r="L134" i="5"/>
  <c r="Q134" i="5" s="1"/>
  <c r="L132" i="5"/>
  <c r="Q132" i="5" s="1"/>
  <c r="L131" i="5"/>
  <c r="Q131" i="5" s="1"/>
  <c r="L112" i="4"/>
  <c r="L139" i="5"/>
  <c r="Q139" i="5" s="1"/>
  <c r="L77" i="3"/>
  <c r="L88" i="3"/>
  <c r="L100" i="3"/>
  <c r="L67" i="3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D144" i="5" s="1"/>
  <c r="E99" i="5"/>
  <c r="E144" i="5" s="1"/>
  <c r="F99" i="5"/>
  <c r="F144" i="5" s="1"/>
  <c r="G99" i="5"/>
  <c r="G144" i="5" s="1"/>
  <c r="H99" i="5"/>
  <c r="H144" i="5" s="1"/>
  <c r="I99" i="5"/>
  <c r="I144" i="5" s="1"/>
  <c r="J99" i="5"/>
  <c r="J144" i="5" s="1"/>
  <c r="D66" i="5"/>
  <c r="E66" i="5"/>
  <c r="F66" i="5"/>
  <c r="G66" i="5"/>
  <c r="H66" i="5"/>
  <c r="I66" i="5"/>
  <c r="J66" i="5"/>
  <c r="Q121" i="5" l="1"/>
  <c r="Q114" i="5"/>
  <c r="Q90" i="5"/>
  <c r="Q99" i="5" s="1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L100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4" i="5" l="1"/>
  <c r="Q102" i="5"/>
  <c r="L112" i="5"/>
  <c r="Q112" i="5" s="1"/>
  <c r="Q144" i="5"/>
  <c r="L88" i="5"/>
  <c r="Q88" i="5" s="1"/>
  <c r="L67" i="5"/>
  <c r="Q67" i="5" s="1"/>
</calcChain>
</file>

<file path=xl/sharedStrings.xml><?xml version="1.0" encoding="utf-8"?>
<sst xmlns="http://schemas.openxmlformats.org/spreadsheetml/2006/main" count="619" uniqueCount="147">
  <si>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</si>
  <si>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</si>
  <si>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</si>
  <si>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</si>
  <si>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</si>
  <si>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</si>
  <si>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</si>
  <si>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</si>
  <si>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</si>
  <si>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</si>
  <si>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</si>
  <si>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</si>
  <si>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</si>
  <si>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</si>
  <si>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</si>
  <si>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</si>
  <si>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</si>
  <si>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</si>
  <si>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</si>
  <si>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</si>
  <si>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</si>
  <si>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</si>
  <si>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</si>
  <si>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</si>
  <si>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</si>
  <si>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</si>
  <si>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</si>
  <si>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</si>
  <si>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</si>
  <si>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</si>
  <si>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</si>
  <si>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</si>
  <si>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</si>
  <si>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</si>
  <si>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</si>
  <si>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</si>
  <si>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</si>
  <si>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</si>
  <si>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</si>
  <si>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</si>
  <si>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</si>
  <si>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</si>
  <si>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</si>
  <si>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</si>
  <si>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</si>
  <si>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</si>
  <si>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</si>
  <si>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</si>
  <si>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</si>
  <si>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</si>
  <si>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</si>
  <si>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</si>
  <si>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</si>
  <si>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</si>
  <si>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</si>
  <si>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</si>
  <si>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</si>
  <si>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</si>
  <si>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</si>
  <si>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</si>
  <si>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</si>
  <si>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</si>
  <si>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</si>
  <si>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</si>
  <si>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</si>
  <si>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</si>
  <si>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</si>
  <si>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</si>
  <si>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</si>
  <si>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</si>
  <si>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</si>
  <si>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</si>
  <si>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</si>
  <si>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</si>
  <si>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</si>
  <si>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</si>
  <si>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</si>
  <si>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</si>
  <si>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</si>
  <si>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</si>
  <si>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</si>
  <si>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</si>
  <si>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</si>
  <si>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</si>
  <si>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</si>
  <si>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</si>
  <si>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</si>
  <si>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</si>
  <si>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</si>
  <si>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</si>
  <si>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</si>
  <si>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</si>
  <si>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</si>
  <si>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</si>
  <si>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</si>
  <si>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</si>
  <si>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</si>
  <si>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</si>
  <si>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</si>
  <si>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</si>
  <si>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</si>
  <si>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</si>
  <si>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</si>
  <si>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</si>
  <si>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</si>
  <si>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</si>
  <si>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</si>
  <si>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</si>
  <si>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</si>
  <si>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</si>
  <si>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</si>
  <si>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</si>
  <si>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</si>
  <si>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</si>
  <si>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</si>
  <si>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</si>
  <si>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</si>
  <si>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</si>
  <si>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</si>
  <si>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</si>
  <si>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</si>
  <si>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</si>
  <si>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</si>
  <si>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</si>
  <si>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</si>
  <si>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</si>
  <si>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</si>
  <si>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</si>
  <si>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</si>
  <si>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</si>
  <si>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</si>
  <si>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</si>
  <si>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</si>
  <si>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</si>
  <si>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</si>
  <si>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</si>
  <si>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</si>
  <si>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</si>
  <si>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</si>
  <si>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</si>
  <si>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</si>
  <si>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</si>
  <si>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</si>
  <si>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</t>
  </si>
  <si>
    <t>ยอดจริง ออนไลน์ วันที่ 13/6/68 บ่าย</t>
  </si>
  <si>
    <t>ยอดจริง ออนไลน์ วันที่ 13/6/68  รวม</t>
  </si>
  <si>
    <t>ยอดจริง ออนไลน์ วันที่  13/6/68เช้า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</si>
</sst>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22"/>
      <color theme="1"/>
      <name val="Tahoma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00" zoomScale="60" zoomScaleNormal="60" workbookViewId="0">
      <selection activeCell="I126" sqref="I126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146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>
        <v>1</v>
      </c>
      <c r="E7" s="30">
        <v>6</v>
      </c>
      <c r="F7" s="30">
        <v>13</v>
      </c>
      <c r="G7" s="30">
        <v>8</v>
      </c>
      <c r="H7" s="30">
        <v>3</v>
      </c>
      <c r="I7" s="30"/>
      <c r="J7" s="43"/>
      <c r="K7" s="43"/>
      <c r="L7" s="36">
        <f>SUM(D7:K7)</f>
        <v>31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>
        <v>1</v>
      </c>
      <c r="E25" s="30"/>
      <c r="F25" s="30"/>
      <c r="G25" s="30">
        <v>1</v>
      </c>
      <c r="H25" s="30"/>
      <c r="I25" s="30"/>
      <c r="J25" s="43"/>
      <c r="K25" s="43"/>
      <c r="L25" s="36">
        <f t="shared" si="0"/>
        <v>2</v>
      </c>
    </row>
    <row r="26" spans="2:12" x14ac:dyDescent="0.2">
      <c r="B26" s="11">
        <v>1004055</v>
      </c>
      <c r="C26" s="15" t="s">
        <v>108</v>
      </c>
      <c r="D26" s="30"/>
      <c r="E26" s="30">
        <v>2</v>
      </c>
      <c r="F26" s="30"/>
      <c r="G26" s="30">
        <v>72</v>
      </c>
      <c r="H26" s="30">
        <v>18</v>
      </c>
      <c r="I26" s="30"/>
      <c r="J26" s="43"/>
      <c r="K26" s="43"/>
      <c r="L26" s="36">
        <f t="shared" si="0"/>
        <v>92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>
        <v>3</v>
      </c>
      <c r="G56" s="30"/>
      <c r="H56" s="30"/>
      <c r="I56" s="30"/>
      <c r="J56" s="43"/>
      <c r="K56" s="43"/>
      <c r="L56" s="36">
        <f t="shared" si="0"/>
        <v>3</v>
      </c>
    </row>
    <row r="57" spans="2:12" x14ac:dyDescent="0.2">
      <c r="B57" s="11">
        <v>1111075</v>
      </c>
      <c r="C57" s="15" t="s">
        <v>45</v>
      </c>
      <c r="D57" s="30"/>
      <c r="E57" s="30"/>
      <c r="F57" s="30">
        <v>3</v>
      </c>
      <c r="G57" s="30"/>
      <c r="H57" s="30"/>
      <c r="I57" s="30"/>
      <c r="J57" s="43"/>
      <c r="K57" s="43"/>
      <c r="L57" s="36">
        <f t="shared" si="0"/>
        <v>3</v>
      </c>
    </row>
    <row r="58" spans="2:12" x14ac:dyDescent="0.2">
      <c r="B58" s="11">
        <v>1111076</v>
      </c>
      <c r="C58" s="15" t="s">
        <v>46</v>
      </c>
      <c r="D58" s="30"/>
      <c r="E58" s="30"/>
      <c r="F58" s="30">
        <v>3</v>
      </c>
      <c r="G58" s="30"/>
      <c r="H58" s="30"/>
      <c r="I58" s="30"/>
      <c r="J58" s="43"/>
      <c r="K58" s="43"/>
      <c r="L58" s="36">
        <f t="shared" si="0"/>
        <v>3</v>
      </c>
    </row>
    <row r="59" spans="2:12" x14ac:dyDescent="0.2">
      <c r="B59" s="11">
        <v>1111077</v>
      </c>
      <c r="C59" s="15" t="s">
        <v>47</v>
      </c>
      <c r="D59" s="30"/>
      <c r="E59" s="30"/>
      <c r="F59" s="30">
        <v>3</v>
      </c>
      <c r="G59" s="30"/>
      <c r="H59" s="30"/>
      <c r="I59" s="30"/>
      <c r="J59" s="43"/>
      <c r="K59" s="43"/>
      <c r="L59" s="36">
        <f t="shared" si="0"/>
        <v>3</v>
      </c>
    </row>
    <row r="60" spans="2:12" x14ac:dyDescent="0.2">
      <c r="B60" s="11">
        <v>1111078</v>
      </c>
      <c r="C60" s="15" t="s">
        <v>48</v>
      </c>
      <c r="D60" s="30"/>
      <c r="E60" s="30"/>
      <c r="F60" s="30">
        <v>3</v>
      </c>
      <c r="G60" s="30"/>
      <c r="H60" s="30"/>
      <c r="I60" s="30"/>
      <c r="J60" s="43"/>
      <c r="K60" s="43"/>
      <c r="L60" s="36">
        <f t="shared" si="0"/>
        <v>3</v>
      </c>
    </row>
    <row r="61" spans="2:12" x14ac:dyDescent="0.2">
      <c r="B61" s="11">
        <v>1111079</v>
      </c>
      <c r="C61" s="15" t="s">
        <v>49</v>
      </c>
      <c r="D61" s="30"/>
      <c r="E61" s="30"/>
      <c r="F61" s="30">
        <v>3</v>
      </c>
      <c r="G61" s="30"/>
      <c r="H61" s="30"/>
      <c r="I61" s="30"/>
      <c r="J61" s="43"/>
      <c r="K61" s="43"/>
      <c r="L61" s="36">
        <f t="shared" si="0"/>
        <v>3</v>
      </c>
    </row>
    <row r="62" spans="2:12" x14ac:dyDescent="0.2">
      <c r="B62" s="11">
        <v>1111080</v>
      </c>
      <c r="C62" s="15" t="s">
        <v>50</v>
      </c>
      <c r="D62" s="30"/>
      <c r="E62" s="30"/>
      <c r="F62" s="30">
        <v>3</v>
      </c>
      <c r="G62" s="30"/>
      <c r="H62" s="30"/>
      <c r="I62" s="30"/>
      <c r="J62" s="43"/>
      <c r="K62" s="43"/>
      <c r="L62" s="36">
        <f t="shared" si="0"/>
        <v>3</v>
      </c>
    </row>
    <row r="63" spans="2:12" x14ac:dyDescent="0.2">
      <c r="B63" s="11">
        <v>1111081</v>
      </c>
      <c r="C63" s="15" t="s">
        <v>51</v>
      </c>
      <c r="D63" s="30"/>
      <c r="E63" s="30"/>
      <c r="F63" s="30">
        <v>3</v>
      </c>
      <c r="G63" s="30"/>
      <c r="H63" s="30"/>
      <c r="I63" s="30"/>
      <c r="J63" s="43"/>
      <c r="K63" s="43"/>
      <c r="L63" s="36">
        <f t="shared" si="0"/>
        <v>3</v>
      </c>
    </row>
    <row r="64" spans="2:12" x14ac:dyDescent="0.2">
      <c r="B64" s="11">
        <v>1111082</v>
      </c>
      <c r="C64" s="15" t="s">
        <v>52</v>
      </c>
      <c r="D64" s="30"/>
      <c r="E64" s="30"/>
      <c r="F64" s="30">
        <v>3</v>
      </c>
      <c r="G64" s="30"/>
      <c r="H64" s="30"/>
      <c r="I64" s="30"/>
      <c r="J64" s="43"/>
      <c r="K64" s="43"/>
      <c r="L64" s="36">
        <f t="shared" si="0"/>
        <v>3</v>
      </c>
    </row>
    <row r="65" spans="2:12" x14ac:dyDescent="0.2">
      <c r="B65" s="11">
        <v>1111083</v>
      </c>
      <c r="C65" s="15" t="s">
        <v>53</v>
      </c>
      <c r="D65" s="30"/>
      <c r="E65" s="30"/>
      <c r="F65" s="30">
        <v>3</v>
      </c>
      <c r="G65" s="30"/>
      <c r="H65" s="30"/>
      <c r="I65" s="30"/>
      <c r="J65" s="43"/>
      <c r="K65" s="43"/>
      <c r="L65" s="36">
        <f t="shared" si="0"/>
        <v>3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155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>
        <v>1</v>
      </c>
      <c r="E69" s="30">
        <v>4</v>
      </c>
      <c r="F69" s="30"/>
      <c r="G69" s="30">
        <v>1</v>
      </c>
      <c r="H69" s="30"/>
      <c r="I69" s="30"/>
      <c r="J69" s="43"/>
      <c r="K69" s="43"/>
      <c r="L69" s="36">
        <f t="shared" ref="L69:L76" si="1">SUM(D69:K69)</f>
        <v>6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6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>
        <v>6</v>
      </c>
      <c r="F87" s="30"/>
      <c r="G87" s="30">
        <v>70</v>
      </c>
      <c r="H87" s="30">
        <v>30</v>
      </c>
      <c r="I87" s="30"/>
      <c r="J87" s="43"/>
      <c r="K87" s="43">
        <v>15</v>
      </c>
      <c r="L87" s="36">
        <f t="shared" si="2"/>
        <v>121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121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>
        <v>4</v>
      </c>
      <c r="E90" s="30"/>
      <c r="F90" s="30"/>
      <c r="G90" s="30">
        <v>28</v>
      </c>
      <c r="H90" s="30">
        <v>5</v>
      </c>
      <c r="I90" s="30"/>
      <c r="J90" s="43"/>
      <c r="K90" s="43">
        <v>11</v>
      </c>
      <c r="L90" s="36">
        <f t="shared" ref="L90:L99" si="3">SUM(D90:K90)</f>
        <v>48</v>
      </c>
    </row>
    <row r="91" spans="2:12" x14ac:dyDescent="0.2">
      <c r="B91" s="11">
        <v>1112011</v>
      </c>
      <c r="C91" s="19" t="s">
        <v>76</v>
      </c>
      <c r="D91" s="30">
        <v>12</v>
      </c>
      <c r="E91" s="30"/>
      <c r="F91" s="30"/>
      <c r="G91" s="30">
        <v>28</v>
      </c>
      <c r="H91" s="30">
        <v>5</v>
      </c>
      <c r="I91" s="30"/>
      <c r="J91" s="43"/>
      <c r="K91" s="43">
        <v>1</v>
      </c>
      <c r="L91" s="36">
        <f t="shared" si="3"/>
        <v>46</v>
      </c>
    </row>
    <row r="92" spans="2:12" x14ac:dyDescent="0.2">
      <c r="B92" s="11">
        <v>1112003</v>
      </c>
      <c r="C92" s="19" t="s">
        <v>77</v>
      </c>
      <c r="D92" s="30">
        <v>5</v>
      </c>
      <c r="E92" s="30"/>
      <c r="F92" s="30"/>
      <c r="G92" s="30">
        <v>28</v>
      </c>
      <c r="H92" s="30">
        <v>5</v>
      </c>
      <c r="I92" s="30"/>
      <c r="J92" s="43"/>
      <c r="K92" s="43"/>
      <c r="L92" s="36">
        <f t="shared" si="3"/>
        <v>38</v>
      </c>
    </row>
    <row r="93" spans="2:12" x14ac:dyDescent="0.2">
      <c r="B93" s="11">
        <v>1112005</v>
      </c>
      <c r="C93" s="19" t="s">
        <v>78</v>
      </c>
      <c r="D93" s="30">
        <v>8</v>
      </c>
      <c r="E93" s="30"/>
      <c r="F93" s="30"/>
      <c r="G93" s="30">
        <v>28</v>
      </c>
      <c r="H93" s="30">
        <v>5</v>
      </c>
      <c r="I93" s="30"/>
      <c r="J93" s="43"/>
      <c r="K93" s="43">
        <v>10</v>
      </c>
      <c r="L93" s="36">
        <f t="shared" si="3"/>
        <v>51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>
        <v>28</v>
      </c>
      <c r="H97" s="30">
        <v>3</v>
      </c>
      <c r="I97" s="30"/>
      <c r="J97" s="43"/>
      <c r="K97" s="43">
        <v>1</v>
      </c>
      <c r="L97" s="36">
        <f t="shared" si="3"/>
        <v>32</v>
      </c>
    </row>
    <row r="98" spans="2:12" x14ac:dyDescent="0.2">
      <c r="B98" s="11">
        <v>1112013</v>
      </c>
      <c r="C98" s="19" t="s">
        <v>83</v>
      </c>
      <c r="D98" s="30">
        <v>3</v>
      </c>
      <c r="E98" s="30"/>
      <c r="F98" s="30"/>
      <c r="G98" s="30">
        <v>28</v>
      </c>
      <c r="H98" s="30">
        <v>4</v>
      </c>
      <c r="I98" s="30"/>
      <c r="J98" s="43"/>
      <c r="K98" s="43"/>
      <c r="L98" s="36">
        <f t="shared" si="3"/>
        <v>35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>
        <v>4</v>
      </c>
      <c r="F121" s="30"/>
      <c r="G121" s="30">
        <v>10</v>
      </c>
      <c r="H121" s="30"/>
      <c r="I121" s="30"/>
      <c r="J121" s="43"/>
      <c r="K121" s="43"/>
      <c r="L121" s="36">
        <f t="shared" si="5"/>
        <v>14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>
        <v>7</v>
      </c>
      <c r="E123" s="30">
        <v>9</v>
      </c>
      <c r="F123" s="30">
        <v>3</v>
      </c>
      <c r="G123" s="30">
        <v>191</v>
      </c>
      <c r="H123" s="30">
        <v>221</v>
      </c>
      <c r="I123" s="30">
        <v>10</v>
      </c>
      <c r="J123" s="43"/>
      <c r="K123" s="43"/>
      <c r="L123" s="36">
        <f t="shared" si="5"/>
        <v>441</v>
      </c>
    </row>
    <row r="124" spans="2:12" x14ac:dyDescent="0.2">
      <c r="B124" s="11">
        <v>1114502</v>
      </c>
      <c r="C124" s="21" t="s">
        <v>96</v>
      </c>
      <c r="D124" s="30">
        <v>8</v>
      </c>
      <c r="E124" s="30">
        <v>4</v>
      </c>
      <c r="F124" s="30">
        <v>1</v>
      </c>
      <c r="G124" s="30">
        <v>181</v>
      </c>
      <c r="H124" s="30">
        <v>209</v>
      </c>
      <c r="I124" s="30">
        <v>10</v>
      </c>
      <c r="J124" s="43"/>
      <c r="K124" s="43"/>
      <c r="L124" s="36">
        <f t="shared" si="5"/>
        <v>413</v>
      </c>
    </row>
    <row r="125" spans="2:12" x14ac:dyDescent="0.2">
      <c r="B125" s="11">
        <v>1114503</v>
      </c>
      <c r="C125" s="21" t="s">
        <v>97</v>
      </c>
      <c r="D125" s="30">
        <v>7</v>
      </c>
      <c r="E125" s="30">
        <v>3</v>
      </c>
      <c r="F125" s="30">
        <v>1</v>
      </c>
      <c r="G125" s="30">
        <v>181</v>
      </c>
      <c r="H125" s="30">
        <v>206</v>
      </c>
      <c r="I125" s="30">
        <v>10</v>
      </c>
      <c r="J125" s="43"/>
      <c r="K125" s="43"/>
      <c r="L125" s="36">
        <f t="shared" si="5"/>
        <v>408</v>
      </c>
    </row>
    <row r="126" spans="2:12" x14ac:dyDescent="0.2">
      <c r="B126" s="11">
        <v>1124021</v>
      </c>
      <c r="C126" s="21" t="s">
        <v>98</v>
      </c>
      <c r="D126" s="30"/>
      <c r="E126" s="30">
        <v>10</v>
      </c>
      <c r="F126" s="30">
        <v>12</v>
      </c>
      <c r="G126" s="30">
        <v>5</v>
      </c>
      <c r="H126" s="30">
        <v>2</v>
      </c>
      <c r="I126" s="30"/>
      <c r="J126" s="43"/>
      <c r="K126" s="43"/>
      <c r="L126" s="36">
        <f t="shared" si="5"/>
        <v>29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>
        <v>10</v>
      </c>
      <c r="L137" s="36">
        <f t="shared" si="5"/>
        <v>10</v>
      </c>
    </row>
    <row r="138" spans="2:12" x14ac:dyDescent="0.2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zoomScale="60" zoomScaleNormal="60" workbookViewId="0">
      <selection activeCell="D141" sqref="D141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4"/>
  <sheetViews>
    <sheetView zoomScale="60" zoomScaleNormal="60" workbookViewId="0">
      <selection activeCell="B1" sqref="B1:L1"/>
    </sheetView>
  </sheetViews>
  <sheetFormatPr defaultRowHeight="22.5" x14ac:dyDescent="0.2"/>
  <cols>
    <col min="2" max="2" width="22.125" style="23" customWidth="1"/>
    <col min="3" max="3" width="59.125" style="23" customWidth="1"/>
    <col min="4" max="6" width="14.375" style="16" hidden="1" customWidth="1"/>
    <col min="7" max="7" width="14.375" style="16" customWidth="1"/>
    <col min="8" max="11" width="14.375" style="16" hidden="1" customWidth="1"/>
    <col min="12" max="12" width="17.625" style="25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0"/>
      <c r="C141" s="49" t="s">
        <v>143</v>
      </c>
      <c r="D141" s="51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">
      <c r="B142" s="53"/>
      <c r="C142" s="54"/>
      <c r="D142" s="31"/>
      <c r="E142" s="31"/>
      <c r="F142" s="31"/>
      <c r="G142" s="26"/>
      <c r="L142" s="39">
        <f>SUM(L114:L141,L102:L111,L90:L99,L79:L87,L69:L76,L7:L66)</f>
        <v>0</v>
      </c>
    </row>
    <row r="143" spans="2:12" x14ac:dyDescent="0.2">
      <c r="B143" s="53"/>
      <c r="C143" s="54"/>
      <c r="D143" s="31"/>
      <c r="E143" s="31"/>
      <c r="F143" s="31"/>
      <c r="G143" s="26"/>
      <c r="L143" s="39"/>
    </row>
    <row r="144" spans="2:12" x14ac:dyDescent="0.2">
      <c r="B144" s="53"/>
      <c r="C144" s="54"/>
      <c r="D144" s="31"/>
      <c r="E144" s="31"/>
      <c r="F144" s="31"/>
      <c r="G144" s="26"/>
      <c r="L144" s="55"/>
    </row>
    <row r="145" spans="2:12" x14ac:dyDescent="0.2">
      <c r="B145" s="53"/>
      <c r="C145" s="54"/>
      <c r="D145" s="31"/>
      <c r="E145" s="31"/>
      <c r="F145" s="31"/>
      <c r="G145" s="26"/>
      <c r="L145" s="55"/>
    </row>
    <row r="146" spans="2:12" x14ac:dyDescent="0.2">
      <c r="B146" s="61" t="s">
        <v>104</v>
      </c>
      <c r="C146" s="61"/>
      <c r="D146" s="32"/>
      <c r="E146" s="57"/>
      <c r="F146" s="57"/>
      <c r="G146" s="27"/>
      <c r="H146" s="26"/>
      <c r="I146" s="61" t="s">
        <v>104</v>
      </c>
      <c r="J146" s="61"/>
      <c r="K146" s="61"/>
      <c r="L146" s="61"/>
    </row>
    <row r="147" spans="2:12" x14ac:dyDescent="0.2">
      <c r="B147" s="57" t="s">
        <v>105</v>
      </c>
      <c r="C147" s="57"/>
      <c r="D147" s="33"/>
      <c r="E147" s="33"/>
      <c r="F147" s="33"/>
      <c r="G147" s="33"/>
      <c r="H147" s="33"/>
      <c r="I147" s="57" t="s">
        <v>106</v>
      </c>
      <c r="J147" s="57"/>
      <c r="K147" s="57"/>
      <c r="L147" s="57"/>
    </row>
    <row r="148" spans="2:12" x14ac:dyDescent="0.2">
      <c r="B148" s="31"/>
      <c r="C148" s="31"/>
      <c r="D148" s="33"/>
      <c r="E148" s="33"/>
      <c r="F148" s="33"/>
      <c r="G148" s="33"/>
      <c r="H148" s="33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14.25" x14ac:dyDescent="0.2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14.25" x14ac:dyDescent="0.2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ht="14.25" x14ac:dyDescent="0.2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4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  <row r="162" spans="4:8" x14ac:dyDescent="0.2">
      <c r="D162" s="31"/>
      <c r="E162" s="31"/>
      <c r="F162" s="31"/>
      <c r="G162" s="31"/>
      <c r="H162" s="31"/>
    </row>
    <row r="163" spans="4:8" x14ac:dyDescent="0.2">
      <c r="D163" s="31"/>
      <c r="E163" s="31"/>
      <c r="F163" s="31"/>
      <c r="G163" s="31"/>
      <c r="H163" s="31"/>
    </row>
    <row r="164" spans="4:8" x14ac:dyDescent="0.2">
      <c r="D164" s="31"/>
      <c r="E164" s="31"/>
      <c r="F164" s="31"/>
      <c r="G164" s="31"/>
      <c r="H164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7:C147"/>
    <mergeCell ref="I147:L147"/>
    <mergeCell ref="B146:C146"/>
    <mergeCell ref="E146:F146"/>
    <mergeCell ref="I146:L146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6"/>
  <sheetViews>
    <sheetView tabSelected="1" topLeftCell="A96" zoomScale="50" zoomScaleNormal="50" workbookViewId="0">
      <selection activeCell="B1" sqref="B1:Q144"/>
    </sheetView>
  </sheetViews>
  <sheetFormatPr defaultRowHeight="22.5" x14ac:dyDescent="0.2"/>
  <cols>
    <col min="2" max="2" width="22.125" style="23" customWidth="1"/>
    <col min="3" max="3" width="59.125" style="23" customWidth="1"/>
    <col min="4" max="9" width="14.375" style="16" customWidth="1"/>
    <col min="10" max="10" width="14.375" style="16" hidden="1" customWidth="1"/>
    <col min="11" max="11" width="14.375" style="16" customWidth="1"/>
    <col min="12" max="12" width="17.625" style="25" customWidth="1"/>
    <col min="13" max="13" width="16.125" style="23" hidden="1" customWidth="1"/>
    <col min="14" max="15" width="15.375" style="23" hidden="1" customWidth="1"/>
    <col min="16" max="16" width="25.375" style="23" hidden="1" customWidth="1"/>
    <col min="17" max="17" width="14.375" style="28" hidden="1" customWidth="1"/>
    <col min="18" max="18" width="9.125" hidden="1" customWidth="1"/>
    <col min="19" max="19" width="7.375" customWidth="1"/>
    <col min="20" max="20" width="22.75" customWidth="1"/>
  </cols>
  <sheetData>
    <row r="1" spans="2:17" ht="40.5" customHeight="1" x14ac:dyDescent="0.2">
      <c r="B1" s="70" t="s">
        <v>145</v>
      </c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139</v>
      </c>
      <c r="P2" s="67" t="s">
        <v>140</v>
      </c>
      <c r="Q2" s="71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2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135</v>
      </c>
      <c r="L4" s="10" t="s">
        <v>10</v>
      </c>
      <c r="M4" s="69"/>
      <c r="N4" s="69"/>
      <c r="O4" s="69"/>
      <c r="P4" s="69"/>
      <c r="Q4" s="73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0">
        <f>'เย็น '!D7+'เช้า '!D7+บ่าย!D7</f>
        <v>1</v>
      </c>
      <c r="E7" s="30">
        <f>'เย็น '!E7+'เช้า '!E7+บ่าย!E7</f>
        <v>6</v>
      </c>
      <c r="F7" s="30">
        <f>'เย็น '!F7+'เช้า '!F7+บ่าย!F7</f>
        <v>13</v>
      </c>
      <c r="G7" s="30">
        <f>'เย็น '!G7+'เช้า '!G7+บ่าย!G7</f>
        <v>8</v>
      </c>
      <c r="H7" s="30">
        <f>'เย็น '!H7+'เช้า '!H7+บ่าย!H7</f>
        <v>3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31</v>
      </c>
      <c r="M7" s="11"/>
      <c r="N7" s="11">
        <v>88</v>
      </c>
      <c r="O7" s="11">
        <v>70</v>
      </c>
      <c r="P7" s="11">
        <v>80</v>
      </c>
      <c r="Q7" s="44">
        <f>(M7+N7+O7+P7)-L7</f>
        <v>207</v>
      </c>
    </row>
    <row r="8" spans="2:17" hidden="1" x14ac:dyDescent="0.2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 x14ac:dyDescent="0.2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 x14ac:dyDescent="0.2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 x14ac:dyDescent="0.2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 x14ac:dyDescent="0.2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 x14ac:dyDescent="0.2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 x14ac:dyDescent="0.2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 x14ac:dyDescent="0.2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 x14ac:dyDescent="0.2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 x14ac:dyDescent="0.2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 x14ac:dyDescent="0.2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 x14ac:dyDescent="0.2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 x14ac:dyDescent="0.2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 x14ac:dyDescent="0.2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 x14ac:dyDescent="0.2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 x14ac:dyDescent="0.2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 x14ac:dyDescent="0.2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0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2</v>
      </c>
      <c r="M25" s="11"/>
      <c r="N25" s="11">
        <v>25</v>
      </c>
      <c r="O25" s="11">
        <v>15</v>
      </c>
      <c r="P25" s="11">
        <v>15</v>
      </c>
      <c r="Q25" s="44">
        <f t="shared" si="1"/>
        <v>53</v>
      </c>
    </row>
    <row r="26" spans="2:17" x14ac:dyDescent="0.2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2</v>
      </c>
      <c r="F26" s="30">
        <f>'เย็น '!F26+'เช้า '!F26+บ่าย!F26</f>
        <v>0</v>
      </c>
      <c r="G26" s="30">
        <f>'เย็น '!G26+'เช้า '!G26+บ่าย!G26</f>
        <v>72</v>
      </c>
      <c r="H26" s="30">
        <f>'เย็น '!H26+'เช้า '!H26+บ่าย!H26</f>
        <v>18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92</v>
      </c>
      <c r="M26" s="11"/>
      <c r="N26" s="11">
        <v>14</v>
      </c>
      <c r="O26" s="11">
        <v>90</v>
      </c>
      <c r="P26" s="11">
        <v>90</v>
      </c>
      <c r="Q26" s="44">
        <f t="shared" si="1"/>
        <v>102</v>
      </c>
    </row>
    <row r="27" spans="2:17" hidden="1" x14ac:dyDescent="0.2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 x14ac:dyDescent="0.2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 x14ac:dyDescent="0.2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 x14ac:dyDescent="0.2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 x14ac:dyDescent="0.2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 x14ac:dyDescent="0.2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 x14ac:dyDescent="0.2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 x14ac:dyDescent="0.2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 x14ac:dyDescent="0.2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 x14ac:dyDescent="0.2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 x14ac:dyDescent="0.2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 x14ac:dyDescent="0.2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 x14ac:dyDescent="0.2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 hidden="1" x14ac:dyDescent="0.2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 hidden="1" x14ac:dyDescent="0.2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 hidden="1" x14ac:dyDescent="0.2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 hidden="1" x14ac:dyDescent="0.2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 hidden="1" x14ac:dyDescent="0.2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 hidden="1" x14ac:dyDescent="0.2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 hidden="1" x14ac:dyDescent="0.2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 hidden="1" x14ac:dyDescent="0.2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 hidden="1" x14ac:dyDescent="0.2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 hidden="1" x14ac:dyDescent="0.2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 hidden="1" x14ac:dyDescent="0.2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hidden="1" x14ac:dyDescent="0.2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hidden="1" x14ac:dyDescent="0.2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hidden="1" x14ac:dyDescent="0.2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hidden="1" x14ac:dyDescent="0.2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 x14ac:dyDescent="0.2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 x14ac:dyDescent="0.2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3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3</v>
      </c>
      <c r="M56" s="11"/>
      <c r="N56" s="11"/>
      <c r="O56" s="11"/>
      <c r="P56" s="11"/>
      <c r="Q56" s="44">
        <f t="shared" si="1"/>
        <v>-3</v>
      </c>
    </row>
    <row r="57" spans="2:20" x14ac:dyDescent="0.2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3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3</v>
      </c>
      <c r="M57" s="11"/>
      <c r="N57" s="11"/>
      <c r="O57" s="11"/>
      <c r="P57" s="11"/>
      <c r="Q57" s="44">
        <f t="shared" si="1"/>
        <v>-3</v>
      </c>
    </row>
    <row r="58" spans="2:20" x14ac:dyDescent="0.2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3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3</v>
      </c>
      <c r="M58" s="11"/>
      <c r="N58" s="11"/>
      <c r="O58" s="11"/>
      <c r="P58" s="11"/>
      <c r="Q58" s="44">
        <f t="shared" si="1"/>
        <v>-3</v>
      </c>
    </row>
    <row r="59" spans="2:20" x14ac:dyDescent="0.2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3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3</v>
      </c>
      <c r="M59" s="11"/>
      <c r="N59" s="11"/>
      <c r="O59" s="11"/>
      <c r="P59" s="11"/>
      <c r="Q59" s="44">
        <f t="shared" si="1"/>
        <v>-3</v>
      </c>
    </row>
    <row r="60" spans="2:20" x14ac:dyDescent="0.2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3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3</v>
      </c>
      <c r="M60" s="11"/>
      <c r="N60" s="11"/>
      <c r="O60" s="11"/>
      <c r="P60" s="11"/>
      <c r="Q60" s="44">
        <f t="shared" si="1"/>
        <v>-3</v>
      </c>
    </row>
    <row r="61" spans="2:20" x14ac:dyDescent="0.2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3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3</v>
      </c>
      <c r="M61" s="11"/>
      <c r="N61" s="11"/>
      <c r="O61" s="11"/>
      <c r="P61" s="11"/>
      <c r="Q61" s="44">
        <f t="shared" si="1"/>
        <v>-3</v>
      </c>
    </row>
    <row r="62" spans="2:20" x14ac:dyDescent="0.2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3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3</v>
      </c>
      <c r="M62" s="11"/>
      <c r="N62" s="11"/>
      <c r="O62" s="11"/>
      <c r="P62" s="11"/>
      <c r="Q62" s="44">
        <f t="shared" si="1"/>
        <v>-3</v>
      </c>
    </row>
    <row r="63" spans="2:20" x14ac:dyDescent="0.2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3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3</v>
      </c>
      <c r="M63" s="11"/>
      <c r="N63" s="11"/>
      <c r="O63" s="11"/>
      <c r="P63" s="11"/>
      <c r="Q63" s="44">
        <f t="shared" si="1"/>
        <v>-3</v>
      </c>
    </row>
    <row r="64" spans="2:20" x14ac:dyDescent="0.2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3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3</v>
      </c>
      <c r="M64" s="11"/>
      <c r="N64" s="11"/>
      <c r="O64" s="11"/>
      <c r="P64" s="11"/>
      <c r="Q64" s="44">
        <f t="shared" si="1"/>
        <v>-3</v>
      </c>
    </row>
    <row r="65" spans="2:20" x14ac:dyDescent="0.2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3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3</v>
      </c>
      <c r="M65" s="11"/>
      <c r="N65" s="11"/>
      <c r="O65" s="11"/>
      <c r="P65" s="11"/>
      <c r="Q65" s="44">
        <f t="shared" si="1"/>
        <v>-3</v>
      </c>
      <c r="S65" s="47"/>
      <c r="T65" s="45"/>
    </row>
    <row r="66" spans="2:20" x14ac:dyDescent="0.2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19" t="s">
        <v>56</v>
      </c>
      <c r="D69" s="30">
        <f>'เย็น '!D69+'เช้า '!D69+บ่าย!D69</f>
        <v>1</v>
      </c>
      <c r="E69" s="30">
        <f>'เย็น '!E69+'เช้า '!E69+บ่าย!E69</f>
        <v>4</v>
      </c>
      <c r="F69" s="30">
        <f>'เย็น '!F69+'เช้า '!F69+บ่าย!F69</f>
        <v>0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6</v>
      </c>
      <c r="M69" s="11"/>
      <c r="N69" s="11">
        <v>17</v>
      </c>
      <c r="O69" s="11">
        <v>15</v>
      </c>
      <c r="P69" s="11">
        <v>15</v>
      </c>
      <c r="Q69" s="44">
        <f t="shared" ref="Q69:Q76" si="5">(M69+N69+O69+P69)-L69</f>
        <v>41</v>
      </c>
    </row>
    <row r="70" spans="2:20" x14ac:dyDescent="0.2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 x14ac:dyDescent="0.2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>
        <v>4</v>
      </c>
      <c r="O71" s="11"/>
      <c r="P71" s="11"/>
      <c r="Q71" s="44">
        <f t="shared" si="5"/>
        <v>4</v>
      </c>
    </row>
    <row r="72" spans="2:20" x14ac:dyDescent="0.2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 x14ac:dyDescent="0.2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 x14ac:dyDescent="0.2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 x14ac:dyDescent="0.2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 x14ac:dyDescent="0.2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>
        <v>4</v>
      </c>
      <c r="O76" s="11"/>
      <c r="P76" s="11"/>
      <c r="Q76" s="44">
        <f t="shared" si="5"/>
        <v>4</v>
      </c>
    </row>
    <row r="77" spans="2:20" hidden="1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 x14ac:dyDescent="0.2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 x14ac:dyDescent="0.2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 x14ac:dyDescent="0.2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 x14ac:dyDescent="0.2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 x14ac:dyDescent="0.2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 x14ac:dyDescent="0.2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 x14ac:dyDescent="0.2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 x14ac:dyDescent="0.2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6</v>
      </c>
      <c r="F87" s="30">
        <f>'เย็น '!F87+'เช้า '!F87+บ่าย!F87</f>
        <v>0</v>
      </c>
      <c r="G87" s="30">
        <f>'เย็น '!G87+'เช้า '!G87+บ่าย!G87</f>
        <v>70</v>
      </c>
      <c r="H87" s="30">
        <f>'เย็น '!H87+'เช้า '!H87+บ่าย!H87</f>
        <v>30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15</v>
      </c>
      <c r="L87" s="36">
        <f t="shared" si="7"/>
        <v>121</v>
      </c>
      <c r="M87" s="11"/>
      <c r="N87" s="11"/>
      <c r="O87" s="11">
        <v>90</v>
      </c>
      <c r="P87" s="11">
        <v>90</v>
      </c>
      <c r="Q87" s="44">
        <f t="shared" si="8"/>
        <v>59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19" t="s">
        <v>75</v>
      </c>
      <c r="D90" s="30">
        <f>'เย็น '!D90+'เช้า '!D90+บ่าย!D90</f>
        <v>4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28</v>
      </c>
      <c r="H90" s="30">
        <f>'เย็น '!H90+'เช้า '!H90+บ่าย!H90</f>
        <v>5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11</v>
      </c>
      <c r="L90" s="36">
        <f t="shared" ref="L90:L99" si="9">SUM(D90:K90)</f>
        <v>48</v>
      </c>
      <c r="M90" s="11"/>
      <c r="N90" s="11">
        <v>42</v>
      </c>
      <c r="O90" s="11">
        <v>50</v>
      </c>
      <c r="P90" s="11">
        <v>90</v>
      </c>
      <c r="Q90" s="44">
        <f t="shared" ref="Q90:Q100" si="10">(M90+N90+O90+P90)-L90</f>
        <v>134</v>
      </c>
    </row>
    <row r="91" spans="2:17" x14ac:dyDescent="0.2">
      <c r="B91" s="11">
        <v>1112011</v>
      </c>
      <c r="C91" s="19" t="s">
        <v>76</v>
      </c>
      <c r="D91" s="30">
        <f>'เย็น '!D91+'เช้า '!D91+บ่าย!D91</f>
        <v>12</v>
      </c>
      <c r="E91" s="30">
        <f>'เย็น '!E91+'เช้า '!E91+บ่าย!E91</f>
        <v>0</v>
      </c>
      <c r="F91" s="30">
        <f>'เย็น '!F91+'เช้า '!F91+บ่าย!F91</f>
        <v>0</v>
      </c>
      <c r="G91" s="30">
        <f>'เย็น '!G91+'เช้า '!G91+บ่าย!G91</f>
        <v>28</v>
      </c>
      <c r="H91" s="30">
        <f>'เย็น '!H91+'เช้า '!H91+บ่าย!H91</f>
        <v>5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1</v>
      </c>
      <c r="L91" s="36">
        <f t="shared" si="9"/>
        <v>46</v>
      </c>
      <c r="M91" s="11"/>
      <c r="N91" s="11">
        <v>46</v>
      </c>
      <c r="O91" s="11">
        <v>50</v>
      </c>
      <c r="P91" s="11">
        <v>90</v>
      </c>
      <c r="Q91" s="44">
        <f t="shared" si="10"/>
        <v>140</v>
      </c>
    </row>
    <row r="92" spans="2:17" x14ac:dyDescent="0.2">
      <c r="B92" s="11">
        <v>1112003</v>
      </c>
      <c r="C92" s="19" t="s">
        <v>77</v>
      </c>
      <c r="D92" s="30">
        <f>'เย็น '!D92+'เช้า '!D92+บ่าย!D92</f>
        <v>5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28</v>
      </c>
      <c r="H92" s="30">
        <f>'เย็น '!H92+'เช้า '!H92+บ่าย!H92</f>
        <v>5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38</v>
      </c>
      <c r="M92" s="11"/>
      <c r="N92" s="11">
        <v>35</v>
      </c>
      <c r="O92" s="11">
        <v>50</v>
      </c>
      <c r="P92" s="11">
        <v>90</v>
      </c>
      <c r="Q92" s="44">
        <f t="shared" si="10"/>
        <v>137</v>
      </c>
    </row>
    <row r="93" spans="2:17" x14ac:dyDescent="0.2">
      <c r="B93" s="11">
        <v>1112005</v>
      </c>
      <c r="C93" s="19" t="s">
        <v>78</v>
      </c>
      <c r="D93" s="30">
        <f>'เย็น '!D93+'เช้า '!D93+บ่าย!D93</f>
        <v>8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28</v>
      </c>
      <c r="H93" s="30">
        <f>'เย็น '!H93+'เช้า '!H93+บ่าย!H93</f>
        <v>5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10</v>
      </c>
      <c r="L93" s="36">
        <f t="shared" si="9"/>
        <v>51</v>
      </c>
      <c r="M93" s="11"/>
      <c r="N93" s="11"/>
      <c r="O93" s="11">
        <v>50</v>
      </c>
      <c r="P93" s="11">
        <v>90</v>
      </c>
      <c r="Q93" s="44">
        <f t="shared" si="10"/>
        <v>89</v>
      </c>
    </row>
    <row r="94" spans="2:17" x14ac:dyDescent="0.2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 x14ac:dyDescent="0.2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 x14ac:dyDescent="0.2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 x14ac:dyDescent="0.2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28</v>
      </c>
      <c r="H97" s="30">
        <f>'เย็น '!H97+'เช้า '!H97+บ่าย!H97</f>
        <v>3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1</v>
      </c>
      <c r="L97" s="36">
        <f t="shared" si="9"/>
        <v>32</v>
      </c>
      <c r="M97" s="11"/>
      <c r="N97" s="11">
        <v>45</v>
      </c>
      <c r="O97" s="11">
        <v>66</v>
      </c>
      <c r="P97" s="11">
        <v>90</v>
      </c>
      <c r="Q97" s="44">
        <f t="shared" si="10"/>
        <v>169</v>
      </c>
    </row>
    <row r="98" spans="2:17" x14ac:dyDescent="0.2">
      <c r="B98" s="11">
        <v>1112013</v>
      </c>
      <c r="C98" s="19" t="s">
        <v>83</v>
      </c>
      <c r="D98" s="30">
        <f>'เย็น '!D98+'เช้า '!D98+บ่าย!D98</f>
        <v>3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28</v>
      </c>
      <c r="H98" s="30">
        <f>'เย็น '!H98+'เช้า '!H98+บ่าย!H98</f>
        <v>4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35</v>
      </c>
      <c r="M98" s="11"/>
      <c r="N98" s="11">
        <v>20</v>
      </c>
      <c r="O98" s="11">
        <v>21</v>
      </c>
      <c r="P98" s="11">
        <v>90</v>
      </c>
      <c r="Q98" s="44">
        <f t="shared" si="10"/>
        <v>96</v>
      </c>
    </row>
    <row r="99" spans="2:17" x14ac:dyDescent="0.2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>SUM(Q90:Q98)</f>
        <v>765</v>
      </c>
    </row>
    <row r="100" spans="2:17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250</v>
      </c>
      <c r="M100" s="11"/>
      <c r="N100" s="11"/>
      <c r="O100" s="11"/>
      <c r="P100" s="11"/>
      <c r="Q100" s="44">
        <f t="shared" si="10"/>
        <v>-250</v>
      </c>
    </row>
    <row r="101" spans="2:17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hidden="1" x14ac:dyDescent="0.2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 hidden="1" x14ac:dyDescent="0.2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hidden="1" x14ac:dyDescent="0.2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hidden="1" x14ac:dyDescent="0.2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hidden="1" x14ac:dyDescent="0.2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hidden="1" x14ac:dyDescent="0.2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hidden="1" x14ac:dyDescent="0.2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hidden="1" x14ac:dyDescent="0.2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hidden="1" x14ac:dyDescent="0.2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hidden="1" x14ac:dyDescent="0.2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/>
      <c r="N112" s="11"/>
      <c r="O112" s="11"/>
      <c r="P112" s="11"/>
      <c r="Q112" s="44">
        <f t="shared" si="12"/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2" si="13">SUM(D114:K114)</f>
        <v>0</v>
      </c>
      <c r="M114" s="11"/>
      <c r="N114" s="11"/>
      <c r="O114" s="11"/>
      <c r="P114" s="11"/>
      <c r="Q114" s="44">
        <f t="shared" ref="Q114:Q143" si="14">(M114+N114+O114+P114)-L114</f>
        <v>0</v>
      </c>
    </row>
    <row r="115" spans="2:17" x14ac:dyDescent="0.2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>
        <v>3</v>
      </c>
      <c r="O115" s="11"/>
      <c r="P115" s="11">
        <v>26</v>
      </c>
      <c r="Q115" s="44">
        <f t="shared" si="14"/>
        <v>29</v>
      </c>
    </row>
    <row r="116" spans="2:17" x14ac:dyDescent="0.2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>
        <v>21</v>
      </c>
      <c r="Q116" s="44">
        <f t="shared" si="14"/>
        <v>21</v>
      </c>
    </row>
    <row r="117" spans="2:17" x14ac:dyDescent="0.2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 x14ac:dyDescent="0.2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 x14ac:dyDescent="0.2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 x14ac:dyDescent="0.2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>
        <v>10</v>
      </c>
      <c r="O120" s="11"/>
      <c r="P120" s="11"/>
      <c r="Q120" s="44">
        <f t="shared" si="14"/>
        <v>10</v>
      </c>
    </row>
    <row r="121" spans="2:17" x14ac:dyDescent="0.2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4</v>
      </c>
      <c r="F121" s="30">
        <f>'เย็น '!F121+'เช้า '!F121+บ่าย!F121</f>
        <v>0</v>
      </c>
      <c r="G121" s="30">
        <f>'เย็น '!G121+'เช้า '!G121+บ่าย!G121</f>
        <v>10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14</v>
      </c>
      <c r="M121" s="11"/>
      <c r="N121" s="11"/>
      <c r="O121" s="11"/>
      <c r="P121" s="11"/>
      <c r="Q121" s="44">
        <f t="shared" si="14"/>
        <v>-14</v>
      </c>
    </row>
    <row r="122" spans="2:17" x14ac:dyDescent="0.2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 x14ac:dyDescent="0.2">
      <c r="B123" s="11">
        <v>1114501</v>
      </c>
      <c r="C123" s="21" t="s">
        <v>95</v>
      </c>
      <c r="D123" s="30">
        <f>'เย็น '!D123+'เช้า '!D123+บ่าย!D123</f>
        <v>7</v>
      </c>
      <c r="E123" s="30">
        <f>'เย็น '!E123+'เช้า '!E123+บ่าย!E123</f>
        <v>9</v>
      </c>
      <c r="F123" s="30">
        <f>'เย็น '!F123+'เช้า '!F123+บ่าย!F123</f>
        <v>3</v>
      </c>
      <c r="G123" s="30">
        <f>'เย็น '!G123+'เช้า '!G123+บ่าย!G123</f>
        <v>191</v>
      </c>
      <c r="H123" s="30">
        <f>'เย็น '!H123+'เช้า '!H123+บ่าย!H123</f>
        <v>221</v>
      </c>
      <c r="I123" s="30">
        <f>'เย็น '!I123+'เช้า '!I123+บ่าย!I123</f>
        <v>10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441</v>
      </c>
      <c r="M123" s="11"/>
      <c r="N123" s="11">
        <v>26</v>
      </c>
      <c r="O123" s="11">
        <v>153</v>
      </c>
      <c r="P123" s="11">
        <v>800</v>
      </c>
      <c r="Q123" s="44">
        <f t="shared" si="14"/>
        <v>538</v>
      </c>
    </row>
    <row r="124" spans="2:17" x14ac:dyDescent="0.2">
      <c r="B124" s="11">
        <v>1114502</v>
      </c>
      <c r="C124" s="21" t="s">
        <v>96</v>
      </c>
      <c r="D124" s="30">
        <f>'เย็น '!D124+'เช้า '!D124+บ่าย!D124</f>
        <v>8</v>
      </c>
      <c r="E124" s="30">
        <f>'เย็น '!E124+'เช้า '!E124+บ่าย!E124</f>
        <v>4</v>
      </c>
      <c r="F124" s="30">
        <f>'เย็น '!F124+'เช้า '!F124+บ่าย!F124</f>
        <v>1</v>
      </c>
      <c r="G124" s="30">
        <f>'เย็น '!G124+'เช้า '!G124+บ่าย!G124</f>
        <v>181</v>
      </c>
      <c r="H124" s="30">
        <f>'เย็น '!H124+'เช้า '!H124+บ่าย!H124</f>
        <v>209</v>
      </c>
      <c r="I124" s="30">
        <f>'เย็น '!I124+'เช้า '!I124+บ่าย!I124</f>
        <v>10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413</v>
      </c>
      <c r="M124" s="11"/>
      <c r="N124" s="11"/>
      <c r="O124" s="11">
        <v>755</v>
      </c>
      <c r="P124" s="11">
        <v>500</v>
      </c>
      <c r="Q124" s="44">
        <f t="shared" si="14"/>
        <v>842</v>
      </c>
    </row>
    <row r="125" spans="2:17" x14ac:dyDescent="0.2">
      <c r="B125" s="11">
        <v>1114503</v>
      </c>
      <c r="C125" s="21" t="s">
        <v>97</v>
      </c>
      <c r="D125" s="30">
        <f>'เย็น '!D125+'เช้า '!D125+บ่าย!D125</f>
        <v>7</v>
      </c>
      <c r="E125" s="30">
        <f>'เย็น '!E125+'เช้า '!E125+บ่าย!E125</f>
        <v>3</v>
      </c>
      <c r="F125" s="30">
        <f>'เย็น '!F125+'เช้า '!F125+บ่าย!F125</f>
        <v>1</v>
      </c>
      <c r="G125" s="30">
        <f>'เย็น '!G125+'เช้า '!G125+บ่าย!G125</f>
        <v>181</v>
      </c>
      <c r="H125" s="30">
        <f>'เย็น '!H125+'เช้า '!H125+บ่าย!H125</f>
        <v>206</v>
      </c>
      <c r="I125" s="30">
        <f>'เย็น '!I125+'เช้า '!I125+บ่าย!I125</f>
        <v>10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408</v>
      </c>
      <c r="M125" s="11"/>
      <c r="N125" s="11">
        <v>165</v>
      </c>
      <c r="O125" s="11">
        <v>259</v>
      </c>
      <c r="P125" s="11">
        <v>500</v>
      </c>
      <c r="Q125" s="44">
        <f t="shared" si="14"/>
        <v>516</v>
      </c>
    </row>
    <row r="126" spans="2:17" x14ac:dyDescent="0.2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10</v>
      </c>
      <c r="F126" s="30">
        <f>'เย็น '!F126+'เช้า '!F126+บ่าย!F126</f>
        <v>12</v>
      </c>
      <c r="G126" s="30">
        <f>'เย็น '!G126+'เช้า '!G126+บ่าย!G126</f>
        <v>5</v>
      </c>
      <c r="H126" s="30">
        <f>'เย็น '!H126+'เช้า '!H126+บ่าย!H126</f>
        <v>2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29</v>
      </c>
      <c r="M126" s="11"/>
      <c r="N126" s="11"/>
      <c r="O126" s="11">
        <v>23</v>
      </c>
      <c r="P126" s="11">
        <v>30</v>
      </c>
      <c r="Q126" s="44">
        <f t="shared" si="14"/>
        <v>24</v>
      </c>
    </row>
    <row r="127" spans="2:17" hidden="1" x14ac:dyDescent="0.2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hidden="1" x14ac:dyDescent="0.2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 hidden="1" x14ac:dyDescent="0.2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 hidden="1" x14ac:dyDescent="0.2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 hidden="1" x14ac:dyDescent="0.2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 hidden="1" x14ac:dyDescent="0.2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 hidden="1" x14ac:dyDescent="0.2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 hidden="1" x14ac:dyDescent="0.2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 x14ac:dyDescent="0.2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 x14ac:dyDescent="0.2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 x14ac:dyDescent="0.2">
      <c r="B137" s="22">
        <v>20052721</v>
      </c>
      <c r="C137" s="21" t="s">
        <v>141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10</v>
      </c>
      <c r="L137" s="36">
        <f t="shared" si="13"/>
        <v>10</v>
      </c>
      <c r="M137" s="11"/>
      <c r="N137" s="11"/>
      <c r="O137" s="11"/>
      <c r="P137" s="11"/>
      <c r="Q137" s="44">
        <f t="shared" si="14"/>
        <v>-10</v>
      </c>
    </row>
    <row r="138" spans="2:17" x14ac:dyDescent="0.2">
      <c r="B138" s="50">
        <v>1004046</v>
      </c>
      <c r="C138" s="49" t="s">
        <v>142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 x14ac:dyDescent="0.2">
      <c r="B139" s="50"/>
      <c r="C139" s="49" t="s">
        <v>137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 x14ac:dyDescent="0.2">
      <c r="B140" s="50"/>
      <c r="C140" s="49" t="s">
        <v>138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x14ac:dyDescent="0.2">
      <c r="B141" s="50"/>
      <c r="C141" s="49" t="s">
        <v>143</v>
      </c>
      <c r="D141" s="30">
        <f>'เย็น '!D141+'เช้า '!D141+บ่าย!D141</f>
        <v>0</v>
      </c>
      <c r="E141" s="30">
        <f>'เย็น '!E141+'เช้า '!E141+บ่าย!E141</f>
        <v>0</v>
      </c>
      <c r="F141" s="30">
        <f>'เย็น '!F141+'เช้า '!F141+บ่าย!F141</f>
        <v>0</v>
      </c>
      <c r="G141" s="30">
        <f>'เย็น '!G141+'เช้า '!G141+บ่าย!G141</f>
        <v>0</v>
      </c>
      <c r="H141" s="30">
        <f>'เย็น '!H141+'เช้า '!H141+บ่าย!H141</f>
        <v>0</v>
      </c>
      <c r="I141" s="30">
        <f>'เย็น '!I141+'เช้า '!I141+บ่าย!I141</f>
        <v>0</v>
      </c>
      <c r="J141" s="30">
        <f>'เย็น '!J141+'เช้า '!J141+บ่าย!J141</f>
        <v>0</v>
      </c>
      <c r="K141" s="30">
        <f>'เย็น '!K141+'เช้า '!K141+บ่าย!K141</f>
        <v>0</v>
      </c>
      <c r="L141" s="36">
        <f t="shared" si="13"/>
        <v>0</v>
      </c>
      <c r="M141" s="12"/>
      <c r="N141" s="12"/>
      <c r="O141" s="12"/>
      <c r="P141" s="12"/>
      <c r="Q141" s="44">
        <f t="shared" si="14"/>
        <v>0</v>
      </c>
    </row>
    <row r="142" spans="2:17" x14ac:dyDescent="0.2">
      <c r="B142" s="50"/>
      <c r="C142" s="49"/>
      <c r="D142" s="30">
        <f>'เย็น '!D142+'เช้า '!D142+บ่าย!D142</f>
        <v>0</v>
      </c>
      <c r="E142" s="30">
        <f>'เย็น '!E142+'เช้า '!E142+บ่าย!E142</f>
        <v>0</v>
      </c>
      <c r="F142" s="30">
        <f>'เย็น '!F142+'เช้า '!F142+บ่าย!F142</f>
        <v>0</v>
      </c>
      <c r="G142" s="30">
        <f>'เย็น '!G142+'เช้า '!G142+บ่าย!G142</f>
        <v>0</v>
      </c>
      <c r="H142" s="30">
        <f>'เย็น '!H142+'เช้า '!H142+บ่าย!H142</f>
        <v>0</v>
      </c>
      <c r="I142" s="30">
        <f>'เย็น '!I142+'เช้า '!I142+บ่าย!I142</f>
        <v>0</v>
      </c>
      <c r="J142" s="30">
        <f>'เย็น '!J142+'เช้า '!J142+บ่าย!J142</f>
        <v>0</v>
      </c>
      <c r="K142" s="30">
        <f>'เย็น '!K142+'เช้า '!K142+บ่าย!K142</f>
        <v>0</v>
      </c>
      <c r="L142" s="36">
        <f t="shared" si="13"/>
        <v>0</v>
      </c>
      <c r="M142" s="12"/>
      <c r="N142" s="12"/>
      <c r="O142" s="12"/>
      <c r="P142" s="12"/>
      <c r="Q142" s="44">
        <f t="shared" si="14"/>
        <v>0</v>
      </c>
    </row>
    <row r="143" spans="2:17" x14ac:dyDescent="0.2">
      <c r="B143" s="50"/>
      <c r="C143" s="49"/>
      <c r="D143" s="30">
        <f>'เย็น '!D143+'เช้า '!D143+บ่าย!D143</f>
        <v>0</v>
      </c>
      <c r="E143" s="30">
        <f>'เย็น '!E143+'เช้า '!E143+บ่าย!E143</f>
        <v>0</v>
      </c>
      <c r="F143" s="30">
        <f>'เย็น '!F143+'เช้า '!F143+บ่าย!F143</f>
        <v>0</v>
      </c>
      <c r="G143" s="30">
        <f>'เย็น '!G143+'เช้า '!G143+บ่าย!G143</f>
        <v>0</v>
      </c>
      <c r="H143" s="30">
        <f>'เย็น '!H143+'เช้า '!H143+บ่าย!H143</f>
        <v>0</v>
      </c>
      <c r="I143" s="30"/>
      <c r="J143" s="30">
        <f>'เย็น '!J143+'เช้า '!J143+บ่าย!J143</f>
        <v>0</v>
      </c>
      <c r="K143" s="30">
        <f>'เย็น '!K143+'เช้า '!K143+บ่าย!K143</f>
        <v>0</v>
      </c>
      <c r="L143" s="36"/>
      <c r="M143" s="12"/>
      <c r="N143" s="12"/>
      <c r="O143" s="12"/>
      <c r="P143" s="12"/>
      <c r="Q143" s="44">
        <f t="shared" si="14"/>
        <v>0</v>
      </c>
    </row>
    <row r="144" spans="2:17" ht="40.5" customHeight="1" x14ac:dyDescent="0.2">
      <c r="B144" s="11"/>
      <c r="C144" s="21"/>
      <c r="D144" s="36">
        <f t="shared" ref="D144:K144" si="15">SUM(D114:D142,D90:D99,D79:D87,D69:D76,D7:D66,D102:D111)</f>
        <v>57</v>
      </c>
      <c r="E144" s="36">
        <f t="shared" si="15"/>
        <v>48</v>
      </c>
      <c r="F144" s="36">
        <f t="shared" si="15"/>
        <v>60</v>
      </c>
      <c r="G144" s="36">
        <f t="shared" si="15"/>
        <v>888</v>
      </c>
      <c r="H144" s="36">
        <f t="shared" si="15"/>
        <v>716</v>
      </c>
      <c r="I144" s="36">
        <f t="shared" si="15"/>
        <v>30</v>
      </c>
      <c r="J144" s="36">
        <f t="shared" si="15"/>
        <v>0</v>
      </c>
      <c r="K144" s="36">
        <f t="shared" si="15"/>
        <v>48</v>
      </c>
      <c r="L144" s="36">
        <f>SUM(L114:L142,L90:L99,L79:L87,L69:L76,L7:L66,L102:L111)</f>
        <v>1847</v>
      </c>
      <c r="M144" s="36">
        <f>SUM(M114:M140,M90:M99,M79:M87,M69:M76,M7:M66,M102:M111)</f>
        <v>0</v>
      </c>
      <c r="N144" s="36">
        <f t="shared" ref="N144" si="16">SUM(N114:N140,N90:N99,N79:N87,N69:N76,N7:N66,N102:N111)</f>
        <v>544</v>
      </c>
      <c r="O144" s="36">
        <f t="shared" ref="O144" si="17">SUM(O114:O140,O90:O99,O79:O87,O69:O76,O7:O66,O102:O111)</f>
        <v>1757</v>
      </c>
      <c r="P144" s="36">
        <f t="shared" ref="P144" si="18">SUM(P114:P140,P90:P99,P79:P87,P69:P76,P7:P66,P102:P111)</f>
        <v>2707</v>
      </c>
      <c r="Q144" s="36">
        <f t="shared" ref="Q144" si="19">SUM(Q114:Q140,Q90:Q99,Q79:Q87,Q69:Q76,Q7:Q66,Q102:Q111)</f>
        <v>3926</v>
      </c>
    </row>
    <row r="145" spans="2:12" x14ac:dyDescent="0.2">
      <c r="B145" s="37"/>
      <c r="C145" s="35"/>
      <c r="D145" s="38"/>
      <c r="E145" s="38"/>
      <c r="F145" s="38"/>
      <c r="G145" s="38"/>
      <c r="H145" s="38"/>
      <c r="I145" s="38"/>
      <c r="J145" s="38"/>
      <c r="K145" s="38"/>
      <c r="L145" s="39"/>
    </row>
    <row r="146" spans="2:12" x14ac:dyDescent="0.2">
      <c r="B146" s="37"/>
      <c r="C146" s="35"/>
      <c r="D146" s="38"/>
      <c r="E146" s="38"/>
      <c r="F146" s="38"/>
      <c r="G146" s="38"/>
      <c r="H146" s="38"/>
      <c r="I146" s="38"/>
      <c r="J146" s="38"/>
      <c r="K146" s="38"/>
      <c r="L146" s="39"/>
    </row>
    <row r="147" spans="2:12" x14ac:dyDescent="0.2">
      <c r="C147" s="24"/>
      <c r="D147" s="31"/>
      <c r="E147" s="61"/>
      <c r="F147" s="61"/>
      <c r="G147" s="26"/>
      <c r="L147" s="40"/>
    </row>
    <row r="148" spans="2:12" x14ac:dyDescent="0.2">
      <c r="B148" s="61" t="s">
        <v>104</v>
      </c>
      <c r="C148" s="61"/>
      <c r="D148" s="32"/>
      <c r="E148" s="57"/>
      <c r="F148" s="57"/>
      <c r="G148" s="27"/>
      <c r="H148" s="26"/>
      <c r="I148" s="61" t="s">
        <v>104</v>
      </c>
      <c r="J148" s="61"/>
      <c r="K148" s="61"/>
      <c r="L148" s="61"/>
    </row>
    <row r="149" spans="2:12" x14ac:dyDescent="0.2">
      <c r="B149" s="57" t="s">
        <v>105</v>
      </c>
      <c r="C149" s="57"/>
      <c r="D149" s="33"/>
      <c r="E149" s="33"/>
      <c r="F149" s="33"/>
      <c r="G149" s="33"/>
      <c r="H149" s="33"/>
      <c r="I149" s="57" t="s">
        <v>106</v>
      </c>
      <c r="J149" s="57"/>
      <c r="K149" s="57"/>
      <c r="L149" s="57"/>
    </row>
    <row r="150" spans="2:12" x14ac:dyDescent="0.2">
      <c r="B150" s="31"/>
      <c r="C150" s="31"/>
      <c r="D150" s="33"/>
      <c r="E150" s="33"/>
      <c r="F150" s="33"/>
      <c r="G150" s="33"/>
      <c r="H150" s="33"/>
      <c r="I150" s="31"/>
      <c r="J150" s="31"/>
      <c r="K150" s="31"/>
      <c r="L150" s="34"/>
    </row>
    <row r="151" spans="2:12" ht="19.5" x14ac:dyDescent="0.2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19.5" x14ac:dyDescent="0.2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ht="19.5" x14ac:dyDescent="0.2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4"/>
    </row>
    <row r="154" spans="2:12" ht="19.5" x14ac:dyDescent="0.2"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4"/>
    </row>
    <row r="155" spans="2:12" ht="19.5" x14ac:dyDescent="0.2"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4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  <row r="162" spans="4:8" x14ac:dyDescent="0.2">
      <c r="D162" s="31"/>
      <c r="E162" s="31"/>
      <c r="F162" s="31"/>
      <c r="G162" s="31"/>
      <c r="H162" s="31"/>
    </row>
    <row r="163" spans="4:8" x14ac:dyDescent="0.2">
      <c r="D163" s="31"/>
      <c r="E163" s="31"/>
      <c r="F163" s="31"/>
      <c r="G163" s="31"/>
      <c r="H163" s="31"/>
    </row>
    <row r="164" spans="4:8" x14ac:dyDescent="0.2">
      <c r="D164" s="31"/>
      <c r="E164" s="31"/>
      <c r="F164" s="31"/>
      <c r="G164" s="31"/>
      <c r="H164" s="31"/>
    </row>
    <row r="165" spans="4:8" x14ac:dyDescent="0.2">
      <c r="D165" s="31"/>
      <c r="E165" s="31"/>
      <c r="F165" s="31"/>
      <c r="G165" s="31"/>
      <c r="H165" s="31"/>
    </row>
    <row r="166" spans="4:8" x14ac:dyDescent="0.2">
      <c r="D166" s="31"/>
      <c r="E166" s="31"/>
      <c r="F166" s="31"/>
      <c r="G166" s="31"/>
      <c r="H166" s="31"/>
    </row>
  </sheetData>
  <mergeCells count="20">
    <mergeCell ref="B149:C149"/>
    <mergeCell ref="I149:L149"/>
    <mergeCell ref="B101:Q101"/>
    <mergeCell ref="B113:Q113"/>
    <mergeCell ref="E147:F147"/>
    <mergeCell ref="B148:C148"/>
    <mergeCell ref="E148:F148"/>
    <mergeCell ref="I148:L148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2025-06-13T01:03:30Z</cp:lastPrinted>
  <dcterms:created xsi:type="dcterms:W3CDTF">2024-04-30T05:21:27Z</dcterms:created>
  <dcterms:modified xsi:type="dcterms:W3CDTF">2025-06-13T01:05:04Z</dcterms:modified>
</cp:coreProperties>
</file>