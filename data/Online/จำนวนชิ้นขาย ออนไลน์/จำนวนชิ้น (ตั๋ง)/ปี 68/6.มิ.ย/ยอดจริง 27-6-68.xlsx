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902F1C94-EEEA-417B-82A8-32A9BDDE525C}" xr6:coauthVersionLast="47" xr6:coauthVersionMax="47" xr10:uidLastSave="{00000000-0000-0000-0000-000000000000}"/>
  <bookViews>
    <workbookView xWindow="2616" yWindow="2616" windowWidth="17244" windowHeight="8880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45" i="5" l="1"/>
  <c r="R147" i="5"/>
  <c r="R140" i="5"/>
  <c r="R136" i="5"/>
  <c r="R146" i="5"/>
  <c r="R142" i="5"/>
  <c r="R138" i="5"/>
  <c r="R144" i="5"/>
  <c r="R148" i="5"/>
  <c r="R134" i="5"/>
  <c r="R143" i="5"/>
  <c r="R139" i="5"/>
  <c r="R135" i="5"/>
  <c r="R151" i="5"/>
  <c r="R141" i="5"/>
  <c r="R137" i="5"/>
  <c r="R133" i="5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1" i="5"/>
  <c r="R132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F152" i="5" l="1"/>
  <c r="K152" i="5"/>
  <c r="I152" i="5"/>
  <c r="H152" i="5"/>
  <c r="G152" i="5"/>
  <c r="D152" i="5"/>
  <c r="E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<sst xmlns="http://schemas.openxmlformats.org/spreadsheetml/2006/main" count="629" uniqueCount="151">
  <si>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</si>
  <si>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</si>
  <si>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</si>
  <si>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</si>
  <si>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</si>
  <si>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</si>
  <si>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</si>
  <si>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</si>
  <si>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</si>
  <si>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</si>
  <si>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</si>
  <si>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</si>
  <si>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</si>
  <si>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</si>
  <si>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</si>
  <si>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</si>
  <si>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</si>
  <si>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</si>
  <si>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</si>
  <si>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</si>
  <si>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</si>
  <si>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</si>
  <si>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</si>
  <si>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</si>
  <si>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</si>
  <si>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</si>
  <si>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</si>
  <si>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</si>
  <si>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</si>
  <si>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</si>
  <si>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</si>
  <si>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</si>
  <si>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</si>
  <si>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</si>
  <si>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</si>
  <si>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</si>
  <si>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</si>
  <si>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</si>
  <si>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</si>
  <si>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</si>
  <si>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</si>
  <si>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</si>
  <si>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</si>
  <si>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</si>
  <si>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</si>
  <si>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</si>
  <si>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</si>
  <si>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</si>
  <si>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</si>
  <si>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</si>
  <si>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</si>
  <si>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</si>
  <si>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</si>
  <si>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</si>
  <si>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</si>
  <si>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</si>
  <si>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</si>
  <si>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</si>
  <si>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</si>
  <si>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</si>
  <si>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</si>
  <si>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</si>
  <si>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</si>
  <si>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</si>
  <si>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</si>
  <si>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</si>
  <si>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</si>
  <si>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</si>
  <si>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</si>
  <si>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</si>
  <si>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</si>
  <si>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</si>
  <si>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</si>
  <si>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</si>
  <si>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</si>
  <si>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</si>
  <si>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</si>
  <si>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</si>
  <si>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</si>
  <si>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</si>
  <si>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</si>
  <si>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</si>
  <si>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</si>
  <si>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</si>
  <si>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</si>
  <si>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</si>
  <si>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</si>
  <si>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</si>
  <si>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</si>
  <si>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</si>
  <si>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</si>
  <si>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</si>
  <si>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</si>
  <si>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</si>
  <si>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</si>
  <si>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</si>
  <si>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</si>
  <si>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</si>
  <si>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</si>
  <si>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</si>
  <si>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</si>
  <si>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</si>
  <si>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</si>
  <si>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</si>
  <si>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</si>
  <si>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</si>
  <si>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</si>
  <si>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</si>
  <si>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</si>
  <si>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</si>
  <si>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</si>
  <si>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</si>
  <si>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</si>
  <si>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</si>
  <si>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</si>
  <si>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</si>
  <si>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</si>
  <si>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</si>
  <si>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</si>
  <si>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</si>
  <si>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</si>
  <si>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</si>
  <si>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</si>
  <si>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</si>
  <si>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</si>
  <si>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</si>
  <si>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</si>
  <si>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</si>
  <si>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</si>
  <si>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</si>
  <si>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</si>
  <si>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</si>
  <si>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</si>
  <si>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</si>
  <si>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</si>
  <si>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</si>
  <si>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</si>
  <si>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</si>
  <si>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</si>
  <si>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</si>
  <si>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</si>
  <si>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</si>
  <si>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</si>
  <si>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</si>
  <si>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</si>
  <si>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</si>
  <si>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</si>
  <si>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</si>
  <si>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 27-6-68เช้า</t>
  </si>
  <si>
    <t>ยอดจริง ออนไลน์ วันที่ 27-6-68 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</si>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</sst>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H127" sqref="H127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148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>
        <v>1</v>
      </c>
      <c r="E7" s="30">
        <v>5</v>
      </c>
      <c r="F7" s="30">
        <v>16</v>
      </c>
      <c r="G7" s="30">
        <v>4</v>
      </c>
      <c r="H7" s="30">
        <v>31</v>
      </c>
      <c r="I7" s="30"/>
      <c r="J7" s="43"/>
      <c r="K7" s="43"/>
      <c r="L7" s="36">
        <f>SUM(D7:K7)</f>
        <v>57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13</v>
      </c>
      <c r="F25" s="30">
        <v>2</v>
      </c>
      <c r="G25" s="30"/>
      <c r="H25" s="30">
        <v>3</v>
      </c>
      <c r="I25" s="30"/>
      <c r="J25" s="43"/>
      <c r="K25" s="43"/>
      <c r="L25" s="36">
        <f t="shared" si="0"/>
        <v>18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>
        <v>43</v>
      </c>
      <c r="H26" s="30">
        <v>46</v>
      </c>
      <c r="I26" s="30"/>
      <c r="J26" s="43"/>
      <c r="K26" s="43"/>
      <c r="L26" s="36">
        <f t="shared" si="0"/>
        <v>89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164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>
        <v>2</v>
      </c>
      <c r="E69" s="30">
        <v>1</v>
      </c>
      <c r="F69" s="30">
        <v>6</v>
      </c>
      <c r="G69" s="30">
        <v>1</v>
      </c>
      <c r="H69" s="30">
        <v>1</v>
      </c>
      <c r="I69" s="30"/>
      <c r="J69" s="43"/>
      <c r="K69" s="43"/>
      <c r="L69" s="36">
        <f t="shared" ref="L69:L76" si="1">SUM(D69:K69)</f>
        <v>11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</v>
      </c>
      <c r="E87" s="30">
        <v>12</v>
      </c>
      <c r="F87" s="30"/>
      <c r="G87" s="30">
        <v>24</v>
      </c>
      <c r="H87" s="30">
        <v>36</v>
      </c>
      <c r="I87" s="30"/>
      <c r="J87" s="43"/>
      <c r="K87" s="43"/>
      <c r="L87" s="36">
        <f t="shared" si="2"/>
        <v>73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73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4</v>
      </c>
      <c r="E90" s="30"/>
      <c r="F90" s="30">
        <v>2</v>
      </c>
      <c r="G90" s="30">
        <v>17</v>
      </c>
      <c r="H90" s="30">
        <v>15</v>
      </c>
      <c r="I90" s="30"/>
      <c r="J90" s="43"/>
      <c r="K90" s="43"/>
      <c r="L90" s="36">
        <f t="shared" ref="L90:L99" si="3">SUM(D90:K90)</f>
        <v>38</v>
      </c>
    </row>
    <row r="91" spans="2:12" x14ac:dyDescent="0.25">
      <c r="B91" s="11">
        <v>1112011</v>
      </c>
      <c r="C91" s="19" t="s">
        <v>76</v>
      </c>
      <c r="D91" s="30">
        <v>4</v>
      </c>
      <c r="E91" s="30"/>
      <c r="F91" s="30">
        <v>2</v>
      </c>
      <c r="G91" s="30">
        <v>17</v>
      </c>
      <c r="H91" s="30">
        <v>15</v>
      </c>
      <c r="I91" s="30"/>
      <c r="J91" s="43"/>
      <c r="K91" s="43"/>
      <c r="L91" s="36">
        <f t="shared" si="3"/>
        <v>38</v>
      </c>
    </row>
    <row r="92" spans="2:12" x14ac:dyDescent="0.25">
      <c r="B92" s="11">
        <v>1112003</v>
      </c>
      <c r="C92" s="19" t="s">
        <v>77</v>
      </c>
      <c r="D92" s="30">
        <v>3</v>
      </c>
      <c r="E92" s="30"/>
      <c r="F92" s="30">
        <v>2</v>
      </c>
      <c r="G92" s="30">
        <v>17</v>
      </c>
      <c r="H92" s="30">
        <v>15</v>
      </c>
      <c r="I92" s="30"/>
      <c r="J92" s="43"/>
      <c r="K92" s="43"/>
      <c r="L92" s="36">
        <f t="shared" si="3"/>
        <v>37</v>
      </c>
    </row>
    <row r="93" spans="2:12" x14ac:dyDescent="0.25">
      <c r="B93" s="11">
        <v>1112005</v>
      </c>
      <c r="C93" s="19" t="s">
        <v>78</v>
      </c>
      <c r="D93" s="30">
        <v>3</v>
      </c>
      <c r="E93" s="30"/>
      <c r="F93" s="30">
        <v>1</v>
      </c>
      <c r="G93" s="30">
        <v>17</v>
      </c>
      <c r="H93" s="30">
        <v>14</v>
      </c>
      <c r="I93" s="30"/>
      <c r="J93" s="43"/>
      <c r="K93" s="43"/>
      <c r="L93" s="36">
        <f t="shared" si="3"/>
        <v>35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3</v>
      </c>
      <c r="E97" s="30"/>
      <c r="F97" s="30">
        <v>1</v>
      </c>
      <c r="G97" s="30">
        <v>17</v>
      </c>
      <c r="H97" s="30">
        <v>14</v>
      </c>
      <c r="I97" s="30"/>
      <c r="J97" s="43"/>
      <c r="K97" s="43"/>
      <c r="L97" s="36">
        <f t="shared" si="3"/>
        <v>35</v>
      </c>
    </row>
    <row r="98" spans="2:12" x14ac:dyDescent="0.25">
      <c r="B98" s="11">
        <v>1112013</v>
      </c>
      <c r="C98" s="19" t="s">
        <v>83</v>
      </c>
      <c r="D98" s="30">
        <v>3</v>
      </c>
      <c r="E98" s="30"/>
      <c r="F98" s="30">
        <v>1</v>
      </c>
      <c r="G98" s="30">
        <v>18</v>
      </c>
      <c r="H98" s="30">
        <v>14</v>
      </c>
      <c r="I98" s="30"/>
      <c r="J98" s="43"/>
      <c r="K98" s="43"/>
      <c r="L98" s="36">
        <f t="shared" si="3"/>
        <v>36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219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6</v>
      </c>
      <c r="E123" s="30">
        <v>8</v>
      </c>
      <c r="F123" s="30"/>
      <c r="G123" s="30">
        <v>230</v>
      </c>
      <c r="H123" s="30">
        <v>74</v>
      </c>
      <c r="I123" s="30"/>
      <c r="J123" s="43"/>
      <c r="K123" s="43"/>
      <c r="L123" s="36">
        <f t="shared" si="5"/>
        <v>318</v>
      </c>
    </row>
    <row r="124" spans="2:12" x14ac:dyDescent="0.25">
      <c r="B124" s="11">
        <v>1114502</v>
      </c>
      <c r="C124" s="21" t="s">
        <v>96</v>
      </c>
      <c r="D124" s="30">
        <v>4</v>
      </c>
      <c r="E124" s="30">
        <v>1</v>
      </c>
      <c r="F124" s="30">
        <v>3</v>
      </c>
      <c r="G124" s="30">
        <v>215</v>
      </c>
      <c r="H124" s="30">
        <v>68</v>
      </c>
      <c r="I124" s="30"/>
      <c r="J124" s="43"/>
      <c r="K124" s="43"/>
      <c r="L124" s="36">
        <f t="shared" si="5"/>
        <v>291</v>
      </c>
    </row>
    <row r="125" spans="2:12" x14ac:dyDescent="0.25">
      <c r="B125" s="11">
        <v>1114503</v>
      </c>
      <c r="C125" s="21" t="s">
        <v>97</v>
      </c>
      <c r="D125" s="30">
        <v>4</v>
      </c>
      <c r="E125" s="30">
        <v>1</v>
      </c>
      <c r="F125" s="30"/>
      <c r="G125" s="30">
        <v>200</v>
      </c>
      <c r="H125" s="30">
        <v>65</v>
      </c>
      <c r="I125" s="30"/>
      <c r="J125" s="43"/>
      <c r="K125" s="43"/>
      <c r="L125" s="36">
        <f t="shared" si="5"/>
        <v>270</v>
      </c>
    </row>
    <row r="126" spans="2:12" x14ac:dyDescent="0.25">
      <c r="B126" s="11">
        <v>1124021</v>
      </c>
      <c r="C126" s="21" t="s">
        <v>98</v>
      </c>
      <c r="D126" s="30"/>
      <c r="E126" s="30">
        <v>15</v>
      </c>
      <c r="F126" s="30"/>
      <c r="G126" s="30">
        <v>9</v>
      </c>
      <c r="H126" s="30">
        <v>10</v>
      </c>
      <c r="I126" s="30"/>
      <c r="J126" s="43"/>
      <c r="K126" s="43"/>
      <c r="L126" s="36">
        <f t="shared" si="5"/>
        <v>34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10</v>
      </c>
      <c r="L137" s="36">
        <f t="shared" si="5"/>
        <v>10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6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A114" zoomScale="50" zoomScaleNormal="50" workbookViewId="0">
      <selection activeCell="A114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9" t="s">
        <v>149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8" x14ac:dyDescent="0.25">
      <c r="B2" s="80"/>
      <c r="C2" s="81"/>
      <c r="D2" s="1"/>
      <c r="E2" s="82"/>
      <c r="F2" s="82"/>
      <c r="G2" s="2"/>
      <c r="H2" s="2"/>
      <c r="I2" s="2"/>
      <c r="J2" s="2"/>
      <c r="K2" s="2"/>
      <c r="L2" s="2"/>
      <c r="M2" s="3" t="s">
        <v>0</v>
      </c>
      <c r="N2" s="76" t="s">
        <v>127</v>
      </c>
      <c r="O2" s="76" t="s">
        <v>130</v>
      </c>
      <c r="P2" s="76" t="s">
        <v>140</v>
      </c>
      <c r="Q2" s="76" t="s">
        <v>141</v>
      </c>
      <c r="R2" s="84" t="s">
        <v>1</v>
      </c>
    </row>
    <row r="3" spans="2:18" x14ac:dyDescent="0.25">
      <c r="B3" s="80"/>
      <c r="C3" s="81"/>
      <c r="D3" s="4"/>
      <c r="E3" s="83"/>
      <c r="F3" s="83"/>
      <c r="G3" s="5"/>
      <c r="H3" s="5"/>
      <c r="I3" s="5"/>
      <c r="J3" s="72"/>
      <c r="K3" s="41"/>
      <c r="L3" s="41"/>
      <c r="M3" s="6" t="s">
        <v>2</v>
      </c>
      <c r="N3" s="77"/>
      <c r="O3" s="77"/>
      <c r="P3" s="77"/>
      <c r="Q3" s="77"/>
      <c r="R3" s="85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8"/>
      <c r="O4" s="78"/>
      <c r="P4" s="78"/>
      <c r="Q4" s="78"/>
      <c r="R4" s="86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5</v>
      </c>
      <c r="F7" s="30">
        <f>'เย็น '!F7+'เช้า '!F7+บ่าย!F7</f>
        <v>16</v>
      </c>
      <c r="G7" s="30">
        <f>'เย็น '!G7+'เช้า '!G7+บ่าย!G7</f>
        <v>4</v>
      </c>
      <c r="H7" s="30">
        <f>'เย็น '!H7+'เช้า '!H7+บ่าย!H7</f>
        <v>31</v>
      </c>
      <c r="I7" s="30">
        <f>'เย็น '!I7+'เช้า '!I7+บ่าย!I7</f>
        <v>0</v>
      </c>
      <c r="J7" s="30">
        <f>+G7+H7+I7</f>
        <v>35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57</v>
      </c>
      <c r="N7" s="11"/>
      <c r="O7" s="11"/>
      <c r="P7" s="11"/>
      <c r="Q7" s="11"/>
      <c r="R7" s="44">
        <f>(N7+O7+P7+Q7)-M7</f>
        <v>-57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13</v>
      </c>
      <c r="F25" s="30">
        <f>'เย็น '!F25+'เช้า '!F25+บ่าย!F25</f>
        <v>2</v>
      </c>
      <c r="G25" s="30">
        <f>'เย็น '!G25+'เช้า '!G25+บ่าย!G25</f>
        <v>0</v>
      </c>
      <c r="H25" s="30">
        <f>'เย็น '!H25+'เช้า '!H25+บ่าย!H25</f>
        <v>3</v>
      </c>
      <c r="I25" s="30">
        <f>'เย็น '!I25+'เช้า '!I25+บ่าย!I25</f>
        <v>0</v>
      </c>
      <c r="J25" s="30">
        <f t="shared" si="0"/>
        <v>3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18</v>
      </c>
      <c r="N25" s="11"/>
      <c r="O25" s="11"/>
      <c r="P25" s="11"/>
      <c r="Q25" s="11"/>
      <c r="R25" s="44">
        <f t="shared" si="2"/>
        <v>-18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43</v>
      </c>
      <c r="H26" s="30">
        <f>'เย็น '!H26+'เช้า '!H26+บ่าย!H26</f>
        <v>46</v>
      </c>
      <c r="I26" s="30">
        <f>'เย็น '!I26+'เช้า '!I26+บ่าย!I26</f>
        <v>0</v>
      </c>
      <c r="J26" s="30">
        <f t="shared" si="0"/>
        <v>89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89</v>
      </c>
      <c r="N26" s="11"/>
      <c r="O26" s="11"/>
      <c r="P26" s="11"/>
      <c r="Q26" s="11"/>
      <c r="R26" s="44">
        <f t="shared" si="2"/>
        <v>-89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3" t="s">
        <v>55</v>
      </c>
      <c r="C68" s="74"/>
      <c r="D68" s="74"/>
      <c r="E68" s="74"/>
      <c r="F68" s="74"/>
      <c r="G68" s="74"/>
      <c r="H68" s="74"/>
      <c r="I68" s="74"/>
      <c r="J68" s="30">
        <f t="shared" si="0"/>
        <v>0</v>
      </c>
      <c r="K68" s="74"/>
      <c r="L68" s="74"/>
      <c r="M68" s="36">
        <f t="shared" si="1"/>
        <v>0</v>
      </c>
      <c r="N68" s="74"/>
      <c r="O68" s="74"/>
      <c r="P68" s="74"/>
      <c r="Q68" s="74"/>
      <c r="R68" s="75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1</v>
      </c>
      <c r="F69" s="30">
        <f>'เย็น '!F69+'เช้า '!F69+บ่าย!F69</f>
        <v>6</v>
      </c>
      <c r="G69" s="30">
        <f>'เย็น '!G69+'เช้า '!G69+บ่าย!G69</f>
        <v>1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 t="shared" si="0"/>
        <v>2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11</v>
      </c>
      <c r="N69" s="11"/>
      <c r="O69" s="11"/>
      <c r="P69" s="11"/>
      <c r="Q69" s="11"/>
      <c r="R69" s="44">
        <f t="shared" ref="R69:R76" si="4">(N69+O69+P69+Q69)-M69</f>
        <v>-11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3" t="s">
        <v>64</v>
      </c>
      <c r="C78" s="74"/>
      <c r="D78" s="74"/>
      <c r="E78" s="74"/>
      <c r="F78" s="74"/>
      <c r="G78" s="74"/>
      <c r="H78" s="74"/>
      <c r="I78" s="74"/>
      <c r="J78" s="30">
        <f t="shared" si="5"/>
        <v>0</v>
      </c>
      <c r="K78" s="74"/>
      <c r="L78" s="74"/>
      <c r="M78" s="36">
        <f t="shared" si="6"/>
        <v>0</v>
      </c>
      <c r="N78" s="74"/>
      <c r="O78" s="74"/>
      <c r="P78" s="74"/>
      <c r="Q78" s="74"/>
      <c r="R78" s="75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12</v>
      </c>
      <c r="F87" s="30">
        <f>'เย็น '!F87+'เช้า '!F87+บ่าย!F87</f>
        <v>0</v>
      </c>
      <c r="G87" s="30">
        <f>'เย็น '!G87+'เช้า '!G87+บ่าย!G87</f>
        <v>24</v>
      </c>
      <c r="H87" s="30">
        <f>'เย็น '!H87+'เช้า '!H87+บ่าย!H87</f>
        <v>36</v>
      </c>
      <c r="I87" s="30">
        <f>'เย็น '!I87+'เช้า '!I87+บ่าย!I87</f>
        <v>0</v>
      </c>
      <c r="J87" s="30">
        <f t="shared" si="5"/>
        <v>60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73</v>
      </c>
      <c r="N87" s="11"/>
      <c r="O87" s="11"/>
      <c r="P87" s="11"/>
      <c r="Q87" s="11"/>
      <c r="R87" s="44">
        <f t="shared" si="8"/>
        <v>-73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3">
        <v>1</v>
      </c>
      <c r="C89" s="74"/>
      <c r="D89" s="74"/>
      <c r="E89" s="74"/>
      <c r="F89" s="74"/>
      <c r="G89" s="74"/>
      <c r="H89" s="74"/>
      <c r="I89" s="74"/>
      <c r="J89" s="30">
        <f t="shared" si="5"/>
        <v>0</v>
      </c>
      <c r="K89" s="74"/>
      <c r="L89" s="74"/>
      <c r="M89" s="36">
        <f t="shared" si="6"/>
        <v>0</v>
      </c>
      <c r="N89" s="74"/>
      <c r="O89" s="74"/>
      <c r="P89" s="74"/>
      <c r="Q89" s="74"/>
      <c r="R89" s="75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4</v>
      </c>
      <c r="E90" s="30">
        <f>'เย็น '!E90+'เช้า '!E90+บ่าย!E90</f>
        <v>0</v>
      </c>
      <c r="F90" s="30">
        <f>'เย็น '!F90+'เช้า '!F90+บ่าย!F90</f>
        <v>2</v>
      </c>
      <c r="G90" s="30">
        <f>'เย็น '!G90+'เช้า '!G90+บ่าย!G90</f>
        <v>17</v>
      </c>
      <c r="H90" s="30">
        <f>'เย็น '!H90+'เช้า '!H90+บ่าย!H90</f>
        <v>15</v>
      </c>
      <c r="I90" s="30">
        <f>'เย็น '!I90+'เช้า '!I90+บ่าย!I90</f>
        <v>0</v>
      </c>
      <c r="J90" s="30">
        <f t="shared" si="5"/>
        <v>32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38</v>
      </c>
      <c r="N90" s="11"/>
      <c r="O90" s="11"/>
      <c r="P90" s="11"/>
      <c r="Q90" s="11"/>
      <c r="R90" s="44">
        <f t="shared" ref="R90:R100" si="9">(N90+O90+P90+Q90)-M90</f>
        <v>-38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2</v>
      </c>
      <c r="G91" s="30">
        <f>'เย็น '!G91+'เช้า '!G91+บ่าย!G91</f>
        <v>17</v>
      </c>
      <c r="H91" s="30">
        <f>'เย็น '!H91+'เช้า '!H91+บ่าย!H91</f>
        <v>15</v>
      </c>
      <c r="I91" s="30">
        <f>'เย็น '!I91+'เช้า '!I91+บ่าย!I91</f>
        <v>0</v>
      </c>
      <c r="J91" s="30">
        <f t="shared" si="5"/>
        <v>32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38</v>
      </c>
      <c r="N91" s="11"/>
      <c r="O91" s="11"/>
      <c r="P91" s="11"/>
      <c r="Q91" s="11"/>
      <c r="R91" s="44">
        <f t="shared" si="9"/>
        <v>-38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17</v>
      </c>
      <c r="H92" s="30">
        <f>'เย็น '!H92+'เช้า '!H92+บ่าย!H92</f>
        <v>15</v>
      </c>
      <c r="I92" s="30">
        <f>'เย็น '!I92+'เช้า '!I92+บ่าย!I92</f>
        <v>0</v>
      </c>
      <c r="J92" s="30">
        <f t="shared" si="5"/>
        <v>32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37</v>
      </c>
      <c r="N92" s="11"/>
      <c r="O92" s="11"/>
      <c r="P92" s="11"/>
      <c r="Q92" s="11"/>
      <c r="R92" s="44">
        <f t="shared" si="9"/>
        <v>-37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17</v>
      </c>
      <c r="H93" s="30">
        <f>'เย็น '!H93+'เช้า '!H93+บ่าย!H93</f>
        <v>14</v>
      </c>
      <c r="I93" s="30">
        <f>'เย็น '!I93+'เช้า '!I93+บ่าย!I93</f>
        <v>0</v>
      </c>
      <c r="J93" s="30">
        <f t="shared" si="5"/>
        <v>31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35</v>
      </c>
      <c r="N93" s="11"/>
      <c r="O93" s="11"/>
      <c r="P93" s="11"/>
      <c r="Q93" s="11"/>
      <c r="R93" s="44">
        <f t="shared" si="9"/>
        <v>-35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17</v>
      </c>
      <c r="H97" s="30">
        <f>'เย็น '!H97+'เช้า '!H97+บ่าย!H97</f>
        <v>14</v>
      </c>
      <c r="I97" s="30">
        <f>'เย็น '!I97+'เช้า '!I97+บ่าย!I97</f>
        <v>0</v>
      </c>
      <c r="J97" s="30">
        <f t="shared" si="5"/>
        <v>31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35</v>
      </c>
      <c r="N97" s="11"/>
      <c r="O97" s="11"/>
      <c r="P97" s="11"/>
      <c r="Q97" s="11"/>
      <c r="R97" s="44">
        <f t="shared" si="9"/>
        <v>-35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18</v>
      </c>
      <c r="H98" s="30">
        <f>'เย็น '!H98+'เช้า '!H98+บ่าย!H98</f>
        <v>14</v>
      </c>
      <c r="I98" s="30">
        <f>'เย็น '!I98+'เช้า '!I98+บ่าย!I98</f>
        <v>0</v>
      </c>
      <c r="J98" s="30">
        <f t="shared" si="5"/>
        <v>32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36</v>
      </c>
      <c r="N98" s="11"/>
      <c r="O98" s="11"/>
      <c r="P98" s="11"/>
      <c r="Q98" s="11"/>
      <c r="R98" s="44">
        <f t="shared" si="9"/>
        <v>-36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0</v>
      </c>
      <c r="O100" s="11">
        <f>SUM(O90:O99)</f>
        <v>0</v>
      </c>
      <c r="P100" s="11">
        <f>SUM(P90:P99)</f>
        <v>0</v>
      </c>
      <c r="Q100" s="11">
        <f>SUM(Q90:Q99)</f>
        <v>0</v>
      </c>
      <c r="R100" s="44">
        <f t="shared" si="9"/>
        <v>0</v>
      </c>
    </row>
    <row r="101" spans="2:18" x14ac:dyDescent="0.25">
      <c r="B101" s="73" t="s">
        <v>85</v>
      </c>
      <c r="C101" s="74"/>
      <c r="D101" s="74"/>
      <c r="E101" s="74"/>
      <c r="F101" s="74"/>
      <c r="G101" s="74"/>
      <c r="H101" s="74"/>
      <c r="I101" s="74"/>
      <c r="J101" s="30">
        <f t="shared" si="5"/>
        <v>0</v>
      </c>
      <c r="K101" s="74"/>
      <c r="L101" s="74"/>
      <c r="M101" s="36">
        <f t="shared" si="6"/>
        <v>0</v>
      </c>
      <c r="N101" s="74"/>
      <c r="O101" s="74"/>
      <c r="P101" s="74"/>
      <c r="Q101" s="74"/>
      <c r="R101" s="75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3" t="s">
        <v>86</v>
      </c>
      <c r="C113" s="74"/>
      <c r="D113" s="74"/>
      <c r="E113" s="74"/>
      <c r="F113" s="74"/>
      <c r="G113" s="74"/>
      <c r="H113" s="74"/>
      <c r="I113" s="74"/>
      <c r="J113" s="30">
        <f t="shared" si="5"/>
        <v>0</v>
      </c>
      <c r="K113" s="74"/>
      <c r="L113" s="74"/>
      <c r="M113" s="36">
        <f t="shared" si="6"/>
        <v>0</v>
      </c>
      <c r="N113" s="74"/>
      <c r="O113" s="74"/>
      <c r="P113" s="74"/>
      <c r="Q113" s="74"/>
      <c r="R113" s="75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51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0</v>
      </c>
      <c r="N115" s="11"/>
      <c r="O115" s="11"/>
      <c r="P115" s="11"/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6</v>
      </c>
      <c r="E123" s="30">
        <f>บ่าย!E123+'เช้า '!E123+'เย็น '!E123</f>
        <v>8</v>
      </c>
      <c r="F123" s="30">
        <f>บ่าย!F123+'เช้า '!F123+'เย็น '!F123</f>
        <v>0</v>
      </c>
      <c r="G123" s="30">
        <f>บ่าย!G123+'เช้า '!G123+'เย็น '!G123</f>
        <v>230</v>
      </c>
      <c r="H123" s="30">
        <f>บ่าย!H123+'เช้า '!H123+'เย็น '!H123</f>
        <v>74</v>
      </c>
      <c r="I123" s="30">
        <f>บ่าย!I123+'เช้า '!I123+'เย็น '!I123</f>
        <v>0</v>
      </c>
      <c r="J123" s="30">
        <f t="shared" si="5"/>
        <v>304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318</v>
      </c>
      <c r="N123" s="11"/>
      <c r="O123" s="11"/>
      <c r="P123" s="11"/>
      <c r="Q123" s="11"/>
      <c r="R123" s="44">
        <f t="shared" si="11"/>
        <v>-318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4</v>
      </c>
      <c r="E124" s="30">
        <f>บ่าย!E124+'เช้า '!E124+'เย็น '!E124</f>
        <v>1</v>
      </c>
      <c r="F124" s="30">
        <f>บ่าย!F124+'เช้า '!F124+'เย็น '!F124</f>
        <v>3</v>
      </c>
      <c r="G124" s="30">
        <f>บ่าย!G124+'เช้า '!G124+'เย็น '!G124</f>
        <v>215</v>
      </c>
      <c r="H124" s="30">
        <f>บ่าย!H124+'เช้า '!H124+'เย็น '!H124</f>
        <v>68</v>
      </c>
      <c r="I124" s="30">
        <f>บ่าย!I124+'เช้า '!I124+'เย็น '!I124</f>
        <v>0</v>
      </c>
      <c r="J124" s="30">
        <f t="shared" si="5"/>
        <v>283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291</v>
      </c>
      <c r="N124" s="11"/>
      <c r="O124" s="11"/>
      <c r="P124" s="11"/>
      <c r="Q124" s="11"/>
      <c r="R124" s="44">
        <f t="shared" si="11"/>
        <v>-291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4</v>
      </c>
      <c r="E125" s="30">
        <f>บ่าย!E125+'เช้า '!E125+'เย็น '!E125</f>
        <v>1</v>
      </c>
      <c r="F125" s="30">
        <f>บ่าย!F125+'เช้า '!F125+'เย็น '!F125</f>
        <v>0</v>
      </c>
      <c r="G125" s="30">
        <f>บ่าย!G125+'เช้า '!G125+'เย็น '!G125</f>
        <v>200</v>
      </c>
      <c r="H125" s="30">
        <f>บ่าย!H125+'เช้า '!H125+'เย็น '!H125</f>
        <v>65</v>
      </c>
      <c r="I125" s="30">
        <f>บ่าย!I125+'เช้า '!I125+'เย็น '!I125</f>
        <v>0</v>
      </c>
      <c r="J125" s="30">
        <f t="shared" si="5"/>
        <v>265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270</v>
      </c>
      <c r="N125" s="11"/>
      <c r="O125" s="11"/>
      <c r="P125" s="11"/>
      <c r="Q125" s="11"/>
      <c r="R125" s="44">
        <f t="shared" si="11"/>
        <v>-270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15</v>
      </c>
      <c r="F126" s="30">
        <f>บ่าย!F126+'เช้า '!F126+'เย็น '!F126</f>
        <v>0</v>
      </c>
      <c r="G126" s="30">
        <f>บ่าย!G126+'เช้า '!G126+'เย็น '!G126</f>
        <v>9</v>
      </c>
      <c r="H126" s="30">
        <f>บ่าย!H126+'เช้า '!H126+'เย็น '!H126</f>
        <v>10</v>
      </c>
      <c r="I126" s="30">
        <f>บ่าย!I126+'เช้า '!I126+'เย็น '!I126</f>
        <v>0</v>
      </c>
      <c r="J126" s="30">
        <f t="shared" si="5"/>
        <v>19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34</v>
      </c>
      <c r="N126" s="11"/>
      <c r="O126" s="11"/>
      <c r="P126" s="11"/>
      <c r="Q126" s="11"/>
      <c r="R126" s="44">
        <f t="shared" si="11"/>
        <v>-34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10</v>
      </c>
      <c r="M137" s="36">
        <f t="shared" si="13"/>
        <v>10</v>
      </c>
      <c r="N137" s="11"/>
      <c r="O137" s="11"/>
      <c r="P137" s="11"/>
      <c r="Q137" s="11"/>
      <c r="R137" s="44">
        <f t="shared" si="11"/>
        <v>-10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>
        <f t="shared" si="11"/>
        <v>0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>
        <f t="shared" si="11"/>
        <v>0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38</v>
      </c>
      <c r="E152" s="60">
        <f t="shared" ref="E152:R152" si="14">SUM(E114:E151,E90:E99,E79:E87,E69:E76,E7:E66,E102:E111)</f>
        <v>56</v>
      </c>
      <c r="F152" s="60">
        <f t="shared" si="14"/>
        <v>36</v>
      </c>
      <c r="G152" s="60">
        <f t="shared" si="14"/>
        <v>829</v>
      </c>
      <c r="H152" s="60">
        <f t="shared" si="14"/>
        <v>421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10</v>
      </c>
      <c r="M152" s="60">
        <f t="shared" si="14"/>
        <v>1390</v>
      </c>
      <c r="N152" s="60">
        <f t="shared" si="14"/>
        <v>0</v>
      </c>
      <c r="O152" s="60">
        <f t="shared" si="14"/>
        <v>0</v>
      </c>
      <c r="P152" s="60">
        <f t="shared" si="14"/>
        <v>0</v>
      </c>
      <c r="Q152" s="60">
        <f t="shared" si="14"/>
        <v>0</v>
      </c>
      <c r="R152" s="60">
        <f t="shared" si="14"/>
        <v>-1390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2025-06-27T00:46:14Z</cp:lastPrinted>
  <dcterms:created xsi:type="dcterms:W3CDTF">2024-04-30T05:21:27Z</dcterms:created>
  <dcterms:modified xsi:type="dcterms:W3CDTF">2025-06-29T15:13:13Z</dcterms:modified>
</cp:coreProperties>
</file>