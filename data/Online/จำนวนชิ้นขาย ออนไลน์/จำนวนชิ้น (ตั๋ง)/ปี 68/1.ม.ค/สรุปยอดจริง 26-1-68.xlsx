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AC50A15-E455-4F3F-B29C-142AB8743C16}" xr6:coauthVersionLast="47" xr6:coauthVersionMax="47" xr10:uidLastSave="{00000000-0000-0000-0000-000000000000}"/>
  <bookViews>
    <workbookView xWindow="0" yWindow="1275" windowWidth="19080" windowHeight="13425" activeTab="3" xr2:uid="{55C9AAA3-F459-48EC-A639-AACFFC6390F5}"/>
  </bookViews>
  <sheets>
    <sheet name="เย็น" sheetId="3" r:id="rId1"/>
    <sheet name="เช้า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7" i="5" l="1"/>
  <c r="Q128" i="5"/>
  <c r="Q129" i="5"/>
  <c r="Q131" i="5"/>
  <c r="Q132" i="5"/>
  <c r="Q133" i="5"/>
  <c r="Q134" i="5"/>
  <c r="Q137" i="5"/>
  <c r="Q138" i="5"/>
  <c r="Q139" i="5"/>
  <c r="Q80" i="5"/>
  <c r="Q81" i="5"/>
  <c r="Q82" i="5"/>
  <c r="Q83" i="5"/>
  <c r="Q84" i="5"/>
  <c r="Q85" i="5"/>
  <c r="Q86" i="5"/>
  <c r="Q79" i="5"/>
  <c r="Q70" i="5"/>
  <c r="Q71" i="5"/>
  <c r="Q72" i="5"/>
  <c r="Q73" i="5"/>
  <c r="Q74" i="5"/>
  <c r="Q75" i="5"/>
  <c r="Q76" i="5"/>
  <c r="Q50" i="5"/>
  <c r="Q51" i="5"/>
  <c r="Q52" i="5"/>
  <c r="Q53" i="5"/>
  <c r="Q54" i="5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12" i="6" s="1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12" i="3" s="1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5" i="5" l="1"/>
  <c r="Q135" i="5" s="1"/>
  <c r="L137" i="5"/>
  <c r="K140" i="5"/>
  <c r="L136" i="5"/>
  <c r="Q136" i="5" s="1"/>
  <c r="L138" i="5"/>
  <c r="L139" i="5"/>
  <c r="L130" i="5"/>
  <c r="Q130" i="5" s="1"/>
  <c r="L129" i="5"/>
  <c r="L90" i="5"/>
  <c r="Q90" i="5" s="1"/>
  <c r="L93" i="5"/>
  <c r="Q93" i="5" s="1"/>
  <c r="L95" i="5"/>
  <c r="Q95" i="5" s="1"/>
  <c r="L127" i="5"/>
  <c r="L118" i="5"/>
  <c r="Q118" i="5" s="1"/>
  <c r="L131" i="5"/>
  <c r="L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s="1"/>
  <c r="E140" i="5" l="1"/>
  <c r="F140" i="5"/>
  <c r="I140" i="5"/>
  <c r="H140" i="5"/>
  <c r="D140" i="5"/>
  <c r="G140" i="5"/>
  <c r="L102" i="5"/>
  <c r="Q102" i="5" s="1"/>
  <c r="L79" i="5"/>
  <c r="L70" i="5"/>
  <c r="L75" i="5"/>
  <c r="L73" i="5"/>
  <c r="L27" i="5"/>
  <c r="Q27" i="5" s="1"/>
  <c r="L109" i="5"/>
  <c r="Q109" i="5" s="1"/>
  <c r="L72" i="5"/>
  <c r="L11" i="5"/>
  <c r="Q11" i="5" s="1"/>
  <c r="L76" i="5"/>
  <c r="L59" i="5"/>
  <c r="Q59" i="5" s="1"/>
  <c r="L43" i="5"/>
  <c r="Q43" i="5" s="1"/>
  <c r="L7" i="5"/>
  <c r="Q7" i="5" s="1"/>
  <c r="L111" i="5"/>
  <c r="Q111" i="5" s="1"/>
  <c r="L54" i="5"/>
  <c r="L38" i="5"/>
  <c r="Q38" i="5" s="1"/>
  <c r="L71" i="5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L61" i="5"/>
  <c r="Q61" i="5" s="1"/>
  <c r="L28" i="5"/>
  <c r="Q28" i="5" s="1"/>
  <c r="L12" i="5"/>
  <c r="Q12" i="5" s="1"/>
  <c r="L110" i="5"/>
  <c r="Q110" i="5" s="1"/>
  <c r="L53" i="5"/>
  <c r="L37" i="5"/>
  <c r="Q37" i="5" s="1"/>
  <c r="L21" i="5"/>
  <c r="Q21" i="5" s="1"/>
  <c r="L85" i="5"/>
  <c r="L103" i="5"/>
  <c r="Q103" i="5" s="1"/>
  <c r="L84" i="5"/>
  <c r="L29" i="5"/>
  <c r="Q29" i="5" s="1"/>
  <c r="L105" i="5"/>
  <c r="Q105" i="5" s="1"/>
  <c r="L31" i="5"/>
  <c r="Q31" i="5" s="1"/>
  <c r="L56" i="5"/>
  <c r="Q56" i="5" s="1"/>
  <c r="L106" i="5"/>
  <c r="Q106" i="5" s="1"/>
  <c r="L51" i="5"/>
  <c r="L19" i="5"/>
  <c r="Q19" i="5" s="1"/>
  <c r="L83" i="5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L80" i="5"/>
  <c r="L13" i="5"/>
  <c r="Q13" i="5" s="1"/>
  <c r="L86" i="5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L34" i="5"/>
  <c r="Q34" i="5" s="1"/>
  <c r="L18" i="5"/>
  <c r="Q18" i="5" s="1"/>
  <c r="L82" i="5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<sst xmlns="http://schemas.openxmlformats.org/spreadsheetml/2006/main" count="613" uniqueCount="145">
  <si>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</si>
  <si>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</si>
  <si>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</si>
  <si>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</si>
  <si>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</si>
  <si>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</si>
  <si>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</si>
  <si>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</si>
  <si>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</si>
  <si>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</si>
  <si>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</si>
  <si>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</si>
  <si>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</si>
  <si>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</si>
  <si>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</si>
  <si>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</si>
  <si>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</si>
  <si>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</si>
  <si>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</si>
  <si>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</si>
  <si>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</si>
  <si>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</si>
  <si>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</si>
  <si>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</si>
  <si>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</si>
  <si>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</si>
  <si>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</si>
  <si>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</si>
  <si>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</si>
  <si>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</si>
  <si>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</si>
  <si>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</si>
  <si>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</si>
  <si>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</si>
  <si>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</si>
  <si>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</si>
  <si>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</si>
  <si>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</si>
  <si>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</si>
  <si>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</si>
  <si>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</si>
  <si>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</si>
  <si>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</si>
  <si>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</si>
  <si>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</si>
  <si>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</si>
  <si>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</si>
  <si>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</si>
  <si>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</si>
  <si>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</si>
  <si>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</si>
  <si>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</si>
  <si>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</si>
  <si>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</si>
  <si>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</si>
  <si>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</si>
  <si>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</si>
  <si>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</si>
  <si>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</si>
  <si>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</si>
  <si>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</si>
  <si>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</si>
  <si>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</si>
  <si>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</si>
  <si>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</si>
  <si>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</si>
  <si>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</si>
  <si>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</si>
  <si>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</si>
  <si>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</si>
  <si>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</si>
  <si>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</si>
  <si>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</si>
  <si>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</si>
  <si>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</si>
  <si>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</si>
  <si>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</si>
  <si>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</si>
  <si>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</si>
  <si>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</si>
  <si>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</si>
  <si>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</si>
  <si>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</si>
  <si>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</si>
  <si>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</si>
  <si>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</si>
  <si>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</si>
  <si>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</si>
  <si>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</si>
  <si>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</si>
  <si>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</si>
  <si>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</si>
  <si>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</si>
  <si>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</si>
  <si>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</si>
  <si>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</si>
  <si>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</si>
  <si>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</si>
  <si>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</si>
  <si>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</si>
  <si>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</si>
  <si>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</si>
  <si>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</si>
  <si>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</si>
  <si>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</si>
  <si>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</si>
  <si>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</si>
  <si>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</si>
  <si>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</si>
  <si>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</si>
  <si>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</si>
  <si>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</si>
  <si>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</si>
  <si>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</si>
  <si>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</si>
  <si>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</si>
  <si>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</si>
  <si>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</si>
  <si>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</si>
  <si>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</si>
  <si>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</si>
  <si>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</si>
  <si>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</si>
  <si>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</si>
  <si>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</si>
  <si>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</si>
  <si>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</si>
  <si>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</si>
  <si>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</si>
  <si>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</si>
  <si>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</si>
  <si>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</si>
  <si>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</si>
  <si>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</si>
  <si>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</si>
  <si>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</si>
  <si>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</si>
  <si>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</si>
  <si>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</si>
  <si>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</si>
  <si>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</si>
  <si>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</si>
  <si>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26/1/2568 รวม</t>
  </si>
  <si>
    <t>ยอดจริง ออนไลน์ วันที่ 26/1/2568 - เช้า</t>
  </si>
  <si>
    <t>ยอดจริง ออนไลน์ วันที่ 26/1/2568 -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</si>
</sst>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zoomScale="60" zoomScaleNormal="60" workbookViewId="0">
      <selection activeCell="F57" sqref="F57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>
        <v>8</v>
      </c>
      <c r="F7" s="31"/>
      <c r="G7" s="31"/>
      <c r="H7" s="31"/>
      <c r="I7" s="31"/>
      <c r="J7" s="44"/>
      <c r="K7" s="44"/>
      <c r="L7" s="37">
        <f>SUM(D7:K7)</f>
        <v>8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3</v>
      </c>
      <c r="F25" s="31">
        <v>12</v>
      </c>
      <c r="G25" s="31"/>
      <c r="H25" s="31"/>
      <c r="I25" s="31"/>
      <c r="J25" s="44"/>
      <c r="K25" s="44"/>
      <c r="L25" s="37">
        <f t="shared" si="0"/>
        <v>15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3</v>
      </c>
      <c r="H26" s="31"/>
      <c r="I26" s="31"/>
      <c r="J26" s="44"/>
      <c r="K26" s="44"/>
      <c r="L26" s="37">
        <f t="shared" si="0"/>
        <v>3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>
        <v>3</v>
      </c>
      <c r="G40" s="31"/>
      <c r="H40" s="31"/>
      <c r="I40" s="31"/>
      <c r="J40" s="44"/>
      <c r="K40" s="44"/>
      <c r="L40" s="37">
        <f t="shared" si="0"/>
        <v>3</v>
      </c>
    </row>
    <row r="41" spans="2:12" x14ac:dyDescent="0.2">
      <c r="B41" s="11">
        <v>1111058</v>
      </c>
      <c r="C41" s="15" t="s">
        <v>31</v>
      </c>
      <c r="D41" s="31"/>
      <c r="E41" s="31"/>
      <c r="F41" s="31">
        <v>3</v>
      </c>
      <c r="G41" s="31"/>
      <c r="H41" s="31"/>
      <c r="I41" s="31"/>
      <c r="J41" s="44"/>
      <c r="K41" s="44"/>
      <c r="L41" s="37">
        <f t="shared" si="0"/>
        <v>3</v>
      </c>
    </row>
    <row r="42" spans="2:12" x14ac:dyDescent="0.2">
      <c r="B42" s="11">
        <v>1111059</v>
      </c>
      <c r="C42" s="15" t="s">
        <v>32</v>
      </c>
      <c r="D42" s="31"/>
      <c r="E42" s="31"/>
      <c r="F42" s="31">
        <v>3</v>
      </c>
      <c r="G42" s="31"/>
      <c r="H42" s="31"/>
      <c r="I42" s="31"/>
      <c r="J42" s="44"/>
      <c r="K42" s="44"/>
      <c r="L42" s="37">
        <f t="shared" si="0"/>
        <v>3</v>
      </c>
    </row>
    <row r="43" spans="2:12" x14ac:dyDescent="0.2">
      <c r="B43" s="11">
        <v>1111060</v>
      </c>
      <c r="C43" s="15" t="s">
        <v>33</v>
      </c>
      <c r="D43" s="31"/>
      <c r="E43" s="31"/>
      <c r="F43" s="31">
        <v>3</v>
      </c>
      <c r="G43" s="31"/>
      <c r="H43" s="31"/>
      <c r="I43" s="31"/>
      <c r="J43" s="44"/>
      <c r="K43" s="44"/>
      <c r="L43" s="37">
        <f t="shared" si="0"/>
        <v>3</v>
      </c>
    </row>
    <row r="44" spans="2:12" x14ac:dyDescent="0.2">
      <c r="B44" s="11">
        <v>1111061</v>
      </c>
      <c r="C44" s="15" t="s">
        <v>34</v>
      </c>
      <c r="D44" s="31"/>
      <c r="E44" s="31"/>
      <c r="F44" s="31">
        <v>3</v>
      </c>
      <c r="G44" s="31"/>
      <c r="H44" s="31"/>
      <c r="I44" s="31"/>
      <c r="J44" s="44"/>
      <c r="K44" s="44"/>
      <c r="L44" s="37">
        <f t="shared" si="0"/>
        <v>3</v>
      </c>
    </row>
    <row r="45" spans="2:12" x14ac:dyDescent="0.2">
      <c r="B45" s="11">
        <v>1111062</v>
      </c>
      <c r="C45" s="15" t="s">
        <v>35</v>
      </c>
      <c r="D45" s="31"/>
      <c r="E45" s="31"/>
      <c r="F45" s="31">
        <v>3</v>
      </c>
      <c r="G45" s="31"/>
      <c r="H45" s="31"/>
      <c r="I45" s="31"/>
      <c r="J45" s="44"/>
      <c r="K45" s="44"/>
      <c r="L45" s="37">
        <f t="shared" si="0"/>
        <v>3</v>
      </c>
    </row>
    <row r="46" spans="2:12" x14ac:dyDescent="0.2">
      <c r="B46" s="11">
        <v>1111063</v>
      </c>
      <c r="C46" s="15" t="s">
        <v>36</v>
      </c>
      <c r="D46" s="31"/>
      <c r="E46" s="31"/>
      <c r="F46" s="31">
        <v>3</v>
      </c>
      <c r="G46" s="31"/>
      <c r="H46" s="31"/>
      <c r="I46" s="31"/>
      <c r="J46" s="44"/>
      <c r="K46" s="44"/>
      <c r="L46" s="37">
        <f t="shared" si="0"/>
        <v>3</v>
      </c>
    </row>
    <row r="47" spans="2:12" x14ac:dyDescent="0.2">
      <c r="B47" s="11">
        <v>1111064</v>
      </c>
      <c r="C47" s="15" t="s">
        <v>37</v>
      </c>
      <c r="D47" s="31"/>
      <c r="E47" s="31"/>
      <c r="F47" s="31">
        <v>3</v>
      </c>
      <c r="G47" s="31"/>
      <c r="H47" s="31"/>
      <c r="I47" s="31"/>
      <c r="J47" s="44"/>
      <c r="K47" s="44"/>
      <c r="L47" s="37">
        <f t="shared" si="0"/>
        <v>3</v>
      </c>
    </row>
    <row r="48" spans="2:12" x14ac:dyDescent="0.2">
      <c r="B48" s="11">
        <v>1111065</v>
      </c>
      <c r="C48" s="15" t="s">
        <v>38</v>
      </c>
      <c r="D48" s="31"/>
      <c r="E48" s="31"/>
      <c r="F48" s="31">
        <v>3</v>
      </c>
      <c r="G48" s="31"/>
      <c r="H48" s="31"/>
      <c r="I48" s="31"/>
      <c r="J48" s="44"/>
      <c r="K48" s="44"/>
      <c r="L48" s="37">
        <f t="shared" si="0"/>
        <v>3</v>
      </c>
    </row>
    <row r="49" spans="2:12" x14ac:dyDescent="0.2">
      <c r="B49" s="11">
        <v>1111066</v>
      </c>
      <c r="C49" s="15" t="s">
        <v>39</v>
      </c>
      <c r="D49" s="31"/>
      <c r="E49" s="31"/>
      <c r="F49" s="31">
        <v>3</v>
      </c>
      <c r="G49" s="31"/>
      <c r="H49" s="31"/>
      <c r="I49" s="31"/>
      <c r="J49" s="44"/>
      <c r="K49" s="44"/>
      <c r="L49" s="37">
        <f t="shared" si="0"/>
        <v>3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3</v>
      </c>
      <c r="G56" s="31"/>
      <c r="H56" s="31"/>
      <c r="I56" s="31"/>
      <c r="J56" s="44"/>
      <c r="K56" s="44"/>
      <c r="L56" s="37">
        <f t="shared" si="0"/>
        <v>3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3</v>
      </c>
      <c r="G57" s="31"/>
      <c r="H57" s="31"/>
      <c r="I57" s="31"/>
      <c r="J57" s="44"/>
      <c r="K57" s="44"/>
      <c r="L57" s="37">
        <f t="shared" si="0"/>
        <v>3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3</v>
      </c>
      <c r="G58" s="31"/>
      <c r="H58" s="31"/>
      <c r="I58" s="31"/>
      <c r="J58" s="44"/>
      <c r="K58" s="44"/>
      <c r="L58" s="37">
        <f t="shared" si="0"/>
        <v>3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3</v>
      </c>
      <c r="G59" s="31"/>
      <c r="H59" s="31"/>
      <c r="I59" s="31"/>
      <c r="J59" s="44"/>
      <c r="K59" s="44"/>
      <c r="L59" s="37">
        <f t="shared" si="0"/>
        <v>3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3</v>
      </c>
      <c r="G60" s="31"/>
      <c r="H60" s="31"/>
      <c r="I60" s="31"/>
      <c r="J60" s="44"/>
      <c r="K60" s="44"/>
      <c r="L60" s="37">
        <f t="shared" si="0"/>
        <v>3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3</v>
      </c>
      <c r="G61" s="31"/>
      <c r="H61" s="31"/>
      <c r="I61" s="31"/>
      <c r="J61" s="44"/>
      <c r="K61" s="44"/>
      <c r="L61" s="37">
        <f t="shared" si="0"/>
        <v>3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3</v>
      </c>
      <c r="G62" s="31"/>
      <c r="H62" s="31"/>
      <c r="I62" s="31"/>
      <c r="J62" s="44"/>
      <c r="K62" s="44"/>
      <c r="L62" s="37">
        <f t="shared" si="0"/>
        <v>3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3</v>
      </c>
      <c r="G63" s="31"/>
      <c r="H63" s="31"/>
      <c r="I63" s="31"/>
      <c r="J63" s="44"/>
      <c r="K63" s="44"/>
      <c r="L63" s="37">
        <f t="shared" si="0"/>
        <v>3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3</v>
      </c>
      <c r="G64" s="31"/>
      <c r="H64" s="31"/>
      <c r="I64" s="31"/>
      <c r="J64" s="44"/>
      <c r="K64" s="44"/>
      <c r="L64" s="37">
        <f t="shared" si="0"/>
        <v>3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3</v>
      </c>
      <c r="G65" s="31"/>
      <c r="H65" s="31"/>
      <c r="I65" s="31"/>
      <c r="J65" s="44"/>
      <c r="K65" s="44"/>
      <c r="L65" s="37">
        <f t="shared" si="0"/>
        <v>3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6</v>
      </c>
      <c r="H87" s="31"/>
      <c r="I87" s="31"/>
      <c r="J87" s="44"/>
      <c r="K87" s="44"/>
      <c r="L87" s="37">
        <f t="shared" si="2"/>
        <v>6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>
        <v>2</v>
      </c>
      <c r="F90" s="31"/>
      <c r="G90" s="31"/>
      <c r="H90" s="31"/>
      <c r="I90" s="31"/>
      <c r="J90" s="44"/>
      <c r="K90" s="44"/>
      <c r="L90" s="37">
        <f t="shared" ref="L90:L99" si="3">SUM(D90:K90)</f>
        <v>2</v>
      </c>
    </row>
    <row r="91" spans="2:12" x14ac:dyDescent="0.2">
      <c r="B91" s="11">
        <v>1112011</v>
      </c>
      <c r="C91" s="20" t="s">
        <v>76</v>
      </c>
      <c r="D91" s="31"/>
      <c r="E91" s="31">
        <v>2</v>
      </c>
      <c r="F91" s="31"/>
      <c r="G91" s="31"/>
      <c r="H91" s="31"/>
      <c r="I91" s="31"/>
      <c r="J91" s="44"/>
      <c r="K91" s="44"/>
      <c r="L91" s="37">
        <f t="shared" si="3"/>
        <v>2</v>
      </c>
    </row>
    <row r="92" spans="2:12" x14ac:dyDescent="0.2">
      <c r="B92" s="11">
        <v>1112003</v>
      </c>
      <c r="C92" s="20" t="s">
        <v>77</v>
      </c>
      <c r="D92" s="31"/>
      <c r="E92" s="31">
        <v>2</v>
      </c>
      <c r="F92" s="31"/>
      <c r="G92" s="31"/>
      <c r="H92" s="31"/>
      <c r="I92" s="31"/>
      <c r="J92" s="44"/>
      <c r="K92" s="44"/>
      <c r="L92" s="37">
        <f t="shared" si="3"/>
        <v>2</v>
      </c>
    </row>
    <row r="93" spans="2:12" x14ac:dyDescent="0.2">
      <c r="B93" s="11">
        <v>1112005</v>
      </c>
      <c r="C93" s="20" t="s">
        <v>78</v>
      </c>
      <c r="D93" s="31"/>
      <c r="E93" s="31">
        <v>2</v>
      </c>
      <c r="F93" s="31"/>
      <c r="G93" s="31"/>
      <c r="H93" s="31"/>
      <c r="I93" s="31"/>
      <c r="J93" s="44"/>
      <c r="K93" s="44"/>
      <c r="L93" s="37">
        <f t="shared" si="3"/>
        <v>2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>
        <v>1</v>
      </c>
      <c r="F98" s="31"/>
      <c r="G98" s="31"/>
      <c r="H98" s="31"/>
      <c r="I98" s="31"/>
      <c r="J98" s="44"/>
      <c r="K98" s="44"/>
      <c r="L98" s="37">
        <f t="shared" si="3"/>
        <v>1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>
        <v>102</v>
      </c>
      <c r="H119" s="31"/>
      <c r="I119" s="31"/>
      <c r="J119" s="44"/>
      <c r="K119" s="44"/>
      <c r="L119" s="37">
        <f t="shared" si="6"/>
        <v>102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>
        <v>2</v>
      </c>
      <c r="H120" s="31"/>
      <c r="I120" s="31"/>
      <c r="J120" s="44"/>
      <c r="K120" s="44"/>
      <c r="L120" s="37">
        <f t="shared" si="6"/>
        <v>2</v>
      </c>
    </row>
    <row r="121" spans="2:12" x14ac:dyDescent="0.2">
      <c r="B121" s="11">
        <v>1200001</v>
      </c>
      <c r="C121" s="22" t="s">
        <v>93</v>
      </c>
      <c r="D121" s="31"/>
      <c r="E121" s="31">
        <v>5</v>
      </c>
      <c r="F121" s="31"/>
      <c r="G121" s="31"/>
      <c r="H121" s="31"/>
      <c r="I121" s="31"/>
      <c r="J121" s="44"/>
      <c r="K121" s="44"/>
      <c r="L121" s="37">
        <f t="shared" si="6"/>
        <v>5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>
        <v>3</v>
      </c>
      <c r="H123" s="31"/>
      <c r="I123" s="31"/>
      <c r="J123" s="44"/>
      <c r="K123" s="44"/>
      <c r="L123" s="37">
        <f t="shared" si="6"/>
        <v>3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>
        <v>2</v>
      </c>
      <c r="H124" s="31"/>
      <c r="I124" s="31"/>
      <c r="J124" s="44"/>
      <c r="K124" s="44"/>
      <c r="L124" s="37">
        <f t="shared" si="6"/>
        <v>2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>
        <v>6</v>
      </c>
      <c r="F126" s="31">
        <v>16</v>
      </c>
      <c r="G126" s="31"/>
      <c r="H126" s="31"/>
      <c r="I126" s="31"/>
      <c r="J126" s="44"/>
      <c r="K126" s="44"/>
      <c r="L126" s="37">
        <f t="shared" si="6"/>
        <v>22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3</v>
      </c>
      <c r="F135" s="31">
        <v>3</v>
      </c>
      <c r="G135" s="31"/>
      <c r="H135" s="31"/>
      <c r="I135" s="31"/>
      <c r="J135" s="44"/>
      <c r="K135" s="44"/>
      <c r="L135" s="37">
        <f t="shared" si="6"/>
        <v>6</v>
      </c>
    </row>
    <row r="136" spans="2:12" x14ac:dyDescent="0.2">
      <c r="B136" s="23"/>
      <c r="C136" s="22" t="s">
        <v>125</v>
      </c>
      <c r="D136" s="31"/>
      <c r="E136" s="31"/>
      <c r="F136" s="31">
        <v>4</v>
      </c>
      <c r="G136" s="31"/>
      <c r="H136" s="31"/>
      <c r="I136" s="31"/>
      <c r="J136" s="44"/>
      <c r="K136" s="44"/>
      <c r="L136" s="37">
        <f t="shared" si="6"/>
        <v>4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12" zoomScale="60" zoomScaleNormal="60" workbookViewId="0">
      <selection activeCell="E131" sqref="E13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1</v>
      </c>
      <c r="E25" s="31"/>
      <c r="F25" s="31"/>
      <c r="G25" s="31"/>
      <c r="H25" s="31"/>
      <c r="I25" s="31"/>
      <c r="J25" s="44"/>
      <c r="K25" s="44"/>
      <c r="L25" s="37">
        <f t="shared" si="0"/>
        <v>1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>
        <v>1</v>
      </c>
      <c r="E56" s="31"/>
      <c r="F56" s="31"/>
      <c r="G56" s="31"/>
      <c r="H56" s="31"/>
      <c r="I56" s="31"/>
      <c r="J56" s="44"/>
      <c r="K56" s="44"/>
      <c r="L56" s="37">
        <f t="shared" si="0"/>
        <v>1</v>
      </c>
    </row>
    <row r="57" spans="2:12" x14ac:dyDescent="0.2">
      <c r="B57" s="11">
        <v>1111075</v>
      </c>
      <c r="C57" s="15" t="s">
        <v>45</v>
      </c>
      <c r="D57" s="31">
        <v>1</v>
      </c>
      <c r="E57" s="31"/>
      <c r="F57" s="31"/>
      <c r="G57" s="31"/>
      <c r="H57" s="31"/>
      <c r="I57" s="31"/>
      <c r="J57" s="44"/>
      <c r="K57" s="44"/>
      <c r="L57" s="37">
        <f t="shared" si="0"/>
        <v>1</v>
      </c>
    </row>
    <row r="58" spans="2:12" x14ac:dyDescent="0.2">
      <c r="B58" s="11">
        <v>1111076</v>
      </c>
      <c r="C58" s="15" t="s">
        <v>46</v>
      </c>
      <c r="D58" s="31">
        <v>1</v>
      </c>
      <c r="E58" s="31"/>
      <c r="F58" s="31"/>
      <c r="G58" s="31"/>
      <c r="H58" s="31"/>
      <c r="I58" s="31"/>
      <c r="J58" s="44"/>
      <c r="K58" s="44"/>
      <c r="L58" s="37">
        <f t="shared" si="0"/>
        <v>1</v>
      </c>
    </row>
    <row r="59" spans="2:12" x14ac:dyDescent="0.2">
      <c r="B59" s="11">
        <v>1111077</v>
      </c>
      <c r="C59" s="15" t="s">
        <v>47</v>
      </c>
      <c r="D59" s="31">
        <v>1</v>
      </c>
      <c r="E59" s="31"/>
      <c r="F59" s="31"/>
      <c r="G59" s="31"/>
      <c r="H59" s="31"/>
      <c r="I59" s="31"/>
      <c r="J59" s="44"/>
      <c r="K59" s="44"/>
      <c r="L59" s="37">
        <f t="shared" si="0"/>
        <v>1</v>
      </c>
    </row>
    <row r="60" spans="2:12" x14ac:dyDescent="0.2">
      <c r="B60" s="11">
        <v>1111078</v>
      </c>
      <c r="C60" s="15" t="s">
        <v>48</v>
      </c>
      <c r="D60" s="31">
        <v>1</v>
      </c>
      <c r="E60" s="31"/>
      <c r="F60" s="31"/>
      <c r="G60" s="31"/>
      <c r="H60" s="31"/>
      <c r="I60" s="31"/>
      <c r="J60" s="44"/>
      <c r="K60" s="44"/>
      <c r="L60" s="37">
        <f t="shared" si="0"/>
        <v>1</v>
      </c>
    </row>
    <row r="61" spans="2:12" x14ac:dyDescent="0.2">
      <c r="B61" s="11">
        <v>1111079</v>
      </c>
      <c r="C61" s="15" t="s">
        <v>49</v>
      </c>
      <c r="D61" s="31">
        <v>1</v>
      </c>
      <c r="E61" s="31"/>
      <c r="F61" s="31"/>
      <c r="G61" s="31"/>
      <c r="H61" s="31"/>
      <c r="I61" s="31"/>
      <c r="J61" s="44"/>
      <c r="K61" s="44"/>
      <c r="L61" s="37">
        <f t="shared" si="0"/>
        <v>1</v>
      </c>
    </row>
    <row r="62" spans="2:12" x14ac:dyDescent="0.2">
      <c r="B62" s="11">
        <v>1111080</v>
      </c>
      <c r="C62" s="15" t="s">
        <v>50</v>
      </c>
      <c r="D62" s="31">
        <v>1</v>
      </c>
      <c r="E62" s="31"/>
      <c r="F62" s="31"/>
      <c r="G62" s="31"/>
      <c r="H62" s="31"/>
      <c r="I62" s="31"/>
      <c r="J62" s="44"/>
      <c r="K62" s="44"/>
      <c r="L62" s="37">
        <f t="shared" si="0"/>
        <v>1</v>
      </c>
    </row>
    <row r="63" spans="2:12" x14ac:dyDescent="0.2">
      <c r="B63" s="11">
        <v>1111081</v>
      </c>
      <c r="C63" s="15" t="s">
        <v>51</v>
      </c>
      <c r="D63" s="31">
        <v>1</v>
      </c>
      <c r="E63" s="31"/>
      <c r="F63" s="31"/>
      <c r="G63" s="31"/>
      <c r="H63" s="31"/>
      <c r="I63" s="31"/>
      <c r="J63" s="44"/>
      <c r="K63" s="44"/>
      <c r="L63" s="37">
        <f t="shared" si="0"/>
        <v>1</v>
      </c>
    </row>
    <row r="64" spans="2:12" x14ac:dyDescent="0.2">
      <c r="B64" s="11">
        <v>1111082</v>
      </c>
      <c r="C64" s="15" t="s">
        <v>52</v>
      </c>
      <c r="D64" s="31">
        <v>1</v>
      </c>
      <c r="E64" s="31"/>
      <c r="F64" s="31"/>
      <c r="G64" s="31"/>
      <c r="H64" s="31"/>
      <c r="I64" s="31"/>
      <c r="J64" s="44"/>
      <c r="K64" s="44"/>
      <c r="L64" s="37">
        <f t="shared" si="0"/>
        <v>1</v>
      </c>
    </row>
    <row r="65" spans="2:12" x14ac:dyDescent="0.2">
      <c r="B65" s="11">
        <v>1111083</v>
      </c>
      <c r="C65" s="15" t="s">
        <v>53</v>
      </c>
      <c r="D65" s="31">
        <v>1</v>
      </c>
      <c r="E65" s="31"/>
      <c r="F65" s="31"/>
      <c r="G65" s="31"/>
      <c r="H65" s="31"/>
      <c r="I65" s="31"/>
      <c r="J65" s="44"/>
      <c r="K65" s="44"/>
      <c r="L65" s="37">
        <f t="shared" si="0"/>
        <v>1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1</v>
      </c>
      <c r="E69" s="31">
        <v>2</v>
      </c>
      <c r="F69" s="31"/>
      <c r="G69" s="31"/>
      <c r="H69" s="31"/>
      <c r="I69" s="31"/>
      <c r="J69" s="44"/>
      <c r="K69" s="44"/>
      <c r="L69" s="37">
        <f t="shared" ref="L69:L76" si="1">SUM(D69:K69)</f>
        <v>3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30</v>
      </c>
      <c r="E87" s="31">
        <v>6</v>
      </c>
      <c r="F87" s="31"/>
      <c r="G87" s="31"/>
      <c r="H87" s="31"/>
      <c r="I87" s="31"/>
      <c r="J87" s="44"/>
      <c r="K87" s="44"/>
      <c r="L87" s="37">
        <f t="shared" si="2"/>
        <v>36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>
        <v>1</v>
      </c>
      <c r="F90" s="31"/>
      <c r="G90" s="31"/>
      <c r="H90" s="31"/>
      <c r="I90" s="31"/>
      <c r="J90" s="44"/>
      <c r="K90" s="44"/>
      <c r="L90" s="37">
        <f t="shared" ref="L90:L99" si="3">SUM(D90:K90)</f>
        <v>1</v>
      </c>
    </row>
    <row r="91" spans="2:12" x14ac:dyDescent="0.2">
      <c r="B91" s="11">
        <v>1112011</v>
      </c>
      <c r="C91" s="20" t="s">
        <v>76</v>
      </c>
      <c r="D91" s="31"/>
      <c r="E91" s="31">
        <v>1</v>
      </c>
      <c r="F91" s="31"/>
      <c r="G91" s="31"/>
      <c r="H91" s="31"/>
      <c r="I91" s="31"/>
      <c r="J91" s="44"/>
      <c r="K91" s="44"/>
      <c r="L91" s="37">
        <f t="shared" si="3"/>
        <v>1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>
        <v>4</v>
      </c>
      <c r="E93" s="31"/>
      <c r="F93" s="31"/>
      <c r="G93" s="31"/>
      <c r="H93" s="31"/>
      <c r="I93" s="31"/>
      <c r="J93" s="44"/>
      <c r="K93" s="44"/>
      <c r="L93" s="37">
        <f t="shared" si="3"/>
        <v>4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>
        <v>1</v>
      </c>
      <c r="F98" s="31"/>
      <c r="G98" s="31"/>
      <c r="H98" s="31"/>
      <c r="I98" s="31"/>
      <c r="J98" s="44"/>
      <c r="K98" s="44"/>
      <c r="L98" s="37">
        <f t="shared" si="3"/>
        <v>1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>
        <v>3</v>
      </c>
      <c r="E114" s="31">
        <v>1</v>
      </c>
      <c r="F114" s="31"/>
      <c r="G114" s="31"/>
      <c r="H114" s="31"/>
      <c r="I114" s="31"/>
      <c r="J114" s="44"/>
      <c r="K114" s="44"/>
      <c r="L114" s="37">
        <f t="shared" ref="L114:L139" si="6">SUM(D114:K114)</f>
        <v>4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>
        <v>1</v>
      </c>
      <c r="F118" s="31"/>
      <c r="G118" s="31"/>
      <c r="H118" s="31"/>
      <c r="I118" s="31"/>
      <c r="J118" s="44"/>
      <c r="K118" s="44"/>
      <c r="L118" s="37">
        <f t="shared" si="6"/>
        <v>1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>
        <v>12</v>
      </c>
      <c r="H119" s="31"/>
      <c r="I119" s="31"/>
      <c r="J119" s="44"/>
      <c r="K119" s="44"/>
      <c r="L119" s="37">
        <f t="shared" si="6"/>
        <v>12</v>
      </c>
    </row>
    <row r="120" spans="2:12" x14ac:dyDescent="0.2">
      <c r="B120" s="11">
        <v>1100002</v>
      </c>
      <c r="C120" s="22" t="s">
        <v>123</v>
      </c>
      <c r="D120" s="31"/>
      <c r="E120" s="31">
        <v>2</v>
      </c>
      <c r="F120" s="31"/>
      <c r="G120" s="31">
        <v>3</v>
      </c>
      <c r="H120" s="31"/>
      <c r="I120" s="31"/>
      <c r="J120" s="44"/>
      <c r="K120" s="44"/>
      <c r="L120" s="37">
        <f t="shared" si="6"/>
        <v>5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>
        <v>29</v>
      </c>
      <c r="H123" s="31"/>
      <c r="I123" s="31"/>
      <c r="J123" s="44"/>
      <c r="K123" s="44"/>
      <c r="L123" s="37">
        <f t="shared" si="6"/>
        <v>29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>
        <v>29</v>
      </c>
      <c r="H124" s="31"/>
      <c r="I124" s="31"/>
      <c r="J124" s="44"/>
      <c r="K124" s="44"/>
      <c r="L124" s="37">
        <f t="shared" si="6"/>
        <v>29</v>
      </c>
    </row>
    <row r="125" spans="2:12" x14ac:dyDescent="0.2">
      <c r="B125" s="11">
        <v>1114503</v>
      </c>
      <c r="C125" s="22" t="s">
        <v>97</v>
      </c>
      <c r="D125" s="31">
        <v>1</v>
      </c>
      <c r="E125" s="31"/>
      <c r="F125" s="31"/>
      <c r="G125" s="31">
        <v>29</v>
      </c>
      <c r="H125" s="31"/>
      <c r="I125" s="31"/>
      <c r="J125" s="44"/>
      <c r="K125" s="44"/>
      <c r="L125" s="37">
        <f t="shared" si="6"/>
        <v>30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>
        <v>1</v>
      </c>
      <c r="F130" s="31"/>
      <c r="G130" s="31"/>
      <c r="H130" s="31"/>
      <c r="I130" s="31"/>
      <c r="J130" s="44"/>
      <c r="K130" s="44"/>
      <c r="L130" s="37">
        <f t="shared" si="6"/>
        <v>1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B1" zoomScale="50" zoomScaleNormal="50" workbookViewId="0">
      <selection activeCell="N130" sqref="N130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เช้า!D7+เย็น!D7+บ่าย!D7</f>
        <v>0</v>
      </c>
      <c r="E7" s="31">
        <f>เช้า!E7+เย็น!E7+บ่าย!E7</f>
        <v>8</v>
      </c>
      <c r="F7" s="31">
        <f>เช้า!F7+เย็น!F7+บ่าย!F7</f>
        <v>0</v>
      </c>
      <c r="G7" s="31">
        <f>เช้า!G7+เย็น!G7+บ่าย!G7</f>
        <v>0</v>
      </c>
      <c r="H7" s="31">
        <f>เช้า!H7+เย็น!H7+บ่าย!H7</f>
        <v>0</v>
      </c>
      <c r="I7" s="31">
        <f>เช้า!I7+เย็น!I7+บ่าย!I7</f>
        <v>0</v>
      </c>
      <c r="J7" s="31">
        <f>เช้า!J7+เย็น!J7+บ่าย!J7</f>
        <v>0</v>
      </c>
      <c r="K7" s="31">
        <f>เช้า!K7+เย็น!K7+บ่าย!K7</f>
        <v>0</v>
      </c>
      <c r="L7" s="37">
        <f>SUM(D7:K7)</f>
        <v>8</v>
      </c>
      <c r="M7" s="11"/>
      <c r="N7" s="11"/>
      <c r="O7" s="11"/>
      <c r="P7" s="11"/>
      <c r="Q7" s="45">
        <f>(M7+N7+O7+P7)-L7</f>
        <v>-8</v>
      </c>
    </row>
    <row r="8" spans="2:17" hidden="1" x14ac:dyDescent="0.2">
      <c r="B8" s="11"/>
      <c r="C8" s="15" t="s">
        <v>126</v>
      </c>
      <c r="D8" s="31">
        <f>เช้า!D8+เย็น!D8+บ่าย!D8</f>
        <v>0</v>
      </c>
      <c r="E8" s="31">
        <f>เช้า!E8+เย็น!E8+บ่าย!E8</f>
        <v>0</v>
      </c>
      <c r="F8" s="31">
        <f>เช้า!F8+เย็น!F8+บ่าย!F8</f>
        <v>0</v>
      </c>
      <c r="G8" s="31">
        <f>เช้า!G8+เย็น!G8+บ่าย!G8</f>
        <v>0</v>
      </c>
      <c r="H8" s="31">
        <f>เช้า!H8+เย็น!H8+บ่าย!H8</f>
        <v>0</v>
      </c>
      <c r="I8" s="31">
        <f>เช้า!I8+เย็น!I8+บ่าย!I8</f>
        <v>0</v>
      </c>
      <c r="J8" s="31">
        <f>เช้า!J8+เย็น!J8+บ่าย!J8</f>
        <v>0</v>
      </c>
      <c r="K8" s="31">
        <f>เช้า!K8+เย็น!K8+บ่าย!K8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เช้า!D9+เย็น!D9+บ่าย!D9</f>
        <v>0</v>
      </c>
      <c r="E9" s="31">
        <f>เช้า!E9+เย็น!E9+บ่าย!E9</f>
        <v>0</v>
      </c>
      <c r="F9" s="31">
        <f>เช้า!F9+เย็น!F9+บ่าย!F9</f>
        <v>0</v>
      </c>
      <c r="G9" s="31">
        <f>เช้า!G9+เย็น!G9+บ่าย!G9</f>
        <v>0</v>
      </c>
      <c r="H9" s="31">
        <f>เช้า!H9+เย็น!H9+บ่าย!H9</f>
        <v>0</v>
      </c>
      <c r="I9" s="31">
        <f>เช้า!I9+เย็น!I9+บ่าย!I9</f>
        <v>0</v>
      </c>
      <c r="J9" s="31">
        <f>เช้า!J9+เย็น!J9+บ่าย!J9</f>
        <v>0</v>
      </c>
      <c r="K9" s="31">
        <f>เช้า!K9+เย็น!K9+บ่าย!K9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เช้า!D10+เย็น!D10+บ่าย!D10</f>
        <v>0</v>
      </c>
      <c r="E10" s="31">
        <f>เช้า!E10+เย็น!E10+บ่าย!E10</f>
        <v>0</v>
      </c>
      <c r="F10" s="31">
        <f>เช้า!F10+เย็น!F10+บ่าย!F10</f>
        <v>0</v>
      </c>
      <c r="G10" s="31">
        <f>เช้า!G10+เย็น!G10+บ่าย!G10</f>
        <v>0</v>
      </c>
      <c r="H10" s="31">
        <f>เช้า!H10+เย็น!H10+บ่าย!H10</f>
        <v>0</v>
      </c>
      <c r="I10" s="31">
        <f>เช้า!I10+เย็น!I10+บ่าย!I10</f>
        <v>0</v>
      </c>
      <c r="J10" s="31">
        <f>เช้า!J10+เย็น!J10+บ่าย!J10</f>
        <v>0</v>
      </c>
      <c r="K10" s="31">
        <f>เช้า!K10+เย็น!K10+บ่าย!K10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เช้า!D11+เย็น!D11+บ่าย!D11</f>
        <v>0</v>
      </c>
      <c r="E11" s="31">
        <f>เช้า!E11+เย็น!E11+บ่าย!E11</f>
        <v>0</v>
      </c>
      <c r="F11" s="31">
        <f>เช้า!F11+เย็น!F11+บ่าย!F11</f>
        <v>0</v>
      </c>
      <c r="G11" s="31">
        <f>เช้า!G11+เย็น!G11+บ่าย!G11</f>
        <v>0</v>
      </c>
      <c r="H11" s="31">
        <f>เช้า!H11+เย็น!H11+บ่าย!H11</f>
        <v>0</v>
      </c>
      <c r="I11" s="31">
        <f>เช้า!I11+เย็น!I11+บ่าย!I11</f>
        <v>0</v>
      </c>
      <c r="J11" s="31">
        <f>เช้า!J11+เย็น!J11+บ่าย!J11</f>
        <v>0</v>
      </c>
      <c r="K11" s="31">
        <f>เช้า!K11+เย็น!K11+บ่าย!K11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เช้า!D12+เย็น!D12+บ่าย!D12</f>
        <v>0</v>
      </c>
      <c r="E12" s="31">
        <f>เช้า!E12+เย็น!E12+บ่าย!E12</f>
        <v>0</v>
      </c>
      <c r="F12" s="31">
        <f>เช้า!F12+เย็น!F12+บ่าย!F12</f>
        <v>0</v>
      </c>
      <c r="G12" s="31">
        <f>เช้า!G12+เย็น!G12+บ่าย!G12</f>
        <v>0</v>
      </c>
      <c r="H12" s="31">
        <f>เช้า!H12+เย็น!H12+บ่าย!H12</f>
        <v>0</v>
      </c>
      <c r="I12" s="31">
        <f>เช้า!I12+เย็น!I12+บ่าย!I12</f>
        <v>0</v>
      </c>
      <c r="J12" s="31">
        <f>เช้า!J12+เย็น!J12+บ่าย!J12</f>
        <v>0</v>
      </c>
      <c r="K12" s="31">
        <f>เช้า!K12+เย็น!K12+บ่าย!K12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เช้า!D13+เย็น!D13+บ่าย!D13</f>
        <v>0</v>
      </c>
      <c r="E13" s="31">
        <f>เช้า!E13+เย็น!E13+บ่าย!E13</f>
        <v>0</v>
      </c>
      <c r="F13" s="31">
        <f>เช้า!F13+เย็น!F13+บ่าย!F13</f>
        <v>0</v>
      </c>
      <c r="G13" s="31">
        <f>เช้า!G13+เย็น!G13+บ่าย!G13</f>
        <v>0</v>
      </c>
      <c r="H13" s="31">
        <f>เช้า!H13+เย็น!H13+บ่าย!H13</f>
        <v>0</v>
      </c>
      <c r="I13" s="31">
        <f>เช้า!I13+เย็น!I13+บ่าย!I13</f>
        <v>0</v>
      </c>
      <c r="J13" s="31">
        <f>เช้า!J13+เย็น!J13+บ่าย!J13</f>
        <v>0</v>
      </c>
      <c r="K13" s="31">
        <f>เช้า!K13+เย็น!K13+บ่าย!K13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เช้า!D14+เย็น!D14+บ่าย!D14</f>
        <v>0</v>
      </c>
      <c r="E14" s="31">
        <f>เช้า!E14+เย็น!E14+บ่าย!E14</f>
        <v>0</v>
      </c>
      <c r="F14" s="31">
        <f>เช้า!F14+เย็น!F14+บ่าย!F14</f>
        <v>0</v>
      </c>
      <c r="G14" s="31">
        <f>เช้า!G14+เย็น!G14+บ่าย!G14</f>
        <v>0</v>
      </c>
      <c r="H14" s="31">
        <f>เช้า!H14+เย็น!H14+บ่าย!H14</f>
        <v>0</v>
      </c>
      <c r="I14" s="31">
        <f>เช้า!I14+เย็น!I14+บ่าย!I14</f>
        <v>0</v>
      </c>
      <c r="J14" s="31">
        <f>เช้า!J14+เย็น!J14+บ่าย!J14</f>
        <v>0</v>
      </c>
      <c r="K14" s="31">
        <f>เช้า!K14+เย็น!K14+บ่าย!K14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เช้า!D15+เย็น!D15+บ่าย!D15</f>
        <v>0</v>
      </c>
      <c r="E15" s="31">
        <f>เช้า!E15+เย็น!E15+บ่าย!E15</f>
        <v>0</v>
      </c>
      <c r="F15" s="31">
        <f>เช้า!F15+เย็น!F15+บ่าย!F15</f>
        <v>0</v>
      </c>
      <c r="G15" s="31">
        <f>เช้า!G15+เย็น!G15+บ่าย!G15</f>
        <v>0</v>
      </c>
      <c r="H15" s="31">
        <f>เช้า!H15+เย็น!H15+บ่าย!H15</f>
        <v>0</v>
      </c>
      <c r="I15" s="31">
        <f>เช้า!I15+เย็น!I15+บ่าย!I15</f>
        <v>0</v>
      </c>
      <c r="J15" s="31">
        <f>เช้า!J15+เย็น!J15+บ่าย!J15</f>
        <v>0</v>
      </c>
      <c r="K15" s="31">
        <f>เช้า!K15+เย็น!K15+บ่าย!K15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เช้า!D16+เย็น!D16+บ่าย!D16</f>
        <v>0</v>
      </c>
      <c r="E16" s="31">
        <f>เช้า!E16+เย็น!E16+บ่าย!E16</f>
        <v>0</v>
      </c>
      <c r="F16" s="31">
        <f>เช้า!F16+เย็น!F16+บ่าย!F16</f>
        <v>0</v>
      </c>
      <c r="G16" s="31">
        <f>เช้า!G16+เย็น!G16+บ่าย!G16</f>
        <v>0</v>
      </c>
      <c r="H16" s="31">
        <f>เช้า!H16+เย็น!H16+บ่าย!H16</f>
        <v>0</v>
      </c>
      <c r="I16" s="31">
        <f>เช้า!I16+เย็น!I16+บ่าย!I16</f>
        <v>0</v>
      </c>
      <c r="J16" s="31">
        <f>เช้า!J16+เย็น!J16+บ่าย!J16</f>
        <v>0</v>
      </c>
      <c r="K16" s="31">
        <f>เช้า!K16+เย็น!K16+บ่าย!K16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เช้า!D17+เย็น!D17+บ่าย!D17</f>
        <v>0</v>
      </c>
      <c r="E17" s="31">
        <f>เช้า!E17+เย็น!E17+บ่าย!E17</f>
        <v>0</v>
      </c>
      <c r="F17" s="31">
        <f>เช้า!F17+เย็น!F17+บ่าย!F17</f>
        <v>0</v>
      </c>
      <c r="G17" s="31">
        <f>เช้า!G17+เย็น!G17+บ่าย!G17</f>
        <v>0</v>
      </c>
      <c r="H17" s="31">
        <f>เช้า!H17+เย็น!H17+บ่าย!H17</f>
        <v>0</v>
      </c>
      <c r="I17" s="31">
        <f>เช้า!I17+เย็น!I17+บ่าย!I17</f>
        <v>0</v>
      </c>
      <c r="J17" s="31">
        <f>เช้า!J17+เย็น!J17+บ่าย!J17</f>
        <v>0</v>
      </c>
      <c r="K17" s="31">
        <f>เช้า!K17+เย็น!K17+บ่าย!K17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เช้า!D18+เย็น!D18+บ่าย!D18</f>
        <v>0</v>
      </c>
      <c r="E18" s="31">
        <f>เช้า!E18+เย็น!E18+บ่าย!E18</f>
        <v>0</v>
      </c>
      <c r="F18" s="31">
        <f>เช้า!F18+เย็น!F18+บ่าย!F18</f>
        <v>0</v>
      </c>
      <c r="G18" s="31">
        <f>เช้า!G18+เย็น!G18+บ่าย!G18</f>
        <v>0</v>
      </c>
      <c r="H18" s="31">
        <f>เช้า!H18+เย็น!H18+บ่าย!H18</f>
        <v>0</v>
      </c>
      <c r="I18" s="31">
        <f>เช้า!I18+เย็น!I18+บ่าย!I18</f>
        <v>0</v>
      </c>
      <c r="J18" s="31">
        <f>เช้า!J18+เย็น!J18+บ่าย!J18</f>
        <v>0</v>
      </c>
      <c r="K18" s="31">
        <f>เช้า!K18+เย็น!K18+บ่าย!K18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เช้า!D19+เย็น!D19+บ่าย!D19</f>
        <v>0</v>
      </c>
      <c r="E19" s="31">
        <f>เช้า!E19+เย็น!E19+บ่าย!E19</f>
        <v>0</v>
      </c>
      <c r="F19" s="31">
        <f>เช้า!F19+เย็น!F19+บ่าย!F19</f>
        <v>0</v>
      </c>
      <c r="G19" s="31">
        <f>เช้า!G19+เย็น!G19+บ่าย!G19</f>
        <v>0</v>
      </c>
      <c r="H19" s="31">
        <f>เช้า!H19+เย็น!H19+บ่าย!H19</f>
        <v>0</v>
      </c>
      <c r="I19" s="31">
        <f>เช้า!I19+เย็น!I19+บ่าย!I19</f>
        <v>0</v>
      </c>
      <c r="J19" s="31">
        <f>เช้า!J19+เย็น!J19+บ่าย!J19</f>
        <v>0</v>
      </c>
      <c r="K19" s="31">
        <f>เช้า!K19+เย็น!K19+บ่าย!K19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เช้า!D20+เย็น!D20+บ่าย!D20</f>
        <v>0</v>
      </c>
      <c r="E20" s="31">
        <f>เช้า!E20+เย็น!E20+บ่าย!E20</f>
        <v>0</v>
      </c>
      <c r="F20" s="31">
        <f>เช้า!F20+เย็น!F20+บ่าย!F20</f>
        <v>0</v>
      </c>
      <c r="G20" s="31">
        <f>เช้า!G20+เย็น!G20+บ่าย!G20</f>
        <v>0</v>
      </c>
      <c r="H20" s="31">
        <f>เช้า!H20+เย็น!H20+บ่าย!H20</f>
        <v>0</v>
      </c>
      <c r="I20" s="31">
        <f>เช้า!I20+เย็น!I20+บ่าย!I20</f>
        <v>0</v>
      </c>
      <c r="J20" s="31">
        <f>เช้า!J20+เย็น!J20+บ่าย!J20</f>
        <v>0</v>
      </c>
      <c r="K20" s="31">
        <f>เช้า!K20+เย็น!K20+บ่าย!K20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เช้า!D21+เย็น!D21+บ่าย!D21</f>
        <v>0</v>
      </c>
      <c r="E21" s="31">
        <f>เช้า!E21+เย็น!E21+บ่าย!E21</f>
        <v>0</v>
      </c>
      <c r="F21" s="31">
        <f>เช้า!F21+เย็น!F21+บ่าย!F21</f>
        <v>0</v>
      </c>
      <c r="G21" s="31">
        <f>เช้า!G21+เย็น!G21+บ่าย!G21</f>
        <v>0</v>
      </c>
      <c r="H21" s="31">
        <f>เช้า!H21+เย็น!H21+บ่าย!H21</f>
        <v>0</v>
      </c>
      <c r="I21" s="31">
        <f>เช้า!I21+เย็น!I21+บ่าย!I21</f>
        <v>0</v>
      </c>
      <c r="J21" s="31">
        <f>เช้า!J21+เย็น!J21+บ่าย!J21</f>
        <v>0</v>
      </c>
      <c r="K21" s="31">
        <f>เช้า!K21+เย็น!K21+บ่าย!K21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เช้า!D22+เย็น!D22+บ่าย!D22</f>
        <v>0</v>
      </c>
      <c r="E22" s="31">
        <f>เช้า!E22+เย็น!E22+บ่าย!E22</f>
        <v>0</v>
      </c>
      <c r="F22" s="31">
        <f>เช้า!F22+เย็น!F22+บ่าย!F22</f>
        <v>0</v>
      </c>
      <c r="G22" s="31">
        <f>เช้า!G22+เย็น!G22+บ่าย!G22</f>
        <v>0</v>
      </c>
      <c r="H22" s="31">
        <f>เช้า!H22+เย็น!H22+บ่าย!H22</f>
        <v>0</v>
      </c>
      <c r="I22" s="31">
        <f>เช้า!I22+เย็น!I22+บ่าย!I22</f>
        <v>0</v>
      </c>
      <c r="J22" s="31">
        <f>เช้า!J22+เย็น!J22+บ่าย!J22</f>
        <v>0</v>
      </c>
      <c r="K22" s="31">
        <f>เช้า!K22+เย็น!K22+บ่าย!K22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เช้า!D23+เย็น!D23+บ่าย!D23</f>
        <v>0</v>
      </c>
      <c r="E23" s="31">
        <f>เช้า!E23+เย็น!E23+บ่าย!E23</f>
        <v>0</v>
      </c>
      <c r="F23" s="31">
        <f>เช้า!F23+เย็น!F23+บ่าย!F23</f>
        <v>0</v>
      </c>
      <c r="G23" s="31">
        <f>เช้า!G23+เย็น!G23+บ่าย!G23</f>
        <v>0</v>
      </c>
      <c r="H23" s="31">
        <f>เช้า!H23+เย็น!H23+บ่าย!H23</f>
        <v>0</v>
      </c>
      <c r="I23" s="31">
        <f>เช้า!I23+เย็น!I23+บ่าย!I23</f>
        <v>0</v>
      </c>
      <c r="J23" s="31">
        <f>เช้า!J23+เย็น!J23+บ่าย!J23</f>
        <v>0</v>
      </c>
      <c r="K23" s="31">
        <f>เช้า!K23+เย็น!K23+บ่าย!K23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เช้า!D24+เย็น!D24+บ่าย!D24</f>
        <v>0</v>
      </c>
      <c r="E24" s="31">
        <f>เช้า!E24+เย็น!E24+บ่าย!E24</f>
        <v>0</v>
      </c>
      <c r="F24" s="31">
        <f>เช้า!F24+เย็น!F24+บ่าย!F24</f>
        <v>0</v>
      </c>
      <c r="G24" s="31">
        <f>เช้า!G24+เย็น!G24+บ่าย!G24</f>
        <v>0</v>
      </c>
      <c r="H24" s="31">
        <f>เช้า!H24+เย็น!H24+บ่าย!H24</f>
        <v>0</v>
      </c>
      <c r="I24" s="31">
        <f>เช้า!I24+เย็น!I24+บ่าย!I24</f>
        <v>0</v>
      </c>
      <c r="J24" s="31">
        <f>เช้า!J24+เย็น!J24+บ่าย!J24</f>
        <v>0</v>
      </c>
      <c r="K24" s="31">
        <f>เช้า!K24+เย็น!K24+บ่าย!K24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เช้า!D25+เย็น!D25+บ่าย!D25</f>
        <v>1</v>
      </c>
      <c r="E25" s="31">
        <f>เช้า!E25+เย็น!E25+บ่าย!E25</f>
        <v>3</v>
      </c>
      <c r="F25" s="31">
        <f>เช้า!F25+เย็น!F25+บ่าย!F25</f>
        <v>12</v>
      </c>
      <c r="G25" s="31">
        <f>เช้า!G25+เย็น!G25+บ่าย!G25</f>
        <v>0</v>
      </c>
      <c r="H25" s="31">
        <f>เช้า!H25+เย็น!H25+บ่าย!H25</f>
        <v>0</v>
      </c>
      <c r="I25" s="31">
        <f>เช้า!I25+เย็น!I25+บ่าย!I25</f>
        <v>0</v>
      </c>
      <c r="J25" s="31">
        <f>เช้า!J25+เย็น!J25+บ่าย!J25</f>
        <v>0</v>
      </c>
      <c r="K25" s="31">
        <f>เช้า!K25+เย็น!K25+บ่าย!K25</f>
        <v>0</v>
      </c>
      <c r="L25" s="37">
        <f t="shared" si="0"/>
        <v>16</v>
      </c>
      <c r="M25" s="11"/>
      <c r="N25" s="11"/>
      <c r="O25" s="11"/>
      <c r="P25" s="11"/>
      <c r="Q25" s="45">
        <f t="shared" si="1"/>
        <v>-16</v>
      </c>
    </row>
    <row r="26" spans="2:17" x14ac:dyDescent="0.2">
      <c r="B26" s="11">
        <v>1004055</v>
      </c>
      <c r="C26" s="15" t="s">
        <v>108</v>
      </c>
      <c r="D26" s="31">
        <f>เช้า!D26+เย็น!D26+บ่าย!D26</f>
        <v>0</v>
      </c>
      <c r="E26" s="31">
        <f>เช้า!E26+เย็น!E26+บ่าย!E26</f>
        <v>0</v>
      </c>
      <c r="F26" s="31">
        <f>เช้า!F26+เย็น!F26+บ่าย!F26</f>
        <v>0</v>
      </c>
      <c r="G26" s="31">
        <f>เช้า!G26+เย็น!G26+บ่าย!G26</f>
        <v>3</v>
      </c>
      <c r="H26" s="31">
        <f>เช้า!H26+เย็น!H26+บ่าย!H26</f>
        <v>0</v>
      </c>
      <c r="I26" s="31">
        <f>เช้า!I26+เย็น!I26+บ่าย!I26</f>
        <v>0</v>
      </c>
      <c r="J26" s="31">
        <f>เช้า!J26+เย็น!J26+บ่าย!J26</f>
        <v>0</v>
      </c>
      <c r="K26" s="31">
        <f>เช้า!K26+เย็น!K26+บ่าย!K26</f>
        <v>0</v>
      </c>
      <c r="L26" s="37">
        <f t="shared" si="0"/>
        <v>3</v>
      </c>
      <c r="M26" s="11"/>
      <c r="N26" s="11"/>
      <c r="O26" s="11"/>
      <c r="P26" s="11"/>
      <c r="Q26" s="45">
        <f t="shared" si="1"/>
        <v>-3</v>
      </c>
    </row>
    <row r="27" spans="2:17" hidden="1" x14ac:dyDescent="0.2">
      <c r="B27" s="11">
        <v>1004055</v>
      </c>
      <c r="C27" s="15" t="s">
        <v>109</v>
      </c>
      <c r="D27" s="31">
        <f>เช้า!D27+เย็น!D27+บ่าย!D27</f>
        <v>0</v>
      </c>
      <c r="E27" s="31">
        <f>เช้า!E27+เย็น!E27+บ่าย!E27</f>
        <v>0</v>
      </c>
      <c r="F27" s="31">
        <f>เช้า!F27+เย็น!F27+บ่าย!F27</f>
        <v>0</v>
      </c>
      <c r="G27" s="31">
        <f>เช้า!G27+เย็น!G27+บ่าย!G27</f>
        <v>0</v>
      </c>
      <c r="H27" s="31">
        <f>เช้า!H27+เย็น!H27+บ่าย!H27</f>
        <v>0</v>
      </c>
      <c r="I27" s="31">
        <f>เช้า!I27+เย็น!I27+บ่าย!I27</f>
        <v>0</v>
      </c>
      <c r="J27" s="31">
        <f>เช้า!J27+เย็น!J27+บ่าย!J27</f>
        <v>0</v>
      </c>
      <c r="K27" s="31">
        <f>เช้า!K27+เย็น!K27+บ่าย!K27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เช้า!D28+เย็น!D28+บ่าย!D28</f>
        <v>0</v>
      </c>
      <c r="E28" s="31">
        <f>เช้า!E28+เย็น!E28+บ่าย!E28</f>
        <v>0</v>
      </c>
      <c r="F28" s="31">
        <f>เช้า!F28+เย็น!F28+บ่าย!F28</f>
        <v>0</v>
      </c>
      <c r="G28" s="31">
        <f>เช้า!G28+เย็น!G28+บ่าย!G28</f>
        <v>0</v>
      </c>
      <c r="H28" s="31">
        <f>เช้า!H28+เย็น!H28+บ่าย!H28</f>
        <v>0</v>
      </c>
      <c r="I28" s="31">
        <f>เช้า!I28+เย็น!I28+บ่าย!I28</f>
        <v>0</v>
      </c>
      <c r="J28" s="31">
        <f>เช้า!J28+เย็น!J28+บ่าย!J28</f>
        <v>0</v>
      </c>
      <c r="K28" s="31">
        <f>เช้า!K28+เย็น!K28+บ่าย!K28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เช้า!D29+เย็น!D29+บ่าย!D29</f>
        <v>0</v>
      </c>
      <c r="E29" s="31">
        <f>เช้า!E29+เย็น!E29+บ่าย!E29</f>
        <v>0</v>
      </c>
      <c r="F29" s="31">
        <f>เช้า!F29+เย็น!F29+บ่าย!F29</f>
        <v>0</v>
      </c>
      <c r="G29" s="31">
        <f>เช้า!G29+เย็น!G29+บ่าย!G29</f>
        <v>0</v>
      </c>
      <c r="H29" s="31">
        <f>เช้า!H29+เย็น!H29+บ่าย!H29</f>
        <v>0</v>
      </c>
      <c r="I29" s="31">
        <f>เช้า!I29+เย็น!I29+บ่าย!I29</f>
        <v>0</v>
      </c>
      <c r="J29" s="31">
        <f>เช้า!J29+เย็น!J29+บ่าย!J29</f>
        <v>0</v>
      </c>
      <c r="K29" s="31">
        <f>เช้า!K29+เย็น!K29+บ่าย!K29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เช้า!D30+เย็น!D30+บ่าย!D30</f>
        <v>0</v>
      </c>
      <c r="E30" s="31">
        <f>เช้า!E30+เย็น!E30+บ่าย!E30</f>
        <v>0</v>
      </c>
      <c r="F30" s="31">
        <f>เช้า!F30+เย็น!F30+บ่าย!F30</f>
        <v>0</v>
      </c>
      <c r="G30" s="31">
        <f>เช้า!G30+เย็น!G30+บ่าย!G30</f>
        <v>0</v>
      </c>
      <c r="H30" s="31">
        <f>เช้า!H30+เย็น!H30+บ่าย!H30</f>
        <v>0</v>
      </c>
      <c r="I30" s="31">
        <f>เช้า!I30+เย็น!I30+บ่าย!I30</f>
        <v>0</v>
      </c>
      <c r="J30" s="31">
        <f>เช้า!J30+เย็น!J30+บ่าย!J30</f>
        <v>0</v>
      </c>
      <c r="K30" s="31">
        <f>เช้า!K30+เย็น!K30+บ่าย!K30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เช้า!D31+เย็น!D31+บ่าย!D31</f>
        <v>0</v>
      </c>
      <c r="E31" s="31">
        <f>เช้า!E31+เย็น!E31+บ่าย!E31</f>
        <v>0</v>
      </c>
      <c r="F31" s="31">
        <f>เช้า!F31+เย็น!F31+บ่าย!F31</f>
        <v>0</v>
      </c>
      <c r="G31" s="31">
        <f>เช้า!G31+เย็น!G31+บ่าย!G31</f>
        <v>0</v>
      </c>
      <c r="H31" s="31">
        <f>เช้า!H31+เย็น!H31+บ่าย!H31</f>
        <v>0</v>
      </c>
      <c r="I31" s="31">
        <f>เช้า!I31+เย็น!I31+บ่าย!I31</f>
        <v>0</v>
      </c>
      <c r="J31" s="31">
        <f>เช้า!J31+เย็น!J31+บ่าย!J31</f>
        <v>0</v>
      </c>
      <c r="K31" s="31">
        <f>เช้า!K31+เย็น!K31+บ่าย!K31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เช้า!D32+เย็น!D32+บ่าย!D32</f>
        <v>0</v>
      </c>
      <c r="E32" s="31">
        <f>เช้า!E32+เย็น!E32+บ่าย!E32</f>
        <v>0</v>
      </c>
      <c r="F32" s="31">
        <f>เช้า!F32+เย็น!F32+บ่าย!F32</f>
        <v>0</v>
      </c>
      <c r="G32" s="31">
        <f>เช้า!G32+เย็น!G32+บ่าย!G32</f>
        <v>0</v>
      </c>
      <c r="H32" s="31">
        <f>เช้า!H32+เย็น!H32+บ่าย!H32</f>
        <v>0</v>
      </c>
      <c r="I32" s="31">
        <f>เช้า!I32+เย็น!I32+บ่าย!I32</f>
        <v>0</v>
      </c>
      <c r="J32" s="31">
        <f>เช้า!J32+เย็น!J32+บ่าย!J32</f>
        <v>0</v>
      </c>
      <c r="K32" s="31">
        <f>เช้า!K32+เย็น!K32+บ่าย!K32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เช้า!D33+เย็น!D33+บ่าย!D33</f>
        <v>0</v>
      </c>
      <c r="E33" s="31">
        <f>เช้า!E33+เย็น!E33+บ่าย!E33</f>
        <v>0</v>
      </c>
      <c r="F33" s="31">
        <f>เช้า!F33+เย็น!F33+บ่าย!F33</f>
        <v>0</v>
      </c>
      <c r="G33" s="31">
        <f>เช้า!G33+เย็น!G33+บ่าย!G33</f>
        <v>0</v>
      </c>
      <c r="H33" s="31">
        <f>เช้า!H33+เย็น!H33+บ่าย!H33</f>
        <v>0</v>
      </c>
      <c r="I33" s="31">
        <f>เช้า!I33+เย็น!I33+บ่าย!I33</f>
        <v>0</v>
      </c>
      <c r="J33" s="31">
        <f>เช้า!J33+เย็น!J33+บ่าย!J33</f>
        <v>0</v>
      </c>
      <c r="K33" s="31">
        <f>เช้า!K33+เย็น!K33+บ่าย!K33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เช้า!D34+เย็น!D34+บ่าย!D34</f>
        <v>0</v>
      </c>
      <c r="E34" s="31">
        <f>เช้า!E34+เย็น!E34+บ่าย!E34</f>
        <v>0</v>
      </c>
      <c r="F34" s="31">
        <f>เช้า!F34+เย็น!F34+บ่าย!F34</f>
        <v>0</v>
      </c>
      <c r="G34" s="31">
        <f>เช้า!G34+เย็น!G34+บ่าย!G34</f>
        <v>0</v>
      </c>
      <c r="H34" s="31">
        <f>เช้า!H34+เย็น!H34+บ่าย!H34</f>
        <v>0</v>
      </c>
      <c r="I34" s="31">
        <f>เช้า!I34+เย็น!I34+บ่าย!I34</f>
        <v>0</v>
      </c>
      <c r="J34" s="31">
        <f>เช้า!J34+เย็น!J34+บ่าย!J34</f>
        <v>0</v>
      </c>
      <c r="K34" s="31">
        <f>เช้า!K34+เย็น!K34+บ่าย!K34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เช้า!D35+เย็น!D35+บ่าย!D35</f>
        <v>0</v>
      </c>
      <c r="E35" s="31">
        <f>เช้า!E35+เย็น!E35+บ่าย!E35</f>
        <v>0</v>
      </c>
      <c r="F35" s="31">
        <f>เช้า!F35+เย็น!F35+บ่าย!F35</f>
        <v>0</v>
      </c>
      <c r="G35" s="31">
        <f>เช้า!G35+เย็น!G35+บ่าย!G35</f>
        <v>0</v>
      </c>
      <c r="H35" s="31">
        <f>เช้า!H35+เย็น!H35+บ่าย!H35</f>
        <v>0</v>
      </c>
      <c r="I35" s="31">
        <f>เช้า!I35+เย็น!I35+บ่าย!I35</f>
        <v>0</v>
      </c>
      <c r="J35" s="31">
        <f>เช้า!J35+เย็น!J35+บ่าย!J35</f>
        <v>0</v>
      </c>
      <c r="K35" s="31">
        <f>เช้า!K35+เย็น!K35+บ่าย!K35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เช้า!D36+เย็น!D36+บ่าย!D36</f>
        <v>0</v>
      </c>
      <c r="E36" s="31">
        <f>เช้า!E36+เย็น!E36+บ่าย!E36</f>
        <v>0</v>
      </c>
      <c r="F36" s="31">
        <f>เช้า!F36+เย็น!F36+บ่าย!F36</f>
        <v>0</v>
      </c>
      <c r="G36" s="31">
        <f>เช้า!G36+เย็น!G36+บ่าย!G36</f>
        <v>0</v>
      </c>
      <c r="H36" s="31">
        <f>เช้า!H36+เย็น!H36+บ่าย!H36</f>
        <v>0</v>
      </c>
      <c r="I36" s="31">
        <f>เช้า!I36+เย็น!I36+บ่าย!I36</f>
        <v>0</v>
      </c>
      <c r="J36" s="31">
        <f>เช้า!J36+เย็น!J36+บ่าย!J36</f>
        <v>0</v>
      </c>
      <c r="K36" s="31">
        <f>เช้า!K36+เย็น!K36+บ่าย!K36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เช้า!D37+เย็น!D37+บ่าย!D37</f>
        <v>0</v>
      </c>
      <c r="E37" s="31">
        <f>เช้า!E37+เย็น!E37+บ่าย!E37</f>
        <v>0</v>
      </c>
      <c r="F37" s="31">
        <f>เช้า!F37+เย็น!F37+บ่าย!F37</f>
        <v>0</v>
      </c>
      <c r="G37" s="31">
        <f>เช้า!G37+เย็น!G37+บ่าย!G37</f>
        <v>0</v>
      </c>
      <c r="H37" s="31">
        <f>เช้า!H37+เย็น!H37+บ่าย!H37</f>
        <v>0</v>
      </c>
      <c r="I37" s="31">
        <f>เช้า!I37+เย็น!I37+บ่าย!I37</f>
        <v>0</v>
      </c>
      <c r="J37" s="31">
        <f>เช้า!J37+เย็น!J37+บ่าย!J37</f>
        <v>0</v>
      </c>
      <c r="K37" s="31">
        <f>เช้า!K37+เย็น!K37+บ่าย!K37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เช้า!D38+เย็น!D38+บ่าย!D38</f>
        <v>0</v>
      </c>
      <c r="E38" s="31">
        <f>เช้า!E38+เย็น!E38+บ่าย!E38</f>
        <v>0</v>
      </c>
      <c r="F38" s="31">
        <f>เช้า!F38+เย็น!F38+บ่าย!F38</f>
        <v>0</v>
      </c>
      <c r="G38" s="31">
        <f>เช้า!G38+เย็น!G38+บ่าย!G38</f>
        <v>0</v>
      </c>
      <c r="H38" s="31">
        <f>เช้า!H38+เย็น!H38+บ่าย!H38</f>
        <v>0</v>
      </c>
      <c r="I38" s="31">
        <f>เช้า!I38+เย็น!I38+บ่าย!I38</f>
        <v>0</v>
      </c>
      <c r="J38" s="31">
        <f>เช้า!J38+เย็น!J38+บ่าย!J38</f>
        <v>0</v>
      </c>
      <c r="K38" s="31">
        <f>เช้า!K38+เย็น!K38+บ่าย!K38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เช้า!D39+เย็น!D39+บ่าย!D39</f>
        <v>0</v>
      </c>
      <c r="E39" s="31">
        <f>เช้า!E39+เย็น!E39+บ่าย!E39</f>
        <v>0</v>
      </c>
      <c r="F39" s="31">
        <f>เช้า!F39+เย็น!F39+บ่าย!F39</f>
        <v>0</v>
      </c>
      <c r="G39" s="31">
        <f>เช้า!G39+เย็น!G39+บ่าย!G39</f>
        <v>0</v>
      </c>
      <c r="H39" s="31">
        <f>เช้า!H39+เย็น!H39+บ่าย!H39</f>
        <v>0</v>
      </c>
      <c r="I39" s="31">
        <f>เช้า!I39+เย็น!I39+บ่าย!I39</f>
        <v>0</v>
      </c>
      <c r="J39" s="31">
        <f>เช้า!J39+เย็น!J39+บ่าย!J39</f>
        <v>0</v>
      </c>
      <c r="K39" s="31">
        <f>เช้า!K39+เย็น!K39+บ่าย!K39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เช้า!D40+เย็น!D40+บ่าย!D40</f>
        <v>0</v>
      </c>
      <c r="E40" s="31">
        <f>เช้า!E40+เย็น!E40+บ่าย!E40</f>
        <v>0</v>
      </c>
      <c r="F40" s="31">
        <f>เช้า!F40+เย็น!F40+บ่าย!F40</f>
        <v>3</v>
      </c>
      <c r="G40" s="31">
        <f>เช้า!G40+เย็น!G40+บ่าย!G40</f>
        <v>0</v>
      </c>
      <c r="H40" s="31">
        <f>เช้า!H40+เย็น!H40+บ่าย!H40</f>
        <v>0</v>
      </c>
      <c r="I40" s="31">
        <f>เช้า!I40+เย็น!I40+บ่าย!I40</f>
        <v>0</v>
      </c>
      <c r="J40" s="31">
        <f>เช้า!J40+เย็น!J40+บ่าย!J40</f>
        <v>0</v>
      </c>
      <c r="K40" s="31">
        <f>เช้า!K40+เย็น!K40+บ่าย!K40</f>
        <v>0</v>
      </c>
      <c r="L40" s="37">
        <f t="shared" si="0"/>
        <v>3</v>
      </c>
      <c r="M40" s="11"/>
      <c r="N40" s="11"/>
      <c r="O40" s="11"/>
      <c r="P40" s="11"/>
      <c r="Q40" s="45">
        <f t="shared" si="1"/>
        <v>-3</v>
      </c>
    </row>
    <row r="41" spans="2:17" x14ac:dyDescent="0.2">
      <c r="B41" s="11">
        <v>1111058</v>
      </c>
      <c r="C41" s="15" t="s">
        <v>31</v>
      </c>
      <c r="D41" s="31">
        <f>เช้า!D41+เย็น!D41+บ่าย!D41</f>
        <v>0</v>
      </c>
      <c r="E41" s="31">
        <f>เช้า!E41+เย็น!E41+บ่าย!E41</f>
        <v>0</v>
      </c>
      <c r="F41" s="31">
        <f>เช้า!F41+เย็น!F41+บ่าย!F41</f>
        <v>3</v>
      </c>
      <c r="G41" s="31">
        <f>เช้า!G41+เย็น!G41+บ่าย!G41</f>
        <v>0</v>
      </c>
      <c r="H41" s="31">
        <f>เช้า!H41+เย็น!H41+บ่าย!H41</f>
        <v>0</v>
      </c>
      <c r="I41" s="31">
        <f>เช้า!I41+เย็น!I41+บ่าย!I41</f>
        <v>0</v>
      </c>
      <c r="J41" s="31">
        <f>เช้า!J41+เย็น!J41+บ่าย!J41</f>
        <v>0</v>
      </c>
      <c r="K41" s="31">
        <f>เช้า!K41+เย็น!K41+บ่าย!K41</f>
        <v>0</v>
      </c>
      <c r="L41" s="37">
        <f t="shared" si="0"/>
        <v>3</v>
      </c>
      <c r="M41" s="11"/>
      <c r="N41" s="11"/>
      <c r="O41" s="11"/>
      <c r="P41" s="11"/>
      <c r="Q41" s="45">
        <f t="shared" si="1"/>
        <v>-3</v>
      </c>
    </row>
    <row r="42" spans="2:17" x14ac:dyDescent="0.2">
      <c r="B42" s="11">
        <v>1111059</v>
      </c>
      <c r="C42" s="15" t="s">
        <v>32</v>
      </c>
      <c r="D42" s="31">
        <f>เช้า!D42+เย็น!D42+บ่าย!D42</f>
        <v>0</v>
      </c>
      <c r="E42" s="31">
        <f>เช้า!E42+เย็น!E42+บ่าย!E42</f>
        <v>0</v>
      </c>
      <c r="F42" s="31">
        <f>เช้า!F42+เย็น!F42+บ่าย!F42</f>
        <v>3</v>
      </c>
      <c r="G42" s="31">
        <f>เช้า!G42+เย็น!G42+บ่าย!G42</f>
        <v>0</v>
      </c>
      <c r="H42" s="31">
        <f>เช้า!H42+เย็น!H42+บ่าย!H42</f>
        <v>0</v>
      </c>
      <c r="I42" s="31">
        <f>เช้า!I42+เย็น!I42+บ่าย!I42</f>
        <v>0</v>
      </c>
      <c r="J42" s="31">
        <f>เช้า!J42+เย็น!J42+บ่าย!J42</f>
        <v>0</v>
      </c>
      <c r="K42" s="31">
        <f>เช้า!K42+เย็น!K42+บ่าย!K42</f>
        <v>0</v>
      </c>
      <c r="L42" s="37">
        <f t="shared" si="0"/>
        <v>3</v>
      </c>
      <c r="M42" s="11"/>
      <c r="N42" s="11"/>
      <c r="O42" s="11"/>
      <c r="P42" s="11"/>
      <c r="Q42" s="45">
        <f t="shared" si="1"/>
        <v>-3</v>
      </c>
    </row>
    <row r="43" spans="2:17" x14ac:dyDescent="0.2">
      <c r="B43" s="11">
        <v>1111060</v>
      </c>
      <c r="C43" s="15" t="s">
        <v>33</v>
      </c>
      <c r="D43" s="31">
        <f>เช้า!D43+เย็น!D43+บ่าย!D43</f>
        <v>0</v>
      </c>
      <c r="E43" s="31">
        <f>เช้า!E43+เย็น!E43+บ่าย!E43</f>
        <v>0</v>
      </c>
      <c r="F43" s="31">
        <f>เช้า!F43+เย็น!F43+บ่าย!F43</f>
        <v>3</v>
      </c>
      <c r="G43" s="31">
        <f>เช้า!G43+เย็น!G43+บ่าย!G43</f>
        <v>0</v>
      </c>
      <c r="H43" s="31">
        <f>เช้า!H43+เย็น!H43+บ่าย!H43</f>
        <v>0</v>
      </c>
      <c r="I43" s="31">
        <f>เช้า!I43+เย็น!I43+บ่าย!I43</f>
        <v>0</v>
      </c>
      <c r="J43" s="31">
        <f>เช้า!J43+เย็น!J43+บ่าย!J43</f>
        <v>0</v>
      </c>
      <c r="K43" s="31">
        <f>เช้า!K43+เย็น!K43+บ่าย!K43</f>
        <v>0</v>
      </c>
      <c r="L43" s="37">
        <f t="shared" si="0"/>
        <v>3</v>
      </c>
      <c r="M43" s="11"/>
      <c r="N43" s="11"/>
      <c r="O43" s="11"/>
      <c r="P43" s="11"/>
      <c r="Q43" s="45">
        <f t="shared" si="1"/>
        <v>-3</v>
      </c>
    </row>
    <row r="44" spans="2:17" x14ac:dyDescent="0.2">
      <c r="B44" s="11">
        <v>1111061</v>
      </c>
      <c r="C44" s="15" t="s">
        <v>34</v>
      </c>
      <c r="D44" s="31">
        <f>เช้า!D44+เย็น!D44+บ่าย!D44</f>
        <v>0</v>
      </c>
      <c r="E44" s="31">
        <f>เช้า!E44+เย็น!E44+บ่าย!E44</f>
        <v>0</v>
      </c>
      <c r="F44" s="31">
        <f>เช้า!F44+เย็น!F44+บ่าย!F44</f>
        <v>3</v>
      </c>
      <c r="G44" s="31">
        <f>เช้า!G44+เย็น!G44+บ่าย!G44</f>
        <v>0</v>
      </c>
      <c r="H44" s="31">
        <f>เช้า!H44+เย็น!H44+บ่าย!H44</f>
        <v>0</v>
      </c>
      <c r="I44" s="31">
        <f>เช้า!I44+เย็น!I44+บ่าย!I44</f>
        <v>0</v>
      </c>
      <c r="J44" s="31">
        <f>เช้า!J44+เย็น!J44+บ่าย!J44</f>
        <v>0</v>
      </c>
      <c r="K44" s="31">
        <f>เช้า!K44+เย็น!K44+บ่าย!K44</f>
        <v>0</v>
      </c>
      <c r="L44" s="37">
        <f t="shared" si="0"/>
        <v>3</v>
      </c>
      <c r="M44" s="11"/>
      <c r="N44" s="11"/>
      <c r="O44" s="11"/>
      <c r="P44" s="11"/>
      <c r="Q44" s="45">
        <f t="shared" si="1"/>
        <v>-3</v>
      </c>
    </row>
    <row r="45" spans="2:17" x14ac:dyDescent="0.2">
      <c r="B45" s="11">
        <v>1111062</v>
      </c>
      <c r="C45" s="15" t="s">
        <v>35</v>
      </c>
      <c r="D45" s="31">
        <f>เช้า!D45+เย็น!D45+บ่าย!D45</f>
        <v>0</v>
      </c>
      <c r="E45" s="31">
        <f>เช้า!E45+เย็น!E45+บ่าย!E45</f>
        <v>0</v>
      </c>
      <c r="F45" s="31">
        <f>เช้า!F45+เย็น!F45+บ่าย!F45</f>
        <v>3</v>
      </c>
      <c r="G45" s="31">
        <f>เช้า!G45+เย็น!G45+บ่าย!G45</f>
        <v>0</v>
      </c>
      <c r="H45" s="31">
        <f>เช้า!H45+เย็น!H45+บ่าย!H45</f>
        <v>0</v>
      </c>
      <c r="I45" s="31">
        <f>เช้า!I45+เย็น!I45+บ่าย!I45</f>
        <v>0</v>
      </c>
      <c r="J45" s="31">
        <f>เช้า!J45+เย็น!J45+บ่าย!J45</f>
        <v>0</v>
      </c>
      <c r="K45" s="31">
        <f>เช้า!K45+เย็น!K45+บ่าย!K45</f>
        <v>0</v>
      </c>
      <c r="L45" s="37">
        <f t="shared" si="0"/>
        <v>3</v>
      </c>
      <c r="M45" s="11"/>
      <c r="N45" s="11"/>
      <c r="O45" s="11"/>
      <c r="P45" s="11"/>
      <c r="Q45" s="45">
        <f t="shared" si="1"/>
        <v>-3</v>
      </c>
    </row>
    <row r="46" spans="2:17" x14ac:dyDescent="0.2">
      <c r="B46" s="11">
        <v>1111063</v>
      </c>
      <c r="C46" s="15" t="s">
        <v>36</v>
      </c>
      <c r="D46" s="31">
        <f>เช้า!D46+เย็น!D46+บ่าย!D46</f>
        <v>0</v>
      </c>
      <c r="E46" s="31">
        <f>เช้า!E46+เย็น!E46+บ่าย!E46</f>
        <v>0</v>
      </c>
      <c r="F46" s="31">
        <f>เช้า!F46+เย็น!F46+บ่าย!F46</f>
        <v>3</v>
      </c>
      <c r="G46" s="31">
        <f>เช้า!G46+เย็น!G46+บ่าย!G46</f>
        <v>0</v>
      </c>
      <c r="H46" s="31">
        <f>เช้า!H46+เย็น!H46+บ่าย!H46</f>
        <v>0</v>
      </c>
      <c r="I46" s="31">
        <f>เช้า!I46+เย็น!I46+บ่าย!I46</f>
        <v>0</v>
      </c>
      <c r="J46" s="31">
        <f>เช้า!J46+เย็น!J46+บ่าย!J46</f>
        <v>0</v>
      </c>
      <c r="K46" s="31">
        <f>เช้า!K46+เย็น!K46+บ่าย!K46</f>
        <v>0</v>
      </c>
      <c r="L46" s="37">
        <f t="shared" si="0"/>
        <v>3</v>
      </c>
      <c r="M46" s="11"/>
      <c r="N46" s="11"/>
      <c r="O46" s="11"/>
      <c r="P46" s="11"/>
      <c r="Q46" s="45">
        <f t="shared" si="1"/>
        <v>-3</v>
      </c>
    </row>
    <row r="47" spans="2:17" x14ac:dyDescent="0.2">
      <c r="B47" s="11">
        <v>1111064</v>
      </c>
      <c r="C47" s="15" t="s">
        <v>37</v>
      </c>
      <c r="D47" s="31">
        <f>เช้า!D47+เย็น!D47+บ่าย!D47</f>
        <v>0</v>
      </c>
      <c r="E47" s="31">
        <f>เช้า!E47+เย็น!E47+บ่าย!E47</f>
        <v>0</v>
      </c>
      <c r="F47" s="31">
        <f>เช้า!F47+เย็น!F47+บ่าย!F47</f>
        <v>3</v>
      </c>
      <c r="G47" s="31">
        <f>เช้า!G47+เย็น!G47+บ่าย!G47</f>
        <v>0</v>
      </c>
      <c r="H47" s="31">
        <f>เช้า!H47+เย็น!H47+บ่าย!H47</f>
        <v>0</v>
      </c>
      <c r="I47" s="31">
        <f>เช้า!I47+เย็น!I47+บ่าย!I47</f>
        <v>0</v>
      </c>
      <c r="J47" s="31">
        <f>เช้า!J47+เย็น!J47+บ่าย!J47</f>
        <v>0</v>
      </c>
      <c r="K47" s="31">
        <f>เช้า!K47+เย็น!K47+บ่าย!K47</f>
        <v>0</v>
      </c>
      <c r="L47" s="37">
        <f t="shared" si="0"/>
        <v>3</v>
      </c>
      <c r="M47" s="11"/>
      <c r="N47" s="11"/>
      <c r="O47" s="11"/>
      <c r="P47" s="11"/>
      <c r="Q47" s="45">
        <f t="shared" si="1"/>
        <v>-3</v>
      </c>
    </row>
    <row r="48" spans="2:17" x14ac:dyDescent="0.2">
      <c r="B48" s="11">
        <v>1111065</v>
      </c>
      <c r="C48" s="15" t="s">
        <v>38</v>
      </c>
      <c r="D48" s="31">
        <f>เช้า!D48+เย็น!D48+บ่าย!D48</f>
        <v>0</v>
      </c>
      <c r="E48" s="31">
        <f>เช้า!E48+เย็น!E48+บ่าย!E48</f>
        <v>0</v>
      </c>
      <c r="F48" s="31">
        <f>เช้า!F48+เย็น!F48+บ่าย!F48</f>
        <v>3</v>
      </c>
      <c r="G48" s="31">
        <f>เช้า!G48+เย็น!G48+บ่าย!G48</f>
        <v>0</v>
      </c>
      <c r="H48" s="31">
        <f>เช้า!H48+เย็น!H48+บ่าย!H48</f>
        <v>0</v>
      </c>
      <c r="I48" s="31">
        <f>เช้า!I48+เย็น!I48+บ่าย!I48</f>
        <v>0</v>
      </c>
      <c r="J48" s="31">
        <f>เช้า!J48+เย็น!J48+บ่าย!J48</f>
        <v>0</v>
      </c>
      <c r="K48" s="31">
        <f>เช้า!K48+เย็น!K48+บ่าย!K48</f>
        <v>0</v>
      </c>
      <c r="L48" s="37">
        <f t="shared" si="0"/>
        <v>3</v>
      </c>
      <c r="M48" s="11"/>
      <c r="N48" s="11"/>
      <c r="O48" s="11"/>
      <c r="P48" s="11"/>
      <c r="Q48" s="45">
        <f t="shared" si="1"/>
        <v>-3</v>
      </c>
    </row>
    <row r="49" spans="2:20" x14ac:dyDescent="0.2">
      <c r="B49" s="11">
        <v>1111066</v>
      </c>
      <c r="C49" s="15" t="s">
        <v>39</v>
      </c>
      <c r="D49" s="31">
        <f>เช้า!D49+เย็น!D49+บ่าย!D49</f>
        <v>0</v>
      </c>
      <c r="E49" s="31">
        <f>เช้า!E49+เย็น!E49+บ่าย!E49</f>
        <v>0</v>
      </c>
      <c r="F49" s="31">
        <f>เช้า!F49+เย็น!F49+บ่าย!F49</f>
        <v>3</v>
      </c>
      <c r="G49" s="31">
        <f>เช้า!G49+เย็น!G49+บ่าย!G49</f>
        <v>0</v>
      </c>
      <c r="H49" s="31">
        <f>เช้า!H49+เย็น!H49+บ่าย!H49</f>
        <v>0</v>
      </c>
      <c r="I49" s="31">
        <f>เช้า!I49+เย็น!I49+บ่าย!I49</f>
        <v>0</v>
      </c>
      <c r="J49" s="31">
        <f>เช้า!J49+เย็น!J49+บ่าย!J49</f>
        <v>0</v>
      </c>
      <c r="K49" s="31">
        <f>เช้า!K49+เย็น!K49+บ่าย!K49</f>
        <v>0</v>
      </c>
      <c r="L49" s="37">
        <f t="shared" si="0"/>
        <v>3</v>
      </c>
      <c r="M49" s="11"/>
      <c r="N49" s="11"/>
      <c r="O49" s="11"/>
      <c r="P49" s="11"/>
      <c r="Q49" s="45">
        <f t="shared" si="1"/>
        <v>-3</v>
      </c>
    </row>
    <row r="50" spans="2:20" x14ac:dyDescent="0.2">
      <c r="B50" s="11">
        <v>1111067</v>
      </c>
      <c r="C50" s="15" t="s">
        <v>40</v>
      </c>
      <c r="D50" s="31">
        <f>เช้า!D50+เย็น!D50+บ่าย!D50</f>
        <v>0</v>
      </c>
      <c r="E50" s="31">
        <f>เช้า!E50+เย็น!E50+บ่าย!E50</f>
        <v>0</v>
      </c>
      <c r="F50" s="31">
        <f>เช้า!F50+เย็น!F50+บ่าย!F50</f>
        <v>0</v>
      </c>
      <c r="G50" s="31">
        <f>เช้า!G50+เย็น!G50+บ่าย!G50</f>
        <v>0</v>
      </c>
      <c r="H50" s="31">
        <f>เช้า!H50+เย็น!H50+บ่าย!H50</f>
        <v>0</v>
      </c>
      <c r="I50" s="31">
        <f>เช้า!I50+เย็น!I50+บ่าย!I50</f>
        <v>0</v>
      </c>
      <c r="J50" s="31">
        <f>เช้า!J50+เย็น!J50+บ่าย!J50</f>
        <v>0</v>
      </c>
      <c r="K50" s="31">
        <f>เช้า!K50+เย็น!K50+บ่าย!K50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x14ac:dyDescent="0.2">
      <c r="B51" s="11">
        <v>1111068</v>
      </c>
      <c r="C51" s="15" t="s">
        <v>41</v>
      </c>
      <c r="D51" s="31">
        <f>เช้า!D51+เย็น!D51+บ่าย!D51</f>
        <v>0</v>
      </c>
      <c r="E51" s="31">
        <f>เช้า!E51+เย็น!E51+บ่าย!E51</f>
        <v>0</v>
      </c>
      <c r="F51" s="31">
        <f>เช้า!F51+เย็น!F51+บ่าย!F51</f>
        <v>0</v>
      </c>
      <c r="G51" s="31">
        <f>เช้า!G51+เย็น!G51+บ่าย!G51</f>
        <v>0</v>
      </c>
      <c r="H51" s="31">
        <f>เช้า!H51+เย็น!H51+บ่าย!H51</f>
        <v>0</v>
      </c>
      <c r="I51" s="31">
        <f>เช้า!I51+เย็น!I51+บ่าย!I51</f>
        <v>0</v>
      </c>
      <c r="J51" s="31">
        <f>เช้า!J51+เย็น!J51+บ่าย!J51</f>
        <v>0</v>
      </c>
      <c r="K51" s="31">
        <f>เช้า!K51+เย็น!K51+บ่าย!K51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x14ac:dyDescent="0.25">
      <c r="B52" s="11">
        <v>1111069</v>
      </c>
      <c r="C52" s="15" t="s">
        <v>42</v>
      </c>
      <c r="D52" s="31">
        <f>เช้า!D52+เย็น!D52+บ่าย!D52</f>
        <v>0</v>
      </c>
      <c r="E52" s="31">
        <f>เช้า!E52+เย็น!E52+บ่าย!E52</f>
        <v>0</v>
      </c>
      <c r="F52" s="31">
        <f>เช้า!F52+เย็น!F52+บ่าย!F52</f>
        <v>0</v>
      </c>
      <c r="G52" s="31">
        <f>เช้า!G52+เย็น!G52+บ่าย!G52</f>
        <v>0</v>
      </c>
      <c r="H52" s="31">
        <f>เช้า!H52+เย็น!H52+บ่าย!H52</f>
        <v>0</v>
      </c>
      <c r="I52" s="31">
        <f>เช้า!I52+เย็น!I52+บ่าย!I52</f>
        <v>0</v>
      </c>
      <c r="J52" s="31">
        <f>เช้า!J52+เย็น!J52+บ่าย!J52</f>
        <v>0</v>
      </c>
      <c r="K52" s="31">
        <f>เช้า!K52+เย็น!K52+บ่าย!K52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เช้า!D53+เย็น!D53+บ่าย!D53</f>
        <v>0</v>
      </c>
      <c r="E53" s="31">
        <f>เช้า!E53+เย็น!E53+บ่าย!E53</f>
        <v>0</v>
      </c>
      <c r="F53" s="31">
        <f>เช้า!F53+เย็น!F53+บ่าย!F53</f>
        <v>0</v>
      </c>
      <c r="G53" s="31">
        <f>เช้า!G53+เย็น!G53+บ่าย!G53</f>
        <v>0</v>
      </c>
      <c r="H53" s="31">
        <f>เช้า!H53+เย็น!H53+บ่าย!H53</f>
        <v>0</v>
      </c>
      <c r="I53" s="31">
        <f>เช้า!I53+เย็น!I53+บ่าย!I53</f>
        <v>0</v>
      </c>
      <c r="J53" s="31">
        <f>เช้า!J53+เย็น!J53+บ่าย!J53</f>
        <v>0</v>
      </c>
      <c r="K53" s="31">
        <f>เช้า!K53+เย็น!K53+บ่าย!K53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เช้า!D54+เย็น!D54+บ่าย!D54</f>
        <v>0</v>
      </c>
      <c r="E54" s="31">
        <f>เช้า!E54+เย็น!E54+บ่าย!E54</f>
        <v>0</v>
      </c>
      <c r="F54" s="31">
        <f>เช้า!F54+เย็น!F54+บ่าย!F54</f>
        <v>0</v>
      </c>
      <c r="G54" s="31">
        <f>เช้า!G54+เย็น!G54+บ่าย!G54</f>
        <v>0</v>
      </c>
      <c r="H54" s="31">
        <f>เช้า!H54+เย็น!H54+บ่าย!H54</f>
        <v>0</v>
      </c>
      <c r="I54" s="31">
        <f>เช้า!I54+เย็น!I54+บ่าย!I54</f>
        <v>0</v>
      </c>
      <c r="J54" s="31">
        <f>เช้า!J54+เย็น!J54+บ่าย!J54</f>
        <v>0</v>
      </c>
      <c r="K54" s="31">
        <f>เช้า!K54+เย็น!K54+บ่าย!K54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เช้า!D55+เย็น!D55+บ่าย!D55</f>
        <v>0</v>
      </c>
      <c r="E55" s="31">
        <f>เช้า!E55+เย็น!E55+บ่าย!E55</f>
        <v>0</v>
      </c>
      <c r="F55" s="31">
        <f>เช้า!F55+เย็น!F55+บ่าย!F55</f>
        <v>0</v>
      </c>
      <c r="G55" s="31">
        <f>เช้า!G55+เย็น!G55+บ่าย!G55</f>
        <v>0</v>
      </c>
      <c r="H55" s="31">
        <f>เช้า!H55+เย็น!H55+บ่าย!H55</f>
        <v>0</v>
      </c>
      <c r="I55" s="31">
        <f>เช้า!I55+เย็น!I55+บ่าย!I55</f>
        <v>0</v>
      </c>
      <c r="J55" s="31">
        <f>เช้า!J55+เย็น!J55+บ่าย!J55</f>
        <v>0</v>
      </c>
      <c r="K55" s="31">
        <f>เช้า!K55+เย็น!K55+บ่าย!K55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เช้า!D56+เย็น!D56+บ่าย!D56</f>
        <v>1</v>
      </c>
      <c r="E56" s="31">
        <f>เช้า!E56+เย็น!E56+บ่าย!E56</f>
        <v>0</v>
      </c>
      <c r="F56" s="31">
        <f>เช้า!F56+เย็น!F56+บ่าย!F56</f>
        <v>3</v>
      </c>
      <c r="G56" s="31">
        <f>เช้า!G56+เย็น!G56+บ่าย!G56</f>
        <v>0</v>
      </c>
      <c r="H56" s="31">
        <f>เช้า!H56+เย็น!H56+บ่าย!H56</f>
        <v>0</v>
      </c>
      <c r="I56" s="31">
        <f>เช้า!I56+เย็น!I56+บ่าย!I56</f>
        <v>0</v>
      </c>
      <c r="J56" s="31">
        <f>เช้า!J56+เย็น!J56+บ่าย!J56</f>
        <v>0</v>
      </c>
      <c r="K56" s="31">
        <f>เช้า!K56+เย็น!K56+บ่าย!K56</f>
        <v>0</v>
      </c>
      <c r="L56" s="37">
        <f t="shared" si="0"/>
        <v>4</v>
      </c>
      <c r="M56" s="11"/>
      <c r="N56" s="11"/>
      <c r="O56" s="11"/>
      <c r="P56" s="11"/>
      <c r="Q56" s="45">
        <f t="shared" si="1"/>
        <v>-4</v>
      </c>
    </row>
    <row r="57" spans="2:20" x14ac:dyDescent="0.2">
      <c r="B57" s="11">
        <v>1111075</v>
      </c>
      <c r="C57" s="15" t="s">
        <v>45</v>
      </c>
      <c r="D57" s="31">
        <f>เช้า!D57+เย็น!D57+บ่าย!D57</f>
        <v>1</v>
      </c>
      <c r="E57" s="31">
        <f>เช้า!E57+เย็น!E57+บ่าย!E57</f>
        <v>0</v>
      </c>
      <c r="F57" s="31">
        <f>เช้า!F57+เย็น!F57+บ่าย!F57</f>
        <v>3</v>
      </c>
      <c r="G57" s="31">
        <f>เช้า!G57+เย็น!G57+บ่าย!G57</f>
        <v>0</v>
      </c>
      <c r="H57" s="31">
        <f>เช้า!H57+เย็น!H57+บ่าย!H57</f>
        <v>0</v>
      </c>
      <c r="I57" s="31">
        <f>เช้า!I57+เย็น!I57+บ่าย!I57</f>
        <v>0</v>
      </c>
      <c r="J57" s="31">
        <f>เช้า!J57+เย็น!J57+บ่าย!J57</f>
        <v>0</v>
      </c>
      <c r="K57" s="31">
        <f>เช้า!K57+เย็น!K57+บ่าย!K57</f>
        <v>0</v>
      </c>
      <c r="L57" s="37">
        <f t="shared" si="0"/>
        <v>4</v>
      </c>
      <c r="M57" s="11"/>
      <c r="N57" s="11"/>
      <c r="O57" s="11"/>
      <c r="P57" s="11"/>
      <c r="Q57" s="45">
        <f t="shared" si="1"/>
        <v>-4</v>
      </c>
    </row>
    <row r="58" spans="2:20" x14ac:dyDescent="0.2">
      <c r="B58" s="11">
        <v>1111076</v>
      </c>
      <c r="C58" s="15" t="s">
        <v>46</v>
      </c>
      <c r="D58" s="31">
        <f>เช้า!D58+เย็น!D58+บ่าย!D58</f>
        <v>1</v>
      </c>
      <c r="E58" s="31">
        <f>เช้า!E58+เย็น!E58+บ่าย!E58</f>
        <v>0</v>
      </c>
      <c r="F58" s="31">
        <f>เช้า!F58+เย็น!F58+บ่าย!F58</f>
        <v>3</v>
      </c>
      <c r="G58" s="31">
        <f>เช้า!G58+เย็น!G58+บ่าย!G58</f>
        <v>0</v>
      </c>
      <c r="H58" s="31">
        <f>เช้า!H58+เย็น!H58+บ่าย!H58</f>
        <v>0</v>
      </c>
      <c r="I58" s="31">
        <f>เช้า!I58+เย็น!I58+บ่าย!I58</f>
        <v>0</v>
      </c>
      <c r="J58" s="31">
        <f>เช้า!J58+เย็น!J58+บ่าย!J58</f>
        <v>0</v>
      </c>
      <c r="K58" s="31">
        <f>เช้า!K58+เย็น!K58+บ่าย!K58</f>
        <v>0</v>
      </c>
      <c r="L58" s="37">
        <f t="shared" si="0"/>
        <v>4</v>
      </c>
      <c r="M58" s="11"/>
      <c r="N58" s="11"/>
      <c r="O58" s="11"/>
      <c r="P58" s="11"/>
      <c r="Q58" s="45">
        <f t="shared" si="1"/>
        <v>-4</v>
      </c>
    </row>
    <row r="59" spans="2:20" x14ac:dyDescent="0.2">
      <c r="B59" s="11">
        <v>1111077</v>
      </c>
      <c r="C59" s="15" t="s">
        <v>47</v>
      </c>
      <c r="D59" s="31">
        <f>เช้า!D59+เย็น!D59+บ่าย!D59</f>
        <v>1</v>
      </c>
      <c r="E59" s="31">
        <f>เช้า!E59+เย็น!E59+บ่าย!E59</f>
        <v>0</v>
      </c>
      <c r="F59" s="31">
        <f>เช้า!F59+เย็น!F59+บ่าย!F59</f>
        <v>3</v>
      </c>
      <c r="G59" s="31">
        <f>เช้า!G59+เย็น!G59+บ่าย!G59</f>
        <v>0</v>
      </c>
      <c r="H59" s="31">
        <f>เช้า!H59+เย็น!H59+บ่าย!H59</f>
        <v>0</v>
      </c>
      <c r="I59" s="31">
        <f>เช้า!I59+เย็น!I59+บ่าย!I59</f>
        <v>0</v>
      </c>
      <c r="J59" s="31">
        <f>เช้า!J59+เย็น!J59+บ่าย!J59</f>
        <v>0</v>
      </c>
      <c r="K59" s="31">
        <f>เช้า!K59+เย็น!K59+บ่าย!K59</f>
        <v>0</v>
      </c>
      <c r="L59" s="37">
        <f t="shared" si="0"/>
        <v>4</v>
      </c>
      <c r="M59" s="11"/>
      <c r="N59" s="11">
        <v>10</v>
      </c>
      <c r="O59" s="11"/>
      <c r="P59" s="11"/>
      <c r="Q59" s="45">
        <f t="shared" si="1"/>
        <v>6</v>
      </c>
    </row>
    <row r="60" spans="2:20" x14ac:dyDescent="0.2">
      <c r="B60" s="11">
        <v>1111078</v>
      </c>
      <c r="C60" s="15" t="s">
        <v>48</v>
      </c>
      <c r="D60" s="31">
        <f>เช้า!D60+เย็น!D60+บ่าย!D60</f>
        <v>1</v>
      </c>
      <c r="E60" s="31">
        <f>เช้า!E60+เย็น!E60+บ่าย!E60</f>
        <v>0</v>
      </c>
      <c r="F60" s="31">
        <f>เช้า!F60+เย็น!F60+บ่าย!F60</f>
        <v>3</v>
      </c>
      <c r="G60" s="31">
        <f>เช้า!G60+เย็น!G60+บ่าย!G60</f>
        <v>0</v>
      </c>
      <c r="H60" s="31">
        <f>เช้า!H60+เย็น!H60+บ่าย!H60</f>
        <v>0</v>
      </c>
      <c r="I60" s="31">
        <f>เช้า!I60+เย็น!I60+บ่าย!I60</f>
        <v>0</v>
      </c>
      <c r="J60" s="31">
        <f>เช้า!J60+เย็น!J60+บ่าย!J60</f>
        <v>0</v>
      </c>
      <c r="K60" s="31">
        <f>เช้า!K60+เย็น!K60+บ่าย!K60</f>
        <v>0</v>
      </c>
      <c r="L60" s="37">
        <f t="shared" si="0"/>
        <v>4</v>
      </c>
      <c r="M60" s="11"/>
      <c r="N60" s="11"/>
      <c r="O60" s="11"/>
      <c r="P60" s="11"/>
      <c r="Q60" s="45">
        <f t="shared" si="1"/>
        <v>-4</v>
      </c>
    </row>
    <row r="61" spans="2:20" x14ac:dyDescent="0.2">
      <c r="B61" s="11">
        <v>1111079</v>
      </c>
      <c r="C61" s="15" t="s">
        <v>49</v>
      </c>
      <c r="D61" s="31">
        <f>เช้า!D61+เย็น!D61+บ่าย!D61</f>
        <v>1</v>
      </c>
      <c r="E61" s="31">
        <f>เช้า!E61+เย็น!E61+บ่าย!E61</f>
        <v>0</v>
      </c>
      <c r="F61" s="31">
        <f>เช้า!F61+เย็น!F61+บ่าย!F61</f>
        <v>3</v>
      </c>
      <c r="G61" s="31">
        <f>เช้า!G61+เย็น!G61+บ่าย!G61</f>
        <v>0</v>
      </c>
      <c r="H61" s="31">
        <f>เช้า!H61+เย็น!H61+บ่าย!H61</f>
        <v>0</v>
      </c>
      <c r="I61" s="31">
        <f>เช้า!I61+เย็น!I61+บ่าย!I61</f>
        <v>0</v>
      </c>
      <c r="J61" s="31">
        <f>เช้า!J61+เย็น!J61+บ่าย!J61</f>
        <v>0</v>
      </c>
      <c r="K61" s="31">
        <f>เช้า!K61+เย็น!K61+บ่าย!K61</f>
        <v>0</v>
      </c>
      <c r="L61" s="37">
        <f t="shared" si="0"/>
        <v>4</v>
      </c>
      <c r="M61" s="11"/>
      <c r="N61" s="11"/>
      <c r="O61" s="11"/>
      <c r="P61" s="11"/>
      <c r="Q61" s="45">
        <f t="shared" si="1"/>
        <v>-4</v>
      </c>
    </row>
    <row r="62" spans="2:20" x14ac:dyDescent="0.2">
      <c r="B62" s="11">
        <v>1111080</v>
      </c>
      <c r="C62" s="15" t="s">
        <v>50</v>
      </c>
      <c r="D62" s="31">
        <f>เช้า!D62+เย็น!D62+บ่าย!D62</f>
        <v>1</v>
      </c>
      <c r="E62" s="31">
        <f>เช้า!E62+เย็น!E62+บ่าย!E62</f>
        <v>0</v>
      </c>
      <c r="F62" s="31">
        <f>เช้า!F62+เย็น!F62+บ่าย!F62</f>
        <v>3</v>
      </c>
      <c r="G62" s="31">
        <f>เช้า!G62+เย็น!G62+บ่าย!G62</f>
        <v>0</v>
      </c>
      <c r="H62" s="31">
        <f>เช้า!H62+เย็น!H62+บ่าย!H62</f>
        <v>0</v>
      </c>
      <c r="I62" s="31">
        <f>เช้า!I62+เย็น!I62+บ่าย!I62</f>
        <v>0</v>
      </c>
      <c r="J62" s="31">
        <f>เช้า!J62+เย็น!J62+บ่าย!J62</f>
        <v>0</v>
      </c>
      <c r="K62" s="31">
        <f>เช้า!K62+เย็น!K62+บ่าย!K62</f>
        <v>0</v>
      </c>
      <c r="L62" s="37">
        <f t="shared" si="0"/>
        <v>4</v>
      </c>
      <c r="M62" s="11"/>
      <c r="N62" s="11"/>
      <c r="O62" s="11"/>
      <c r="P62" s="11"/>
      <c r="Q62" s="45">
        <f t="shared" si="1"/>
        <v>-4</v>
      </c>
    </row>
    <row r="63" spans="2:20" x14ac:dyDescent="0.2">
      <c r="B63" s="11">
        <v>1111081</v>
      </c>
      <c r="C63" s="15" t="s">
        <v>51</v>
      </c>
      <c r="D63" s="31">
        <f>เช้า!D63+เย็น!D63+บ่าย!D63</f>
        <v>1</v>
      </c>
      <c r="E63" s="31">
        <f>เช้า!E63+เย็น!E63+บ่าย!E63</f>
        <v>0</v>
      </c>
      <c r="F63" s="31">
        <f>เช้า!F63+เย็น!F63+บ่าย!F63</f>
        <v>3</v>
      </c>
      <c r="G63" s="31">
        <f>เช้า!G63+เย็น!G63+บ่าย!G63</f>
        <v>0</v>
      </c>
      <c r="H63" s="31">
        <f>เช้า!H63+เย็น!H63+บ่าย!H63</f>
        <v>0</v>
      </c>
      <c r="I63" s="31">
        <f>เช้า!I63+เย็น!I63+บ่าย!I63</f>
        <v>0</v>
      </c>
      <c r="J63" s="31">
        <f>เช้า!J63+เย็น!J63+บ่าย!J63</f>
        <v>0</v>
      </c>
      <c r="K63" s="31">
        <f>เช้า!K63+เย็น!K63+บ่าย!K63</f>
        <v>0</v>
      </c>
      <c r="L63" s="37">
        <f t="shared" si="0"/>
        <v>4</v>
      </c>
      <c r="M63" s="11"/>
      <c r="N63" s="11">
        <v>1</v>
      </c>
      <c r="O63" s="11"/>
      <c r="P63" s="11"/>
      <c r="Q63" s="45">
        <f t="shared" si="1"/>
        <v>-3</v>
      </c>
    </row>
    <row r="64" spans="2:20" x14ac:dyDescent="0.2">
      <c r="B64" s="11">
        <v>1111082</v>
      </c>
      <c r="C64" s="15" t="s">
        <v>52</v>
      </c>
      <c r="D64" s="31">
        <f>เช้า!D64+เย็น!D64+บ่าย!D64</f>
        <v>1</v>
      </c>
      <c r="E64" s="31">
        <f>เช้า!E64+เย็น!E64+บ่าย!E64</f>
        <v>0</v>
      </c>
      <c r="F64" s="31">
        <f>เช้า!F64+เย็น!F64+บ่าย!F64</f>
        <v>3</v>
      </c>
      <c r="G64" s="31">
        <f>เช้า!G64+เย็น!G64+บ่าย!G64</f>
        <v>0</v>
      </c>
      <c r="H64" s="31">
        <f>เช้า!H64+เย็น!H64+บ่าย!H64</f>
        <v>0</v>
      </c>
      <c r="I64" s="31">
        <f>เช้า!I64+เย็น!I64+บ่าย!I64</f>
        <v>0</v>
      </c>
      <c r="J64" s="31">
        <f>เช้า!J64+เย็น!J64+บ่าย!J64</f>
        <v>0</v>
      </c>
      <c r="K64" s="31">
        <f>เช้า!K64+เย็น!K64+บ่าย!K64</f>
        <v>0</v>
      </c>
      <c r="L64" s="37">
        <f t="shared" si="0"/>
        <v>4</v>
      </c>
      <c r="M64" s="11"/>
      <c r="N64" s="11"/>
      <c r="O64" s="11"/>
      <c r="P64" s="11"/>
      <c r="Q64" s="45">
        <f t="shared" si="1"/>
        <v>-4</v>
      </c>
    </row>
    <row r="65" spans="2:20" x14ac:dyDescent="0.25">
      <c r="B65" s="11">
        <v>1111083</v>
      </c>
      <c r="C65" s="15" t="s">
        <v>53</v>
      </c>
      <c r="D65" s="31">
        <f>เช้า!D65+เย็น!D65+บ่าย!D65</f>
        <v>1</v>
      </c>
      <c r="E65" s="31">
        <f>เช้า!E65+เย็น!E65+บ่าย!E65</f>
        <v>0</v>
      </c>
      <c r="F65" s="31">
        <f>เช้า!F65+เย็น!F65+บ่าย!F65</f>
        <v>3</v>
      </c>
      <c r="G65" s="31">
        <f>เช้า!G65+เย็น!G65+บ่าย!G65</f>
        <v>0</v>
      </c>
      <c r="H65" s="31">
        <f>เช้า!H65+เย็น!H65+บ่าย!H65</f>
        <v>0</v>
      </c>
      <c r="I65" s="31">
        <f>เช้า!I65+เย็น!I65+บ่าย!I65</f>
        <v>0</v>
      </c>
      <c r="J65" s="31">
        <f>เช้า!J65+เย็น!J65+บ่าย!J65</f>
        <v>0</v>
      </c>
      <c r="K65" s="31">
        <f>เช้า!K65+เย็น!K65+บ่าย!K65</f>
        <v>0</v>
      </c>
      <c r="L65" s="37">
        <f t="shared" si="0"/>
        <v>4</v>
      </c>
      <c r="M65" s="11"/>
      <c r="N65" s="11"/>
      <c r="O65" s="11"/>
      <c r="P65" s="11"/>
      <c r="Q65" s="45">
        <f t="shared" si="1"/>
        <v>-4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บ่าย!D66+เย็น!D66+เช้า!D66</f>
        <v>0</v>
      </c>
      <c r="E66" s="31">
        <f>บ่าย!E66+เย็น!E66+เช้า!E66</f>
        <v>0</v>
      </c>
      <c r="F66" s="31">
        <f>บ่าย!F66+เย็น!F66+เช้า!F66</f>
        <v>0</v>
      </c>
      <c r="G66" s="31">
        <f>บ่าย!G66+เย็น!G66+เช้า!G66</f>
        <v>0</v>
      </c>
      <c r="H66" s="31">
        <f>บ่าย!H66+เย็น!H66+เช้า!H66</f>
        <v>0</v>
      </c>
      <c r="I66" s="31">
        <f>บ่าย!I66+เย็น!I66+เช้า!I66</f>
        <v>0</v>
      </c>
      <c r="J66" s="31">
        <f>บ่าย!J66+เย็น!J66+เช้า!J66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เช้า!D69+เย็น!D69+บ่าย!D69</f>
        <v>1</v>
      </c>
      <c r="E69" s="31">
        <f>เช้า!E69+เย็น!E69+บ่าย!E69</f>
        <v>2</v>
      </c>
      <c r="F69" s="31">
        <f>เช้า!F69+เย็น!F69+บ่าย!F69</f>
        <v>0</v>
      </c>
      <c r="G69" s="31">
        <f>เช้า!G69+เย็น!G69+บ่าย!G69</f>
        <v>0</v>
      </c>
      <c r="H69" s="31">
        <f>เช้า!H69+เย็น!H69+บ่าย!H69</f>
        <v>0</v>
      </c>
      <c r="I69" s="31">
        <f>เช้า!I69+เย็น!I69+บ่าย!I69</f>
        <v>0</v>
      </c>
      <c r="J69" s="31">
        <f>เช้า!J69+เย็น!J69+บ่าย!J69</f>
        <v>0</v>
      </c>
      <c r="K69" s="31">
        <f>เช้า!K69+เย็น!K69+บ่าย!K69</f>
        <v>0</v>
      </c>
      <c r="L69" s="37">
        <f t="shared" ref="L69:L76" si="4">SUM(D69:K69)</f>
        <v>3</v>
      </c>
      <c r="M69" s="11"/>
      <c r="N69" s="11">
        <v>3</v>
      </c>
      <c r="O69" s="11"/>
      <c r="P69" s="11"/>
      <c r="Q69" s="45">
        <f t="shared" ref="Q69:Q76" si="5">(M69+N69+O69+P69)-L69</f>
        <v>0</v>
      </c>
    </row>
    <row r="70" spans="2:20" x14ac:dyDescent="0.2">
      <c r="B70" s="11">
        <v>1111023</v>
      </c>
      <c r="C70" s="20" t="s">
        <v>57</v>
      </c>
      <c r="D70" s="31">
        <f>เช้า!D70+เย็น!D70+บ่าย!D70</f>
        <v>0</v>
      </c>
      <c r="E70" s="31">
        <f>เช้า!E70+เย็น!E70+บ่าย!E70</f>
        <v>0</v>
      </c>
      <c r="F70" s="31">
        <f>เช้า!F70+เย็น!F70+บ่าย!F70</f>
        <v>0</v>
      </c>
      <c r="G70" s="31">
        <f>เช้า!G70+เย็น!G70+บ่าย!G70</f>
        <v>0</v>
      </c>
      <c r="H70" s="31">
        <f>เช้า!H70+เย็น!H70+บ่าย!H70</f>
        <v>0</v>
      </c>
      <c r="I70" s="31">
        <f>เช้า!I70+เย็น!I70+บ่าย!I70</f>
        <v>0</v>
      </c>
      <c r="J70" s="31">
        <f>เช้า!J70+เย็น!J70+บ่าย!J70</f>
        <v>0</v>
      </c>
      <c r="K70" s="31">
        <f>เช้า!K70+เย็น!K70+บ่าย!K70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เช้า!D71+เย็น!D71+บ่าย!D71</f>
        <v>0</v>
      </c>
      <c r="E71" s="31">
        <f>เช้า!E71+เย็น!E71+บ่าย!E71</f>
        <v>0</v>
      </c>
      <c r="F71" s="31">
        <f>เช้า!F71+เย็น!F71+บ่าย!F71</f>
        <v>0</v>
      </c>
      <c r="G71" s="31">
        <f>เช้า!G71+เย็น!G71+บ่าย!G71</f>
        <v>0</v>
      </c>
      <c r="H71" s="31">
        <f>เช้า!H71+เย็น!H71+บ่าย!H71</f>
        <v>0</v>
      </c>
      <c r="I71" s="31">
        <f>เช้า!I71+เย็น!I71+บ่าย!I71</f>
        <v>0</v>
      </c>
      <c r="J71" s="31">
        <f>เช้า!J71+เย็น!J71+บ่าย!J71</f>
        <v>0</v>
      </c>
      <c r="K71" s="31">
        <f>เช้า!K71+เย็น!K71+บ่าย!K71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">
      <c r="B72" s="11">
        <v>1111014</v>
      </c>
      <c r="C72" s="20" t="s">
        <v>59</v>
      </c>
      <c r="D72" s="31">
        <f>เช้า!D72+เย็น!D72+บ่าย!D72</f>
        <v>0</v>
      </c>
      <c r="E72" s="31">
        <f>เช้า!E72+เย็น!E72+บ่าย!E72</f>
        <v>0</v>
      </c>
      <c r="F72" s="31">
        <f>เช้า!F72+เย็น!F72+บ่าย!F72</f>
        <v>0</v>
      </c>
      <c r="G72" s="31">
        <f>เช้า!G72+เย็น!G72+บ่าย!G72</f>
        <v>0</v>
      </c>
      <c r="H72" s="31">
        <f>เช้า!H72+เย็น!H72+บ่าย!H72</f>
        <v>0</v>
      </c>
      <c r="I72" s="31">
        <f>เช้า!I72+เย็น!I72+บ่าย!I72</f>
        <v>0</v>
      </c>
      <c r="J72" s="31">
        <f>เช้า!J72+เย็น!J72+บ่าย!J72</f>
        <v>0</v>
      </c>
      <c r="K72" s="31">
        <f>เช้า!K72+เย็น!K72+บ่าย!K72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เช้า!D73+เย็น!D73+บ่าย!D73</f>
        <v>0</v>
      </c>
      <c r="E73" s="31">
        <f>เช้า!E73+เย็น!E73+บ่าย!E73</f>
        <v>0</v>
      </c>
      <c r="F73" s="31">
        <f>เช้า!F73+เย็น!F73+บ่าย!F73</f>
        <v>0</v>
      </c>
      <c r="G73" s="31">
        <f>เช้า!G73+เย็น!G73+บ่าย!G73</f>
        <v>0</v>
      </c>
      <c r="H73" s="31">
        <f>เช้า!H73+เย็น!H73+บ่าย!H73</f>
        <v>0</v>
      </c>
      <c r="I73" s="31">
        <f>เช้า!I73+เย็น!I73+บ่าย!I73</f>
        <v>0</v>
      </c>
      <c r="J73" s="31">
        <f>เช้า!J73+เย็น!J73+บ่าย!J73</f>
        <v>0</v>
      </c>
      <c r="K73" s="31">
        <f>เช้า!K73+เย็น!K73+บ่าย!K73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เช้า!D74+เย็น!D74+บ่าย!D74</f>
        <v>0</v>
      </c>
      <c r="E74" s="31">
        <f>เช้า!E74+เย็น!E74+บ่าย!E74</f>
        <v>0</v>
      </c>
      <c r="F74" s="31">
        <f>เช้า!F74+เย็น!F74+บ่าย!F74</f>
        <v>0</v>
      </c>
      <c r="G74" s="31">
        <f>เช้า!G74+เย็น!G74+บ่าย!G74</f>
        <v>0</v>
      </c>
      <c r="H74" s="31">
        <f>เช้า!H74+เย็น!H74+บ่าย!H74</f>
        <v>0</v>
      </c>
      <c r="I74" s="31">
        <f>เช้า!I74+เย็น!I74+บ่าย!I74</f>
        <v>0</v>
      </c>
      <c r="J74" s="31">
        <f>เช้า!J74+เย็น!J74+บ่าย!J74</f>
        <v>0</v>
      </c>
      <c r="K74" s="31">
        <f>เช้า!K74+เย็น!K74+บ่าย!K74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เช้า!D75+เย็น!D75+บ่าย!D75</f>
        <v>0</v>
      </c>
      <c r="E75" s="31">
        <f>เช้า!E75+เย็น!E75+บ่าย!E75</f>
        <v>0</v>
      </c>
      <c r="F75" s="31">
        <f>เช้า!F75+เย็น!F75+บ่าย!F75</f>
        <v>0</v>
      </c>
      <c r="G75" s="31">
        <f>เช้า!G75+เย็น!G75+บ่าย!G75</f>
        <v>0</v>
      </c>
      <c r="H75" s="31">
        <f>เช้า!H75+เย็น!H75+บ่าย!H75</f>
        <v>0</v>
      </c>
      <c r="I75" s="31">
        <f>เช้า!I75+เย็น!I75+บ่าย!I75</f>
        <v>0</v>
      </c>
      <c r="J75" s="31">
        <f>เช้า!J75+เย็น!J75+บ่าย!J75</f>
        <v>0</v>
      </c>
      <c r="K75" s="31">
        <f>เช้า!K75+เย็น!K75+บ่าย!K75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เช้า!D76+เย็น!D76+บ่าย!D76</f>
        <v>0</v>
      </c>
      <c r="E76" s="31">
        <f>เช้า!E76+เย็น!E76+บ่าย!E76</f>
        <v>0</v>
      </c>
      <c r="F76" s="31">
        <f>เช้า!F76+เย็น!F76+บ่าย!F76</f>
        <v>0</v>
      </c>
      <c r="G76" s="31">
        <f>เช้า!G76+เย็น!G76+บ่าย!G76</f>
        <v>0</v>
      </c>
      <c r="H76" s="31">
        <f>เช้า!H76+เย็น!H76+บ่าย!H76</f>
        <v>0</v>
      </c>
      <c r="I76" s="31">
        <f>เช้า!I76+เย็น!I76+บ่าย!I76</f>
        <v>0</v>
      </c>
      <c r="J76" s="31">
        <f>เช้า!J76+เย็น!J76+บ่าย!J76</f>
        <v>0</v>
      </c>
      <c r="K76" s="31">
        <f>เช้า!K76+เย็น!K76+บ่าย!K76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20" t="s">
        <v>65</v>
      </c>
      <c r="D79" s="31">
        <f>เช้า!D79+เย็น!D79+บ่าย!D79</f>
        <v>0</v>
      </c>
      <c r="E79" s="31">
        <f>เช้า!E79+เย็น!E79+บ่าย!E79</f>
        <v>0</v>
      </c>
      <c r="F79" s="31">
        <f>เช้า!F79+เย็น!F79+บ่าย!F79</f>
        <v>0</v>
      </c>
      <c r="G79" s="31">
        <f>เช้า!G79+เย็น!G79+บ่าย!G79</f>
        <v>0</v>
      </c>
      <c r="H79" s="31">
        <f>เช้า!H79+เย็น!H79+บ่าย!H79</f>
        <v>0</v>
      </c>
      <c r="I79" s="31">
        <f>เช้า!I79+เย็น!I79+บ่าย!I79</f>
        <v>0</v>
      </c>
      <c r="J79" s="31">
        <f>เช้า!J79+เย็น!J79+บ่าย!J79</f>
        <v>0</v>
      </c>
      <c r="K79" s="31">
        <f>เช้า!K79+เย็น!K79+บ่าย!K79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">
      <c r="B80" s="11">
        <v>1111015</v>
      </c>
      <c r="C80" s="20" t="s">
        <v>66</v>
      </c>
      <c r="D80" s="31">
        <f>เช้า!D80+เย็น!D80+บ่าย!D80</f>
        <v>0</v>
      </c>
      <c r="E80" s="31">
        <f>เช้า!E80+เย็น!E80+บ่าย!E80</f>
        <v>0</v>
      </c>
      <c r="F80" s="31">
        <f>เช้า!F80+เย็น!F80+บ่าย!F80</f>
        <v>0</v>
      </c>
      <c r="G80" s="31">
        <f>เช้า!G80+เย็น!G80+บ่าย!G80</f>
        <v>0</v>
      </c>
      <c r="H80" s="31">
        <f>เช้า!H80+เย็น!H80+บ่าย!H80</f>
        <v>0</v>
      </c>
      <c r="I80" s="31">
        <f>เช้า!I80+เย็น!I80+บ่าย!I80</f>
        <v>0</v>
      </c>
      <c r="J80" s="31">
        <f>เช้า!J80+เย็น!J80+บ่าย!J80</f>
        <v>0</v>
      </c>
      <c r="K80" s="31">
        <f>เช้า!K80+เย็น!K80+บ่าย!K80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">
      <c r="B81" s="11">
        <v>1111013</v>
      </c>
      <c r="C81" s="20" t="s">
        <v>67</v>
      </c>
      <c r="D81" s="31">
        <f>เช้า!D81+เย็น!D81+บ่าย!D81</f>
        <v>0</v>
      </c>
      <c r="E81" s="31">
        <f>เช้า!E81+เย็น!E81+บ่าย!E81</f>
        <v>0</v>
      </c>
      <c r="F81" s="31">
        <f>เช้า!F81+เย็น!F81+บ่าย!F81</f>
        <v>0</v>
      </c>
      <c r="G81" s="31">
        <f>เช้า!G81+เย็น!G81+บ่าย!G81</f>
        <v>0</v>
      </c>
      <c r="H81" s="31">
        <f>เช้า!H81+เย็น!H81+บ่าย!H81</f>
        <v>0</v>
      </c>
      <c r="I81" s="31">
        <f>เช้า!I81+เย็น!I81+บ่าย!I81</f>
        <v>0</v>
      </c>
      <c r="J81" s="31">
        <f>เช้า!J81+เย็น!J81+บ่าย!J81</f>
        <v>0</v>
      </c>
      <c r="K81" s="31">
        <f>เช้า!K81+เย็น!K81+บ่าย!K81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">
      <c r="B82" s="11">
        <v>1111024</v>
      </c>
      <c r="C82" s="20" t="s">
        <v>68</v>
      </c>
      <c r="D82" s="31">
        <f>เช้า!D82+เย็น!D82+บ่าย!D82</f>
        <v>0</v>
      </c>
      <c r="E82" s="31">
        <f>เช้า!E82+เย็น!E82+บ่าย!E82</f>
        <v>0</v>
      </c>
      <c r="F82" s="31">
        <f>เช้า!F82+เย็น!F82+บ่าย!F82</f>
        <v>0</v>
      </c>
      <c r="G82" s="31">
        <f>เช้า!G82+เย็น!G82+บ่าย!G82</f>
        <v>0</v>
      </c>
      <c r="H82" s="31">
        <f>เช้า!H82+เย็น!H82+บ่าย!H82</f>
        <v>0</v>
      </c>
      <c r="I82" s="31">
        <f>เช้า!I82+เย็น!I82+บ่าย!I82</f>
        <v>0</v>
      </c>
      <c r="J82" s="31">
        <f>เช้า!J82+เย็น!J82+บ่าย!J82</f>
        <v>0</v>
      </c>
      <c r="K82" s="31">
        <f>เช้า!K82+เย็น!K82+บ่าย!K82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">
      <c r="B83" s="11">
        <v>1111017</v>
      </c>
      <c r="C83" s="20" t="s">
        <v>69</v>
      </c>
      <c r="D83" s="31">
        <f>เช้า!D83+เย็น!D83+บ่าย!D83</f>
        <v>0</v>
      </c>
      <c r="E83" s="31">
        <f>เช้า!E83+เย็น!E83+บ่าย!E83</f>
        <v>0</v>
      </c>
      <c r="F83" s="31">
        <f>เช้า!F83+เย็น!F83+บ่าย!F83</f>
        <v>0</v>
      </c>
      <c r="G83" s="31">
        <f>เช้า!G83+เย็น!G83+บ่าย!G83</f>
        <v>0</v>
      </c>
      <c r="H83" s="31">
        <f>เช้า!H83+เย็น!H83+บ่าย!H83</f>
        <v>0</v>
      </c>
      <c r="I83" s="31">
        <f>เช้า!I83+เย็น!I83+บ่าย!I83</f>
        <v>0</v>
      </c>
      <c r="J83" s="31">
        <f>เช้า!J83+เย็น!J83+บ่าย!J83</f>
        <v>0</v>
      </c>
      <c r="K83" s="31">
        <f>เช้า!K83+เย็น!K83+บ่าย!K83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เช้า!D84+เย็น!D84+บ่าย!D84</f>
        <v>0</v>
      </c>
      <c r="E84" s="31">
        <f>เช้า!E84+เย็น!E84+บ่าย!E84</f>
        <v>0</v>
      </c>
      <c r="F84" s="31">
        <f>เช้า!F84+เย็น!F84+บ่าย!F84</f>
        <v>0</v>
      </c>
      <c r="G84" s="31">
        <f>เช้า!G84+เย็น!G84+บ่าย!G84</f>
        <v>0</v>
      </c>
      <c r="H84" s="31">
        <f>เช้า!H84+เย็น!H84+บ่าย!H84</f>
        <v>0</v>
      </c>
      <c r="I84" s="31">
        <f>เช้า!I84+เย็น!I84+บ่าย!I84</f>
        <v>0</v>
      </c>
      <c r="J84" s="31">
        <f>เช้า!J84+เย็น!J84+บ่าย!J84</f>
        <v>0</v>
      </c>
      <c r="K84" s="31">
        <f>เช้า!K84+เย็น!K84+บ่าย!K84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เช้า!D85+เย็น!D85+บ่าย!D85</f>
        <v>0</v>
      </c>
      <c r="E85" s="31">
        <f>เช้า!E85+เย็น!E85+บ่าย!E85</f>
        <v>0</v>
      </c>
      <c r="F85" s="31">
        <f>เช้า!F85+เย็น!F85+บ่าย!F85</f>
        <v>0</v>
      </c>
      <c r="G85" s="31">
        <f>เช้า!G85+เย็น!G85+บ่าย!G85</f>
        <v>0</v>
      </c>
      <c r="H85" s="31">
        <f>เช้า!H85+เย็น!H85+บ่าย!H85</f>
        <v>0</v>
      </c>
      <c r="I85" s="31">
        <f>เช้า!I85+เย็น!I85+บ่าย!I85</f>
        <v>0</v>
      </c>
      <c r="J85" s="31">
        <f>เช้า!J85+เย็น!J85+บ่าย!J85</f>
        <v>0</v>
      </c>
      <c r="K85" s="31">
        <f>เช้า!K85+เย็น!K85+บ่าย!K85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เช้า!D86+เย็น!D86+บ่าย!D86</f>
        <v>0</v>
      </c>
      <c r="E86" s="31">
        <f>เช้า!E86+เย็น!E86+บ่าย!E86</f>
        <v>0</v>
      </c>
      <c r="F86" s="31">
        <f>เช้า!F86+เย็น!F86+บ่าย!F86</f>
        <v>0</v>
      </c>
      <c r="G86" s="31">
        <f>เช้า!G86+เย็น!G86+บ่าย!G86</f>
        <v>0</v>
      </c>
      <c r="H86" s="31">
        <f>เช้า!H86+เย็น!H86+บ่าย!H86</f>
        <v>0</v>
      </c>
      <c r="I86" s="31">
        <f>เช้า!I86+เย็น!I86+บ่าย!I86</f>
        <v>0</v>
      </c>
      <c r="J86" s="31">
        <f>เช้า!J86+เย็น!J86+บ่าย!J86</f>
        <v>0</v>
      </c>
      <c r="K86" s="31">
        <f>เช้า!K86+เย็น!K86+บ่าย!K86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เช้า!D87+เย็น!D87+บ่าย!D87</f>
        <v>30</v>
      </c>
      <c r="E87" s="31">
        <f>เช้า!E87+เย็น!E87+บ่าย!E87</f>
        <v>6</v>
      </c>
      <c r="F87" s="31">
        <f>เช้า!F87+เย็น!F87+บ่าย!F87</f>
        <v>0</v>
      </c>
      <c r="G87" s="31">
        <f>เช้า!G87+เย็น!G87+บ่าย!G87</f>
        <v>6</v>
      </c>
      <c r="H87" s="31">
        <f>เช้า!H87+เย็น!H87+บ่าย!H87</f>
        <v>0</v>
      </c>
      <c r="I87" s="31">
        <f>เช้า!I87+เย็น!I87+บ่าย!I87</f>
        <v>0</v>
      </c>
      <c r="J87" s="31">
        <f>เช้า!J87+เย็น!J87+บ่าย!J87</f>
        <v>0</v>
      </c>
      <c r="K87" s="31">
        <f>เช้า!K87+เย็น!K87+บ่าย!K87</f>
        <v>0</v>
      </c>
      <c r="L87" s="37">
        <f t="shared" si="7"/>
        <v>42</v>
      </c>
      <c r="M87" s="11"/>
      <c r="N87" s="11">
        <v>117</v>
      </c>
      <c r="O87" s="11"/>
      <c r="P87" s="11"/>
      <c r="Q87" s="45">
        <f t="shared" si="8"/>
        <v>75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เช้า!D90+เย็น!D90+บ่าย!D90</f>
        <v>0</v>
      </c>
      <c r="E90" s="31">
        <f>เช้า!E90+เย็น!E90+บ่าย!E90</f>
        <v>3</v>
      </c>
      <c r="F90" s="31">
        <f>เช้า!F90+เย็น!F90+บ่าย!F90</f>
        <v>0</v>
      </c>
      <c r="G90" s="31">
        <f>เช้า!G90+เย็น!G90+บ่าย!G90</f>
        <v>0</v>
      </c>
      <c r="H90" s="31">
        <f>เช้า!H90+เย็น!H90+บ่าย!H90</f>
        <v>0</v>
      </c>
      <c r="I90" s="31">
        <f>เช้า!I90+เย็น!I90+บ่าย!I90</f>
        <v>0</v>
      </c>
      <c r="J90" s="31">
        <f>เช้า!J90+เย็น!J90+บ่าย!J90</f>
        <v>0</v>
      </c>
      <c r="K90" s="31">
        <f>เช้า!K90+เย็น!K90+บ่าย!K90</f>
        <v>0</v>
      </c>
      <c r="L90" s="37">
        <f t="shared" ref="L90:L99" si="9">SUM(D90:K90)</f>
        <v>3</v>
      </c>
      <c r="M90" s="11"/>
      <c r="N90" s="11">
        <v>7</v>
      </c>
      <c r="O90" s="11"/>
      <c r="P90" s="11"/>
      <c r="Q90" s="45">
        <f t="shared" ref="Q90:Q99" si="10">(M90+N90+O90+P90)-L90</f>
        <v>4</v>
      </c>
    </row>
    <row r="91" spans="2:17" x14ac:dyDescent="0.2">
      <c r="B91" s="11">
        <v>1112011</v>
      </c>
      <c r="C91" s="20" t="s">
        <v>76</v>
      </c>
      <c r="D91" s="31">
        <f>เช้า!D91+เย็น!D91+บ่าย!D91</f>
        <v>0</v>
      </c>
      <c r="E91" s="31">
        <f>เช้า!E91+เย็น!E91+บ่าย!E91</f>
        <v>3</v>
      </c>
      <c r="F91" s="31">
        <f>เช้า!F91+เย็น!F91+บ่าย!F91</f>
        <v>0</v>
      </c>
      <c r="G91" s="31">
        <f>เช้า!G91+เย็น!G91+บ่าย!G91</f>
        <v>0</v>
      </c>
      <c r="H91" s="31">
        <f>เช้า!H91+เย็น!H91+บ่าย!H91</f>
        <v>0</v>
      </c>
      <c r="I91" s="31">
        <f>เช้า!I91+เย็น!I91+บ่าย!I91</f>
        <v>0</v>
      </c>
      <c r="J91" s="31">
        <f>เช้า!J91+เย็น!J91+บ่าย!J91</f>
        <v>0</v>
      </c>
      <c r="K91" s="31">
        <f>เช้า!K91+เย็น!K91+บ่าย!K91</f>
        <v>0</v>
      </c>
      <c r="L91" s="37">
        <f t="shared" si="9"/>
        <v>3</v>
      </c>
      <c r="M91" s="11"/>
      <c r="N91" s="11">
        <v>1</v>
      </c>
      <c r="O91" s="11"/>
      <c r="P91" s="11"/>
      <c r="Q91" s="45">
        <f t="shared" si="10"/>
        <v>-2</v>
      </c>
    </row>
    <row r="92" spans="2:17" x14ac:dyDescent="0.2">
      <c r="B92" s="11">
        <v>1112003</v>
      </c>
      <c r="C92" s="20" t="s">
        <v>77</v>
      </c>
      <c r="D92" s="31">
        <f>เช้า!D92+เย็น!D92+บ่าย!D92</f>
        <v>0</v>
      </c>
      <c r="E92" s="31">
        <f>เช้า!E92+เย็น!E92+บ่าย!E92</f>
        <v>2</v>
      </c>
      <c r="F92" s="31">
        <f>เช้า!F92+เย็น!F92+บ่าย!F92</f>
        <v>0</v>
      </c>
      <c r="G92" s="31">
        <f>เช้า!G92+เย็น!G92+บ่าย!G92</f>
        <v>0</v>
      </c>
      <c r="H92" s="31">
        <f>เช้า!H92+เย็น!H92+บ่าย!H92</f>
        <v>0</v>
      </c>
      <c r="I92" s="31">
        <f>เช้า!I92+เย็น!I92+บ่าย!I92</f>
        <v>0</v>
      </c>
      <c r="J92" s="31">
        <f>เช้า!J92+เย็น!J92+บ่าย!J92</f>
        <v>0</v>
      </c>
      <c r="K92" s="31">
        <f>เช้า!K92+เย็น!K92+บ่าย!K92</f>
        <v>0</v>
      </c>
      <c r="L92" s="37">
        <f t="shared" si="9"/>
        <v>2</v>
      </c>
      <c r="M92" s="11"/>
      <c r="N92" s="11"/>
      <c r="O92" s="11"/>
      <c r="P92" s="11"/>
      <c r="Q92" s="45">
        <f t="shared" si="10"/>
        <v>-2</v>
      </c>
    </row>
    <row r="93" spans="2:17" x14ac:dyDescent="0.2">
      <c r="B93" s="11">
        <v>1112005</v>
      </c>
      <c r="C93" s="20" t="s">
        <v>78</v>
      </c>
      <c r="D93" s="31">
        <f>เช้า!D93+เย็น!D93+บ่าย!D93</f>
        <v>4</v>
      </c>
      <c r="E93" s="31">
        <f>เช้า!E93+เย็น!E93+บ่าย!E93</f>
        <v>2</v>
      </c>
      <c r="F93" s="31">
        <f>เช้า!F93+เย็น!F93+บ่าย!F93</f>
        <v>0</v>
      </c>
      <c r="G93" s="31">
        <f>เช้า!G93+เย็น!G93+บ่าย!G93</f>
        <v>0</v>
      </c>
      <c r="H93" s="31">
        <f>เช้า!H93+เย็น!H93+บ่าย!H93</f>
        <v>0</v>
      </c>
      <c r="I93" s="31">
        <f>เช้า!I93+เย็น!I93+บ่าย!I93</f>
        <v>0</v>
      </c>
      <c r="J93" s="31">
        <f>เช้า!J93+เย็น!J93+บ่าย!J93</f>
        <v>0</v>
      </c>
      <c r="K93" s="31">
        <f>เช้า!K93+เย็น!K93+บ่าย!K93</f>
        <v>0</v>
      </c>
      <c r="L93" s="37">
        <f t="shared" si="9"/>
        <v>6</v>
      </c>
      <c r="M93" s="11"/>
      <c r="N93" s="11">
        <v>49</v>
      </c>
      <c r="O93" s="11"/>
      <c r="P93" s="11"/>
      <c r="Q93" s="45">
        <f t="shared" si="10"/>
        <v>43</v>
      </c>
    </row>
    <row r="94" spans="2:17" x14ac:dyDescent="0.2">
      <c r="B94" s="11">
        <v>1112007</v>
      </c>
      <c r="C94" s="20" t="s">
        <v>79</v>
      </c>
      <c r="D94" s="31">
        <f>เช้า!D94+เย็น!D94+บ่าย!D94</f>
        <v>0</v>
      </c>
      <c r="E94" s="31">
        <f>เช้า!E94+เย็น!E94+บ่าย!E94</f>
        <v>0</v>
      </c>
      <c r="F94" s="31">
        <f>เช้า!F94+เย็น!F94+บ่าย!F94</f>
        <v>0</v>
      </c>
      <c r="G94" s="31">
        <f>เช้า!G94+เย็น!G94+บ่าย!G94</f>
        <v>0</v>
      </c>
      <c r="H94" s="31">
        <f>เช้า!H94+เย็น!H94+บ่าย!H94</f>
        <v>0</v>
      </c>
      <c r="I94" s="31">
        <f>เช้า!I94+เย็น!I94+บ่าย!I94</f>
        <v>0</v>
      </c>
      <c r="J94" s="31">
        <f>เช้า!J94+เย็น!J94+บ่าย!J94</f>
        <v>0</v>
      </c>
      <c r="K94" s="31">
        <f>เช้า!K94+เย็น!K94+บ่าย!K94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เช้า!D95+เย็น!D95+บ่าย!D95</f>
        <v>0</v>
      </c>
      <c r="E95" s="31">
        <f>เช้า!E95+เย็น!E95+บ่าย!E95</f>
        <v>0</v>
      </c>
      <c r="F95" s="31">
        <f>เช้า!F95+เย็น!F95+บ่าย!F95</f>
        <v>0</v>
      </c>
      <c r="G95" s="31">
        <f>เช้า!G95+เย็น!G95+บ่าย!G95</f>
        <v>0</v>
      </c>
      <c r="H95" s="31">
        <f>เช้า!H95+เย็น!H95+บ่าย!H95</f>
        <v>0</v>
      </c>
      <c r="I95" s="31">
        <f>เช้า!I95+เย็น!I95+บ่าย!I95</f>
        <v>0</v>
      </c>
      <c r="J95" s="31">
        <f>เช้า!J95+เย็น!J95+บ่าย!J95</f>
        <v>0</v>
      </c>
      <c r="K95" s="31">
        <f>เช้า!K95+เย็น!K95+บ่าย!K95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เช้า!D96+เย็น!D96+บ่าย!D96</f>
        <v>0</v>
      </c>
      <c r="E96" s="31">
        <f>เช้า!E96+เย็น!E96+บ่าย!E96</f>
        <v>0</v>
      </c>
      <c r="F96" s="31">
        <f>เช้า!F96+เย็น!F96+บ่าย!F96</f>
        <v>0</v>
      </c>
      <c r="G96" s="31">
        <f>เช้า!G96+เย็น!G96+บ่าย!G96</f>
        <v>0</v>
      </c>
      <c r="H96" s="31">
        <f>เช้า!H96+เย็น!H96+บ่าย!H96</f>
        <v>0</v>
      </c>
      <c r="I96" s="31">
        <f>เช้า!I96+เย็น!I96+บ่าย!I96</f>
        <v>0</v>
      </c>
      <c r="J96" s="31">
        <f>เช้า!J96+เย็น!J96+บ่าย!J96</f>
        <v>0</v>
      </c>
      <c r="K96" s="31">
        <f>เช้า!K96+เย็น!K96+บ่าย!K96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เช้า!D97+เย็น!D97+บ่าย!D97</f>
        <v>0</v>
      </c>
      <c r="E97" s="31">
        <f>เช้า!E97+เย็น!E97+บ่าย!E97</f>
        <v>0</v>
      </c>
      <c r="F97" s="31">
        <f>เช้า!F97+เย็น!F97+บ่าย!F97</f>
        <v>0</v>
      </c>
      <c r="G97" s="31">
        <f>เช้า!G97+เย็น!G97+บ่าย!G97</f>
        <v>0</v>
      </c>
      <c r="H97" s="31">
        <f>เช้า!H97+เย็น!H97+บ่าย!H97</f>
        <v>0</v>
      </c>
      <c r="I97" s="31">
        <f>เช้า!I97+เย็น!I97+บ่าย!I97</f>
        <v>0</v>
      </c>
      <c r="J97" s="31">
        <f>เช้า!J97+เย็น!J97+บ่าย!J97</f>
        <v>0</v>
      </c>
      <c r="K97" s="31">
        <f>เช้า!K97+เย็น!K97+บ่าย!K97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 x14ac:dyDescent="0.2">
      <c r="B98" s="11">
        <v>1112013</v>
      </c>
      <c r="C98" s="20" t="s">
        <v>83</v>
      </c>
      <c r="D98" s="31">
        <f>เช้า!D98+เย็น!D98+บ่าย!D98</f>
        <v>0</v>
      </c>
      <c r="E98" s="31">
        <f>เช้า!E98+เย็น!E98+บ่าย!E98</f>
        <v>2</v>
      </c>
      <c r="F98" s="31">
        <f>เช้า!F98+เย็น!F98+บ่าย!F98</f>
        <v>0</v>
      </c>
      <c r="G98" s="31">
        <f>เช้า!G98+เย็น!G98+บ่าย!G98</f>
        <v>0</v>
      </c>
      <c r="H98" s="31">
        <f>เช้า!H98+เย็น!H98+บ่าย!H98</f>
        <v>0</v>
      </c>
      <c r="I98" s="31">
        <f>เช้า!I98+เย็น!I98+บ่าย!I98</f>
        <v>0</v>
      </c>
      <c r="J98" s="31">
        <f>เช้า!J98+เย็น!J98+บ่าย!J98</f>
        <v>0</v>
      </c>
      <c r="K98" s="31">
        <f>เช้า!K98+เย็น!K98+บ่าย!K98</f>
        <v>0</v>
      </c>
      <c r="L98" s="37">
        <f t="shared" si="9"/>
        <v>2</v>
      </c>
      <c r="M98" s="11"/>
      <c r="N98" s="11"/>
      <c r="O98" s="11"/>
      <c r="P98" s="11"/>
      <c r="Q98" s="45">
        <f t="shared" si="10"/>
        <v>-2</v>
      </c>
    </row>
    <row r="99" spans="2:17" hidden="1" x14ac:dyDescent="0.2">
      <c r="B99" s="11">
        <v>1124043</v>
      </c>
      <c r="C99" s="20" t="s">
        <v>84</v>
      </c>
      <c r="D99" s="31">
        <f>บ่าย!D99+เย็น!D99+เช้า!D99</f>
        <v>0</v>
      </c>
      <c r="E99" s="31">
        <f>บ่าย!E99+เย็น!E99+เช้า!E99</f>
        <v>0</v>
      </c>
      <c r="F99" s="31">
        <f>บ่าย!F99+เย็น!F99+เช้า!F99</f>
        <v>0</v>
      </c>
      <c r="G99" s="31">
        <f>บ่าย!G99+เย็น!G99+เช้า!G99</f>
        <v>0</v>
      </c>
      <c r="H99" s="31">
        <f>บ่าย!H99+เย็น!H99+เช้า!H99</f>
        <v>0</v>
      </c>
      <c r="I99" s="31">
        <f>บ่าย!I99+เย็น!I99+เช้า!I99</f>
        <v>0</v>
      </c>
      <c r="J99" s="31">
        <f>บ่าย!J99+เย็น!J99+เช้า!J99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16</v>
      </c>
      <c r="M100" s="11"/>
      <c r="N100" s="11"/>
      <c r="O100" s="11"/>
      <c r="P100" s="11"/>
      <c r="Q100" s="45"/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20" t="s">
        <v>75</v>
      </c>
      <c r="D102" s="31">
        <f>บ่าย!D102+เย็น!D102+เช้า!D102</f>
        <v>0</v>
      </c>
      <c r="E102" s="31">
        <f>บ่าย!E102+เย็น!E102+เช้า!E102</f>
        <v>0</v>
      </c>
      <c r="F102" s="31">
        <f>บ่าย!F102+เย็น!F102+เช้า!F102</f>
        <v>0</v>
      </c>
      <c r="G102" s="31">
        <f>บ่าย!G102+เย็น!G102+เช้า!G102</f>
        <v>0</v>
      </c>
      <c r="H102" s="31">
        <f>บ่าย!H102+เย็น!H102+เช้า!H102</f>
        <v>0</v>
      </c>
      <c r="I102" s="31">
        <f>บ่าย!I102+เย็น!I102+เช้า!I102</f>
        <v>0</v>
      </c>
      <c r="J102" s="31">
        <f>บ่าย!J102+เย็น!J102+เช้า!J102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 x14ac:dyDescent="0.2">
      <c r="B103" s="11">
        <v>1112010</v>
      </c>
      <c r="C103" s="20" t="s">
        <v>76</v>
      </c>
      <c r="D103" s="31">
        <f>บ่าย!D103+เย็น!D103+เช้า!D103</f>
        <v>0</v>
      </c>
      <c r="E103" s="31">
        <f>บ่าย!E103+เย็น!E103+เช้า!E103</f>
        <v>0</v>
      </c>
      <c r="F103" s="31">
        <f>บ่าย!F103+เย็น!F103+เช้า!F103</f>
        <v>0</v>
      </c>
      <c r="G103" s="31">
        <f>บ่าย!G103+เย็น!G103+เช้า!G103</f>
        <v>0</v>
      </c>
      <c r="H103" s="31">
        <f>บ่าย!H103+เย็น!H103+เช้า!H103</f>
        <v>0</v>
      </c>
      <c r="I103" s="31">
        <f>บ่าย!I103+เย็น!I103+เช้า!I103</f>
        <v>0</v>
      </c>
      <c r="J103" s="31">
        <f>บ่าย!J103+เย็น!J103+เช้า!J103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 x14ac:dyDescent="0.2">
      <c r="B104" s="11">
        <v>1112002</v>
      </c>
      <c r="C104" s="20" t="s">
        <v>77</v>
      </c>
      <c r="D104" s="31">
        <f>บ่าย!D104+เย็น!D104+เช้า!D104</f>
        <v>0</v>
      </c>
      <c r="E104" s="31">
        <f>บ่าย!E104+เย็น!E104+เช้า!E104</f>
        <v>0</v>
      </c>
      <c r="F104" s="31">
        <f>บ่าย!F104+เย็น!F104+เช้า!F104</f>
        <v>0</v>
      </c>
      <c r="G104" s="31">
        <f>บ่าย!G104+เย็น!G104+เช้า!G104</f>
        <v>0</v>
      </c>
      <c r="H104" s="31">
        <f>บ่าย!H104+เย็น!H104+เช้า!H104</f>
        <v>0</v>
      </c>
      <c r="I104" s="31">
        <f>บ่าย!I104+เย็น!I104+เช้า!I104</f>
        <v>0</v>
      </c>
      <c r="J104" s="31">
        <f>บ่าย!J104+เย็น!J104+เช้า!J104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 x14ac:dyDescent="0.2">
      <c r="B105" s="11">
        <v>1112004</v>
      </c>
      <c r="C105" s="20" t="s">
        <v>78</v>
      </c>
      <c r="D105" s="31">
        <f>บ่าย!D105+เย็น!D105+เช้า!D105</f>
        <v>0</v>
      </c>
      <c r="E105" s="31">
        <f>บ่าย!E105+เย็น!E105+เช้า!E105</f>
        <v>0</v>
      </c>
      <c r="F105" s="31">
        <f>บ่าย!F105+เย็น!F105+เช้า!F105</f>
        <v>0</v>
      </c>
      <c r="G105" s="31">
        <f>บ่าย!G105+เย็น!G105+เช้า!G105</f>
        <v>0</v>
      </c>
      <c r="H105" s="31">
        <f>บ่าย!H105+เย็น!H105+เช้า!H105</f>
        <v>0</v>
      </c>
      <c r="I105" s="31">
        <f>บ่าย!I105+เย็น!I105+เช้า!I105</f>
        <v>0</v>
      </c>
      <c r="J105" s="31">
        <f>บ่าย!J105+เย็น!J105+เช้า!J105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 x14ac:dyDescent="0.2">
      <c r="B106" s="11">
        <v>1112006</v>
      </c>
      <c r="C106" s="20" t="s">
        <v>79</v>
      </c>
      <c r="D106" s="31">
        <f>บ่าย!D106+เย็น!D106+เช้า!D106</f>
        <v>0</v>
      </c>
      <c r="E106" s="31">
        <f>บ่าย!E106+เย็น!E106+เช้า!E106</f>
        <v>0</v>
      </c>
      <c r="F106" s="31">
        <f>บ่าย!F106+เย็น!F106+เช้า!F106</f>
        <v>0</v>
      </c>
      <c r="G106" s="31">
        <f>บ่าย!G106+เย็น!G106+เช้า!G106</f>
        <v>0</v>
      </c>
      <c r="H106" s="31">
        <f>บ่าย!H106+เย็น!H106+เช้า!H106</f>
        <v>0</v>
      </c>
      <c r="I106" s="31">
        <f>บ่าย!I106+เย็น!I106+เช้า!I106</f>
        <v>0</v>
      </c>
      <c r="J106" s="31">
        <f>บ่าย!J106+เย็น!J106+เช้า!J106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 x14ac:dyDescent="0.2">
      <c r="B107" s="11">
        <v>1112018</v>
      </c>
      <c r="C107" s="20" t="s">
        <v>80</v>
      </c>
      <c r="D107" s="31">
        <f>บ่าย!D107+เย็น!D107+เช้า!D107</f>
        <v>0</v>
      </c>
      <c r="E107" s="31">
        <f>บ่าย!E107+เย็น!E107+เช้า!E107</f>
        <v>0</v>
      </c>
      <c r="F107" s="31">
        <f>บ่าย!F107+เย็น!F107+เช้า!F107</f>
        <v>0</v>
      </c>
      <c r="G107" s="31">
        <f>บ่าย!G107+เย็น!G107+เช้า!G107</f>
        <v>0</v>
      </c>
      <c r="H107" s="31">
        <f>บ่าย!H107+เย็น!H107+เช้า!H107</f>
        <v>0</v>
      </c>
      <c r="I107" s="31">
        <f>บ่าย!I107+เย็น!I107+เช้า!I107</f>
        <v>0</v>
      </c>
      <c r="J107" s="31">
        <f>บ่าย!J107+เย็น!J107+เช้า!J107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 x14ac:dyDescent="0.2">
      <c r="B108" s="11">
        <v>1112016</v>
      </c>
      <c r="C108" s="20" t="s">
        <v>81</v>
      </c>
      <c r="D108" s="31">
        <f>บ่าย!D108+เย็น!D108+เช้า!D108</f>
        <v>0</v>
      </c>
      <c r="E108" s="31">
        <f>บ่าย!E108+เย็น!E108+เช้า!E108</f>
        <v>0</v>
      </c>
      <c r="F108" s="31">
        <f>บ่าย!F108+เย็น!F108+เช้า!F108</f>
        <v>0</v>
      </c>
      <c r="G108" s="31">
        <f>บ่าย!G108+เย็น!G108+เช้า!G108</f>
        <v>0</v>
      </c>
      <c r="H108" s="31">
        <f>บ่าย!H108+เย็น!H108+เช้า!H108</f>
        <v>0</v>
      </c>
      <c r="I108" s="31">
        <f>บ่าย!I108+เย็น!I108+เช้า!I108</f>
        <v>0</v>
      </c>
      <c r="J108" s="31">
        <f>บ่าย!J108+เย็น!J108+เช้า!J108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 x14ac:dyDescent="0.2">
      <c r="B109" s="11">
        <v>1112014</v>
      </c>
      <c r="C109" s="20" t="s">
        <v>82</v>
      </c>
      <c r="D109" s="31">
        <f>บ่าย!D109+เย็น!D109+เช้า!D109</f>
        <v>0</v>
      </c>
      <c r="E109" s="31">
        <f>บ่าย!E109+เย็น!E109+เช้า!E109</f>
        <v>0</v>
      </c>
      <c r="F109" s="31">
        <f>บ่าย!F109+เย็น!F109+เช้า!F109</f>
        <v>0</v>
      </c>
      <c r="G109" s="31">
        <f>บ่าย!G109+เย็น!G109+เช้า!G109</f>
        <v>0</v>
      </c>
      <c r="H109" s="31">
        <f>บ่าย!H109+เย็น!H109+เช้า!H109</f>
        <v>0</v>
      </c>
      <c r="I109" s="31">
        <f>บ่าย!I109+เย็น!I109+เช้า!I109</f>
        <v>0</v>
      </c>
      <c r="J109" s="31">
        <f>บ่าย!J109+เย็น!J109+เช้า!J109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 x14ac:dyDescent="0.2">
      <c r="B110" s="11">
        <v>1112012</v>
      </c>
      <c r="C110" s="20" t="s">
        <v>83</v>
      </c>
      <c r="D110" s="31">
        <f>บ่าย!D110+เย็น!D110+เช้า!D110</f>
        <v>0</v>
      </c>
      <c r="E110" s="31">
        <f>บ่าย!E110+เย็น!E110+เช้า!E110</f>
        <v>0</v>
      </c>
      <c r="F110" s="31">
        <f>บ่าย!F110+เย็น!F110+เช้า!F110</f>
        <v>0</v>
      </c>
      <c r="G110" s="31">
        <f>บ่าย!G110+เย็น!G110+เช้า!G110</f>
        <v>0</v>
      </c>
      <c r="H110" s="31">
        <f>บ่าย!H110+เย็น!H110+เช้า!H110</f>
        <v>0</v>
      </c>
      <c r="I110" s="31">
        <f>บ่าย!I110+เย็น!I110+เช้า!I110</f>
        <v>0</v>
      </c>
      <c r="J110" s="31">
        <f>บ่าย!J110+เย็น!J110+เช้า!J110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 x14ac:dyDescent="0.2">
      <c r="B111" s="11"/>
      <c r="C111" s="20" t="s">
        <v>84</v>
      </c>
      <c r="D111" s="31">
        <f>บ่าย!D111+เย็น!D111+เช้า!D111</f>
        <v>0</v>
      </c>
      <c r="E111" s="31">
        <f>บ่าย!E111+เย็น!E111+เช้า!E111</f>
        <v>0</v>
      </c>
      <c r="F111" s="31">
        <f>บ่าย!F111+เย็น!F111+เช้า!F111</f>
        <v>0</v>
      </c>
      <c r="G111" s="31">
        <f>บ่าย!G111+เย็น!G111+เช้า!G111</f>
        <v>0</v>
      </c>
      <c r="H111" s="31">
        <f>บ่าย!H111+เย็น!H111+เช้า!H111</f>
        <v>0</v>
      </c>
      <c r="I111" s="31">
        <f>บ่าย!I111+เย็น!I111+เช้า!I111</f>
        <v>0</v>
      </c>
      <c r="J111" s="31">
        <f>บ่าย!J111+เย็น!J111+เช้า!J111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เช้า!D114+เย็น!D114+บ่าย!D114</f>
        <v>3</v>
      </c>
      <c r="E114" s="31">
        <f>เช้า!E114+เย็น!E114+บ่าย!E114</f>
        <v>1</v>
      </c>
      <c r="F114" s="31">
        <f>เช้า!F114+เย็น!F114+บ่าย!F114</f>
        <v>0</v>
      </c>
      <c r="G114" s="31">
        <f>เช้า!G114+เย็น!G114+บ่าย!G114</f>
        <v>0</v>
      </c>
      <c r="H114" s="31">
        <f>เช้า!H114+เย็น!H114+บ่าย!H114</f>
        <v>0</v>
      </c>
      <c r="I114" s="31">
        <f>เช้า!I114+เย็น!I114+บ่าย!I114</f>
        <v>0</v>
      </c>
      <c r="J114" s="31">
        <f>เช้า!J114+เย็น!J114+บ่าย!J114</f>
        <v>0</v>
      </c>
      <c r="K114" s="31"/>
      <c r="L114" s="37">
        <f t="shared" ref="L114:L139" si="15">SUM(D114:K114)</f>
        <v>4</v>
      </c>
      <c r="M114" s="11"/>
      <c r="N114" s="11">
        <v>12</v>
      </c>
      <c r="O114" s="11"/>
      <c r="P114" s="11"/>
      <c r="Q114" s="45">
        <f t="shared" ref="Q114:Q139" si="16">(M114+N114+O114+P114)-L114</f>
        <v>8</v>
      </c>
    </row>
    <row r="115" spans="2:17" x14ac:dyDescent="0.2">
      <c r="B115" s="11">
        <v>1113171</v>
      </c>
      <c r="C115" s="22" t="s">
        <v>88</v>
      </c>
      <c r="D115" s="31">
        <f>เช้า!D115+เย็น!D115+บ่าย!D115</f>
        <v>0</v>
      </c>
      <c r="E115" s="31">
        <f>เช้า!E115+เย็น!E115+บ่าย!E115</f>
        <v>0</v>
      </c>
      <c r="F115" s="31">
        <f>เช้า!F115+เย็น!F115+บ่าย!F115</f>
        <v>0</v>
      </c>
      <c r="G115" s="31">
        <f>เช้า!G115+เย็น!G115+บ่าย!G115</f>
        <v>0</v>
      </c>
      <c r="H115" s="31">
        <f>เช้า!H115+เย็น!H115+บ่าย!H115</f>
        <v>0</v>
      </c>
      <c r="I115" s="31">
        <f>เช้า!I115+เย็น!I115+บ่าย!I115</f>
        <v>0</v>
      </c>
      <c r="J115" s="31">
        <f>เช้า!J115+เย็น!J115+บ่าย!J115</f>
        <v>0</v>
      </c>
      <c r="K115" s="31"/>
      <c r="L115" s="37">
        <f t="shared" si="15"/>
        <v>0</v>
      </c>
      <c r="M115" s="11"/>
      <c r="N115" s="11">
        <v>5</v>
      </c>
      <c r="O115" s="11"/>
      <c r="P115" s="11"/>
      <c r="Q115" s="45">
        <f t="shared" si="16"/>
        <v>5</v>
      </c>
    </row>
    <row r="116" spans="2:17" x14ac:dyDescent="0.2">
      <c r="B116" s="11">
        <v>1113172</v>
      </c>
      <c r="C116" s="22" t="s">
        <v>89</v>
      </c>
      <c r="D116" s="31">
        <f>เช้า!D116+เย็น!D116+บ่าย!D116</f>
        <v>0</v>
      </c>
      <c r="E116" s="31">
        <f>เช้า!E116+เย็น!E116+บ่าย!E116</f>
        <v>0</v>
      </c>
      <c r="F116" s="31">
        <f>เช้า!F116+เย็น!F116+บ่าย!F116</f>
        <v>0</v>
      </c>
      <c r="G116" s="31">
        <f>เช้า!G116+เย็น!G116+บ่าย!G116</f>
        <v>0</v>
      </c>
      <c r="H116" s="31">
        <f>เช้า!H116+เย็น!H116+บ่าย!H116</f>
        <v>0</v>
      </c>
      <c r="I116" s="31">
        <f>เช้า!I116+เย็น!I116+บ่าย!I116</f>
        <v>0</v>
      </c>
      <c r="J116" s="31">
        <f>เช้า!J116+เย็น!J116+บ่าย!J116</f>
        <v>0</v>
      </c>
      <c r="K116" s="31"/>
      <c r="L116" s="37">
        <f t="shared" si="15"/>
        <v>0</v>
      </c>
      <c r="M116" s="11"/>
      <c r="N116" s="11"/>
      <c r="O116" s="11"/>
      <c r="P116" s="11"/>
      <c r="Q116" s="45">
        <f t="shared" si="16"/>
        <v>0</v>
      </c>
    </row>
    <row r="117" spans="2:17" x14ac:dyDescent="0.2">
      <c r="B117" s="11">
        <v>1113173</v>
      </c>
      <c r="C117" s="22" t="s">
        <v>90</v>
      </c>
      <c r="D117" s="31">
        <f>เช้า!D117+เย็น!D117+บ่าย!D117</f>
        <v>0</v>
      </c>
      <c r="E117" s="31">
        <f>เช้า!E117+เย็น!E117+บ่าย!E117</f>
        <v>0</v>
      </c>
      <c r="F117" s="31">
        <f>เช้า!F117+เย็น!F117+บ่าย!F117</f>
        <v>0</v>
      </c>
      <c r="G117" s="31">
        <f>เช้า!G117+เย็น!G117+บ่าย!G117</f>
        <v>0</v>
      </c>
      <c r="H117" s="31">
        <f>เช้า!H117+เย็น!H117+บ่าย!H117</f>
        <v>0</v>
      </c>
      <c r="I117" s="31">
        <f>เช้า!I117+เย็น!I117+บ่าย!I117</f>
        <v>0</v>
      </c>
      <c r="J117" s="31">
        <f>เช้า!J117+เย็น!J117+บ่าย!J117</f>
        <v>0</v>
      </c>
      <c r="K117" s="31"/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เช้า!D118+เย็น!D118+บ่าย!D118</f>
        <v>0</v>
      </c>
      <c r="E118" s="31">
        <f>เช้า!E118+เย็น!E118+บ่าย!E118</f>
        <v>1</v>
      </c>
      <c r="F118" s="31">
        <f>เช้า!F118+เย็น!F118+บ่าย!F118</f>
        <v>0</v>
      </c>
      <c r="G118" s="31">
        <f>เช้า!G118+เย็น!G118+บ่าย!G118</f>
        <v>0</v>
      </c>
      <c r="H118" s="31">
        <f>เช้า!H118+เย็น!H118+บ่าย!H118</f>
        <v>0</v>
      </c>
      <c r="I118" s="31">
        <f>เช้า!I118+เย็น!I118+บ่าย!I118</f>
        <v>0</v>
      </c>
      <c r="J118" s="31">
        <f>เช้า!J118+เย็น!J118+บ่าย!J118</f>
        <v>0</v>
      </c>
      <c r="K118" s="31">
        <f>เช้า!K118+เย็น!K118+บ่าย!K118</f>
        <v>0</v>
      </c>
      <c r="L118" s="37">
        <f t="shared" si="15"/>
        <v>1</v>
      </c>
      <c r="M118" s="11"/>
      <c r="N118" s="11">
        <v>40</v>
      </c>
      <c r="O118" s="11"/>
      <c r="P118" s="11"/>
      <c r="Q118" s="45">
        <f t="shared" si="16"/>
        <v>39</v>
      </c>
    </row>
    <row r="119" spans="2:17" x14ac:dyDescent="0.2">
      <c r="B119" s="11">
        <v>1100001</v>
      </c>
      <c r="C119" s="22" t="s">
        <v>122</v>
      </c>
      <c r="D119" s="31">
        <f>เช้า!D119+เย็น!D119+บ่าย!D119</f>
        <v>0</v>
      </c>
      <c r="E119" s="31">
        <f>เช้า!E119+เย็น!E119+บ่าย!E119</f>
        <v>0</v>
      </c>
      <c r="F119" s="31">
        <f>เช้า!F119+เย็น!F119+บ่าย!F119</f>
        <v>0</v>
      </c>
      <c r="G119" s="31">
        <f>เช้า!G119+เย็น!G119+บ่าย!G119</f>
        <v>114</v>
      </c>
      <c r="H119" s="31">
        <f>เช้า!H119+เย็น!H119+บ่าย!H119</f>
        <v>0</v>
      </c>
      <c r="I119" s="31">
        <f>เช้า!I119+เย็น!I119+บ่าย!I119</f>
        <v>0</v>
      </c>
      <c r="J119" s="31">
        <f>เช้า!J119+เย็น!J119+บ่าย!J119</f>
        <v>0</v>
      </c>
      <c r="K119" s="31">
        <f>เช้า!K119+เย็น!K119+บ่าย!K119</f>
        <v>0</v>
      </c>
      <c r="L119" s="37">
        <f t="shared" si="15"/>
        <v>114</v>
      </c>
      <c r="M119" s="11"/>
      <c r="N119" s="11">
        <v>316</v>
      </c>
      <c r="O119" s="11"/>
      <c r="P119" s="11"/>
      <c r="Q119" s="45">
        <f t="shared" si="16"/>
        <v>202</v>
      </c>
    </row>
    <row r="120" spans="2:17" x14ac:dyDescent="0.2">
      <c r="B120" s="11">
        <v>1100002</v>
      </c>
      <c r="C120" s="22" t="s">
        <v>123</v>
      </c>
      <c r="D120" s="31">
        <f>เช้า!D120+เย็น!D120+บ่าย!D120</f>
        <v>0</v>
      </c>
      <c r="E120" s="31">
        <f>เช้า!E120+เย็น!E120+บ่าย!E120</f>
        <v>2</v>
      </c>
      <c r="F120" s="31">
        <f>เช้า!F120+เย็น!F120+บ่าย!F120</f>
        <v>0</v>
      </c>
      <c r="G120" s="31">
        <f>เช้า!G120+เย็น!G120+บ่าย!G120</f>
        <v>5</v>
      </c>
      <c r="H120" s="31">
        <f>เช้า!H120+เย็น!H120+บ่าย!H120</f>
        <v>0</v>
      </c>
      <c r="I120" s="31">
        <f>เช้า!I120+เย็น!I120+บ่าย!I120</f>
        <v>0</v>
      </c>
      <c r="J120" s="31">
        <f>เช้า!J120+เย็น!J120+บ่าย!J120</f>
        <v>0</v>
      </c>
      <c r="K120" s="31">
        <f>เช้า!K120+เย็น!K120+บ่าย!K120</f>
        <v>0</v>
      </c>
      <c r="L120" s="37">
        <f t="shared" si="15"/>
        <v>7</v>
      </c>
      <c r="M120" s="11"/>
      <c r="N120" s="11">
        <v>114</v>
      </c>
      <c r="O120" s="11"/>
      <c r="P120" s="11"/>
      <c r="Q120" s="45">
        <f t="shared" si="16"/>
        <v>107</v>
      </c>
    </row>
    <row r="121" spans="2:17" x14ac:dyDescent="0.2">
      <c r="B121" s="11">
        <v>1200001</v>
      </c>
      <c r="C121" s="22" t="s">
        <v>93</v>
      </c>
      <c r="D121" s="31">
        <f>เช้า!D121+เย็น!D121+บ่าย!D121</f>
        <v>0</v>
      </c>
      <c r="E121" s="31">
        <f>เช้า!E121+เย็น!E121+บ่าย!E121</f>
        <v>5</v>
      </c>
      <c r="F121" s="31">
        <f>เช้า!F121+เย็น!F121+บ่าย!F121</f>
        <v>0</v>
      </c>
      <c r="G121" s="31">
        <f>เช้า!G121+เย็น!G121+บ่าย!G121</f>
        <v>0</v>
      </c>
      <c r="H121" s="31">
        <f>เช้า!H121+เย็น!H121+บ่าย!H121</f>
        <v>0</v>
      </c>
      <c r="I121" s="31">
        <f>เช้า!I121+เย็น!I121+บ่าย!I121</f>
        <v>0</v>
      </c>
      <c r="J121" s="31">
        <f>เช้า!J121+เย็น!J121+บ่าย!J121</f>
        <v>0</v>
      </c>
      <c r="K121" s="31">
        <f>เช้า!K121+เย็น!K121+บ่าย!K121</f>
        <v>0</v>
      </c>
      <c r="L121" s="37">
        <f t="shared" si="15"/>
        <v>5</v>
      </c>
      <c r="M121" s="11"/>
      <c r="N121" s="11">
        <v>100</v>
      </c>
      <c r="O121" s="11"/>
      <c r="P121" s="11"/>
      <c r="Q121" s="45">
        <f t="shared" si="16"/>
        <v>95</v>
      </c>
    </row>
    <row r="122" spans="2:17" x14ac:dyDescent="0.2">
      <c r="B122" s="11">
        <v>1005761</v>
      </c>
      <c r="C122" s="22" t="s">
        <v>94</v>
      </c>
      <c r="D122" s="31">
        <f>เช้า!D122+เย็น!D122+บ่าย!D122</f>
        <v>0</v>
      </c>
      <c r="E122" s="31">
        <f>เช้า!E122+เย็น!E122+บ่าย!E122</f>
        <v>0</v>
      </c>
      <c r="F122" s="31">
        <f>เช้า!F122+เย็น!F122+บ่าย!F122</f>
        <v>0</v>
      </c>
      <c r="G122" s="31">
        <f>เช้า!G122+เย็น!G122+บ่าย!G122</f>
        <v>0</v>
      </c>
      <c r="H122" s="31">
        <f>เช้า!H122+เย็น!H122+บ่าย!H122</f>
        <v>0</v>
      </c>
      <c r="I122" s="31">
        <f>เช้า!I122+เย็น!I122+บ่าย!I122</f>
        <v>0</v>
      </c>
      <c r="J122" s="31">
        <f>เช้า!J122+เย็น!J122+บ่าย!J122</f>
        <v>0</v>
      </c>
      <c r="K122" s="31">
        <f>เช้า!K122+เย็น!K122+บ่าย!K122</f>
        <v>0</v>
      </c>
      <c r="L122" s="37">
        <f t="shared" si="15"/>
        <v>0</v>
      </c>
      <c r="M122" s="11"/>
      <c r="N122" s="11">
        <v>6</v>
      </c>
      <c r="O122" s="11"/>
      <c r="P122" s="11"/>
      <c r="Q122" s="45">
        <f t="shared" si="16"/>
        <v>6</v>
      </c>
    </row>
    <row r="123" spans="2:17" x14ac:dyDescent="0.2">
      <c r="B123" s="11">
        <v>1114501</v>
      </c>
      <c r="C123" s="22" t="s">
        <v>95</v>
      </c>
      <c r="D123" s="31">
        <f>เช้า!D123+เย็น!D123+บ่าย!D123</f>
        <v>0</v>
      </c>
      <c r="E123" s="31">
        <f>เช้า!E123+เย็น!E123+บ่าย!E123</f>
        <v>0</v>
      </c>
      <c r="F123" s="31">
        <f>เช้า!F123+เย็น!F123+บ่าย!F123</f>
        <v>0</v>
      </c>
      <c r="G123" s="31">
        <f>เช้า!G123+เย็น!G123+บ่าย!G123</f>
        <v>32</v>
      </c>
      <c r="H123" s="31">
        <f>เช้า!H123+เย็น!H123+บ่าย!H123</f>
        <v>0</v>
      </c>
      <c r="I123" s="31">
        <f>เช้า!I123+เย็น!I123+บ่าย!I123</f>
        <v>0</v>
      </c>
      <c r="J123" s="31">
        <f>เช้า!J123+เย็น!J123+บ่าย!J123</f>
        <v>0</v>
      </c>
      <c r="K123" s="31">
        <f>เช้า!K123+เย็น!K123+บ่าย!K123</f>
        <v>0</v>
      </c>
      <c r="L123" s="37">
        <f t="shared" si="15"/>
        <v>32</v>
      </c>
      <c r="M123" s="11"/>
      <c r="N123" s="11">
        <v>13</v>
      </c>
      <c r="O123" s="11"/>
      <c r="P123" s="11"/>
      <c r="Q123" s="45">
        <f t="shared" si="16"/>
        <v>-19</v>
      </c>
    </row>
    <row r="124" spans="2:17" x14ac:dyDescent="0.2">
      <c r="B124" s="11">
        <v>1114502</v>
      </c>
      <c r="C124" s="22" t="s">
        <v>96</v>
      </c>
      <c r="D124" s="31">
        <f>เช้า!D124+เย็น!D124+บ่าย!D124</f>
        <v>0</v>
      </c>
      <c r="E124" s="31">
        <f>เช้า!E124+เย็น!E124+บ่าย!E124</f>
        <v>0</v>
      </c>
      <c r="F124" s="31">
        <f>เช้า!F124+เย็น!F124+บ่าย!F124</f>
        <v>0</v>
      </c>
      <c r="G124" s="31">
        <f>เช้า!G124+เย็น!G124+บ่าย!G124</f>
        <v>31</v>
      </c>
      <c r="H124" s="31">
        <f>เช้า!H124+เย็น!H124+บ่าย!H124</f>
        <v>0</v>
      </c>
      <c r="I124" s="31">
        <f>เช้า!I124+เย็น!I124+บ่าย!I124</f>
        <v>0</v>
      </c>
      <c r="J124" s="31">
        <f>เช้า!J124+เย็น!J124+บ่าย!J124</f>
        <v>0</v>
      </c>
      <c r="K124" s="31">
        <f>เช้า!K124+เย็น!K124+บ่าย!K124</f>
        <v>0</v>
      </c>
      <c r="L124" s="37">
        <f t="shared" si="15"/>
        <v>31</v>
      </c>
      <c r="M124" s="11"/>
      <c r="N124" s="11">
        <v>10</v>
      </c>
      <c r="O124" s="11"/>
      <c r="P124" s="11"/>
      <c r="Q124" s="45">
        <f t="shared" si="16"/>
        <v>-21</v>
      </c>
    </row>
    <row r="125" spans="2:17" x14ac:dyDescent="0.2">
      <c r="B125" s="11">
        <v>1114503</v>
      </c>
      <c r="C125" s="22" t="s">
        <v>97</v>
      </c>
      <c r="D125" s="31">
        <f>เช้า!D125+เย็น!D125+บ่าย!D125</f>
        <v>1</v>
      </c>
      <c r="E125" s="31">
        <f>เช้า!E125+เย็น!E125+บ่าย!E125</f>
        <v>0</v>
      </c>
      <c r="F125" s="31">
        <f>เช้า!F125+เย็น!F125+บ่าย!F125</f>
        <v>0</v>
      </c>
      <c r="G125" s="31">
        <f>เช้า!G125+เย็น!G125+บ่าย!G125</f>
        <v>29</v>
      </c>
      <c r="H125" s="31">
        <f>เช้า!H125+เย็น!H125+บ่าย!H125</f>
        <v>0</v>
      </c>
      <c r="I125" s="31">
        <f>เช้า!I125+เย็น!I125+บ่าย!I125</f>
        <v>0</v>
      </c>
      <c r="J125" s="31">
        <f>เช้า!J125+เย็น!J125+บ่าย!J125</f>
        <v>0</v>
      </c>
      <c r="K125" s="31">
        <f>เช้า!K125+เย็น!K125+บ่าย!K125</f>
        <v>0</v>
      </c>
      <c r="L125" s="37">
        <f t="shared" si="15"/>
        <v>30</v>
      </c>
      <c r="M125" s="11"/>
      <c r="N125" s="11"/>
      <c r="O125" s="11"/>
      <c r="P125" s="11"/>
      <c r="Q125" s="45">
        <f t="shared" si="16"/>
        <v>-30</v>
      </c>
    </row>
    <row r="126" spans="2:17" x14ac:dyDescent="0.2">
      <c r="B126" s="11">
        <v>1124021</v>
      </c>
      <c r="C126" s="22" t="s">
        <v>98</v>
      </c>
      <c r="D126" s="31">
        <f>เช้า!D126+เย็น!D126+บ่าย!D126</f>
        <v>0</v>
      </c>
      <c r="E126" s="31">
        <f>เช้า!E126+เย็น!E126+บ่าย!E126</f>
        <v>6</v>
      </c>
      <c r="F126" s="31">
        <f>เช้า!F126+เย็น!F126+บ่าย!F126</f>
        <v>16</v>
      </c>
      <c r="G126" s="31">
        <f>เช้า!G126+เย็น!G126+บ่าย!G126</f>
        <v>0</v>
      </c>
      <c r="H126" s="31">
        <f>เช้า!H126+เย็น!H126+บ่าย!H126</f>
        <v>0</v>
      </c>
      <c r="I126" s="31">
        <f>เช้า!I126+เย็น!I126+บ่าย!I126</f>
        <v>0</v>
      </c>
      <c r="J126" s="31">
        <f>เช้า!J126+เย็น!J126+บ่าย!J126</f>
        <v>0</v>
      </c>
      <c r="K126" s="31">
        <f>เช้า!K126+เย็น!K126+บ่าย!K126</f>
        <v>0</v>
      </c>
      <c r="L126" s="37">
        <f t="shared" si="15"/>
        <v>22</v>
      </c>
      <c r="M126" s="11"/>
      <c r="N126" s="11"/>
      <c r="O126" s="11"/>
      <c r="P126" s="11"/>
      <c r="Q126" s="45">
        <f t="shared" si="16"/>
        <v>-22</v>
      </c>
    </row>
    <row r="127" spans="2:17" x14ac:dyDescent="0.2">
      <c r="B127" s="11">
        <v>1113084</v>
      </c>
      <c r="C127" s="22" t="s">
        <v>99</v>
      </c>
      <c r="D127" s="31">
        <f>เช้า!D127+เย็น!D127+บ่าย!D127</f>
        <v>0</v>
      </c>
      <c r="E127" s="31">
        <f>เช้า!E127+เย็น!E127+บ่าย!E127</f>
        <v>0</v>
      </c>
      <c r="F127" s="31">
        <f>เช้า!F127+เย็น!F127+บ่าย!F127</f>
        <v>0</v>
      </c>
      <c r="G127" s="31">
        <f>เช้า!G127+เย็น!G127+บ่าย!G127</f>
        <v>0</v>
      </c>
      <c r="H127" s="31">
        <f>เช้า!H127+เย็น!H127+บ่าย!H127</f>
        <v>0</v>
      </c>
      <c r="I127" s="31">
        <f>เช้า!I127+เย็น!I127+บ่าย!I127</f>
        <v>0</v>
      </c>
      <c r="J127" s="31">
        <f>เช้า!J127+เย็น!J127+บ่าย!J127</f>
        <v>0</v>
      </c>
      <c r="K127" s="31">
        <f>เช้า!K127+เย็น!K127+บ่าย!K127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เช้า!D128+เย็น!D128+บ่าย!D128</f>
        <v>0</v>
      </c>
      <c r="E128" s="31">
        <f>เช้า!E128+เย็น!E128+บ่าย!E128</f>
        <v>0</v>
      </c>
      <c r="F128" s="31">
        <f>เช้า!F128+เย็น!F128+บ่าย!F128</f>
        <v>0</v>
      </c>
      <c r="G128" s="31">
        <f>เช้า!G128+เย็น!G128+บ่าย!G128</f>
        <v>0</v>
      </c>
      <c r="H128" s="31">
        <f>เช้า!H128+เย็น!H128+บ่าย!H128</f>
        <v>0</v>
      </c>
      <c r="I128" s="31">
        <f>เช้า!I128+เย็น!I128+บ่าย!I128</f>
        <v>0</v>
      </c>
      <c r="J128" s="31">
        <f>เช้า!J128+เย็น!J128+บ่าย!J128</f>
        <v>0</v>
      </c>
      <c r="K128" s="31">
        <f>เช้า!K128+เย็น!K128+บ่าย!K128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เช้า!D129+เย็น!D129+บ่าย!D129</f>
        <v>0</v>
      </c>
      <c r="E129" s="31">
        <f>เช้า!E129+เย็น!E129+บ่าย!E129</f>
        <v>0</v>
      </c>
      <c r="F129" s="31">
        <f>เช้า!F129+เย็น!F129+บ่าย!F129</f>
        <v>0</v>
      </c>
      <c r="G129" s="31">
        <f>เช้า!G129+เย็น!G129+บ่าย!G129</f>
        <v>0</v>
      </c>
      <c r="H129" s="31">
        <f>เช้า!H129+เย็น!H129+บ่าย!H129</f>
        <v>0</v>
      </c>
      <c r="I129" s="31">
        <f>เช้า!I129+เย็น!I129+บ่าย!I129</f>
        <v>0</v>
      </c>
      <c r="J129" s="31">
        <f>เช้า!J129+เย็น!J129+บ่าย!J129</f>
        <v>0</v>
      </c>
      <c r="K129" s="31">
        <f>เช้า!K129+เย็น!K129+บ่าย!K129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เช้า!D130+เย็น!D130+บ่าย!D130</f>
        <v>0</v>
      </c>
      <c r="E130" s="31">
        <f>เช้า!E130+เย็น!E130+บ่าย!E130</f>
        <v>1</v>
      </c>
      <c r="F130" s="31">
        <f>เช้า!F130+เย็น!F130+บ่าย!F130</f>
        <v>0</v>
      </c>
      <c r="G130" s="31">
        <f>เช้า!G130+เย็น!G130+บ่าย!G130</f>
        <v>0</v>
      </c>
      <c r="H130" s="31">
        <f>เช้า!H130+เย็น!H130+บ่าย!H130</f>
        <v>0</v>
      </c>
      <c r="I130" s="31">
        <f>เช้า!I130+เย็น!I130+บ่าย!I130</f>
        <v>0</v>
      </c>
      <c r="J130" s="31">
        <f>เช้า!J130+เย็น!J130+บ่าย!J130</f>
        <v>0</v>
      </c>
      <c r="K130" s="31">
        <f>เช้า!K130+เย็น!K130+บ่าย!K130</f>
        <v>0</v>
      </c>
      <c r="L130" s="37">
        <f t="shared" si="15"/>
        <v>1</v>
      </c>
      <c r="M130" s="11"/>
      <c r="N130" s="11"/>
      <c r="O130" s="11"/>
      <c r="P130" s="11"/>
      <c r="Q130" s="45">
        <f t="shared" si="16"/>
        <v>-1</v>
      </c>
    </row>
    <row r="131" spans="2:17" x14ac:dyDescent="0.2">
      <c r="B131" s="11">
        <v>1200003</v>
      </c>
      <c r="C131" s="22" t="s">
        <v>102</v>
      </c>
      <c r="D131" s="31">
        <f>เช้า!D131+เย็น!D131+บ่าย!D131</f>
        <v>0</v>
      </c>
      <c r="E131" s="31">
        <f>เช้า!E131+เย็น!E131+บ่าย!E131</f>
        <v>0</v>
      </c>
      <c r="F131" s="31">
        <f>เช้า!F131+เย็น!F131+บ่าย!F131</f>
        <v>0</v>
      </c>
      <c r="G131" s="31">
        <f>เช้า!G131+เย็น!G131+บ่าย!G131</f>
        <v>0</v>
      </c>
      <c r="H131" s="31">
        <f>เช้า!H131+เย็น!H131+บ่าย!H131</f>
        <v>0</v>
      </c>
      <c r="I131" s="31">
        <f>เช้า!I131+เย็น!I131+บ่าย!I131</f>
        <v>0</v>
      </c>
      <c r="J131" s="31">
        <f>เช้า!J131+เย็น!J131+บ่าย!J131</f>
        <v>0</v>
      </c>
      <c r="K131" s="31">
        <f>เช้า!K131+เย็น!K131+บ่าย!K131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เช้า!D132+เย็น!D132+บ่าย!D132</f>
        <v>0</v>
      </c>
      <c r="E132" s="31">
        <f>เช้า!E132+เย็น!E132+บ่าย!E132</f>
        <v>0</v>
      </c>
      <c r="F132" s="31">
        <f>เช้า!F132+เย็น!F132+บ่าย!F132</f>
        <v>0</v>
      </c>
      <c r="G132" s="31">
        <f>เช้า!G132+เย็น!G132+บ่าย!G132</f>
        <v>0</v>
      </c>
      <c r="H132" s="31">
        <f>เช้า!H132+เย็น!H132+บ่าย!H132</f>
        <v>0</v>
      </c>
      <c r="I132" s="31">
        <f>เช้า!I132+เย็น!I132+บ่าย!I132</f>
        <v>0</v>
      </c>
      <c r="J132" s="31">
        <f>เช้า!J132+เย็น!J132+บ่าย!J132</f>
        <v>0</v>
      </c>
      <c r="K132" s="31">
        <f>เช้า!K132+เย็น!K132+บ่าย!K132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เช้า!D133+เย็น!D133+บ่าย!D133</f>
        <v>0</v>
      </c>
      <c r="E133" s="31">
        <f>เช้า!E133+เย็น!E133+บ่าย!E133</f>
        <v>0</v>
      </c>
      <c r="F133" s="31">
        <f>เช้า!F133+เย็น!F133+บ่าย!F133</f>
        <v>0</v>
      </c>
      <c r="G133" s="31">
        <f>เช้า!G133+เย็น!G133+บ่าย!G133</f>
        <v>0</v>
      </c>
      <c r="H133" s="31">
        <f>เช้า!H133+เย็น!H133+บ่าย!H133</f>
        <v>0</v>
      </c>
      <c r="I133" s="31">
        <f>เช้า!I133+เย็น!I133+บ่าย!I133</f>
        <v>0</v>
      </c>
      <c r="J133" s="31">
        <f>เช้า!J133+เย็น!J133+บ่าย!J133</f>
        <v>0</v>
      </c>
      <c r="K133" s="31">
        <f>เช้า!K133+เย็น!K133+บ่าย!K133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เช้า!D134+เย็น!D134+บ่าย!D134</f>
        <v>0</v>
      </c>
      <c r="E134" s="31">
        <f>เช้า!E134+เย็น!E134+บ่าย!E134</f>
        <v>0</v>
      </c>
      <c r="F134" s="31">
        <f>เช้า!F134+เย็น!F134+บ่าย!F134</f>
        <v>0</v>
      </c>
      <c r="G134" s="31">
        <f>เช้า!G134+เย็น!G134+บ่าย!G134</f>
        <v>0</v>
      </c>
      <c r="H134" s="31">
        <f>เช้า!H134+เย็น!H134+บ่าย!H134</f>
        <v>0</v>
      </c>
      <c r="I134" s="31">
        <f>เช้า!I134+เย็น!I134+บ่าย!I134</f>
        <v>0</v>
      </c>
      <c r="J134" s="31">
        <f>เช้า!J134+เย็น!J134+บ่าย!J134</f>
        <v>0</v>
      </c>
      <c r="K134" s="31">
        <f>เช้า!K134+เย็น!K134+บ่าย!K134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เช้า!D135+เย็น!D135+บ่าย!D135</f>
        <v>0</v>
      </c>
      <c r="E135" s="31">
        <f>เช้า!E135+เย็น!E135+บ่าย!E135</f>
        <v>3</v>
      </c>
      <c r="F135" s="31">
        <f>เช้า!F135+เย็น!F135+บ่าย!F135</f>
        <v>3</v>
      </c>
      <c r="G135" s="31">
        <f>เช้า!G135+เย็น!G135+บ่าย!G135</f>
        <v>0</v>
      </c>
      <c r="H135" s="31">
        <f>เช้า!H135+เย็น!H135+บ่าย!H135</f>
        <v>0</v>
      </c>
      <c r="I135" s="31">
        <f>เช้า!I135+เย็น!I135+บ่าย!I135</f>
        <v>0</v>
      </c>
      <c r="J135" s="31">
        <f>เช้า!J135+เย็น!J135+บ่าย!J135</f>
        <v>0</v>
      </c>
      <c r="K135" s="31">
        <f>เช้า!K135+เย็น!K135+บ่าย!K135</f>
        <v>0</v>
      </c>
      <c r="L135" s="37">
        <f t="shared" si="15"/>
        <v>6</v>
      </c>
      <c r="M135" s="11"/>
      <c r="N135" s="11"/>
      <c r="O135" s="11"/>
      <c r="P135" s="11"/>
      <c r="Q135" s="45">
        <f t="shared" si="16"/>
        <v>-6</v>
      </c>
    </row>
    <row r="136" spans="2:17" x14ac:dyDescent="0.2">
      <c r="B136" s="23"/>
      <c r="C136" s="22" t="s">
        <v>125</v>
      </c>
      <c r="D136" s="31">
        <f>เช้า!D136+เย็น!D136+บ่าย!D136</f>
        <v>0</v>
      </c>
      <c r="E136" s="31">
        <f>เช้า!E136+เย็น!E136+บ่าย!E136</f>
        <v>0</v>
      </c>
      <c r="F136" s="31">
        <f>เช้า!F136+เย็น!F136+บ่าย!F136</f>
        <v>4</v>
      </c>
      <c r="G136" s="31">
        <f>เช้า!G136+เย็น!G136+บ่าย!G136</f>
        <v>0</v>
      </c>
      <c r="H136" s="31">
        <f>เช้า!H136+เย็น!H136+บ่าย!H136</f>
        <v>0</v>
      </c>
      <c r="I136" s="31">
        <f>เช้า!I136+เย็น!I136+บ่าย!I136</f>
        <v>0</v>
      </c>
      <c r="J136" s="31">
        <f>เช้า!J136+เย็น!J136+บ่าย!J136</f>
        <v>0</v>
      </c>
      <c r="K136" s="31">
        <f>เช้า!K136+เย็น!K136+บ่าย!K136</f>
        <v>0</v>
      </c>
      <c r="L136" s="37">
        <f t="shared" si="15"/>
        <v>4</v>
      </c>
      <c r="M136" s="11"/>
      <c r="N136" s="11"/>
      <c r="O136" s="11"/>
      <c r="P136" s="11"/>
      <c r="Q136" s="45">
        <f t="shared" si="16"/>
        <v>-4</v>
      </c>
    </row>
    <row r="137" spans="2:17" x14ac:dyDescent="0.2">
      <c r="B137" s="51"/>
      <c r="C137" s="50" t="s">
        <v>137</v>
      </c>
      <c r="D137" s="31">
        <f>เช้า!D137+เย็น!D137+บ่าย!D137</f>
        <v>0</v>
      </c>
      <c r="E137" s="31">
        <f>เช้า!E137+เย็น!E137+บ่าย!E137</f>
        <v>0</v>
      </c>
      <c r="F137" s="31">
        <f>เช้า!F137+เย็น!F137+บ่าย!F137</f>
        <v>0</v>
      </c>
      <c r="G137" s="31">
        <f>เช้า!G137+เย็น!G137+บ่าย!G137</f>
        <v>0</v>
      </c>
      <c r="H137" s="31">
        <f>เช้า!H137+เย็น!H137+บ่าย!H137</f>
        <v>0</v>
      </c>
      <c r="I137" s="31">
        <f>เช้า!I137+เย็น!I137+บ่าย!I137</f>
        <v>0</v>
      </c>
      <c r="J137" s="31">
        <f>เช้า!J137+เย็น!J137+บ่าย!J137</f>
        <v>0</v>
      </c>
      <c r="K137" s="31">
        <f>เช้า!K137+เย็น!K137+บ่าย!K137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">
      <c r="B138" s="51"/>
      <c r="C138" s="50" t="s">
        <v>138</v>
      </c>
      <c r="D138" s="31">
        <f>เช้า!D138+เย็น!D138+บ่าย!D138</f>
        <v>0</v>
      </c>
      <c r="E138" s="31">
        <f>เช้า!E138+เย็น!E138+บ่าย!E138</f>
        <v>0</v>
      </c>
      <c r="F138" s="31">
        <f>เช้า!F138+เย็น!F138+บ่าย!F138</f>
        <v>0</v>
      </c>
      <c r="G138" s="31">
        <f>เช้า!G138+เย็น!G138+บ่าย!G138</f>
        <v>0</v>
      </c>
      <c r="H138" s="31">
        <f>เช้า!H138+เย็น!H138+บ่าย!H138</f>
        <v>0</v>
      </c>
      <c r="I138" s="31">
        <f>เช้า!I138+เย็น!I138+บ่าย!I138</f>
        <v>0</v>
      </c>
      <c r="J138" s="31">
        <f>เช้า!J138+เย็น!J138+บ่าย!J138</f>
        <v>0</v>
      </c>
      <c r="K138" s="31">
        <f>เช้า!K138+เย็น!K138+บ่าย!K138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139</v>
      </c>
      <c r="D139" s="31">
        <f>เช้า!D139+เย็น!D139+บ่าย!D139</f>
        <v>0</v>
      </c>
      <c r="E139" s="31">
        <f>เช้า!E139+เย็น!E139+บ่าย!E139</f>
        <v>0</v>
      </c>
      <c r="F139" s="31">
        <f>เช้า!F139+เย็น!F139+บ่าย!F139</f>
        <v>0</v>
      </c>
      <c r="G139" s="31">
        <f>เช้า!G139+เย็น!G139+บ่าย!G139</f>
        <v>0</v>
      </c>
      <c r="H139" s="31">
        <f>เช้า!H139+เย็น!H139+บ่าย!H139</f>
        <v>0</v>
      </c>
      <c r="I139" s="31">
        <f>เช้า!I139+เย็น!I139+บ่าย!I139</f>
        <v>0</v>
      </c>
      <c r="J139" s="31">
        <f>เช้า!J139+เย็น!J139+บ่าย!J139</f>
        <v>0</v>
      </c>
      <c r="K139" s="31">
        <f>เช้า!K139+เย็น!K139+บ่าย!K139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">
      <c r="C140" s="36"/>
      <c r="D140" s="37">
        <f>SUM(D114:D139,D90:D99,D79:D87,D69:D76,D7:D66,D102:D111)</f>
        <v>50</v>
      </c>
      <c r="E140" s="37">
        <f t="shared" ref="E140:K140" si="17">SUM(E114:E139,E90:E99,E79:E87,E69:E76,E7:E66,E102:E111)</f>
        <v>50</v>
      </c>
      <c r="F140" s="37">
        <f t="shared" si="17"/>
        <v>95</v>
      </c>
      <c r="G140" s="37">
        <f t="shared" si="17"/>
        <v>220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415</v>
      </c>
      <c r="M140" s="31">
        <f>SUM(M114:M136,M90:M98,M79:M87,M69:M76,M7:M66)</f>
        <v>0</v>
      </c>
      <c r="N140" s="31">
        <f>SUM(N114:N136,N90:N98,N79:N87,N69:N76,N7:N66)</f>
        <v>804</v>
      </c>
      <c r="O140" s="31"/>
      <c r="P140" s="31"/>
      <c r="Q140" s="45">
        <f t="shared" ref="Q140" si="18">(M140+N140)-L140</f>
        <v>389</v>
      </c>
    </row>
    <row r="141" spans="2:17" x14ac:dyDescent="0.2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C143" s="25"/>
      <c r="D143" s="32"/>
      <c r="E143" s="61"/>
      <c r="F143" s="61"/>
      <c r="G143" s="27"/>
      <c r="L143" s="41"/>
    </row>
    <row r="144" spans="2:17" x14ac:dyDescent="0.2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9.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</sheetData>
  <mergeCells count="20"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2025-01-26T06:23:49Z</dcterms:modified>
</cp:coreProperties>
</file>