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9AE09DDD-F377-4F97-A856-696B773DD9C6}" xr6:coauthVersionLast="47" xr6:coauthVersionMax="47" xr10:uidLastSave="{00000000-0000-0000-0000-000000000000}"/>
  <bookViews>
    <workbookView xWindow="-108" yWindow="-108" windowWidth="23256" windowHeight="12456" xr2:uid="{94128BF8-9E01-4F27-92C0-72E465AA3690}"/>
  </bookViews>
  <sheets>
    <sheet name="รวม" sheetId="30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13" sheetId="13" r:id="rId14"/>
    <sheet name="14" sheetId="14" r:id="rId15"/>
    <sheet name="15" sheetId="15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22" r:id="rId23"/>
    <sheet name="23" sheetId="23" r:id="rId24"/>
    <sheet name="24" sheetId="24" r:id="rId25"/>
    <sheet name="25" sheetId="25" r:id="rId26"/>
    <sheet name="26" sheetId="26" r:id="rId27"/>
    <sheet name="27" sheetId="27" r:id="rId28"/>
    <sheet name="28" sheetId="28" r:id="rId29"/>
    <sheet name="29" sheetId="29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7" i="30" l="1"/>
  <c r="L7" i="30"/>
  <c r="D7" i="30"/>
  <c r="L115" i="30" l="1"/>
  <c r="L116" i="30"/>
  <c r="L117" i="30"/>
  <c r="L118" i="30"/>
  <c r="L119" i="30"/>
  <c r="L120" i="30"/>
  <c r="L121" i="30"/>
  <c r="L122" i="30"/>
  <c r="L123" i="30"/>
  <c r="L124" i="30"/>
  <c r="L125" i="30"/>
  <c r="L126" i="30"/>
  <c r="L127" i="30"/>
  <c r="L128" i="30"/>
  <c r="L129" i="30"/>
  <c r="L130" i="30"/>
  <c r="L131" i="30"/>
  <c r="L132" i="30"/>
  <c r="L133" i="30"/>
  <c r="L134" i="30"/>
  <c r="L135" i="30"/>
  <c r="L136" i="30"/>
  <c r="L137" i="30"/>
  <c r="L138" i="30"/>
  <c r="L114" i="30"/>
  <c r="L103" i="30"/>
  <c r="L104" i="30"/>
  <c r="L105" i="30"/>
  <c r="L106" i="30"/>
  <c r="L107" i="30"/>
  <c r="L108" i="30"/>
  <c r="L109" i="30"/>
  <c r="L110" i="30"/>
  <c r="L111" i="30"/>
  <c r="L112" i="30"/>
  <c r="L102" i="30"/>
  <c r="L91" i="30"/>
  <c r="L92" i="30"/>
  <c r="L93" i="30"/>
  <c r="L94" i="30"/>
  <c r="L95" i="30"/>
  <c r="L96" i="30"/>
  <c r="L97" i="30"/>
  <c r="L98" i="30"/>
  <c r="L99" i="30"/>
  <c r="L90" i="30"/>
  <c r="L80" i="30"/>
  <c r="L81" i="30"/>
  <c r="L82" i="30"/>
  <c r="L83" i="30"/>
  <c r="L84" i="30"/>
  <c r="L85" i="30"/>
  <c r="L86" i="30"/>
  <c r="L87" i="30"/>
  <c r="L79" i="30"/>
  <c r="L88" i="30" s="1"/>
  <c r="L70" i="30"/>
  <c r="L71" i="30"/>
  <c r="L72" i="30"/>
  <c r="L73" i="30"/>
  <c r="L74" i="30"/>
  <c r="L75" i="30"/>
  <c r="L76" i="30"/>
  <c r="L69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64" i="30"/>
  <c r="L65" i="30"/>
  <c r="L66" i="30"/>
  <c r="D115" i="30"/>
  <c r="E115" i="30"/>
  <c r="F115" i="30"/>
  <c r="G115" i="30"/>
  <c r="H115" i="30"/>
  <c r="I115" i="30"/>
  <c r="J115" i="30"/>
  <c r="K115" i="30"/>
  <c r="D116" i="30"/>
  <c r="E116" i="30"/>
  <c r="F116" i="30"/>
  <c r="G116" i="30"/>
  <c r="H116" i="30"/>
  <c r="I116" i="30"/>
  <c r="J116" i="30"/>
  <c r="K116" i="30"/>
  <c r="D117" i="30"/>
  <c r="E117" i="30"/>
  <c r="F117" i="30"/>
  <c r="G117" i="30"/>
  <c r="H117" i="30"/>
  <c r="I117" i="30"/>
  <c r="J117" i="30"/>
  <c r="K117" i="30"/>
  <c r="D118" i="30"/>
  <c r="E118" i="30"/>
  <c r="F118" i="30"/>
  <c r="G118" i="30"/>
  <c r="H118" i="30"/>
  <c r="I118" i="30"/>
  <c r="J118" i="30"/>
  <c r="K118" i="30"/>
  <c r="D119" i="30"/>
  <c r="E119" i="30"/>
  <c r="F119" i="30"/>
  <c r="G119" i="30"/>
  <c r="H119" i="30"/>
  <c r="I119" i="30"/>
  <c r="J119" i="30"/>
  <c r="K119" i="30"/>
  <c r="D120" i="30"/>
  <c r="E120" i="30"/>
  <c r="F120" i="30"/>
  <c r="G120" i="30"/>
  <c r="H120" i="30"/>
  <c r="I120" i="30"/>
  <c r="J120" i="30"/>
  <c r="K120" i="30"/>
  <c r="D121" i="30"/>
  <c r="E121" i="30"/>
  <c r="F121" i="30"/>
  <c r="G121" i="30"/>
  <c r="H121" i="30"/>
  <c r="I121" i="30"/>
  <c r="J121" i="30"/>
  <c r="K121" i="30"/>
  <c r="D122" i="30"/>
  <c r="E122" i="30"/>
  <c r="F122" i="30"/>
  <c r="G122" i="30"/>
  <c r="H122" i="30"/>
  <c r="I122" i="30"/>
  <c r="J122" i="30"/>
  <c r="K122" i="30"/>
  <c r="D123" i="30"/>
  <c r="E123" i="30"/>
  <c r="F123" i="30"/>
  <c r="G123" i="30"/>
  <c r="H123" i="30"/>
  <c r="I123" i="30"/>
  <c r="J123" i="30"/>
  <c r="K123" i="30"/>
  <c r="D124" i="30"/>
  <c r="E124" i="30"/>
  <c r="F124" i="30"/>
  <c r="G124" i="30"/>
  <c r="H124" i="30"/>
  <c r="I124" i="30"/>
  <c r="J124" i="30"/>
  <c r="K124" i="30"/>
  <c r="D125" i="30"/>
  <c r="E125" i="30"/>
  <c r="F125" i="30"/>
  <c r="G125" i="30"/>
  <c r="H125" i="30"/>
  <c r="I125" i="30"/>
  <c r="J125" i="30"/>
  <c r="K125" i="30"/>
  <c r="D126" i="30"/>
  <c r="E126" i="30"/>
  <c r="F126" i="30"/>
  <c r="G126" i="30"/>
  <c r="H126" i="30"/>
  <c r="I126" i="30"/>
  <c r="J126" i="30"/>
  <c r="K126" i="30"/>
  <c r="D127" i="30"/>
  <c r="E127" i="30"/>
  <c r="F127" i="30"/>
  <c r="G127" i="30"/>
  <c r="H127" i="30"/>
  <c r="I127" i="30"/>
  <c r="J127" i="30"/>
  <c r="K127" i="30"/>
  <c r="D128" i="30"/>
  <c r="E128" i="30"/>
  <c r="F128" i="30"/>
  <c r="G128" i="30"/>
  <c r="H128" i="30"/>
  <c r="I128" i="30"/>
  <c r="J128" i="30"/>
  <c r="K128" i="30"/>
  <c r="D129" i="30"/>
  <c r="E129" i="30"/>
  <c r="F129" i="30"/>
  <c r="G129" i="30"/>
  <c r="H129" i="30"/>
  <c r="I129" i="30"/>
  <c r="J129" i="30"/>
  <c r="K129" i="30"/>
  <c r="D130" i="30"/>
  <c r="E130" i="30"/>
  <c r="F130" i="30"/>
  <c r="G130" i="30"/>
  <c r="H130" i="30"/>
  <c r="I130" i="30"/>
  <c r="J130" i="30"/>
  <c r="K130" i="30"/>
  <c r="D131" i="30"/>
  <c r="E131" i="30"/>
  <c r="F131" i="30"/>
  <c r="G131" i="30"/>
  <c r="H131" i="30"/>
  <c r="I131" i="30"/>
  <c r="J131" i="30"/>
  <c r="K131" i="30"/>
  <c r="D132" i="30"/>
  <c r="E132" i="30"/>
  <c r="F132" i="30"/>
  <c r="G132" i="30"/>
  <c r="H132" i="30"/>
  <c r="I132" i="30"/>
  <c r="J132" i="30"/>
  <c r="K132" i="30"/>
  <c r="D133" i="30"/>
  <c r="E133" i="30"/>
  <c r="F133" i="30"/>
  <c r="G133" i="30"/>
  <c r="H133" i="30"/>
  <c r="I133" i="30"/>
  <c r="J133" i="30"/>
  <c r="K133" i="30"/>
  <c r="D134" i="30"/>
  <c r="E134" i="30"/>
  <c r="F134" i="30"/>
  <c r="G134" i="30"/>
  <c r="H134" i="30"/>
  <c r="I134" i="30"/>
  <c r="J134" i="30"/>
  <c r="K134" i="30"/>
  <c r="D135" i="30"/>
  <c r="E135" i="30"/>
  <c r="F135" i="30"/>
  <c r="G135" i="30"/>
  <c r="H135" i="30"/>
  <c r="I135" i="30"/>
  <c r="J135" i="30"/>
  <c r="K135" i="30"/>
  <c r="D136" i="30"/>
  <c r="E136" i="30"/>
  <c r="F136" i="30"/>
  <c r="G136" i="30"/>
  <c r="H136" i="30"/>
  <c r="I136" i="30"/>
  <c r="J136" i="30"/>
  <c r="K136" i="30"/>
  <c r="D137" i="30"/>
  <c r="E137" i="30"/>
  <c r="F137" i="30"/>
  <c r="G137" i="30"/>
  <c r="H137" i="30"/>
  <c r="I137" i="30"/>
  <c r="J137" i="30"/>
  <c r="K137" i="30"/>
  <c r="D138" i="30"/>
  <c r="E138" i="30"/>
  <c r="F138" i="30"/>
  <c r="G138" i="30"/>
  <c r="H138" i="30"/>
  <c r="I138" i="30"/>
  <c r="J138" i="30"/>
  <c r="K138" i="30"/>
  <c r="E114" i="30"/>
  <c r="F114" i="30"/>
  <c r="G114" i="30"/>
  <c r="H114" i="30"/>
  <c r="I114" i="30"/>
  <c r="J114" i="30"/>
  <c r="K114" i="30"/>
  <c r="D114" i="30"/>
  <c r="D111" i="30"/>
  <c r="E111" i="30"/>
  <c r="F111" i="30"/>
  <c r="G111" i="30"/>
  <c r="H111" i="30"/>
  <c r="I111" i="30"/>
  <c r="J111" i="30"/>
  <c r="K111" i="30"/>
  <c r="D103" i="30"/>
  <c r="E103" i="30"/>
  <c r="F103" i="30"/>
  <c r="G103" i="30"/>
  <c r="H103" i="30"/>
  <c r="I103" i="30"/>
  <c r="J103" i="30"/>
  <c r="K103" i="30"/>
  <c r="D104" i="30"/>
  <c r="E104" i="30"/>
  <c r="F104" i="30"/>
  <c r="G104" i="30"/>
  <c r="H104" i="30"/>
  <c r="I104" i="30"/>
  <c r="J104" i="30"/>
  <c r="K104" i="30"/>
  <c r="D105" i="30"/>
  <c r="E105" i="30"/>
  <c r="F105" i="30"/>
  <c r="G105" i="30"/>
  <c r="H105" i="30"/>
  <c r="I105" i="30"/>
  <c r="J105" i="30"/>
  <c r="K105" i="30"/>
  <c r="D106" i="30"/>
  <c r="E106" i="30"/>
  <c r="F106" i="30"/>
  <c r="G106" i="30"/>
  <c r="H106" i="30"/>
  <c r="I106" i="30"/>
  <c r="J106" i="30"/>
  <c r="K106" i="30"/>
  <c r="D107" i="30"/>
  <c r="E107" i="30"/>
  <c r="F107" i="30"/>
  <c r="G107" i="30"/>
  <c r="H107" i="30"/>
  <c r="I107" i="30"/>
  <c r="J107" i="30"/>
  <c r="K107" i="30"/>
  <c r="D108" i="30"/>
  <c r="E108" i="30"/>
  <c r="F108" i="30"/>
  <c r="G108" i="30"/>
  <c r="H108" i="30"/>
  <c r="I108" i="30"/>
  <c r="J108" i="30"/>
  <c r="K108" i="30"/>
  <c r="D109" i="30"/>
  <c r="E109" i="30"/>
  <c r="F109" i="30"/>
  <c r="G109" i="30"/>
  <c r="H109" i="30"/>
  <c r="I109" i="30"/>
  <c r="J109" i="30"/>
  <c r="K109" i="30"/>
  <c r="D110" i="30"/>
  <c r="E110" i="30"/>
  <c r="F110" i="30"/>
  <c r="G110" i="30"/>
  <c r="H110" i="30"/>
  <c r="I110" i="30"/>
  <c r="J110" i="30"/>
  <c r="K110" i="30"/>
  <c r="E102" i="30"/>
  <c r="F102" i="30"/>
  <c r="G102" i="30"/>
  <c r="H102" i="30"/>
  <c r="I102" i="30"/>
  <c r="J102" i="30"/>
  <c r="K102" i="30"/>
  <c r="D102" i="30"/>
  <c r="D91" i="30"/>
  <c r="E91" i="30"/>
  <c r="F91" i="30"/>
  <c r="G91" i="30"/>
  <c r="H91" i="30"/>
  <c r="I91" i="30"/>
  <c r="J91" i="30"/>
  <c r="K91" i="30"/>
  <c r="D92" i="30"/>
  <c r="E92" i="30"/>
  <c r="F92" i="30"/>
  <c r="G92" i="30"/>
  <c r="H92" i="30"/>
  <c r="I92" i="30"/>
  <c r="J92" i="30"/>
  <c r="K92" i="30"/>
  <c r="D93" i="30"/>
  <c r="E93" i="30"/>
  <c r="F93" i="30"/>
  <c r="G93" i="30"/>
  <c r="H93" i="30"/>
  <c r="I93" i="30"/>
  <c r="J93" i="30"/>
  <c r="K93" i="30"/>
  <c r="D94" i="30"/>
  <c r="E94" i="30"/>
  <c r="F94" i="30"/>
  <c r="G94" i="30"/>
  <c r="H94" i="30"/>
  <c r="I94" i="30"/>
  <c r="J94" i="30"/>
  <c r="K94" i="30"/>
  <c r="D95" i="30"/>
  <c r="E95" i="30"/>
  <c r="F95" i="30"/>
  <c r="G95" i="30"/>
  <c r="H95" i="30"/>
  <c r="I95" i="30"/>
  <c r="J95" i="30"/>
  <c r="K95" i="30"/>
  <c r="D96" i="30"/>
  <c r="E96" i="30"/>
  <c r="F96" i="30"/>
  <c r="G96" i="30"/>
  <c r="H96" i="30"/>
  <c r="I96" i="30"/>
  <c r="J96" i="30"/>
  <c r="K96" i="30"/>
  <c r="D97" i="30"/>
  <c r="E97" i="30"/>
  <c r="F97" i="30"/>
  <c r="G97" i="30"/>
  <c r="H97" i="30"/>
  <c r="I97" i="30"/>
  <c r="J97" i="30"/>
  <c r="K97" i="30"/>
  <c r="D98" i="30"/>
  <c r="E98" i="30"/>
  <c r="F98" i="30"/>
  <c r="G98" i="30"/>
  <c r="H98" i="30"/>
  <c r="I98" i="30"/>
  <c r="J98" i="30"/>
  <c r="K98" i="30"/>
  <c r="D99" i="30"/>
  <c r="E99" i="30"/>
  <c r="F99" i="30"/>
  <c r="G99" i="30"/>
  <c r="H99" i="30"/>
  <c r="I99" i="30"/>
  <c r="J99" i="30"/>
  <c r="K99" i="30"/>
  <c r="E90" i="30"/>
  <c r="F90" i="30"/>
  <c r="G90" i="30"/>
  <c r="H90" i="30"/>
  <c r="I90" i="30"/>
  <c r="J90" i="30"/>
  <c r="K90" i="30"/>
  <c r="D90" i="30"/>
  <c r="D80" i="30"/>
  <c r="E80" i="30"/>
  <c r="F80" i="30"/>
  <c r="G80" i="30"/>
  <c r="H80" i="30"/>
  <c r="I80" i="30"/>
  <c r="J80" i="30"/>
  <c r="K80" i="30"/>
  <c r="D81" i="30"/>
  <c r="E81" i="30"/>
  <c r="F81" i="30"/>
  <c r="G81" i="30"/>
  <c r="H81" i="30"/>
  <c r="I81" i="30"/>
  <c r="J81" i="30"/>
  <c r="K81" i="30"/>
  <c r="D82" i="30"/>
  <c r="E82" i="30"/>
  <c r="F82" i="30"/>
  <c r="G82" i="30"/>
  <c r="H82" i="30"/>
  <c r="I82" i="30"/>
  <c r="J82" i="30"/>
  <c r="K82" i="30"/>
  <c r="D83" i="30"/>
  <c r="E83" i="30"/>
  <c r="F83" i="30"/>
  <c r="G83" i="30"/>
  <c r="H83" i="30"/>
  <c r="I83" i="30"/>
  <c r="J83" i="30"/>
  <c r="K83" i="30"/>
  <c r="D84" i="30"/>
  <c r="E84" i="30"/>
  <c r="F84" i="30"/>
  <c r="G84" i="30"/>
  <c r="H84" i="30"/>
  <c r="I84" i="30"/>
  <c r="J84" i="30"/>
  <c r="K84" i="30"/>
  <c r="D85" i="30"/>
  <c r="E85" i="30"/>
  <c r="F85" i="30"/>
  <c r="G85" i="30"/>
  <c r="H85" i="30"/>
  <c r="I85" i="30"/>
  <c r="J85" i="30"/>
  <c r="K85" i="30"/>
  <c r="D86" i="30"/>
  <c r="E86" i="30"/>
  <c r="F86" i="30"/>
  <c r="G86" i="30"/>
  <c r="H86" i="30"/>
  <c r="I86" i="30"/>
  <c r="J86" i="30"/>
  <c r="K86" i="30"/>
  <c r="D87" i="30"/>
  <c r="E87" i="30"/>
  <c r="F87" i="30"/>
  <c r="G87" i="30"/>
  <c r="H87" i="30"/>
  <c r="I87" i="30"/>
  <c r="J87" i="30"/>
  <c r="K87" i="30"/>
  <c r="E79" i="30"/>
  <c r="F79" i="30"/>
  <c r="G79" i="30"/>
  <c r="H79" i="30"/>
  <c r="I79" i="30"/>
  <c r="J79" i="30"/>
  <c r="K79" i="30"/>
  <c r="D79" i="30"/>
  <c r="D70" i="30"/>
  <c r="E70" i="30"/>
  <c r="F70" i="30"/>
  <c r="G70" i="30"/>
  <c r="H70" i="30"/>
  <c r="I70" i="30"/>
  <c r="J70" i="30"/>
  <c r="K70" i="30"/>
  <c r="D71" i="30"/>
  <c r="E71" i="30"/>
  <c r="F71" i="30"/>
  <c r="G71" i="30"/>
  <c r="H71" i="30"/>
  <c r="I71" i="30"/>
  <c r="J71" i="30"/>
  <c r="K71" i="30"/>
  <c r="D72" i="30"/>
  <c r="E72" i="30"/>
  <c r="F72" i="30"/>
  <c r="G72" i="30"/>
  <c r="H72" i="30"/>
  <c r="I72" i="30"/>
  <c r="J72" i="30"/>
  <c r="K72" i="30"/>
  <c r="D73" i="30"/>
  <c r="E73" i="30"/>
  <c r="F73" i="30"/>
  <c r="G73" i="30"/>
  <c r="H73" i="30"/>
  <c r="I73" i="30"/>
  <c r="J73" i="30"/>
  <c r="K73" i="30"/>
  <c r="D74" i="30"/>
  <c r="E74" i="30"/>
  <c r="F74" i="30"/>
  <c r="G74" i="30"/>
  <c r="H74" i="30"/>
  <c r="I74" i="30"/>
  <c r="J74" i="30"/>
  <c r="K74" i="30"/>
  <c r="D75" i="30"/>
  <c r="E75" i="30"/>
  <c r="F75" i="30"/>
  <c r="G75" i="30"/>
  <c r="H75" i="30"/>
  <c r="I75" i="30"/>
  <c r="J75" i="30"/>
  <c r="K75" i="30"/>
  <c r="D76" i="30"/>
  <c r="E76" i="30"/>
  <c r="F76" i="30"/>
  <c r="G76" i="30"/>
  <c r="H76" i="30"/>
  <c r="I76" i="30"/>
  <c r="J76" i="30"/>
  <c r="K76" i="30"/>
  <c r="E69" i="30"/>
  <c r="F69" i="30"/>
  <c r="G69" i="30"/>
  <c r="H69" i="30"/>
  <c r="I69" i="30"/>
  <c r="J69" i="30"/>
  <c r="K69" i="30"/>
  <c r="D69" i="30"/>
  <c r="D8" i="30"/>
  <c r="E8" i="30"/>
  <c r="F8" i="30"/>
  <c r="G8" i="30"/>
  <c r="H8" i="30"/>
  <c r="I8" i="30"/>
  <c r="J8" i="30"/>
  <c r="K8" i="30"/>
  <c r="D9" i="30"/>
  <c r="E9" i="30"/>
  <c r="F9" i="30"/>
  <c r="G9" i="30"/>
  <c r="H9" i="30"/>
  <c r="I9" i="30"/>
  <c r="J9" i="30"/>
  <c r="K9" i="30"/>
  <c r="D10" i="30"/>
  <c r="E10" i="30"/>
  <c r="F10" i="30"/>
  <c r="G10" i="30"/>
  <c r="H10" i="30"/>
  <c r="I10" i="30"/>
  <c r="J10" i="30"/>
  <c r="K10" i="30"/>
  <c r="D11" i="30"/>
  <c r="E11" i="30"/>
  <c r="F11" i="30"/>
  <c r="G11" i="30"/>
  <c r="H11" i="30"/>
  <c r="I11" i="30"/>
  <c r="J11" i="30"/>
  <c r="K11" i="30"/>
  <c r="D12" i="30"/>
  <c r="E12" i="30"/>
  <c r="F12" i="30"/>
  <c r="G12" i="30"/>
  <c r="H12" i="30"/>
  <c r="I12" i="30"/>
  <c r="J12" i="30"/>
  <c r="K12" i="30"/>
  <c r="D13" i="30"/>
  <c r="E13" i="30"/>
  <c r="F13" i="30"/>
  <c r="G13" i="30"/>
  <c r="H13" i="30"/>
  <c r="I13" i="30"/>
  <c r="J13" i="30"/>
  <c r="K13" i="30"/>
  <c r="D14" i="30"/>
  <c r="E14" i="30"/>
  <c r="F14" i="30"/>
  <c r="G14" i="30"/>
  <c r="H14" i="30"/>
  <c r="I14" i="30"/>
  <c r="J14" i="30"/>
  <c r="K14" i="30"/>
  <c r="D15" i="30"/>
  <c r="E15" i="30"/>
  <c r="F15" i="30"/>
  <c r="G15" i="30"/>
  <c r="H15" i="30"/>
  <c r="I15" i="30"/>
  <c r="J15" i="30"/>
  <c r="K15" i="30"/>
  <c r="D16" i="30"/>
  <c r="E16" i="30"/>
  <c r="F16" i="30"/>
  <c r="G16" i="30"/>
  <c r="H16" i="30"/>
  <c r="I16" i="30"/>
  <c r="J16" i="30"/>
  <c r="K16" i="30"/>
  <c r="D17" i="30"/>
  <c r="E17" i="30"/>
  <c r="F17" i="30"/>
  <c r="G17" i="30"/>
  <c r="H17" i="30"/>
  <c r="I17" i="30"/>
  <c r="J17" i="30"/>
  <c r="K17" i="30"/>
  <c r="D18" i="30"/>
  <c r="E18" i="30"/>
  <c r="F18" i="30"/>
  <c r="G18" i="30"/>
  <c r="H18" i="30"/>
  <c r="I18" i="30"/>
  <c r="J18" i="30"/>
  <c r="K18" i="30"/>
  <c r="D19" i="30"/>
  <c r="E19" i="30"/>
  <c r="F19" i="30"/>
  <c r="G19" i="30"/>
  <c r="H19" i="30"/>
  <c r="I19" i="30"/>
  <c r="J19" i="30"/>
  <c r="K19" i="30"/>
  <c r="D20" i="30"/>
  <c r="E20" i="30"/>
  <c r="F20" i="30"/>
  <c r="G20" i="30"/>
  <c r="H20" i="30"/>
  <c r="I20" i="30"/>
  <c r="J20" i="30"/>
  <c r="K20" i="30"/>
  <c r="D21" i="30"/>
  <c r="E21" i="30"/>
  <c r="F21" i="30"/>
  <c r="G21" i="30"/>
  <c r="H21" i="30"/>
  <c r="I21" i="30"/>
  <c r="J21" i="30"/>
  <c r="K21" i="30"/>
  <c r="D22" i="30"/>
  <c r="E22" i="30"/>
  <c r="F22" i="30"/>
  <c r="G22" i="30"/>
  <c r="H22" i="30"/>
  <c r="I22" i="30"/>
  <c r="J22" i="30"/>
  <c r="K22" i="30"/>
  <c r="D23" i="30"/>
  <c r="E23" i="30"/>
  <c r="F23" i="30"/>
  <c r="G23" i="30"/>
  <c r="H23" i="30"/>
  <c r="I23" i="30"/>
  <c r="J23" i="30"/>
  <c r="K23" i="30"/>
  <c r="D24" i="30"/>
  <c r="E24" i="30"/>
  <c r="F24" i="30"/>
  <c r="G24" i="30"/>
  <c r="H24" i="30"/>
  <c r="I24" i="30"/>
  <c r="J24" i="30"/>
  <c r="K24" i="30"/>
  <c r="D25" i="30"/>
  <c r="E25" i="30"/>
  <c r="F25" i="30"/>
  <c r="G25" i="30"/>
  <c r="H25" i="30"/>
  <c r="I25" i="30"/>
  <c r="J25" i="30"/>
  <c r="K25" i="30"/>
  <c r="D26" i="30"/>
  <c r="E26" i="30"/>
  <c r="F26" i="30"/>
  <c r="G26" i="30"/>
  <c r="H26" i="30"/>
  <c r="I26" i="30"/>
  <c r="J26" i="30"/>
  <c r="K26" i="30"/>
  <c r="D27" i="30"/>
  <c r="E27" i="30"/>
  <c r="F27" i="30"/>
  <c r="G27" i="30"/>
  <c r="H27" i="30"/>
  <c r="I27" i="30"/>
  <c r="J27" i="30"/>
  <c r="K27" i="30"/>
  <c r="D28" i="30"/>
  <c r="E28" i="30"/>
  <c r="F28" i="30"/>
  <c r="G28" i="30"/>
  <c r="H28" i="30"/>
  <c r="I28" i="30"/>
  <c r="J28" i="30"/>
  <c r="K28" i="30"/>
  <c r="D29" i="30"/>
  <c r="E29" i="30"/>
  <c r="F29" i="30"/>
  <c r="G29" i="30"/>
  <c r="H29" i="30"/>
  <c r="I29" i="30"/>
  <c r="J29" i="30"/>
  <c r="K29" i="30"/>
  <c r="D30" i="30"/>
  <c r="E30" i="30"/>
  <c r="F30" i="30"/>
  <c r="G30" i="30"/>
  <c r="H30" i="30"/>
  <c r="I30" i="30"/>
  <c r="J30" i="30"/>
  <c r="K30" i="30"/>
  <c r="D31" i="30"/>
  <c r="E31" i="30"/>
  <c r="F31" i="30"/>
  <c r="G31" i="30"/>
  <c r="H31" i="30"/>
  <c r="I31" i="30"/>
  <c r="J31" i="30"/>
  <c r="K31" i="30"/>
  <c r="D32" i="30"/>
  <c r="E32" i="30"/>
  <c r="F32" i="30"/>
  <c r="G32" i="30"/>
  <c r="H32" i="30"/>
  <c r="I32" i="30"/>
  <c r="J32" i="30"/>
  <c r="K32" i="30"/>
  <c r="D33" i="30"/>
  <c r="E33" i="30"/>
  <c r="F33" i="30"/>
  <c r="G33" i="30"/>
  <c r="H33" i="30"/>
  <c r="I33" i="30"/>
  <c r="J33" i="30"/>
  <c r="K33" i="30"/>
  <c r="D34" i="30"/>
  <c r="E34" i="30"/>
  <c r="F34" i="30"/>
  <c r="G34" i="30"/>
  <c r="H34" i="30"/>
  <c r="I34" i="30"/>
  <c r="J34" i="30"/>
  <c r="K34" i="30"/>
  <c r="D35" i="30"/>
  <c r="E35" i="30"/>
  <c r="F35" i="30"/>
  <c r="G35" i="30"/>
  <c r="H35" i="30"/>
  <c r="I35" i="30"/>
  <c r="J35" i="30"/>
  <c r="K35" i="30"/>
  <c r="D36" i="30"/>
  <c r="E36" i="30"/>
  <c r="F36" i="30"/>
  <c r="G36" i="30"/>
  <c r="H36" i="30"/>
  <c r="I36" i="30"/>
  <c r="J36" i="30"/>
  <c r="K36" i="30"/>
  <c r="D37" i="30"/>
  <c r="E37" i="30"/>
  <c r="F37" i="30"/>
  <c r="G37" i="30"/>
  <c r="H37" i="30"/>
  <c r="I37" i="30"/>
  <c r="J37" i="30"/>
  <c r="K37" i="30"/>
  <c r="D38" i="30"/>
  <c r="E38" i="30"/>
  <c r="F38" i="30"/>
  <c r="G38" i="30"/>
  <c r="H38" i="30"/>
  <c r="I38" i="30"/>
  <c r="J38" i="30"/>
  <c r="K38" i="30"/>
  <c r="D39" i="30"/>
  <c r="E39" i="30"/>
  <c r="F39" i="30"/>
  <c r="G39" i="30"/>
  <c r="H39" i="30"/>
  <c r="I39" i="30"/>
  <c r="J39" i="30"/>
  <c r="K39" i="30"/>
  <c r="D40" i="30"/>
  <c r="E40" i="30"/>
  <c r="F40" i="30"/>
  <c r="G40" i="30"/>
  <c r="H40" i="30"/>
  <c r="I40" i="30"/>
  <c r="J40" i="30"/>
  <c r="K40" i="30"/>
  <c r="D41" i="30"/>
  <c r="E41" i="30"/>
  <c r="F41" i="30"/>
  <c r="G41" i="30"/>
  <c r="H41" i="30"/>
  <c r="I41" i="30"/>
  <c r="J41" i="30"/>
  <c r="K41" i="30"/>
  <c r="D42" i="30"/>
  <c r="E42" i="30"/>
  <c r="F42" i="30"/>
  <c r="G42" i="30"/>
  <c r="H42" i="30"/>
  <c r="I42" i="30"/>
  <c r="J42" i="30"/>
  <c r="K42" i="30"/>
  <c r="D43" i="30"/>
  <c r="E43" i="30"/>
  <c r="F43" i="30"/>
  <c r="G43" i="30"/>
  <c r="H43" i="30"/>
  <c r="I43" i="30"/>
  <c r="J43" i="30"/>
  <c r="K43" i="30"/>
  <c r="D44" i="30"/>
  <c r="E44" i="30"/>
  <c r="F44" i="30"/>
  <c r="G44" i="30"/>
  <c r="H44" i="30"/>
  <c r="I44" i="30"/>
  <c r="J44" i="30"/>
  <c r="K44" i="30"/>
  <c r="D45" i="30"/>
  <c r="E45" i="30"/>
  <c r="F45" i="30"/>
  <c r="G45" i="30"/>
  <c r="H45" i="30"/>
  <c r="I45" i="30"/>
  <c r="J45" i="30"/>
  <c r="K45" i="30"/>
  <c r="D46" i="30"/>
  <c r="E46" i="30"/>
  <c r="F46" i="30"/>
  <c r="G46" i="30"/>
  <c r="H46" i="30"/>
  <c r="I46" i="30"/>
  <c r="J46" i="30"/>
  <c r="K46" i="30"/>
  <c r="D47" i="30"/>
  <c r="E47" i="30"/>
  <c r="F47" i="30"/>
  <c r="G47" i="30"/>
  <c r="H47" i="30"/>
  <c r="I47" i="30"/>
  <c r="J47" i="30"/>
  <c r="K47" i="30"/>
  <c r="D48" i="30"/>
  <c r="E48" i="30"/>
  <c r="F48" i="30"/>
  <c r="G48" i="30"/>
  <c r="H48" i="30"/>
  <c r="I48" i="30"/>
  <c r="J48" i="30"/>
  <c r="K48" i="30"/>
  <c r="D49" i="30"/>
  <c r="E49" i="30"/>
  <c r="F49" i="30"/>
  <c r="G49" i="30"/>
  <c r="H49" i="30"/>
  <c r="I49" i="30"/>
  <c r="J49" i="30"/>
  <c r="K49" i="30"/>
  <c r="D50" i="30"/>
  <c r="E50" i="30"/>
  <c r="F50" i="30"/>
  <c r="G50" i="30"/>
  <c r="H50" i="30"/>
  <c r="I50" i="30"/>
  <c r="J50" i="30"/>
  <c r="K50" i="30"/>
  <c r="D51" i="30"/>
  <c r="E51" i="30"/>
  <c r="F51" i="30"/>
  <c r="G51" i="30"/>
  <c r="H51" i="30"/>
  <c r="I51" i="30"/>
  <c r="J51" i="30"/>
  <c r="K51" i="30"/>
  <c r="D52" i="30"/>
  <c r="E52" i="30"/>
  <c r="F52" i="30"/>
  <c r="G52" i="30"/>
  <c r="H52" i="30"/>
  <c r="I52" i="30"/>
  <c r="J52" i="30"/>
  <c r="K52" i="30"/>
  <c r="D53" i="30"/>
  <c r="E53" i="30"/>
  <c r="F53" i="30"/>
  <c r="G53" i="30"/>
  <c r="H53" i="30"/>
  <c r="I53" i="30"/>
  <c r="J53" i="30"/>
  <c r="K53" i="30"/>
  <c r="D54" i="30"/>
  <c r="E54" i="30"/>
  <c r="F54" i="30"/>
  <c r="G54" i="30"/>
  <c r="H54" i="30"/>
  <c r="I54" i="30"/>
  <c r="J54" i="30"/>
  <c r="K54" i="30"/>
  <c r="D55" i="30"/>
  <c r="E55" i="30"/>
  <c r="F55" i="30"/>
  <c r="G55" i="30"/>
  <c r="H55" i="30"/>
  <c r="I55" i="30"/>
  <c r="J55" i="30"/>
  <c r="K55" i="30"/>
  <c r="D56" i="30"/>
  <c r="E56" i="30"/>
  <c r="F56" i="30"/>
  <c r="G56" i="30"/>
  <c r="H56" i="30"/>
  <c r="I56" i="30"/>
  <c r="J56" i="30"/>
  <c r="K56" i="30"/>
  <c r="D57" i="30"/>
  <c r="E57" i="30"/>
  <c r="F57" i="30"/>
  <c r="G57" i="30"/>
  <c r="H57" i="30"/>
  <c r="I57" i="30"/>
  <c r="J57" i="30"/>
  <c r="K57" i="30"/>
  <c r="D58" i="30"/>
  <c r="E58" i="30"/>
  <c r="F58" i="30"/>
  <c r="G58" i="30"/>
  <c r="H58" i="30"/>
  <c r="I58" i="30"/>
  <c r="J58" i="30"/>
  <c r="K58" i="30"/>
  <c r="D59" i="30"/>
  <c r="E59" i="30"/>
  <c r="F59" i="30"/>
  <c r="G59" i="30"/>
  <c r="H59" i="30"/>
  <c r="I59" i="30"/>
  <c r="J59" i="30"/>
  <c r="K59" i="30"/>
  <c r="D60" i="30"/>
  <c r="E60" i="30"/>
  <c r="F60" i="30"/>
  <c r="G60" i="30"/>
  <c r="H60" i="30"/>
  <c r="I60" i="30"/>
  <c r="J60" i="30"/>
  <c r="K60" i="30"/>
  <c r="D61" i="30"/>
  <c r="E61" i="30"/>
  <c r="F61" i="30"/>
  <c r="G61" i="30"/>
  <c r="H61" i="30"/>
  <c r="I61" i="30"/>
  <c r="J61" i="30"/>
  <c r="K61" i="30"/>
  <c r="D62" i="30"/>
  <c r="E62" i="30"/>
  <c r="F62" i="30"/>
  <c r="G62" i="30"/>
  <c r="H62" i="30"/>
  <c r="I62" i="30"/>
  <c r="J62" i="30"/>
  <c r="K62" i="30"/>
  <c r="D63" i="30"/>
  <c r="E63" i="30"/>
  <c r="F63" i="30"/>
  <c r="G63" i="30"/>
  <c r="H63" i="30"/>
  <c r="I63" i="30"/>
  <c r="J63" i="30"/>
  <c r="K63" i="30"/>
  <c r="D64" i="30"/>
  <c r="E64" i="30"/>
  <c r="F64" i="30"/>
  <c r="G64" i="30"/>
  <c r="H64" i="30"/>
  <c r="I64" i="30"/>
  <c r="J64" i="30"/>
  <c r="K64" i="30"/>
  <c r="D65" i="30"/>
  <c r="E65" i="30"/>
  <c r="F65" i="30"/>
  <c r="G65" i="30"/>
  <c r="H65" i="30"/>
  <c r="I65" i="30"/>
  <c r="J65" i="30"/>
  <c r="K65" i="30"/>
  <c r="D66" i="30"/>
  <c r="E66" i="30"/>
  <c r="F66" i="30"/>
  <c r="G66" i="30"/>
  <c r="H66" i="30"/>
  <c r="I66" i="30"/>
  <c r="J66" i="30"/>
  <c r="K66" i="30"/>
  <c r="E7" i="30"/>
  <c r="F7" i="30"/>
  <c r="G7" i="30"/>
  <c r="H7" i="30"/>
  <c r="I7" i="30"/>
  <c r="J7" i="30"/>
  <c r="K7" i="30"/>
  <c r="L139" i="30" l="1"/>
  <c r="L100" i="30"/>
  <c r="L77" i="30"/>
  <c r="L67" i="30"/>
  <c r="L140" i="30" l="1"/>
</calcChain>
</file>

<file path=xl/sharedStrings.xml><?xml version="1.0" encoding="utf-8"?>
<sst xmlns="http://schemas.openxmlformats.org/spreadsheetml/2006/main" count="4577" uniqueCount="166">
  <si>
    <t>ยอดจริง ออนไลน์ วันที่ 1/1/2568  รวม</t>
  </si>
  <si>
    <t>ยอดรวมผลิต</t>
  </si>
  <si>
    <t>ยอดฟอแคส</t>
  </si>
  <si>
    <t>ยอดสตอค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</si>
  <si>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</si>
  <si>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</si>
  <si>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</si>
  <si>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</si>
  <si>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</si>
  <si>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</si>
  <si>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</si>
  <si>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</si>
  <si>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ติ๊กตอก2</t>
  </si>
  <si>
    <t>ติ๊กตอก3</t>
  </si>
  <si>
    <t>ชอยส์</t>
  </si>
  <si>
    <t>ยอดเส้น</t>
  </si>
  <si>
    <t>(กล่อง)</t>
  </si>
  <si>
    <t>ชิฟฟอนรวมรส</t>
  </si>
  <si>
    <t>ชิฟฟอนรวมรส 8 ชิ้น</t>
  </si>
  <si>
    <t>ชิฟฟอนแบบกล่องสุ่มอะไรก็ได้ที่มี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</si>
  <si>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</si>
  <si>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</si>
  <si>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</si>
  <si>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</si>
  <si>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</si>
  <si>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</si>
  <si>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</si>
  <si>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</si>
  <si>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</si>
  <si>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</si>
  <si>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</si>
  <si>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</si>
  <si>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</si>
  <si>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</si>
  <si>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</si>
  <si>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</si>
  <si>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</si>
  <si>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</si>
  <si>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</si>
  <si>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</si>
  <si>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</si>
  <si>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</si>
  <si>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</si>
  <si>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</si>
  <si>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</si>
  <si>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</si>
  <si>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</si>
  <si>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</si>
  <si>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</si>
  <si>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</si>
  <si>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</si>
  <si>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</si>
  <si>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</si>
  <si>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</si>
  <si>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</si>
  <si>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</si>
  <si>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</si>
  <si>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</si>
  <si>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</si>
  <si>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</si>
  <si>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</si>
  <si>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</si>
  <si>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</si>
  <si>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</si>
  <si>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</si>
  <si>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</si>
  <si>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</si>
  <si>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</si>
  <si>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</si>
  <si>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</si>
  <si>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</si>
  <si>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</si>
  <si>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</si>
  <si>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</si>
  <si>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</si>
  <si>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</si>
  <si>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</si>
  <si>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</si>
  <si>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</si>
  <si>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</si>
  <si>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</si>
  <si>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</si>
  <si>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</si>
  <si>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</si>
  <si>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</si>
  <si>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</si>
  <si>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</si>
  <si>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</si>
  <si>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</si>
  <si>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</si>
  <si>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</si>
  <si>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</si>
  <si>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</si>
  <si>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</si>
  <si>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</si>
  <si>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</si>
  <si>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</si>
  <si>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</si>
  <si>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</si>
  <si>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</si>
  <si>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</si>
  <si>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</si>
  <si>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</si>
  <si>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</si>
  <si>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</si>
  <si>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</si>
  <si>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</si>
  <si>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</si>
  <si>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</si>
  <si>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</si>
  <si>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</si>
  <si>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</si>
  <si>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</si>
  <si>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</si>
  <si>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</si>
  <si>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</si>
  <si>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</si>
  <si>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</si>
  <si>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</si>
  <si>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</si>
  <si>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</si>
  <si>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</si>
  <si>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</si>
  <si>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</si>
  <si>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</si>
  <si>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</si>
  <si>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</si>
  <si>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</si>
  <si>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</si>
  <si>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</si>
  <si>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</si>
  <si>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เศษขนมปังปลา5กก.</t>
  </si>
  <si>
    <t>เศษขนมปังปลา1กก.</t>
  </si>
  <si>
    <t>กล่องทาร์ตสับปะรด</t>
  </si>
  <si>
    <t>กล่องเบาหวิว ล</t>
  </si>
  <si>
    <t>กล่องเปี๊ยะ ล</t>
  </si>
  <si>
    <t>ยอดจริง ออนไลน์ วันที่ 2/1/68  รวม</t>
  </si>
  <si>
    <t>ยอดจริง ออนไลน์ วันที่ 3/1/68 รวม</t>
  </si>
  <si>
    <t>ยอดจริง ออนไลน์ วันที่ 29/1/68  รวม</t>
  </si>
  <si>
    <t>ยอดเมโม่</t>
  </si>
  <si>
    <t>ยอดฟอแคสวันพรุ่งนี้</t>
  </si>
  <si>
    <t>ยอดจริง ออนไลน์ วันที่ 27/1/68  รวม</t>
  </si>
  <si>
    <t>ยอดจริง ออนไลน์ วันที่ 26/1/2568 รวม</t>
  </si>
  <si>
    <t>ยอดจริง ออนไลน์ วันที่ 25/1/68  รวม</t>
  </si>
  <si>
    <t>ยอดจริง ออนไลน์ วันที่ 24/1/68  รวม</t>
  </si>
  <si>
    <t>ยอดจริง ออนไลน์ วันที่ 23/1/68 รวม</t>
  </si>
  <si>
    <t>ยอดจริง ออนไลน์ วันที่ 22/1/68 รวม</t>
  </si>
  <si>
    <t>ยอดจริง ออนไลน์ วันที่ 21/1/68 รวม</t>
  </si>
  <si>
    <t>ยอดจริง ออนไลน์ วันที่ 20/1/68 รวม</t>
  </si>
  <si>
    <t>ยอดจริง ออนไลน์ วันที่ 19/1/2568 รวม</t>
  </si>
  <si>
    <t>ยอดจริง ออนไลน์ วันที่ 18/1/68 รวม</t>
  </si>
  <si>
    <t>ยอดจริง ออนไลน์ วันที่ 17/1/68  รวม</t>
  </si>
  <si>
    <t>ยอดจริง ออนไลน์ วันที่ 16/1/68 รวม</t>
  </si>
  <si>
    <t>ยอดจริง ออนไลน์ วันที่ 15/1/68 รวม</t>
  </si>
  <si>
    <t>ยอดจริง ออนไลน์ วันที่ 14/1/68  รวม</t>
  </si>
  <si>
    <t>ยอดจริง ออนไลน์ วันที่ 13/1/68  รวม</t>
  </si>
  <si>
    <t>ยอดจริง ออนไลน์ วันที่ 12/1/2568 รวม</t>
  </si>
  <si>
    <t>ยอดจริง ออนไลน์ วันที่ 11/1/68  รวม</t>
  </si>
  <si>
    <t>ยอดจริง ออนไลน์ วันที่ 10/1/68  รวม</t>
  </si>
  <si>
    <t>ยอดจริง ออนไลน์ วันที่ 9/1/68 รวม</t>
  </si>
  <si>
    <t>ยอดจริง ออนไลน์ วันที่ 8/1/68  รวม</t>
  </si>
  <si>
    <t>ยอดจริง ออนไลน์ วันที่ 7/1/68  รวม</t>
  </si>
  <si>
    <t>ยอดจริง ออนไลน์ วันที่ 6/1/68 รวม</t>
  </si>
  <si>
    <t>ยอดจริง ออนไลน์ วันที่ 5/1/2568 รวม</t>
  </si>
  <si>
    <t>ยอดจริง ออนไลน์ วันที่ 4/1/68 รวม</t>
  </si>
  <si>
    <t>ยอดจริง ออนไลน์ วันที่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</si>
</sst>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8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rgb="FFFF0000"/>
      <name val="Tahoma"/>
      <family val="2"/>
      <scheme val="minor"/>
    </font>
    <font>
      <sz val="16"/>
      <color rgb="FFFF0000"/>
      <name val="Tahoma"/>
      <family val="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87" fontId="4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4" fillId="5" borderId="0" xfId="0" applyNumberFormat="1" applyFont="1" applyFill="1" applyAlignment="1">
      <alignment horizontal="center" vertical="center"/>
    </xf>
    <xf numFmtId="187" fontId="4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5" fillId="9" borderId="2" xfId="0" applyNumberFormat="1" applyFont="1" applyFill="1" applyBorder="1" applyAlignment="1">
      <alignment horizontal="center" vertical="center"/>
    </xf>
    <xf numFmtId="0" fontId="6" fillId="0" borderId="0" xfId="0" applyFont="1"/>
    <xf numFmtId="187" fontId="6" fillId="0" borderId="0" xfId="0" applyNumberFormat="1" applyFont="1"/>
    <xf numFmtId="187" fontId="0" fillId="0" borderId="0" xfId="0" applyNumberFormat="1"/>
    <xf numFmtId="0" fontId="7" fillId="0" borderId="2" xfId="0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87" fontId="3" fillId="5" borderId="2" xfId="0" applyNumberFormat="1" applyFont="1" applyFill="1" applyBorder="1" applyAlignment="1">
      <alignment horizontal="center" vertical="center"/>
    </xf>
    <xf numFmtId="187" fontId="3" fillId="0" borderId="2" xfId="0" applyNumberFormat="1" applyFont="1" applyBorder="1" applyAlignment="1">
      <alignment horizontal="center" vertical="center"/>
    </xf>
    <xf numFmtId="187" fontId="3" fillId="11" borderId="2" xfId="0" applyNumberFormat="1" applyFont="1" applyFill="1" applyBorder="1" applyAlignment="1">
      <alignment horizontal="center" vertical="center"/>
    </xf>
    <xf numFmtId="187" fontId="3" fillId="12" borderId="2" xfId="0" applyNumberFormat="1" applyFont="1" applyFill="1" applyBorder="1" applyAlignment="1">
      <alignment horizontal="center" vertical="center"/>
    </xf>
    <xf numFmtId="187" fontId="3" fillId="13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vertical="center"/>
    </xf>
    <xf numFmtId="187" fontId="3" fillId="8" borderId="2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22A0-E79C-4AC3-836C-FEA68C611284}">
  <dimension ref="B1:V143"/>
  <sheetViews>
    <sheetView tabSelected="1" topLeftCell="A116" zoomScale="87" zoomScaleNormal="87" workbookViewId="0">
      <selection activeCell="L140" sqref="L140"/>
    </sheetView>
  </sheetViews>
  <sheetFormatPr defaultRowHeight="13.8" x14ac:dyDescent="0.25"/>
  <cols>
    <col min="1" max="1" width="4.19921875" customWidth="1"/>
    <col min="2" max="2" width="19.59765625" customWidth="1"/>
    <col min="3" max="3" width="50" customWidth="1"/>
    <col min="4" max="8" width="12.09765625" customWidth="1"/>
    <col min="9" max="10" width="12.09765625" hidden="1" customWidth="1"/>
    <col min="11" max="11" width="12.09765625" customWidth="1"/>
    <col min="12" max="12" width="17.19921875" customWidth="1"/>
    <col min="13" max="17" width="0" hidden="1" customWidth="1"/>
  </cols>
  <sheetData>
    <row r="1" spans="2:17" ht="22.2" x14ac:dyDescent="0.25">
      <c r="B1" s="50" t="s">
        <v>165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f>'1'!D7+'2'!D7+'3'!D7+'4'!D7+'5'!D7+'6'!D7+'7'!D7+'8'!D7+'9'!D7+'10'!D7+'11'!D7+'12'!C7+'13'!D7+'14'!D7+'15'!D7+'16'!D7+'17'!D7+'18'!D7+'19'!C7+'20'!D7+'21'!D7+'22'!C7+'23'!D7+'24'!D7+'25'!D7+'26'!C7+'27'!D7+'28'!D7+'29'!D7</f>
        <v>378</v>
      </c>
      <c r="E7" s="25">
        <f>'1'!E7+'2'!E7+'3'!E7+'4'!E7+'5'!E7+'6'!E7+'7'!E7+'8'!E7+'9'!E7+'10'!E7+'11'!E7+'12'!D7+'13'!E7+'14'!E7+'15'!E7+'16'!E7+'17'!E7+'18'!E7+'19'!D7+'20'!E7+'21'!E7+'22'!D7+'23'!E7+'24'!E7+'25'!E7+'26'!D7+'27'!E7+'28'!E7+'29'!E7</f>
        <v>1857</v>
      </c>
      <c r="F7" s="25">
        <f>'1'!F7+'2'!F7+'3'!F7+'4'!F7+'5'!F7+'6'!F7+'7'!F7+'8'!F7+'9'!F7+'10'!F7+'11'!F7+'12'!E7+'13'!F7+'14'!F7+'15'!F7+'16'!F7+'17'!F7+'18'!F7+'19'!E7+'20'!F7+'21'!F7+'22'!E7+'23'!F7+'24'!F7+'25'!F7+'26'!E7+'27'!F7+'28'!F7+'29'!F7</f>
        <v>2441</v>
      </c>
      <c r="G7" s="25">
        <f>'1'!G7+'2'!G7+'3'!G7+'4'!G7+'5'!G7+'6'!G7+'7'!G7+'8'!G7+'9'!G7+'10'!G7+'11'!G7+'12'!F7+'13'!G7+'14'!G7+'15'!G7+'16'!G7+'17'!G7+'18'!G7+'19'!F7+'20'!G7+'21'!G7+'22'!F7+'23'!G7+'24'!G7+'25'!G7+'26'!F7+'27'!G7+'28'!G7+'29'!G7</f>
        <v>238</v>
      </c>
      <c r="H7" s="25">
        <f>'1'!H7+'2'!H7+'3'!H7+'4'!H7+'5'!H7+'6'!H7+'7'!H7+'8'!H7+'9'!H7+'10'!H7+'11'!H7+'12'!G7+'13'!H7+'14'!H7+'15'!H7+'16'!H7+'17'!H7+'18'!H7+'19'!G7+'20'!H7+'21'!H7+'22'!G7+'23'!H7+'24'!H7+'25'!H7+'26'!G7+'27'!H7+'28'!H7+'29'!H7</f>
        <v>47</v>
      </c>
      <c r="I7" s="25">
        <f>'1'!I7+'2'!I7+'3'!I7+'4'!I7+'5'!I7+'6'!I7+'7'!I7+'8'!I7+'9'!I7+'10'!I7+'11'!I7+'12'!H7+'13'!I7+'14'!I7+'15'!I7+'16'!I7+'17'!I7+'18'!I7+'19'!H7+'20'!I7+'21'!I7+'22'!H7+'23'!I7+'24'!I7+'25'!I7+'26'!H7+'27'!I7+'28'!I7+'29'!I7</f>
        <v>0</v>
      </c>
      <c r="J7" s="25">
        <f>'1'!J7+'2'!J7+'3'!J7+'4'!J7+'5'!J7+'6'!J7+'7'!J7+'8'!J7+'9'!J7+'10'!J7+'11'!J7+'12'!I7+'13'!J7+'14'!J7+'15'!J7+'16'!J7+'17'!J7+'18'!J7+'19'!I7+'20'!J7+'21'!J7+'22'!I7+'23'!J7+'24'!J7+'25'!J7+'26'!I7+'27'!J7+'28'!J7+'29'!J7</f>
        <v>0</v>
      </c>
      <c r="K7" s="25">
        <f>'1'!K7+'2'!K7+'3'!K7+'4'!K7+'5'!K7+'6'!K7+'7'!K7+'8'!K7+'9'!K7+'10'!K7+'11'!K7+'12'!J7+'13'!K7+'14'!K7+'15'!K7+'16'!K7+'17'!K7+'18'!K7+'19'!J7+'20'!K7+'21'!K7+'22'!J7+'23'!K7+'24'!K7+'25'!K7+'26'!J7+'27'!K7+'28'!K7+'29'!K7</f>
        <v>1301</v>
      </c>
      <c r="L7" s="28">
        <f>SUM(D7:K7)</f>
        <v>6262</v>
      </c>
      <c r="M7" s="11"/>
      <c r="N7" s="11"/>
      <c r="O7" s="11"/>
      <c r="P7" s="11"/>
      <c r="Q7" s="36">
        <v>0</v>
      </c>
    </row>
    <row r="8" spans="2:17" ht="22.2" hidden="1" x14ac:dyDescent="0.25">
      <c r="B8" s="11"/>
      <c r="C8" s="15" t="s">
        <v>19</v>
      </c>
      <c r="D8" s="25">
        <f>'1'!D8+'2'!D8+'3'!D8+'4'!D8+'5'!D8+'6'!D8+'7'!D8+'8'!D8+'9'!D8+'10'!D8+'11'!D8+'12'!C8+'13'!D8+'14'!D8+'15'!D8+'16'!D8+'17'!D8+'18'!D8+'19'!C8+'20'!D8+'21'!D8+'22'!C8+'23'!D8+'24'!D8+'25'!D8+'26'!C8+'27'!D8+'28'!D8+'29'!D8</f>
        <v>0</v>
      </c>
      <c r="E8" s="25">
        <f>'1'!E8+'2'!E8+'3'!E8+'4'!E8+'5'!E8+'6'!E8+'7'!E8+'8'!E8+'9'!E8+'10'!E8+'11'!E8+'12'!D8+'13'!E8+'14'!E8+'15'!E8+'16'!E8+'17'!E8+'18'!E8+'19'!D8+'20'!E8+'21'!E8+'22'!D8+'23'!E8+'24'!E8+'25'!E8+'26'!D8+'27'!E8+'28'!E8+'29'!E8</f>
        <v>0</v>
      </c>
      <c r="F8" s="25">
        <f>'1'!F8+'2'!F8+'3'!F8+'4'!F8+'5'!F8+'6'!F8+'7'!F8+'8'!F8+'9'!F8+'10'!F8+'11'!F8+'12'!E8+'13'!F8+'14'!F8+'15'!F8+'16'!F8+'17'!F8+'18'!F8+'19'!E8+'20'!F8+'21'!F8+'22'!E8+'23'!F8+'24'!F8+'25'!F8+'26'!E8+'27'!F8+'28'!F8+'29'!F8</f>
        <v>0</v>
      </c>
      <c r="G8" s="25">
        <f>'1'!G8+'2'!G8+'3'!G8+'4'!G8+'5'!G8+'6'!G8+'7'!G8+'8'!G8+'9'!G8+'10'!G8+'11'!G8+'12'!F8+'13'!G8+'14'!G8+'15'!G8+'16'!G8+'17'!G8+'18'!G8+'19'!F8+'20'!G8+'21'!G8+'22'!F8+'23'!G8+'24'!G8+'25'!G8+'26'!F8+'27'!G8+'28'!G8+'29'!G8</f>
        <v>0</v>
      </c>
      <c r="H8" s="25">
        <f>'1'!H8+'2'!H8+'3'!H8+'4'!H8+'5'!H8+'6'!H8+'7'!H8+'8'!H8+'9'!H8+'10'!H8+'11'!H8+'12'!G8+'13'!H8+'14'!H8+'15'!H8+'16'!H8+'17'!H8+'18'!H8+'19'!G8+'20'!H8+'21'!H8+'22'!G8+'23'!H8+'24'!H8+'25'!H8+'26'!G8+'27'!H8+'28'!H8+'29'!H8</f>
        <v>0</v>
      </c>
      <c r="I8" s="25">
        <f>'1'!I8+'2'!I8+'3'!I8+'4'!I8+'5'!I8+'6'!I8+'7'!I8+'8'!I8+'9'!I8+'10'!I8+'11'!I8+'12'!H8+'13'!I8+'14'!I8+'15'!I8+'16'!I8+'17'!I8+'18'!I8+'19'!H8+'20'!I8+'21'!I8+'22'!H8+'23'!I8+'24'!I8+'25'!I8+'26'!H8+'27'!I8+'28'!I8+'29'!I8</f>
        <v>0</v>
      </c>
      <c r="J8" s="25">
        <f>'1'!J8+'2'!J8+'3'!J8+'4'!J8+'5'!J8+'6'!J8+'7'!J8+'8'!J8+'9'!J8+'10'!J8+'11'!J8+'12'!I8+'13'!J8+'14'!J8+'15'!J8+'16'!J8+'17'!J8+'18'!J8+'19'!I8+'20'!J8+'21'!J8+'22'!I8+'23'!J8+'24'!J8+'25'!J8+'26'!I8+'27'!J8+'28'!J8+'29'!J8</f>
        <v>0</v>
      </c>
      <c r="K8" s="25">
        <f>'1'!K8+'2'!K8+'3'!K8+'4'!K8+'5'!K8+'6'!K8+'7'!K8+'8'!K8+'9'!K8+'10'!K8+'11'!K8+'12'!J8+'13'!K8+'14'!K8+'15'!K8+'16'!K8+'17'!K8+'18'!K8+'19'!J8+'20'!K8+'21'!K8+'22'!J8+'23'!K8+'24'!K8+'25'!K8+'26'!J8+'27'!K8+'28'!K8+'29'!K8</f>
        <v>0</v>
      </c>
      <c r="L8" s="28">
        <f t="shared" ref="L8:L71" si="0">SUM(D8:K8)</f>
        <v>0</v>
      </c>
      <c r="M8" s="11"/>
      <c r="N8" s="11"/>
      <c r="O8" s="11"/>
      <c r="P8" s="11"/>
      <c r="Q8" s="36">
        <v>0</v>
      </c>
    </row>
    <row r="9" spans="2:17" ht="22.2" hidden="1" x14ac:dyDescent="0.25">
      <c r="B9" s="11">
        <v>1111084</v>
      </c>
      <c r="C9" s="15" t="s">
        <v>20</v>
      </c>
      <c r="D9" s="25">
        <f>'1'!D9+'2'!D9+'3'!D9+'4'!D9+'5'!D9+'6'!D9+'7'!D9+'8'!D9+'9'!D9+'10'!D9+'11'!D9+'12'!C9+'13'!D9+'14'!D9+'15'!D9+'16'!D9+'17'!D9+'18'!D9+'19'!C9+'20'!D9+'21'!D9+'22'!C9+'23'!D9+'24'!D9+'25'!D9+'26'!C9+'27'!D9+'28'!D9+'29'!D9</f>
        <v>0</v>
      </c>
      <c r="E9" s="25">
        <f>'1'!E9+'2'!E9+'3'!E9+'4'!E9+'5'!E9+'6'!E9+'7'!E9+'8'!E9+'9'!E9+'10'!E9+'11'!E9+'12'!D9+'13'!E9+'14'!E9+'15'!E9+'16'!E9+'17'!E9+'18'!E9+'19'!D9+'20'!E9+'21'!E9+'22'!D9+'23'!E9+'24'!E9+'25'!E9+'26'!D9+'27'!E9+'28'!E9+'29'!E9</f>
        <v>0</v>
      </c>
      <c r="F9" s="25">
        <f>'1'!F9+'2'!F9+'3'!F9+'4'!F9+'5'!F9+'6'!F9+'7'!F9+'8'!F9+'9'!F9+'10'!F9+'11'!F9+'12'!E9+'13'!F9+'14'!F9+'15'!F9+'16'!F9+'17'!F9+'18'!F9+'19'!E9+'20'!F9+'21'!F9+'22'!E9+'23'!F9+'24'!F9+'25'!F9+'26'!E9+'27'!F9+'28'!F9+'29'!F9</f>
        <v>0</v>
      </c>
      <c r="G9" s="25">
        <f>'1'!G9+'2'!G9+'3'!G9+'4'!G9+'5'!G9+'6'!G9+'7'!G9+'8'!G9+'9'!G9+'10'!G9+'11'!G9+'12'!F9+'13'!G9+'14'!G9+'15'!G9+'16'!G9+'17'!G9+'18'!G9+'19'!F9+'20'!G9+'21'!G9+'22'!F9+'23'!G9+'24'!G9+'25'!G9+'26'!F9+'27'!G9+'28'!G9+'29'!G9</f>
        <v>0</v>
      </c>
      <c r="H9" s="25">
        <f>'1'!H9+'2'!H9+'3'!H9+'4'!H9+'5'!H9+'6'!H9+'7'!H9+'8'!H9+'9'!H9+'10'!H9+'11'!H9+'12'!G9+'13'!H9+'14'!H9+'15'!H9+'16'!H9+'17'!H9+'18'!H9+'19'!G9+'20'!H9+'21'!H9+'22'!G9+'23'!H9+'24'!H9+'25'!H9+'26'!G9+'27'!H9+'28'!H9+'29'!H9</f>
        <v>0</v>
      </c>
      <c r="I9" s="25">
        <f>'1'!I9+'2'!I9+'3'!I9+'4'!I9+'5'!I9+'6'!I9+'7'!I9+'8'!I9+'9'!I9+'10'!I9+'11'!I9+'12'!H9+'13'!I9+'14'!I9+'15'!I9+'16'!I9+'17'!I9+'18'!I9+'19'!H9+'20'!I9+'21'!I9+'22'!H9+'23'!I9+'24'!I9+'25'!I9+'26'!H9+'27'!I9+'28'!I9+'29'!I9</f>
        <v>0</v>
      </c>
      <c r="J9" s="25">
        <f>'1'!J9+'2'!J9+'3'!J9+'4'!J9+'5'!J9+'6'!J9+'7'!J9+'8'!J9+'9'!J9+'10'!J9+'11'!J9+'12'!I9+'13'!J9+'14'!J9+'15'!J9+'16'!J9+'17'!J9+'18'!J9+'19'!I9+'20'!J9+'21'!J9+'22'!I9+'23'!J9+'24'!J9+'25'!J9+'26'!I9+'27'!J9+'28'!J9+'29'!J9</f>
        <v>0</v>
      </c>
      <c r="K9" s="25">
        <f>'1'!K9+'2'!K9+'3'!K9+'4'!K9+'5'!K9+'6'!K9+'7'!K9+'8'!K9+'9'!K9+'10'!K9+'11'!K9+'12'!J9+'13'!K9+'14'!K9+'15'!K9+'16'!K9+'17'!K9+'18'!K9+'19'!J9+'20'!K9+'21'!K9+'22'!J9+'23'!K9+'24'!K9+'25'!K9+'26'!J9+'27'!K9+'28'!K9+'29'!K9</f>
        <v>0</v>
      </c>
      <c r="L9" s="28">
        <f t="shared" si="0"/>
        <v>0</v>
      </c>
      <c r="M9" s="11"/>
      <c r="N9" s="11"/>
      <c r="O9" s="11"/>
      <c r="P9" s="11"/>
      <c r="Q9" s="36">
        <v>0</v>
      </c>
    </row>
    <row r="10" spans="2:17" ht="22.2" hidden="1" x14ac:dyDescent="0.25">
      <c r="B10" s="11">
        <v>1111085</v>
      </c>
      <c r="C10" s="15" t="s">
        <v>21</v>
      </c>
      <c r="D10" s="25">
        <f>'1'!D10+'2'!D10+'3'!D10+'4'!D10+'5'!D10+'6'!D10+'7'!D10+'8'!D10+'9'!D10+'10'!D10+'11'!D10+'12'!C10+'13'!D10+'14'!D10+'15'!D10+'16'!D10+'17'!D10+'18'!D10+'19'!C10+'20'!D10+'21'!D10+'22'!C10+'23'!D10+'24'!D10+'25'!D10+'26'!C10+'27'!D10+'28'!D10+'29'!D10</f>
        <v>0</v>
      </c>
      <c r="E10" s="25">
        <f>'1'!E10+'2'!E10+'3'!E10+'4'!E10+'5'!E10+'6'!E10+'7'!E10+'8'!E10+'9'!E10+'10'!E10+'11'!E10+'12'!D10+'13'!E10+'14'!E10+'15'!E10+'16'!E10+'17'!E10+'18'!E10+'19'!D10+'20'!E10+'21'!E10+'22'!D10+'23'!E10+'24'!E10+'25'!E10+'26'!D10+'27'!E10+'28'!E10+'29'!E10</f>
        <v>0</v>
      </c>
      <c r="F10" s="25">
        <f>'1'!F10+'2'!F10+'3'!F10+'4'!F10+'5'!F10+'6'!F10+'7'!F10+'8'!F10+'9'!F10+'10'!F10+'11'!F10+'12'!E10+'13'!F10+'14'!F10+'15'!F10+'16'!F10+'17'!F10+'18'!F10+'19'!E10+'20'!F10+'21'!F10+'22'!E10+'23'!F10+'24'!F10+'25'!F10+'26'!E10+'27'!F10+'28'!F10+'29'!F10</f>
        <v>0</v>
      </c>
      <c r="G10" s="25">
        <f>'1'!G10+'2'!G10+'3'!G10+'4'!G10+'5'!G10+'6'!G10+'7'!G10+'8'!G10+'9'!G10+'10'!G10+'11'!G10+'12'!F10+'13'!G10+'14'!G10+'15'!G10+'16'!G10+'17'!G10+'18'!G10+'19'!F10+'20'!G10+'21'!G10+'22'!F10+'23'!G10+'24'!G10+'25'!G10+'26'!F10+'27'!G10+'28'!G10+'29'!G10</f>
        <v>0</v>
      </c>
      <c r="H10" s="25">
        <f>'1'!H10+'2'!H10+'3'!H10+'4'!H10+'5'!H10+'6'!H10+'7'!H10+'8'!H10+'9'!H10+'10'!H10+'11'!H10+'12'!G10+'13'!H10+'14'!H10+'15'!H10+'16'!H10+'17'!H10+'18'!H10+'19'!G10+'20'!H10+'21'!H10+'22'!G10+'23'!H10+'24'!H10+'25'!H10+'26'!G10+'27'!H10+'28'!H10+'29'!H10</f>
        <v>0</v>
      </c>
      <c r="I10" s="25">
        <f>'1'!I10+'2'!I10+'3'!I10+'4'!I10+'5'!I10+'6'!I10+'7'!I10+'8'!I10+'9'!I10+'10'!I10+'11'!I10+'12'!H10+'13'!I10+'14'!I10+'15'!I10+'16'!I10+'17'!I10+'18'!I10+'19'!H10+'20'!I10+'21'!I10+'22'!H10+'23'!I10+'24'!I10+'25'!I10+'26'!H10+'27'!I10+'28'!I10+'29'!I10</f>
        <v>0</v>
      </c>
      <c r="J10" s="25">
        <f>'1'!J10+'2'!J10+'3'!J10+'4'!J10+'5'!J10+'6'!J10+'7'!J10+'8'!J10+'9'!J10+'10'!J10+'11'!J10+'12'!I10+'13'!J10+'14'!J10+'15'!J10+'16'!J10+'17'!J10+'18'!J10+'19'!I10+'20'!J10+'21'!J10+'22'!I10+'23'!J10+'24'!J10+'25'!J10+'26'!I10+'27'!J10+'28'!J10+'29'!J10</f>
        <v>0</v>
      </c>
      <c r="K10" s="25">
        <f>'1'!K10+'2'!K10+'3'!K10+'4'!K10+'5'!K10+'6'!K10+'7'!K10+'8'!K10+'9'!K10+'10'!K10+'11'!K10+'12'!J10+'13'!K10+'14'!K10+'15'!K10+'16'!K10+'17'!K10+'18'!K10+'19'!J10+'20'!K10+'21'!K10+'22'!J10+'23'!K10+'24'!K10+'25'!K10+'26'!J10+'27'!K10+'28'!K10+'29'!K10</f>
        <v>0</v>
      </c>
      <c r="L10" s="28">
        <f t="shared" si="0"/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f>'1'!D11+'2'!D11+'3'!D11+'4'!D11+'5'!D11+'6'!D11+'7'!D11+'8'!D11+'9'!D11+'10'!D11+'11'!D11+'12'!C11+'13'!D11+'14'!D11+'15'!D11+'16'!D11+'17'!D11+'18'!D11+'19'!C11+'20'!D11+'21'!D11+'22'!C11+'23'!D11+'24'!D11+'25'!D11+'26'!C11+'27'!D11+'28'!D11+'29'!D11</f>
        <v>20</v>
      </c>
      <c r="E11" s="25">
        <f>'1'!E11+'2'!E11+'3'!E11+'4'!E11+'5'!E11+'6'!E11+'7'!E11+'8'!E11+'9'!E11+'10'!E11+'11'!E11+'12'!D11+'13'!E11+'14'!E11+'15'!E11+'16'!E11+'17'!E11+'18'!E11+'19'!D11+'20'!E11+'21'!E11+'22'!D11+'23'!E11+'24'!E11+'25'!E11+'26'!D11+'27'!E11+'28'!E11+'29'!E11</f>
        <v>0</v>
      </c>
      <c r="F11" s="25">
        <f>'1'!F11+'2'!F11+'3'!F11+'4'!F11+'5'!F11+'6'!F11+'7'!F11+'8'!F11+'9'!F11+'10'!F11+'11'!F11+'12'!E11+'13'!F11+'14'!F11+'15'!F11+'16'!F11+'17'!F11+'18'!F11+'19'!E11+'20'!F11+'21'!F11+'22'!E11+'23'!F11+'24'!F11+'25'!F11+'26'!E11+'27'!F11+'28'!F11+'29'!F11</f>
        <v>0</v>
      </c>
      <c r="G11" s="25">
        <f>'1'!G11+'2'!G11+'3'!G11+'4'!G11+'5'!G11+'6'!G11+'7'!G11+'8'!G11+'9'!G11+'10'!G11+'11'!G11+'12'!F11+'13'!G11+'14'!G11+'15'!G11+'16'!G11+'17'!G11+'18'!G11+'19'!F11+'20'!G11+'21'!G11+'22'!F11+'23'!G11+'24'!G11+'25'!G11+'26'!F11+'27'!G11+'28'!G11+'29'!G11</f>
        <v>0</v>
      </c>
      <c r="H11" s="25">
        <f>'1'!H11+'2'!H11+'3'!H11+'4'!H11+'5'!H11+'6'!H11+'7'!H11+'8'!H11+'9'!H11+'10'!H11+'11'!H11+'12'!G11+'13'!H11+'14'!H11+'15'!H11+'16'!H11+'17'!H11+'18'!H11+'19'!G11+'20'!H11+'21'!H11+'22'!G11+'23'!H11+'24'!H11+'25'!H11+'26'!G11+'27'!H11+'28'!H11+'29'!H11</f>
        <v>0</v>
      </c>
      <c r="I11" s="25">
        <f>'1'!I11+'2'!I11+'3'!I11+'4'!I11+'5'!I11+'6'!I11+'7'!I11+'8'!I11+'9'!I11+'10'!I11+'11'!I11+'12'!H11+'13'!I11+'14'!I11+'15'!I11+'16'!I11+'17'!I11+'18'!I11+'19'!H11+'20'!I11+'21'!I11+'22'!H11+'23'!I11+'24'!I11+'25'!I11+'26'!H11+'27'!I11+'28'!I11+'29'!I11</f>
        <v>0</v>
      </c>
      <c r="J11" s="25">
        <f>'1'!J11+'2'!J11+'3'!J11+'4'!J11+'5'!J11+'6'!J11+'7'!J11+'8'!J11+'9'!J11+'10'!J11+'11'!J11+'12'!I11+'13'!J11+'14'!J11+'15'!J11+'16'!J11+'17'!J11+'18'!J11+'19'!I11+'20'!J11+'21'!J11+'22'!I11+'23'!J11+'24'!J11+'25'!J11+'26'!I11+'27'!J11+'28'!J11+'29'!J11</f>
        <v>0</v>
      </c>
      <c r="K11" s="25">
        <f>'1'!K11+'2'!K11+'3'!K11+'4'!K11+'5'!K11+'6'!K11+'7'!K11+'8'!K11+'9'!K11+'10'!K11+'11'!K11+'12'!J11+'13'!K11+'14'!K11+'15'!K11+'16'!K11+'17'!K11+'18'!K11+'19'!J11+'20'!K11+'21'!K11+'22'!J11+'23'!K11+'24'!K11+'25'!K11+'26'!J11+'27'!K11+'28'!K11+'29'!K11</f>
        <v>0</v>
      </c>
      <c r="L11" s="28">
        <f t="shared" si="0"/>
        <v>20</v>
      </c>
      <c r="M11" s="11"/>
      <c r="N11" s="11"/>
      <c r="O11" s="11"/>
      <c r="P11" s="11"/>
      <c r="Q11" s="36">
        <v>0</v>
      </c>
    </row>
    <row r="12" spans="2:17" ht="22.2" hidden="1" x14ac:dyDescent="0.25">
      <c r="B12" s="11">
        <v>1111087</v>
      </c>
      <c r="C12" s="15" t="s">
        <v>23</v>
      </c>
      <c r="D12" s="25">
        <f>'1'!D12+'2'!D12+'3'!D12+'4'!D12+'5'!D12+'6'!D12+'7'!D12+'8'!D12+'9'!D12+'10'!D12+'11'!D12+'12'!C12+'13'!D12+'14'!D12+'15'!D12+'16'!D12+'17'!D12+'18'!D12+'19'!C12+'20'!D12+'21'!D12+'22'!C12+'23'!D12+'24'!D12+'25'!D12+'26'!C12+'27'!D12+'28'!D12+'29'!D12</f>
        <v>0</v>
      </c>
      <c r="E12" s="25">
        <f>'1'!E12+'2'!E12+'3'!E12+'4'!E12+'5'!E12+'6'!E12+'7'!E12+'8'!E12+'9'!E12+'10'!E12+'11'!E12+'12'!D12+'13'!E12+'14'!E12+'15'!E12+'16'!E12+'17'!E12+'18'!E12+'19'!D12+'20'!E12+'21'!E12+'22'!D12+'23'!E12+'24'!E12+'25'!E12+'26'!D12+'27'!E12+'28'!E12+'29'!E12</f>
        <v>0</v>
      </c>
      <c r="F12" s="25">
        <f>'1'!F12+'2'!F12+'3'!F12+'4'!F12+'5'!F12+'6'!F12+'7'!F12+'8'!F12+'9'!F12+'10'!F12+'11'!F12+'12'!E12+'13'!F12+'14'!F12+'15'!F12+'16'!F12+'17'!F12+'18'!F12+'19'!E12+'20'!F12+'21'!F12+'22'!E12+'23'!F12+'24'!F12+'25'!F12+'26'!E12+'27'!F12+'28'!F12+'29'!F12</f>
        <v>0</v>
      </c>
      <c r="G12" s="25">
        <f>'1'!G12+'2'!G12+'3'!G12+'4'!G12+'5'!G12+'6'!G12+'7'!G12+'8'!G12+'9'!G12+'10'!G12+'11'!G12+'12'!F12+'13'!G12+'14'!G12+'15'!G12+'16'!G12+'17'!G12+'18'!G12+'19'!F12+'20'!G12+'21'!G12+'22'!F12+'23'!G12+'24'!G12+'25'!G12+'26'!F12+'27'!G12+'28'!G12+'29'!G12</f>
        <v>0</v>
      </c>
      <c r="H12" s="25">
        <f>'1'!H12+'2'!H12+'3'!H12+'4'!H12+'5'!H12+'6'!H12+'7'!H12+'8'!H12+'9'!H12+'10'!H12+'11'!H12+'12'!G12+'13'!H12+'14'!H12+'15'!H12+'16'!H12+'17'!H12+'18'!H12+'19'!G12+'20'!H12+'21'!H12+'22'!G12+'23'!H12+'24'!H12+'25'!H12+'26'!G12+'27'!H12+'28'!H12+'29'!H12</f>
        <v>0</v>
      </c>
      <c r="I12" s="25">
        <f>'1'!I12+'2'!I12+'3'!I12+'4'!I12+'5'!I12+'6'!I12+'7'!I12+'8'!I12+'9'!I12+'10'!I12+'11'!I12+'12'!H12+'13'!I12+'14'!I12+'15'!I12+'16'!I12+'17'!I12+'18'!I12+'19'!H12+'20'!I12+'21'!I12+'22'!H12+'23'!I12+'24'!I12+'25'!I12+'26'!H12+'27'!I12+'28'!I12+'29'!I12</f>
        <v>0</v>
      </c>
      <c r="J12" s="25">
        <f>'1'!J12+'2'!J12+'3'!J12+'4'!J12+'5'!J12+'6'!J12+'7'!J12+'8'!J12+'9'!J12+'10'!J12+'11'!J12+'12'!I12+'13'!J12+'14'!J12+'15'!J12+'16'!J12+'17'!J12+'18'!J12+'19'!I12+'20'!J12+'21'!J12+'22'!I12+'23'!J12+'24'!J12+'25'!J12+'26'!I12+'27'!J12+'28'!J12+'29'!J12</f>
        <v>0</v>
      </c>
      <c r="K12" s="25">
        <f>'1'!K12+'2'!K12+'3'!K12+'4'!K12+'5'!K12+'6'!K12+'7'!K12+'8'!K12+'9'!K12+'10'!K12+'11'!K12+'12'!J12+'13'!K12+'14'!K12+'15'!K12+'16'!K12+'17'!K12+'18'!K12+'19'!J12+'20'!K12+'21'!K12+'22'!J12+'23'!K12+'24'!K12+'25'!K12+'26'!J12+'27'!K12+'28'!K12+'29'!K12</f>
        <v>0</v>
      </c>
      <c r="L12" s="28">
        <f t="shared" si="0"/>
        <v>0</v>
      </c>
      <c r="M12" s="11"/>
      <c r="N12" s="11"/>
      <c r="O12" s="11"/>
      <c r="P12" s="11"/>
      <c r="Q12" s="36">
        <v>0</v>
      </c>
    </row>
    <row r="13" spans="2:17" ht="22.2" hidden="1" x14ac:dyDescent="0.25">
      <c r="B13" s="11">
        <v>1111088</v>
      </c>
      <c r="C13" s="15" t="s">
        <v>24</v>
      </c>
      <c r="D13" s="25">
        <f>'1'!D13+'2'!D13+'3'!D13+'4'!D13+'5'!D13+'6'!D13+'7'!D13+'8'!D13+'9'!D13+'10'!D13+'11'!D13+'12'!C13+'13'!D13+'14'!D13+'15'!D13+'16'!D13+'17'!D13+'18'!D13+'19'!C13+'20'!D13+'21'!D13+'22'!C13+'23'!D13+'24'!D13+'25'!D13+'26'!C13+'27'!D13+'28'!D13+'29'!D13</f>
        <v>0</v>
      </c>
      <c r="E13" s="25">
        <f>'1'!E13+'2'!E13+'3'!E13+'4'!E13+'5'!E13+'6'!E13+'7'!E13+'8'!E13+'9'!E13+'10'!E13+'11'!E13+'12'!D13+'13'!E13+'14'!E13+'15'!E13+'16'!E13+'17'!E13+'18'!E13+'19'!D13+'20'!E13+'21'!E13+'22'!D13+'23'!E13+'24'!E13+'25'!E13+'26'!D13+'27'!E13+'28'!E13+'29'!E13</f>
        <v>0</v>
      </c>
      <c r="F13" s="25">
        <f>'1'!F13+'2'!F13+'3'!F13+'4'!F13+'5'!F13+'6'!F13+'7'!F13+'8'!F13+'9'!F13+'10'!F13+'11'!F13+'12'!E13+'13'!F13+'14'!F13+'15'!F13+'16'!F13+'17'!F13+'18'!F13+'19'!E13+'20'!F13+'21'!F13+'22'!E13+'23'!F13+'24'!F13+'25'!F13+'26'!E13+'27'!F13+'28'!F13+'29'!F13</f>
        <v>0</v>
      </c>
      <c r="G13" s="25">
        <f>'1'!G13+'2'!G13+'3'!G13+'4'!G13+'5'!G13+'6'!G13+'7'!G13+'8'!G13+'9'!G13+'10'!G13+'11'!G13+'12'!F13+'13'!G13+'14'!G13+'15'!G13+'16'!G13+'17'!G13+'18'!G13+'19'!F13+'20'!G13+'21'!G13+'22'!F13+'23'!G13+'24'!G13+'25'!G13+'26'!F13+'27'!G13+'28'!G13+'29'!G13</f>
        <v>0</v>
      </c>
      <c r="H13" s="25">
        <f>'1'!H13+'2'!H13+'3'!H13+'4'!H13+'5'!H13+'6'!H13+'7'!H13+'8'!H13+'9'!H13+'10'!H13+'11'!H13+'12'!G13+'13'!H13+'14'!H13+'15'!H13+'16'!H13+'17'!H13+'18'!H13+'19'!G13+'20'!H13+'21'!H13+'22'!G13+'23'!H13+'24'!H13+'25'!H13+'26'!G13+'27'!H13+'28'!H13+'29'!H13</f>
        <v>0</v>
      </c>
      <c r="I13" s="25">
        <f>'1'!I13+'2'!I13+'3'!I13+'4'!I13+'5'!I13+'6'!I13+'7'!I13+'8'!I13+'9'!I13+'10'!I13+'11'!I13+'12'!H13+'13'!I13+'14'!I13+'15'!I13+'16'!I13+'17'!I13+'18'!I13+'19'!H13+'20'!I13+'21'!I13+'22'!H13+'23'!I13+'24'!I13+'25'!I13+'26'!H13+'27'!I13+'28'!I13+'29'!I13</f>
        <v>0</v>
      </c>
      <c r="J13" s="25">
        <f>'1'!J13+'2'!J13+'3'!J13+'4'!J13+'5'!J13+'6'!J13+'7'!J13+'8'!J13+'9'!J13+'10'!J13+'11'!J13+'12'!I13+'13'!J13+'14'!J13+'15'!J13+'16'!J13+'17'!J13+'18'!J13+'19'!I13+'20'!J13+'21'!J13+'22'!I13+'23'!J13+'24'!J13+'25'!J13+'26'!I13+'27'!J13+'28'!J13+'29'!J13</f>
        <v>0</v>
      </c>
      <c r="K13" s="25">
        <f>'1'!K13+'2'!K13+'3'!K13+'4'!K13+'5'!K13+'6'!K13+'7'!K13+'8'!K13+'9'!K13+'10'!K13+'11'!K13+'12'!J13+'13'!K13+'14'!K13+'15'!K13+'16'!K13+'17'!K13+'18'!K13+'19'!J13+'20'!K13+'21'!K13+'22'!J13+'23'!K13+'24'!K13+'25'!K13+'26'!J13+'27'!K13+'28'!K13+'29'!K13</f>
        <v>0</v>
      </c>
      <c r="L13" s="28">
        <f t="shared" si="0"/>
        <v>0</v>
      </c>
      <c r="M13" s="11"/>
      <c r="N13" s="11"/>
      <c r="O13" s="11"/>
      <c r="P13" s="11"/>
      <c r="Q13" s="36">
        <v>0</v>
      </c>
    </row>
    <row r="14" spans="2:17" ht="22.2" hidden="1" x14ac:dyDescent="0.25">
      <c r="B14" s="11">
        <v>1111089</v>
      </c>
      <c r="C14" s="15" t="s">
        <v>25</v>
      </c>
      <c r="D14" s="25">
        <f>'1'!D14+'2'!D14+'3'!D14+'4'!D14+'5'!D14+'6'!D14+'7'!D14+'8'!D14+'9'!D14+'10'!D14+'11'!D14+'12'!C14+'13'!D14+'14'!D14+'15'!D14+'16'!D14+'17'!D14+'18'!D14+'19'!C14+'20'!D14+'21'!D14+'22'!C14+'23'!D14+'24'!D14+'25'!D14+'26'!C14+'27'!D14+'28'!D14+'29'!D14</f>
        <v>0</v>
      </c>
      <c r="E14" s="25">
        <f>'1'!E14+'2'!E14+'3'!E14+'4'!E14+'5'!E14+'6'!E14+'7'!E14+'8'!E14+'9'!E14+'10'!E14+'11'!E14+'12'!D14+'13'!E14+'14'!E14+'15'!E14+'16'!E14+'17'!E14+'18'!E14+'19'!D14+'20'!E14+'21'!E14+'22'!D14+'23'!E14+'24'!E14+'25'!E14+'26'!D14+'27'!E14+'28'!E14+'29'!E14</f>
        <v>0</v>
      </c>
      <c r="F14" s="25">
        <f>'1'!F14+'2'!F14+'3'!F14+'4'!F14+'5'!F14+'6'!F14+'7'!F14+'8'!F14+'9'!F14+'10'!F14+'11'!F14+'12'!E14+'13'!F14+'14'!F14+'15'!F14+'16'!F14+'17'!F14+'18'!F14+'19'!E14+'20'!F14+'21'!F14+'22'!E14+'23'!F14+'24'!F14+'25'!F14+'26'!E14+'27'!F14+'28'!F14+'29'!F14</f>
        <v>0</v>
      </c>
      <c r="G14" s="25">
        <f>'1'!G14+'2'!G14+'3'!G14+'4'!G14+'5'!G14+'6'!G14+'7'!G14+'8'!G14+'9'!G14+'10'!G14+'11'!G14+'12'!F14+'13'!G14+'14'!G14+'15'!G14+'16'!G14+'17'!G14+'18'!G14+'19'!F14+'20'!G14+'21'!G14+'22'!F14+'23'!G14+'24'!G14+'25'!G14+'26'!F14+'27'!G14+'28'!G14+'29'!G14</f>
        <v>0</v>
      </c>
      <c r="H14" s="25">
        <f>'1'!H14+'2'!H14+'3'!H14+'4'!H14+'5'!H14+'6'!H14+'7'!H14+'8'!H14+'9'!H14+'10'!H14+'11'!H14+'12'!G14+'13'!H14+'14'!H14+'15'!H14+'16'!H14+'17'!H14+'18'!H14+'19'!G14+'20'!H14+'21'!H14+'22'!G14+'23'!H14+'24'!H14+'25'!H14+'26'!G14+'27'!H14+'28'!H14+'29'!H14</f>
        <v>0</v>
      </c>
      <c r="I14" s="25">
        <f>'1'!I14+'2'!I14+'3'!I14+'4'!I14+'5'!I14+'6'!I14+'7'!I14+'8'!I14+'9'!I14+'10'!I14+'11'!I14+'12'!H14+'13'!I14+'14'!I14+'15'!I14+'16'!I14+'17'!I14+'18'!I14+'19'!H14+'20'!I14+'21'!I14+'22'!H14+'23'!I14+'24'!I14+'25'!I14+'26'!H14+'27'!I14+'28'!I14+'29'!I14</f>
        <v>0</v>
      </c>
      <c r="J14" s="25">
        <f>'1'!J14+'2'!J14+'3'!J14+'4'!J14+'5'!J14+'6'!J14+'7'!J14+'8'!J14+'9'!J14+'10'!J14+'11'!J14+'12'!I14+'13'!J14+'14'!J14+'15'!J14+'16'!J14+'17'!J14+'18'!J14+'19'!I14+'20'!J14+'21'!J14+'22'!I14+'23'!J14+'24'!J14+'25'!J14+'26'!I14+'27'!J14+'28'!J14+'29'!J14</f>
        <v>0</v>
      </c>
      <c r="K14" s="25">
        <f>'1'!K14+'2'!K14+'3'!K14+'4'!K14+'5'!K14+'6'!K14+'7'!K14+'8'!K14+'9'!K14+'10'!K14+'11'!K14+'12'!J14+'13'!K14+'14'!K14+'15'!K14+'16'!K14+'17'!K14+'18'!K14+'19'!J14+'20'!K14+'21'!K14+'22'!J14+'23'!K14+'24'!K14+'25'!K14+'26'!J14+'27'!K14+'28'!K14+'29'!K14</f>
        <v>0</v>
      </c>
      <c r="L14" s="28">
        <f t="shared" si="0"/>
        <v>0</v>
      </c>
      <c r="M14" s="11"/>
      <c r="N14" s="11"/>
      <c r="O14" s="11"/>
      <c r="P14" s="11"/>
      <c r="Q14" s="36">
        <v>0</v>
      </c>
    </row>
    <row r="15" spans="2:17" ht="22.2" hidden="1" x14ac:dyDescent="0.25">
      <c r="B15" s="11">
        <v>1111090</v>
      </c>
      <c r="C15" s="15" t="s">
        <v>26</v>
      </c>
      <c r="D15" s="25">
        <f>'1'!D15+'2'!D15+'3'!D15+'4'!D15+'5'!D15+'6'!D15+'7'!D15+'8'!D15+'9'!D15+'10'!D15+'11'!D15+'12'!C15+'13'!D15+'14'!D15+'15'!D15+'16'!D15+'17'!D15+'18'!D15+'19'!C15+'20'!D15+'21'!D15+'22'!C15+'23'!D15+'24'!D15+'25'!D15+'26'!C15+'27'!D15+'28'!D15+'29'!D15</f>
        <v>0</v>
      </c>
      <c r="E15" s="25">
        <f>'1'!E15+'2'!E15+'3'!E15+'4'!E15+'5'!E15+'6'!E15+'7'!E15+'8'!E15+'9'!E15+'10'!E15+'11'!E15+'12'!D15+'13'!E15+'14'!E15+'15'!E15+'16'!E15+'17'!E15+'18'!E15+'19'!D15+'20'!E15+'21'!E15+'22'!D15+'23'!E15+'24'!E15+'25'!E15+'26'!D15+'27'!E15+'28'!E15+'29'!E15</f>
        <v>0</v>
      </c>
      <c r="F15" s="25">
        <f>'1'!F15+'2'!F15+'3'!F15+'4'!F15+'5'!F15+'6'!F15+'7'!F15+'8'!F15+'9'!F15+'10'!F15+'11'!F15+'12'!E15+'13'!F15+'14'!F15+'15'!F15+'16'!F15+'17'!F15+'18'!F15+'19'!E15+'20'!F15+'21'!F15+'22'!E15+'23'!F15+'24'!F15+'25'!F15+'26'!E15+'27'!F15+'28'!F15+'29'!F15</f>
        <v>0</v>
      </c>
      <c r="G15" s="25">
        <f>'1'!G15+'2'!G15+'3'!G15+'4'!G15+'5'!G15+'6'!G15+'7'!G15+'8'!G15+'9'!G15+'10'!G15+'11'!G15+'12'!F15+'13'!G15+'14'!G15+'15'!G15+'16'!G15+'17'!G15+'18'!G15+'19'!F15+'20'!G15+'21'!G15+'22'!F15+'23'!G15+'24'!G15+'25'!G15+'26'!F15+'27'!G15+'28'!G15+'29'!G15</f>
        <v>0</v>
      </c>
      <c r="H15" s="25">
        <f>'1'!H15+'2'!H15+'3'!H15+'4'!H15+'5'!H15+'6'!H15+'7'!H15+'8'!H15+'9'!H15+'10'!H15+'11'!H15+'12'!G15+'13'!H15+'14'!H15+'15'!H15+'16'!H15+'17'!H15+'18'!H15+'19'!G15+'20'!H15+'21'!H15+'22'!G15+'23'!H15+'24'!H15+'25'!H15+'26'!G15+'27'!H15+'28'!H15+'29'!H15</f>
        <v>0</v>
      </c>
      <c r="I15" s="25">
        <f>'1'!I15+'2'!I15+'3'!I15+'4'!I15+'5'!I15+'6'!I15+'7'!I15+'8'!I15+'9'!I15+'10'!I15+'11'!I15+'12'!H15+'13'!I15+'14'!I15+'15'!I15+'16'!I15+'17'!I15+'18'!I15+'19'!H15+'20'!I15+'21'!I15+'22'!H15+'23'!I15+'24'!I15+'25'!I15+'26'!H15+'27'!I15+'28'!I15+'29'!I15</f>
        <v>0</v>
      </c>
      <c r="J15" s="25">
        <f>'1'!J15+'2'!J15+'3'!J15+'4'!J15+'5'!J15+'6'!J15+'7'!J15+'8'!J15+'9'!J15+'10'!J15+'11'!J15+'12'!I15+'13'!J15+'14'!J15+'15'!J15+'16'!J15+'17'!J15+'18'!J15+'19'!I15+'20'!J15+'21'!J15+'22'!I15+'23'!J15+'24'!J15+'25'!J15+'26'!I15+'27'!J15+'28'!J15+'29'!J15</f>
        <v>0</v>
      </c>
      <c r="K15" s="25">
        <f>'1'!K15+'2'!K15+'3'!K15+'4'!K15+'5'!K15+'6'!K15+'7'!K15+'8'!K15+'9'!K15+'10'!K15+'11'!K15+'12'!J15+'13'!K15+'14'!K15+'15'!K15+'16'!K15+'17'!K15+'18'!K15+'19'!J15+'20'!K15+'21'!K15+'22'!J15+'23'!K15+'24'!K15+'25'!K15+'26'!J15+'27'!K15+'28'!K15+'29'!K15</f>
        <v>0</v>
      </c>
      <c r="L15" s="28">
        <f t="shared" si="0"/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f>'1'!D16+'2'!D16+'3'!D16+'4'!D16+'5'!D16+'6'!D16+'7'!D16+'8'!D16+'9'!D16+'10'!D16+'11'!D16+'12'!C16+'13'!D16+'14'!D16+'15'!D16+'16'!D16+'17'!D16+'18'!D16+'19'!C16+'20'!D16+'21'!D16+'22'!C16+'23'!D16+'24'!D16+'25'!D16+'26'!C16+'27'!D16+'28'!D16+'29'!D16</f>
        <v>0</v>
      </c>
      <c r="E16" s="25">
        <f>'1'!E16+'2'!E16+'3'!E16+'4'!E16+'5'!E16+'6'!E16+'7'!E16+'8'!E16+'9'!E16+'10'!E16+'11'!E16+'12'!D16+'13'!E16+'14'!E16+'15'!E16+'16'!E16+'17'!E16+'18'!E16+'19'!D16+'20'!E16+'21'!E16+'22'!D16+'23'!E16+'24'!E16+'25'!E16+'26'!D16+'27'!E16+'28'!E16+'29'!E16</f>
        <v>0</v>
      </c>
      <c r="F16" s="25">
        <f>'1'!F16+'2'!F16+'3'!F16+'4'!F16+'5'!F16+'6'!F16+'7'!F16+'8'!F16+'9'!F16+'10'!F16+'11'!F16+'12'!E16+'13'!F16+'14'!F16+'15'!F16+'16'!F16+'17'!F16+'18'!F16+'19'!E16+'20'!F16+'21'!F16+'22'!E16+'23'!F16+'24'!F16+'25'!F16+'26'!E16+'27'!F16+'28'!F16+'29'!F16</f>
        <v>0</v>
      </c>
      <c r="G16" s="25">
        <f>'1'!G16+'2'!G16+'3'!G16+'4'!G16+'5'!G16+'6'!G16+'7'!G16+'8'!G16+'9'!G16+'10'!G16+'11'!G16+'12'!F16+'13'!G16+'14'!G16+'15'!G16+'16'!G16+'17'!G16+'18'!G16+'19'!F16+'20'!G16+'21'!G16+'22'!F16+'23'!G16+'24'!G16+'25'!G16+'26'!F16+'27'!G16+'28'!G16+'29'!G16</f>
        <v>0</v>
      </c>
      <c r="H16" s="25">
        <f>'1'!H16+'2'!H16+'3'!H16+'4'!H16+'5'!H16+'6'!H16+'7'!H16+'8'!H16+'9'!H16+'10'!H16+'11'!H16+'12'!G16+'13'!H16+'14'!H16+'15'!H16+'16'!H16+'17'!H16+'18'!H16+'19'!G16+'20'!H16+'21'!H16+'22'!G16+'23'!H16+'24'!H16+'25'!H16+'26'!G16+'27'!H16+'28'!H16+'29'!H16</f>
        <v>0</v>
      </c>
      <c r="I16" s="25">
        <f>'1'!I16+'2'!I16+'3'!I16+'4'!I16+'5'!I16+'6'!I16+'7'!I16+'8'!I16+'9'!I16+'10'!I16+'11'!I16+'12'!H16+'13'!I16+'14'!I16+'15'!I16+'16'!I16+'17'!I16+'18'!I16+'19'!H16+'20'!I16+'21'!I16+'22'!H16+'23'!I16+'24'!I16+'25'!I16+'26'!H16+'27'!I16+'28'!I16+'29'!I16</f>
        <v>0</v>
      </c>
      <c r="J16" s="25">
        <f>'1'!J16+'2'!J16+'3'!J16+'4'!J16+'5'!J16+'6'!J16+'7'!J16+'8'!J16+'9'!J16+'10'!J16+'11'!J16+'12'!I16+'13'!J16+'14'!J16+'15'!J16+'16'!J16+'17'!J16+'18'!J16+'19'!I16+'20'!J16+'21'!J16+'22'!I16+'23'!J16+'24'!J16+'25'!J16+'26'!I16+'27'!J16+'28'!J16+'29'!J16</f>
        <v>0</v>
      </c>
      <c r="K16" s="25">
        <f>'1'!K16+'2'!K16+'3'!K16+'4'!K16+'5'!K16+'6'!K16+'7'!K16+'8'!K16+'9'!K16+'10'!K16+'11'!K16+'12'!J16+'13'!K16+'14'!K16+'15'!K16+'16'!K16+'17'!K16+'18'!K16+'19'!J16+'20'!K16+'21'!K16+'22'!J16+'23'!K16+'24'!K16+'25'!K16+'26'!J16+'27'!K16+'28'!K16+'29'!K16</f>
        <v>185</v>
      </c>
      <c r="L16" s="28">
        <f t="shared" si="0"/>
        <v>185</v>
      </c>
      <c r="M16" s="11"/>
      <c r="N16" s="11"/>
      <c r="O16" s="11"/>
      <c r="P16" s="11"/>
      <c r="Q16" s="36">
        <v>0</v>
      </c>
    </row>
    <row r="17" spans="2:17" ht="22.2" hidden="1" x14ac:dyDescent="0.25">
      <c r="B17" s="11">
        <v>1111092</v>
      </c>
      <c r="C17" s="15" t="s">
        <v>28</v>
      </c>
      <c r="D17" s="25">
        <f>'1'!D17+'2'!D17+'3'!D17+'4'!D17+'5'!D17+'6'!D17+'7'!D17+'8'!D17+'9'!D17+'10'!D17+'11'!D17+'12'!C17+'13'!D17+'14'!D17+'15'!D17+'16'!D17+'17'!D17+'18'!D17+'19'!C17+'20'!D17+'21'!D17+'22'!C17+'23'!D17+'24'!D17+'25'!D17+'26'!C17+'27'!D17+'28'!D17+'29'!D17</f>
        <v>0</v>
      </c>
      <c r="E17" s="25">
        <f>'1'!E17+'2'!E17+'3'!E17+'4'!E17+'5'!E17+'6'!E17+'7'!E17+'8'!E17+'9'!E17+'10'!E17+'11'!E17+'12'!D17+'13'!E17+'14'!E17+'15'!E17+'16'!E17+'17'!E17+'18'!E17+'19'!D17+'20'!E17+'21'!E17+'22'!D17+'23'!E17+'24'!E17+'25'!E17+'26'!D17+'27'!E17+'28'!E17+'29'!E17</f>
        <v>0</v>
      </c>
      <c r="F17" s="25">
        <f>'1'!F17+'2'!F17+'3'!F17+'4'!F17+'5'!F17+'6'!F17+'7'!F17+'8'!F17+'9'!F17+'10'!F17+'11'!F17+'12'!E17+'13'!F17+'14'!F17+'15'!F17+'16'!F17+'17'!F17+'18'!F17+'19'!E17+'20'!F17+'21'!F17+'22'!E17+'23'!F17+'24'!F17+'25'!F17+'26'!E17+'27'!F17+'28'!F17+'29'!F17</f>
        <v>0</v>
      </c>
      <c r="G17" s="25">
        <f>'1'!G17+'2'!G17+'3'!G17+'4'!G17+'5'!G17+'6'!G17+'7'!G17+'8'!G17+'9'!G17+'10'!G17+'11'!G17+'12'!F17+'13'!G17+'14'!G17+'15'!G17+'16'!G17+'17'!G17+'18'!G17+'19'!F17+'20'!G17+'21'!G17+'22'!F17+'23'!G17+'24'!G17+'25'!G17+'26'!F17+'27'!G17+'28'!G17+'29'!G17</f>
        <v>0</v>
      </c>
      <c r="H17" s="25">
        <f>'1'!H17+'2'!H17+'3'!H17+'4'!H17+'5'!H17+'6'!H17+'7'!H17+'8'!H17+'9'!H17+'10'!H17+'11'!H17+'12'!G17+'13'!H17+'14'!H17+'15'!H17+'16'!H17+'17'!H17+'18'!H17+'19'!G17+'20'!H17+'21'!H17+'22'!G17+'23'!H17+'24'!H17+'25'!H17+'26'!G17+'27'!H17+'28'!H17+'29'!H17</f>
        <v>0</v>
      </c>
      <c r="I17" s="25">
        <f>'1'!I17+'2'!I17+'3'!I17+'4'!I17+'5'!I17+'6'!I17+'7'!I17+'8'!I17+'9'!I17+'10'!I17+'11'!I17+'12'!H17+'13'!I17+'14'!I17+'15'!I17+'16'!I17+'17'!I17+'18'!I17+'19'!H17+'20'!I17+'21'!I17+'22'!H17+'23'!I17+'24'!I17+'25'!I17+'26'!H17+'27'!I17+'28'!I17+'29'!I17</f>
        <v>0</v>
      </c>
      <c r="J17" s="25">
        <f>'1'!J17+'2'!J17+'3'!J17+'4'!J17+'5'!J17+'6'!J17+'7'!J17+'8'!J17+'9'!J17+'10'!J17+'11'!J17+'12'!I17+'13'!J17+'14'!J17+'15'!J17+'16'!J17+'17'!J17+'18'!J17+'19'!I17+'20'!J17+'21'!J17+'22'!I17+'23'!J17+'24'!J17+'25'!J17+'26'!I17+'27'!J17+'28'!J17+'29'!J17</f>
        <v>0</v>
      </c>
      <c r="K17" s="25">
        <f>'1'!K17+'2'!K17+'3'!K17+'4'!K17+'5'!K17+'6'!K17+'7'!K17+'8'!K17+'9'!K17+'10'!K17+'11'!K17+'12'!J17+'13'!K17+'14'!K17+'15'!K17+'16'!K17+'17'!K17+'18'!K17+'19'!J17+'20'!K17+'21'!K17+'22'!J17+'23'!K17+'24'!K17+'25'!K17+'26'!J17+'27'!K17+'28'!K17+'29'!K17</f>
        <v>0</v>
      </c>
      <c r="L17" s="28">
        <f t="shared" si="0"/>
        <v>0</v>
      </c>
      <c r="M17" s="11"/>
      <c r="N17" s="11"/>
      <c r="O17" s="11"/>
      <c r="P17" s="11"/>
      <c r="Q17" s="36">
        <v>0</v>
      </c>
    </row>
    <row r="18" spans="2:17" ht="22.2" hidden="1" x14ac:dyDescent="0.25">
      <c r="B18" s="11">
        <v>1111093</v>
      </c>
      <c r="C18" s="15" t="s">
        <v>29</v>
      </c>
      <c r="D18" s="25">
        <f>'1'!D18+'2'!D18+'3'!D18+'4'!D18+'5'!D18+'6'!D18+'7'!D18+'8'!D18+'9'!D18+'10'!D18+'11'!D18+'12'!C18+'13'!D18+'14'!D18+'15'!D18+'16'!D18+'17'!D18+'18'!D18+'19'!C18+'20'!D18+'21'!D18+'22'!C18+'23'!D18+'24'!D18+'25'!D18+'26'!C18+'27'!D18+'28'!D18+'29'!D18</f>
        <v>0</v>
      </c>
      <c r="E18" s="25">
        <f>'1'!E18+'2'!E18+'3'!E18+'4'!E18+'5'!E18+'6'!E18+'7'!E18+'8'!E18+'9'!E18+'10'!E18+'11'!E18+'12'!D18+'13'!E18+'14'!E18+'15'!E18+'16'!E18+'17'!E18+'18'!E18+'19'!D18+'20'!E18+'21'!E18+'22'!D18+'23'!E18+'24'!E18+'25'!E18+'26'!D18+'27'!E18+'28'!E18+'29'!E18</f>
        <v>0</v>
      </c>
      <c r="F18" s="25">
        <f>'1'!F18+'2'!F18+'3'!F18+'4'!F18+'5'!F18+'6'!F18+'7'!F18+'8'!F18+'9'!F18+'10'!F18+'11'!F18+'12'!E18+'13'!F18+'14'!F18+'15'!F18+'16'!F18+'17'!F18+'18'!F18+'19'!E18+'20'!F18+'21'!F18+'22'!E18+'23'!F18+'24'!F18+'25'!F18+'26'!E18+'27'!F18+'28'!F18+'29'!F18</f>
        <v>0</v>
      </c>
      <c r="G18" s="25">
        <f>'1'!G18+'2'!G18+'3'!G18+'4'!G18+'5'!G18+'6'!G18+'7'!G18+'8'!G18+'9'!G18+'10'!G18+'11'!G18+'12'!F18+'13'!G18+'14'!G18+'15'!G18+'16'!G18+'17'!G18+'18'!G18+'19'!F18+'20'!G18+'21'!G18+'22'!F18+'23'!G18+'24'!G18+'25'!G18+'26'!F18+'27'!G18+'28'!G18+'29'!G18</f>
        <v>0</v>
      </c>
      <c r="H18" s="25">
        <f>'1'!H18+'2'!H18+'3'!H18+'4'!H18+'5'!H18+'6'!H18+'7'!H18+'8'!H18+'9'!H18+'10'!H18+'11'!H18+'12'!G18+'13'!H18+'14'!H18+'15'!H18+'16'!H18+'17'!H18+'18'!H18+'19'!G18+'20'!H18+'21'!H18+'22'!G18+'23'!H18+'24'!H18+'25'!H18+'26'!G18+'27'!H18+'28'!H18+'29'!H18</f>
        <v>0</v>
      </c>
      <c r="I18" s="25">
        <f>'1'!I18+'2'!I18+'3'!I18+'4'!I18+'5'!I18+'6'!I18+'7'!I18+'8'!I18+'9'!I18+'10'!I18+'11'!I18+'12'!H18+'13'!I18+'14'!I18+'15'!I18+'16'!I18+'17'!I18+'18'!I18+'19'!H18+'20'!I18+'21'!I18+'22'!H18+'23'!I18+'24'!I18+'25'!I18+'26'!H18+'27'!I18+'28'!I18+'29'!I18</f>
        <v>0</v>
      </c>
      <c r="J18" s="25">
        <f>'1'!J18+'2'!J18+'3'!J18+'4'!J18+'5'!J18+'6'!J18+'7'!J18+'8'!J18+'9'!J18+'10'!J18+'11'!J18+'12'!I18+'13'!J18+'14'!J18+'15'!J18+'16'!J18+'17'!J18+'18'!J18+'19'!I18+'20'!J18+'21'!J18+'22'!I18+'23'!J18+'24'!J18+'25'!J18+'26'!I18+'27'!J18+'28'!J18+'29'!J18</f>
        <v>0</v>
      </c>
      <c r="K18" s="25">
        <f>'1'!K18+'2'!K18+'3'!K18+'4'!K18+'5'!K18+'6'!K18+'7'!K18+'8'!K18+'9'!K18+'10'!K18+'11'!K18+'12'!J18+'13'!K18+'14'!K18+'15'!K18+'16'!K18+'17'!K18+'18'!K18+'19'!J18+'20'!K18+'21'!K18+'22'!J18+'23'!K18+'24'!K18+'25'!K18+'26'!J18+'27'!K18+'28'!K18+'29'!K18</f>
        <v>0</v>
      </c>
      <c r="L18" s="28">
        <f t="shared" si="0"/>
        <v>0</v>
      </c>
      <c r="M18" s="11"/>
      <c r="N18" s="11"/>
      <c r="O18" s="11"/>
      <c r="P18" s="11"/>
      <c r="Q18" s="36">
        <v>0</v>
      </c>
    </row>
    <row r="19" spans="2:17" ht="22.2" hidden="1" x14ac:dyDescent="0.25">
      <c r="B19" s="11">
        <v>1111094</v>
      </c>
      <c r="C19" s="15" t="s">
        <v>30</v>
      </c>
      <c r="D19" s="25">
        <f>'1'!D19+'2'!D19+'3'!D19+'4'!D19+'5'!D19+'6'!D19+'7'!D19+'8'!D19+'9'!D19+'10'!D19+'11'!D19+'12'!C19+'13'!D19+'14'!D19+'15'!D19+'16'!D19+'17'!D19+'18'!D19+'19'!C19+'20'!D19+'21'!D19+'22'!C19+'23'!D19+'24'!D19+'25'!D19+'26'!C19+'27'!D19+'28'!D19+'29'!D19</f>
        <v>0</v>
      </c>
      <c r="E19" s="25">
        <f>'1'!E19+'2'!E19+'3'!E19+'4'!E19+'5'!E19+'6'!E19+'7'!E19+'8'!E19+'9'!E19+'10'!E19+'11'!E19+'12'!D19+'13'!E19+'14'!E19+'15'!E19+'16'!E19+'17'!E19+'18'!E19+'19'!D19+'20'!E19+'21'!E19+'22'!D19+'23'!E19+'24'!E19+'25'!E19+'26'!D19+'27'!E19+'28'!E19+'29'!E19</f>
        <v>0</v>
      </c>
      <c r="F19" s="25">
        <f>'1'!F19+'2'!F19+'3'!F19+'4'!F19+'5'!F19+'6'!F19+'7'!F19+'8'!F19+'9'!F19+'10'!F19+'11'!F19+'12'!E19+'13'!F19+'14'!F19+'15'!F19+'16'!F19+'17'!F19+'18'!F19+'19'!E19+'20'!F19+'21'!F19+'22'!E19+'23'!F19+'24'!F19+'25'!F19+'26'!E19+'27'!F19+'28'!F19+'29'!F19</f>
        <v>0</v>
      </c>
      <c r="G19" s="25">
        <f>'1'!G19+'2'!G19+'3'!G19+'4'!G19+'5'!G19+'6'!G19+'7'!G19+'8'!G19+'9'!G19+'10'!G19+'11'!G19+'12'!F19+'13'!G19+'14'!G19+'15'!G19+'16'!G19+'17'!G19+'18'!G19+'19'!F19+'20'!G19+'21'!G19+'22'!F19+'23'!G19+'24'!G19+'25'!G19+'26'!F19+'27'!G19+'28'!G19+'29'!G19</f>
        <v>0</v>
      </c>
      <c r="H19" s="25">
        <f>'1'!H19+'2'!H19+'3'!H19+'4'!H19+'5'!H19+'6'!H19+'7'!H19+'8'!H19+'9'!H19+'10'!H19+'11'!H19+'12'!G19+'13'!H19+'14'!H19+'15'!H19+'16'!H19+'17'!H19+'18'!H19+'19'!G19+'20'!H19+'21'!H19+'22'!G19+'23'!H19+'24'!H19+'25'!H19+'26'!G19+'27'!H19+'28'!H19+'29'!H19</f>
        <v>0</v>
      </c>
      <c r="I19" s="25">
        <f>'1'!I19+'2'!I19+'3'!I19+'4'!I19+'5'!I19+'6'!I19+'7'!I19+'8'!I19+'9'!I19+'10'!I19+'11'!I19+'12'!H19+'13'!I19+'14'!I19+'15'!I19+'16'!I19+'17'!I19+'18'!I19+'19'!H19+'20'!I19+'21'!I19+'22'!H19+'23'!I19+'24'!I19+'25'!I19+'26'!H19+'27'!I19+'28'!I19+'29'!I19</f>
        <v>0</v>
      </c>
      <c r="J19" s="25">
        <f>'1'!J19+'2'!J19+'3'!J19+'4'!J19+'5'!J19+'6'!J19+'7'!J19+'8'!J19+'9'!J19+'10'!J19+'11'!J19+'12'!I19+'13'!J19+'14'!J19+'15'!J19+'16'!J19+'17'!J19+'18'!J19+'19'!I19+'20'!J19+'21'!J19+'22'!I19+'23'!J19+'24'!J19+'25'!J19+'26'!I19+'27'!J19+'28'!J19+'29'!J19</f>
        <v>0</v>
      </c>
      <c r="K19" s="25">
        <f>'1'!K19+'2'!K19+'3'!K19+'4'!K19+'5'!K19+'6'!K19+'7'!K19+'8'!K19+'9'!K19+'10'!K19+'11'!K19+'12'!J19+'13'!K19+'14'!K19+'15'!K19+'16'!K19+'17'!K19+'18'!K19+'19'!J19+'20'!K19+'21'!K19+'22'!J19+'23'!K19+'24'!K19+'25'!K19+'26'!J19+'27'!K19+'28'!K19+'29'!K19</f>
        <v>0</v>
      </c>
      <c r="L19" s="28">
        <f t="shared" si="0"/>
        <v>0</v>
      </c>
      <c r="M19" s="11"/>
      <c r="N19" s="11"/>
      <c r="O19" s="11"/>
      <c r="P19" s="11"/>
      <c r="Q19" s="36">
        <v>0</v>
      </c>
    </row>
    <row r="20" spans="2:17" ht="22.2" hidden="1" x14ac:dyDescent="0.25">
      <c r="B20" s="11">
        <v>1111095</v>
      </c>
      <c r="C20" s="15" t="s">
        <v>31</v>
      </c>
      <c r="D20" s="25">
        <f>'1'!D20+'2'!D20+'3'!D20+'4'!D20+'5'!D20+'6'!D20+'7'!D20+'8'!D20+'9'!D20+'10'!D20+'11'!D20+'12'!C20+'13'!D20+'14'!D20+'15'!D20+'16'!D20+'17'!D20+'18'!D20+'19'!C20+'20'!D20+'21'!D20+'22'!C20+'23'!D20+'24'!D20+'25'!D20+'26'!C20+'27'!D20+'28'!D20+'29'!D20</f>
        <v>0</v>
      </c>
      <c r="E20" s="25">
        <f>'1'!E20+'2'!E20+'3'!E20+'4'!E20+'5'!E20+'6'!E20+'7'!E20+'8'!E20+'9'!E20+'10'!E20+'11'!E20+'12'!D20+'13'!E20+'14'!E20+'15'!E20+'16'!E20+'17'!E20+'18'!E20+'19'!D20+'20'!E20+'21'!E20+'22'!D20+'23'!E20+'24'!E20+'25'!E20+'26'!D20+'27'!E20+'28'!E20+'29'!E20</f>
        <v>0</v>
      </c>
      <c r="F20" s="25">
        <f>'1'!F20+'2'!F20+'3'!F20+'4'!F20+'5'!F20+'6'!F20+'7'!F20+'8'!F20+'9'!F20+'10'!F20+'11'!F20+'12'!E20+'13'!F20+'14'!F20+'15'!F20+'16'!F20+'17'!F20+'18'!F20+'19'!E20+'20'!F20+'21'!F20+'22'!E20+'23'!F20+'24'!F20+'25'!F20+'26'!E20+'27'!F20+'28'!F20+'29'!F20</f>
        <v>0</v>
      </c>
      <c r="G20" s="25">
        <f>'1'!G20+'2'!G20+'3'!G20+'4'!G20+'5'!G20+'6'!G20+'7'!G20+'8'!G20+'9'!G20+'10'!G20+'11'!G20+'12'!F20+'13'!G20+'14'!G20+'15'!G20+'16'!G20+'17'!G20+'18'!G20+'19'!F20+'20'!G20+'21'!G20+'22'!F20+'23'!G20+'24'!G20+'25'!G20+'26'!F20+'27'!G20+'28'!G20+'29'!G20</f>
        <v>0</v>
      </c>
      <c r="H20" s="25">
        <f>'1'!H20+'2'!H20+'3'!H20+'4'!H20+'5'!H20+'6'!H20+'7'!H20+'8'!H20+'9'!H20+'10'!H20+'11'!H20+'12'!G20+'13'!H20+'14'!H20+'15'!H20+'16'!H20+'17'!H20+'18'!H20+'19'!G20+'20'!H20+'21'!H20+'22'!G20+'23'!H20+'24'!H20+'25'!H20+'26'!G20+'27'!H20+'28'!H20+'29'!H20</f>
        <v>0</v>
      </c>
      <c r="I20" s="25">
        <f>'1'!I20+'2'!I20+'3'!I20+'4'!I20+'5'!I20+'6'!I20+'7'!I20+'8'!I20+'9'!I20+'10'!I20+'11'!I20+'12'!H20+'13'!I20+'14'!I20+'15'!I20+'16'!I20+'17'!I20+'18'!I20+'19'!H20+'20'!I20+'21'!I20+'22'!H20+'23'!I20+'24'!I20+'25'!I20+'26'!H20+'27'!I20+'28'!I20+'29'!I20</f>
        <v>0</v>
      </c>
      <c r="J20" s="25">
        <f>'1'!J20+'2'!J20+'3'!J20+'4'!J20+'5'!J20+'6'!J20+'7'!J20+'8'!J20+'9'!J20+'10'!J20+'11'!J20+'12'!I20+'13'!J20+'14'!J20+'15'!J20+'16'!J20+'17'!J20+'18'!J20+'19'!I20+'20'!J20+'21'!J20+'22'!I20+'23'!J20+'24'!J20+'25'!J20+'26'!I20+'27'!J20+'28'!J20+'29'!J20</f>
        <v>0</v>
      </c>
      <c r="K20" s="25">
        <f>'1'!K20+'2'!K20+'3'!K20+'4'!K20+'5'!K20+'6'!K20+'7'!K20+'8'!K20+'9'!K20+'10'!K20+'11'!K20+'12'!J20+'13'!K20+'14'!K20+'15'!K20+'16'!K20+'17'!K20+'18'!K20+'19'!J20+'20'!K20+'21'!K20+'22'!J20+'23'!K20+'24'!K20+'25'!K20+'26'!J20+'27'!K20+'28'!K20+'29'!K20</f>
        <v>0</v>
      </c>
      <c r="L20" s="28">
        <f t="shared" si="0"/>
        <v>0</v>
      </c>
      <c r="M20" s="11"/>
      <c r="N20" s="11"/>
      <c r="O20" s="11"/>
      <c r="P20" s="11"/>
      <c r="Q20" s="36">
        <v>0</v>
      </c>
    </row>
    <row r="21" spans="2:17" ht="22.2" hidden="1" x14ac:dyDescent="0.25">
      <c r="B21" s="11">
        <v>1111096</v>
      </c>
      <c r="C21" s="15" t="s">
        <v>32</v>
      </c>
      <c r="D21" s="25">
        <f>'1'!D21+'2'!D21+'3'!D21+'4'!D21+'5'!D21+'6'!D21+'7'!D21+'8'!D21+'9'!D21+'10'!D21+'11'!D21+'12'!C21+'13'!D21+'14'!D21+'15'!D21+'16'!D21+'17'!D21+'18'!D21+'19'!C21+'20'!D21+'21'!D21+'22'!C21+'23'!D21+'24'!D21+'25'!D21+'26'!C21+'27'!D21+'28'!D21+'29'!D21</f>
        <v>0</v>
      </c>
      <c r="E21" s="25">
        <f>'1'!E21+'2'!E21+'3'!E21+'4'!E21+'5'!E21+'6'!E21+'7'!E21+'8'!E21+'9'!E21+'10'!E21+'11'!E21+'12'!D21+'13'!E21+'14'!E21+'15'!E21+'16'!E21+'17'!E21+'18'!E21+'19'!D21+'20'!E21+'21'!E21+'22'!D21+'23'!E21+'24'!E21+'25'!E21+'26'!D21+'27'!E21+'28'!E21+'29'!E21</f>
        <v>0</v>
      </c>
      <c r="F21" s="25">
        <f>'1'!F21+'2'!F21+'3'!F21+'4'!F21+'5'!F21+'6'!F21+'7'!F21+'8'!F21+'9'!F21+'10'!F21+'11'!F21+'12'!E21+'13'!F21+'14'!F21+'15'!F21+'16'!F21+'17'!F21+'18'!F21+'19'!E21+'20'!F21+'21'!F21+'22'!E21+'23'!F21+'24'!F21+'25'!F21+'26'!E21+'27'!F21+'28'!F21+'29'!F21</f>
        <v>0</v>
      </c>
      <c r="G21" s="25">
        <f>'1'!G21+'2'!G21+'3'!G21+'4'!G21+'5'!G21+'6'!G21+'7'!G21+'8'!G21+'9'!G21+'10'!G21+'11'!G21+'12'!F21+'13'!G21+'14'!G21+'15'!G21+'16'!G21+'17'!G21+'18'!G21+'19'!F21+'20'!G21+'21'!G21+'22'!F21+'23'!G21+'24'!G21+'25'!G21+'26'!F21+'27'!G21+'28'!G21+'29'!G21</f>
        <v>0</v>
      </c>
      <c r="H21" s="25">
        <f>'1'!H21+'2'!H21+'3'!H21+'4'!H21+'5'!H21+'6'!H21+'7'!H21+'8'!H21+'9'!H21+'10'!H21+'11'!H21+'12'!G21+'13'!H21+'14'!H21+'15'!H21+'16'!H21+'17'!H21+'18'!H21+'19'!G21+'20'!H21+'21'!H21+'22'!G21+'23'!H21+'24'!H21+'25'!H21+'26'!G21+'27'!H21+'28'!H21+'29'!H21</f>
        <v>0</v>
      </c>
      <c r="I21" s="25">
        <f>'1'!I21+'2'!I21+'3'!I21+'4'!I21+'5'!I21+'6'!I21+'7'!I21+'8'!I21+'9'!I21+'10'!I21+'11'!I21+'12'!H21+'13'!I21+'14'!I21+'15'!I21+'16'!I21+'17'!I21+'18'!I21+'19'!H21+'20'!I21+'21'!I21+'22'!H21+'23'!I21+'24'!I21+'25'!I21+'26'!H21+'27'!I21+'28'!I21+'29'!I21</f>
        <v>0</v>
      </c>
      <c r="J21" s="25">
        <f>'1'!J21+'2'!J21+'3'!J21+'4'!J21+'5'!J21+'6'!J21+'7'!J21+'8'!J21+'9'!J21+'10'!J21+'11'!J21+'12'!I21+'13'!J21+'14'!J21+'15'!J21+'16'!J21+'17'!J21+'18'!J21+'19'!I21+'20'!J21+'21'!J21+'22'!I21+'23'!J21+'24'!J21+'25'!J21+'26'!I21+'27'!J21+'28'!J21+'29'!J21</f>
        <v>0</v>
      </c>
      <c r="K21" s="25">
        <f>'1'!K21+'2'!K21+'3'!K21+'4'!K21+'5'!K21+'6'!K21+'7'!K21+'8'!K21+'9'!K21+'10'!K21+'11'!K21+'12'!J21+'13'!K21+'14'!K21+'15'!K21+'16'!K21+'17'!K21+'18'!K21+'19'!J21+'20'!K21+'21'!K21+'22'!J21+'23'!K21+'24'!K21+'25'!K21+'26'!J21+'27'!K21+'28'!K21+'29'!K21</f>
        <v>0</v>
      </c>
      <c r="L21" s="28">
        <f t="shared" si="0"/>
        <v>0</v>
      </c>
      <c r="M21" s="11"/>
      <c r="N21" s="11"/>
      <c r="O21" s="11"/>
      <c r="P21" s="11"/>
      <c r="Q21" s="36">
        <v>0</v>
      </c>
    </row>
    <row r="22" spans="2:17" ht="22.2" hidden="1" x14ac:dyDescent="0.25">
      <c r="B22" s="11">
        <v>1111097</v>
      </c>
      <c r="C22" s="15" t="s">
        <v>33</v>
      </c>
      <c r="D22" s="25">
        <f>'1'!D22+'2'!D22+'3'!D22+'4'!D22+'5'!D22+'6'!D22+'7'!D22+'8'!D22+'9'!D22+'10'!D22+'11'!D22+'12'!C22+'13'!D22+'14'!D22+'15'!D22+'16'!D22+'17'!D22+'18'!D22+'19'!C22+'20'!D22+'21'!D22+'22'!C22+'23'!D22+'24'!D22+'25'!D22+'26'!C22+'27'!D22+'28'!D22+'29'!D22</f>
        <v>0</v>
      </c>
      <c r="E22" s="25">
        <f>'1'!E22+'2'!E22+'3'!E22+'4'!E22+'5'!E22+'6'!E22+'7'!E22+'8'!E22+'9'!E22+'10'!E22+'11'!E22+'12'!D22+'13'!E22+'14'!E22+'15'!E22+'16'!E22+'17'!E22+'18'!E22+'19'!D22+'20'!E22+'21'!E22+'22'!D22+'23'!E22+'24'!E22+'25'!E22+'26'!D22+'27'!E22+'28'!E22+'29'!E22</f>
        <v>0</v>
      </c>
      <c r="F22" s="25">
        <f>'1'!F22+'2'!F22+'3'!F22+'4'!F22+'5'!F22+'6'!F22+'7'!F22+'8'!F22+'9'!F22+'10'!F22+'11'!F22+'12'!E22+'13'!F22+'14'!F22+'15'!F22+'16'!F22+'17'!F22+'18'!F22+'19'!E22+'20'!F22+'21'!F22+'22'!E22+'23'!F22+'24'!F22+'25'!F22+'26'!E22+'27'!F22+'28'!F22+'29'!F22</f>
        <v>0</v>
      </c>
      <c r="G22" s="25">
        <f>'1'!G22+'2'!G22+'3'!G22+'4'!G22+'5'!G22+'6'!G22+'7'!G22+'8'!G22+'9'!G22+'10'!G22+'11'!G22+'12'!F22+'13'!G22+'14'!G22+'15'!G22+'16'!G22+'17'!G22+'18'!G22+'19'!F22+'20'!G22+'21'!G22+'22'!F22+'23'!G22+'24'!G22+'25'!G22+'26'!F22+'27'!G22+'28'!G22+'29'!G22</f>
        <v>0</v>
      </c>
      <c r="H22" s="25">
        <f>'1'!H22+'2'!H22+'3'!H22+'4'!H22+'5'!H22+'6'!H22+'7'!H22+'8'!H22+'9'!H22+'10'!H22+'11'!H22+'12'!G22+'13'!H22+'14'!H22+'15'!H22+'16'!H22+'17'!H22+'18'!H22+'19'!G22+'20'!H22+'21'!H22+'22'!G22+'23'!H22+'24'!H22+'25'!H22+'26'!G22+'27'!H22+'28'!H22+'29'!H22</f>
        <v>0</v>
      </c>
      <c r="I22" s="25">
        <f>'1'!I22+'2'!I22+'3'!I22+'4'!I22+'5'!I22+'6'!I22+'7'!I22+'8'!I22+'9'!I22+'10'!I22+'11'!I22+'12'!H22+'13'!I22+'14'!I22+'15'!I22+'16'!I22+'17'!I22+'18'!I22+'19'!H22+'20'!I22+'21'!I22+'22'!H22+'23'!I22+'24'!I22+'25'!I22+'26'!H22+'27'!I22+'28'!I22+'29'!I22</f>
        <v>0</v>
      </c>
      <c r="J22" s="25">
        <f>'1'!J22+'2'!J22+'3'!J22+'4'!J22+'5'!J22+'6'!J22+'7'!J22+'8'!J22+'9'!J22+'10'!J22+'11'!J22+'12'!I22+'13'!J22+'14'!J22+'15'!J22+'16'!J22+'17'!J22+'18'!J22+'19'!I22+'20'!J22+'21'!J22+'22'!I22+'23'!J22+'24'!J22+'25'!J22+'26'!I22+'27'!J22+'28'!J22+'29'!J22</f>
        <v>0</v>
      </c>
      <c r="K22" s="25">
        <f>'1'!K22+'2'!K22+'3'!K22+'4'!K22+'5'!K22+'6'!K22+'7'!K22+'8'!K22+'9'!K22+'10'!K22+'11'!K22+'12'!J22+'13'!K22+'14'!K22+'15'!K22+'16'!K22+'17'!K22+'18'!K22+'19'!J22+'20'!K22+'21'!K22+'22'!J22+'23'!K22+'24'!K22+'25'!K22+'26'!J22+'27'!K22+'28'!K22+'29'!K22</f>
        <v>0</v>
      </c>
      <c r="L22" s="28">
        <f t="shared" si="0"/>
        <v>0</v>
      </c>
      <c r="M22" s="11"/>
      <c r="N22" s="11"/>
      <c r="O22" s="11"/>
      <c r="P22" s="11"/>
      <c r="Q22" s="36">
        <v>0</v>
      </c>
    </row>
    <row r="23" spans="2:17" ht="22.2" hidden="1" x14ac:dyDescent="0.25">
      <c r="B23" s="11">
        <v>1111098</v>
      </c>
      <c r="C23" s="15" t="s">
        <v>34</v>
      </c>
      <c r="D23" s="25">
        <f>'1'!D23+'2'!D23+'3'!D23+'4'!D23+'5'!D23+'6'!D23+'7'!D23+'8'!D23+'9'!D23+'10'!D23+'11'!D23+'12'!C23+'13'!D23+'14'!D23+'15'!D23+'16'!D23+'17'!D23+'18'!D23+'19'!C23+'20'!D23+'21'!D23+'22'!C23+'23'!D23+'24'!D23+'25'!D23+'26'!C23+'27'!D23+'28'!D23+'29'!D23</f>
        <v>0</v>
      </c>
      <c r="E23" s="25">
        <f>'1'!E23+'2'!E23+'3'!E23+'4'!E23+'5'!E23+'6'!E23+'7'!E23+'8'!E23+'9'!E23+'10'!E23+'11'!E23+'12'!D23+'13'!E23+'14'!E23+'15'!E23+'16'!E23+'17'!E23+'18'!E23+'19'!D23+'20'!E23+'21'!E23+'22'!D23+'23'!E23+'24'!E23+'25'!E23+'26'!D23+'27'!E23+'28'!E23+'29'!E23</f>
        <v>0</v>
      </c>
      <c r="F23" s="25">
        <f>'1'!F23+'2'!F23+'3'!F23+'4'!F23+'5'!F23+'6'!F23+'7'!F23+'8'!F23+'9'!F23+'10'!F23+'11'!F23+'12'!E23+'13'!F23+'14'!F23+'15'!F23+'16'!F23+'17'!F23+'18'!F23+'19'!E23+'20'!F23+'21'!F23+'22'!E23+'23'!F23+'24'!F23+'25'!F23+'26'!E23+'27'!F23+'28'!F23+'29'!F23</f>
        <v>0</v>
      </c>
      <c r="G23" s="25">
        <f>'1'!G23+'2'!G23+'3'!G23+'4'!G23+'5'!G23+'6'!G23+'7'!G23+'8'!G23+'9'!G23+'10'!G23+'11'!G23+'12'!F23+'13'!G23+'14'!G23+'15'!G23+'16'!G23+'17'!G23+'18'!G23+'19'!F23+'20'!G23+'21'!G23+'22'!F23+'23'!G23+'24'!G23+'25'!G23+'26'!F23+'27'!G23+'28'!G23+'29'!G23</f>
        <v>0</v>
      </c>
      <c r="H23" s="25">
        <f>'1'!H23+'2'!H23+'3'!H23+'4'!H23+'5'!H23+'6'!H23+'7'!H23+'8'!H23+'9'!H23+'10'!H23+'11'!H23+'12'!G23+'13'!H23+'14'!H23+'15'!H23+'16'!H23+'17'!H23+'18'!H23+'19'!G23+'20'!H23+'21'!H23+'22'!G23+'23'!H23+'24'!H23+'25'!H23+'26'!G23+'27'!H23+'28'!H23+'29'!H23</f>
        <v>0</v>
      </c>
      <c r="I23" s="25">
        <f>'1'!I23+'2'!I23+'3'!I23+'4'!I23+'5'!I23+'6'!I23+'7'!I23+'8'!I23+'9'!I23+'10'!I23+'11'!I23+'12'!H23+'13'!I23+'14'!I23+'15'!I23+'16'!I23+'17'!I23+'18'!I23+'19'!H23+'20'!I23+'21'!I23+'22'!H23+'23'!I23+'24'!I23+'25'!I23+'26'!H23+'27'!I23+'28'!I23+'29'!I23</f>
        <v>0</v>
      </c>
      <c r="J23" s="25">
        <f>'1'!J23+'2'!J23+'3'!J23+'4'!J23+'5'!J23+'6'!J23+'7'!J23+'8'!J23+'9'!J23+'10'!J23+'11'!J23+'12'!I23+'13'!J23+'14'!J23+'15'!J23+'16'!J23+'17'!J23+'18'!J23+'19'!I23+'20'!J23+'21'!J23+'22'!I23+'23'!J23+'24'!J23+'25'!J23+'26'!I23+'27'!J23+'28'!J23+'29'!J23</f>
        <v>0</v>
      </c>
      <c r="K23" s="25">
        <f>'1'!K23+'2'!K23+'3'!K23+'4'!K23+'5'!K23+'6'!K23+'7'!K23+'8'!K23+'9'!K23+'10'!K23+'11'!K23+'12'!J23+'13'!K23+'14'!K23+'15'!K23+'16'!K23+'17'!K23+'18'!K23+'19'!J23+'20'!K23+'21'!K23+'22'!J23+'23'!K23+'24'!K23+'25'!K23+'26'!J23+'27'!K23+'28'!K23+'29'!K23</f>
        <v>0</v>
      </c>
      <c r="L23" s="28">
        <f t="shared" si="0"/>
        <v>0</v>
      </c>
      <c r="M23" s="11"/>
      <c r="N23" s="11"/>
      <c r="O23" s="11"/>
      <c r="P23" s="11"/>
      <c r="Q23" s="36">
        <v>0</v>
      </c>
    </row>
    <row r="24" spans="2:17" ht="22.2" hidden="1" x14ac:dyDescent="0.25">
      <c r="B24" s="11">
        <v>1111043</v>
      </c>
      <c r="C24" s="15" t="s">
        <v>35</v>
      </c>
      <c r="D24" s="25">
        <f>'1'!D24+'2'!D24+'3'!D24+'4'!D24+'5'!D24+'6'!D24+'7'!D24+'8'!D24+'9'!D24+'10'!D24+'11'!D24+'12'!C24+'13'!D24+'14'!D24+'15'!D24+'16'!D24+'17'!D24+'18'!D24+'19'!C24+'20'!D24+'21'!D24+'22'!C24+'23'!D24+'24'!D24+'25'!D24+'26'!C24+'27'!D24+'28'!D24+'29'!D24</f>
        <v>0</v>
      </c>
      <c r="E24" s="25">
        <f>'1'!E24+'2'!E24+'3'!E24+'4'!E24+'5'!E24+'6'!E24+'7'!E24+'8'!E24+'9'!E24+'10'!E24+'11'!E24+'12'!D24+'13'!E24+'14'!E24+'15'!E24+'16'!E24+'17'!E24+'18'!E24+'19'!D24+'20'!E24+'21'!E24+'22'!D24+'23'!E24+'24'!E24+'25'!E24+'26'!D24+'27'!E24+'28'!E24+'29'!E24</f>
        <v>0</v>
      </c>
      <c r="F24" s="25">
        <f>'1'!F24+'2'!F24+'3'!F24+'4'!F24+'5'!F24+'6'!F24+'7'!F24+'8'!F24+'9'!F24+'10'!F24+'11'!F24+'12'!E24+'13'!F24+'14'!F24+'15'!F24+'16'!F24+'17'!F24+'18'!F24+'19'!E24+'20'!F24+'21'!F24+'22'!E24+'23'!F24+'24'!F24+'25'!F24+'26'!E24+'27'!F24+'28'!F24+'29'!F24</f>
        <v>0</v>
      </c>
      <c r="G24" s="25">
        <f>'1'!G24+'2'!G24+'3'!G24+'4'!G24+'5'!G24+'6'!G24+'7'!G24+'8'!G24+'9'!G24+'10'!G24+'11'!G24+'12'!F24+'13'!G24+'14'!G24+'15'!G24+'16'!G24+'17'!G24+'18'!G24+'19'!F24+'20'!G24+'21'!G24+'22'!F24+'23'!G24+'24'!G24+'25'!G24+'26'!F24+'27'!G24+'28'!G24+'29'!G24</f>
        <v>0</v>
      </c>
      <c r="H24" s="25">
        <f>'1'!H24+'2'!H24+'3'!H24+'4'!H24+'5'!H24+'6'!H24+'7'!H24+'8'!H24+'9'!H24+'10'!H24+'11'!H24+'12'!G24+'13'!H24+'14'!H24+'15'!H24+'16'!H24+'17'!H24+'18'!H24+'19'!G24+'20'!H24+'21'!H24+'22'!G24+'23'!H24+'24'!H24+'25'!H24+'26'!G24+'27'!H24+'28'!H24+'29'!H24</f>
        <v>0</v>
      </c>
      <c r="I24" s="25">
        <f>'1'!I24+'2'!I24+'3'!I24+'4'!I24+'5'!I24+'6'!I24+'7'!I24+'8'!I24+'9'!I24+'10'!I24+'11'!I24+'12'!H24+'13'!I24+'14'!I24+'15'!I24+'16'!I24+'17'!I24+'18'!I24+'19'!H24+'20'!I24+'21'!I24+'22'!H24+'23'!I24+'24'!I24+'25'!I24+'26'!H24+'27'!I24+'28'!I24+'29'!I24</f>
        <v>0</v>
      </c>
      <c r="J24" s="25">
        <f>'1'!J24+'2'!J24+'3'!J24+'4'!J24+'5'!J24+'6'!J24+'7'!J24+'8'!J24+'9'!J24+'10'!J24+'11'!J24+'12'!I24+'13'!J24+'14'!J24+'15'!J24+'16'!J24+'17'!J24+'18'!J24+'19'!I24+'20'!J24+'21'!J24+'22'!I24+'23'!J24+'24'!J24+'25'!J24+'26'!I24+'27'!J24+'28'!J24+'29'!J24</f>
        <v>0</v>
      </c>
      <c r="K24" s="25">
        <f>'1'!K24+'2'!K24+'3'!K24+'4'!K24+'5'!K24+'6'!K24+'7'!K24+'8'!K24+'9'!K24+'10'!K24+'11'!K24+'12'!J24+'13'!K24+'14'!K24+'15'!K24+'16'!K24+'17'!K24+'18'!K24+'19'!J24+'20'!K24+'21'!K24+'22'!J24+'23'!K24+'24'!K24+'25'!K24+'26'!J24+'27'!K24+'28'!K24+'29'!K24</f>
        <v>0</v>
      </c>
      <c r="L24" s="28">
        <f t="shared" si="0"/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f>'1'!D25+'2'!D25+'3'!D25+'4'!D25+'5'!D25+'6'!D25+'7'!D25+'8'!D25+'9'!D25+'10'!D25+'11'!D25+'12'!C25+'13'!D25+'14'!D25+'15'!D25+'16'!D25+'17'!D25+'18'!D25+'19'!C25+'20'!D25+'21'!D25+'22'!C25+'23'!D25+'24'!D25+'25'!D25+'26'!C25+'27'!D25+'28'!D25+'29'!D25</f>
        <v>168</v>
      </c>
      <c r="E25" s="25">
        <f>'1'!E25+'2'!E25+'3'!E25+'4'!E25+'5'!E25+'6'!E25+'7'!E25+'8'!E25+'9'!E25+'10'!E25+'11'!E25+'12'!D25+'13'!E25+'14'!E25+'15'!E25+'16'!E25+'17'!E25+'18'!E25+'19'!D25+'20'!E25+'21'!E25+'22'!D25+'23'!E25+'24'!E25+'25'!E25+'26'!D25+'27'!E25+'28'!E25+'29'!E25</f>
        <v>238</v>
      </c>
      <c r="F25" s="25">
        <f>'1'!F25+'2'!F25+'3'!F25+'4'!F25+'5'!F25+'6'!F25+'7'!F25+'8'!F25+'9'!F25+'10'!F25+'11'!F25+'12'!E25+'13'!F25+'14'!F25+'15'!F25+'16'!F25+'17'!F25+'18'!F25+'19'!E25+'20'!F25+'21'!F25+'22'!E25+'23'!F25+'24'!F25+'25'!F25+'26'!E25+'27'!F25+'28'!F25+'29'!F25</f>
        <v>361</v>
      </c>
      <c r="G25" s="25">
        <f>'1'!G25+'2'!G25+'3'!G25+'4'!G25+'5'!G25+'6'!G25+'7'!G25+'8'!G25+'9'!G25+'10'!G25+'11'!G25+'12'!F25+'13'!G25+'14'!G25+'15'!G25+'16'!G25+'17'!G25+'18'!G25+'19'!F25+'20'!G25+'21'!G25+'22'!F25+'23'!G25+'24'!G25+'25'!G25+'26'!F25+'27'!G25+'28'!G25+'29'!G25</f>
        <v>58</v>
      </c>
      <c r="H25" s="25">
        <f>'1'!H25+'2'!H25+'3'!H25+'4'!H25+'5'!H25+'6'!H25+'7'!H25+'8'!H25+'9'!H25+'10'!H25+'11'!H25+'12'!G25+'13'!H25+'14'!H25+'15'!H25+'16'!H25+'17'!H25+'18'!H25+'19'!G25+'20'!H25+'21'!H25+'22'!G25+'23'!H25+'24'!H25+'25'!H25+'26'!G25+'27'!H25+'28'!H25+'29'!H25</f>
        <v>11</v>
      </c>
      <c r="I25" s="25">
        <f>'1'!I25+'2'!I25+'3'!I25+'4'!I25+'5'!I25+'6'!I25+'7'!I25+'8'!I25+'9'!I25+'10'!I25+'11'!I25+'12'!H25+'13'!I25+'14'!I25+'15'!I25+'16'!I25+'17'!I25+'18'!I25+'19'!H25+'20'!I25+'21'!I25+'22'!H25+'23'!I25+'24'!I25+'25'!I25+'26'!H25+'27'!I25+'28'!I25+'29'!I25</f>
        <v>0</v>
      </c>
      <c r="J25" s="25">
        <f>'1'!J25+'2'!J25+'3'!J25+'4'!J25+'5'!J25+'6'!J25+'7'!J25+'8'!J25+'9'!J25+'10'!J25+'11'!J25+'12'!I25+'13'!J25+'14'!J25+'15'!J25+'16'!J25+'17'!J25+'18'!J25+'19'!I25+'20'!J25+'21'!J25+'22'!I25+'23'!J25+'24'!J25+'25'!J25+'26'!I25+'27'!J25+'28'!J25+'29'!J25</f>
        <v>0</v>
      </c>
      <c r="K25" s="25">
        <f>'1'!K25+'2'!K25+'3'!K25+'4'!K25+'5'!K25+'6'!K25+'7'!K25+'8'!K25+'9'!K25+'10'!K25+'11'!K25+'12'!J25+'13'!K25+'14'!K25+'15'!K25+'16'!K25+'17'!K25+'18'!K25+'19'!J25+'20'!K25+'21'!K25+'22'!J25+'23'!K25+'24'!K25+'25'!K25+'26'!J25+'27'!K25+'28'!K25+'29'!K25</f>
        <v>20</v>
      </c>
      <c r="L25" s="28">
        <f t="shared" si="0"/>
        <v>856</v>
      </c>
      <c r="M25" s="11"/>
      <c r="N25" s="11"/>
      <c r="O25" s="11"/>
      <c r="P25" s="11"/>
      <c r="Q25" s="36">
        <v>0</v>
      </c>
    </row>
    <row r="26" spans="2:17" ht="22.2" x14ac:dyDescent="0.25">
      <c r="B26" s="11">
        <v>1004055</v>
      </c>
      <c r="C26" s="15" t="s">
        <v>37</v>
      </c>
      <c r="D26" s="25">
        <f>'1'!D26+'2'!D26+'3'!D26+'4'!D26+'5'!D26+'6'!D26+'7'!D26+'8'!D26+'9'!D26+'10'!D26+'11'!D26+'12'!C26+'13'!D26+'14'!D26+'15'!D26+'16'!D26+'17'!D26+'18'!D26+'19'!C26+'20'!D26+'21'!D26+'22'!C26+'23'!D26+'24'!D26+'25'!D26+'26'!C26+'27'!D26+'28'!D26+'29'!D26</f>
        <v>348</v>
      </c>
      <c r="E26" s="25">
        <f>'1'!E26+'2'!E26+'3'!E26+'4'!E26+'5'!E26+'6'!E26+'7'!E26+'8'!E26+'9'!E26+'10'!E26+'11'!E26+'12'!D26+'13'!E26+'14'!E26+'15'!E26+'16'!E26+'17'!E26+'18'!E26+'19'!D26+'20'!E26+'21'!E26+'22'!D26+'23'!E26+'24'!E26+'25'!E26+'26'!D26+'27'!E26+'28'!E26+'29'!E26</f>
        <v>484</v>
      </c>
      <c r="F26" s="25">
        <f>'1'!F26+'2'!F26+'3'!F26+'4'!F26+'5'!F26+'6'!F26+'7'!F26+'8'!F26+'9'!F26+'10'!F26+'11'!F26+'12'!E26+'13'!F26+'14'!F26+'15'!F26+'16'!F26+'17'!F26+'18'!F26+'19'!E26+'20'!F26+'21'!F26+'22'!E26+'23'!F26+'24'!F26+'25'!F26+'26'!E26+'27'!F26+'28'!F26+'29'!F26</f>
        <v>269</v>
      </c>
      <c r="G26" s="25">
        <f>'1'!G26+'2'!G26+'3'!G26+'4'!G26+'5'!G26+'6'!G26+'7'!G26+'8'!G26+'9'!G26+'10'!G26+'11'!G26+'12'!F26+'13'!G26+'14'!G26+'15'!G26+'16'!G26+'17'!G26+'18'!G26+'19'!F26+'20'!G26+'21'!G26+'22'!F26+'23'!G26+'24'!G26+'25'!G26+'26'!F26+'27'!G26+'28'!G26+'29'!G26</f>
        <v>5136</v>
      </c>
      <c r="H26" s="25">
        <f>'1'!H26+'2'!H26+'3'!H26+'4'!H26+'5'!H26+'6'!H26+'7'!H26+'8'!H26+'9'!H26+'10'!H26+'11'!H26+'12'!G26+'13'!H26+'14'!H26+'15'!H26+'16'!H26+'17'!H26+'18'!H26+'19'!G26+'20'!H26+'21'!H26+'22'!G26+'23'!H26+'24'!H26+'25'!H26+'26'!G26+'27'!H26+'28'!H26+'29'!H26</f>
        <v>1020</v>
      </c>
      <c r="I26" s="25">
        <f>'1'!I26+'2'!I26+'3'!I26+'4'!I26+'5'!I26+'6'!I26+'7'!I26+'8'!I26+'9'!I26+'10'!I26+'11'!I26+'12'!H26+'13'!I26+'14'!I26+'15'!I26+'16'!I26+'17'!I26+'18'!I26+'19'!H26+'20'!I26+'21'!I26+'22'!H26+'23'!I26+'24'!I26+'25'!I26+'26'!H26+'27'!I26+'28'!I26+'29'!I26</f>
        <v>0</v>
      </c>
      <c r="J26" s="25">
        <f>'1'!J26+'2'!J26+'3'!J26+'4'!J26+'5'!J26+'6'!J26+'7'!J26+'8'!J26+'9'!J26+'10'!J26+'11'!J26+'12'!I26+'13'!J26+'14'!J26+'15'!J26+'16'!J26+'17'!J26+'18'!J26+'19'!I26+'20'!J26+'21'!J26+'22'!I26+'23'!J26+'24'!J26+'25'!J26+'26'!I26+'27'!J26+'28'!J26+'29'!J26</f>
        <v>0</v>
      </c>
      <c r="K26" s="25">
        <f>'1'!K26+'2'!K26+'3'!K26+'4'!K26+'5'!K26+'6'!K26+'7'!K26+'8'!K26+'9'!K26+'10'!K26+'11'!K26+'12'!J26+'13'!K26+'14'!K26+'15'!K26+'16'!K26+'17'!K26+'18'!K26+'19'!J26+'20'!K26+'21'!K26+'22'!J26+'23'!K26+'24'!K26+'25'!K26+'26'!J26+'27'!K26+'28'!K26+'29'!K26</f>
        <v>195</v>
      </c>
      <c r="L26" s="28">
        <f t="shared" si="0"/>
        <v>7452</v>
      </c>
      <c r="M26" s="11"/>
      <c r="N26" s="11"/>
      <c r="O26" s="11"/>
      <c r="P26" s="11"/>
      <c r="Q26" s="36">
        <v>0</v>
      </c>
    </row>
    <row r="27" spans="2:17" ht="22.2" hidden="1" x14ac:dyDescent="0.25">
      <c r="B27" s="11">
        <v>1004055</v>
      </c>
      <c r="C27" s="15" t="s">
        <v>38</v>
      </c>
      <c r="D27" s="25">
        <f>'1'!D27+'2'!D27+'3'!D27+'4'!D27+'5'!D27+'6'!D27+'7'!D27+'8'!D27+'9'!D27+'10'!D27+'11'!D27+'12'!C27+'13'!D27+'14'!D27+'15'!D27+'16'!D27+'17'!D27+'18'!D27+'19'!C27+'20'!D27+'21'!D27+'22'!C27+'23'!D27+'24'!D27+'25'!D27+'26'!C27+'27'!D27+'28'!D27+'29'!D27</f>
        <v>0</v>
      </c>
      <c r="E27" s="25">
        <f>'1'!E27+'2'!E27+'3'!E27+'4'!E27+'5'!E27+'6'!E27+'7'!E27+'8'!E27+'9'!E27+'10'!E27+'11'!E27+'12'!D27+'13'!E27+'14'!E27+'15'!E27+'16'!E27+'17'!E27+'18'!E27+'19'!D27+'20'!E27+'21'!E27+'22'!D27+'23'!E27+'24'!E27+'25'!E27+'26'!D27+'27'!E27+'28'!E27+'29'!E27</f>
        <v>0</v>
      </c>
      <c r="F27" s="25">
        <f>'1'!F27+'2'!F27+'3'!F27+'4'!F27+'5'!F27+'6'!F27+'7'!F27+'8'!F27+'9'!F27+'10'!F27+'11'!F27+'12'!E27+'13'!F27+'14'!F27+'15'!F27+'16'!F27+'17'!F27+'18'!F27+'19'!E27+'20'!F27+'21'!F27+'22'!E27+'23'!F27+'24'!F27+'25'!F27+'26'!E27+'27'!F27+'28'!F27+'29'!F27</f>
        <v>0</v>
      </c>
      <c r="G27" s="25">
        <f>'1'!G27+'2'!G27+'3'!G27+'4'!G27+'5'!G27+'6'!G27+'7'!G27+'8'!G27+'9'!G27+'10'!G27+'11'!G27+'12'!F27+'13'!G27+'14'!G27+'15'!G27+'16'!G27+'17'!G27+'18'!G27+'19'!F27+'20'!G27+'21'!G27+'22'!F27+'23'!G27+'24'!G27+'25'!G27+'26'!F27+'27'!G27+'28'!G27+'29'!G27</f>
        <v>0</v>
      </c>
      <c r="H27" s="25">
        <f>'1'!H27+'2'!H27+'3'!H27+'4'!H27+'5'!H27+'6'!H27+'7'!H27+'8'!H27+'9'!H27+'10'!H27+'11'!H27+'12'!G27+'13'!H27+'14'!H27+'15'!H27+'16'!H27+'17'!H27+'18'!H27+'19'!G27+'20'!H27+'21'!H27+'22'!G27+'23'!H27+'24'!H27+'25'!H27+'26'!G27+'27'!H27+'28'!H27+'29'!H27</f>
        <v>0</v>
      </c>
      <c r="I27" s="25">
        <f>'1'!I27+'2'!I27+'3'!I27+'4'!I27+'5'!I27+'6'!I27+'7'!I27+'8'!I27+'9'!I27+'10'!I27+'11'!I27+'12'!H27+'13'!I27+'14'!I27+'15'!I27+'16'!I27+'17'!I27+'18'!I27+'19'!H27+'20'!I27+'21'!I27+'22'!H27+'23'!I27+'24'!I27+'25'!I27+'26'!H27+'27'!I27+'28'!I27+'29'!I27</f>
        <v>0</v>
      </c>
      <c r="J27" s="25">
        <f>'1'!J27+'2'!J27+'3'!J27+'4'!J27+'5'!J27+'6'!J27+'7'!J27+'8'!J27+'9'!J27+'10'!J27+'11'!J27+'12'!I27+'13'!J27+'14'!J27+'15'!J27+'16'!J27+'17'!J27+'18'!J27+'19'!I27+'20'!J27+'21'!J27+'22'!I27+'23'!J27+'24'!J27+'25'!J27+'26'!I27+'27'!J27+'28'!J27+'29'!J27</f>
        <v>0</v>
      </c>
      <c r="K27" s="25">
        <f>'1'!K27+'2'!K27+'3'!K27+'4'!K27+'5'!K27+'6'!K27+'7'!K27+'8'!K27+'9'!K27+'10'!K27+'11'!K27+'12'!J27+'13'!K27+'14'!K27+'15'!K27+'16'!K27+'17'!K27+'18'!K27+'19'!J27+'20'!K27+'21'!K27+'22'!J27+'23'!K27+'24'!K27+'25'!K27+'26'!J27+'27'!K27+'28'!K27+'29'!K27</f>
        <v>0</v>
      </c>
      <c r="L27" s="28">
        <f t="shared" si="0"/>
        <v>0</v>
      </c>
      <c r="M27" s="11"/>
      <c r="N27" s="11"/>
      <c r="O27" s="11"/>
      <c r="P27" s="11"/>
      <c r="Q27" s="36">
        <v>0</v>
      </c>
    </row>
    <row r="28" spans="2:17" ht="22.2" hidden="1" x14ac:dyDescent="0.25">
      <c r="B28" s="11">
        <v>1004055</v>
      </c>
      <c r="C28" s="15" t="s">
        <v>39</v>
      </c>
      <c r="D28" s="25">
        <f>'1'!D28+'2'!D28+'3'!D28+'4'!D28+'5'!D28+'6'!D28+'7'!D28+'8'!D28+'9'!D28+'10'!D28+'11'!D28+'12'!C28+'13'!D28+'14'!D28+'15'!D28+'16'!D28+'17'!D28+'18'!D28+'19'!C28+'20'!D28+'21'!D28+'22'!C28+'23'!D28+'24'!D28+'25'!D28+'26'!C28+'27'!D28+'28'!D28+'29'!D28</f>
        <v>0</v>
      </c>
      <c r="E28" s="25">
        <f>'1'!E28+'2'!E28+'3'!E28+'4'!E28+'5'!E28+'6'!E28+'7'!E28+'8'!E28+'9'!E28+'10'!E28+'11'!E28+'12'!D28+'13'!E28+'14'!E28+'15'!E28+'16'!E28+'17'!E28+'18'!E28+'19'!D28+'20'!E28+'21'!E28+'22'!D28+'23'!E28+'24'!E28+'25'!E28+'26'!D28+'27'!E28+'28'!E28+'29'!E28</f>
        <v>0</v>
      </c>
      <c r="F28" s="25">
        <f>'1'!F28+'2'!F28+'3'!F28+'4'!F28+'5'!F28+'6'!F28+'7'!F28+'8'!F28+'9'!F28+'10'!F28+'11'!F28+'12'!E28+'13'!F28+'14'!F28+'15'!F28+'16'!F28+'17'!F28+'18'!F28+'19'!E28+'20'!F28+'21'!F28+'22'!E28+'23'!F28+'24'!F28+'25'!F28+'26'!E28+'27'!F28+'28'!F28+'29'!F28</f>
        <v>0</v>
      </c>
      <c r="G28" s="25">
        <f>'1'!G28+'2'!G28+'3'!G28+'4'!G28+'5'!G28+'6'!G28+'7'!G28+'8'!G28+'9'!G28+'10'!G28+'11'!G28+'12'!F28+'13'!G28+'14'!G28+'15'!G28+'16'!G28+'17'!G28+'18'!G28+'19'!F28+'20'!G28+'21'!G28+'22'!F28+'23'!G28+'24'!G28+'25'!G28+'26'!F28+'27'!G28+'28'!G28+'29'!G28</f>
        <v>0</v>
      </c>
      <c r="H28" s="25">
        <f>'1'!H28+'2'!H28+'3'!H28+'4'!H28+'5'!H28+'6'!H28+'7'!H28+'8'!H28+'9'!H28+'10'!H28+'11'!H28+'12'!G28+'13'!H28+'14'!H28+'15'!H28+'16'!H28+'17'!H28+'18'!H28+'19'!G28+'20'!H28+'21'!H28+'22'!G28+'23'!H28+'24'!H28+'25'!H28+'26'!G28+'27'!H28+'28'!H28+'29'!H28</f>
        <v>0</v>
      </c>
      <c r="I28" s="25">
        <f>'1'!I28+'2'!I28+'3'!I28+'4'!I28+'5'!I28+'6'!I28+'7'!I28+'8'!I28+'9'!I28+'10'!I28+'11'!I28+'12'!H28+'13'!I28+'14'!I28+'15'!I28+'16'!I28+'17'!I28+'18'!I28+'19'!H28+'20'!I28+'21'!I28+'22'!H28+'23'!I28+'24'!I28+'25'!I28+'26'!H28+'27'!I28+'28'!I28+'29'!I28</f>
        <v>0</v>
      </c>
      <c r="J28" s="25">
        <f>'1'!J28+'2'!J28+'3'!J28+'4'!J28+'5'!J28+'6'!J28+'7'!J28+'8'!J28+'9'!J28+'10'!J28+'11'!J28+'12'!I28+'13'!J28+'14'!J28+'15'!J28+'16'!J28+'17'!J28+'18'!J28+'19'!I28+'20'!J28+'21'!J28+'22'!I28+'23'!J28+'24'!J28+'25'!J28+'26'!I28+'27'!J28+'28'!J28+'29'!J28</f>
        <v>0</v>
      </c>
      <c r="K28" s="25">
        <f>'1'!K28+'2'!K28+'3'!K28+'4'!K28+'5'!K28+'6'!K28+'7'!K28+'8'!K28+'9'!K28+'10'!K28+'11'!K28+'12'!J28+'13'!K28+'14'!K28+'15'!K28+'16'!K28+'17'!K28+'18'!K28+'19'!J28+'20'!K28+'21'!K28+'22'!J28+'23'!K28+'24'!K28+'25'!K28+'26'!J28+'27'!K28+'28'!K28+'29'!K28</f>
        <v>0</v>
      </c>
      <c r="L28" s="28">
        <f t="shared" si="0"/>
        <v>0</v>
      </c>
      <c r="M28" s="11"/>
      <c r="N28" s="11"/>
      <c r="O28" s="11"/>
      <c r="P28" s="11"/>
      <c r="Q28" s="36">
        <v>0</v>
      </c>
    </row>
    <row r="29" spans="2:17" ht="22.2" hidden="1" x14ac:dyDescent="0.25">
      <c r="B29" s="11">
        <v>1004055</v>
      </c>
      <c r="C29" s="15" t="s">
        <v>40</v>
      </c>
      <c r="D29" s="25">
        <f>'1'!D29+'2'!D29+'3'!D29+'4'!D29+'5'!D29+'6'!D29+'7'!D29+'8'!D29+'9'!D29+'10'!D29+'11'!D29+'12'!C29+'13'!D29+'14'!D29+'15'!D29+'16'!D29+'17'!D29+'18'!D29+'19'!C29+'20'!D29+'21'!D29+'22'!C29+'23'!D29+'24'!D29+'25'!D29+'26'!C29+'27'!D29+'28'!D29+'29'!D29</f>
        <v>0</v>
      </c>
      <c r="E29" s="25">
        <f>'1'!E29+'2'!E29+'3'!E29+'4'!E29+'5'!E29+'6'!E29+'7'!E29+'8'!E29+'9'!E29+'10'!E29+'11'!E29+'12'!D29+'13'!E29+'14'!E29+'15'!E29+'16'!E29+'17'!E29+'18'!E29+'19'!D29+'20'!E29+'21'!E29+'22'!D29+'23'!E29+'24'!E29+'25'!E29+'26'!D29+'27'!E29+'28'!E29+'29'!E29</f>
        <v>0</v>
      </c>
      <c r="F29" s="25">
        <f>'1'!F29+'2'!F29+'3'!F29+'4'!F29+'5'!F29+'6'!F29+'7'!F29+'8'!F29+'9'!F29+'10'!F29+'11'!F29+'12'!E29+'13'!F29+'14'!F29+'15'!F29+'16'!F29+'17'!F29+'18'!F29+'19'!E29+'20'!F29+'21'!F29+'22'!E29+'23'!F29+'24'!F29+'25'!F29+'26'!E29+'27'!F29+'28'!F29+'29'!F29</f>
        <v>0</v>
      </c>
      <c r="G29" s="25">
        <f>'1'!G29+'2'!G29+'3'!G29+'4'!G29+'5'!G29+'6'!G29+'7'!G29+'8'!G29+'9'!G29+'10'!G29+'11'!G29+'12'!F29+'13'!G29+'14'!G29+'15'!G29+'16'!G29+'17'!G29+'18'!G29+'19'!F29+'20'!G29+'21'!G29+'22'!F29+'23'!G29+'24'!G29+'25'!G29+'26'!F29+'27'!G29+'28'!G29+'29'!G29</f>
        <v>0</v>
      </c>
      <c r="H29" s="25">
        <f>'1'!H29+'2'!H29+'3'!H29+'4'!H29+'5'!H29+'6'!H29+'7'!H29+'8'!H29+'9'!H29+'10'!H29+'11'!H29+'12'!G29+'13'!H29+'14'!H29+'15'!H29+'16'!H29+'17'!H29+'18'!H29+'19'!G29+'20'!H29+'21'!H29+'22'!G29+'23'!H29+'24'!H29+'25'!H29+'26'!G29+'27'!H29+'28'!H29+'29'!H29</f>
        <v>0</v>
      </c>
      <c r="I29" s="25">
        <f>'1'!I29+'2'!I29+'3'!I29+'4'!I29+'5'!I29+'6'!I29+'7'!I29+'8'!I29+'9'!I29+'10'!I29+'11'!I29+'12'!H29+'13'!I29+'14'!I29+'15'!I29+'16'!I29+'17'!I29+'18'!I29+'19'!H29+'20'!I29+'21'!I29+'22'!H29+'23'!I29+'24'!I29+'25'!I29+'26'!H29+'27'!I29+'28'!I29+'29'!I29</f>
        <v>0</v>
      </c>
      <c r="J29" s="25">
        <f>'1'!J29+'2'!J29+'3'!J29+'4'!J29+'5'!J29+'6'!J29+'7'!J29+'8'!J29+'9'!J29+'10'!J29+'11'!J29+'12'!I29+'13'!J29+'14'!J29+'15'!J29+'16'!J29+'17'!J29+'18'!J29+'19'!I29+'20'!J29+'21'!J29+'22'!I29+'23'!J29+'24'!J29+'25'!J29+'26'!I29+'27'!J29+'28'!J29+'29'!J29</f>
        <v>0</v>
      </c>
      <c r="K29" s="25">
        <f>'1'!K29+'2'!K29+'3'!K29+'4'!K29+'5'!K29+'6'!K29+'7'!K29+'8'!K29+'9'!K29+'10'!K29+'11'!K29+'12'!J29+'13'!K29+'14'!K29+'15'!K29+'16'!K29+'17'!K29+'18'!K29+'19'!J29+'20'!K29+'21'!K29+'22'!J29+'23'!K29+'24'!K29+'25'!K29+'26'!J29+'27'!K29+'28'!K29+'29'!K29</f>
        <v>0</v>
      </c>
      <c r="L29" s="28">
        <f t="shared" si="0"/>
        <v>0</v>
      </c>
      <c r="M29" s="11"/>
      <c r="N29" s="11"/>
      <c r="O29" s="11"/>
      <c r="P29" s="11"/>
      <c r="Q29" s="36">
        <v>0</v>
      </c>
    </row>
    <row r="30" spans="2:17" ht="22.2" hidden="1" x14ac:dyDescent="0.25">
      <c r="B30" s="11">
        <v>1004055</v>
      </c>
      <c r="C30" s="15" t="s">
        <v>41</v>
      </c>
      <c r="D30" s="25">
        <f>'1'!D30+'2'!D30+'3'!D30+'4'!D30+'5'!D30+'6'!D30+'7'!D30+'8'!D30+'9'!D30+'10'!D30+'11'!D30+'12'!C30+'13'!D30+'14'!D30+'15'!D30+'16'!D30+'17'!D30+'18'!D30+'19'!C30+'20'!D30+'21'!D30+'22'!C30+'23'!D30+'24'!D30+'25'!D30+'26'!C30+'27'!D30+'28'!D30+'29'!D30</f>
        <v>0</v>
      </c>
      <c r="E30" s="25">
        <f>'1'!E30+'2'!E30+'3'!E30+'4'!E30+'5'!E30+'6'!E30+'7'!E30+'8'!E30+'9'!E30+'10'!E30+'11'!E30+'12'!D30+'13'!E30+'14'!E30+'15'!E30+'16'!E30+'17'!E30+'18'!E30+'19'!D30+'20'!E30+'21'!E30+'22'!D30+'23'!E30+'24'!E30+'25'!E30+'26'!D30+'27'!E30+'28'!E30+'29'!E30</f>
        <v>0</v>
      </c>
      <c r="F30" s="25">
        <f>'1'!F30+'2'!F30+'3'!F30+'4'!F30+'5'!F30+'6'!F30+'7'!F30+'8'!F30+'9'!F30+'10'!F30+'11'!F30+'12'!E30+'13'!F30+'14'!F30+'15'!F30+'16'!F30+'17'!F30+'18'!F30+'19'!E30+'20'!F30+'21'!F30+'22'!E30+'23'!F30+'24'!F30+'25'!F30+'26'!E30+'27'!F30+'28'!F30+'29'!F30</f>
        <v>0</v>
      </c>
      <c r="G30" s="25">
        <f>'1'!G30+'2'!G30+'3'!G30+'4'!G30+'5'!G30+'6'!G30+'7'!G30+'8'!G30+'9'!G30+'10'!G30+'11'!G30+'12'!F30+'13'!G30+'14'!G30+'15'!G30+'16'!G30+'17'!G30+'18'!G30+'19'!F30+'20'!G30+'21'!G30+'22'!F30+'23'!G30+'24'!G30+'25'!G30+'26'!F30+'27'!G30+'28'!G30+'29'!G30</f>
        <v>0</v>
      </c>
      <c r="H30" s="25">
        <f>'1'!H30+'2'!H30+'3'!H30+'4'!H30+'5'!H30+'6'!H30+'7'!H30+'8'!H30+'9'!H30+'10'!H30+'11'!H30+'12'!G30+'13'!H30+'14'!H30+'15'!H30+'16'!H30+'17'!H30+'18'!H30+'19'!G30+'20'!H30+'21'!H30+'22'!G30+'23'!H30+'24'!H30+'25'!H30+'26'!G30+'27'!H30+'28'!H30+'29'!H30</f>
        <v>0</v>
      </c>
      <c r="I30" s="25">
        <f>'1'!I30+'2'!I30+'3'!I30+'4'!I30+'5'!I30+'6'!I30+'7'!I30+'8'!I30+'9'!I30+'10'!I30+'11'!I30+'12'!H30+'13'!I30+'14'!I30+'15'!I30+'16'!I30+'17'!I30+'18'!I30+'19'!H30+'20'!I30+'21'!I30+'22'!H30+'23'!I30+'24'!I30+'25'!I30+'26'!H30+'27'!I30+'28'!I30+'29'!I30</f>
        <v>0</v>
      </c>
      <c r="J30" s="25">
        <f>'1'!J30+'2'!J30+'3'!J30+'4'!J30+'5'!J30+'6'!J30+'7'!J30+'8'!J30+'9'!J30+'10'!J30+'11'!J30+'12'!I30+'13'!J30+'14'!J30+'15'!J30+'16'!J30+'17'!J30+'18'!J30+'19'!I30+'20'!J30+'21'!J30+'22'!I30+'23'!J30+'24'!J30+'25'!J30+'26'!I30+'27'!J30+'28'!J30+'29'!J30</f>
        <v>0</v>
      </c>
      <c r="K30" s="25">
        <f>'1'!K30+'2'!K30+'3'!K30+'4'!K30+'5'!K30+'6'!K30+'7'!K30+'8'!K30+'9'!K30+'10'!K30+'11'!K30+'12'!J30+'13'!K30+'14'!K30+'15'!K30+'16'!K30+'17'!K30+'18'!K30+'19'!J30+'20'!K30+'21'!K30+'22'!J30+'23'!K30+'24'!K30+'25'!K30+'26'!J30+'27'!K30+'28'!K30+'29'!K30</f>
        <v>0</v>
      </c>
      <c r="L30" s="28">
        <f t="shared" si="0"/>
        <v>0</v>
      </c>
      <c r="M30" s="11"/>
      <c r="N30" s="11"/>
      <c r="O30" s="11"/>
      <c r="P30" s="11"/>
      <c r="Q30" s="36">
        <v>0</v>
      </c>
    </row>
    <row r="31" spans="2:17" ht="22.2" hidden="1" x14ac:dyDescent="0.25">
      <c r="B31" s="11">
        <v>1004055</v>
      </c>
      <c r="C31" s="15" t="s">
        <v>42</v>
      </c>
      <c r="D31" s="25">
        <f>'1'!D31+'2'!D31+'3'!D31+'4'!D31+'5'!D31+'6'!D31+'7'!D31+'8'!D31+'9'!D31+'10'!D31+'11'!D31+'12'!C31+'13'!D31+'14'!D31+'15'!D31+'16'!D31+'17'!D31+'18'!D31+'19'!C31+'20'!D31+'21'!D31+'22'!C31+'23'!D31+'24'!D31+'25'!D31+'26'!C31+'27'!D31+'28'!D31+'29'!D31</f>
        <v>0</v>
      </c>
      <c r="E31" s="25">
        <f>'1'!E31+'2'!E31+'3'!E31+'4'!E31+'5'!E31+'6'!E31+'7'!E31+'8'!E31+'9'!E31+'10'!E31+'11'!E31+'12'!D31+'13'!E31+'14'!E31+'15'!E31+'16'!E31+'17'!E31+'18'!E31+'19'!D31+'20'!E31+'21'!E31+'22'!D31+'23'!E31+'24'!E31+'25'!E31+'26'!D31+'27'!E31+'28'!E31+'29'!E31</f>
        <v>0</v>
      </c>
      <c r="F31" s="25">
        <f>'1'!F31+'2'!F31+'3'!F31+'4'!F31+'5'!F31+'6'!F31+'7'!F31+'8'!F31+'9'!F31+'10'!F31+'11'!F31+'12'!E31+'13'!F31+'14'!F31+'15'!F31+'16'!F31+'17'!F31+'18'!F31+'19'!E31+'20'!F31+'21'!F31+'22'!E31+'23'!F31+'24'!F31+'25'!F31+'26'!E31+'27'!F31+'28'!F31+'29'!F31</f>
        <v>0</v>
      </c>
      <c r="G31" s="25">
        <f>'1'!G31+'2'!G31+'3'!G31+'4'!G31+'5'!G31+'6'!G31+'7'!G31+'8'!G31+'9'!G31+'10'!G31+'11'!G31+'12'!F31+'13'!G31+'14'!G31+'15'!G31+'16'!G31+'17'!G31+'18'!G31+'19'!F31+'20'!G31+'21'!G31+'22'!F31+'23'!G31+'24'!G31+'25'!G31+'26'!F31+'27'!G31+'28'!G31+'29'!G31</f>
        <v>0</v>
      </c>
      <c r="H31" s="25">
        <f>'1'!H31+'2'!H31+'3'!H31+'4'!H31+'5'!H31+'6'!H31+'7'!H31+'8'!H31+'9'!H31+'10'!H31+'11'!H31+'12'!G31+'13'!H31+'14'!H31+'15'!H31+'16'!H31+'17'!H31+'18'!H31+'19'!G31+'20'!H31+'21'!H31+'22'!G31+'23'!H31+'24'!H31+'25'!H31+'26'!G31+'27'!H31+'28'!H31+'29'!H31</f>
        <v>0</v>
      </c>
      <c r="I31" s="25">
        <f>'1'!I31+'2'!I31+'3'!I31+'4'!I31+'5'!I31+'6'!I31+'7'!I31+'8'!I31+'9'!I31+'10'!I31+'11'!I31+'12'!H31+'13'!I31+'14'!I31+'15'!I31+'16'!I31+'17'!I31+'18'!I31+'19'!H31+'20'!I31+'21'!I31+'22'!H31+'23'!I31+'24'!I31+'25'!I31+'26'!H31+'27'!I31+'28'!I31+'29'!I31</f>
        <v>0</v>
      </c>
      <c r="J31" s="25">
        <f>'1'!J31+'2'!J31+'3'!J31+'4'!J31+'5'!J31+'6'!J31+'7'!J31+'8'!J31+'9'!J31+'10'!J31+'11'!J31+'12'!I31+'13'!J31+'14'!J31+'15'!J31+'16'!J31+'17'!J31+'18'!J31+'19'!I31+'20'!J31+'21'!J31+'22'!I31+'23'!J31+'24'!J31+'25'!J31+'26'!I31+'27'!J31+'28'!J31+'29'!J31</f>
        <v>0</v>
      </c>
      <c r="K31" s="25">
        <f>'1'!K31+'2'!K31+'3'!K31+'4'!K31+'5'!K31+'6'!K31+'7'!K31+'8'!K31+'9'!K31+'10'!K31+'11'!K31+'12'!J31+'13'!K31+'14'!K31+'15'!K31+'16'!K31+'17'!K31+'18'!K31+'19'!J31+'20'!K31+'21'!K31+'22'!J31+'23'!K31+'24'!K31+'25'!K31+'26'!J31+'27'!K31+'28'!K31+'29'!K31</f>
        <v>0</v>
      </c>
      <c r="L31" s="28">
        <f t="shared" si="0"/>
        <v>0</v>
      </c>
      <c r="M31" s="11"/>
      <c r="N31" s="11"/>
      <c r="O31" s="11"/>
      <c r="P31" s="11"/>
      <c r="Q31" s="36">
        <v>0</v>
      </c>
    </row>
    <row r="32" spans="2:17" ht="22.2" hidden="1" x14ac:dyDescent="0.25">
      <c r="B32" s="11">
        <v>1004055</v>
      </c>
      <c r="C32" s="15" t="s">
        <v>43</v>
      </c>
      <c r="D32" s="25">
        <f>'1'!D32+'2'!D32+'3'!D32+'4'!D32+'5'!D32+'6'!D32+'7'!D32+'8'!D32+'9'!D32+'10'!D32+'11'!D32+'12'!C32+'13'!D32+'14'!D32+'15'!D32+'16'!D32+'17'!D32+'18'!D32+'19'!C32+'20'!D32+'21'!D32+'22'!C32+'23'!D32+'24'!D32+'25'!D32+'26'!C32+'27'!D32+'28'!D32+'29'!D32</f>
        <v>0</v>
      </c>
      <c r="E32" s="25">
        <f>'1'!E32+'2'!E32+'3'!E32+'4'!E32+'5'!E32+'6'!E32+'7'!E32+'8'!E32+'9'!E32+'10'!E32+'11'!E32+'12'!D32+'13'!E32+'14'!E32+'15'!E32+'16'!E32+'17'!E32+'18'!E32+'19'!D32+'20'!E32+'21'!E32+'22'!D32+'23'!E32+'24'!E32+'25'!E32+'26'!D32+'27'!E32+'28'!E32+'29'!E32</f>
        <v>0</v>
      </c>
      <c r="F32" s="25">
        <f>'1'!F32+'2'!F32+'3'!F32+'4'!F32+'5'!F32+'6'!F32+'7'!F32+'8'!F32+'9'!F32+'10'!F32+'11'!F32+'12'!E32+'13'!F32+'14'!F32+'15'!F32+'16'!F32+'17'!F32+'18'!F32+'19'!E32+'20'!F32+'21'!F32+'22'!E32+'23'!F32+'24'!F32+'25'!F32+'26'!E32+'27'!F32+'28'!F32+'29'!F32</f>
        <v>0</v>
      </c>
      <c r="G32" s="25">
        <f>'1'!G32+'2'!G32+'3'!G32+'4'!G32+'5'!G32+'6'!G32+'7'!G32+'8'!G32+'9'!G32+'10'!G32+'11'!G32+'12'!F32+'13'!G32+'14'!G32+'15'!G32+'16'!G32+'17'!G32+'18'!G32+'19'!F32+'20'!G32+'21'!G32+'22'!F32+'23'!G32+'24'!G32+'25'!G32+'26'!F32+'27'!G32+'28'!G32+'29'!G32</f>
        <v>0</v>
      </c>
      <c r="H32" s="25">
        <f>'1'!H32+'2'!H32+'3'!H32+'4'!H32+'5'!H32+'6'!H32+'7'!H32+'8'!H32+'9'!H32+'10'!H32+'11'!H32+'12'!G32+'13'!H32+'14'!H32+'15'!H32+'16'!H32+'17'!H32+'18'!H32+'19'!G32+'20'!H32+'21'!H32+'22'!G32+'23'!H32+'24'!H32+'25'!H32+'26'!G32+'27'!H32+'28'!H32+'29'!H32</f>
        <v>0</v>
      </c>
      <c r="I32" s="25">
        <f>'1'!I32+'2'!I32+'3'!I32+'4'!I32+'5'!I32+'6'!I32+'7'!I32+'8'!I32+'9'!I32+'10'!I32+'11'!I32+'12'!H32+'13'!I32+'14'!I32+'15'!I32+'16'!I32+'17'!I32+'18'!I32+'19'!H32+'20'!I32+'21'!I32+'22'!H32+'23'!I32+'24'!I32+'25'!I32+'26'!H32+'27'!I32+'28'!I32+'29'!I32</f>
        <v>0</v>
      </c>
      <c r="J32" s="25">
        <f>'1'!J32+'2'!J32+'3'!J32+'4'!J32+'5'!J32+'6'!J32+'7'!J32+'8'!J32+'9'!J32+'10'!J32+'11'!J32+'12'!I32+'13'!J32+'14'!J32+'15'!J32+'16'!J32+'17'!J32+'18'!J32+'19'!I32+'20'!J32+'21'!J32+'22'!I32+'23'!J32+'24'!J32+'25'!J32+'26'!I32+'27'!J32+'28'!J32+'29'!J32</f>
        <v>0</v>
      </c>
      <c r="K32" s="25">
        <f>'1'!K32+'2'!K32+'3'!K32+'4'!K32+'5'!K32+'6'!K32+'7'!K32+'8'!K32+'9'!K32+'10'!K32+'11'!K32+'12'!J32+'13'!K32+'14'!K32+'15'!K32+'16'!K32+'17'!K32+'18'!K32+'19'!J32+'20'!K32+'21'!K32+'22'!J32+'23'!K32+'24'!K32+'25'!K32+'26'!J32+'27'!K32+'28'!K32+'29'!K32</f>
        <v>0</v>
      </c>
      <c r="L32" s="28">
        <f t="shared" si="0"/>
        <v>0</v>
      </c>
      <c r="M32" s="11"/>
      <c r="N32" s="11"/>
      <c r="O32" s="11"/>
      <c r="P32" s="11"/>
      <c r="Q32" s="36">
        <v>0</v>
      </c>
    </row>
    <row r="33" spans="2:17" ht="22.2" hidden="1" x14ac:dyDescent="0.25">
      <c r="B33" s="11">
        <v>1004055</v>
      </c>
      <c r="C33" s="15" t="s">
        <v>44</v>
      </c>
      <c r="D33" s="25">
        <f>'1'!D33+'2'!D33+'3'!D33+'4'!D33+'5'!D33+'6'!D33+'7'!D33+'8'!D33+'9'!D33+'10'!D33+'11'!D33+'12'!C33+'13'!D33+'14'!D33+'15'!D33+'16'!D33+'17'!D33+'18'!D33+'19'!C33+'20'!D33+'21'!D33+'22'!C33+'23'!D33+'24'!D33+'25'!D33+'26'!C33+'27'!D33+'28'!D33+'29'!D33</f>
        <v>0</v>
      </c>
      <c r="E33" s="25">
        <f>'1'!E33+'2'!E33+'3'!E33+'4'!E33+'5'!E33+'6'!E33+'7'!E33+'8'!E33+'9'!E33+'10'!E33+'11'!E33+'12'!D33+'13'!E33+'14'!E33+'15'!E33+'16'!E33+'17'!E33+'18'!E33+'19'!D33+'20'!E33+'21'!E33+'22'!D33+'23'!E33+'24'!E33+'25'!E33+'26'!D33+'27'!E33+'28'!E33+'29'!E33</f>
        <v>0</v>
      </c>
      <c r="F33" s="25">
        <f>'1'!F33+'2'!F33+'3'!F33+'4'!F33+'5'!F33+'6'!F33+'7'!F33+'8'!F33+'9'!F33+'10'!F33+'11'!F33+'12'!E33+'13'!F33+'14'!F33+'15'!F33+'16'!F33+'17'!F33+'18'!F33+'19'!E33+'20'!F33+'21'!F33+'22'!E33+'23'!F33+'24'!F33+'25'!F33+'26'!E33+'27'!F33+'28'!F33+'29'!F33</f>
        <v>0</v>
      </c>
      <c r="G33" s="25">
        <f>'1'!G33+'2'!G33+'3'!G33+'4'!G33+'5'!G33+'6'!G33+'7'!G33+'8'!G33+'9'!G33+'10'!G33+'11'!G33+'12'!F33+'13'!G33+'14'!G33+'15'!G33+'16'!G33+'17'!G33+'18'!G33+'19'!F33+'20'!G33+'21'!G33+'22'!F33+'23'!G33+'24'!G33+'25'!G33+'26'!F33+'27'!G33+'28'!G33+'29'!G33</f>
        <v>0</v>
      </c>
      <c r="H33" s="25">
        <f>'1'!H33+'2'!H33+'3'!H33+'4'!H33+'5'!H33+'6'!H33+'7'!H33+'8'!H33+'9'!H33+'10'!H33+'11'!H33+'12'!G33+'13'!H33+'14'!H33+'15'!H33+'16'!H33+'17'!H33+'18'!H33+'19'!G33+'20'!H33+'21'!H33+'22'!G33+'23'!H33+'24'!H33+'25'!H33+'26'!G33+'27'!H33+'28'!H33+'29'!H33</f>
        <v>0</v>
      </c>
      <c r="I33" s="25">
        <f>'1'!I33+'2'!I33+'3'!I33+'4'!I33+'5'!I33+'6'!I33+'7'!I33+'8'!I33+'9'!I33+'10'!I33+'11'!I33+'12'!H33+'13'!I33+'14'!I33+'15'!I33+'16'!I33+'17'!I33+'18'!I33+'19'!H33+'20'!I33+'21'!I33+'22'!H33+'23'!I33+'24'!I33+'25'!I33+'26'!H33+'27'!I33+'28'!I33+'29'!I33</f>
        <v>0</v>
      </c>
      <c r="J33" s="25">
        <f>'1'!J33+'2'!J33+'3'!J33+'4'!J33+'5'!J33+'6'!J33+'7'!J33+'8'!J33+'9'!J33+'10'!J33+'11'!J33+'12'!I33+'13'!J33+'14'!J33+'15'!J33+'16'!J33+'17'!J33+'18'!J33+'19'!I33+'20'!J33+'21'!J33+'22'!I33+'23'!J33+'24'!J33+'25'!J33+'26'!I33+'27'!J33+'28'!J33+'29'!J33</f>
        <v>0</v>
      </c>
      <c r="K33" s="25">
        <f>'1'!K33+'2'!K33+'3'!K33+'4'!K33+'5'!K33+'6'!K33+'7'!K33+'8'!K33+'9'!K33+'10'!K33+'11'!K33+'12'!J33+'13'!K33+'14'!K33+'15'!K33+'16'!K33+'17'!K33+'18'!K33+'19'!J33+'20'!K33+'21'!K33+'22'!J33+'23'!K33+'24'!K33+'25'!K33+'26'!J33+'27'!K33+'28'!K33+'29'!K33</f>
        <v>0</v>
      </c>
      <c r="L33" s="28">
        <f t="shared" si="0"/>
        <v>0</v>
      </c>
      <c r="M33" s="11"/>
      <c r="N33" s="11"/>
      <c r="O33" s="11"/>
      <c r="P33" s="11"/>
      <c r="Q33" s="36">
        <v>0</v>
      </c>
    </row>
    <row r="34" spans="2:17" ht="22.2" hidden="1" x14ac:dyDescent="0.25">
      <c r="B34" s="11">
        <v>1004055</v>
      </c>
      <c r="C34" s="15" t="s">
        <v>45</v>
      </c>
      <c r="D34" s="25">
        <f>'1'!D34+'2'!D34+'3'!D34+'4'!D34+'5'!D34+'6'!D34+'7'!D34+'8'!D34+'9'!D34+'10'!D34+'11'!D34+'12'!C34+'13'!D34+'14'!D34+'15'!D34+'16'!D34+'17'!D34+'18'!D34+'19'!C34+'20'!D34+'21'!D34+'22'!C34+'23'!D34+'24'!D34+'25'!D34+'26'!C34+'27'!D34+'28'!D34+'29'!D34</f>
        <v>0</v>
      </c>
      <c r="E34" s="25">
        <f>'1'!E34+'2'!E34+'3'!E34+'4'!E34+'5'!E34+'6'!E34+'7'!E34+'8'!E34+'9'!E34+'10'!E34+'11'!E34+'12'!D34+'13'!E34+'14'!E34+'15'!E34+'16'!E34+'17'!E34+'18'!E34+'19'!D34+'20'!E34+'21'!E34+'22'!D34+'23'!E34+'24'!E34+'25'!E34+'26'!D34+'27'!E34+'28'!E34+'29'!E34</f>
        <v>0</v>
      </c>
      <c r="F34" s="25">
        <f>'1'!F34+'2'!F34+'3'!F34+'4'!F34+'5'!F34+'6'!F34+'7'!F34+'8'!F34+'9'!F34+'10'!F34+'11'!F34+'12'!E34+'13'!F34+'14'!F34+'15'!F34+'16'!F34+'17'!F34+'18'!F34+'19'!E34+'20'!F34+'21'!F34+'22'!E34+'23'!F34+'24'!F34+'25'!F34+'26'!E34+'27'!F34+'28'!F34+'29'!F34</f>
        <v>0</v>
      </c>
      <c r="G34" s="25">
        <f>'1'!G34+'2'!G34+'3'!G34+'4'!G34+'5'!G34+'6'!G34+'7'!G34+'8'!G34+'9'!G34+'10'!G34+'11'!G34+'12'!F34+'13'!G34+'14'!G34+'15'!G34+'16'!G34+'17'!G34+'18'!G34+'19'!F34+'20'!G34+'21'!G34+'22'!F34+'23'!G34+'24'!G34+'25'!G34+'26'!F34+'27'!G34+'28'!G34+'29'!G34</f>
        <v>0</v>
      </c>
      <c r="H34" s="25">
        <f>'1'!H34+'2'!H34+'3'!H34+'4'!H34+'5'!H34+'6'!H34+'7'!H34+'8'!H34+'9'!H34+'10'!H34+'11'!H34+'12'!G34+'13'!H34+'14'!H34+'15'!H34+'16'!H34+'17'!H34+'18'!H34+'19'!G34+'20'!H34+'21'!H34+'22'!G34+'23'!H34+'24'!H34+'25'!H34+'26'!G34+'27'!H34+'28'!H34+'29'!H34</f>
        <v>0</v>
      </c>
      <c r="I34" s="25">
        <f>'1'!I34+'2'!I34+'3'!I34+'4'!I34+'5'!I34+'6'!I34+'7'!I34+'8'!I34+'9'!I34+'10'!I34+'11'!I34+'12'!H34+'13'!I34+'14'!I34+'15'!I34+'16'!I34+'17'!I34+'18'!I34+'19'!H34+'20'!I34+'21'!I34+'22'!H34+'23'!I34+'24'!I34+'25'!I34+'26'!H34+'27'!I34+'28'!I34+'29'!I34</f>
        <v>0</v>
      </c>
      <c r="J34" s="25">
        <f>'1'!J34+'2'!J34+'3'!J34+'4'!J34+'5'!J34+'6'!J34+'7'!J34+'8'!J34+'9'!J34+'10'!J34+'11'!J34+'12'!I34+'13'!J34+'14'!J34+'15'!J34+'16'!J34+'17'!J34+'18'!J34+'19'!I34+'20'!J34+'21'!J34+'22'!I34+'23'!J34+'24'!J34+'25'!J34+'26'!I34+'27'!J34+'28'!J34+'29'!J34</f>
        <v>0</v>
      </c>
      <c r="K34" s="25">
        <f>'1'!K34+'2'!K34+'3'!K34+'4'!K34+'5'!K34+'6'!K34+'7'!K34+'8'!K34+'9'!K34+'10'!K34+'11'!K34+'12'!J34+'13'!K34+'14'!K34+'15'!K34+'16'!K34+'17'!K34+'18'!K34+'19'!J34+'20'!K34+'21'!K34+'22'!J34+'23'!K34+'24'!K34+'25'!K34+'26'!J34+'27'!K34+'28'!K34+'29'!K34</f>
        <v>0</v>
      </c>
      <c r="L34" s="28">
        <f t="shared" si="0"/>
        <v>0</v>
      </c>
      <c r="M34" s="11"/>
      <c r="N34" s="11"/>
      <c r="O34" s="11"/>
      <c r="P34" s="11"/>
      <c r="Q34" s="36">
        <v>0</v>
      </c>
    </row>
    <row r="35" spans="2:17" ht="22.2" hidden="1" x14ac:dyDescent="0.25">
      <c r="B35" s="11">
        <v>1004055</v>
      </c>
      <c r="C35" s="15" t="s">
        <v>46</v>
      </c>
      <c r="D35" s="25">
        <f>'1'!D35+'2'!D35+'3'!D35+'4'!D35+'5'!D35+'6'!D35+'7'!D35+'8'!D35+'9'!D35+'10'!D35+'11'!D35+'12'!C35+'13'!D35+'14'!D35+'15'!D35+'16'!D35+'17'!D35+'18'!D35+'19'!C35+'20'!D35+'21'!D35+'22'!C35+'23'!D35+'24'!D35+'25'!D35+'26'!C35+'27'!D35+'28'!D35+'29'!D35</f>
        <v>0</v>
      </c>
      <c r="E35" s="25">
        <f>'1'!E35+'2'!E35+'3'!E35+'4'!E35+'5'!E35+'6'!E35+'7'!E35+'8'!E35+'9'!E35+'10'!E35+'11'!E35+'12'!D35+'13'!E35+'14'!E35+'15'!E35+'16'!E35+'17'!E35+'18'!E35+'19'!D35+'20'!E35+'21'!E35+'22'!D35+'23'!E35+'24'!E35+'25'!E35+'26'!D35+'27'!E35+'28'!E35+'29'!E35</f>
        <v>0</v>
      </c>
      <c r="F35" s="25">
        <f>'1'!F35+'2'!F35+'3'!F35+'4'!F35+'5'!F35+'6'!F35+'7'!F35+'8'!F35+'9'!F35+'10'!F35+'11'!F35+'12'!E35+'13'!F35+'14'!F35+'15'!F35+'16'!F35+'17'!F35+'18'!F35+'19'!E35+'20'!F35+'21'!F35+'22'!E35+'23'!F35+'24'!F35+'25'!F35+'26'!E35+'27'!F35+'28'!F35+'29'!F35</f>
        <v>0</v>
      </c>
      <c r="G35" s="25">
        <f>'1'!G35+'2'!G35+'3'!G35+'4'!G35+'5'!G35+'6'!G35+'7'!G35+'8'!G35+'9'!G35+'10'!G35+'11'!G35+'12'!F35+'13'!G35+'14'!G35+'15'!G35+'16'!G35+'17'!G35+'18'!G35+'19'!F35+'20'!G35+'21'!G35+'22'!F35+'23'!G35+'24'!G35+'25'!G35+'26'!F35+'27'!G35+'28'!G35+'29'!G35</f>
        <v>0</v>
      </c>
      <c r="H35" s="25">
        <f>'1'!H35+'2'!H35+'3'!H35+'4'!H35+'5'!H35+'6'!H35+'7'!H35+'8'!H35+'9'!H35+'10'!H35+'11'!H35+'12'!G35+'13'!H35+'14'!H35+'15'!H35+'16'!H35+'17'!H35+'18'!H35+'19'!G35+'20'!H35+'21'!H35+'22'!G35+'23'!H35+'24'!H35+'25'!H35+'26'!G35+'27'!H35+'28'!H35+'29'!H35</f>
        <v>0</v>
      </c>
      <c r="I35" s="25">
        <f>'1'!I35+'2'!I35+'3'!I35+'4'!I35+'5'!I35+'6'!I35+'7'!I35+'8'!I35+'9'!I35+'10'!I35+'11'!I35+'12'!H35+'13'!I35+'14'!I35+'15'!I35+'16'!I35+'17'!I35+'18'!I35+'19'!H35+'20'!I35+'21'!I35+'22'!H35+'23'!I35+'24'!I35+'25'!I35+'26'!H35+'27'!I35+'28'!I35+'29'!I35</f>
        <v>0</v>
      </c>
      <c r="J35" s="25">
        <f>'1'!J35+'2'!J35+'3'!J35+'4'!J35+'5'!J35+'6'!J35+'7'!J35+'8'!J35+'9'!J35+'10'!J35+'11'!J35+'12'!I35+'13'!J35+'14'!J35+'15'!J35+'16'!J35+'17'!J35+'18'!J35+'19'!I35+'20'!J35+'21'!J35+'22'!I35+'23'!J35+'24'!J35+'25'!J35+'26'!I35+'27'!J35+'28'!J35+'29'!J35</f>
        <v>0</v>
      </c>
      <c r="K35" s="25">
        <f>'1'!K35+'2'!K35+'3'!K35+'4'!K35+'5'!K35+'6'!K35+'7'!K35+'8'!K35+'9'!K35+'10'!K35+'11'!K35+'12'!J35+'13'!K35+'14'!K35+'15'!K35+'16'!K35+'17'!K35+'18'!K35+'19'!J35+'20'!K35+'21'!K35+'22'!J35+'23'!K35+'24'!K35+'25'!K35+'26'!J35+'27'!K35+'28'!K35+'29'!K35</f>
        <v>0</v>
      </c>
      <c r="L35" s="28">
        <f t="shared" si="0"/>
        <v>0</v>
      </c>
      <c r="M35" s="11"/>
      <c r="N35" s="11"/>
      <c r="O35" s="11"/>
      <c r="P35" s="11"/>
      <c r="Q35" s="36">
        <v>0</v>
      </c>
    </row>
    <row r="36" spans="2:17" ht="22.2" hidden="1" x14ac:dyDescent="0.25">
      <c r="B36" s="11">
        <v>1004055</v>
      </c>
      <c r="C36" s="15" t="s">
        <v>47</v>
      </c>
      <c r="D36" s="25">
        <f>'1'!D36+'2'!D36+'3'!D36+'4'!D36+'5'!D36+'6'!D36+'7'!D36+'8'!D36+'9'!D36+'10'!D36+'11'!D36+'12'!C36+'13'!D36+'14'!D36+'15'!D36+'16'!D36+'17'!D36+'18'!D36+'19'!C36+'20'!D36+'21'!D36+'22'!C36+'23'!D36+'24'!D36+'25'!D36+'26'!C36+'27'!D36+'28'!D36+'29'!D36</f>
        <v>0</v>
      </c>
      <c r="E36" s="25">
        <f>'1'!E36+'2'!E36+'3'!E36+'4'!E36+'5'!E36+'6'!E36+'7'!E36+'8'!E36+'9'!E36+'10'!E36+'11'!E36+'12'!D36+'13'!E36+'14'!E36+'15'!E36+'16'!E36+'17'!E36+'18'!E36+'19'!D36+'20'!E36+'21'!E36+'22'!D36+'23'!E36+'24'!E36+'25'!E36+'26'!D36+'27'!E36+'28'!E36+'29'!E36</f>
        <v>0</v>
      </c>
      <c r="F36" s="25">
        <f>'1'!F36+'2'!F36+'3'!F36+'4'!F36+'5'!F36+'6'!F36+'7'!F36+'8'!F36+'9'!F36+'10'!F36+'11'!F36+'12'!E36+'13'!F36+'14'!F36+'15'!F36+'16'!F36+'17'!F36+'18'!F36+'19'!E36+'20'!F36+'21'!F36+'22'!E36+'23'!F36+'24'!F36+'25'!F36+'26'!E36+'27'!F36+'28'!F36+'29'!F36</f>
        <v>0</v>
      </c>
      <c r="G36" s="25">
        <f>'1'!G36+'2'!G36+'3'!G36+'4'!G36+'5'!G36+'6'!G36+'7'!G36+'8'!G36+'9'!G36+'10'!G36+'11'!G36+'12'!F36+'13'!G36+'14'!G36+'15'!G36+'16'!G36+'17'!G36+'18'!G36+'19'!F36+'20'!G36+'21'!G36+'22'!F36+'23'!G36+'24'!G36+'25'!G36+'26'!F36+'27'!G36+'28'!G36+'29'!G36</f>
        <v>0</v>
      </c>
      <c r="H36" s="25">
        <f>'1'!H36+'2'!H36+'3'!H36+'4'!H36+'5'!H36+'6'!H36+'7'!H36+'8'!H36+'9'!H36+'10'!H36+'11'!H36+'12'!G36+'13'!H36+'14'!H36+'15'!H36+'16'!H36+'17'!H36+'18'!H36+'19'!G36+'20'!H36+'21'!H36+'22'!G36+'23'!H36+'24'!H36+'25'!H36+'26'!G36+'27'!H36+'28'!H36+'29'!H36</f>
        <v>0</v>
      </c>
      <c r="I36" s="25">
        <f>'1'!I36+'2'!I36+'3'!I36+'4'!I36+'5'!I36+'6'!I36+'7'!I36+'8'!I36+'9'!I36+'10'!I36+'11'!I36+'12'!H36+'13'!I36+'14'!I36+'15'!I36+'16'!I36+'17'!I36+'18'!I36+'19'!H36+'20'!I36+'21'!I36+'22'!H36+'23'!I36+'24'!I36+'25'!I36+'26'!H36+'27'!I36+'28'!I36+'29'!I36</f>
        <v>0</v>
      </c>
      <c r="J36" s="25">
        <f>'1'!J36+'2'!J36+'3'!J36+'4'!J36+'5'!J36+'6'!J36+'7'!J36+'8'!J36+'9'!J36+'10'!J36+'11'!J36+'12'!I36+'13'!J36+'14'!J36+'15'!J36+'16'!J36+'17'!J36+'18'!J36+'19'!I36+'20'!J36+'21'!J36+'22'!I36+'23'!J36+'24'!J36+'25'!J36+'26'!I36+'27'!J36+'28'!J36+'29'!J36</f>
        <v>0</v>
      </c>
      <c r="K36" s="25">
        <f>'1'!K36+'2'!K36+'3'!K36+'4'!K36+'5'!K36+'6'!K36+'7'!K36+'8'!K36+'9'!K36+'10'!K36+'11'!K36+'12'!J36+'13'!K36+'14'!K36+'15'!K36+'16'!K36+'17'!K36+'18'!K36+'19'!J36+'20'!K36+'21'!K36+'22'!J36+'23'!K36+'24'!K36+'25'!K36+'26'!J36+'27'!K36+'28'!K36+'29'!K36</f>
        <v>0</v>
      </c>
      <c r="L36" s="28">
        <f t="shared" si="0"/>
        <v>0</v>
      </c>
      <c r="M36" s="11"/>
      <c r="N36" s="11"/>
      <c r="O36" s="11"/>
      <c r="P36" s="11"/>
      <c r="Q36" s="36">
        <v>0</v>
      </c>
    </row>
    <row r="37" spans="2:17" ht="22.2" hidden="1" x14ac:dyDescent="0.25">
      <c r="B37" s="11">
        <v>1004055</v>
      </c>
      <c r="C37" s="15" t="s">
        <v>48</v>
      </c>
      <c r="D37" s="25">
        <f>'1'!D37+'2'!D37+'3'!D37+'4'!D37+'5'!D37+'6'!D37+'7'!D37+'8'!D37+'9'!D37+'10'!D37+'11'!D37+'12'!C37+'13'!D37+'14'!D37+'15'!D37+'16'!D37+'17'!D37+'18'!D37+'19'!C37+'20'!D37+'21'!D37+'22'!C37+'23'!D37+'24'!D37+'25'!D37+'26'!C37+'27'!D37+'28'!D37+'29'!D37</f>
        <v>0</v>
      </c>
      <c r="E37" s="25">
        <f>'1'!E37+'2'!E37+'3'!E37+'4'!E37+'5'!E37+'6'!E37+'7'!E37+'8'!E37+'9'!E37+'10'!E37+'11'!E37+'12'!D37+'13'!E37+'14'!E37+'15'!E37+'16'!E37+'17'!E37+'18'!E37+'19'!D37+'20'!E37+'21'!E37+'22'!D37+'23'!E37+'24'!E37+'25'!E37+'26'!D37+'27'!E37+'28'!E37+'29'!E37</f>
        <v>0</v>
      </c>
      <c r="F37" s="25">
        <f>'1'!F37+'2'!F37+'3'!F37+'4'!F37+'5'!F37+'6'!F37+'7'!F37+'8'!F37+'9'!F37+'10'!F37+'11'!F37+'12'!E37+'13'!F37+'14'!F37+'15'!F37+'16'!F37+'17'!F37+'18'!F37+'19'!E37+'20'!F37+'21'!F37+'22'!E37+'23'!F37+'24'!F37+'25'!F37+'26'!E37+'27'!F37+'28'!F37+'29'!F37</f>
        <v>0</v>
      </c>
      <c r="G37" s="25">
        <f>'1'!G37+'2'!G37+'3'!G37+'4'!G37+'5'!G37+'6'!G37+'7'!G37+'8'!G37+'9'!G37+'10'!G37+'11'!G37+'12'!F37+'13'!G37+'14'!G37+'15'!G37+'16'!G37+'17'!G37+'18'!G37+'19'!F37+'20'!G37+'21'!G37+'22'!F37+'23'!G37+'24'!G37+'25'!G37+'26'!F37+'27'!G37+'28'!G37+'29'!G37</f>
        <v>0</v>
      </c>
      <c r="H37" s="25">
        <f>'1'!H37+'2'!H37+'3'!H37+'4'!H37+'5'!H37+'6'!H37+'7'!H37+'8'!H37+'9'!H37+'10'!H37+'11'!H37+'12'!G37+'13'!H37+'14'!H37+'15'!H37+'16'!H37+'17'!H37+'18'!H37+'19'!G37+'20'!H37+'21'!H37+'22'!G37+'23'!H37+'24'!H37+'25'!H37+'26'!G37+'27'!H37+'28'!H37+'29'!H37</f>
        <v>0</v>
      </c>
      <c r="I37" s="25">
        <f>'1'!I37+'2'!I37+'3'!I37+'4'!I37+'5'!I37+'6'!I37+'7'!I37+'8'!I37+'9'!I37+'10'!I37+'11'!I37+'12'!H37+'13'!I37+'14'!I37+'15'!I37+'16'!I37+'17'!I37+'18'!I37+'19'!H37+'20'!I37+'21'!I37+'22'!H37+'23'!I37+'24'!I37+'25'!I37+'26'!H37+'27'!I37+'28'!I37+'29'!I37</f>
        <v>0</v>
      </c>
      <c r="J37" s="25">
        <f>'1'!J37+'2'!J37+'3'!J37+'4'!J37+'5'!J37+'6'!J37+'7'!J37+'8'!J37+'9'!J37+'10'!J37+'11'!J37+'12'!I37+'13'!J37+'14'!J37+'15'!J37+'16'!J37+'17'!J37+'18'!J37+'19'!I37+'20'!J37+'21'!J37+'22'!I37+'23'!J37+'24'!J37+'25'!J37+'26'!I37+'27'!J37+'28'!J37+'29'!J37</f>
        <v>0</v>
      </c>
      <c r="K37" s="25">
        <f>'1'!K37+'2'!K37+'3'!K37+'4'!K37+'5'!K37+'6'!K37+'7'!K37+'8'!K37+'9'!K37+'10'!K37+'11'!K37+'12'!J37+'13'!K37+'14'!K37+'15'!K37+'16'!K37+'17'!K37+'18'!K37+'19'!J37+'20'!K37+'21'!K37+'22'!J37+'23'!K37+'24'!K37+'25'!K37+'26'!J37+'27'!K37+'28'!K37+'29'!K37</f>
        <v>0</v>
      </c>
      <c r="L37" s="28">
        <f t="shared" si="0"/>
        <v>0</v>
      </c>
      <c r="M37" s="11"/>
      <c r="N37" s="11"/>
      <c r="O37" s="11"/>
      <c r="P37" s="11"/>
      <c r="Q37" s="36">
        <v>0</v>
      </c>
    </row>
    <row r="38" spans="2:17" ht="22.2" hidden="1" x14ac:dyDescent="0.25">
      <c r="B38" s="11">
        <v>1004055</v>
      </c>
      <c r="C38" s="15" t="s">
        <v>49</v>
      </c>
      <c r="D38" s="25">
        <f>'1'!D38+'2'!D38+'3'!D38+'4'!D38+'5'!D38+'6'!D38+'7'!D38+'8'!D38+'9'!D38+'10'!D38+'11'!D38+'12'!C38+'13'!D38+'14'!D38+'15'!D38+'16'!D38+'17'!D38+'18'!D38+'19'!C38+'20'!D38+'21'!D38+'22'!C38+'23'!D38+'24'!D38+'25'!D38+'26'!C38+'27'!D38+'28'!D38+'29'!D38</f>
        <v>0</v>
      </c>
      <c r="E38" s="25">
        <f>'1'!E38+'2'!E38+'3'!E38+'4'!E38+'5'!E38+'6'!E38+'7'!E38+'8'!E38+'9'!E38+'10'!E38+'11'!E38+'12'!D38+'13'!E38+'14'!E38+'15'!E38+'16'!E38+'17'!E38+'18'!E38+'19'!D38+'20'!E38+'21'!E38+'22'!D38+'23'!E38+'24'!E38+'25'!E38+'26'!D38+'27'!E38+'28'!E38+'29'!E38</f>
        <v>0</v>
      </c>
      <c r="F38" s="25">
        <f>'1'!F38+'2'!F38+'3'!F38+'4'!F38+'5'!F38+'6'!F38+'7'!F38+'8'!F38+'9'!F38+'10'!F38+'11'!F38+'12'!E38+'13'!F38+'14'!F38+'15'!F38+'16'!F38+'17'!F38+'18'!F38+'19'!E38+'20'!F38+'21'!F38+'22'!E38+'23'!F38+'24'!F38+'25'!F38+'26'!E38+'27'!F38+'28'!F38+'29'!F38</f>
        <v>0</v>
      </c>
      <c r="G38" s="25">
        <f>'1'!G38+'2'!G38+'3'!G38+'4'!G38+'5'!G38+'6'!G38+'7'!G38+'8'!G38+'9'!G38+'10'!G38+'11'!G38+'12'!F38+'13'!G38+'14'!G38+'15'!G38+'16'!G38+'17'!G38+'18'!G38+'19'!F38+'20'!G38+'21'!G38+'22'!F38+'23'!G38+'24'!G38+'25'!G38+'26'!F38+'27'!G38+'28'!G38+'29'!G38</f>
        <v>0</v>
      </c>
      <c r="H38" s="25">
        <f>'1'!H38+'2'!H38+'3'!H38+'4'!H38+'5'!H38+'6'!H38+'7'!H38+'8'!H38+'9'!H38+'10'!H38+'11'!H38+'12'!G38+'13'!H38+'14'!H38+'15'!H38+'16'!H38+'17'!H38+'18'!H38+'19'!G38+'20'!H38+'21'!H38+'22'!G38+'23'!H38+'24'!H38+'25'!H38+'26'!G38+'27'!H38+'28'!H38+'29'!H38</f>
        <v>0</v>
      </c>
      <c r="I38" s="25">
        <f>'1'!I38+'2'!I38+'3'!I38+'4'!I38+'5'!I38+'6'!I38+'7'!I38+'8'!I38+'9'!I38+'10'!I38+'11'!I38+'12'!H38+'13'!I38+'14'!I38+'15'!I38+'16'!I38+'17'!I38+'18'!I38+'19'!H38+'20'!I38+'21'!I38+'22'!H38+'23'!I38+'24'!I38+'25'!I38+'26'!H38+'27'!I38+'28'!I38+'29'!I38</f>
        <v>0</v>
      </c>
      <c r="J38" s="25">
        <f>'1'!J38+'2'!J38+'3'!J38+'4'!J38+'5'!J38+'6'!J38+'7'!J38+'8'!J38+'9'!J38+'10'!J38+'11'!J38+'12'!I38+'13'!J38+'14'!J38+'15'!J38+'16'!J38+'17'!J38+'18'!J38+'19'!I38+'20'!J38+'21'!J38+'22'!I38+'23'!J38+'24'!J38+'25'!J38+'26'!I38+'27'!J38+'28'!J38+'29'!J38</f>
        <v>0</v>
      </c>
      <c r="K38" s="25">
        <f>'1'!K38+'2'!K38+'3'!K38+'4'!K38+'5'!K38+'6'!K38+'7'!K38+'8'!K38+'9'!K38+'10'!K38+'11'!K38+'12'!J38+'13'!K38+'14'!K38+'15'!K38+'16'!K38+'17'!K38+'18'!K38+'19'!J38+'20'!K38+'21'!K38+'22'!J38+'23'!K38+'24'!K38+'25'!K38+'26'!J38+'27'!K38+'28'!K38+'29'!K38</f>
        <v>0</v>
      </c>
      <c r="L38" s="28">
        <f t="shared" si="0"/>
        <v>0</v>
      </c>
      <c r="M38" s="11"/>
      <c r="N38" s="11"/>
      <c r="O38" s="11"/>
      <c r="P38" s="11"/>
      <c r="Q38" s="36">
        <v>0</v>
      </c>
    </row>
    <row r="39" spans="2:17" ht="22.2" hidden="1" x14ac:dyDescent="0.25">
      <c r="B39" s="11">
        <v>1004055</v>
      </c>
      <c r="C39" s="15" t="s">
        <v>50</v>
      </c>
      <c r="D39" s="25">
        <f>'1'!D39+'2'!D39+'3'!D39+'4'!D39+'5'!D39+'6'!D39+'7'!D39+'8'!D39+'9'!D39+'10'!D39+'11'!D39+'12'!C39+'13'!D39+'14'!D39+'15'!D39+'16'!D39+'17'!D39+'18'!D39+'19'!C39+'20'!D39+'21'!D39+'22'!C39+'23'!D39+'24'!D39+'25'!D39+'26'!C39+'27'!D39+'28'!D39+'29'!D39</f>
        <v>0</v>
      </c>
      <c r="E39" s="25">
        <f>'1'!E39+'2'!E39+'3'!E39+'4'!E39+'5'!E39+'6'!E39+'7'!E39+'8'!E39+'9'!E39+'10'!E39+'11'!E39+'12'!D39+'13'!E39+'14'!E39+'15'!E39+'16'!E39+'17'!E39+'18'!E39+'19'!D39+'20'!E39+'21'!E39+'22'!D39+'23'!E39+'24'!E39+'25'!E39+'26'!D39+'27'!E39+'28'!E39+'29'!E39</f>
        <v>0</v>
      </c>
      <c r="F39" s="25">
        <f>'1'!F39+'2'!F39+'3'!F39+'4'!F39+'5'!F39+'6'!F39+'7'!F39+'8'!F39+'9'!F39+'10'!F39+'11'!F39+'12'!E39+'13'!F39+'14'!F39+'15'!F39+'16'!F39+'17'!F39+'18'!F39+'19'!E39+'20'!F39+'21'!F39+'22'!E39+'23'!F39+'24'!F39+'25'!F39+'26'!E39+'27'!F39+'28'!F39+'29'!F39</f>
        <v>0</v>
      </c>
      <c r="G39" s="25">
        <f>'1'!G39+'2'!G39+'3'!G39+'4'!G39+'5'!G39+'6'!G39+'7'!G39+'8'!G39+'9'!G39+'10'!G39+'11'!G39+'12'!F39+'13'!G39+'14'!G39+'15'!G39+'16'!G39+'17'!G39+'18'!G39+'19'!F39+'20'!G39+'21'!G39+'22'!F39+'23'!G39+'24'!G39+'25'!G39+'26'!F39+'27'!G39+'28'!G39+'29'!G39</f>
        <v>0</v>
      </c>
      <c r="H39" s="25">
        <f>'1'!H39+'2'!H39+'3'!H39+'4'!H39+'5'!H39+'6'!H39+'7'!H39+'8'!H39+'9'!H39+'10'!H39+'11'!H39+'12'!G39+'13'!H39+'14'!H39+'15'!H39+'16'!H39+'17'!H39+'18'!H39+'19'!G39+'20'!H39+'21'!H39+'22'!G39+'23'!H39+'24'!H39+'25'!H39+'26'!G39+'27'!H39+'28'!H39+'29'!H39</f>
        <v>0</v>
      </c>
      <c r="I39" s="25">
        <f>'1'!I39+'2'!I39+'3'!I39+'4'!I39+'5'!I39+'6'!I39+'7'!I39+'8'!I39+'9'!I39+'10'!I39+'11'!I39+'12'!H39+'13'!I39+'14'!I39+'15'!I39+'16'!I39+'17'!I39+'18'!I39+'19'!H39+'20'!I39+'21'!I39+'22'!H39+'23'!I39+'24'!I39+'25'!I39+'26'!H39+'27'!I39+'28'!I39+'29'!I39</f>
        <v>0</v>
      </c>
      <c r="J39" s="25">
        <f>'1'!J39+'2'!J39+'3'!J39+'4'!J39+'5'!J39+'6'!J39+'7'!J39+'8'!J39+'9'!J39+'10'!J39+'11'!J39+'12'!I39+'13'!J39+'14'!J39+'15'!J39+'16'!J39+'17'!J39+'18'!J39+'19'!I39+'20'!J39+'21'!J39+'22'!I39+'23'!J39+'24'!J39+'25'!J39+'26'!I39+'27'!J39+'28'!J39+'29'!J39</f>
        <v>0</v>
      </c>
      <c r="K39" s="25">
        <f>'1'!K39+'2'!K39+'3'!K39+'4'!K39+'5'!K39+'6'!K39+'7'!K39+'8'!K39+'9'!K39+'10'!K39+'11'!K39+'12'!J39+'13'!K39+'14'!K39+'15'!K39+'16'!K39+'17'!K39+'18'!K39+'19'!J39+'20'!K39+'21'!K39+'22'!J39+'23'!K39+'24'!K39+'25'!K39+'26'!J39+'27'!K39+'28'!K39+'29'!K39</f>
        <v>0</v>
      </c>
      <c r="L39" s="28">
        <f t="shared" si="0"/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f>'1'!D40+'2'!D40+'3'!D40+'4'!D40+'5'!D40+'6'!D40+'7'!D40+'8'!D40+'9'!D40+'10'!D40+'11'!D40+'12'!C40+'13'!D40+'14'!D40+'15'!D40+'16'!D40+'17'!D40+'18'!D40+'19'!C40+'20'!D40+'21'!D40+'22'!C40+'23'!D40+'24'!D40+'25'!D40+'26'!C40+'27'!D40+'28'!D40+'29'!D40</f>
        <v>123</v>
      </c>
      <c r="E40" s="25">
        <f>'1'!E40+'2'!E40+'3'!E40+'4'!E40+'5'!E40+'6'!E40+'7'!E40+'8'!E40+'9'!E40+'10'!E40+'11'!E40+'12'!D40+'13'!E40+'14'!E40+'15'!E40+'16'!E40+'17'!E40+'18'!E40+'19'!D40+'20'!E40+'21'!E40+'22'!D40+'23'!E40+'24'!E40+'25'!E40+'26'!D40+'27'!E40+'28'!E40+'29'!E40</f>
        <v>352</v>
      </c>
      <c r="F40" s="25">
        <f>'1'!F40+'2'!F40+'3'!F40+'4'!F40+'5'!F40+'6'!F40+'7'!F40+'8'!F40+'9'!F40+'10'!F40+'11'!F40+'12'!E40+'13'!F40+'14'!F40+'15'!F40+'16'!F40+'17'!F40+'18'!F40+'19'!E40+'20'!F40+'21'!F40+'22'!E40+'23'!F40+'24'!F40+'25'!F40+'26'!E40+'27'!F40+'28'!F40+'29'!F40</f>
        <v>92</v>
      </c>
      <c r="G40" s="25">
        <f>'1'!G40+'2'!G40+'3'!G40+'4'!G40+'5'!G40+'6'!G40+'7'!G40+'8'!G40+'9'!G40+'10'!G40+'11'!G40+'12'!F40+'13'!G40+'14'!G40+'15'!G40+'16'!G40+'17'!G40+'18'!G40+'19'!F40+'20'!G40+'21'!G40+'22'!F40+'23'!G40+'24'!G40+'25'!G40+'26'!F40+'27'!G40+'28'!G40+'29'!G40</f>
        <v>72</v>
      </c>
      <c r="H40" s="25">
        <f>'1'!H40+'2'!H40+'3'!H40+'4'!H40+'5'!H40+'6'!H40+'7'!H40+'8'!H40+'9'!H40+'10'!H40+'11'!H40+'12'!G40+'13'!H40+'14'!H40+'15'!H40+'16'!H40+'17'!H40+'18'!H40+'19'!G40+'20'!H40+'21'!H40+'22'!G40+'23'!H40+'24'!H40+'25'!H40+'26'!G40+'27'!H40+'28'!H40+'29'!H40</f>
        <v>12</v>
      </c>
      <c r="I40" s="25">
        <f>'1'!I40+'2'!I40+'3'!I40+'4'!I40+'5'!I40+'6'!I40+'7'!I40+'8'!I40+'9'!I40+'10'!I40+'11'!I40+'12'!H40+'13'!I40+'14'!I40+'15'!I40+'16'!I40+'17'!I40+'18'!I40+'19'!H40+'20'!I40+'21'!I40+'22'!H40+'23'!I40+'24'!I40+'25'!I40+'26'!H40+'27'!I40+'28'!I40+'29'!I40</f>
        <v>0</v>
      </c>
      <c r="J40" s="25">
        <f>'1'!J40+'2'!J40+'3'!J40+'4'!J40+'5'!J40+'6'!J40+'7'!J40+'8'!J40+'9'!J40+'10'!J40+'11'!J40+'12'!I40+'13'!J40+'14'!J40+'15'!J40+'16'!J40+'17'!J40+'18'!J40+'19'!I40+'20'!J40+'21'!J40+'22'!I40+'23'!J40+'24'!J40+'25'!J40+'26'!I40+'27'!J40+'28'!J40+'29'!J40</f>
        <v>0</v>
      </c>
      <c r="K40" s="25">
        <f>'1'!K40+'2'!K40+'3'!K40+'4'!K40+'5'!K40+'6'!K40+'7'!K40+'8'!K40+'9'!K40+'10'!K40+'11'!K40+'12'!J40+'13'!K40+'14'!K40+'15'!K40+'16'!K40+'17'!K40+'18'!K40+'19'!J40+'20'!K40+'21'!K40+'22'!J40+'23'!K40+'24'!K40+'25'!K40+'26'!J40+'27'!K40+'28'!K40+'29'!K40</f>
        <v>20</v>
      </c>
      <c r="L40" s="28">
        <f t="shared" si="0"/>
        <v>671</v>
      </c>
      <c r="M40" s="11"/>
      <c r="N40" s="11"/>
      <c r="O40" s="11"/>
      <c r="P40" s="11"/>
      <c r="Q40" s="36">
        <v>0</v>
      </c>
    </row>
    <row r="41" spans="2:17" ht="22.2" x14ac:dyDescent="0.25">
      <c r="B41" s="11">
        <v>1111058</v>
      </c>
      <c r="C41" s="15" t="s">
        <v>52</v>
      </c>
      <c r="D41" s="25">
        <f>'1'!D41+'2'!D41+'3'!D41+'4'!D41+'5'!D41+'6'!D41+'7'!D41+'8'!D41+'9'!D41+'10'!D41+'11'!D41+'12'!C41+'13'!D41+'14'!D41+'15'!D41+'16'!D41+'17'!D41+'18'!D41+'19'!C41+'20'!D41+'21'!D41+'22'!C41+'23'!D41+'24'!D41+'25'!D41+'26'!C41+'27'!D41+'28'!D41+'29'!D41</f>
        <v>115</v>
      </c>
      <c r="E41" s="25">
        <f>'1'!E41+'2'!E41+'3'!E41+'4'!E41+'5'!E41+'6'!E41+'7'!E41+'8'!E41+'9'!E41+'10'!E41+'11'!E41+'12'!D41+'13'!E41+'14'!E41+'15'!E41+'16'!E41+'17'!E41+'18'!E41+'19'!D41+'20'!E41+'21'!E41+'22'!D41+'23'!E41+'24'!E41+'25'!E41+'26'!D41+'27'!E41+'28'!E41+'29'!E41</f>
        <v>210</v>
      </c>
      <c r="F41" s="25">
        <f>'1'!F41+'2'!F41+'3'!F41+'4'!F41+'5'!F41+'6'!F41+'7'!F41+'8'!F41+'9'!F41+'10'!F41+'11'!F41+'12'!E41+'13'!F41+'14'!F41+'15'!F41+'16'!F41+'17'!F41+'18'!F41+'19'!E41+'20'!F41+'21'!F41+'22'!E41+'23'!F41+'24'!F41+'25'!F41+'26'!E41+'27'!F41+'28'!F41+'29'!F41</f>
        <v>57</v>
      </c>
      <c r="G41" s="25">
        <f>'1'!G41+'2'!G41+'3'!G41+'4'!G41+'5'!G41+'6'!G41+'7'!G41+'8'!G41+'9'!G41+'10'!G41+'11'!G41+'12'!F41+'13'!G41+'14'!G41+'15'!G41+'16'!G41+'17'!G41+'18'!G41+'19'!F41+'20'!G41+'21'!G41+'22'!F41+'23'!G41+'24'!G41+'25'!G41+'26'!F41+'27'!G41+'28'!G41+'29'!G41</f>
        <v>65</v>
      </c>
      <c r="H41" s="25">
        <f>'1'!H41+'2'!H41+'3'!H41+'4'!H41+'5'!H41+'6'!H41+'7'!H41+'8'!H41+'9'!H41+'10'!H41+'11'!H41+'12'!G41+'13'!H41+'14'!H41+'15'!H41+'16'!H41+'17'!H41+'18'!H41+'19'!G41+'20'!H41+'21'!H41+'22'!G41+'23'!H41+'24'!H41+'25'!H41+'26'!G41+'27'!H41+'28'!H41+'29'!H41</f>
        <v>12</v>
      </c>
      <c r="I41" s="25">
        <f>'1'!I41+'2'!I41+'3'!I41+'4'!I41+'5'!I41+'6'!I41+'7'!I41+'8'!I41+'9'!I41+'10'!I41+'11'!I41+'12'!H41+'13'!I41+'14'!I41+'15'!I41+'16'!I41+'17'!I41+'18'!I41+'19'!H41+'20'!I41+'21'!I41+'22'!H41+'23'!I41+'24'!I41+'25'!I41+'26'!H41+'27'!I41+'28'!I41+'29'!I41</f>
        <v>0</v>
      </c>
      <c r="J41" s="25">
        <f>'1'!J41+'2'!J41+'3'!J41+'4'!J41+'5'!J41+'6'!J41+'7'!J41+'8'!J41+'9'!J41+'10'!J41+'11'!J41+'12'!I41+'13'!J41+'14'!J41+'15'!J41+'16'!J41+'17'!J41+'18'!J41+'19'!I41+'20'!J41+'21'!J41+'22'!I41+'23'!J41+'24'!J41+'25'!J41+'26'!I41+'27'!J41+'28'!J41+'29'!J41</f>
        <v>0</v>
      </c>
      <c r="K41" s="25">
        <f>'1'!K41+'2'!K41+'3'!K41+'4'!K41+'5'!K41+'6'!K41+'7'!K41+'8'!K41+'9'!K41+'10'!K41+'11'!K41+'12'!J41+'13'!K41+'14'!K41+'15'!K41+'16'!K41+'17'!K41+'18'!K41+'19'!J41+'20'!K41+'21'!K41+'22'!J41+'23'!K41+'24'!K41+'25'!K41+'26'!J41+'27'!K41+'28'!K41+'29'!K41</f>
        <v>20</v>
      </c>
      <c r="L41" s="28">
        <f t="shared" si="0"/>
        <v>479</v>
      </c>
      <c r="M41" s="11"/>
      <c r="N41" s="11"/>
      <c r="O41" s="11"/>
      <c r="P41" s="11"/>
      <c r="Q41" s="36">
        <v>0</v>
      </c>
    </row>
    <row r="42" spans="2:17" ht="22.2" x14ac:dyDescent="0.25">
      <c r="B42" s="11">
        <v>1111059</v>
      </c>
      <c r="C42" s="15" t="s">
        <v>53</v>
      </c>
      <c r="D42" s="25">
        <f>'1'!D42+'2'!D42+'3'!D42+'4'!D42+'5'!D42+'6'!D42+'7'!D42+'8'!D42+'9'!D42+'10'!D42+'11'!D42+'12'!C42+'13'!D42+'14'!D42+'15'!D42+'16'!D42+'17'!D42+'18'!D42+'19'!C42+'20'!D42+'21'!D42+'22'!C42+'23'!D42+'24'!D42+'25'!D42+'26'!C42+'27'!D42+'28'!D42+'29'!D42</f>
        <v>123</v>
      </c>
      <c r="E42" s="25">
        <f>'1'!E42+'2'!E42+'3'!E42+'4'!E42+'5'!E42+'6'!E42+'7'!E42+'8'!E42+'9'!E42+'10'!E42+'11'!E42+'12'!D42+'13'!E42+'14'!E42+'15'!E42+'16'!E42+'17'!E42+'18'!E42+'19'!D42+'20'!E42+'21'!E42+'22'!D42+'23'!E42+'24'!E42+'25'!E42+'26'!D42+'27'!E42+'28'!E42+'29'!E42</f>
        <v>221</v>
      </c>
      <c r="F42" s="25">
        <f>'1'!F42+'2'!F42+'3'!F42+'4'!F42+'5'!F42+'6'!F42+'7'!F42+'8'!F42+'9'!F42+'10'!F42+'11'!F42+'12'!E42+'13'!F42+'14'!F42+'15'!F42+'16'!F42+'17'!F42+'18'!F42+'19'!E42+'20'!F42+'21'!F42+'22'!E42+'23'!F42+'24'!F42+'25'!F42+'26'!E42+'27'!F42+'28'!F42+'29'!F42</f>
        <v>81</v>
      </c>
      <c r="G42" s="25">
        <f>'1'!G42+'2'!G42+'3'!G42+'4'!G42+'5'!G42+'6'!G42+'7'!G42+'8'!G42+'9'!G42+'10'!G42+'11'!G42+'12'!F42+'13'!G42+'14'!G42+'15'!G42+'16'!G42+'17'!G42+'18'!G42+'19'!F42+'20'!G42+'21'!G42+'22'!F42+'23'!G42+'24'!G42+'25'!G42+'26'!F42+'27'!G42+'28'!G42+'29'!G42</f>
        <v>88</v>
      </c>
      <c r="H42" s="25">
        <f>'1'!H42+'2'!H42+'3'!H42+'4'!H42+'5'!H42+'6'!H42+'7'!H42+'8'!H42+'9'!H42+'10'!H42+'11'!H42+'12'!G42+'13'!H42+'14'!H42+'15'!H42+'16'!H42+'17'!H42+'18'!H42+'19'!G42+'20'!H42+'21'!H42+'22'!G42+'23'!H42+'24'!H42+'25'!H42+'26'!G42+'27'!H42+'28'!H42+'29'!H42</f>
        <v>24</v>
      </c>
      <c r="I42" s="25">
        <f>'1'!I42+'2'!I42+'3'!I42+'4'!I42+'5'!I42+'6'!I42+'7'!I42+'8'!I42+'9'!I42+'10'!I42+'11'!I42+'12'!H42+'13'!I42+'14'!I42+'15'!I42+'16'!I42+'17'!I42+'18'!I42+'19'!H42+'20'!I42+'21'!I42+'22'!H42+'23'!I42+'24'!I42+'25'!I42+'26'!H42+'27'!I42+'28'!I42+'29'!I42</f>
        <v>0</v>
      </c>
      <c r="J42" s="25">
        <f>'1'!J42+'2'!J42+'3'!J42+'4'!J42+'5'!J42+'6'!J42+'7'!J42+'8'!J42+'9'!J42+'10'!J42+'11'!J42+'12'!I42+'13'!J42+'14'!J42+'15'!J42+'16'!J42+'17'!J42+'18'!J42+'19'!I42+'20'!J42+'21'!J42+'22'!I42+'23'!J42+'24'!J42+'25'!J42+'26'!I42+'27'!J42+'28'!J42+'29'!J42</f>
        <v>0</v>
      </c>
      <c r="K42" s="25">
        <f>'1'!K42+'2'!K42+'3'!K42+'4'!K42+'5'!K42+'6'!K42+'7'!K42+'8'!K42+'9'!K42+'10'!K42+'11'!K42+'12'!J42+'13'!K42+'14'!K42+'15'!K42+'16'!K42+'17'!K42+'18'!K42+'19'!J42+'20'!K42+'21'!K42+'22'!J42+'23'!K42+'24'!K42+'25'!K42+'26'!J42+'27'!K42+'28'!K42+'29'!K42</f>
        <v>20</v>
      </c>
      <c r="L42" s="28">
        <f t="shared" si="0"/>
        <v>557</v>
      </c>
      <c r="M42" s="11"/>
      <c r="N42" s="11"/>
      <c r="O42" s="11"/>
      <c r="P42" s="11"/>
      <c r="Q42" s="36">
        <v>0</v>
      </c>
    </row>
    <row r="43" spans="2:17" ht="22.2" x14ac:dyDescent="0.25">
      <c r="B43" s="11">
        <v>1111060</v>
      </c>
      <c r="C43" s="15" t="s">
        <v>54</v>
      </c>
      <c r="D43" s="25">
        <f>'1'!D43+'2'!D43+'3'!D43+'4'!D43+'5'!D43+'6'!D43+'7'!D43+'8'!D43+'9'!D43+'10'!D43+'11'!D43+'12'!C43+'13'!D43+'14'!D43+'15'!D43+'16'!D43+'17'!D43+'18'!D43+'19'!C43+'20'!D43+'21'!D43+'22'!C43+'23'!D43+'24'!D43+'25'!D43+'26'!C43+'27'!D43+'28'!D43+'29'!D43</f>
        <v>114</v>
      </c>
      <c r="E43" s="25">
        <f>'1'!E43+'2'!E43+'3'!E43+'4'!E43+'5'!E43+'6'!E43+'7'!E43+'8'!E43+'9'!E43+'10'!E43+'11'!E43+'12'!D43+'13'!E43+'14'!E43+'15'!E43+'16'!E43+'17'!E43+'18'!E43+'19'!D43+'20'!E43+'21'!E43+'22'!D43+'23'!E43+'24'!E43+'25'!E43+'26'!D43+'27'!E43+'28'!E43+'29'!E43</f>
        <v>9</v>
      </c>
      <c r="F43" s="25">
        <f>'1'!F43+'2'!F43+'3'!F43+'4'!F43+'5'!F43+'6'!F43+'7'!F43+'8'!F43+'9'!F43+'10'!F43+'11'!F43+'12'!E43+'13'!F43+'14'!F43+'15'!F43+'16'!F43+'17'!F43+'18'!F43+'19'!E43+'20'!F43+'21'!F43+'22'!E43+'23'!F43+'24'!F43+'25'!F43+'26'!E43+'27'!F43+'28'!F43+'29'!F43</f>
        <v>10</v>
      </c>
      <c r="G43" s="25">
        <f>'1'!G43+'2'!G43+'3'!G43+'4'!G43+'5'!G43+'6'!G43+'7'!G43+'8'!G43+'9'!G43+'10'!G43+'11'!G43+'12'!F43+'13'!G43+'14'!G43+'15'!G43+'16'!G43+'17'!G43+'18'!G43+'19'!F43+'20'!G43+'21'!G43+'22'!F43+'23'!G43+'24'!G43+'25'!G43+'26'!F43+'27'!G43+'28'!G43+'29'!G43</f>
        <v>9</v>
      </c>
      <c r="H43" s="25">
        <f>'1'!H43+'2'!H43+'3'!H43+'4'!H43+'5'!H43+'6'!H43+'7'!H43+'8'!H43+'9'!H43+'10'!H43+'11'!H43+'12'!G43+'13'!H43+'14'!H43+'15'!H43+'16'!H43+'17'!H43+'18'!H43+'19'!G43+'20'!H43+'21'!H43+'22'!G43+'23'!H43+'24'!H43+'25'!H43+'26'!G43+'27'!H43+'28'!H43+'29'!H43</f>
        <v>1</v>
      </c>
      <c r="I43" s="25">
        <f>'1'!I43+'2'!I43+'3'!I43+'4'!I43+'5'!I43+'6'!I43+'7'!I43+'8'!I43+'9'!I43+'10'!I43+'11'!I43+'12'!H43+'13'!I43+'14'!I43+'15'!I43+'16'!I43+'17'!I43+'18'!I43+'19'!H43+'20'!I43+'21'!I43+'22'!H43+'23'!I43+'24'!I43+'25'!I43+'26'!H43+'27'!I43+'28'!I43+'29'!I43</f>
        <v>0</v>
      </c>
      <c r="J43" s="25">
        <f>'1'!J43+'2'!J43+'3'!J43+'4'!J43+'5'!J43+'6'!J43+'7'!J43+'8'!J43+'9'!J43+'10'!J43+'11'!J43+'12'!I43+'13'!J43+'14'!J43+'15'!J43+'16'!J43+'17'!J43+'18'!J43+'19'!I43+'20'!J43+'21'!J43+'22'!I43+'23'!J43+'24'!J43+'25'!J43+'26'!I43+'27'!J43+'28'!J43+'29'!J43</f>
        <v>0</v>
      </c>
      <c r="K43" s="25">
        <f>'1'!K43+'2'!K43+'3'!K43+'4'!K43+'5'!K43+'6'!K43+'7'!K43+'8'!K43+'9'!K43+'10'!K43+'11'!K43+'12'!J43+'13'!K43+'14'!K43+'15'!K43+'16'!K43+'17'!K43+'18'!K43+'19'!J43+'20'!K43+'21'!K43+'22'!J43+'23'!K43+'24'!K43+'25'!K43+'26'!J43+'27'!K43+'28'!K43+'29'!K43</f>
        <v>19</v>
      </c>
      <c r="L43" s="28">
        <f t="shared" si="0"/>
        <v>162</v>
      </c>
      <c r="M43" s="11"/>
      <c r="N43" s="11"/>
      <c r="O43" s="11"/>
      <c r="P43" s="11"/>
      <c r="Q43" s="36">
        <v>0</v>
      </c>
    </row>
    <row r="44" spans="2:17" ht="22.2" x14ac:dyDescent="0.25">
      <c r="B44" s="11">
        <v>1111061</v>
      </c>
      <c r="C44" s="15" t="s">
        <v>55</v>
      </c>
      <c r="D44" s="25">
        <f>'1'!D44+'2'!D44+'3'!D44+'4'!D44+'5'!D44+'6'!D44+'7'!D44+'8'!D44+'9'!D44+'10'!D44+'11'!D44+'12'!C44+'13'!D44+'14'!D44+'15'!D44+'16'!D44+'17'!D44+'18'!D44+'19'!C44+'20'!D44+'21'!D44+'22'!C44+'23'!D44+'24'!D44+'25'!D44+'26'!C44+'27'!D44+'28'!D44+'29'!D44</f>
        <v>115</v>
      </c>
      <c r="E44" s="25">
        <f>'1'!E44+'2'!E44+'3'!E44+'4'!E44+'5'!E44+'6'!E44+'7'!E44+'8'!E44+'9'!E44+'10'!E44+'11'!E44+'12'!D44+'13'!E44+'14'!E44+'15'!E44+'16'!E44+'17'!E44+'18'!E44+'19'!D44+'20'!E44+'21'!E44+'22'!D44+'23'!E44+'24'!E44+'25'!E44+'26'!D44+'27'!E44+'28'!E44+'29'!E44</f>
        <v>203</v>
      </c>
      <c r="F44" s="25">
        <f>'1'!F44+'2'!F44+'3'!F44+'4'!F44+'5'!F44+'6'!F44+'7'!F44+'8'!F44+'9'!F44+'10'!F44+'11'!F44+'12'!E44+'13'!F44+'14'!F44+'15'!F44+'16'!F44+'17'!F44+'18'!F44+'19'!E44+'20'!F44+'21'!F44+'22'!E44+'23'!F44+'24'!F44+'25'!F44+'26'!E44+'27'!F44+'28'!F44+'29'!F44</f>
        <v>49</v>
      </c>
      <c r="G44" s="25">
        <f>'1'!G44+'2'!G44+'3'!G44+'4'!G44+'5'!G44+'6'!G44+'7'!G44+'8'!G44+'9'!G44+'10'!G44+'11'!G44+'12'!F44+'13'!G44+'14'!G44+'15'!G44+'16'!G44+'17'!G44+'18'!G44+'19'!F44+'20'!G44+'21'!G44+'22'!F44+'23'!G44+'24'!G44+'25'!G44+'26'!F44+'27'!G44+'28'!G44+'29'!G44</f>
        <v>60</v>
      </c>
      <c r="H44" s="25">
        <f>'1'!H44+'2'!H44+'3'!H44+'4'!H44+'5'!H44+'6'!H44+'7'!H44+'8'!H44+'9'!H44+'10'!H44+'11'!H44+'12'!G44+'13'!H44+'14'!H44+'15'!H44+'16'!H44+'17'!H44+'18'!H44+'19'!G44+'20'!H44+'21'!H44+'22'!G44+'23'!H44+'24'!H44+'25'!H44+'26'!G44+'27'!H44+'28'!H44+'29'!H44</f>
        <v>10</v>
      </c>
      <c r="I44" s="25">
        <f>'1'!I44+'2'!I44+'3'!I44+'4'!I44+'5'!I44+'6'!I44+'7'!I44+'8'!I44+'9'!I44+'10'!I44+'11'!I44+'12'!H44+'13'!I44+'14'!I44+'15'!I44+'16'!I44+'17'!I44+'18'!I44+'19'!H44+'20'!I44+'21'!I44+'22'!H44+'23'!I44+'24'!I44+'25'!I44+'26'!H44+'27'!I44+'28'!I44+'29'!I44</f>
        <v>0</v>
      </c>
      <c r="J44" s="25">
        <f>'1'!J44+'2'!J44+'3'!J44+'4'!J44+'5'!J44+'6'!J44+'7'!J44+'8'!J44+'9'!J44+'10'!J44+'11'!J44+'12'!I44+'13'!J44+'14'!J44+'15'!J44+'16'!J44+'17'!J44+'18'!J44+'19'!I44+'20'!J44+'21'!J44+'22'!I44+'23'!J44+'24'!J44+'25'!J44+'26'!I44+'27'!J44+'28'!J44+'29'!J44</f>
        <v>0</v>
      </c>
      <c r="K44" s="25">
        <f>'1'!K44+'2'!K44+'3'!K44+'4'!K44+'5'!K44+'6'!K44+'7'!K44+'8'!K44+'9'!K44+'10'!K44+'11'!K44+'12'!J44+'13'!K44+'14'!K44+'15'!K44+'16'!K44+'17'!K44+'18'!K44+'19'!J44+'20'!K44+'21'!K44+'22'!J44+'23'!K44+'24'!K44+'25'!K44+'26'!J44+'27'!K44+'28'!K44+'29'!K44</f>
        <v>19</v>
      </c>
      <c r="L44" s="28">
        <f t="shared" si="0"/>
        <v>456</v>
      </c>
      <c r="M44" s="11"/>
      <c r="N44" s="11"/>
      <c r="O44" s="11"/>
      <c r="P44" s="11"/>
      <c r="Q44" s="36">
        <v>0</v>
      </c>
    </row>
    <row r="45" spans="2:17" ht="22.2" x14ac:dyDescent="0.25">
      <c r="B45" s="11">
        <v>1111062</v>
      </c>
      <c r="C45" s="15" t="s">
        <v>56</v>
      </c>
      <c r="D45" s="25">
        <f>'1'!D45+'2'!D45+'3'!D45+'4'!D45+'5'!D45+'6'!D45+'7'!D45+'8'!D45+'9'!D45+'10'!D45+'11'!D45+'12'!C45+'13'!D45+'14'!D45+'15'!D45+'16'!D45+'17'!D45+'18'!D45+'19'!C45+'20'!D45+'21'!D45+'22'!C45+'23'!D45+'24'!D45+'25'!D45+'26'!C45+'27'!D45+'28'!D45+'29'!D45</f>
        <v>115</v>
      </c>
      <c r="E45" s="25">
        <f>'1'!E45+'2'!E45+'3'!E45+'4'!E45+'5'!E45+'6'!E45+'7'!E45+'8'!E45+'9'!E45+'10'!E45+'11'!E45+'12'!D45+'13'!E45+'14'!E45+'15'!E45+'16'!E45+'17'!E45+'18'!E45+'19'!D45+'20'!E45+'21'!E45+'22'!D45+'23'!E45+'24'!E45+'25'!E45+'26'!D45+'27'!E45+'28'!E45+'29'!E45</f>
        <v>151</v>
      </c>
      <c r="F45" s="25">
        <f>'1'!F45+'2'!F45+'3'!F45+'4'!F45+'5'!F45+'6'!F45+'7'!F45+'8'!F45+'9'!F45+'10'!F45+'11'!F45+'12'!E45+'13'!F45+'14'!F45+'15'!F45+'16'!F45+'17'!F45+'18'!F45+'19'!E45+'20'!F45+'21'!F45+'22'!E45+'23'!F45+'24'!F45+'25'!F45+'26'!E45+'27'!F45+'28'!F45+'29'!F45</f>
        <v>53</v>
      </c>
      <c r="G45" s="25">
        <f>'1'!G45+'2'!G45+'3'!G45+'4'!G45+'5'!G45+'6'!G45+'7'!G45+'8'!G45+'9'!G45+'10'!G45+'11'!G45+'12'!F45+'13'!G45+'14'!G45+'15'!G45+'16'!G45+'17'!G45+'18'!G45+'19'!F45+'20'!G45+'21'!G45+'22'!F45+'23'!G45+'24'!G45+'25'!G45+'26'!F45+'27'!G45+'28'!G45+'29'!G45</f>
        <v>8</v>
      </c>
      <c r="H45" s="25">
        <f>'1'!H45+'2'!H45+'3'!H45+'4'!H45+'5'!H45+'6'!H45+'7'!H45+'8'!H45+'9'!H45+'10'!H45+'11'!H45+'12'!G45+'13'!H45+'14'!H45+'15'!H45+'16'!H45+'17'!H45+'18'!H45+'19'!G45+'20'!H45+'21'!H45+'22'!G45+'23'!H45+'24'!H45+'25'!H45+'26'!G45+'27'!H45+'28'!H45+'29'!H45</f>
        <v>0</v>
      </c>
      <c r="I45" s="25">
        <f>'1'!I45+'2'!I45+'3'!I45+'4'!I45+'5'!I45+'6'!I45+'7'!I45+'8'!I45+'9'!I45+'10'!I45+'11'!I45+'12'!H45+'13'!I45+'14'!I45+'15'!I45+'16'!I45+'17'!I45+'18'!I45+'19'!H45+'20'!I45+'21'!I45+'22'!H45+'23'!I45+'24'!I45+'25'!I45+'26'!H45+'27'!I45+'28'!I45+'29'!I45</f>
        <v>0</v>
      </c>
      <c r="J45" s="25">
        <f>'1'!J45+'2'!J45+'3'!J45+'4'!J45+'5'!J45+'6'!J45+'7'!J45+'8'!J45+'9'!J45+'10'!J45+'11'!J45+'12'!I45+'13'!J45+'14'!J45+'15'!J45+'16'!J45+'17'!J45+'18'!J45+'19'!I45+'20'!J45+'21'!J45+'22'!I45+'23'!J45+'24'!J45+'25'!J45+'26'!I45+'27'!J45+'28'!J45+'29'!J45</f>
        <v>0</v>
      </c>
      <c r="K45" s="25">
        <f>'1'!K45+'2'!K45+'3'!K45+'4'!K45+'5'!K45+'6'!K45+'7'!K45+'8'!K45+'9'!K45+'10'!K45+'11'!K45+'12'!J45+'13'!K45+'14'!K45+'15'!K45+'16'!K45+'17'!K45+'18'!K45+'19'!J45+'20'!K45+'21'!K45+'22'!J45+'23'!K45+'24'!K45+'25'!K45+'26'!J45+'27'!K45+'28'!K45+'29'!K45</f>
        <v>19</v>
      </c>
      <c r="L45" s="28">
        <f t="shared" si="0"/>
        <v>346</v>
      </c>
      <c r="M45" s="11"/>
      <c r="N45" s="11"/>
      <c r="O45" s="11"/>
      <c r="P45" s="11"/>
      <c r="Q45" s="36">
        <v>0</v>
      </c>
    </row>
    <row r="46" spans="2:17" ht="22.2" x14ac:dyDescent="0.25">
      <c r="B46" s="11">
        <v>1111063</v>
      </c>
      <c r="C46" s="15" t="s">
        <v>57</v>
      </c>
      <c r="D46" s="25">
        <f>'1'!D46+'2'!D46+'3'!D46+'4'!D46+'5'!D46+'6'!D46+'7'!D46+'8'!D46+'9'!D46+'10'!D46+'11'!D46+'12'!C46+'13'!D46+'14'!D46+'15'!D46+'16'!D46+'17'!D46+'18'!D46+'19'!C46+'20'!D46+'21'!D46+'22'!C46+'23'!D46+'24'!D46+'25'!D46+'26'!C46+'27'!D46+'28'!D46+'29'!D46</f>
        <v>115</v>
      </c>
      <c r="E46" s="25">
        <f>'1'!E46+'2'!E46+'3'!E46+'4'!E46+'5'!E46+'6'!E46+'7'!E46+'8'!E46+'9'!E46+'10'!E46+'11'!E46+'12'!D46+'13'!E46+'14'!E46+'15'!E46+'16'!E46+'17'!E46+'18'!E46+'19'!D46+'20'!E46+'21'!E46+'22'!D46+'23'!E46+'24'!E46+'25'!E46+'26'!D46+'27'!E46+'28'!E46+'29'!E46</f>
        <v>254</v>
      </c>
      <c r="F46" s="25">
        <f>'1'!F46+'2'!F46+'3'!F46+'4'!F46+'5'!F46+'6'!F46+'7'!F46+'8'!F46+'9'!F46+'10'!F46+'11'!F46+'12'!E46+'13'!F46+'14'!F46+'15'!F46+'16'!F46+'17'!F46+'18'!F46+'19'!E46+'20'!F46+'21'!F46+'22'!E46+'23'!F46+'24'!F46+'25'!F46+'26'!E46+'27'!F46+'28'!F46+'29'!F46</f>
        <v>81</v>
      </c>
      <c r="G46" s="25">
        <f>'1'!G46+'2'!G46+'3'!G46+'4'!G46+'5'!G46+'6'!G46+'7'!G46+'8'!G46+'9'!G46+'10'!G46+'11'!G46+'12'!F46+'13'!G46+'14'!G46+'15'!G46+'16'!G46+'17'!G46+'18'!G46+'19'!F46+'20'!G46+'21'!G46+'22'!F46+'23'!G46+'24'!G46+'25'!G46+'26'!F46+'27'!G46+'28'!G46+'29'!G46</f>
        <v>58</v>
      </c>
      <c r="H46" s="25">
        <f>'1'!H46+'2'!H46+'3'!H46+'4'!H46+'5'!H46+'6'!H46+'7'!H46+'8'!H46+'9'!H46+'10'!H46+'11'!H46+'12'!G46+'13'!H46+'14'!H46+'15'!H46+'16'!H46+'17'!H46+'18'!H46+'19'!G46+'20'!H46+'21'!H46+'22'!G46+'23'!H46+'24'!H46+'25'!H46+'26'!G46+'27'!H46+'28'!H46+'29'!H46</f>
        <v>11</v>
      </c>
      <c r="I46" s="25">
        <f>'1'!I46+'2'!I46+'3'!I46+'4'!I46+'5'!I46+'6'!I46+'7'!I46+'8'!I46+'9'!I46+'10'!I46+'11'!I46+'12'!H46+'13'!I46+'14'!I46+'15'!I46+'16'!I46+'17'!I46+'18'!I46+'19'!H46+'20'!I46+'21'!I46+'22'!H46+'23'!I46+'24'!I46+'25'!I46+'26'!H46+'27'!I46+'28'!I46+'29'!I46</f>
        <v>0</v>
      </c>
      <c r="J46" s="25">
        <f>'1'!J46+'2'!J46+'3'!J46+'4'!J46+'5'!J46+'6'!J46+'7'!J46+'8'!J46+'9'!J46+'10'!J46+'11'!J46+'12'!I46+'13'!J46+'14'!J46+'15'!J46+'16'!J46+'17'!J46+'18'!J46+'19'!I46+'20'!J46+'21'!J46+'22'!I46+'23'!J46+'24'!J46+'25'!J46+'26'!I46+'27'!J46+'28'!J46+'29'!J46</f>
        <v>0</v>
      </c>
      <c r="K46" s="25">
        <f>'1'!K46+'2'!K46+'3'!K46+'4'!K46+'5'!K46+'6'!K46+'7'!K46+'8'!K46+'9'!K46+'10'!K46+'11'!K46+'12'!J46+'13'!K46+'14'!K46+'15'!K46+'16'!K46+'17'!K46+'18'!K46+'19'!J46+'20'!K46+'21'!K46+'22'!J46+'23'!K46+'24'!K46+'25'!K46+'26'!J46+'27'!K46+'28'!K46+'29'!K46</f>
        <v>19</v>
      </c>
      <c r="L46" s="28">
        <f t="shared" si="0"/>
        <v>538</v>
      </c>
      <c r="M46" s="11"/>
      <c r="N46" s="11"/>
      <c r="O46" s="11"/>
      <c r="P46" s="11"/>
      <c r="Q46" s="36">
        <v>0</v>
      </c>
    </row>
    <row r="47" spans="2:17" ht="22.2" x14ac:dyDescent="0.25">
      <c r="B47" s="11">
        <v>1111064</v>
      </c>
      <c r="C47" s="15" t="s">
        <v>58</v>
      </c>
      <c r="D47" s="25">
        <f>'1'!D47+'2'!D47+'3'!D47+'4'!D47+'5'!D47+'6'!D47+'7'!D47+'8'!D47+'9'!D47+'10'!D47+'11'!D47+'12'!C47+'13'!D47+'14'!D47+'15'!D47+'16'!D47+'17'!D47+'18'!D47+'19'!C47+'20'!D47+'21'!D47+'22'!C47+'23'!D47+'24'!D47+'25'!D47+'26'!C47+'27'!D47+'28'!D47+'29'!D47</f>
        <v>115</v>
      </c>
      <c r="E47" s="25">
        <f>'1'!E47+'2'!E47+'3'!E47+'4'!E47+'5'!E47+'6'!E47+'7'!E47+'8'!E47+'9'!E47+'10'!E47+'11'!E47+'12'!D47+'13'!E47+'14'!E47+'15'!E47+'16'!E47+'17'!E47+'18'!E47+'19'!D47+'20'!E47+'21'!E47+'22'!D47+'23'!E47+'24'!E47+'25'!E47+'26'!D47+'27'!E47+'28'!E47+'29'!E47</f>
        <v>253</v>
      </c>
      <c r="F47" s="25">
        <f>'1'!F47+'2'!F47+'3'!F47+'4'!F47+'5'!F47+'6'!F47+'7'!F47+'8'!F47+'9'!F47+'10'!F47+'11'!F47+'12'!E47+'13'!F47+'14'!F47+'15'!F47+'16'!F47+'17'!F47+'18'!F47+'19'!E47+'20'!F47+'21'!F47+'22'!E47+'23'!F47+'24'!F47+'25'!F47+'26'!E47+'27'!F47+'28'!F47+'29'!F47</f>
        <v>74</v>
      </c>
      <c r="G47" s="25">
        <f>'1'!G47+'2'!G47+'3'!G47+'4'!G47+'5'!G47+'6'!G47+'7'!G47+'8'!G47+'9'!G47+'10'!G47+'11'!G47+'12'!F47+'13'!G47+'14'!G47+'15'!G47+'16'!G47+'17'!G47+'18'!G47+'19'!F47+'20'!G47+'21'!G47+'22'!F47+'23'!G47+'24'!G47+'25'!G47+'26'!F47+'27'!G47+'28'!G47+'29'!G47</f>
        <v>58</v>
      </c>
      <c r="H47" s="25">
        <f>'1'!H47+'2'!H47+'3'!H47+'4'!H47+'5'!H47+'6'!H47+'7'!H47+'8'!H47+'9'!H47+'10'!H47+'11'!H47+'12'!G47+'13'!H47+'14'!H47+'15'!H47+'16'!H47+'17'!H47+'18'!H47+'19'!G47+'20'!H47+'21'!H47+'22'!G47+'23'!H47+'24'!H47+'25'!H47+'26'!G47+'27'!H47+'28'!H47+'29'!H47</f>
        <v>10</v>
      </c>
      <c r="I47" s="25">
        <f>'1'!I47+'2'!I47+'3'!I47+'4'!I47+'5'!I47+'6'!I47+'7'!I47+'8'!I47+'9'!I47+'10'!I47+'11'!I47+'12'!H47+'13'!I47+'14'!I47+'15'!I47+'16'!I47+'17'!I47+'18'!I47+'19'!H47+'20'!I47+'21'!I47+'22'!H47+'23'!I47+'24'!I47+'25'!I47+'26'!H47+'27'!I47+'28'!I47+'29'!I47</f>
        <v>0</v>
      </c>
      <c r="J47" s="25">
        <f>'1'!J47+'2'!J47+'3'!J47+'4'!J47+'5'!J47+'6'!J47+'7'!J47+'8'!J47+'9'!J47+'10'!J47+'11'!J47+'12'!I47+'13'!J47+'14'!J47+'15'!J47+'16'!J47+'17'!J47+'18'!J47+'19'!I47+'20'!J47+'21'!J47+'22'!I47+'23'!J47+'24'!J47+'25'!J47+'26'!I47+'27'!J47+'28'!J47+'29'!J47</f>
        <v>0</v>
      </c>
      <c r="K47" s="25">
        <f>'1'!K47+'2'!K47+'3'!K47+'4'!K47+'5'!K47+'6'!K47+'7'!K47+'8'!K47+'9'!K47+'10'!K47+'11'!K47+'12'!J47+'13'!K47+'14'!K47+'15'!K47+'16'!K47+'17'!K47+'18'!K47+'19'!J47+'20'!K47+'21'!K47+'22'!J47+'23'!K47+'24'!K47+'25'!K47+'26'!J47+'27'!K47+'28'!K47+'29'!K47</f>
        <v>19</v>
      </c>
      <c r="L47" s="28">
        <f t="shared" si="0"/>
        <v>529</v>
      </c>
      <c r="M47" s="11"/>
      <c r="N47" s="11"/>
      <c r="O47" s="11"/>
      <c r="P47" s="11"/>
      <c r="Q47" s="36">
        <v>0</v>
      </c>
    </row>
    <row r="48" spans="2:17" ht="22.2" x14ac:dyDescent="0.25">
      <c r="B48" s="11">
        <v>1111065</v>
      </c>
      <c r="C48" s="15" t="s">
        <v>59</v>
      </c>
      <c r="D48" s="25">
        <f>'1'!D48+'2'!D48+'3'!D48+'4'!D48+'5'!D48+'6'!D48+'7'!D48+'8'!D48+'9'!D48+'10'!D48+'11'!D48+'12'!C48+'13'!D48+'14'!D48+'15'!D48+'16'!D48+'17'!D48+'18'!D48+'19'!C48+'20'!D48+'21'!D48+'22'!C48+'23'!D48+'24'!D48+'25'!D48+'26'!C48+'27'!D48+'28'!D48+'29'!D48</f>
        <v>117</v>
      </c>
      <c r="E48" s="25">
        <f>'1'!E48+'2'!E48+'3'!E48+'4'!E48+'5'!E48+'6'!E48+'7'!E48+'8'!E48+'9'!E48+'10'!E48+'11'!E48+'12'!D48+'13'!E48+'14'!E48+'15'!E48+'16'!E48+'17'!E48+'18'!E48+'19'!D48+'20'!E48+'21'!E48+'22'!D48+'23'!E48+'24'!E48+'25'!E48+'26'!D48+'27'!E48+'28'!E48+'29'!E48</f>
        <v>181</v>
      </c>
      <c r="F48" s="25">
        <f>'1'!F48+'2'!F48+'3'!F48+'4'!F48+'5'!F48+'6'!F48+'7'!F48+'8'!F48+'9'!F48+'10'!F48+'11'!F48+'12'!E48+'13'!F48+'14'!F48+'15'!F48+'16'!F48+'17'!F48+'18'!F48+'19'!E48+'20'!F48+'21'!F48+'22'!E48+'23'!F48+'24'!F48+'25'!F48+'26'!E48+'27'!F48+'28'!F48+'29'!F48</f>
        <v>10</v>
      </c>
      <c r="G48" s="25">
        <f>'1'!G48+'2'!G48+'3'!G48+'4'!G48+'5'!G48+'6'!G48+'7'!G48+'8'!G48+'9'!G48+'10'!G48+'11'!G48+'12'!F48+'13'!G48+'14'!G48+'15'!G48+'16'!G48+'17'!G48+'18'!G48+'19'!F48+'20'!G48+'21'!G48+'22'!F48+'23'!G48+'24'!G48+'25'!G48+'26'!F48+'27'!G48+'28'!G48+'29'!G48</f>
        <v>5</v>
      </c>
      <c r="H48" s="25">
        <f>'1'!H48+'2'!H48+'3'!H48+'4'!H48+'5'!H48+'6'!H48+'7'!H48+'8'!H48+'9'!H48+'10'!H48+'11'!H48+'12'!G48+'13'!H48+'14'!H48+'15'!H48+'16'!H48+'17'!H48+'18'!H48+'19'!G48+'20'!H48+'21'!H48+'22'!G48+'23'!H48+'24'!H48+'25'!H48+'26'!G48+'27'!H48+'28'!H48+'29'!H48</f>
        <v>1</v>
      </c>
      <c r="I48" s="25">
        <f>'1'!I48+'2'!I48+'3'!I48+'4'!I48+'5'!I48+'6'!I48+'7'!I48+'8'!I48+'9'!I48+'10'!I48+'11'!I48+'12'!H48+'13'!I48+'14'!I48+'15'!I48+'16'!I48+'17'!I48+'18'!I48+'19'!H48+'20'!I48+'21'!I48+'22'!H48+'23'!I48+'24'!I48+'25'!I48+'26'!H48+'27'!I48+'28'!I48+'29'!I48</f>
        <v>0</v>
      </c>
      <c r="J48" s="25">
        <f>'1'!J48+'2'!J48+'3'!J48+'4'!J48+'5'!J48+'6'!J48+'7'!J48+'8'!J48+'9'!J48+'10'!J48+'11'!J48+'12'!I48+'13'!J48+'14'!J48+'15'!J48+'16'!J48+'17'!J48+'18'!J48+'19'!I48+'20'!J48+'21'!J48+'22'!I48+'23'!J48+'24'!J48+'25'!J48+'26'!I48+'27'!J48+'28'!J48+'29'!J48</f>
        <v>0</v>
      </c>
      <c r="K48" s="25">
        <f>'1'!K48+'2'!K48+'3'!K48+'4'!K48+'5'!K48+'6'!K48+'7'!K48+'8'!K48+'9'!K48+'10'!K48+'11'!K48+'12'!J48+'13'!K48+'14'!K48+'15'!K48+'16'!K48+'17'!K48+'18'!K48+'19'!J48+'20'!K48+'21'!K48+'22'!J48+'23'!K48+'24'!K48+'25'!K48+'26'!J48+'27'!K48+'28'!K48+'29'!K48</f>
        <v>19</v>
      </c>
      <c r="L48" s="28">
        <f t="shared" si="0"/>
        <v>333</v>
      </c>
      <c r="M48" s="11"/>
      <c r="N48" s="11"/>
      <c r="O48" s="11"/>
      <c r="P48" s="11"/>
      <c r="Q48" s="36">
        <v>0</v>
      </c>
    </row>
    <row r="49" spans="2:22" ht="22.2" x14ac:dyDescent="0.25">
      <c r="B49" s="11">
        <v>1111066</v>
      </c>
      <c r="C49" s="15" t="s">
        <v>60</v>
      </c>
      <c r="D49" s="25">
        <f>'1'!D49+'2'!D49+'3'!D49+'4'!D49+'5'!D49+'6'!D49+'7'!D49+'8'!D49+'9'!D49+'10'!D49+'11'!D49+'12'!C49+'13'!D49+'14'!D49+'15'!D49+'16'!D49+'17'!D49+'18'!D49+'19'!C49+'20'!D49+'21'!D49+'22'!C49+'23'!D49+'24'!D49+'25'!D49+'26'!C49+'27'!D49+'28'!D49+'29'!D49</f>
        <v>114</v>
      </c>
      <c r="E49" s="25">
        <f>'1'!E49+'2'!E49+'3'!E49+'4'!E49+'5'!E49+'6'!E49+'7'!E49+'8'!E49+'9'!E49+'10'!E49+'11'!E49+'12'!D49+'13'!E49+'14'!E49+'15'!E49+'16'!E49+'17'!E49+'18'!E49+'19'!D49+'20'!E49+'21'!E49+'22'!D49+'23'!E49+'24'!E49+'25'!E49+'26'!D49+'27'!E49+'28'!E49+'29'!E49</f>
        <v>254</v>
      </c>
      <c r="F49" s="25">
        <f>'1'!F49+'2'!F49+'3'!F49+'4'!F49+'5'!F49+'6'!F49+'7'!F49+'8'!F49+'9'!F49+'10'!F49+'11'!F49+'12'!E49+'13'!F49+'14'!F49+'15'!F49+'16'!F49+'17'!F49+'18'!F49+'19'!E49+'20'!F49+'21'!F49+'22'!E49+'23'!F49+'24'!F49+'25'!F49+'26'!E49+'27'!F49+'28'!F49+'29'!F49</f>
        <v>81</v>
      </c>
      <c r="G49" s="25">
        <f>'1'!G49+'2'!G49+'3'!G49+'4'!G49+'5'!G49+'6'!G49+'7'!G49+'8'!G49+'9'!G49+'10'!G49+'11'!G49+'12'!F49+'13'!G49+'14'!G49+'15'!G49+'16'!G49+'17'!G49+'18'!G49+'19'!F49+'20'!G49+'21'!G49+'22'!F49+'23'!G49+'24'!G49+'25'!G49+'26'!F49+'27'!G49+'28'!G49+'29'!G49</f>
        <v>58</v>
      </c>
      <c r="H49" s="25">
        <f>'1'!H49+'2'!H49+'3'!H49+'4'!H49+'5'!H49+'6'!H49+'7'!H49+'8'!H49+'9'!H49+'10'!H49+'11'!H49+'12'!G49+'13'!H49+'14'!H49+'15'!H49+'16'!H49+'17'!H49+'18'!H49+'19'!G49+'20'!H49+'21'!H49+'22'!G49+'23'!H49+'24'!H49+'25'!H49+'26'!G49+'27'!H49+'28'!H49+'29'!H49</f>
        <v>11</v>
      </c>
      <c r="I49" s="25">
        <f>'1'!I49+'2'!I49+'3'!I49+'4'!I49+'5'!I49+'6'!I49+'7'!I49+'8'!I49+'9'!I49+'10'!I49+'11'!I49+'12'!H49+'13'!I49+'14'!I49+'15'!I49+'16'!I49+'17'!I49+'18'!I49+'19'!H49+'20'!I49+'21'!I49+'22'!H49+'23'!I49+'24'!I49+'25'!I49+'26'!H49+'27'!I49+'28'!I49+'29'!I49</f>
        <v>0</v>
      </c>
      <c r="J49" s="25">
        <f>'1'!J49+'2'!J49+'3'!J49+'4'!J49+'5'!J49+'6'!J49+'7'!J49+'8'!J49+'9'!J49+'10'!J49+'11'!J49+'12'!I49+'13'!J49+'14'!J49+'15'!J49+'16'!J49+'17'!J49+'18'!J49+'19'!I49+'20'!J49+'21'!J49+'22'!I49+'23'!J49+'24'!J49+'25'!J49+'26'!I49+'27'!J49+'28'!J49+'29'!J49</f>
        <v>0</v>
      </c>
      <c r="K49" s="25">
        <f>'1'!K49+'2'!K49+'3'!K49+'4'!K49+'5'!K49+'6'!K49+'7'!K49+'8'!K49+'9'!K49+'10'!K49+'11'!K49+'12'!J49+'13'!K49+'14'!K49+'15'!K49+'16'!K49+'17'!K49+'18'!K49+'19'!J49+'20'!K49+'21'!K49+'22'!J49+'23'!K49+'24'!K49+'25'!K49+'26'!J49+'27'!K49+'28'!K49+'29'!K49</f>
        <v>19</v>
      </c>
      <c r="L49" s="28">
        <f t="shared" si="0"/>
        <v>537</v>
      </c>
      <c r="M49" s="11"/>
      <c r="N49" s="11"/>
      <c r="O49" s="11"/>
      <c r="P49" s="11"/>
      <c r="Q49" s="36">
        <v>0</v>
      </c>
    </row>
    <row r="50" spans="2:22" ht="22.2" x14ac:dyDescent="0.25">
      <c r="B50" s="11">
        <v>1111067</v>
      </c>
      <c r="C50" s="15" t="s">
        <v>61</v>
      </c>
      <c r="D50" s="25">
        <f>'1'!D50+'2'!D50+'3'!D50+'4'!D50+'5'!D50+'6'!D50+'7'!D50+'8'!D50+'9'!D50+'10'!D50+'11'!D50+'12'!C50+'13'!D50+'14'!D50+'15'!D50+'16'!D50+'17'!D50+'18'!D50+'19'!C50+'20'!D50+'21'!D50+'22'!C50+'23'!D50+'24'!D50+'25'!D50+'26'!C50+'27'!D50+'28'!D50+'29'!D50</f>
        <v>119</v>
      </c>
      <c r="E50" s="25">
        <f>'1'!E50+'2'!E50+'3'!E50+'4'!E50+'5'!E50+'6'!E50+'7'!E50+'8'!E50+'9'!E50+'10'!E50+'11'!E50+'12'!D50+'13'!E50+'14'!E50+'15'!E50+'16'!E50+'17'!E50+'18'!E50+'19'!D50+'20'!E50+'21'!E50+'22'!D50+'23'!E50+'24'!E50+'25'!E50+'26'!D50+'27'!E50+'28'!E50+'29'!E50</f>
        <v>393</v>
      </c>
      <c r="F50" s="25">
        <f>'1'!F50+'2'!F50+'3'!F50+'4'!F50+'5'!F50+'6'!F50+'7'!F50+'8'!F50+'9'!F50+'10'!F50+'11'!F50+'12'!E50+'13'!F50+'14'!F50+'15'!F50+'16'!F50+'17'!F50+'18'!F50+'19'!E50+'20'!F50+'21'!F50+'22'!E50+'23'!F50+'24'!F50+'25'!F50+'26'!E50+'27'!F50+'28'!F50+'29'!F50</f>
        <v>78</v>
      </c>
      <c r="G50" s="25">
        <f>'1'!G50+'2'!G50+'3'!G50+'4'!G50+'5'!G50+'6'!G50+'7'!G50+'8'!G50+'9'!G50+'10'!G50+'11'!G50+'12'!F50+'13'!G50+'14'!G50+'15'!G50+'16'!G50+'17'!G50+'18'!G50+'19'!F50+'20'!G50+'21'!G50+'22'!F50+'23'!G50+'24'!G50+'25'!G50+'26'!F50+'27'!G50+'28'!G50+'29'!G50</f>
        <v>91</v>
      </c>
      <c r="H50" s="25">
        <f>'1'!H50+'2'!H50+'3'!H50+'4'!H50+'5'!H50+'6'!H50+'7'!H50+'8'!H50+'9'!H50+'10'!H50+'11'!H50+'12'!G50+'13'!H50+'14'!H50+'15'!H50+'16'!H50+'17'!H50+'18'!H50+'19'!G50+'20'!H50+'21'!H50+'22'!G50+'23'!H50+'24'!H50+'25'!H50+'26'!G50+'27'!H50+'28'!H50+'29'!H50</f>
        <v>26</v>
      </c>
      <c r="I50" s="25">
        <f>'1'!I50+'2'!I50+'3'!I50+'4'!I50+'5'!I50+'6'!I50+'7'!I50+'8'!I50+'9'!I50+'10'!I50+'11'!I50+'12'!H50+'13'!I50+'14'!I50+'15'!I50+'16'!I50+'17'!I50+'18'!I50+'19'!H50+'20'!I50+'21'!I50+'22'!H50+'23'!I50+'24'!I50+'25'!I50+'26'!H50+'27'!I50+'28'!I50+'29'!I50</f>
        <v>0</v>
      </c>
      <c r="J50" s="25">
        <f>'1'!J50+'2'!J50+'3'!J50+'4'!J50+'5'!J50+'6'!J50+'7'!J50+'8'!J50+'9'!J50+'10'!J50+'11'!J50+'12'!I50+'13'!J50+'14'!J50+'15'!J50+'16'!J50+'17'!J50+'18'!J50+'19'!I50+'20'!J50+'21'!J50+'22'!I50+'23'!J50+'24'!J50+'25'!J50+'26'!I50+'27'!J50+'28'!J50+'29'!J50</f>
        <v>0</v>
      </c>
      <c r="K50" s="25">
        <f>'1'!K50+'2'!K50+'3'!K50+'4'!K50+'5'!K50+'6'!K50+'7'!K50+'8'!K50+'9'!K50+'10'!K50+'11'!K50+'12'!J50+'13'!K50+'14'!K50+'15'!K50+'16'!K50+'17'!K50+'18'!K50+'19'!J50+'20'!K50+'21'!K50+'22'!J50+'23'!K50+'24'!K50+'25'!K50+'26'!J50+'27'!K50+'28'!K50+'29'!K50</f>
        <v>19</v>
      </c>
      <c r="L50" s="28">
        <f t="shared" si="0"/>
        <v>726</v>
      </c>
      <c r="M50" s="11"/>
      <c r="N50" s="11"/>
      <c r="O50" s="11"/>
      <c r="P50" s="11"/>
      <c r="Q50" s="36">
        <v>0</v>
      </c>
    </row>
    <row r="51" spans="2:22" ht="22.2" x14ac:dyDescent="0.25">
      <c r="B51" s="11">
        <v>1111068</v>
      </c>
      <c r="C51" s="15" t="s">
        <v>62</v>
      </c>
      <c r="D51" s="25">
        <f>'1'!D51+'2'!D51+'3'!D51+'4'!D51+'5'!D51+'6'!D51+'7'!D51+'8'!D51+'9'!D51+'10'!D51+'11'!D51+'12'!C51+'13'!D51+'14'!D51+'15'!D51+'16'!D51+'17'!D51+'18'!D51+'19'!C51+'20'!D51+'21'!D51+'22'!C51+'23'!D51+'24'!D51+'25'!D51+'26'!C51+'27'!D51+'28'!D51+'29'!D51</f>
        <v>119</v>
      </c>
      <c r="E51" s="25">
        <f>'1'!E51+'2'!E51+'3'!E51+'4'!E51+'5'!E51+'6'!E51+'7'!E51+'8'!E51+'9'!E51+'10'!E51+'11'!E51+'12'!D51+'13'!E51+'14'!E51+'15'!E51+'16'!E51+'17'!E51+'18'!E51+'19'!D51+'20'!E51+'21'!E51+'22'!D51+'23'!E51+'24'!E51+'25'!E51+'26'!D51+'27'!E51+'28'!E51+'29'!E51</f>
        <v>303</v>
      </c>
      <c r="F51" s="25">
        <f>'1'!F51+'2'!F51+'3'!F51+'4'!F51+'5'!F51+'6'!F51+'7'!F51+'8'!F51+'9'!F51+'10'!F51+'11'!F51+'12'!E51+'13'!F51+'14'!F51+'15'!F51+'16'!F51+'17'!F51+'18'!F51+'19'!E51+'20'!F51+'21'!F51+'22'!E51+'23'!F51+'24'!F51+'25'!F51+'26'!E51+'27'!F51+'28'!F51+'29'!F51</f>
        <v>78</v>
      </c>
      <c r="G51" s="25">
        <f>'1'!G51+'2'!G51+'3'!G51+'4'!G51+'5'!G51+'6'!G51+'7'!G51+'8'!G51+'9'!G51+'10'!G51+'11'!G51+'12'!F51+'13'!G51+'14'!G51+'15'!G51+'16'!G51+'17'!G51+'18'!G51+'19'!F51+'20'!G51+'21'!G51+'22'!F51+'23'!G51+'24'!G51+'25'!G51+'26'!F51+'27'!G51+'28'!G51+'29'!G51</f>
        <v>57</v>
      </c>
      <c r="H51" s="25">
        <f>'1'!H51+'2'!H51+'3'!H51+'4'!H51+'5'!H51+'6'!H51+'7'!H51+'8'!H51+'9'!H51+'10'!H51+'11'!H51+'12'!G51+'13'!H51+'14'!H51+'15'!H51+'16'!H51+'17'!H51+'18'!H51+'19'!G51+'20'!H51+'21'!H51+'22'!G51+'23'!H51+'24'!H51+'25'!H51+'26'!G51+'27'!H51+'28'!H51+'29'!H51</f>
        <v>11</v>
      </c>
      <c r="I51" s="25">
        <f>'1'!I51+'2'!I51+'3'!I51+'4'!I51+'5'!I51+'6'!I51+'7'!I51+'8'!I51+'9'!I51+'10'!I51+'11'!I51+'12'!H51+'13'!I51+'14'!I51+'15'!I51+'16'!I51+'17'!I51+'18'!I51+'19'!H51+'20'!I51+'21'!I51+'22'!H51+'23'!I51+'24'!I51+'25'!I51+'26'!H51+'27'!I51+'28'!I51+'29'!I51</f>
        <v>0</v>
      </c>
      <c r="J51" s="25">
        <f>'1'!J51+'2'!J51+'3'!J51+'4'!J51+'5'!J51+'6'!J51+'7'!J51+'8'!J51+'9'!J51+'10'!J51+'11'!J51+'12'!I51+'13'!J51+'14'!J51+'15'!J51+'16'!J51+'17'!J51+'18'!J51+'19'!I51+'20'!J51+'21'!J51+'22'!I51+'23'!J51+'24'!J51+'25'!J51+'26'!I51+'27'!J51+'28'!J51+'29'!J51</f>
        <v>0</v>
      </c>
      <c r="K51" s="25">
        <f>'1'!K51+'2'!K51+'3'!K51+'4'!K51+'5'!K51+'6'!K51+'7'!K51+'8'!K51+'9'!K51+'10'!K51+'11'!K51+'12'!J51+'13'!K51+'14'!K51+'15'!K51+'16'!K51+'17'!K51+'18'!K51+'19'!J51+'20'!K51+'21'!K51+'22'!J51+'23'!K51+'24'!K51+'25'!K51+'26'!J51+'27'!K51+'28'!K51+'29'!K51</f>
        <v>19</v>
      </c>
      <c r="L51" s="28">
        <f t="shared" si="0"/>
        <v>587</v>
      </c>
      <c r="M51" s="11"/>
      <c r="N51" s="11"/>
      <c r="O51" s="11"/>
      <c r="P51" s="11"/>
      <c r="Q51" s="36">
        <v>0</v>
      </c>
    </row>
    <row r="52" spans="2:22" ht="22.2" x14ac:dyDescent="0.35">
      <c r="B52" s="11">
        <v>1111069</v>
      </c>
      <c r="C52" s="15" t="s">
        <v>63</v>
      </c>
      <c r="D52" s="25">
        <f>'1'!D52+'2'!D52+'3'!D52+'4'!D52+'5'!D52+'6'!D52+'7'!D52+'8'!D52+'9'!D52+'10'!D52+'11'!D52+'12'!C52+'13'!D52+'14'!D52+'15'!D52+'16'!D52+'17'!D52+'18'!D52+'19'!C52+'20'!D52+'21'!D52+'22'!C52+'23'!D52+'24'!D52+'25'!D52+'26'!C52+'27'!D52+'28'!D52+'29'!D52</f>
        <v>114</v>
      </c>
      <c r="E52" s="25">
        <f>'1'!E52+'2'!E52+'3'!E52+'4'!E52+'5'!E52+'6'!E52+'7'!E52+'8'!E52+'9'!E52+'10'!E52+'11'!E52+'12'!D52+'13'!E52+'14'!E52+'15'!E52+'16'!E52+'17'!E52+'18'!E52+'19'!D52+'20'!E52+'21'!E52+'22'!D52+'23'!E52+'24'!E52+'25'!E52+'26'!D52+'27'!E52+'28'!E52+'29'!E52</f>
        <v>254</v>
      </c>
      <c r="F52" s="25">
        <f>'1'!F52+'2'!F52+'3'!F52+'4'!F52+'5'!F52+'6'!F52+'7'!F52+'8'!F52+'9'!F52+'10'!F52+'11'!F52+'12'!E52+'13'!F52+'14'!F52+'15'!F52+'16'!F52+'17'!F52+'18'!F52+'19'!E52+'20'!F52+'21'!F52+'22'!E52+'23'!F52+'24'!F52+'25'!F52+'26'!E52+'27'!F52+'28'!F52+'29'!F52</f>
        <v>78</v>
      </c>
      <c r="G52" s="25">
        <f>'1'!G52+'2'!G52+'3'!G52+'4'!G52+'5'!G52+'6'!G52+'7'!G52+'8'!G52+'9'!G52+'10'!G52+'11'!G52+'12'!F52+'13'!G52+'14'!G52+'15'!G52+'16'!G52+'17'!G52+'18'!G52+'19'!F52+'20'!G52+'21'!G52+'22'!F52+'23'!G52+'24'!G52+'25'!G52+'26'!F52+'27'!G52+'28'!G52+'29'!G52</f>
        <v>54</v>
      </c>
      <c r="H52" s="25">
        <f>'1'!H52+'2'!H52+'3'!H52+'4'!H52+'5'!H52+'6'!H52+'7'!H52+'8'!H52+'9'!H52+'10'!H52+'11'!H52+'12'!G52+'13'!H52+'14'!H52+'15'!H52+'16'!H52+'17'!H52+'18'!H52+'19'!G52+'20'!H52+'21'!H52+'22'!G52+'23'!H52+'24'!H52+'25'!H52+'26'!G52+'27'!H52+'28'!H52+'29'!H52</f>
        <v>11</v>
      </c>
      <c r="I52" s="25">
        <f>'1'!I52+'2'!I52+'3'!I52+'4'!I52+'5'!I52+'6'!I52+'7'!I52+'8'!I52+'9'!I52+'10'!I52+'11'!I52+'12'!H52+'13'!I52+'14'!I52+'15'!I52+'16'!I52+'17'!I52+'18'!I52+'19'!H52+'20'!I52+'21'!I52+'22'!H52+'23'!I52+'24'!I52+'25'!I52+'26'!H52+'27'!I52+'28'!I52+'29'!I52</f>
        <v>0</v>
      </c>
      <c r="J52" s="25">
        <f>'1'!J52+'2'!J52+'3'!J52+'4'!J52+'5'!J52+'6'!J52+'7'!J52+'8'!J52+'9'!J52+'10'!J52+'11'!J52+'12'!I52+'13'!J52+'14'!J52+'15'!J52+'16'!J52+'17'!J52+'18'!J52+'19'!I52+'20'!J52+'21'!J52+'22'!I52+'23'!J52+'24'!J52+'25'!J52+'26'!I52+'27'!J52+'28'!J52+'29'!J52</f>
        <v>0</v>
      </c>
      <c r="K52" s="25">
        <f>'1'!K52+'2'!K52+'3'!K52+'4'!K52+'5'!K52+'6'!K52+'7'!K52+'8'!K52+'9'!K52+'10'!K52+'11'!K52+'12'!J52+'13'!K52+'14'!K52+'15'!K52+'16'!K52+'17'!K52+'18'!K52+'19'!J52+'20'!K52+'21'!K52+'22'!J52+'23'!K52+'24'!K52+'25'!K52+'26'!J52+'27'!K52+'28'!K52+'29'!K52</f>
        <v>19</v>
      </c>
      <c r="L52" s="28">
        <f t="shared" si="0"/>
        <v>530</v>
      </c>
      <c r="M52" s="11"/>
      <c r="N52" s="11"/>
      <c r="O52" s="11"/>
      <c r="P52" s="11"/>
      <c r="Q52" s="36">
        <v>0</v>
      </c>
      <c r="S52" s="38"/>
    </row>
    <row r="53" spans="2:22" ht="22.2" x14ac:dyDescent="0.25">
      <c r="B53" s="11">
        <v>1111070</v>
      </c>
      <c r="C53" s="15" t="s">
        <v>64</v>
      </c>
      <c r="D53" s="25">
        <f>'1'!D53+'2'!D53+'3'!D53+'4'!D53+'5'!D53+'6'!D53+'7'!D53+'8'!D53+'9'!D53+'10'!D53+'11'!D53+'12'!C53+'13'!D53+'14'!D53+'15'!D53+'16'!D53+'17'!D53+'18'!D53+'19'!C53+'20'!D53+'21'!D53+'22'!C53+'23'!D53+'24'!D53+'25'!D53+'26'!C53+'27'!D53+'28'!D53+'29'!D53</f>
        <v>0</v>
      </c>
      <c r="E53" s="25">
        <f>'1'!E53+'2'!E53+'3'!E53+'4'!E53+'5'!E53+'6'!E53+'7'!E53+'8'!E53+'9'!E53+'10'!E53+'11'!E53+'12'!D53+'13'!E53+'14'!E53+'15'!E53+'16'!E53+'17'!E53+'18'!E53+'19'!D53+'20'!E53+'21'!E53+'22'!D53+'23'!E53+'24'!E53+'25'!E53+'26'!D53+'27'!E53+'28'!E53+'29'!E53</f>
        <v>6</v>
      </c>
      <c r="F53" s="25">
        <f>'1'!F53+'2'!F53+'3'!F53+'4'!F53+'5'!F53+'6'!F53+'7'!F53+'8'!F53+'9'!F53+'10'!F53+'11'!F53+'12'!E53+'13'!F53+'14'!F53+'15'!F53+'16'!F53+'17'!F53+'18'!F53+'19'!E53+'20'!F53+'21'!F53+'22'!E53+'23'!F53+'24'!F53+'25'!F53+'26'!E53+'27'!F53+'28'!F53+'29'!F53</f>
        <v>0</v>
      </c>
      <c r="G53" s="25">
        <f>'1'!G53+'2'!G53+'3'!G53+'4'!G53+'5'!G53+'6'!G53+'7'!G53+'8'!G53+'9'!G53+'10'!G53+'11'!G53+'12'!F53+'13'!G53+'14'!G53+'15'!G53+'16'!G53+'17'!G53+'18'!G53+'19'!F53+'20'!G53+'21'!G53+'22'!F53+'23'!G53+'24'!G53+'25'!G53+'26'!F53+'27'!G53+'28'!G53+'29'!G53</f>
        <v>0</v>
      </c>
      <c r="H53" s="25">
        <f>'1'!H53+'2'!H53+'3'!H53+'4'!H53+'5'!H53+'6'!H53+'7'!H53+'8'!H53+'9'!H53+'10'!H53+'11'!H53+'12'!G53+'13'!H53+'14'!H53+'15'!H53+'16'!H53+'17'!H53+'18'!H53+'19'!G53+'20'!H53+'21'!H53+'22'!G53+'23'!H53+'24'!H53+'25'!H53+'26'!G53+'27'!H53+'28'!H53+'29'!H53</f>
        <v>0</v>
      </c>
      <c r="I53" s="25">
        <f>'1'!I53+'2'!I53+'3'!I53+'4'!I53+'5'!I53+'6'!I53+'7'!I53+'8'!I53+'9'!I53+'10'!I53+'11'!I53+'12'!H53+'13'!I53+'14'!I53+'15'!I53+'16'!I53+'17'!I53+'18'!I53+'19'!H53+'20'!I53+'21'!I53+'22'!H53+'23'!I53+'24'!I53+'25'!I53+'26'!H53+'27'!I53+'28'!I53+'29'!I53</f>
        <v>0</v>
      </c>
      <c r="J53" s="25">
        <f>'1'!J53+'2'!J53+'3'!J53+'4'!J53+'5'!J53+'6'!J53+'7'!J53+'8'!J53+'9'!J53+'10'!J53+'11'!J53+'12'!I53+'13'!J53+'14'!J53+'15'!J53+'16'!J53+'17'!J53+'18'!J53+'19'!I53+'20'!J53+'21'!J53+'22'!I53+'23'!J53+'24'!J53+'25'!J53+'26'!I53+'27'!J53+'28'!J53+'29'!J53</f>
        <v>0</v>
      </c>
      <c r="K53" s="25">
        <f>'1'!K53+'2'!K53+'3'!K53+'4'!K53+'5'!K53+'6'!K53+'7'!K53+'8'!K53+'9'!K53+'10'!K53+'11'!K53+'12'!J53+'13'!K53+'14'!K53+'15'!K53+'16'!K53+'17'!K53+'18'!K53+'19'!J53+'20'!K53+'21'!K53+'22'!J53+'23'!K53+'24'!K53+'25'!K53+'26'!J53+'27'!K53+'28'!K53+'29'!K53</f>
        <v>0</v>
      </c>
      <c r="L53" s="28">
        <f t="shared" si="0"/>
        <v>6</v>
      </c>
      <c r="M53" s="11"/>
      <c r="N53" s="11"/>
      <c r="O53" s="11"/>
      <c r="P53" s="11"/>
      <c r="Q53" s="36">
        <v>0</v>
      </c>
    </row>
    <row r="54" spans="2:22" ht="22.2" x14ac:dyDescent="0.35">
      <c r="B54" s="11">
        <v>1111071</v>
      </c>
      <c r="C54" s="15" t="s">
        <v>65</v>
      </c>
      <c r="D54" s="25">
        <f>'1'!D54+'2'!D54+'3'!D54+'4'!D54+'5'!D54+'6'!D54+'7'!D54+'8'!D54+'9'!D54+'10'!D54+'11'!D54+'12'!C54+'13'!D54+'14'!D54+'15'!D54+'16'!D54+'17'!D54+'18'!D54+'19'!C54+'20'!D54+'21'!D54+'22'!C54+'23'!D54+'24'!D54+'25'!D54+'26'!C54+'27'!D54+'28'!D54+'29'!D54</f>
        <v>0</v>
      </c>
      <c r="E54" s="25">
        <f>'1'!E54+'2'!E54+'3'!E54+'4'!E54+'5'!E54+'6'!E54+'7'!E54+'8'!E54+'9'!E54+'10'!E54+'11'!E54+'12'!D54+'13'!E54+'14'!E54+'15'!E54+'16'!E54+'17'!E54+'18'!E54+'19'!D54+'20'!E54+'21'!E54+'22'!D54+'23'!E54+'24'!E54+'25'!E54+'26'!D54+'27'!E54+'28'!E54+'29'!E54</f>
        <v>6</v>
      </c>
      <c r="F54" s="25">
        <f>'1'!F54+'2'!F54+'3'!F54+'4'!F54+'5'!F54+'6'!F54+'7'!F54+'8'!F54+'9'!F54+'10'!F54+'11'!F54+'12'!E54+'13'!F54+'14'!F54+'15'!F54+'16'!F54+'17'!F54+'18'!F54+'19'!E54+'20'!F54+'21'!F54+'22'!E54+'23'!F54+'24'!F54+'25'!F54+'26'!E54+'27'!F54+'28'!F54+'29'!F54</f>
        <v>0</v>
      </c>
      <c r="G54" s="25">
        <f>'1'!G54+'2'!G54+'3'!G54+'4'!G54+'5'!G54+'6'!G54+'7'!G54+'8'!G54+'9'!G54+'10'!G54+'11'!G54+'12'!F54+'13'!G54+'14'!G54+'15'!G54+'16'!G54+'17'!G54+'18'!G54+'19'!F54+'20'!G54+'21'!G54+'22'!F54+'23'!G54+'24'!G54+'25'!G54+'26'!F54+'27'!G54+'28'!G54+'29'!G54</f>
        <v>0</v>
      </c>
      <c r="H54" s="25">
        <f>'1'!H54+'2'!H54+'3'!H54+'4'!H54+'5'!H54+'6'!H54+'7'!H54+'8'!H54+'9'!H54+'10'!H54+'11'!H54+'12'!G54+'13'!H54+'14'!H54+'15'!H54+'16'!H54+'17'!H54+'18'!H54+'19'!G54+'20'!H54+'21'!H54+'22'!G54+'23'!H54+'24'!H54+'25'!H54+'26'!G54+'27'!H54+'28'!H54+'29'!H54</f>
        <v>0</v>
      </c>
      <c r="I54" s="25">
        <f>'1'!I54+'2'!I54+'3'!I54+'4'!I54+'5'!I54+'6'!I54+'7'!I54+'8'!I54+'9'!I54+'10'!I54+'11'!I54+'12'!H54+'13'!I54+'14'!I54+'15'!I54+'16'!I54+'17'!I54+'18'!I54+'19'!H54+'20'!I54+'21'!I54+'22'!H54+'23'!I54+'24'!I54+'25'!I54+'26'!H54+'27'!I54+'28'!I54+'29'!I54</f>
        <v>0</v>
      </c>
      <c r="J54" s="25">
        <f>'1'!J54+'2'!J54+'3'!J54+'4'!J54+'5'!J54+'6'!J54+'7'!J54+'8'!J54+'9'!J54+'10'!J54+'11'!J54+'12'!I54+'13'!J54+'14'!J54+'15'!J54+'16'!J54+'17'!J54+'18'!J54+'19'!I54+'20'!J54+'21'!J54+'22'!I54+'23'!J54+'24'!J54+'25'!J54+'26'!I54+'27'!J54+'28'!J54+'29'!J54</f>
        <v>0</v>
      </c>
      <c r="K54" s="25">
        <f>'1'!K54+'2'!K54+'3'!K54+'4'!K54+'5'!K54+'6'!K54+'7'!K54+'8'!K54+'9'!K54+'10'!K54+'11'!K54+'12'!J54+'13'!K54+'14'!K54+'15'!K54+'16'!K54+'17'!K54+'18'!K54+'19'!J54+'20'!K54+'21'!K54+'22'!J54+'23'!K54+'24'!K54+'25'!K54+'26'!J54+'27'!K54+'28'!K54+'29'!K54</f>
        <v>0</v>
      </c>
      <c r="L54" s="28">
        <f t="shared" si="0"/>
        <v>6</v>
      </c>
      <c r="M54" s="11"/>
      <c r="N54" s="11"/>
      <c r="O54" s="11"/>
      <c r="P54" s="11"/>
      <c r="Q54" s="36">
        <v>0</v>
      </c>
      <c r="T54" s="38"/>
      <c r="V54" s="38"/>
    </row>
    <row r="55" spans="2:22" ht="22.2" hidden="1" x14ac:dyDescent="0.25">
      <c r="B55" s="11">
        <v>1111001</v>
      </c>
      <c r="C55" s="15" t="s">
        <v>66</v>
      </c>
      <c r="D55" s="25">
        <f>'1'!D55+'2'!D55+'3'!D55+'4'!D55+'5'!D55+'6'!D55+'7'!D55+'8'!D55+'9'!D55+'10'!D55+'11'!D55+'12'!C55+'13'!D55+'14'!D55+'15'!D55+'16'!D55+'17'!D55+'18'!D55+'19'!C55+'20'!D55+'21'!D55+'22'!C55+'23'!D55+'24'!D55+'25'!D55+'26'!C55+'27'!D55+'28'!D55+'29'!D55</f>
        <v>0</v>
      </c>
      <c r="E55" s="25">
        <f>'1'!E55+'2'!E55+'3'!E55+'4'!E55+'5'!E55+'6'!E55+'7'!E55+'8'!E55+'9'!E55+'10'!E55+'11'!E55+'12'!D55+'13'!E55+'14'!E55+'15'!E55+'16'!E55+'17'!E55+'18'!E55+'19'!D55+'20'!E55+'21'!E55+'22'!D55+'23'!E55+'24'!E55+'25'!E55+'26'!D55+'27'!E55+'28'!E55+'29'!E55</f>
        <v>0</v>
      </c>
      <c r="F55" s="25">
        <f>'1'!F55+'2'!F55+'3'!F55+'4'!F55+'5'!F55+'6'!F55+'7'!F55+'8'!F55+'9'!F55+'10'!F55+'11'!F55+'12'!E55+'13'!F55+'14'!F55+'15'!F55+'16'!F55+'17'!F55+'18'!F55+'19'!E55+'20'!F55+'21'!F55+'22'!E55+'23'!F55+'24'!F55+'25'!F55+'26'!E55+'27'!F55+'28'!F55+'29'!F55</f>
        <v>0</v>
      </c>
      <c r="G55" s="25">
        <f>'1'!G55+'2'!G55+'3'!G55+'4'!G55+'5'!G55+'6'!G55+'7'!G55+'8'!G55+'9'!G55+'10'!G55+'11'!G55+'12'!F55+'13'!G55+'14'!G55+'15'!G55+'16'!G55+'17'!G55+'18'!G55+'19'!F55+'20'!G55+'21'!G55+'22'!F55+'23'!G55+'24'!G55+'25'!G55+'26'!F55+'27'!G55+'28'!G55+'29'!G55</f>
        <v>0</v>
      </c>
      <c r="H55" s="25">
        <f>'1'!H55+'2'!H55+'3'!H55+'4'!H55+'5'!H55+'6'!H55+'7'!H55+'8'!H55+'9'!H55+'10'!H55+'11'!H55+'12'!G55+'13'!H55+'14'!H55+'15'!H55+'16'!H55+'17'!H55+'18'!H55+'19'!G55+'20'!H55+'21'!H55+'22'!G55+'23'!H55+'24'!H55+'25'!H55+'26'!G55+'27'!H55+'28'!H55+'29'!H55</f>
        <v>0</v>
      </c>
      <c r="I55" s="25">
        <f>'1'!I55+'2'!I55+'3'!I55+'4'!I55+'5'!I55+'6'!I55+'7'!I55+'8'!I55+'9'!I55+'10'!I55+'11'!I55+'12'!H55+'13'!I55+'14'!I55+'15'!I55+'16'!I55+'17'!I55+'18'!I55+'19'!H55+'20'!I55+'21'!I55+'22'!H55+'23'!I55+'24'!I55+'25'!I55+'26'!H55+'27'!I55+'28'!I55+'29'!I55</f>
        <v>0</v>
      </c>
      <c r="J55" s="25">
        <f>'1'!J55+'2'!J55+'3'!J55+'4'!J55+'5'!J55+'6'!J55+'7'!J55+'8'!J55+'9'!J55+'10'!J55+'11'!J55+'12'!I55+'13'!J55+'14'!J55+'15'!J55+'16'!J55+'17'!J55+'18'!J55+'19'!I55+'20'!J55+'21'!J55+'22'!I55+'23'!J55+'24'!J55+'25'!J55+'26'!I55+'27'!J55+'28'!J55+'29'!J55</f>
        <v>0</v>
      </c>
      <c r="K55" s="25">
        <f>'1'!K55+'2'!K55+'3'!K55+'4'!K55+'5'!K55+'6'!K55+'7'!K55+'8'!K55+'9'!K55+'10'!K55+'11'!K55+'12'!J55+'13'!K55+'14'!K55+'15'!K55+'16'!K55+'17'!K55+'18'!K55+'19'!J55+'20'!K55+'21'!K55+'22'!J55+'23'!K55+'24'!K55+'25'!K55+'26'!J55+'27'!K55+'28'!K55+'29'!K55</f>
        <v>0</v>
      </c>
      <c r="L55" s="28">
        <f t="shared" si="0"/>
        <v>0</v>
      </c>
      <c r="M55" s="11"/>
      <c r="N55" s="11"/>
      <c r="O55" s="11"/>
      <c r="P55" s="11"/>
      <c r="Q55" s="36">
        <v>0</v>
      </c>
    </row>
    <row r="56" spans="2:22" ht="22.2" x14ac:dyDescent="0.25">
      <c r="B56" s="11">
        <v>1111074</v>
      </c>
      <c r="C56" s="15" t="s">
        <v>67</v>
      </c>
      <c r="D56" s="25">
        <f>'1'!D56+'2'!D56+'3'!D56+'4'!D56+'5'!D56+'6'!D56+'7'!D56+'8'!D56+'9'!D56+'10'!D56+'11'!D56+'12'!C56+'13'!D56+'14'!D56+'15'!D56+'16'!D56+'17'!D56+'18'!D56+'19'!C56+'20'!D56+'21'!D56+'22'!C56+'23'!D56+'24'!D56+'25'!D56+'26'!C56+'27'!D56+'28'!D56+'29'!D56</f>
        <v>125</v>
      </c>
      <c r="E56" s="25">
        <f>'1'!E56+'2'!E56+'3'!E56+'4'!E56+'5'!E56+'6'!E56+'7'!E56+'8'!E56+'9'!E56+'10'!E56+'11'!E56+'12'!D56+'13'!E56+'14'!E56+'15'!E56+'16'!E56+'17'!E56+'18'!E56+'19'!D56+'20'!E56+'21'!E56+'22'!D56+'23'!E56+'24'!E56+'25'!E56+'26'!D56+'27'!E56+'28'!E56+'29'!E56</f>
        <v>80</v>
      </c>
      <c r="F56" s="25">
        <f>'1'!F56+'2'!F56+'3'!F56+'4'!F56+'5'!F56+'6'!F56+'7'!F56+'8'!F56+'9'!F56+'10'!F56+'11'!F56+'12'!E56+'13'!F56+'14'!F56+'15'!F56+'16'!F56+'17'!F56+'18'!F56+'19'!E56+'20'!F56+'21'!F56+'22'!E56+'23'!F56+'24'!F56+'25'!F56+'26'!E56+'27'!F56+'28'!F56+'29'!F56</f>
        <v>116</v>
      </c>
      <c r="G56" s="25">
        <f>'1'!G56+'2'!G56+'3'!G56+'4'!G56+'5'!G56+'6'!G56+'7'!G56+'8'!G56+'9'!G56+'10'!G56+'11'!G56+'12'!F56+'13'!G56+'14'!G56+'15'!G56+'16'!G56+'17'!G56+'18'!G56+'19'!F56+'20'!G56+'21'!G56+'22'!F56+'23'!G56+'24'!G56+'25'!G56+'26'!F56+'27'!G56+'28'!G56+'29'!G56</f>
        <v>135</v>
      </c>
      <c r="H56" s="25">
        <f>'1'!H56+'2'!H56+'3'!H56+'4'!H56+'5'!H56+'6'!H56+'7'!H56+'8'!H56+'9'!H56+'10'!H56+'11'!H56+'12'!G56+'13'!H56+'14'!H56+'15'!H56+'16'!H56+'17'!H56+'18'!H56+'19'!G56+'20'!H56+'21'!H56+'22'!G56+'23'!H56+'24'!H56+'25'!H56+'26'!G56+'27'!H56+'28'!H56+'29'!H56</f>
        <v>9</v>
      </c>
      <c r="I56" s="25">
        <f>'1'!I56+'2'!I56+'3'!I56+'4'!I56+'5'!I56+'6'!I56+'7'!I56+'8'!I56+'9'!I56+'10'!I56+'11'!I56+'12'!H56+'13'!I56+'14'!I56+'15'!I56+'16'!I56+'17'!I56+'18'!I56+'19'!H56+'20'!I56+'21'!I56+'22'!H56+'23'!I56+'24'!I56+'25'!I56+'26'!H56+'27'!I56+'28'!I56+'29'!I56</f>
        <v>0</v>
      </c>
      <c r="J56" s="25">
        <f>'1'!J56+'2'!J56+'3'!J56+'4'!J56+'5'!J56+'6'!J56+'7'!J56+'8'!J56+'9'!J56+'10'!J56+'11'!J56+'12'!I56+'13'!J56+'14'!J56+'15'!J56+'16'!J56+'17'!J56+'18'!J56+'19'!I56+'20'!J56+'21'!J56+'22'!I56+'23'!J56+'24'!J56+'25'!J56+'26'!I56+'27'!J56+'28'!J56+'29'!J56</f>
        <v>0</v>
      </c>
      <c r="K56" s="25">
        <f>'1'!K56+'2'!K56+'3'!K56+'4'!K56+'5'!K56+'6'!K56+'7'!K56+'8'!K56+'9'!K56+'10'!K56+'11'!K56+'12'!J56+'13'!K56+'14'!K56+'15'!K56+'16'!K56+'17'!K56+'18'!K56+'19'!J56+'20'!K56+'21'!K56+'22'!J56+'23'!K56+'24'!K56+'25'!K56+'26'!J56+'27'!K56+'28'!K56+'29'!K56</f>
        <v>0</v>
      </c>
      <c r="L56" s="28">
        <f t="shared" si="0"/>
        <v>465</v>
      </c>
      <c r="M56" s="11"/>
      <c r="N56" s="11"/>
      <c r="O56" s="11"/>
      <c r="P56" s="11"/>
      <c r="Q56" s="36">
        <v>0</v>
      </c>
    </row>
    <row r="57" spans="2:22" ht="22.2" x14ac:dyDescent="0.25">
      <c r="B57" s="11">
        <v>1111075</v>
      </c>
      <c r="C57" s="15" t="s">
        <v>68</v>
      </c>
      <c r="D57" s="25">
        <f>'1'!D57+'2'!D57+'3'!D57+'4'!D57+'5'!D57+'6'!D57+'7'!D57+'8'!D57+'9'!D57+'10'!D57+'11'!D57+'12'!C57+'13'!D57+'14'!D57+'15'!D57+'16'!D57+'17'!D57+'18'!D57+'19'!C57+'20'!D57+'21'!D57+'22'!C57+'23'!D57+'24'!D57+'25'!D57+'26'!C57+'27'!D57+'28'!D57+'29'!D57</f>
        <v>125</v>
      </c>
      <c r="E57" s="25">
        <f>'1'!E57+'2'!E57+'3'!E57+'4'!E57+'5'!E57+'6'!E57+'7'!E57+'8'!E57+'9'!E57+'10'!E57+'11'!E57+'12'!D57+'13'!E57+'14'!E57+'15'!E57+'16'!E57+'17'!E57+'18'!E57+'19'!D57+'20'!E57+'21'!E57+'22'!D57+'23'!E57+'24'!E57+'25'!E57+'26'!D57+'27'!E57+'28'!E57+'29'!E57</f>
        <v>80</v>
      </c>
      <c r="F57" s="25">
        <f>'1'!F57+'2'!F57+'3'!F57+'4'!F57+'5'!F57+'6'!F57+'7'!F57+'8'!F57+'9'!F57+'10'!F57+'11'!F57+'12'!E57+'13'!F57+'14'!F57+'15'!F57+'16'!F57+'17'!F57+'18'!F57+'19'!E57+'20'!F57+'21'!F57+'22'!E57+'23'!F57+'24'!F57+'25'!F57+'26'!E57+'27'!F57+'28'!F57+'29'!F57</f>
        <v>115</v>
      </c>
      <c r="G57" s="25">
        <f>'1'!G57+'2'!G57+'3'!G57+'4'!G57+'5'!G57+'6'!G57+'7'!G57+'8'!G57+'9'!G57+'10'!G57+'11'!G57+'12'!F57+'13'!G57+'14'!G57+'15'!G57+'16'!G57+'17'!G57+'18'!G57+'19'!F57+'20'!G57+'21'!G57+'22'!F57+'23'!G57+'24'!G57+'25'!G57+'26'!F57+'27'!G57+'28'!G57+'29'!G57</f>
        <v>129</v>
      </c>
      <c r="H57" s="25">
        <f>'1'!H57+'2'!H57+'3'!H57+'4'!H57+'5'!H57+'6'!H57+'7'!H57+'8'!H57+'9'!H57+'10'!H57+'11'!H57+'12'!G57+'13'!H57+'14'!H57+'15'!H57+'16'!H57+'17'!H57+'18'!H57+'19'!G57+'20'!H57+'21'!H57+'22'!G57+'23'!H57+'24'!H57+'25'!H57+'26'!G57+'27'!H57+'28'!H57+'29'!H57</f>
        <v>9</v>
      </c>
      <c r="I57" s="25">
        <f>'1'!I57+'2'!I57+'3'!I57+'4'!I57+'5'!I57+'6'!I57+'7'!I57+'8'!I57+'9'!I57+'10'!I57+'11'!I57+'12'!H57+'13'!I57+'14'!I57+'15'!I57+'16'!I57+'17'!I57+'18'!I57+'19'!H57+'20'!I57+'21'!I57+'22'!H57+'23'!I57+'24'!I57+'25'!I57+'26'!H57+'27'!I57+'28'!I57+'29'!I57</f>
        <v>0</v>
      </c>
      <c r="J57" s="25">
        <f>'1'!J57+'2'!J57+'3'!J57+'4'!J57+'5'!J57+'6'!J57+'7'!J57+'8'!J57+'9'!J57+'10'!J57+'11'!J57+'12'!I57+'13'!J57+'14'!J57+'15'!J57+'16'!J57+'17'!J57+'18'!J57+'19'!I57+'20'!J57+'21'!J57+'22'!I57+'23'!J57+'24'!J57+'25'!J57+'26'!I57+'27'!J57+'28'!J57+'29'!J57</f>
        <v>0</v>
      </c>
      <c r="K57" s="25">
        <f>'1'!K57+'2'!K57+'3'!K57+'4'!K57+'5'!K57+'6'!K57+'7'!K57+'8'!K57+'9'!K57+'10'!K57+'11'!K57+'12'!J57+'13'!K57+'14'!K57+'15'!K57+'16'!K57+'17'!K57+'18'!K57+'19'!J57+'20'!K57+'21'!K57+'22'!J57+'23'!K57+'24'!K57+'25'!K57+'26'!J57+'27'!K57+'28'!K57+'29'!K57</f>
        <v>0</v>
      </c>
      <c r="L57" s="28">
        <f t="shared" si="0"/>
        <v>458</v>
      </c>
      <c r="M57" s="11"/>
      <c r="N57" s="11">
        <v>1</v>
      </c>
      <c r="O57" s="11"/>
      <c r="P57" s="11"/>
      <c r="Q57" s="36">
        <v>1</v>
      </c>
    </row>
    <row r="58" spans="2:22" ht="22.2" x14ac:dyDescent="0.25">
      <c r="B58" s="11">
        <v>1111076</v>
      </c>
      <c r="C58" s="15" t="s">
        <v>69</v>
      </c>
      <c r="D58" s="25">
        <f>'1'!D58+'2'!D58+'3'!D58+'4'!D58+'5'!D58+'6'!D58+'7'!D58+'8'!D58+'9'!D58+'10'!D58+'11'!D58+'12'!C58+'13'!D58+'14'!D58+'15'!D58+'16'!D58+'17'!D58+'18'!D58+'19'!C58+'20'!D58+'21'!D58+'22'!C58+'23'!D58+'24'!D58+'25'!D58+'26'!C58+'27'!D58+'28'!D58+'29'!D58</f>
        <v>120</v>
      </c>
      <c r="E58" s="25">
        <f>'1'!E58+'2'!E58+'3'!E58+'4'!E58+'5'!E58+'6'!E58+'7'!E58+'8'!E58+'9'!E58+'10'!E58+'11'!E58+'12'!D58+'13'!E58+'14'!E58+'15'!E58+'16'!E58+'17'!E58+'18'!E58+'19'!D58+'20'!E58+'21'!E58+'22'!D58+'23'!E58+'24'!E58+'25'!E58+'26'!D58+'27'!E58+'28'!E58+'29'!E58</f>
        <v>80</v>
      </c>
      <c r="F58" s="25">
        <f>'1'!F58+'2'!F58+'3'!F58+'4'!F58+'5'!F58+'6'!F58+'7'!F58+'8'!F58+'9'!F58+'10'!F58+'11'!F58+'12'!E58+'13'!F58+'14'!F58+'15'!F58+'16'!F58+'17'!F58+'18'!F58+'19'!E58+'20'!F58+'21'!F58+'22'!E58+'23'!F58+'24'!F58+'25'!F58+'26'!E58+'27'!F58+'28'!F58+'29'!F58</f>
        <v>113</v>
      </c>
      <c r="G58" s="25">
        <f>'1'!G58+'2'!G58+'3'!G58+'4'!G58+'5'!G58+'6'!G58+'7'!G58+'8'!G58+'9'!G58+'10'!G58+'11'!G58+'12'!F58+'13'!G58+'14'!G58+'15'!G58+'16'!G58+'17'!G58+'18'!G58+'19'!F58+'20'!G58+'21'!G58+'22'!F58+'23'!G58+'24'!G58+'25'!G58+'26'!F58+'27'!G58+'28'!G58+'29'!G58</f>
        <v>124</v>
      </c>
      <c r="H58" s="25">
        <f>'1'!H58+'2'!H58+'3'!H58+'4'!H58+'5'!H58+'6'!H58+'7'!H58+'8'!H58+'9'!H58+'10'!H58+'11'!H58+'12'!G58+'13'!H58+'14'!H58+'15'!H58+'16'!H58+'17'!H58+'18'!H58+'19'!G58+'20'!H58+'21'!H58+'22'!G58+'23'!H58+'24'!H58+'25'!H58+'26'!G58+'27'!H58+'28'!H58+'29'!H58</f>
        <v>8</v>
      </c>
      <c r="I58" s="25">
        <f>'1'!I58+'2'!I58+'3'!I58+'4'!I58+'5'!I58+'6'!I58+'7'!I58+'8'!I58+'9'!I58+'10'!I58+'11'!I58+'12'!H58+'13'!I58+'14'!I58+'15'!I58+'16'!I58+'17'!I58+'18'!I58+'19'!H58+'20'!I58+'21'!I58+'22'!H58+'23'!I58+'24'!I58+'25'!I58+'26'!H58+'27'!I58+'28'!I58+'29'!I58</f>
        <v>0</v>
      </c>
      <c r="J58" s="25">
        <f>'1'!J58+'2'!J58+'3'!J58+'4'!J58+'5'!J58+'6'!J58+'7'!J58+'8'!J58+'9'!J58+'10'!J58+'11'!J58+'12'!I58+'13'!J58+'14'!J58+'15'!J58+'16'!J58+'17'!J58+'18'!J58+'19'!I58+'20'!J58+'21'!J58+'22'!I58+'23'!J58+'24'!J58+'25'!J58+'26'!I58+'27'!J58+'28'!J58+'29'!J58</f>
        <v>0</v>
      </c>
      <c r="K58" s="25">
        <f>'1'!K58+'2'!K58+'3'!K58+'4'!K58+'5'!K58+'6'!K58+'7'!K58+'8'!K58+'9'!K58+'10'!K58+'11'!K58+'12'!J58+'13'!K58+'14'!K58+'15'!K58+'16'!K58+'17'!K58+'18'!K58+'19'!J58+'20'!K58+'21'!K58+'22'!J58+'23'!K58+'24'!K58+'25'!K58+'26'!J58+'27'!K58+'28'!K58+'29'!K58</f>
        <v>0</v>
      </c>
      <c r="L58" s="28">
        <f t="shared" si="0"/>
        <v>445</v>
      </c>
      <c r="M58" s="11"/>
      <c r="N58" s="11">
        <v>1</v>
      </c>
      <c r="O58" s="11"/>
      <c r="P58" s="11"/>
      <c r="Q58" s="36">
        <v>1</v>
      </c>
    </row>
    <row r="59" spans="2:22" ht="22.2" x14ac:dyDescent="0.25">
      <c r="B59" s="11">
        <v>1111077</v>
      </c>
      <c r="C59" s="15" t="s">
        <v>70</v>
      </c>
      <c r="D59" s="25">
        <f>'1'!D59+'2'!D59+'3'!D59+'4'!D59+'5'!D59+'6'!D59+'7'!D59+'8'!D59+'9'!D59+'10'!D59+'11'!D59+'12'!C59+'13'!D59+'14'!D59+'15'!D59+'16'!D59+'17'!D59+'18'!D59+'19'!C59+'20'!D59+'21'!D59+'22'!C59+'23'!D59+'24'!D59+'25'!D59+'26'!C59+'27'!D59+'28'!D59+'29'!D59</f>
        <v>125</v>
      </c>
      <c r="E59" s="25">
        <f>'1'!E59+'2'!E59+'3'!E59+'4'!E59+'5'!E59+'6'!E59+'7'!E59+'8'!E59+'9'!E59+'10'!E59+'11'!E59+'12'!D59+'13'!E59+'14'!E59+'15'!E59+'16'!E59+'17'!E59+'18'!E59+'19'!D59+'20'!E59+'21'!E59+'22'!D59+'23'!E59+'24'!E59+'25'!E59+'26'!D59+'27'!E59+'28'!E59+'29'!E59</f>
        <v>80</v>
      </c>
      <c r="F59" s="25">
        <f>'1'!F59+'2'!F59+'3'!F59+'4'!F59+'5'!F59+'6'!F59+'7'!F59+'8'!F59+'9'!F59+'10'!F59+'11'!F59+'12'!E59+'13'!F59+'14'!F59+'15'!F59+'16'!F59+'17'!F59+'18'!F59+'19'!E59+'20'!F59+'21'!F59+'22'!E59+'23'!F59+'24'!F59+'25'!F59+'26'!E59+'27'!F59+'28'!F59+'29'!F59</f>
        <v>121</v>
      </c>
      <c r="G59" s="25">
        <f>'1'!G59+'2'!G59+'3'!G59+'4'!G59+'5'!G59+'6'!G59+'7'!G59+'8'!G59+'9'!G59+'10'!G59+'11'!G59+'12'!F59+'13'!G59+'14'!G59+'15'!G59+'16'!G59+'17'!G59+'18'!G59+'19'!F59+'20'!G59+'21'!G59+'22'!F59+'23'!G59+'24'!G59+'25'!G59+'26'!F59+'27'!G59+'28'!G59+'29'!G59</f>
        <v>123</v>
      </c>
      <c r="H59" s="25">
        <f>'1'!H59+'2'!H59+'3'!H59+'4'!H59+'5'!H59+'6'!H59+'7'!H59+'8'!H59+'9'!H59+'10'!H59+'11'!H59+'12'!G59+'13'!H59+'14'!H59+'15'!H59+'16'!H59+'17'!H59+'18'!H59+'19'!G59+'20'!H59+'21'!H59+'22'!G59+'23'!H59+'24'!H59+'25'!H59+'26'!G59+'27'!H59+'28'!H59+'29'!H59</f>
        <v>8</v>
      </c>
      <c r="I59" s="25">
        <f>'1'!I59+'2'!I59+'3'!I59+'4'!I59+'5'!I59+'6'!I59+'7'!I59+'8'!I59+'9'!I59+'10'!I59+'11'!I59+'12'!H59+'13'!I59+'14'!I59+'15'!I59+'16'!I59+'17'!I59+'18'!I59+'19'!H59+'20'!I59+'21'!I59+'22'!H59+'23'!I59+'24'!I59+'25'!I59+'26'!H59+'27'!I59+'28'!I59+'29'!I59</f>
        <v>0</v>
      </c>
      <c r="J59" s="25">
        <f>'1'!J59+'2'!J59+'3'!J59+'4'!J59+'5'!J59+'6'!J59+'7'!J59+'8'!J59+'9'!J59+'10'!J59+'11'!J59+'12'!I59+'13'!J59+'14'!J59+'15'!J59+'16'!J59+'17'!J59+'18'!J59+'19'!I59+'20'!J59+'21'!J59+'22'!I59+'23'!J59+'24'!J59+'25'!J59+'26'!I59+'27'!J59+'28'!J59+'29'!J59</f>
        <v>0</v>
      </c>
      <c r="K59" s="25">
        <f>'1'!K59+'2'!K59+'3'!K59+'4'!K59+'5'!K59+'6'!K59+'7'!K59+'8'!K59+'9'!K59+'10'!K59+'11'!K59+'12'!J59+'13'!K59+'14'!K59+'15'!K59+'16'!K59+'17'!K59+'18'!K59+'19'!J59+'20'!K59+'21'!K59+'22'!J59+'23'!K59+'24'!K59+'25'!K59+'26'!J59+'27'!K59+'28'!K59+'29'!K59</f>
        <v>0</v>
      </c>
      <c r="L59" s="28">
        <f t="shared" si="0"/>
        <v>457</v>
      </c>
      <c r="M59" s="11"/>
      <c r="N59" s="11">
        <v>1</v>
      </c>
      <c r="O59" s="11"/>
      <c r="P59" s="11"/>
      <c r="Q59" s="36">
        <v>1</v>
      </c>
    </row>
    <row r="60" spans="2:22" ht="22.2" x14ac:dyDescent="0.25">
      <c r="B60" s="11">
        <v>1111078</v>
      </c>
      <c r="C60" s="15" t="s">
        <v>71</v>
      </c>
      <c r="D60" s="25">
        <f>'1'!D60+'2'!D60+'3'!D60+'4'!D60+'5'!D60+'6'!D60+'7'!D60+'8'!D60+'9'!D60+'10'!D60+'11'!D60+'12'!C60+'13'!D60+'14'!D60+'15'!D60+'16'!D60+'17'!D60+'18'!D60+'19'!C60+'20'!D60+'21'!D60+'22'!C60+'23'!D60+'24'!D60+'25'!D60+'26'!C60+'27'!D60+'28'!D60+'29'!D60</f>
        <v>125</v>
      </c>
      <c r="E60" s="25">
        <f>'1'!E60+'2'!E60+'3'!E60+'4'!E60+'5'!E60+'6'!E60+'7'!E60+'8'!E60+'9'!E60+'10'!E60+'11'!E60+'12'!D60+'13'!E60+'14'!E60+'15'!E60+'16'!E60+'17'!E60+'18'!E60+'19'!D60+'20'!E60+'21'!E60+'22'!D60+'23'!E60+'24'!E60+'25'!E60+'26'!D60+'27'!E60+'28'!E60+'29'!E60</f>
        <v>80</v>
      </c>
      <c r="F60" s="25">
        <f>'1'!F60+'2'!F60+'3'!F60+'4'!F60+'5'!F60+'6'!F60+'7'!F60+'8'!F60+'9'!F60+'10'!F60+'11'!F60+'12'!E60+'13'!F60+'14'!F60+'15'!F60+'16'!F60+'17'!F60+'18'!F60+'19'!E60+'20'!F60+'21'!F60+'22'!E60+'23'!F60+'24'!F60+'25'!F60+'26'!E60+'27'!F60+'28'!F60+'29'!F60</f>
        <v>111</v>
      </c>
      <c r="G60" s="25">
        <f>'1'!G60+'2'!G60+'3'!G60+'4'!G60+'5'!G60+'6'!G60+'7'!G60+'8'!G60+'9'!G60+'10'!G60+'11'!G60+'12'!F60+'13'!G60+'14'!G60+'15'!G60+'16'!G60+'17'!G60+'18'!G60+'19'!F60+'20'!G60+'21'!G60+'22'!F60+'23'!G60+'24'!G60+'25'!G60+'26'!F60+'27'!G60+'28'!G60+'29'!G60</f>
        <v>123</v>
      </c>
      <c r="H60" s="25">
        <f>'1'!H60+'2'!H60+'3'!H60+'4'!H60+'5'!H60+'6'!H60+'7'!H60+'8'!H60+'9'!H60+'10'!H60+'11'!H60+'12'!G60+'13'!H60+'14'!H60+'15'!H60+'16'!H60+'17'!H60+'18'!H60+'19'!G60+'20'!H60+'21'!H60+'22'!G60+'23'!H60+'24'!H60+'25'!H60+'26'!G60+'27'!H60+'28'!H60+'29'!H60</f>
        <v>7</v>
      </c>
      <c r="I60" s="25">
        <f>'1'!I60+'2'!I60+'3'!I60+'4'!I60+'5'!I60+'6'!I60+'7'!I60+'8'!I60+'9'!I60+'10'!I60+'11'!I60+'12'!H60+'13'!I60+'14'!I60+'15'!I60+'16'!I60+'17'!I60+'18'!I60+'19'!H60+'20'!I60+'21'!I60+'22'!H60+'23'!I60+'24'!I60+'25'!I60+'26'!H60+'27'!I60+'28'!I60+'29'!I60</f>
        <v>0</v>
      </c>
      <c r="J60" s="25">
        <f>'1'!J60+'2'!J60+'3'!J60+'4'!J60+'5'!J60+'6'!J60+'7'!J60+'8'!J60+'9'!J60+'10'!J60+'11'!J60+'12'!I60+'13'!J60+'14'!J60+'15'!J60+'16'!J60+'17'!J60+'18'!J60+'19'!I60+'20'!J60+'21'!J60+'22'!I60+'23'!J60+'24'!J60+'25'!J60+'26'!I60+'27'!J60+'28'!J60+'29'!J60</f>
        <v>0</v>
      </c>
      <c r="K60" s="25">
        <f>'1'!K60+'2'!K60+'3'!K60+'4'!K60+'5'!K60+'6'!K60+'7'!K60+'8'!K60+'9'!K60+'10'!K60+'11'!K60+'12'!J60+'13'!K60+'14'!K60+'15'!K60+'16'!K60+'17'!K60+'18'!K60+'19'!J60+'20'!K60+'21'!K60+'22'!J60+'23'!K60+'24'!K60+'25'!K60+'26'!J60+'27'!K60+'28'!K60+'29'!K60</f>
        <v>0</v>
      </c>
      <c r="L60" s="28">
        <f t="shared" si="0"/>
        <v>446</v>
      </c>
      <c r="M60" s="11"/>
      <c r="N60" s="11"/>
      <c r="O60" s="11"/>
      <c r="P60" s="11"/>
      <c r="Q60" s="36">
        <v>0</v>
      </c>
    </row>
    <row r="61" spans="2:22" ht="22.2" x14ac:dyDescent="0.25">
      <c r="B61" s="11">
        <v>1111079</v>
      </c>
      <c r="C61" s="15" t="s">
        <v>72</v>
      </c>
      <c r="D61" s="25">
        <f>'1'!D61+'2'!D61+'3'!D61+'4'!D61+'5'!D61+'6'!D61+'7'!D61+'8'!D61+'9'!D61+'10'!D61+'11'!D61+'12'!C61+'13'!D61+'14'!D61+'15'!D61+'16'!D61+'17'!D61+'18'!D61+'19'!C61+'20'!D61+'21'!D61+'22'!C61+'23'!D61+'24'!D61+'25'!D61+'26'!C61+'27'!D61+'28'!D61+'29'!D61</f>
        <v>124</v>
      </c>
      <c r="E61" s="25">
        <f>'1'!E61+'2'!E61+'3'!E61+'4'!E61+'5'!E61+'6'!E61+'7'!E61+'8'!E61+'9'!E61+'10'!E61+'11'!E61+'12'!D61+'13'!E61+'14'!E61+'15'!E61+'16'!E61+'17'!E61+'18'!E61+'19'!D61+'20'!E61+'21'!E61+'22'!D61+'23'!E61+'24'!E61+'25'!E61+'26'!D61+'27'!E61+'28'!E61+'29'!E61</f>
        <v>80</v>
      </c>
      <c r="F61" s="25">
        <f>'1'!F61+'2'!F61+'3'!F61+'4'!F61+'5'!F61+'6'!F61+'7'!F61+'8'!F61+'9'!F61+'10'!F61+'11'!F61+'12'!E61+'13'!F61+'14'!F61+'15'!F61+'16'!F61+'17'!F61+'18'!F61+'19'!E61+'20'!F61+'21'!F61+'22'!E61+'23'!F61+'24'!F61+'25'!F61+'26'!E61+'27'!F61+'28'!F61+'29'!F61</f>
        <v>119</v>
      </c>
      <c r="G61" s="25">
        <f>'1'!G61+'2'!G61+'3'!G61+'4'!G61+'5'!G61+'6'!G61+'7'!G61+'8'!G61+'9'!G61+'10'!G61+'11'!G61+'12'!F61+'13'!G61+'14'!G61+'15'!G61+'16'!G61+'17'!G61+'18'!G61+'19'!F61+'20'!G61+'21'!G61+'22'!F61+'23'!G61+'24'!G61+'25'!G61+'26'!F61+'27'!G61+'28'!G61+'29'!G61</f>
        <v>119</v>
      </c>
      <c r="H61" s="25">
        <f>'1'!H61+'2'!H61+'3'!H61+'4'!H61+'5'!H61+'6'!H61+'7'!H61+'8'!H61+'9'!H61+'10'!H61+'11'!H61+'12'!G61+'13'!H61+'14'!H61+'15'!H61+'16'!H61+'17'!H61+'18'!H61+'19'!G61+'20'!H61+'21'!H61+'22'!G61+'23'!H61+'24'!H61+'25'!H61+'26'!G61+'27'!H61+'28'!H61+'29'!H61</f>
        <v>7</v>
      </c>
      <c r="I61" s="25">
        <f>'1'!I61+'2'!I61+'3'!I61+'4'!I61+'5'!I61+'6'!I61+'7'!I61+'8'!I61+'9'!I61+'10'!I61+'11'!I61+'12'!H61+'13'!I61+'14'!I61+'15'!I61+'16'!I61+'17'!I61+'18'!I61+'19'!H61+'20'!I61+'21'!I61+'22'!H61+'23'!I61+'24'!I61+'25'!I61+'26'!H61+'27'!I61+'28'!I61+'29'!I61</f>
        <v>0</v>
      </c>
      <c r="J61" s="25">
        <f>'1'!J61+'2'!J61+'3'!J61+'4'!J61+'5'!J61+'6'!J61+'7'!J61+'8'!J61+'9'!J61+'10'!J61+'11'!J61+'12'!I61+'13'!J61+'14'!J61+'15'!J61+'16'!J61+'17'!J61+'18'!J61+'19'!I61+'20'!J61+'21'!J61+'22'!I61+'23'!J61+'24'!J61+'25'!J61+'26'!I61+'27'!J61+'28'!J61+'29'!J61</f>
        <v>0</v>
      </c>
      <c r="K61" s="25">
        <f>'1'!K61+'2'!K61+'3'!K61+'4'!K61+'5'!K61+'6'!K61+'7'!K61+'8'!K61+'9'!K61+'10'!K61+'11'!K61+'12'!J61+'13'!K61+'14'!K61+'15'!K61+'16'!K61+'17'!K61+'18'!K61+'19'!J61+'20'!K61+'21'!K61+'22'!J61+'23'!K61+'24'!K61+'25'!K61+'26'!J61+'27'!K61+'28'!K61+'29'!K61</f>
        <v>0</v>
      </c>
      <c r="L61" s="28">
        <f t="shared" si="0"/>
        <v>449</v>
      </c>
      <c r="M61" s="11"/>
      <c r="N61" s="11"/>
      <c r="O61" s="11"/>
      <c r="P61" s="11"/>
      <c r="Q61" s="36">
        <v>0</v>
      </c>
    </row>
    <row r="62" spans="2:22" ht="22.2" x14ac:dyDescent="0.25">
      <c r="B62" s="11">
        <v>1111080</v>
      </c>
      <c r="C62" s="15" t="s">
        <v>73</v>
      </c>
      <c r="D62" s="25">
        <f>'1'!D62+'2'!D62+'3'!D62+'4'!D62+'5'!D62+'6'!D62+'7'!D62+'8'!D62+'9'!D62+'10'!D62+'11'!D62+'12'!C62+'13'!D62+'14'!D62+'15'!D62+'16'!D62+'17'!D62+'18'!D62+'19'!C62+'20'!D62+'21'!D62+'22'!C62+'23'!D62+'24'!D62+'25'!D62+'26'!C62+'27'!D62+'28'!D62+'29'!D62</f>
        <v>118</v>
      </c>
      <c r="E62" s="25">
        <f>'1'!E62+'2'!E62+'3'!E62+'4'!E62+'5'!E62+'6'!E62+'7'!E62+'8'!E62+'9'!E62+'10'!E62+'11'!E62+'12'!D62+'13'!E62+'14'!E62+'15'!E62+'16'!E62+'17'!E62+'18'!E62+'19'!D62+'20'!E62+'21'!E62+'22'!D62+'23'!E62+'24'!E62+'25'!E62+'26'!D62+'27'!E62+'28'!E62+'29'!E62</f>
        <v>80</v>
      </c>
      <c r="F62" s="25">
        <f>'1'!F62+'2'!F62+'3'!F62+'4'!F62+'5'!F62+'6'!F62+'7'!F62+'8'!F62+'9'!F62+'10'!F62+'11'!F62+'12'!E62+'13'!F62+'14'!F62+'15'!F62+'16'!F62+'17'!F62+'18'!F62+'19'!E62+'20'!F62+'21'!F62+'22'!E62+'23'!F62+'24'!F62+'25'!F62+'26'!E62+'27'!F62+'28'!F62+'29'!F62</f>
        <v>119</v>
      </c>
      <c r="G62" s="25">
        <f>'1'!G62+'2'!G62+'3'!G62+'4'!G62+'5'!G62+'6'!G62+'7'!G62+'8'!G62+'9'!G62+'10'!G62+'11'!G62+'12'!F62+'13'!G62+'14'!G62+'15'!G62+'16'!G62+'17'!G62+'18'!G62+'19'!F62+'20'!G62+'21'!G62+'22'!F62+'23'!G62+'24'!G62+'25'!G62+'26'!F62+'27'!G62+'28'!G62+'29'!G62</f>
        <v>118</v>
      </c>
      <c r="H62" s="25">
        <f>'1'!H62+'2'!H62+'3'!H62+'4'!H62+'5'!H62+'6'!H62+'7'!H62+'8'!H62+'9'!H62+'10'!H62+'11'!H62+'12'!G62+'13'!H62+'14'!H62+'15'!H62+'16'!H62+'17'!H62+'18'!H62+'19'!G62+'20'!H62+'21'!H62+'22'!G62+'23'!H62+'24'!H62+'25'!H62+'26'!G62+'27'!H62+'28'!H62+'29'!H62</f>
        <v>7</v>
      </c>
      <c r="I62" s="25">
        <f>'1'!I62+'2'!I62+'3'!I62+'4'!I62+'5'!I62+'6'!I62+'7'!I62+'8'!I62+'9'!I62+'10'!I62+'11'!I62+'12'!H62+'13'!I62+'14'!I62+'15'!I62+'16'!I62+'17'!I62+'18'!I62+'19'!H62+'20'!I62+'21'!I62+'22'!H62+'23'!I62+'24'!I62+'25'!I62+'26'!H62+'27'!I62+'28'!I62+'29'!I62</f>
        <v>0</v>
      </c>
      <c r="J62" s="25">
        <f>'1'!J62+'2'!J62+'3'!J62+'4'!J62+'5'!J62+'6'!J62+'7'!J62+'8'!J62+'9'!J62+'10'!J62+'11'!J62+'12'!I62+'13'!J62+'14'!J62+'15'!J62+'16'!J62+'17'!J62+'18'!J62+'19'!I62+'20'!J62+'21'!J62+'22'!I62+'23'!J62+'24'!J62+'25'!J62+'26'!I62+'27'!J62+'28'!J62+'29'!J62</f>
        <v>0</v>
      </c>
      <c r="K62" s="25">
        <f>'1'!K62+'2'!K62+'3'!K62+'4'!K62+'5'!K62+'6'!K62+'7'!K62+'8'!K62+'9'!K62+'10'!K62+'11'!K62+'12'!J62+'13'!K62+'14'!K62+'15'!K62+'16'!K62+'17'!K62+'18'!K62+'19'!J62+'20'!K62+'21'!K62+'22'!J62+'23'!K62+'24'!K62+'25'!K62+'26'!J62+'27'!K62+'28'!K62+'29'!K62</f>
        <v>0</v>
      </c>
      <c r="L62" s="28">
        <f t="shared" si="0"/>
        <v>442</v>
      </c>
      <c r="M62" s="11"/>
      <c r="N62" s="11"/>
      <c r="O62" s="11"/>
      <c r="P62" s="11"/>
      <c r="Q62" s="36">
        <v>0</v>
      </c>
    </row>
    <row r="63" spans="2:22" ht="22.2" x14ac:dyDescent="0.25">
      <c r="B63" s="11">
        <v>1111081</v>
      </c>
      <c r="C63" s="15" t="s">
        <v>74</v>
      </c>
      <c r="D63" s="25">
        <f>'1'!D63+'2'!D63+'3'!D63+'4'!D63+'5'!D63+'6'!D63+'7'!D63+'8'!D63+'9'!D63+'10'!D63+'11'!D63+'12'!C63+'13'!D63+'14'!D63+'15'!D63+'16'!D63+'17'!D63+'18'!D63+'19'!C63+'20'!D63+'21'!D63+'22'!C63+'23'!D63+'24'!D63+'25'!D63+'26'!C63+'27'!D63+'28'!D63+'29'!D63</f>
        <v>118</v>
      </c>
      <c r="E63" s="25">
        <f>'1'!E63+'2'!E63+'3'!E63+'4'!E63+'5'!E63+'6'!E63+'7'!E63+'8'!E63+'9'!E63+'10'!E63+'11'!E63+'12'!D63+'13'!E63+'14'!E63+'15'!E63+'16'!E63+'17'!E63+'18'!E63+'19'!D63+'20'!E63+'21'!E63+'22'!D63+'23'!E63+'24'!E63+'25'!E63+'26'!D63+'27'!E63+'28'!E63+'29'!E63</f>
        <v>60</v>
      </c>
      <c r="F63" s="25">
        <f>'1'!F63+'2'!F63+'3'!F63+'4'!F63+'5'!F63+'6'!F63+'7'!F63+'8'!F63+'9'!F63+'10'!F63+'11'!F63+'12'!E63+'13'!F63+'14'!F63+'15'!F63+'16'!F63+'17'!F63+'18'!F63+'19'!E63+'20'!F63+'21'!F63+'22'!E63+'23'!F63+'24'!F63+'25'!F63+'26'!E63+'27'!F63+'28'!F63+'29'!F63</f>
        <v>111</v>
      </c>
      <c r="G63" s="25">
        <f>'1'!G63+'2'!G63+'3'!G63+'4'!G63+'5'!G63+'6'!G63+'7'!G63+'8'!G63+'9'!G63+'10'!G63+'11'!G63+'12'!F63+'13'!G63+'14'!G63+'15'!G63+'16'!G63+'17'!G63+'18'!G63+'19'!F63+'20'!G63+'21'!G63+'22'!F63+'23'!G63+'24'!G63+'25'!G63+'26'!F63+'27'!G63+'28'!G63+'29'!G63</f>
        <v>117</v>
      </c>
      <c r="H63" s="25">
        <f>'1'!H63+'2'!H63+'3'!H63+'4'!H63+'5'!H63+'6'!H63+'7'!H63+'8'!H63+'9'!H63+'10'!H63+'11'!H63+'12'!G63+'13'!H63+'14'!H63+'15'!H63+'16'!H63+'17'!H63+'18'!H63+'19'!G63+'20'!H63+'21'!H63+'22'!G63+'23'!H63+'24'!H63+'25'!H63+'26'!G63+'27'!H63+'28'!H63+'29'!H63</f>
        <v>7</v>
      </c>
      <c r="I63" s="25">
        <f>'1'!I63+'2'!I63+'3'!I63+'4'!I63+'5'!I63+'6'!I63+'7'!I63+'8'!I63+'9'!I63+'10'!I63+'11'!I63+'12'!H63+'13'!I63+'14'!I63+'15'!I63+'16'!I63+'17'!I63+'18'!I63+'19'!H63+'20'!I63+'21'!I63+'22'!H63+'23'!I63+'24'!I63+'25'!I63+'26'!H63+'27'!I63+'28'!I63+'29'!I63</f>
        <v>0</v>
      </c>
      <c r="J63" s="25">
        <f>'1'!J63+'2'!J63+'3'!J63+'4'!J63+'5'!J63+'6'!J63+'7'!J63+'8'!J63+'9'!J63+'10'!J63+'11'!J63+'12'!I63+'13'!J63+'14'!J63+'15'!J63+'16'!J63+'17'!J63+'18'!J63+'19'!I63+'20'!J63+'21'!J63+'22'!I63+'23'!J63+'24'!J63+'25'!J63+'26'!I63+'27'!J63+'28'!J63+'29'!J63</f>
        <v>0</v>
      </c>
      <c r="K63" s="25">
        <f>'1'!K63+'2'!K63+'3'!K63+'4'!K63+'5'!K63+'6'!K63+'7'!K63+'8'!K63+'9'!K63+'10'!K63+'11'!K63+'12'!J63+'13'!K63+'14'!K63+'15'!K63+'16'!K63+'17'!K63+'18'!K63+'19'!J63+'20'!K63+'21'!K63+'22'!J63+'23'!K63+'24'!K63+'25'!K63+'26'!J63+'27'!K63+'28'!K63+'29'!K63</f>
        <v>0</v>
      </c>
      <c r="L63" s="28">
        <f t="shared" si="0"/>
        <v>413</v>
      </c>
      <c r="M63" s="11"/>
      <c r="N63" s="11"/>
      <c r="O63" s="11"/>
      <c r="P63" s="11"/>
      <c r="Q63" s="36">
        <v>0</v>
      </c>
    </row>
    <row r="64" spans="2:22" ht="22.2" x14ac:dyDescent="0.25">
      <c r="B64" s="11">
        <v>1111082</v>
      </c>
      <c r="C64" s="15" t="s">
        <v>75</v>
      </c>
      <c r="D64" s="25">
        <f>'1'!D64+'2'!D64+'3'!D64+'4'!D64+'5'!D64+'6'!D64+'7'!D64+'8'!D64+'9'!D64+'10'!D64+'11'!D64+'12'!C64+'13'!D64+'14'!D64+'15'!D64+'16'!D64+'17'!D64+'18'!D64+'19'!C64+'20'!D64+'21'!D64+'22'!C64+'23'!D64+'24'!D64+'25'!D64+'26'!C64+'27'!D64+'28'!D64+'29'!D64</f>
        <v>118</v>
      </c>
      <c r="E64" s="25">
        <f>'1'!E64+'2'!E64+'3'!E64+'4'!E64+'5'!E64+'6'!E64+'7'!E64+'8'!E64+'9'!E64+'10'!E64+'11'!E64+'12'!D64+'13'!E64+'14'!E64+'15'!E64+'16'!E64+'17'!E64+'18'!E64+'19'!D64+'20'!E64+'21'!E64+'22'!D64+'23'!E64+'24'!E64+'25'!E64+'26'!D64+'27'!E64+'28'!E64+'29'!E64</f>
        <v>80</v>
      </c>
      <c r="F64" s="25">
        <f>'1'!F64+'2'!F64+'3'!F64+'4'!F64+'5'!F64+'6'!F64+'7'!F64+'8'!F64+'9'!F64+'10'!F64+'11'!F64+'12'!E64+'13'!F64+'14'!F64+'15'!F64+'16'!F64+'17'!F64+'18'!F64+'19'!E64+'20'!F64+'21'!F64+'22'!E64+'23'!F64+'24'!F64+'25'!F64+'26'!E64+'27'!F64+'28'!F64+'29'!F64</f>
        <v>111</v>
      </c>
      <c r="G64" s="25">
        <f>'1'!G64+'2'!G64+'3'!G64+'4'!G64+'5'!G64+'6'!G64+'7'!G64+'8'!G64+'9'!G64+'10'!G64+'11'!G64+'12'!F64+'13'!G64+'14'!G64+'15'!G64+'16'!G64+'17'!G64+'18'!G64+'19'!F64+'20'!G64+'21'!G64+'22'!F64+'23'!G64+'24'!G64+'25'!G64+'26'!F64+'27'!G64+'28'!G64+'29'!G64</f>
        <v>116</v>
      </c>
      <c r="H64" s="25">
        <f>'1'!H64+'2'!H64+'3'!H64+'4'!H64+'5'!H64+'6'!H64+'7'!H64+'8'!H64+'9'!H64+'10'!H64+'11'!H64+'12'!G64+'13'!H64+'14'!H64+'15'!H64+'16'!H64+'17'!H64+'18'!H64+'19'!G64+'20'!H64+'21'!H64+'22'!G64+'23'!H64+'24'!H64+'25'!H64+'26'!G64+'27'!H64+'28'!H64+'29'!H64</f>
        <v>7</v>
      </c>
      <c r="I64" s="25">
        <f>'1'!I64+'2'!I64+'3'!I64+'4'!I64+'5'!I64+'6'!I64+'7'!I64+'8'!I64+'9'!I64+'10'!I64+'11'!I64+'12'!H64+'13'!I64+'14'!I64+'15'!I64+'16'!I64+'17'!I64+'18'!I64+'19'!H64+'20'!I64+'21'!I64+'22'!H64+'23'!I64+'24'!I64+'25'!I64+'26'!H64+'27'!I64+'28'!I64+'29'!I64</f>
        <v>0</v>
      </c>
      <c r="J64" s="25">
        <f>'1'!J64+'2'!J64+'3'!J64+'4'!J64+'5'!J64+'6'!J64+'7'!J64+'8'!J64+'9'!J64+'10'!J64+'11'!J64+'12'!I64+'13'!J64+'14'!J64+'15'!J64+'16'!J64+'17'!J64+'18'!J64+'19'!I64+'20'!J64+'21'!J64+'22'!I64+'23'!J64+'24'!J64+'25'!J64+'26'!I64+'27'!J64+'28'!J64+'29'!J64</f>
        <v>0</v>
      </c>
      <c r="K64" s="25">
        <f>'1'!K64+'2'!K64+'3'!K64+'4'!K64+'5'!K64+'6'!K64+'7'!K64+'8'!K64+'9'!K64+'10'!K64+'11'!K64+'12'!J64+'13'!K64+'14'!K64+'15'!K64+'16'!K64+'17'!K64+'18'!K64+'19'!J64+'20'!K64+'21'!K64+'22'!J64+'23'!K64+'24'!K64+'25'!K64+'26'!J64+'27'!K64+'28'!K64+'29'!K64</f>
        <v>0</v>
      </c>
      <c r="L64" s="28">
        <f t="shared" si="0"/>
        <v>432</v>
      </c>
      <c r="M64" s="11"/>
      <c r="N64" s="11"/>
      <c r="O64" s="11"/>
      <c r="P64" s="11"/>
      <c r="Q64" s="36">
        <v>0</v>
      </c>
    </row>
    <row r="65" spans="2:20" ht="22.2" x14ac:dyDescent="0.35">
      <c r="B65" s="11">
        <v>1111083</v>
      </c>
      <c r="C65" s="15" t="s">
        <v>76</v>
      </c>
      <c r="D65" s="25">
        <f>'1'!D65+'2'!D65+'3'!D65+'4'!D65+'5'!D65+'6'!D65+'7'!D65+'8'!D65+'9'!D65+'10'!D65+'11'!D65+'12'!C65+'13'!D65+'14'!D65+'15'!D65+'16'!D65+'17'!D65+'18'!D65+'19'!C65+'20'!D65+'21'!D65+'22'!C65+'23'!D65+'24'!D65+'25'!D65+'26'!C65+'27'!D65+'28'!D65+'29'!D65</f>
        <v>117</v>
      </c>
      <c r="E65" s="25">
        <f>'1'!E65+'2'!E65+'3'!E65+'4'!E65+'5'!E65+'6'!E65+'7'!E65+'8'!E65+'9'!E65+'10'!E65+'11'!E65+'12'!D65+'13'!E65+'14'!E65+'15'!E65+'16'!E65+'17'!E65+'18'!E65+'19'!D65+'20'!E65+'21'!E65+'22'!D65+'23'!E65+'24'!E65+'25'!E65+'26'!D65+'27'!E65+'28'!E65+'29'!E65</f>
        <v>57</v>
      </c>
      <c r="F65" s="25">
        <f>'1'!F65+'2'!F65+'3'!F65+'4'!F65+'5'!F65+'6'!F65+'7'!F65+'8'!F65+'9'!F65+'10'!F65+'11'!F65+'12'!E65+'13'!F65+'14'!F65+'15'!F65+'16'!F65+'17'!F65+'18'!F65+'19'!E65+'20'!F65+'21'!F65+'22'!E65+'23'!F65+'24'!F65+'25'!F65+'26'!E65+'27'!F65+'28'!F65+'29'!F65</f>
        <v>86</v>
      </c>
      <c r="G65" s="25">
        <f>'1'!G65+'2'!G65+'3'!G65+'4'!G65+'5'!G65+'6'!G65+'7'!G65+'8'!G65+'9'!G65+'10'!G65+'11'!G65+'12'!F65+'13'!G65+'14'!G65+'15'!G65+'16'!G65+'17'!G65+'18'!G65+'19'!F65+'20'!G65+'21'!G65+'22'!F65+'23'!G65+'24'!G65+'25'!G65+'26'!F65+'27'!G65+'28'!G65+'29'!G65</f>
        <v>116</v>
      </c>
      <c r="H65" s="25">
        <f>'1'!H65+'2'!H65+'3'!H65+'4'!H65+'5'!H65+'6'!H65+'7'!H65+'8'!H65+'9'!H65+'10'!H65+'11'!H65+'12'!G65+'13'!H65+'14'!H65+'15'!H65+'16'!H65+'17'!H65+'18'!H65+'19'!G65+'20'!H65+'21'!H65+'22'!G65+'23'!H65+'24'!H65+'25'!H65+'26'!G65+'27'!H65+'28'!H65+'29'!H65</f>
        <v>7</v>
      </c>
      <c r="I65" s="25">
        <f>'1'!I65+'2'!I65+'3'!I65+'4'!I65+'5'!I65+'6'!I65+'7'!I65+'8'!I65+'9'!I65+'10'!I65+'11'!I65+'12'!H65+'13'!I65+'14'!I65+'15'!I65+'16'!I65+'17'!I65+'18'!I65+'19'!H65+'20'!I65+'21'!I65+'22'!H65+'23'!I65+'24'!I65+'25'!I65+'26'!H65+'27'!I65+'28'!I65+'29'!I65</f>
        <v>0</v>
      </c>
      <c r="J65" s="25">
        <f>'1'!J65+'2'!J65+'3'!J65+'4'!J65+'5'!J65+'6'!J65+'7'!J65+'8'!J65+'9'!J65+'10'!J65+'11'!J65+'12'!I65+'13'!J65+'14'!J65+'15'!J65+'16'!J65+'17'!J65+'18'!J65+'19'!I65+'20'!J65+'21'!J65+'22'!I65+'23'!J65+'24'!J65+'25'!J65+'26'!I65+'27'!J65+'28'!J65+'29'!J65</f>
        <v>0</v>
      </c>
      <c r="K65" s="25">
        <f>'1'!K65+'2'!K65+'3'!K65+'4'!K65+'5'!K65+'6'!K65+'7'!K65+'8'!K65+'9'!K65+'10'!K65+'11'!K65+'12'!J65+'13'!K65+'14'!K65+'15'!K65+'16'!K65+'17'!K65+'18'!K65+'19'!J65+'20'!K65+'21'!K65+'22'!J65+'23'!K65+'24'!K65+'25'!K65+'26'!J65+'27'!K65+'28'!K65+'29'!K65</f>
        <v>0</v>
      </c>
      <c r="L65" s="28">
        <f t="shared" si="0"/>
        <v>383</v>
      </c>
      <c r="M65" s="11"/>
      <c r="N65" s="11"/>
      <c r="O65" s="11"/>
      <c r="P65" s="11"/>
      <c r="Q65" s="36">
        <v>0</v>
      </c>
      <c r="S65" s="39"/>
      <c r="T65" s="38"/>
    </row>
    <row r="66" spans="2:20" ht="22.2" x14ac:dyDescent="0.25">
      <c r="B66" s="11">
        <v>1111010</v>
      </c>
      <c r="C66" s="15" t="s">
        <v>77</v>
      </c>
      <c r="D66" s="25">
        <f>'1'!D66+'2'!D66+'3'!D66+'4'!D66+'5'!D66+'6'!D66+'7'!D66+'8'!D66+'9'!D66+'10'!D66+'11'!D66+'12'!C66+'13'!D66+'14'!D66+'15'!D66+'16'!D66+'17'!D66+'18'!D66+'19'!C66+'20'!D66+'21'!D66+'22'!C66+'23'!D66+'24'!D66+'25'!D66+'26'!C66+'27'!D66+'28'!D66+'29'!D66</f>
        <v>0</v>
      </c>
      <c r="E66" s="25">
        <f>'1'!E66+'2'!E66+'3'!E66+'4'!E66+'5'!E66+'6'!E66+'7'!E66+'8'!E66+'9'!E66+'10'!E66+'11'!E66+'12'!D66+'13'!E66+'14'!E66+'15'!E66+'16'!E66+'17'!E66+'18'!E66+'19'!D66+'20'!E66+'21'!E66+'22'!D66+'23'!E66+'24'!E66+'25'!E66+'26'!D66+'27'!E66+'28'!E66+'29'!E66</f>
        <v>0</v>
      </c>
      <c r="F66" s="25">
        <f>'1'!F66+'2'!F66+'3'!F66+'4'!F66+'5'!F66+'6'!F66+'7'!F66+'8'!F66+'9'!F66+'10'!F66+'11'!F66+'12'!E66+'13'!F66+'14'!F66+'15'!F66+'16'!F66+'17'!F66+'18'!F66+'19'!E66+'20'!F66+'21'!F66+'22'!E66+'23'!F66+'24'!F66+'25'!F66+'26'!E66+'27'!F66+'28'!F66+'29'!F66</f>
        <v>0</v>
      </c>
      <c r="G66" s="25">
        <f>'1'!G66+'2'!G66+'3'!G66+'4'!G66+'5'!G66+'6'!G66+'7'!G66+'8'!G66+'9'!G66+'10'!G66+'11'!G66+'12'!F66+'13'!G66+'14'!G66+'15'!G66+'16'!G66+'17'!G66+'18'!G66+'19'!F66+'20'!G66+'21'!G66+'22'!F66+'23'!G66+'24'!G66+'25'!G66+'26'!F66+'27'!G66+'28'!G66+'29'!G66</f>
        <v>0</v>
      </c>
      <c r="H66" s="25">
        <f>'1'!H66+'2'!H66+'3'!H66+'4'!H66+'5'!H66+'6'!H66+'7'!H66+'8'!H66+'9'!H66+'10'!H66+'11'!H66+'12'!G66+'13'!H66+'14'!H66+'15'!H66+'16'!H66+'17'!H66+'18'!H66+'19'!G66+'20'!H66+'21'!H66+'22'!G66+'23'!H66+'24'!H66+'25'!H66+'26'!G66+'27'!H66+'28'!H66+'29'!H66</f>
        <v>0</v>
      </c>
      <c r="I66" s="25">
        <f>'1'!I66+'2'!I66+'3'!I66+'4'!I66+'5'!I66+'6'!I66+'7'!I66+'8'!I66+'9'!I66+'10'!I66+'11'!I66+'12'!H66+'13'!I66+'14'!I66+'15'!I66+'16'!I66+'17'!I66+'18'!I66+'19'!H66+'20'!I66+'21'!I66+'22'!H66+'23'!I66+'24'!I66+'25'!I66+'26'!H66+'27'!I66+'28'!I66+'29'!I66</f>
        <v>0</v>
      </c>
      <c r="J66" s="25">
        <f>'1'!J66+'2'!J66+'3'!J66+'4'!J66+'5'!J66+'6'!J66+'7'!J66+'8'!J66+'9'!J66+'10'!J66+'11'!J66+'12'!I66+'13'!J66+'14'!J66+'15'!J66+'16'!J66+'17'!J66+'18'!J66+'19'!I66+'20'!J66+'21'!J66+'22'!I66+'23'!J66+'24'!J66+'25'!J66+'26'!I66+'27'!J66+'28'!J66+'29'!J66</f>
        <v>0</v>
      </c>
      <c r="K66" s="25">
        <f>'1'!K66+'2'!K66+'3'!K66+'4'!K66+'5'!K66+'6'!K66+'7'!K66+'8'!K66+'9'!K66+'10'!K66+'11'!K66+'12'!J66+'13'!K66+'14'!K66+'15'!K66+'16'!K66+'17'!K66+'18'!K66+'19'!J66+'20'!K66+'21'!K66+'22'!J66+'23'!K66+'24'!K66+'25'!K66+'26'!J66+'27'!K66+'28'!K66+'29'!K66</f>
        <v>0</v>
      </c>
      <c r="L66" s="28">
        <f t="shared" si="0"/>
        <v>0</v>
      </c>
      <c r="M66" s="11"/>
      <c r="N66" s="11"/>
      <c r="O66" s="11"/>
      <c r="P66" s="11"/>
      <c r="Q66" s="36">
        <v>0</v>
      </c>
    </row>
    <row r="67" spans="2:20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f>SUM(L7:L66)</f>
        <v>25628</v>
      </c>
      <c r="M67" s="11"/>
      <c r="N67" s="11"/>
      <c r="O67" s="11"/>
      <c r="P67" s="11"/>
      <c r="Q67" s="36">
        <v>0</v>
      </c>
      <c r="T67" s="39">
        <f>+L67+L77+L88+L100+L139</f>
        <v>70460</v>
      </c>
    </row>
    <row r="68" spans="2:20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20" ht="22.2" x14ac:dyDescent="0.35">
      <c r="B69" s="11">
        <v>1111009</v>
      </c>
      <c r="C69" s="18" t="s">
        <v>79</v>
      </c>
      <c r="D69" s="25">
        <f>'1'!D69+'2'!D69+'3'!D69+'4'!D69+'5'!D69+'6'!D69+'7'!D69+'8'!D69+'9'!D69+'10'!D69+'11'!D69+'12'!C69+'13'!D69+'14'!D69+'15'!D69+'16'!D69+'17'!D69+'18'!D69+'19'!C69+'20'!D69+'21'!D69+'22'!C69+'23'!D69+'24'!D69+'25'!D69+'26'!C69+'27'!D69+'28'!D69+'29'!D69</f>
        <v>234</v>
      </c>
      <c r="E69" s="25">
        <f>'1'!E69+'2'!E69+'3'!E69+'4'!E69+'5'!E69+'6'!E69+'7'!E69+'8'!E69+'9'!E69+'10'!E69+'11'!E69+'12'!D69+'13'!E69+'14'!E69+'15'!E69+'16'!E69+'17'!E69+'18'!E69+'19'!D69+'20'!E69+'21'!E69+'22'!D69+'23'!E69+'24'!E69+'25'!E69+'26'!D69+'27'!E69+'28'!E69+'29'!E69</f>
        <v>125</v>
      </c>
      <c r="F69" s="25">
        <f>'1'!F69+'2'!F69+'3'!F69+'4'!F69+'5'!F69+'6'!F69+'7'!F69+'8'!F69+'9'!F69+'10'!F69+'11'!F69+'12'!E69+'13'!F69+'14'!F69+'15'!F69+'16'!F69+'17'!F69+'18'!F69+'19'!E69+'20'!F69+'21'!F69+'22'!E69+'23'!F69+'24'!F69+'25'!F69+'26'!E69+'27'!F69+'28'!F69+'29'!F69</f>
        <v>392</v>
      </c>
      <c r="G69" s="25">
        <f>'1'!G69+'2'!G69+'3'!G69+'4'!G69+'5'!G69+'6'!G69+'7'!G69+'8'!G69+'9'!G69+'10'!G69+'11'!G69+'12'!F69+'13'!G69+'14'!G69+'15'!G69+'16'!G69+'17'!G69+'18'!G69+'19'!F69+'20'!G69+'21'!G69+'22'!F69+'23'!G69+'24'!G69+'25'!G69+'26'!F69+'27'!G69+'28'!G69+'29'!G69</f>
        <v>146</v>
      </c>
      <c r="H69" s="25">
        <f>'1'!H69+'2'!H69+'3'!H69+'4'!H69+'5'!H69+'6'!H69+'7'!H69+'8'!H69+'9'!H69+'10'!H69+'11'!H69+'12'!G69+'13'!H69+'14'!H69+'15'!H69+'16'!H69+'17'!H69+'18'!H69+'19'!G69+'20'!H69+'21'!H69+'22'!G69+'23'!H69+'24'!H69+'25'!H69+'26'!G69+'27'!H69+'28'!H69+'29'!H69</f>
        <v>18</v>
      </c>
      <c r="I69" s="25">
        <f>'1'!I69+'2'!I69+'3'!I69+'4'!I69+'5'!I69+'6'!I69+'7'!I69+'8'!I69+'9'!I69+'10'!I69+'11'!I69+'12'!H69+'13'!I69+'14'!I69+'15'!I69+'16'!I69+'17'!I69+'18'!I69+'19'!H69+'20'!I69+'21'!I69+'22'!H69+'23'!I69+'24'!I69+'25'!I69+'26'!H69+'27'!I69+'28'!I69+'29'!I69</f>
        <v>0</v>
      </c>
      <c r="J69" s="25">
        <f>'1'!J69+'2'!J69+'3'!J69+'4'!J69+'5'!J69+'6'!J69+'7'!J69+'8'!J69+'9'!J69+'10'!J69+'11'!J69+'12'!I69+'13'!J69+'14'!J69+'15'!J69+'16'!J69+'17'!J69+'18'!J69+'19'!I69+'20'!J69+'21'!J69+'22'!I69+'23'!J69+'24'!J69+'25'!J69+'26'!I69+'27'!J69+'28'!J69+'29'!J69</f>
        <v>0</v>
      </c>
      <c r="K69" s="25">
        <f>'1'!K69+'2'!K69+'3'!K69+'4'!K69+'5'!K69+'6'!K69+'7'!K69+'8'!K69+'9'!K69+'10'!K69+'11'!K69+'12'!J69+'13'!K69+'14'!K69+'15'!K69+'16'!K69+'17'!K69+'18'!K69+'19'!J69+'20'!K69+'21'!K69+'22'!J69+'23'!K69+'24'!K69+'25'!K69+'26'!J69+'27'!K69+'28'!K69+'29'!K69</f>
        <v>26</v>
      </c>
      <c r="L69" s="28">
        <f t="shared" si="0"/>
        <v>941</v>
      </c>
      <c r="M69" s="11"/>
      <c r="N69" s="11"/>
      <c r="O69" s="11"/>
      <c r="P69" s="11"/>
      <c r="Q69" s="36">
        <v>0</v>
      </c>
      <c r="T69" s="38"/>
    </row>
    <row r="70" spans="2:20" ht="22.2" x14ac:dyDescent="0.25">
      <c r="B70" s="11">
        <v>1111023</v>
      </c>
      <c r="C70" s="18" t="s">
        <v>80</v>
      </c>
      <c r="D70" s="25">
        <f>'1'!D70+'2'!D70+'3'!D70+'4'!D70+'5'!D70+'6'!D70+'7'!D70+'8'!D70+'9'!D70+'10'!D70+'11'!D70+'12'!C70+'13'!D70+'14'!D70+'15'!D70+'16'!D70+'17'!D70+'18'!D70+'19'!C70+'20'!D70+'21'!D70+'22'!C70+'23'!D70+'24'!D70+'25'!D70+'26'!C70+'27'!D70+'28'!D70+'29'!D70</f>
        <v>5</v>
      </c>
      <c r="E70" s="25">
        <f>'1'!E70+'2'!E70+'3'!E70+'4'!E70+'5'!E70+'6'!E70+'7'!E70+'8'!E70+'9'!E70+'10'!E70+'11'!E70+'12'!D70+'13'!E70+'14'!E70+'15'!E70+'16'!E70+'17'!E70+'18'!E70+'19'!D70+'20'!E70+'21'!E70+'22'!D70+'23'!E70+'24'!E70+'25'!E70+'26'!D70+'27'!E70+'28'!E70+'29'!E70</f>
        <v>0</v>
      </c>
      <c r="F70" s="25">
        <f>'1'!F70+'2'!F70+'3'!F70+'4'!F70+'5'!F70+'6'!F70+'7'!F70+'8'!F70+'9'!F70+'10'!F70+'11'!F70+'12'!E70+'13'!F70+'14'!F70+'15'!F70+'16'!F70+'17'!F70+'18'!F70+'19'!E70+'20'!F70+'21'!F70+'22'!E70+'23'!F70+'24'!F70+'25'!F70+'26'!E70+'27'!F70+'28'!F70+'29'!F70</f>
        <v>0</v>
      </c>
      <c r="G70" s="25">
        <f>'1'!G70+'2'!G70+'3'!G70+'4'!G70+'5'!G70+'6'!G70+'7'!G70+'8'!G70+'9'!G70+'10'!G70+'11'!G70+'12'!F70+'13'!G70+'14'!G70+'15'!G70+'16'!G70+'17'!G70+'18'!G70+'19'!F70+'20'!G70+'21'!G70+'22'!F70+'23'!G70+'24'!G70+'25'!G70+'26'!F70+'27'!G70+'28'!G70+'29'!G70</f>
        <v>0</v>
      </c>
      <c r="H70" s="25">
        <f>'1'!H70+'2'!H70+'3'!H70+'4'!H70+'5'!H70+'6'!H70+'7'!H70+'8'!H70+'9'!H70+'10'!H70+'11'!H70+'12'!G70+'13'!H70+'14'!H70+'15'!H70+'16'!H70+'17'!H70+'18'!H70+'19'!G70+'20'!H70+'21'!H70+'22'!G70+'23'!H70+'24'!H70+'25'!H70+'26'!G70+'27'!H70+'28'!H70+'29'!H70</f>
        <v>0</v>
      </c>
      <c r="I70" s="25">
        <f>'1'!I70+'2'!I70+'3'!I70+'4'!I70+'5'!I70+'6'!I70+'7'!I70+'8'!I70+'9'!I70+'10'!I70+'11'!I70+'12'!H70+'13'!I70+'14'!I70+'15'!I70+'16'!I70+'17'!I70+'18'!I70+'19'!H70+'20'!I70+'21'!I70+'22'!H70+'23'!I70+'24'!I70+'25'!I70+'26'!H70+'27'!I70+'28'!I70+'29'!I70</f>
        <v>0</v>
      </c>
      <c r="J70" s="25">
        <f>'1'!J70+'2'!J70+'3'!J70+'4'!J70+'5'!J70+'6'!J70+'7'!J70+'8'!J70+'9'!J70+'10'!J70+'11'!J70+'12'!I70+'13'!J70+'14'!J70+'15'!J70+'16'!J70+'17'!J70+'18'!J70+'19'!I70+'20'!J70+'21'!J70+'22'!I70+'23'!J70+'24'!J70+'25'!J70+'26'!I70+'27'!J70+'28'!J70+'29'!J70</f>
        <v>0</v>
      </c>
      <c r="K70" s="25">
        <f>'1'!K70+'2'!K70+'3'!K70+'4'!K70+'5'!K70+'6'!K70+'7'!K70+'8'!K70+'9'!K70+'10'!K70+'11'!K70+'12'!J70+'13'!K70+'14'!K70+'15'!K70+'16'!K70+'17'!K70+'18'!K70+'19'!J70+'20'!K70+'21'!K70+'22'!J70+'23'!K70+'24'!K70+'25'!K70+'26'!J70+'27'!K70+'28'!K70+'29'!K70</f>
        <v>0</v>
      </c>
      <c r="L70" s="28">
        <f t="shared" si="0"/>
        <v>5</v>
      </c>
      <c r="M70" s="11"/>
      <c r="N70" s="11"/>
      <c r="O70" s="11"/>
      <c r="P70" s="11"/>
      <c r="Q70" s="36">
        <v>0</v>
      </c>
    </row>
    <row r="71" spans="2:20" ht="22.2" hidden="1" x14ac:dyDescent="0.25">
      <c r="B71" s="11">
        <v>1111016</v>
      </c>
      <c r="C71" s="18" t="s">
        <v>81</v>
      </c>
      <c r="D71" s="25">
        <f>'1'!D71+'2'!D71+'3'!D71+'4'!D71+'5'!D71+'6'!D71+'7'!D71+'8'!D71+'9'!D71+'10'!D71+'11'!D71+'12'!C71+'13'!D71+'14'!D71+'15'!D71+'16'!D71+'17'!D71+'18'!D71+'19'!C71+'20'!D71+'21'!D71+'22'!C71+'23'!D71+'24'!D71+'25'!D71+'26'!C71+'27'!D71+'28'!D71+'29'!D71</f>
        <v>0</v>
      </c>
      <c r="E71" s="25">
        <f>'1'!E71+'2'!E71+'3'!E71+'4'!E71+'5'!E71+'6'!E71+'7'!E71+'8'!E71+'9'!E71+'10'!E71+'11'!E71+'12'!D71+'13'!E71+'14'!E71+'15'!E71+'16'!E71+'17'!E71+'18'!E71+'19'!D71+'20'!E71+'21'!E71+'22'!D71+'23'!E71+'24'!E71+'25'!E71+'26'!D71+'27'!E71+'28'!E71+'29'!E71</f>
        <v>0</v>
      </c>
      <c r="F71" s="25">
        <f>'1'!F71+'2'!F71+'3'!F71+'4'!F71+'5'!F71+'6'!F71+'7'!F71+'8'!F71+'9'!F71+'10'!F71+'11'!F71+'12'!E71+'13'!F71+'14'!F71+'15'!F71+'16'!F71+'17'!F71+'18'!F71+'19'!E71+'20'!F71+'21'!F71+'22'!E71+'23'!F71+'24'!F71+'25'!F71+'26'!E71+'27'!F71+'28'!F71+'29'!F71</f>
        <v>0</v>
      </c>
      <c r="G71" s="25">
        <f>'1'!G71+'2'!G71+'3'!G71+'4'!G71+'5'!G71+'6'!G71+'7'!G71+'8'!G71+'9'!G71+'10'!G71+'11'!G71+'12'!F71+'13'!G71+'14'!G71+'15'!G71+'16'!G71+'17'!G71+'18'!G71+'19'!F71+'20'!G71+'21'!G71+'22'!F71+'23'!G71+'24'!G71+'25'!G71+'26'!F71+'27'!G71+'28'!G71+'29'!G71</f>
        <v>0</v>
      </c>
      <c r="H71" s="25">
        <f>'1'!H71+'2'!H71+'3'!H71+'4'!H71+'5'!H71+'6'!H71+'7'!H71+'8'!H71+'9'!H71+'10'!H71+'11'!H71+'12'!G71+'13'!H71+'14'!H71+'15'!H71+'16'!H71+'17'!H71+'18'!H71+'19'!G71+'20'!H71+'21'!H71+'22'!G71+'23'!H71+'24'!H71+'25'!H71+'26'!G71+'27'!H71+'28'!H71+'29'!H71</f>
        <v>0</v>
      </c>
      <c r="I71" s="25">
        <f>'1'!I71+'2'!I71+'3'!I71+'4'!I71+'5'!I71+'6'!I71+'7'!I71+'8'!I71+'9'!I71+'10'!I71+'11'!I71+'12'!H71+'13'!I71+'14'!I71+'15'!I71+'16'!I71+'17'!I71+'18'!I71+'19'!H71+'20'!I71+'21'!I71+'22'!H71+'23'!I71+'24'!I71+'25'!I71+'26'!H71+'27'!I71+'28'!I71+'29'!I71</f>
        <v>0</v>
      </c>
      <c r="J71" s="25">
        <f>'1'!J71+'2'!J71+'3'!J71+'4'!J71+'5'!J71+'6'!J71+'7'!J71+'8'!J71+'9'!J71+'10'!J71+'11'!J71+'12'!I71+'13'!J71+'14'!J71+'15'!J71+'16'!J71+'17'!J71+'18'!J71+'19'!I71+'20'!J71+'21'!J71+'22'!I71+'23'!J71+'24'!J71+'25'!J71+'26'!I71+'27'!J71+'28'!J71+'29'!J71</f>
        <v>0</v>
      </c>
      <c r="K71" s="25">
        <f>'1'!K71+'2'!K71+'3'!K71+'4'!K71+'5'!K71+'6'!K71+'7'!K71+'8'!K71+'9'!K71+'10'!K71+'11'!K71+'12'!J71+'13'!K71+'14'!K71+'15'!K71+'16'!K71+'17'!K71+'18'!K71+'19'!J71+'20'!K71+'21'!K71+'22'!J71+'23'!K71+'24'!K71+'25'!K71+'26'!J71+'27'!K71+'28'!K71+'29'!K71</f>
        <v>0</v>
      </c>
      <c r="L71" s="28">
        <f t="shared" si="0"/>
        <v>0</v>
      </c>
      <c r="M71" s="11"/>
      <c r="N71" s="11"/>
      <c r="O71" s="11"/>
      <c r="P71" s="11"/>
      <c r="Q71" s="36">
        <v>0</v>
      </c>
    </row>
    <row r="72" spans="2:20" ht="22.2" hidden="1" x14ac:dyDescent="0.25">
      <c r="B72" s="11">
        <v>1111014</v>
      </c>
      <c r="C72" s="18" t="s">
        <v>82</v>
      </c>
      <c r="D72" s="25">
        <f>'1'!D72+'2'!D72+'3'!D72+'4'!D72+'5'!D72+'6'!D72+'7'!D72+'8'!D72+'9'!D72+'10'!D72+'11'!D72+'12'!C72+'13'!D72+'14'!D72+'15'!D72+'16'!D72+'17'!D72+'18'!D72+'19'!C72+'20'!D72+'21'!D72+'22'!C72+'23'!D72+'24'!D72+'25'!D72+'26'!C72+'27'!D72+'28'!D72+'29'!D72</f>
        <v>0</v>
      </c>
      <c r="E72" s="25">
        <f>'1'!E72+'2'!E72+'3'!E72+'4'!E72+'5'!E72+'6'!E72+'7'!E72+'8'!E72+'9'!E72+'10'!E72+'11'!E72+'12'!D72+'13'!E72+'14'!E72+'15'!E72+'16'!E72+'17'!E72+'18'!E72+'19'!D72+'20'!E72+'21'!E72+'22'!D72+'23'!E72+'24'!E72+'25'!E72+'26'!D72+'27'!E72+'28'!E72+'29'!E72</f>
        <v>0</v>
      </c>
      <c r="F72" s="25">
        <f>'1'!F72+'2'!F72+'3'!F72+'4'!F72+'5'!F72+'6'!F72+'7'!F72+'8'!F72+'9'!F72+'10'!F72+'11'!F72+'12'!E72+'13'!F72+'14'!F72+'15'!F72+'16'!F72+'17'!F72+'18'!F72+'19'!E72+'20'!F72+'21'!F72+'22'!E72+'23'!F72+'24'!F72+'25'!F72+'26'!E72+'27'!F72+'28'!F72+'29'!F72</f>
        <v>0</v>
      </c>
      <c r="G72" s="25">
        <f>'1'!G72+'2'!G72+'3'!G72+'4'!G72+'5'!G72+'6'!G72+'7'!G72+'8'!G72+'9'!G72+'10'!G72+'11'!G72+'12'!F72+'13'!G72+'14'!G72+'15'!G72+'16'!G72+'17'!G72+'18'!G72+'19'!F72+'20'!G72+'21'!G72+'22'!F72+'23'!G72+'24'!G72+'25'!G72+'26'!F72+'27'!G72+'28'!G72+'29'!G72</f>
        <v>0</v>
      </c>
      <c r="H72" s="25">
        <f>'1'!H72+'2'!H72+'3'!H72+'4'!H72+'5'!H72+'6'!H72+'7'!H72+'8'!H72+'9'!H72+'10'!H72+'11'!H72+'12'!G72+'13'!H72+'14'!H72+'15'!H72+'16'!H72+'17'!H72+'18'!H72+'19'!G72+'20'!H72+'21'!H72+'22'!G72+'23'!H72+'24'!H72+'25'!H72+'26'!G72+'27'!H72+'28'!H72+'29'!H72</f>
        <v>0</v>
      </c>
      <c r="I72" s="25">
        <f>'1'!I72+'2'!I72+'3'!I72+'4'!I72+'5'!I72+'6'!I72+'7'!I72+'8'!I72+'9'!I72+'10'!I72+'11'!I72+'12'!H72+'13'!I72+'14'!I72+'15'!I72+'16'!I72+'17'!I72+'18'!I72+'19'!H72+'20'!I72+'21'!I72+'22'!H72+'23'!I72+'24'!I72+'25'!I72+'26'!H72+'27'!I72+'28'!I72+'29'!I72</f>
        <v>0</v>
      </c>
      <c r="J72" s="25">
        <f>'1'!J72+'2'!J72+'3'!J72+'4'!J72+'5'!J72+'6'!J72+'7'!J72+'8'!J72+'9'!J72+'10'!J72+'11'!J72+'12'!I72+'13'!J72+'14'!J72+'15'!J72+'16'!J72+'17'!J72+'18'!J72+'19'!I72+'20'!J72+'21'!J72+'22'!I72+'23'!J72+'24'!J72+'25'!J72+'26'!I72+'27'!J72+'28'!J72+'29'!J72</f>
        <v>0</v>
      </c>
      <c r="K72" s="25">
        <f>'1'!K72+'2'!K72+'3'!K72+'4'!K72+'5'!K72+'6'!K72+'7'!K72+'8'!K72+'9'!K72+'10'!K72+'11'!K72+'12'!J72+'13'!K72+'14'!K72+'15'!K72+'16'!K72+'17'!K72+'18'!K72+'19'!J72+'20'!K72+'21'!K72+'22'!J72+'23'!K72+'24'!K72+'25'!K72+'26'!J72+'27'!K72+'28'!K72+'29'!K72</f>
        <v>0</v>
      </c>
      <c r="L72" s="28">
        <f t="shared" ref="L72:L135" si="1">SUM(D72:K72)</f>
        <v>0</v>
      </c>
      <c r="M72" s="11"/>
      <c r="N72" s="11"/>
      <c r="O72" s="11"/>
      <c r="P72" s="11"/>
      <c r="Q72" s="36">
        <v>0</v>
      </c>
    </row>
    <row r="73" spans="2:20" ht="22.2" hidden="1" x14ac:dyDescent="0.25">
      <c r="B73" s="11">
        <v>1111025</v>
      </c>
      <c r="C73" s="18" t="s">
        <v>83</v>
      </c>
      <c r="D73" s="25">
        <f>'1'!D73+'2'!D73+'3'!D73+'4'!D73+'5'!D73+'6'!D73+'7'!D73+'8'!D73+'9'!D73+'10'!D73+'11'!D73+'12'!C73+'13'!D73+'14'!D73+'15'!D73+'16'!D73+'17'!D73+'18'!D73+'19'!C73+'20'!D73+'21'!D73+'22'!C73+'23'!D73+'24'!D73+'25'!D73+'26'!C73+'27'!D73+'28'!D73+'29'!D73</f>
        <v>0</v>
      </c>
      <c r="E73" s="25">
        <f>'1'!E73+'2'!E73+'3'!E73+'4'!E73+'5'!E73+'6'!E73+'7'!E73+'8'!E73+'9'!E73+'10'!E73+'11'!E73+'12'!D73+'13'!E73+'14'!E73+'15'!E73+'16'!E73+'17'!E73+'18'!E73+'19'!D73+'20'!E73+'21'!E73+'22'!D73+'23'!E73+'24'!E73+'25'!E73+'26'!D73+'27'!E73+'28'!E73+'29'!E73</f>
        <v>0</v>
      </c>
      <c r="F73" s="25">
        <f>'1'!F73+'2'!F73+'3'!F73+'4'!F73+'5'!F73+'6'!F73+'7'!F73+'8'!F73+'9'!F73+'10'!F73+'11'!F73+'12'!E73+'13'!F73+'14'!F73+'15'!F73+'16'!F73+'17'!F73+'18'!F73+'19'!E73+'20'!F73+'21'!F73+'22'!E73+'23'!F73+'24'!F73+'25'!F73+'26'!E73+'27'!F73+'28'!F73+'29'!F73</f>
        <v>0</v>
      </c>
      <c r="G73" s="25">
        <f>'1'!G73+'2'!G73+'3'!G73+'4'!G73+'5'!G73+'6'!G73+'7'!G73+'8'!G73+'9'!G73+'10'!G73+'11'!G73+'12'!F73+'13'!G73+'14'!G73+'15'!G73+'16'!G73+'17'!G73+'18'!G73+'19'!F73+'20'!G73+'21'!G73+'22'!F73+'23'!G73+'24'!G73+'25'!G73+'26'!F73+'27'!G73+'28'!G73+'29'!G73</f>
        <v>0</v>
      </c>
      <c r="H73" s="25">
        <f>'1'!H73+'2'!H73+'3'!H73+'4'!H73+'5'!H73+'6'!H73+'7'!H73+'8'!H73+'9'!H73+'10'!H73+'11'!H73+'12'!G73+'13'!H73+'14'!H73+'15'!H73+'16'!H73+'17'!H73+'18'!H73+'19'!G73+'20'!H73+'21'!H73+'22'!G73+'23'!H73+'24'!H73+'25'!H73+'26'!G73+'27'!H73+'28'!H73+'29'!H73</f>
        <v>0</v>
      </c>
      <c r="I73" s="25">
        <f>'1'!I73+'2'!I73+'3'!I73+'4'!I73+'5'!I73+'6'!I73+'7'!I73+'8'!I73+'9'!I73+'10'!I73+'11'!I73+'12'!H73+'13'!I73+'14'!I73+'15'!I73+'16'!I73+'17'!I73+'18'!I73+'19'!H73+'20'!I73+'21'!I73+'22'!H73+'23'!I73+'24'!I73+'25'!I73+'26'!H73+'27'!I73+'28'!I73+'29'!I73</f>
        <v>0</v>
      </c>
      <c r="J73" s="25">
        <f>'1'!J73+'2'!J73+'3'!J73+'4'!J73+'5'!J73+'6'!J73+'7'!J73+'8'!J73+'9'!J73+'10'!J73+'11'!J73+'12'!I73+'13'!J73+'14'!J73+'15'!J73+'16'!J73+'17'!J73+'18'!J73+'19'!I73+'20'!J73+'21'!J73+'22'!I73+'23'!J73+'24'!J73+'25'!J73+'26'!I73+'27'!J73+'28'!J73+'29'!J73</f>
        <v>0</v>
      </c>
      <c r="K73" s="25">
        <f>'1'!K73+'2'!K73+'3'!K73+'4'!K73+'5'!K73+'6'!K73+'7'!K73+'8'!K73+'9'!K73+'10'!K73+'11'!K73+'12'!J73+'13'!K73+'14'!K73+'15'!K73+'16'!K73+'17'!K73+'18'!K73+'19'!J73+'20'!K73+'21'!K73+'22'!J73+'23'!K73+'24'!K73+'25'!K73+'26'!J73+'27'!K73+'28'!K73+'29'!K73</f>
        <v>0</v>
      </c>
      <c r="L73" s="28">
        <f t="shared" si="1"/>
        <v>0</v>
      </c>
      <c r="M73" s="11"/>
      <c r="N73" s="11"/>
      <c r="O73" s="11"/>
      <c r="P73" s="11"/>
      <c r="Q73" s="36">
        <v>0</v>
      </c>
    </row>
    <row r="74" spans="2:20" ht="22.2" x14ac:dyDescent="0.25">
      <c r="B74" s="11">
        <v>1111018</v>
      </c>
      <c r="C74" s="18" t="s">
        <v>84</v>
      </c>
      <c r="D74" s="25">
        <f>'1'!D74+'2'!D74+'3'!D74+'4'!D74+'5'!D74+'6'!D74+'7'!D74+'8'!D74+'9'!D74+'10'!D74+'11'!D74+'12'!C74+'13'!D74+'14'!D74+'15'!D74+'16'!D74+'17'!D74+'18'!D74+'19'!C74+'20'!D74+'21'!D74+'22'!C74+'23'!D74+'24'!D74+'25'!D74+'26'!C74+'27'!D74+'28'!D74+'29'!D74</f>
        <v>5</v>
      </c>
      <c r="E74" s="25">
        <f>'1'!E74+'2'!E74+'3'!E74+'4'!E74+'5'!E74+'6'!E74+'7'!E74+'8'!E74+'9'!E74+'10'!E74+'11'!E74+'12'!D74+'13'!E74+'14'!E74+'15'!E74+'16'!E74+'17'!E74+'18'!E74+'19'!D74+'20'!E74+'21'!E74+'22'!D74+'23'!E74+'24'!E74+'25'!E74+'26'!D74+'27'!E74+'28'!E74+'29'!E74</f>
        <v>0</v>
      </c>
      <c r="F74" s="25">
        <f>'1'!F74+'2'!F74+'3'!F74+'4'!F74+'5'!F74+'6'!F74+'7'!F74+'8'!F74+'9'!F74+'10'!F74+'11'!F74+'12'!E74+'13'!F74+'14'!F74+'15'!F74+'16'!F74+'17'!F74+'18'!F74+'19'!E74+'20'!F74+'21'!F74+'22'!E74+'23'!F74+'24'!F74+'25'!F74+'26'!E74+'27'!F74+'28'!F74+'29'!F74</f>
        <v>0</v>
      </c>
      <c r="G74" s="25">
        <f>'1'!G74+'2'!G74+'3'!G74+'4'!G74+'5'!G74+'6'!G74+'7'!G74+'8'!G74+'9'!G74+'10'!G74+'11'!G74+'12'!F74+'13'!G74+'14'!G74+'15'!G74+'16'!G74+'17'!G74+'18'!G74+'19'!F74+'20'!G74+'21'!G74+'22'!F74+'23'!G74+'24'!G74+'25'!G74+'26'!F74+'27'!G74+'28'!G74+'29'!G74</f>
        <v>0</v>
      </c>
      <c r="H74" s="25">
        <f>'1'!H74+'2'!H74+'3'!H74+'4'!H74+'5'!H74+'6'!H74+'7'!H74+'8'!H74+'9'!H74+'10'!H74+'11'!H74+'12'!G74+'13'!H74+'14'!H74+'15'!H74+'16'!H74+'17'!H74+'18'!H74+'19'!G74+'20'!H74+'21'!H74+'22'!G74+'23'!H74+'24'!H74+'25'!H74+'26'!G74+'27'!H74+'28'!H74+'29'!H74</f>
        <v>0</v>
      </c>
      <c r="I74" s="25">
        <f>'1'!I74+'2'!I74+'3'!I74+'4'!I74+'5'!I74+'6'!I74+'7'!I74+'8'!I74+'9'!I74+'10'!I74+'11'!I74+'12'!H74+'13'!I74+'14'!I74+'15'!I74+'16'!I74+'17'!I74+'18'!I74+'19'!H74+'20'!I74+'21'!I74+'22'!H74+'23'!I74+'24'!I74+'25'!I74+'26'!H74+'27'!I74+'28'!I74+'29'!I74</f>
        <v>0</v>
      </c>
      <c r="J74" s="25">
        <f>'1'!J74+'2'!J74+'3'!J74+'4'!J74+'5'!J74+'6'!J74+'7'!J74+'8'!J74+'9'!J74+'10'!J74+'11'!J74+'12'!I74+'13'!J74+'14'!J74+'15'!J74+'16'!J74+'17'!J74+'18'!J74+'19'!I74+'20'!J74+'21'!J74+'22'!I74+'23'!J74+'24'!J74+'25'!J74+'26'!I74+'27'!J74+'28'!J74+'29'!J74</f>
        <v>0</v>
      </c>
      <c r="K74" s="25">
        <f>'1'!K74+'2'!K74+'3'!K74+'4'!K74+'5'!K74+'6'!K74+'7'!K74+'8'!K74+'9'!K74+'10'!K74+'11'!K74+'12'!J74+'13'!K74+'14'!K74+'15'!K74+'16'!K74+'17'!K74+'18'!K74+'19'!J74+'20'!K74+'21'!K74+'22'!J74+'23'!K74+'24'!K74+'25'!K74+'26'!J74+'27'!K74+'28'!K74+'29'!K74</f>
        <v>0</v>
      </c>
      <c r="L74" s="28">
        <f t="shared" si="1"/>
        <v>5</v>
      </c>
      <c r="M74" s="11"/>
      <c r="N74" s="11"/>
      <c r="O74" s="11"/>
      <c r="P74" s="11"/>
      <c r="Q74" s="36">
        <v>0</v>
      </c>
    </row>
    <row r="75" spans="2:20" ht="22.2" hidden="1" x14ac:dyDescent="0.25">
      <c r="B75" s="11">
        <v>1111012</v>
      </c>
      <c r="C75" s="18" t="s">
        <v>85</v>
      </c>
      <c r="D75" s="25">
        <f>'1'!D75+'2'!D75+'3'!D75+'4'!D75+'5'!D75+'6'!D75+'7'!D75+'8'!D75+'9'!D75+'10'!D75+'11'!D75+'12'!C75+'13'!D75+'14'!D75+'15'!D75+'16'!D75+'17'!D75+'18'!D75+'19'!C75+'20'!D75+'21'!D75+'22'!C75+'23'!D75+'24'!D75+'25'!D75+'26'!C75+'27'!D75+'28'!D75+'29'!D75</f>
        <v>0</v>
      </c>
      <c r="E75" s="25">
        <f>'1'!E75+'2'!E75+'3'!E75+'4'!E75+'5'!E75+'6'!E75+'7'!E75+'8'!E75+'9'!E75+'10'!E75+'11'!E75+'12'!D75+'13'!E75+'14'!E75+'15'!E75+'16'!E75+'17'!E75+'18'!E75+'19'!D75+'20'!E75+'21'!E75+'22'!D75+'23'!E75+'24'!E75+'25'!E75+'26'!D75+'27'!E75+'28'!E75+'29'!E75</f>
        <v>0</v>
      </c>
      <c r="F75" s="25">
        <f>'1'!F75+'2'!F75+'3'!F75+'4'!F75+'5'!F75+'6'!F75+'7'!F75+'8'!F75+'9'!F75+'10'!F75+'11'!F75+'12'!E75+'13'!F75+'14'!F75+'15'!F75+'16'!F75+'17'!F75+'18'!F75+'19'!E75+'20'!F75+'21'!F75+'22'!E75+'23'!F75+'24'!F75+'25'!F75+'26'!E75+'27'!F75+'28'!F75+'29'!F75</f>
        <v>0</v>
      </c>
      <c r="G75" s="25">
        <f>'1'!G75+'2'!G75+'3'!G75+'4'!G75+'5'!G75+'6'!G75+'7'!G75+'8'!G75+'9'!G75+'10'!G75+'11'!G75+'12'!F75+'13'!G75+'14'!G75+'15'!G75+'16'!G75+'17'!G75+'18'!G75+'19'!F75+'20'!G75+'21'!G75+'22'!F75+'23'!G75+'24'!G75+'25'!G75+'26'!F75+'27'!G75+'28'!G75+'29'!G75</f>
        <v>0</v>
      </c>
      <c r="H75" s="25">
        <f>'1'!H75+'2'!H75+'3'!H75+'4'!H75+'5'!H75+'6'!H75+'7'!H75+'8'!H75+'9'!H75+'10'!H75+'11'!H75+'12'!G75+'13'!H75+'14'!H75+'15'!H75+'16'!H75+'17'!H75+'18'!H75+'19'!G75+'20'!H75+'21'!H75+'22'!G75+'23'!H75+'24'!H75+'25'!H75+'26'!G75+'27'!H75+'28'!H75+'29'!H75</f>
        <v>0</v>
      </c>
      <c r="I75" s="25">
        <f>'1'!I75+'2'!I75+'3'!I75+'4'!I75+'5'!I75+'6'!I75+'7'!I75+'8'!I75+'9'!I75+'10'!I75+'11'!I75+'12'!H75+'13'!I75+'14'!I75+'15'!I75+'16'!I75+'17'!I75+'18'!I75+'19'!H75+'20'!I75+'21'!I75+'22'!H75+'23'!I75+'24'!I75+'25'!I75+'26'!H75+'27'!I75+'28'!I75+'29'!I75</f>
        <v>0</v>
      </c>
      <c r="J75" s="25">
        <f>'1'!J75+'2'!J75+'3'!J75+'4'!J75+'5'!J75+'6'!J75+'7'!J75+'8'!J75+'9'!J75+'10'!J75+'11'!J75+'12'!I75+'13'!J75+'14'!J75+'15'!J75+'16'!J75+'17'!J75+'18'!J75+'19'!I75+'20'!J75+'21'!J75+'22'!I75+'23'!J75+'24'!J75+'25'!J75+'26'!I75+'27'!J75+'28'!J75+'29'!J75</f>
        <v>0</v>
      </c>
      <c r="K75" s="25">
        <f>'1'!K75+'2'!K75+'3'!K75+'4'!K75+'5'!K75+'6'!K75+'7'!K75+'8'!K75+'9'!K75+'10'!K75+'11'!K75+'12'!J75+'13'!K75+'14'!K75+'15'!K75+'16'!K75+'17'!K75+'18'!K75+'19'!J75+'20'!K75+'21'!K75+'22'!J75+'23'!K75+'24'!K75+'25'!K75+'26'!J75+'27'!K75+'28'!K75+'29'!K75</f>
        <v>0</v>
      </c>
      <c r="L75" s="28">
        <f t="shared" si="1"/>
        <v>0</v>
      </c>
      <c r="M75" s="11"/>
      <c r="N75" s="11"/>
      <c r="O75" s="11"/>
      <c r="P75" s="11"/>
      <c r="Q75" s="36">
        <v>0</v>
      </c>
    </row>
    <row r="76" spans="2:20" ht="22.2" x14ac:dyDescent="0.25">
      <c r="B76" s="11">
        <v>1111020</v>
      </c>
      <c r="C76" s="18" t="s">
        <v>86</v>
      </c>
      <c r="D76" s="25">
        <f>'1'!D76+'2'!D76+'3'!D76+'4'!D76+'5'!D76+'6'!D76+'7'!D76+'8'!D76+'9'!D76+'10'!D76+'11'!D76+'12'!C76+'13'!D76+'14'!D76+'15'!D76+'16'!D76+'17'!D76+'18'!D76+'19'!C76+'20'!D76+'21'!D76+'22'!C76+'23'!D76+'24'!D76+'25'!D76+'26'!C76+'27'!D76+'28'!D76+'29'!D76</f>
        <v>10</v>
      </c>
      <c r="E76" s="25">
        <f>'1'!E76+'2'!E76+'3'!E76+'4'!E76+'5'!E76+'6'!E76+'7'!E76+'8'!E76+'9'!E76+'10'!E76+'11'!E76+'12'!D76+'13'!E76+'14'!E76+'15'!E76+'16'!E76+'17'!E76+'18'!E76+'19'!D76+'20'!E76+'21'!E76+'22'!D76+'23'!E76+'24'!E76+'25'!E76+'26'!D76+'27'!E76+'28'!E76+'29'!E76</f>
        <v>0</v>
      </c>
      <c r="F76" s="25">
        <f>'1'!F76+'2'!F76+'3'!F76+'4'!F76+'5'!F76+'6'!F76+'7'!F76+'8'!F76+'9'!F76+'10'!F76+'11'!F76+'12'!E76+'13'!F76+'14'!F76+'15'!F76+'16'!F76+'17'!F76+'18'!F76+'19'!E76+'20'!F76+'21'!F76+'22'!E76+'23'!F76+'24'!F76+'25'!F76+'26'!E76+'27'!F76+'28'!F76+'29'!F76</f>
        <v>0</v>
      </c>
      <c r="G76" s="25">
        <f>'1'!G76+'2'!G76+'3'!G76+'4'!G76+'5'!G76+'6'!G76+'7'!G76+'8'!G76+'9'!G76+'10'!G76+'11'!G76+'12'!F76+'13'!G76+'14'!G76+'15'!G76+'16'!G76+'17'!G76+'18'!G76+'19'!F76+'20'!G76+'21'!G76+'22'!F76+'23'!G76+'24'!G76+'25'!G76+'26'!F76+'27'!G76+'28'!G76+'29'!G76</f>
        <v>0</v>
      </c>
      <c r="H76" s="25">
        <f>'1'!H76+'2'!H76+'3'!H76+'4'!H76+'5'!H76+'6'!H76+'7'!H76+'8'!H76+'9'!H76+'10'!H76+'11'!H76+'12'!G76+'13'!H76+'14'!H76+'15'!H76+'16'!H76+'17'!H76+'18'!H76+'19'!G76+'20'!H76+'21'!H76+'22'!G76+'23'!H76+'24'!H76+'25'!H76+'26'!G76+'27'!H76+'28'!H76+'29'!H76</f>
        <v>0</v>
      </c>
      <c r="I76" s="25">
        <f>'1'!I76+'2'!I76+'3'!I76+'4'!I76+'5'!I76+'6'!I76+'7'!I76+'8'!I76+'9'!I76+'10'!I76+'11'!I76+'12'!H76+'13'!I76+'14'!I76+'15'!I76+'16'!I76+'17'!I76+'18'!I76+'19'!H76+'20'!I76+'21'!I76+'22'!H76+'23'!I76+'24'!I76+'25'!I76+'26'!H76+'27'!I76+'28'!I76+'29'!I76</f>
        <v>0</v>
      </c>
      <c r="J76" s="25">
        <f>'1'!J76+'2'!J76+'3'!J76+'4'!J76+'5'!J76+'6'!J76+'7'!J76+'8'!J76+'9'!J76+'10'!J76+'11'!J76+'12'!I76+'13'!J76+'14'!J76+'15'!J76+'16'!J76+'17'!J76+'18'!J76+'19'!I76+'20'!J76+'21'!J76+'22'!I76+'23'!J76+'24'!J76+'25'!J76+'26'!I76+'27'!J76+'28'!J76+'29'!J76</f>
        <v>0</v>
      </c>
      <c r="K76" s="25">
        <f>'1'!K76+'2'!K76+'3'!K76+'4'!K76+'5'!K76+'6'!K76+'7'!K76+'8'!K76+'9'!K76+'10'!K76+'11'!K76+'12'!J76+'13'!K76+'14'!K76+'15'!K76+'16'!K76+'17'!K76+'18'!K76+'19'!J76+'20'!K76+'21'!K76+'22'!J76+'23'!K76+'24'!K76+'25'!K76+'26'!J76+'27'!K76+'28'!K76+'29'!K76</f>
        <v>2</v>
      </c>
      <c r="L76" s="28">
        <f t="shared" si="1"/>
        <v>12</v>
      </c>
      <c r="M76" s="11"/>
      <c r="N76" s="11"/>
      <c r="O76" s="11"/>
      <c r="P76" s="11"/>
      <c r="Q76" s="36">
        <v>0</v>
      </c>
    </row>
    <row r="77" spans="2:20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>
        <f>SUM(L69:L76)</f>
        <v>963</v>
      </c>
      <c r="M77" s="11"/>
      <c r="N77" s="11"/>
      <c r="O77" s="11"/>
      <c r="P77" s="11"/>
      <c r="Q77" s="36">
        <v>0</v>
      </c>
    </row>
    <row r="78" spans="2:20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20" ht="22.2" hidden="1" x14ac:dyDescent="0.25">
      <c r="B79" s="11">
        <v>1111022</v>
      </c>
      <c r="C79" s="18" t="s">
        <v>88</v>
      </c>
      <c r="D79" s="25">
        <f>'1'!D79+'2'!D79+'3'!D79+'4'!D79+'5'!D79+'6'!D79+'7'!D79+'8'!D79+'9'!D79+'10'!D79+'11'!D79+'12'!C79+'13'!D79+'14'!D79+'15'!D79+'16'!D79+'17'!D79+'18'!D79+'19'!C79+'20'!D79+'21'!D79+'22'!C79+'23'!D79+'24'!D79+'25'!D79+'26'!C79+'27'!D79+'28'!D79+'29'!D79</f>
        <v>0</v>
      </c>
      <c r="E79" s="25">
        <f>'1'!E79+'2'!E79+'3'!E79+'4'!E79+'5'!E79+'6'!E79+'7'!E79+'8'!E79+'9'!E79+'10'!E79+'11'!E79+'12'!D79+'13'!E79+'14'!E79+'15'!E79+'16'!E79+'17'!E79+'18'!E79+'19'!D79+'20'!E79+'21'!E79+'22'!D79+'23'!E79+'24'!E79+'25'!E79+'26'!D79+'27'!E79+'28'!E79+'29'!E79</f>
        <v>0</v>
      </c>
      <c r="F79" s="25">
        <f>'1'!F79+'2'!F79+'3'!F79+'4'!F79+'5'!F79+'6'!F79+'7'!F79+'8'!F79+'9'!F79+'10'!F79+'11'!F79+'12'!E79+'13'!F79+'14'!F79+'15'!F79+'16'!F79+'17'!F79+'18'!F79+'19'!E79+'20'!F79+'21'!F79+'22'!E79+'23'!F79+'24'!F79+'25'!F79+'26'!E79+'27'!F79+'28'!F79+'29'!F79</f>
        <v>0</v>
      </c>
      <c r="G79" s="25">
        <f>'1'!G79+'2'!G79+'3'!G79+'4'!G79+'5'!G79+'6'!G79+'7'!G79+'8'!G79+'9'!G79+'10'!G79+'11'!G79+'12'!F79+'13'!G79+'14'!G79+'15'!G79+'16'!G79+'17'!G79+'18'!G79+'19'!F79+'20'!G79+'21'!G79+'22'!F79+'23'!G79+'24'!G79+'25'!G79+'26'!F79+'27'!G79+'28'!G79+'29'!G79</f>
        <v>0</v>
      </c>
      <c r="H79" s="25">
        <f>'1'!H79+'2'!H79+'3'!H79+'4'!H79+'5'!H79+'6'!H79+'7'!H79+'8'!H79+'9'!H79+'10'!H79+'11'!H79+'12'!G79+'13'!H79+'14'!H79+'15'!H79+'16'!H79+'17'!H79+'18'!H79+'19'!G79+'20'!H79+'21'!H79+'22'!G79+'23'!H79+'24'!H79+'25'!H79+'26'!G79+'27'!H79+'28'!H79+'29'!H79</f>
        <v>0</v>
      </c>
      <c r="I79" s="25">
        <f>'1'!I79+'2'!I79+'3'!I79+'4'!I79+'5'!I79+'6'!I79+'7'!I79+'8'!I79+'9'!I79+'10'!I79+'11'!I79+'12'!H79+'13'!I79+'14'!I79+'15'!I79+'16'!I79+'17'!I79+'18'!I79+'19'!H79+'20'!I79+'21'!I79+'22'!H79+'23'!I79+'24'!I79+'25'!I79+'26'!H79+'27'!I79+'28'!I79+'29'!I79</f>
        <v>0</v>
      </c>
      <c r="J79" s="25">
        <f>'1'!J79+'2'!J79+'3'!J79+'4'!J79+'5'!J79+'6'!J79+'7'!J79+'8'!J79+'9'!J79+'10'!J79+'11'!J79+'12'!I79+'13'!J79+'14'!J79+'15'!J79+'16'!J79+'17'!J79+'18'!J79+'19'!I79+'20'!J79+'21'!J79+'22'!I79+'23'!J79+'24'!J79+'25'!J79+'26'!I79+'27'!J79+'28'!J79+'29'!J79</f>
        <v>0</v>
      </c>
      <c r="K79" s="25">
        <f>'1'!K79+'2'!K79+'3'!K79+'4'!K79+'5'!K79+'6'!K79+'7'!K79+'8'!K79+'9'!K79+'10'!K79+'11'!K79+'12'!J79+'13'!K79+'14'!K79+'15'!K79+'16'!K79+'17'!K79+'18'!K79+'19'!J79+'20'!K79+'21'!K79+'22'!J79+'23'!K79+'24'!K79+'25'!K79+'26'!J79+'27'!K79+'28'!K79+'29'!K79</f>
        <v>0</v>
      </c>
      <c r="L79" s="28">
        <f t="shared" si="1"/>
        <v>0</v>
      </c>
      <c r="M79" s="11"/>
      <c r="N79" s="11"/>
      <c r="O79" s="11"/>
      <c r="P79" s="11"/>
      <c r="Q79" s="36">
        <v>0</v>
      </c>
    </row>
    <row r="80" spans="2:20" ht="22.2" x14ac:dyDescent="0.25">
      <c r="B80" s="11">
        <v>1111015</v>
      </c>
      <c r="C80" s="18" t="s">
        <v>89</v>
      </c>
      <c r="D80" s="25">
        <f>'1'!D80+'2'!D80+'3'!D80+'4'!D80+'5'!D80+'6'!D80+'7'!D80+'8'!D80+'9'!D80+'10'!D80+'11'!D80+'12'!C80+'13'!D80+'14'!D80+'15'!D80+'16'!D80+'17'!D80+'18'!D80+'19'!C80+'20'!D80+'21'!D80+'22'!C80+'23'!D80+'24'!D80+'25'!D80+'26'!C80+'27'!D80+'28'!D80+'29'!D80</f>
        <v>20</v>
      </c>
      <c r="E80" s="25">
        <f>'1'!E80+'2'!E80+'3'!E80+'4'!E80+'5'!E80+'6'!E80+'7'!E80+'8'!E80+'9'!E80+'10'!E80+'11'!E80+'12'!D80+'13'!E80+'14'!E80+'15'!E80+'16'!E80+'17'!E80+'18'!E80+'19'!D80+'20'!E80+'21'!E80+'22'!D80+'23'!E80+'24'!E80+'25'!E80+'26'!D80+'27'!E80+'28'!E80+'29'!E80</f>
        <v>0</v>
      </c>
      <c r="F80" s="25">
        <f>'1'!F80+'2'!F80+'3'!F80+'4'!F80+'5'!F80+'6'!F80+'7'!F80+'8'!F80+'9'!F80+'10'!F80+'11'!F80+'12'!E80+'13'!F80+'14'!F80+'15'!F80+'16'!F80+'17'!F80+'18'!F80+'19'!E80+'20'!F80+'21'!F80+'22'!E80+'23'!F80+'24'!F80+'25'!F80+'26'!E80+'27'!F80+'28'!F80+'29'!F80</f>
        <v>0</v>
      </c>
      <c r="G80" s="25">
        <f>'1'!G80+'2'!G80+'3'!G80+'4'!G80+'5'!G80+'6'!G80+'7'!G80+'8'!G80+'9'!G80+'10'!G80+'11'!G80+'12'!F80+'13'!G80+'14'!G80+'15'!G80+'16'!G80+'17'!G80+'18'!G80+'19'!F80+'20'!G80+'21'!G80+'22'!F80+'23'!G80+'24'!G80+'25'!G80+'26'!F80+'27'!G80+'28'!G80+'29'!G80</f>
        <v>0</v>
      </c>
      <c r="H80" s="25">
        <f>'1'!H80+'2'!H80+'3'!H80+'4'!H80+'5'!H80+'6'!H80+'7'!H80+'8'!H80+'9'!H80+'10'!H80+'11'!H80+'12'!G80+'13'!H80+'14'!H80+'15'!H80+'16'!H80+'17'!H80+'18'!H80+'19'!G80+'20'!H80+'21'!H80+'22'!G80+'23'!H80+'24'!H80+'25'!H80+'26'!G80+'27'!H80+'28'!H80+'29'!H80</f>
        <v>0</v>
      </c>
      <c r="I80" s="25">
        <f>'1'!I80+'2'!I80+'3'!I80+'4'!I80+'5'!I80+'6'!I80+'7'!I80+'8'!I80+'9'!I80+'10'!I80+'11'!I80+'12'!H80+'13'!I80+'14'!I80+'15'!I80+'16'!I80+'17'!I80+'18'!I80+'19'!H80+'20'!I80+'21'!I80+'22'!H80+'23'!I80+'24'!I80+'25'!I80+'26'!H80+'27'!I80+'28'!I80+'29'!I80</f>
        <v>0</v>
      </c>
      <c r="J80" s="25">
        <f>'1'!J80+'2'!J80+'3'!J80+'4'!J80+'5'!J80+'6'!J80+'7'!J80+'8'!J80+'9'!J80+'10'!J80+'11'!J80+'12'!I80+'13'!J80+'14'!J80+'15'!J80+'16'!J80+'17'!J80+'18'!J80+'19'!I80+'20'!J80+'21'!J80+'22'!I80+'23'!J80+'24'!J80+'25'!J80+'26'!I80+'27'!J80+'28'!J80+'29'!J80</f>
        <v>0</v>
      </c>
      <c r="K80" s="25">
        <f>'1'!K80+'2'!K80+'3'!K80+'4'!K80+'5'!K80+'6'!K80+'7'!K80+'8'!K80+'9'!K80+'10'!K80+'11'!K80+'12'!J80+'13'!K80+'14'!K80+'15'!K80+'16'!K80+'17'!K80+'18'!K80+'19'!J80+'20'!K80+'21'!K80+'22'!J80+'23'!K80+'24'!K80+'25'!K80+'26'!J80+'27'!K80+'28'!K80+'29'!K80</f>
        <v>0</v>
      </c>
      <c r="L80" s="28">
        <f t="shared" si="1"/>
        <v>20</v>
      </c>
      <c r="M80" s="11"/>
      <c r="N80" s="11"/>
      <c r="O80" s="11"/>
      <c r="P80" s="11"/>
      <c r="Q80" s="36">
        <v>0</v>
      </c>
    </row>
    <row r="81" spans="2:20" ht="22.2" hidden="1" x14ac:dyDescent="0.25">
      <c r="B81" s="11">
        <v>1111013</v>
      </c>
      <c r="C81" s="18" t="s">
        <v>90</v>
      </c>
      <c r="D81" s="25">
        <f>'1'!D81+'2'!D81+'3'!D81+'4'!D81+'5'!D81+'6'!D81+'7'!D81+'8'!D81+'9'!D81+'10'!D81+'11'!D81+'12'!C81+'13'!D81+'14'!D81+'15'!D81+'16'!D81+'17'!D81+'18'!D81+'19'!C81+'20'!D81+'21'!D81+'22'!C81+'23'!D81+'24'!D81+'25'!D81+'26'!C81+'27'!D81+'28'!D81+'29'!D81</f>
        <v>0</v>
      </c>
      <c r="E81" s="25">
        <f>'1'!E81+'2'!E81+'3'!E81+'4'!E81+'5'!E81+'6'!E81+'7'!E81+'8'!E81+'9'!E81+'10'!E81+'11'!E81+'12'!D81+'13'!E81+'14'!E81+'15'!E81+'16'!E81+'17'!E81+'18'!E81+'19'!D81+'20'!E81+'21'!E81+'22'!D81+'23'!E81+'24'!E81+'25'!E81+'26'!D81+'27'!E81+'28'!E81+'29'!E81</f>
        <v>0</v>
      </c>
      <c r="F81" s="25">
        <f>'1'!F81+'2'!F81+'3'!F81+'4'!F81+'5'!F81+'6'!F81+'7'!F81+'8'!F81+'9'!F81+'10'!F81+'11'!F81+'12'!E81+'13'!F81+'14'!F81+'15'!F81+'16'!F81+'17'!F81+'18'!F81+'19'!E81+'20'!F81+'21'!F81+'22'!E81+'23'!F81+'24'!F81+'25'!F81+'26'!E81+'27'!F81+'28'!F81+'29'!F81</f>
        <v>0</v>
      </c>
      <c r="G81" s="25">
        <f>'1'!G81+'2'!G81+'3'!G81+'4'!G81+'5'!G81+'6'!G81+'7'!G81+'8'!G81+'9'!G81+'10'!G81+'11'!G81+'12'!F81+'13'!G81+'14'!G81+'15'!G81+'16'!G81+'17'!G81+'18'!G81+'19'!F81+'20'!G81+'21'!G81+'22'!F81+'23'!G81+'24'!G81+'25'!G81+'26'!F81+'27'!G81+'28'!G81+'29'!G81</f>
        <v>0</v>
      </c>
      <c r="H81" s="25">
        <f>'1'!H81+'2'!H81+'3'!H81+'4'!H81+'5'!H81+'6'!H81+'7'!H81+'8'!H81+'9'!H81+'10'!H81+'11'!H81+'12'!G81+'13'!H81+'14'!H81+'15'!H81+'16'!H81+'17'!H81+'18'!H81+'19'!G81+'20'!H81+'21'!H81+'22'!G81+'23'!H81+'24'!H81+'25'!H81+'26'!G81+'27'!H81+'28'!H81+'29'!H81</f>
        <v>0</v>
      </c>
      <c r="I81" s="25">
        <f>'1'!I81+'2'!I81+'3'!I81+'4'!I81+'5'!I81+'6'!I81+'7'!I81+'8'!I81+'9'!I81+'10'!I81+'11'!I81+'12'!H81+'13'!I81+'14'!I81+'15'!I81+'16'!I81+'17'!I81+'18'!I81+'19'!H81+'20'!I81+'21'!I81+'22'!H81+'23'!I81+'24'!I81+'25'!I81+'26'!H81+'27'!I81+'28'!I81+'29'!I81</f>
        <v>0</v>
      </c>
      <c r="J81" s="25">
        <f>'1'!J81+'2'!J81+'3'!J81+'4'!J81+'5'!J81+'6'!J81+'7'!J81+'8'!J81+'9'!J81+'10'!J81+'11'!J81+'12'!I81+'13'!J81+'14'!J81+'15'!J81+'16'!J81+'17'!J81+'18'!J81+'19'!I81+'20'!J81+'21'!J81+'22'!I81+'23'!J81+'24'!J81+'25'!J81+'26'!I81+'27'!J81+'28'!J81+'29'!J81</f>
        <v>0</v>
      </c>
      <c r="K81" s="25">
        <f>'1'!K81+'2'!K81+'3'!K81+'4'!K81+'5'!K81+'6'!K81+'7'!K81+'8'!K81+'9'!K81+'10'!K81+'11'!K81+'12'!J81+'13'!K81+'14'!K81+'15'!K81+'16'!K81+'17'!K81+'18'!K81+'19'!J81+'20'!K81+'21'!K81+'22'!J81+'23'!K81+'24'!K81+'25'!K81+'26'!J81+'27'!K81+'28'!K81+'29'!K81</f>
        <v>0</v>
      </c>
      <c r="L81" s="28">
        <f t="shared" si="1"/>
        <v>0</v>
      </c>
      <c r="M81" s="11"/>
      <c r="N81" s="11"/>
      <c r="O81" s="11"/>
      <c r="P81" s="11"/>
      <c r="Q81" s="36">
        <v>0</v>
      </c>
    </row>
    <row r="82" spans="2:20" ht="22.2" x14ac:dyDescent="0.25">
      <c r="B82" s="11">
        <v>1111024</v>
      </c>
      <c r="C82" s="18" t="s">
        <v>91</v>
      </c>
      <c r="D82" s="25">
        <f>'1'!D82+'2'!D82+'3'!D82+'4'!D82+'5'!D82+'6'!D82+'7'!D82+'8'!D82+'9'!D82+'10'!D82+'11'!D82+'12'!C82+'13'!D82+'14'!D82+'15'!D82+'16'!D82+'17'!D82+'18'!D82+'19'!C82+'20'!D82+'21'!D82+'22'!C82+'23'!D82+'24'!D82+'25'!D82+'26'!C82+'27'!D82+'28'!D82+'29'!D82</f>
        <v>20</v>
      </c>
      <c r="E82" s="25">
        <f>'1'!E82+'2'!E82+'3'!E82+'4'!E82+'5'!E82+'6'!E82+'7'!E82+'8'!E82+'9'!E82+'10'!E82+'11'!E82+'12'!D82+'13'!E82+'14'!E82+'15'!E82+'16'!E82+'17'!E82+'18'!E82+'19'!D82+'20'!E82+'21'!E82+'22'!D82+'23'!E82+'24'!E82+'25'!E82+'26'!D82+'27'!E82+'28'!E82+'29'!E82</f>
        <v>0</v>
      </c>
      <c r="F82" s="25">
        <f>'1'!F82+'2'!F82+'3'!F82+'4'!F82+'5'!F82+'6'!F82+'7'!F82+'8'!F82+'9'!F82+'10'!F82+'11'!F82+'12'!E82+'13'!F82+'14'!F82+'15'!F82+'16'!F82+'17'!F82+'18'!F82+'19'!E82+'20'!F82+'21'!F82+'22'!E82+'23'!F82+'24'!F82+'25'!F82+'26'!E82+'27'!F82+'28'!F82+'29'!F82</f>
        <v>0</v>
      </c>
      <c r="G82" s="25">
        <f>'1'!G82+'2'!G82+'3'!G82+'4'!G82+'5'!G82+'6'!G82+'7'!G82+'8'!G82+'9'!G82+'10'!G82+'11'!G82+'12'!F82+'13'!G82+'14'!G82+'15'!G82+'16'!G82+'17'!G82+'18'!G82+'19'!F82+'20'!G82+'21'!G82+'22'!F82+'23'!G82+'24'!G82+'25'!G82+'26'!F82+'27'!G82+'28'!G82+'29'!G82</f>
        <v>0</v>
      </c>
      <c r="H82" s="25">
        <f>'1'!H82+'2'!H82+'3'!H82+'4'!H82+'5'!H82+'6'!H82+'7'!H82+'8'!H82+'9'!H82+'10'!H82+'11'!H82+'12'!G82+'13'!H82+'14'!H82+'15'!H82+'16'!H82+'17'!H82+'18'!H82+'19'!G82+'20'!H82+'21'!H82+'22'!G82+'23'!H82+'24'!H82+'25'!H82+'26'!G82+'27'!H82+'28'!H82+'29'!H82</f>
        <v>0</v>
      </c>
      <c r="I82" s="25">
        <f>'1'!I82+'2'!I82+'3'!I82+'4'!I82+'5'!I82+'6'!I82+'7'!I82+'8'!I82+'9'!I82+'10'!I82+'11'!I82+'12'!H82+'13'!I82+'14'!I82+'15'!I82+'16'!I82+'17'!I82+'18'!I82+'19'!H82+'20'!I82+'21'!I82+'22'!H82+'23'!I82+'24'!I82+'25'!I82+'26'!H82+'27'!I82+'28'!I82+'29'!I82</f>
        <v>0</v>
      </c>
      <c r="J82" s="25">
        <f>'1'!J82+'2'!J82+'3'!J82+'4'!J82+'5'!J82+'6'!J82+'7'!J82+'8'!J82+'9'!J82+'10'!J82+'11'!J82+'12'!I82+'13'!J82+'14'!J82+'15'!J82+'16'!J82+'17'!J82+'18'!J82+'19'!I82+'20'!J82+'21'!J82+'22'!I82+'23'!J82+'24'!J82+'25'!J82+'26'!I82+'27'!J82+'28'!J82+'29'!J82</f>
        <v>0</v>
      </c>
      <c r="K82" s="25">
        <f>'1'!K82+'2'!K82+'3'!K82+'4'!K82+'5'!K82+'6'!K82+'7'!K82+'8'!K82+'9'!K82+'10'!K82+'11'!K82+'12'!J82+'13'!K82+'14'!K82+'15'!K82+'16'!K82+'17'!K82+'18'!K82+'19'!J82+'20'!K82+'21'!K82+'22'!J82+'23'!K82+'24'!K82+'25'!K82+'26'!J82+'27'!K82+'28'!K82+'29'!K82</f>
        <v>0</v>
      </c>
      <c r="L82" s="28">
        <f t="shared" si="1"/>
        <v>20</v>
      </c>
      <c r="M82" s="11"/>
      <c r="N82" s="11"/>
      <c r="O82" s="11"/>
      <c r="P82" s="11"/>
      <c r="Q82" s="36">
        <v>0</v>
      </c>
    </row>
    <row r="83" spans="2:20" ht="22.2" hidden="1" x14ac:dyDescent="0.25">
      <c r="B83" s="11">
        <v>1111017</v>
      </c>
      <c r="C83" s="18" t="s">
        <v>92</v>
      </c>
      <c r="D83" s="25">
        <f>'1'!D83+'2'!D83+'3'!D83+'4'!D83+'5'!D83+'6'!D83+'7'!D83+'8'!D83+'9'!D83+'10'!D83+'11'!D83+'12'!C83+'13'!D83+'14'!D83+'15'!D83+'16'!D83+'17'!D83+'18'!D83+'19'!C83+'20'!D83+'21'!D83+'22'!C83+'23'!D83+'24'!D83+'25'!D83+'26'!C83+'27'!D83+'28'!D83+'29'!D83</f>
        <v>0</v>
      </c>
      <c r="E83" s="25">
        <f>'1'!E83+'2'!E83+'3'!E83+'4'!E83+'5'!E83+'6'!E83+'7'!E83+'8'!E83+'9'!E83+'10'!E83+'11'!E83+'12'!D83+'13'!E83+'14'!E83+'15'!E83+'16'!E83+'17'!E83+'18'!E83+'19'!D83+'20'!E83+'21'!E83+'22'!D83+'23'!E83+'24'!E83+'25'!E83+'26'!D83+'27'!E83+'28'!E83+'29'!E83</f>
        <v>0</v>
      </c>
      <c r="F83" s="25">
        <f>'1'!F83+'2'!F83+'3'!F83+'4'!F83+'5'!F83+'6'!F83+'7'!F83+'8'!F83+'9'!F83+'10'!F83+'11'!F83+'12'!E83+'13'!F83+'14'!F83+'15'!F83+'16'!F83+'17'!F83+'18'!F83+'19'!E83+'20'!F83+'21'!F83+'22'!E83+'23'!F83+'24'!F83+'25'!F83+'26'!E83+'27'!F83+'28'!F83+'29'!F83</f>
        <v>0</v>
      </c>
      <c r="G83" s="25">
        <f>'1'!G83+'2'!G83+'3'!G83+'4'!G83+'5'!G83+'6'!G83+'7'!G83+'8'!G83+'9'!G83+'10'!G83+'11'!G83+'12'!F83+'13'!G83+'14'!G83+'15'!G83+'16'!G83+'17'!G83+'18'!G83+'19'!F83+'20'!G83+'21'!G83+'22'!F83+'23'!G83+'24'!G83+'25'!G83+'26'!F83+'27'!G83+'28'!G83+'29'!G83</f>
        <v>0</v>
      </c>
      <c r="H83" s="25">
        <f>'1'!H83+'2'!H83+'3'!H83+'4'!H83+'5'!H83+'6'!H83+'7'!H83+'8'!H83+'9'!H83+'10'!H83+'11'!H83+'12'!G83+'13'!H83+'14'!H83+'15'!H83+'16'!H83+'17'!H83+'18'!H83+'19'!G83+'20'!H83+'21'!H83+'22'!G83+'23'!H83+'24'!H83+'25'!H83+'26'!G83+'27'!H83+'28'!H83+'29'!H83</f>
        <v>0</v>
      </c>
      <c r="I83" s="25">
        <f>'1'!I83+'2'!I83+'3'!I83+'4'!I83+'5'!I83+'6'!I83+'7'!I83+'8'!I83+'9'!I83+'10'!I83+'11'!I83+'12'!H83+'13'!I83+'14'!I83+'15'!I83+'16'!I83+'17'!I83+'18'!I83+'19'!H83+'20'!I83+'21'!I83+'22'!H83+'23'!I83+'24'!I83+'25'!I83+'26'!H83+'27'!I83+'28'!I83+'29'!I83</f>
        <v>0</v>
      </c>
      <c r="J83" s="25">
        <f>'1'!J83+'2'!J83+'3'!J83+'4'!J83+'5'!J83+'6'!J83+'7'!J83+'8'!J83+'9'!J83+'10'!J83+'11'!J83+'12'!I83+'13'!J83+'14'!J83+'15'!J83+'16'!J83+'17'!J83+'18'!J83+'19'!I83+'20'!J83+'21'!J83+'22'!I83+'23'!J83+'24'!J83+'25'!J83+'26'!I83+'27'!J83+'28'!J83+'29'!J83</f>
        <v>0</v>
      </c>
      <c r="K83" s="25">
        <f>'1'!K83+'2'!K83+'3'!K83+'4'!K83+'5'!K83+'6'!K83+'7'!K83+'8'!K83+'9'!K83+'10'!K83+'11'!K83+'12'!J83+'13'!K83+'14'!K83+'15'!K83+'16'!K83+'17'!K83+'18'!K83+'19'!J83+'20'!K83+'21'!K83+'22'!J83+'23'!K83+'24'!K83+'25'!K83+'26'!J83+'27'!K83+'28'!K83+'29'!K83</f>
        <v>0</v>
      </c>
      <c r="L83" s="28">
        <f t="shared" si="1"/>
        <v>0</v>
      </c>
      <c r="M83" s="11"/>
      <c r="N83" s="11"/>
      <c r="O83" s="11"/>
      <c r="P83" s="11"/>
      <c r="Q83" s="36">
        <v>0</v>
      </c>
    </row>
    <row r="84" spans="2:20" ht="22.2" hidden="1" x14ac:dyDescent="0.25">
      <c r="B84" s="11">
        <v>1111011</v>
      </c>
      <c r="C84" s="18" t="s">
        <v>93</v>
      </c>
      <c r="D84" s="25">
        <f>'1'!D84+'2'!D84+'3'!D84+'4'!D84+'5'!D84+'6'!D84+'7'!D84+'8'!D84+'9'!D84+'10'!D84+'11'!D84+'12'!C84+'13'!D84+'14'!D84+'15'!D84+'16'!D84+'17'!D84+'18'!D84+'19'!C84+'20'!D84+'21'!D84+'22'!C84+'23'!D84+'24'!D84+'25'!D84+'26'!C84+'27'!D84+'28'!D84+'29'!D84</f>
        <v>0</v>
      </c>
      <c r="E84" s="25">
        <f>'1'!E84+'2'!E84+'3'!E84+'4'!E84+'5'!E84+'6'!E84+'7'!E84+'8'!E84+'9'!E84+'10'!E84+'11'!E84+'12'!D84+'13'!E84+'14'!E84+'15'!E84+'16'!E84+'17'!E84+'18'!E84+'19'!D84+'20'!E84+'21'!E84+'22'!D84+'23'!E84+'24'!E84+'25'!E84+'26'!D84+'27'!E84+'28'!E84+'29'!E84</f>
        <v>0</v>
      </c>
      <c r="F84" s="25">
        <f>'1'!F84+'2'!F84+'3'!F84+'4'!F84+'5'!F84+'6'!F84+'7'!F84+'8'!F84+'9'!F84+'10'!F84+'11'!F84+'12'!E84+'13'!F84+'14'!F84+'15'!F84+'16'!F84+'17'!F84+'18'!F84+'19'!E84+'20'!F84+'21'!F84+'22'!E84+'23'!F84+'24'!F84+'25'!F84+'26'!E84+'27'!F84+'28'!F84+'29'!F84</f>
        <v>0</v>
      </c>
      <c r="G84" s="25">
        <f>'1'!G84+'2'!G84+'3'!G84+'4'!G84+'5'!G84+'6'!G84+'7'!G84+'8'!G84+'9'!G84+'10'!G84+'11'!G84+'12'!F84+'13'!G84+'14'!G84+'15'!G84+'16'!G84+'17'!G84+'18'!G84+'19'!F84+'20'!G84+'21'!G84+'22'!F84+'23'!G84+'24'!G84+'25'!G84+'26'!F84+'27'!G84+'28'!G84+'29'!G84</f>
        <v>0</v>
      </c>
      <c r="H84" s="25">
        <f>'1'!H84+'2'!H84+'3'!H84+'4'!H84+'5'!H84+'6'!H84+'7'!H84+'8'!H84+'9'!H84+'10'!H84+'11'!H84+'12'!G84+'13'!H84+'14'!H84+'15'!H84+'16'!H84+'17'!H84+'18'!H84+'19'!G84+'20'!H84+'21'!H84+'22'!G84+'23'!H84+'24'!H84+'25'!H84+'26'!G84+'27'!H84+'28'!H84+'29'!H84</f>
        <v>0</v>
      </c>
      <c r="I84" s="25">
        <f>'1'!I84+'2'!I84+'3'!I84+'4'!I84+'5'!I84+'6'!I84+'7'!I84+'8'!I84+'9'!I84+'10'!I84+'11'!I84+'12'!H84+'13'!I84+'14'!I84+'15'!I84+'16'!I84+'17'!I84+'18'!I84+'19'!H84+'20'!I84+'21'!I84+'22'!H84+'23'!I84+'24'!I84+'25'!I84+'26'!H84+'27'!I84+'28'!I84+'29'!I84</f>
        <v>0</v>
      </c>
      <c r="J84" s="25">
        <f>'1'!J84+'2'!J84+'3'!J84+'4'!J84+'5'!J84+'6'!J84+'7'!J84+'8'!J84+'9'!J84+'10'!J84+'11'!J84+'12'!I84+'13'!J84+'14'!J84+'15'!J84+'16'!J84+'17'!J84+'18'!J84+'19'!I84+'20'!J84+'21'!J84+'22'!I84+'23'!J84+'24'!J84+'25'!J84+'26'!I84+'27'!J84+'28'!J84+'29'!J84</f>
        <v>0</v>
      </c>
      <c r="K84" s="25">
        <f>'1'!K84+'2'!K84+'3'!K84+'4'!K84+'5'!K84+'6'!K84+'7'!K84+'8'!K84+'9'!K84+'10'!K84+'11'!K84+'12'!J84+'13'!K84+'14'!K84+'15'!K84+'16'!K84+'17'!K84+'18'!K84+'19'!J84+'20'!K84+'21'!K84+'22'!J84+'23'!K84+'24'!K84+'25'!K84+'26'!J84+'27'!K84+'28'!K84+'29'!K84</f>
        <v>0</v>
      </c>
      <c r="L84" s="28">
        <f t="shared" si="1"/>
        <v>0</v>
      </c>
      <c r="M84" s="11"/>
      <c r="N84" s="11"/>
      <c r="O84" s="11"/>
      <c r="P84" s="11"/>
      <c r="Q84" s="36">
        <v>0</v>
      </c>
    </row>
    <row r="85" spans="2:20" ht="22.2" hidden="1" x14ac:dyDescent="0.25">
      <c r="B85" s="11">
        <v>1111019</v>
      </c>
      <c r="C85" s="18" t="s">
        <v>94</v>
      </c>
      <c r="D85" s="25">
        <f>'1'!D85+'2'!D85+'3'!D85+'4'!D85+'5'!D85+'6'!D85+'7'!D85+'8'!D85+'9'!D85+'10'!D85+'11'!D85+'12'!C85+'13'!D85+'14'!D85+'15'!D85+'16'!D85+'17'!D85+'18'!D85+'19'!C85+'20'!D85+'21'!D85+'22'!C85+'23'!D85+'24'!D85+'25'!D85+'26'!C85+'27'!D85+'28'!D85+'29'!D85</f>
        <v>0</v>
      </c>
      <c r="E85" s="25">
        <f>'1'!E85+'2'!E85+'3'!E85+'4'!E85+'5'!E85+'6'!E85+'7'!E85+'8'!E85+'9'!E85+'10'!E85+'11'!E85+'12'!D85+'13'!E85+'14'!E85+'15'!E85+'16'!E85+'17'!E85+'18'!E85+'19'!D85+'20'!E85+'21'!E85+'22'!D85+'23'!E85+'24'!E85+'25'!E85+'26'!D85+'27'!E85+'28'!E85+'29'!E85</f>
        <v>0</v>
      </c>
      <c r="F85" s="25">
        <f>'1'!F85+'2'!F85+'3'!F85+'4'!F85+'5'!F85+'6'!F85+'7'!F85+'8'!F85+'9'!F85+'10'!F85+'11'!F85+'12'!E85+'13'!F85+'14'!F85+'15'!F85+'16'!F85+'17'!F85+'18'!F85+'19'!E85+'20'!F85+'21'!F85+'22'!E85+'23'!F85+'24'!F85+'25'!F85+'26'!E85+'27'!F85+'28'!F85+'29'!F85</f>
        <v>0</v>
      </c>
      <c r="G85" s="25">
        <f>'1'!G85+'2'!G85+'3'!G85+'4'!G85+'5'!G85+'6'!G85+'7'!G85+'8'!G85+'9'!G85+'10'!G85+'11'!G85+'12'!F85+'13'!G85+'14'!G85+'15'!G85+'16'!G85+'17'!G85+'18'!G85+'19'!F85+'20'!G85+'21'!G85+'22'!F85+'23'!G85+'24'!G85+'25'!G85+'26'!F85+'27'!G85+'28'!G85+'29'!G85</f>
        <v>0</v>
      </c>
      <c r="H85" s="25">
        <f>'1'!H85+'2'!H85+'3'!H85+'4'!H85+'5'!H85+'6'!H85+'7'!H85+'8'!H85+'9'!H85+'10'!H85+'11'!H85+'12'!G85+'13'!H85+'14'!H85+'15'!H85+'16'!H85+'17'!H85+'18'!H85+'19'!G85+'20'!H85+'21'!H85+'22'!G85+'23'!H85+'24'!H85+'25'!H85+'26'!G85+'27'!H85+'28'!H85+'29'!H85</f>
        <v>0</v>
      </c>
      <c r="I85" s="25">
        <f>'1'!I85+'2'!I85+'3'!I85+'4'!I85+'5'!I85+'6'!I85+'7'!I85+'8'!I85+'9'!I85+'10'!I85+'11'!I85+'12'!H85+'13'!I85+'14'!I85+'15'!I85+'16'!I85+'17'!I85+'18'!I85+'19'!H85+'20'!I85+'21'!I85+'22'!H85+'23'!I85+'24'!I85+'25'!I85+'26'!H85+'27'!I85+'28'!I85+'29'!I85</f>
        <v>0</v>
      </c>
      <c r="J85" s="25">
        <f>'1'!J85+'2'!J85+'3'!J85+'4'!J85+'5'!J85+'6'!J85+'7'!J85+'8'!J85+'9'!J85+'10'!J85+'11'!J85+'12'!I85+'13'!J85+'14'!J85+'15'!J85+'16'!J85+'17'!J85+'18'!J85+'19'!I85+'20'!J85+'21'!J85+'22'!I85+'23'!J85+'24'!J85+'25'!J85+'26'!I85+'27'!J85+'28'!J85+'29'!J85</f>
        <v>0</v>
      </c>
      <c r="K85" s="25">
        <f>'1'!K85+'2'!K85+'3'!K85+'4'!K85+'5'!K85+'6'!K85+'7'!K85+'8'!K85+'9'!K85+'10'!K85+'11'!K85+'12'!J85+'13'!K85+'14'!K85+'15'!K85+'16'!K85+'17'!K85+'18'!K85+'19'!J85+'20'!K85+'21'!K85+'22'!J85+'23'!K85+'24'!K85+'25'!K85+'26'!J85+'27'!K85+'28'!K85+'29'!K85</f>
        <v>0</v>
      </c>
      <c r="L85" s="28">
        <f t="shared" si="1"/>
        <v>0</v>
      </c>
      <c r="M85" s="11"/>
      <c r="N85" s="11"/>
      <c r="O85" s="11"/>
      <c r="P85" s="11"/>
      <c r="Q85" s="36">
        <v>0</v>
      </c>
    </row>
    <row r="86" spans="2:20" ht="22.2" hidden="1" x14ac:dyDescent="0.25">
      <c r="B86" s="11">
        <v>1113081</v>
      </c>
      <c r="C86" s="18" t="s">
        <v>95</v>
      </c>
      <c r="D86" s="25">
        <f>'1'!D86+'2'!D86+'3'!D86+'4'!D86+'5'!D86+'6'!D86+'7'!D86+'8'!D86+'9'!D86+'10'!D86+'11'!D86+'12'!C86+'13'!D86+'14'!D86+'15'!D86+'16'!D86+'17'!D86+'18'!D86+'19'!C86+'20'!D86+'21'!D86+'22'!C86+'23'!D86+'24'!D86+'25'!D86+'26'!C86+'27'!D86+'28'!D86+'29'!D86</f>
        <v>0</v>
      </c>
      <c r="E86" s="25">
        <f>'1'!E86+'2'!E86+'3'!E86+'4'!E86+'5'!E86+'6'!E86+'7'!E86+'8'!E86+'9'!E86+'10'!E86+'11'!E86+'12'!D86+'13'!E86+'14'!E86+'15'!E86+'16'!E86+'17'!E86+'18'!E86+'19'!D86+'20'!E86+'21'!E86+'22'!D86+'23'!E86+'24'!E86+'25'!E86+'26'!D86+'27'!E86+'28'!E86+'29'!E86</f>
        <v>0</v>
      </c>
      <c r="F86" s="25">
        <f>'1'!F86+'2'!F86+'3'!F86+'4'!F86+'5'!F86+'6'!F86+'7'!F86+'8'!F86+'9'!F86+'10'!F86+'11'!F86+'12'!E86+'13'!F86+'14'!F86+'15'!F86+'16'!F86+'17'!F86+'18'!F86+'19'!E86+'20'!F86+'21'!F86+'22'!E86+'23'!F86+'24'!F86+'25'!F86+'26'!E86+'27'!F86+'28'!F86+'29'!F86</f>
        <v>0</v>
      </c>
      <c r="G86" s="25">
        <f>'1'!G86+'2'!G86+'3'!G86+'4'!G86+'5'!G86+'6'!G86+'7'!G86+'8'!G86+'9'!G86+'10'!G86+'11'!G86+'12'!F86+'13'!G86+'14'!G86+'15'!G86+'16'!G86+'17'!G86+'18'!G86+'19'!F86+'20'!G86+'21'!G86+'22'!F86+'23'!G86+'24'!G86+'25'!G86+'26'!F86+'27'!G86+'28'!G86+'29'!G86</f>
        <v>0</v>
      </c>
      <c r="H86" s="25">
        <f>'1'!H86+'2'!H86+'3'!H86+'4'!H86+'5'!H86+'6'!H86+'7'!H86+'8'!H86+'9'!H86+'10'!H86+'11'!H86+'12'!G86+'13'!H86+'14'!H86+'15'!H86+'16'!H86+'17'!H86+'18'!H86+'19'!G86+'20'!H86+'21'!H86+'22'!G86+'23'!H86+'24'!H86+'25'!H86+'26'!G86+'27'!H86+'28'!H86+'29'!H86</f>
        <v>0</v>
      </c>
      <c r="I86" s="25">
        <f>'1'!I86+'2'!I86+'3'!I86+'4'!I86+'5'!I86+'6'!I86+'7'!I86+'8'!I86+'9'!I86+'10'!I86+'11'!I86+'12'!H86+'13'!I86+'14'!I86+'15'!I86+'16'!I86+'17'!I86+'18'!I86+'19'!H86+'20'!I86+'21'!I86+'22'!H86+'23'!I86+'24'!I86+'25'!I86+'26'!H86+'27'!I86+'28'!I86+'29'!I86</f>
        <v>0</v>
      </c>
      <c r="J86" s="25">
        <f>'1'!J86+'2'!J86+'3'!J86+'4'!J86+'5'!J86+'6'!J86+'7'!J86+'8'!J86+'9'!J86+'10'!J86+'11'!J86+'12'!I86+'13'!J86+'14'!J86+'15'!J86+'16'!J86+'17'!J86+'18'!J86+'19'!I86+'20'!J86+'21'!J86+'22'!I86+'23'!J86+'24'!J86+'25'!J86+'26'!I86+'27'!J86+'28'!J86+'29'!J86</f>
        <v>0</v>
      </c>
      <c r="K86" s="25">
        <f>'1'!K86+'2'!K86+'3'!K86+'4'!K86+'5'!K86+'6'!K86+'7'!K86+'8'!K86+'9'!K86+'10'!K86+'11'!K86+'12'!J86+'13'!K86+'14'!K86+'15'!K86+'16'!K86+'17'!K86+'18'!K86+'19'!J86+'20'!K86+'21'!K86+'22'!J86+'23'!K86+'24'!K86+'25'!K86+'26'!J86+'27'!K86+'28'!K86+'29'!K86</f>
        <v>0</v>
      </c>
      <c r="L86" s="28">
        <f t="shared" si="1"/>
        <v>0</v>
      </c>
      <c r="M86" s="11"/>
      <c r="N86" s="11"/>
      <c r="O86" s="11"/>
      <c r="P86" s="11"/>
      <c r="Q86" s="36">
        <v>0</v>
      </c>
    </row>
    <row r="87" spans="2:20" ht="22.2" x14ac:dyDescent="0.35">
      <c r="B87" s="11">
        <v>1111008</v>
      </c>
      <c r="C87" s="18" t="s">
        <v>96</v>
      </c>
      <c r="D87" s="25">
        <f>'1'!D87+'2'!D87+'3'!D87+'4'!D87+'5'!D87+'6'!D87+'7'!D87+'8'!D87+'9'!D87+'10'!D87+'11'!D87+'12'!C87+'13'!D87+'14'!D87+'15'!D87+'16'!D87+'17'!D87+'18'!D87+'19'!C87+'20'!D87+'21'!D87+'22'!C87+'23'!D87+'24'!D87+'25'!D87+'26'!C87+'27'!D87+'28'!D87+'29'!D87</f>
        <v>297</v>
      </c>
      <c r="E87" s="25">
        <f>'1'!E87+'2'!E87+'3'!E87+'4'!E87+'5'!E87+'6'!E87+'7'!E87+'8'!E87+'9'!E87+'10'!E87+'11'!E87+'12'!D87+'13'!E87+'14'!E87+'15'!E87+'16'!E87+'17'!E87+'18'!E87+'19'!D87+'20'!E87+'21'!E87+'22'!D87+'23'!E87+'24'!E87+'25'!E87+'26'!D87+'27'!E87+'28'!E87+'29'!E87</f>
        <v>227</v>
      </c>
      <c r="F87" s="25">
        <f>'1'!F87+'2'!F87+'3'!F87+'4'!F87+'5'!F87+'6'!F87+'7'!F87+'8'!F87+'9'!F87+'10'!F87+'11'!F87+'12'!E87+'13'!F87+'14'!F87+'15'!F87+'16'!F87+'17'!F87+'18'!F87+'19'!E87+'20'!F87+'21'!F87+'22'!E87+'23'!F87+'24'!F87+'25'!F87+'26'!E87+'27'!F87+'28'!F87+'29'!F87</f>
        <v>26</v>
      </c>
      <c r="G87" s="25">
        <f>'1'!G87+'2'!G87+'3'!G87+'4'!G87+'5'!G87+'6'!G87+'7'!G87+'8'!G87+'9'!G87+'10'!G87+'11'!G87+'12'!F87+'13'!G87+'14'!G87+'15'!G87+'16'!G87+'17'!G87+'18'!G87+'19'!F87+'20'!G87+'21'!G87+'22'!F87+'23'!G87+'24'!G87+'25'!G87+'26'!F87+'27'!G87+'28'!G87+'29'!G87</f>
        <v>5287</v>
      </c>
      <c r="H87" s="25">
        <f>'1'!H87+'2'!H87+'3'!H87+'4'!H87+'5'!H87+'6'!H87+'7'!H87+'8'!H87+'9'!H87+'10'!H87+'11'!H87+'12'!G87+'13'!H87+'14'!H87+'15'!H87+'16'!H87+'17'!H87+'18'!H87+'19'!G87+'20'!H87+'21'!H87+'22'!G87+'23'!H87+'24'!H87+'25'!H87+'26'!G87+'27'!H87+'28'!H87+'29'!H87</f>
        <v>1089</v>
      </c>
      <c r="I87" s="25">
        <f>'1'!I87+'2'!I87+'3'!I87+'4'!I87+'5'!I87+'6'!I87+'7'!I87+'8'!I87+'9'!I87+'10'!I87+'11'!I87+'12'!H87+'13'!I87+'14'!I87+'15'!I87+'16'!I87+'17'!I87+'18'!I87+'19'!H87+'20'!I87+'21'!I87+'22'!H87+'23'!I87+'24'!I87+'25'!I87+'26'!H87+'27'!I87+'28'!I87+'29'!I87</f>
        <v>0</v>
      </c>
      <c r="J87" s="25">
        <f>'1'!J87+'2'!J87+'3'!J87+'4'!J87+'5'!J87+'6'!J87+'7'!J87+'8'!J87+'9'!J87+'10'!J87+'11'!J87+'12'!I87+'13'!J87+'14'!J87+'15'!J87+'16'!J87+'17'!J87+'18'!J87+'19'!I87+'20'!J87+'21'!J87+'22'!I87+'23'!J87+'24'!J87+'25'!J87+'26'!I87+'27'!J87+'28'!J87+'29'!J87</f>
        <v>0</v>
      </c>
      <c r="K87" s="25">
        <f>'1'!K87+'2'!K87+'3'!K87+'4'!K87+'5'!K87+'6'!K87+'7'!K87+'8'!K87+'9'!K87+'10'!K87+'11'!K87+'12'!J87+'13'!K87+'14'!K87+'15'!K87+'16'!K87+'17'!K87+'18'!K87+'19'!J87+'20'!K87+'21'!K87+'22'!J87+'23'!K87+'24'!K87+'25'!K87+'26'!J87+'27'!K87+'28'!K87+'29'!K87</f>
        <v>28</v>
      </c>
      <c r="L87" s="28">
        <f t="shared" si="1"/>
        <v>6954</v>
      </c>
      <c r="M87" s="11"/>
      <c r="N87" s="11">
        <v>6</v>
      </c>
      <c r="O87" s="11"/>
      <c r="P87" s="11"/>
      <c r="Q87" s="36">
        <v>6</v>
      </c>
      <c r="T87" s="38"/>
    </row>
    <row r="88" spans="2:20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f>SUM(L79:L87)</f>
        <v>6994</v>
      </c>
      <c r="M88" s="11"/>
      <c r="N88" s="11"/>
      <c r="O88" s="11"/>
      <c r="P88" s="11"/>
      <c r="Q88" s="36">
        <v>0</v>
      </c>
    </row>
    <row r="89" spans="2:20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20" ht="22.2" x14ac:dyDescent="0.25">
      <c r="B90" s="11">
        <v>1112009</v>
      </c>
      <c r="C90" s="18" t="s">
        <v>98</v>
      </c>
      <c r="D90" s="25">
        <f>'1'!D90+'2'!D90+'3'!D90+'4'!D90+'5'!D90+'6'!D90+'7'!D90+'8'!D90+'9'!D90+'10'!D90+'11'!D90+'12'!C90+'13'!D90+'14'!D90+'15'!D90+'16'!D90+'17'!D90+'18'!D90+'19'!C90+'20'!D90+'21'!D90+'22'!C90+'23'!D90+'24'!D90+'25'!D90+'26'!C90+'27'!D90+'28'!D90+'29'!D90</f>
        <v>211</v>
      </c>
      <c r="E90" s="25">
        <f>'1'!E90+'2'!E90+'3'!E90+'4'!E90+'5'!E90+'6'!E90+'7'!E90+'8'!E90+'9'!E90+'10'!E90+'11'!E90+'12'!D90+'13'!E90+'14'!E90+'15'!E90+'16'!E90+'17'!E90+'18'!E90+'19'!D90+'20'!E90+'21'!E90+'22'!D90+'23'!E90+'24'!E90+'25'!E90+'26'!D90+'27'!E90+'28'!E90+'29'!E90</f>
        <v>813</v>
      </c>
      <c r="F90" s="25">
        <f>'1'!F90+'2'!F90+'3'!F90+'4'!F90+'5'!F90+'6'!F90+'7'!F90+'8'!F90+'9'!F90+'10'!F90+'11'!F90+'12'!E90+'13'!F90+'14'!F90+'15'!F90+'16'!F90+'17'!F90+'18'!F90+'19'!E90+'20'!F90+'21'!F90+'22'!E90+'23'!F90+'24'!F90+'25'!F90+'26'!E90+'27'!F90+'28'!F90+'29'!F90</f>
        <v>462</v>
      </c>
      <c r="G90" s="25">
        <f>'1'!G90+'2'!G90+'3'!G90+'4'!G90+'5'!G90+'6'!G90+'7'!G90+'8'!G90+'9'!G90+'10'!G90+'11'!G90+'12'!F90+'13'!G90+'14'!G90+'15'!G90+'16'!G90+'17'!G90+'18'!G90+'19'!F90+'20'!G90+'21'!G90+'22'!F90+'23'!G90+'24'!G90+'25'!G90+'26'!F90+'27'!G90+'28'!G90+'29'!G90</f>
        <v>2480</v>
      </c>
      <c r="H90" s="25">
        <f>'1'!H90+'2'!H90+'3'!H90+'4'!H90+'5'!H90+'6'!H90+'7'!H90+'8'!H90+'9'!H90+'10'!H90+'11'!H90+'12'!G90+'13'!H90+'14'!H90+'15'!H90+'16'!H90+'17'!H90+'18'!H90+'19'!G90+'20'!H90+'21'!H90+'22'!G90+'23'!H90+'24'!H90+'25'!H90+'26'!G90+'27'!H90+'28'!H90+'29'!H90</f>
        <v>383</v>
      </c>
      <c r="I90" s="25">
        <f>'1'!I90+'2'!I90+'3'!I90+'4'!I90+'5'!I90+'6'!I90+'7'!I90+'8'!I90+'9'!I90+'10'!I90+'11'!I90+'12'!H90+'13'!I90+'14'!I90+'15'!I90+'16'!I90+'17'!I90+'18'!I90+'19'!H90+'20'!I90+'21'!I90+'22'!H90+'23'!I90+'24'!I90+'25'!I90+'26'!H90+'27'!I90+'28'!I90+'29'!I90</f>
        <v>0</v>
      </c>
      <c r="J90" s="25">
        <f>'1'!J90+'2'!J90+'3'!J90+'4'!J90+'5'!J90+'6'!J90+'7'!J90+'8'!J90+'9'!J90+'10'!J90+'11'!J90+'12'!I90+'13'!J90+'14'!J90+'15'!J90+'16'!J90+'17'!J90+'18'!J90+'19'!I90+'20'!J90+'21'!J90+'22'!I90+'23'!J90+'24'!J90+'25'!J90+'26'!I90+'27'!J90+'28'!J90+'29'!J90</f>
        <v>0</v>
      </c>
      <c r="K90" s="25">
        <f>'1'!K90+'2'!K90+'3'!K90+'4'!K90+'5'!K90+'6'!K90+'7'!K90+'8'!K90+'9'!K90+'10'!K90+'11'!K90+'12'!J90+'13'!K90+'14'!K90+'15'!K90+'16'!K90+'17'!K90+'18'!K90+'19'!J90+'20'!K90+'21'!K90+'22'!J90+'23'!K90+'24'!K90+'25'!K90+'26'!J90+'27'!K90+'28'!K90+'29'!K90</f>
        <v>51</v>
      </c>
      <c r="L90" s="28">
        <f t="shared" si="1"/>
        <v>4400</v>
      </c>
      <c r="M90" s="11"/>
      <c r="N90" s="11"/>
      <c r="O90" s="11"/>
      <c r="P90" s="11"/>
      <c r="Q90" s="36">
        <v>0</v>
      </c>
    </row>
    <row r="91" spans="2:20" ht="22.2" x14ac:dyDescent="0.25">
      <c r="B91" s="11">
        <v>1112011</v>
      </c>
      <c r="C91" s="18" t="s">
        <v>99</v>
      </c>
      <c r="D91" s="25">
        <f>'1'!D91+'2'!D91+'3'!D91+'4'!D91+'5'!D91+'6'!D91+'7'!D91+'8'!D91+'9'!D91+'10'!D91+'11'!D91+'12'!C91+'13'!D91+'14'!D91+'15'!D91+'16'!D91+'17'!D91+'18'!D91+'19'!C91+'20'!D91+'21'!D91+'22'!C91+'23'!D91+'24'!D91+'25'!D91+'26'!C91+'27'!D91+'28'!D91+'29'!D91</f>
        <v>319</v>
      </c>
      <c r="E91" s="25">
        <f>'1'!E91+'2'!E91+'3'!E91+'4'!E91+'5'!E91+'6'!E91+'7'!E91+'8'!E91+'9'!E91+'10'!E91+'11'!E91+'12'!D91+'13'!E91+'14'!E91+'15'!E91+'16'!E91+'17'!E91+'18'!E91+'19'!D91+'20'!E91+'21'!E91+'22'!D91+'23'!E91+'24'!E91+'25'!E91+'26'!D91+'27'!E91+'28'!E91+'29'!E91</f>
        <v>833</v>
      </c>
      <c r="F91" s="25">
        <f>'1'!F91+'2'!F91+'3'!F91+'4'!F91+'5'!F91+'6'!F91+'7'!F91+'8'!F91+'9'!F91+'10'!F91+'11'!F91+'12'!E91+'13'!F91+'14'!F91+'15'!F91+'16'!F91+'17'!F91+'18'!F91+'19'!E91+'20'!F91+'21'!F91+'22'!E91+'23'!F91+'24'!F91+'25'!F91+'26'!E91+'27'!F91+'28'!F91+'29'!F91</f>
        <v>604</v>
      </c>
      <c r="G91" s="25">
        <f>'1'!G91+'2'!G91+'3'!G91+'4'!G91+'5'!G91+'6'!G91+'7'!G91+'8'!G91+'9'!G91+'10'!G91+'11'!G91+'12'!F91+'13'!G91+'14'!G91+'15'!G91+'16'!G91+'17'!G91+'18'!G91+'19'!F91+'20'!G91+'21'!G91+'22'!F91+'23'!G91+'24'!G91+'25'!G91+'26'!F91+'27'!G91+'28'!G91+'29'!G91</f>
        <v>2461</v>
      </c>
      <c r="H91" s="25">
        <f>'1'!H91+'2'!H91+'3'!H91+'4'!H91+'5'!H91+'6'!H91+'7'!H91+'8'!H91+'9'!H91+'10'!H91+'11'!H91+'12'!G91+'13'!H91+'14'!H91+'15'!H91+'16'!H91+'17'!H91+'18'!H91+'19'!G91+'20'!H91+'21'!H91+'22'!G91+'23'!H91+'24'!H91+'25'!H91+'26'!G91+'27'!H91+'28'!H91+'29'!H91</f>
        <v>381</v>
      </c>
      <c r="I91" s="25">
        <f>'1'!I91+'2'!I91+'3'!I91+'4'!I91+'5'!I91+'6'!I91+'7'!I91+'8'!I91+'9'!I91+'10'!I91+'11'!I91+'12'!H91+'13'!I91+'14'!I91+'15'!I91+'16'!I91+'17'!I91+'18'!I91+'19'!H91+'20'!I91+'21'!I91+'22'!H91+'23'!I91+'24'!I91+'25'!I91+'26'!H91+'27'!I91+'28'!I91+'29'!I91</f>
        <v>0</v>
      </c>
      <c r="J91" s="25">
        <f>'1'!J91+'2'!J91+'3'!J91+'4'!J91+'5'!J91+'6'!J91+'7'!J91+'8'!J91+'9'!J91+'10'!J91+'11'!J91+'12'!I91+'13'!J91+'14'!J91+'15'!J91+'16'!J91+'17'!J91+'18'!J91+'19'!I91+'20'!J91+'21'!J91+'22'!I91+'23'!J91+'24'!J91+'25'!J91+'26'!I91+'27'!J91+'28'!J91+'29'!J91</f>
        <v>0</v>
      </c>
      <c r="K91" s="25">
        <f>'1'!K91+'2'!K91+'3'!K91+'4'!K91+'5'!K91+'6'!K91+'7'!K91+'8'!K91+'9'!K91+'10'!K91+'11'!K91+'12'!J91+'13'!K91+'14'!K91+'15'!K91+'16'!K91+'17'!K91+'18'!K91+'19'!J91+'20'!K91+'21'!K91+'22'!J91+'23'!K91+'24'!K91+'25'!K91+'26'!J91+'27'!K91+'28'!K91+'29'!K91</f>
        <v>67</v>
      </c>
      <c r="L91" s="28">
        <f t="shared" si="1"/>
        <v>4665</v>
      </c>
      <c r="M91" s="11"/>
      <c r="N91" s="11"/>
      <c r="O91" s="11"/>
      <c r="P91" s="11"/>
      <c r="Q91" s="36">
        <v>0</v>
      </c>
    </row>
    <row r="92" spans="2:20" ht="22.2" x14ac:dyDescent="0.25">
      <c r="B92" s="11">
        <v>1112003</v>
      </c>
      <c r="C92" s="18" t="s">
        <v>100</v>
      </c>
      <c r="D92" s="25">
        <f>'1'!D92+'2'!D92+'3'!D92+'4'!D92+'5'!D92+'6'!D92+'7'!D92+'8'!D92+'9'!D92+'10'!D92+'11'!D92+'12'!C92+'13'!D92+'14'!D92+'15'!D92+'16'!D92+'17'!D92+'18'!D92+'19'!C92+'20'!D92+'21'!D92+'22'!C92+'23'!D92+'24'!D92+'25'!D92+'26'!C92+'27'!D92+'28'!D92+'29'!D92</f>
        <v>193</v>
      </c>
      <c r="E92" s="25">
        <f>'1'!E92+'2'!E92+'3'!E92+'4'!E92+'5'!E92+'6'!E92+'7'!E92+'8'!E92+'9'!E92+'10'!E92+'11'!E92+'12'!D92+'13'!E92+'14'!E92+'15'!E92+'16'!E92+'17'!E92+'18'!E92+'19'!D92+'20'!E92+'21'!E92+'22'!D92+'23'!E92+'24'!E92+'25'!E92+'26'!D92+'27'!E92+'28'!E92+'29'!E92</f>
        <v>175</v>
      </c>
      <c r="F92" s="25">
        <f>'1'!F92+'2'!F92+'3'!F92+'4'!F92+'5'!F92+'6'!F92+'7'!F92+'8'!F92+'9'!F92+'10'!F92+'11'!F92+'12'!E92+'13'!F92+'14'!F92+'15'!F92+'16'!F92+'17'!F92+'18'!F92+'19'!E92+'20'!F92+'21'!F92+'22'!E92+'23'!F92+'24'!F92+'25'!F92+'26'!E92+'27'!F92+'28'!F92+'29'!F92</f>
        <v>46</v>
      </c>
      <c r="G92" s="25">
        <f>'1'!G92+'2'!G92+'3'!G92+'4'!G92+'5'!G92+'6'!G92+'7'!G92+'8'!G92+'9'!G92+'10'!G92+'11'!G92+'12'!F92+'13'!G92+'14'!G92+'15'!G92+'16'!G92+'17'!G92+'18'!G92+'19'!F92+'20'!G92+'21'!G92+'22'!F92+'23'!G92+'24'!G92+'25'!G92+'26'!F92+'27'!G92+'28'!G92+'29'!G92</f>
        <v>2149</v>
      </c>
      <c r="H92" s="25">
        <f>'1'!H92+'2'!H92+'3'!H92+'4'!H92+'5'!H92+'6'!H92+'7'!H92+'8'!H92+'9'!H92+'10'!H92+'11'!H92+'12'!G92+'13'!H92+'14'!H92+'15'!H92+'16'!H92+'17'!H92+'18'!H92+'19'!G92+'20'!H92+'21'!H92+'22'!G92+'23'!H92+'24'!H92+'25'!H92+'26'!G92+'27'!H92+'28'!H92+'29'!H92</f>
        <v>334</v>
      </c>
      <c r="I92" s="25">
        <f>'1'!I92+'2'!I92+'3'!I92+'4'!I92+'5'!I92+'6'!I92+'7'!I92+'8'!I92+'9'!I92+'10'!I92+'11'!I92+'12'!H92+'13'!I92+'14'!I92+'15'!I92+'16'!I92+'17'!I92+'18'!I92+'19'!H92+'20'!I92+'21'!I92+'22'!H92+'23'!I92+'24'!I92+'25'!I92+'26'!H92+'27'!I92+'28'!I92+'29'!I92</f>
        <v>0</v>
      </c>
      <c r="J92" s="25">
        <f>'1'!J92+'2'!J92+'3'!J92+'4'!J92+'5'!J92+'6'!J92+'7'!J92+'8'!J92+'9'!J92+'10'!J92+'11'!J92+'12'!I92+'13'!J92+'14'!J92+'15'!J92+'16'!J92+'17'!J92+'18'!J92+'19'!I92+'20'!J92+'21'!J92+'22'!I92+'23'!J92+'24'!J92+'25'!J92+'26'!I92+'27'!J92+'28'!J92+'29'!J92</f>
        <v>0</v>
      </c>
      <c r="K92" s="25">
        <f>'1'!K92+'2'!K92+'3'!K92+'4'!K92+'5'!K92+'6'!K92+'7'!K92+'8'!K92+'9'!K92+'10'!K92+'11'!K92+'12'!J92+'13'!K92+'14'!K92+'15'!K92+'16'!K92+'17'!K92+'18'!K92+'19'!J92+'20'!K92+'21'!K92+'22'!J92+'23'!K92+'24'!K92+'25'!K92+'26'!J92+'27'!K92+'28'!K92+'29'!K92</f>
        <v>15</v>
      </c>
      <c r="L92" s="28">
        <f t="shared" si="1"/>
        <v>2912</v>
      </c>
      <c r="M92" s="11"/>
      <c r="N92" s="11">
        <v>5</v>
      </c>
      <c r="O92" s="11"/>
      <c r="P92" s="11"/>
      <c r="Q92" s="36">
        <v>0</v>
      </c>
    </row>
    <row r="93" spans="2:20" ht="22.2" x14ac:dyDescent="0.25">
      <c r="B93" s="11">
        <v>1112005</v>
      </c>
      <c r="C93" s="18" t="s">
        <v>101</v>
      </c>
      <c r="D93" s="25">
        <f>'1'!D93+'2'!D93+'3'!D93+'4'!D93+'5'!D93+'6'!D93+'7'!D93+'8'!D93+'9'!D93+'10'!D93+'11'!D93+'12'!C93+'13'!D93+'14'!D93+'15'!D93+'16'!D93+'17'!D93+'18'!D93+'19'!C93+'20'!D93+'21'!D93+'22'!C93+'23'!D93+'24'!D93+'25'!D93+'26'!C93+'27'!D93+'28'!D93+'29'!D93</f>
        <v>210</v>
      </c>
      <c r="E93" s="25">
        <f>'1'!E93+'2'!E93+'3'!E93+'4'!E93+'5'!E93+'6'!E93+'7'!E93+'8'!E93+'9'!E93+'10'!E93+'11'!E93+'12'!D93+'13'!E93+'14'!E93+'15'!E93+'16'!E93+'17'!E93+'18'!E93+'19'!D93+'20'!E93+'21'!E93+'22'!D93+'23'!E93+'24'!E93+'25'!E93+'26'!D93+'27'!E93+'28'!E93+'29'!E93</f>
        <v>173</v>
      </c>
      <c r="F93" s="25">
        <f>'1'!F93+'2'!F93+'3'!F93+'4'!F93+'5'!F93+'6'!F93+'7'!F93+'8'!F93+'9'!F93+'10'!F93+'11'!F93+'12'!E93+'13'!F93+'14'!F93+'15'!F93+'16'!F93+'17'!F93+'18'!F93+'19'!E93+'20'!F93+'21'!F93+'22'!E93+'23'!F93+'24'!F93+'25'!F93+'26'!E93+'27'!F93+'28'!F93+'29'!F93</f>
        <v>40</v>
      </c>
      <c r="G93" s="25">
        <f>'1'!G93+'2'!G93+'3'!G93+'4'!G93+'5'!G93+'6'!G93+'7'!G93+'8'!G93+'9'!G93+'10'!G93+'11'!G93+'12'!F93+'13'!G93+'14'!G93+'15'!G93+'16'!G93+'17'!G93+'18'!G93+'19'!F93+'20'!G93+'21'!G93+'22'!F93+'23'!G93+'24'!G93+'25'!G93+'26'!F93+'27'!G93+'28'!G93+'29'!G93</f>
        <v>1935</v>
      </c>
      <c r="H93" s="25">
        <f>'1'!H93+'2'!H93+'3'!H93+'4'!H93+'5'!H93+'6'!H93+'7'!H93+'8'!H93+'9'!H93+'10'!H93+'11'!H93+'12'!G93+'13'!H93+'14'!H93+'15'!H93+'16'!H93+'17'!H93+'18'!H93+'19'!G93+'20'!H93+'21'!H93+'22'!G93+'23'!H93+'24'!H93+'25'!H93+'26'!G93+'27'!H93+'28'!H93+'29'!H93</f>
        <v>268</v>
      </c>
      <c r="I93" s="25">
        <f>'1'!I93+'2'!I93+'3'!I93+'4'!I93+'5'!I93+'6'!I93+'7'!I93+'8'!I93+'9'!I93+'10'!I93+'11'!I93+'12'!H93+'13'!I93+'14'!I93+'15'!I93+'16'!I93+'17'!I93+'18'!I93+'19'!H93+'20'!I93+'21'!I93+'22'!H93+'23'!I93+'24'!I93+'25'!I93+'26'!H93+'27'!I93+'28'!I93+'29'!I93</f>
        <v>0</v>
      </c>
      <c r="J93" s="25">
        <f>'1'!J93+'2'!J93+'3'!J93+'4'!J93+'5'!J93+'6'!J93+'7'!J93+'8'!J93+'9'!J93+'10'!J93+'11'!J93+'12'!I93+'13'!J93+'14'!J93+'15'!J93+'16'!J93+'17'!J93+'18'!J93+'19'!I93+'20'!J93+'21'!J93+'22'!I93+'23'!J93+'24'!J93+'25'!J93+'26'!I93+'27'!J93+'28'!J93+'29'!J93</f>
        <v>0</v>
      </c>
      <c r="K93" s="25">
        <f>'1'!K93+'2'!K93+'3'!K93+'4'!K93+'5'!K93+'6'!K93+'7'!K93+'8'!K93+'9'!K93+'10'!K93+'11'!K93+'12'!J93+'13'!K93+'14'!K93+'15'!K93+'16'!K93+'17'!K93+'18'!K93+'19'!J93+'20'!K93+'21'!K93+'22'!J93+'23'!K93+'24'!K93+'25'!K93+'26'!J93+'27'!K93+'28'!K93+'29'!K93</f>
        <v>27</v>
      </c>
      <c r="L93" s="28">
        <f t="shared" si="1"/>
        <v>2653</v>
      </c>
      <c r="M93" s="11"/>
      <c r="N93" s="11">
        <v>2</v>
      </c>
      <c r="O93" s="11"/>
      <c r="P93" s="11"/>
      <c r="Q93" s="36">
        <v>-2</v>
      </c>
    </row>
    <row r="94" spans="2:20" ht="22.2" hidden="1" x14ac:dyDescent="0.25">
      <c r="B94" s="11">
        <v>1112007</v>
      </c>
      <c r="C94" s="18" t="s">
        <v>102</v>
      </c>
      <c r="D94" s="25">
        <f>'1'!D94+'2'!D94+'3'!D94+'4'!D94+'5'!D94+'6'!D94+'7'!D94+'8'!D94+'9'!D94+'10'!D94+'11'!D94+'12'!C94+'13'!D94+'14'!D94+'15'!D94+'16'!D94+'17'!D94+'18'!D94+'19'!C94+'20'!D94+'21'!D94+'22'!C94+'23'!D94+'24'!D94+'25'!D94+'26'!C94+'27'!D94+'28'!D94+'29'!D94</f>
        <v>0</v>
      </c>
      <c r="E94" s="25">
        <f>'1'!E94+'2'!E94+'3'!E94+'4'!E94+'5'!E94+'6'!E94+'7'!E94+'8'!E94+'9'!E94+'10'!E94+'11'!E94+'12'!D94+'13'!E94+'14'!E94+'15'!E94+'16'!E94+'17'!E94+'18'!E94+'19'!D94+'20'!E94+'21'!E94+'22'!D94+'23'!E94+'24'!E94+'25'!E94+'26'!D94+'27'!E94+'28'!E94+'29'!E94</f>
        <v>0</v>
      </c>
      <c r="F94" s="25">
        <f>'1'!F94+'2'!F94+'3'!F94+'4'!F94+'5'!F94+'6'!F94+'7'!F94+'8'!F94+'9'!F94+'10'!F94+'11'!F94+'12'!E94+'13'!F94+'14'!F94+'15'!F94+'16'!F94+'17'!F94+'18'!F94+'19'!E94+'20'!F94+'21'!F94+'22'!E94+'23'!F94+'24'!F94+'25'!F94+'26'!E94+'27'!F94+'28'!F94+'29'!F94</f>
        <v>0</v>
      </c>
      <c r="G94" s="25">
        <f>'1'!G94+'2'!G94+'3'!G94+'4'!G94+'5'!G94+'6'!G94+'7'!G94+'8'!G94+'9'!G94+'10'!G94+'11'!G94+'12'!F94+'13'!G94+'14'!G94+'15'!G94+'16'!G94+'17'!G94+'18'!G94+'19'!F94+'20'!G94+'21'!G94+'22'!F94+'23'!G94+'24'!G94+'25'!G94+'26'!F94+'27'!G94+'28'!G94+'29'!G94</f>
        <v>0</v>
      </c>
      <c r="H94" s="25">
        <f>'1'!H94+'2'!H94+'3'!H94+'4'!H94+'5'!H94+'6'!H94+'7'!H94+'8'!H94+'9'!H94+'10'!H94+'11'!H94+'12'!G94+'13'!H94+'14'!H94+'15'!H94+'16'!H94+'17'!H94+'18'!H94+'19'!G94+'20'!H94+'21'!H94+'22'!G94+'23'!H94+'24'!H94+'25'!H94+'26'!G94+'27'!H94+'28'!H94+'29'!H94</f>
        <v>0</v>
      </c>
      <c r="I94" s="25">
        <f>'1'!I94+'2'!I94+'3'!I94+'4'!I94+'5'!I94+'6'!I94+'7'!I94+'8'!I94+'9'!I94+'10'!I94+'11'!I94+'12'!H94+'13'!I94+'14'!I94+'15'!I94+'16'!I94+'17'!I94+'18'!I94+'19'!H94+'20'!I94+'21'!I94+'22'!H94+'23'!I94+'24'!I94+'25'!I94+'26'!H94+'27'!I94+'28'!I94+'29'!I94</f>
        <v>0</v>
      </c>
      <c r="J94" s="25">
        <f>'1'!J94+'2'!J94+'3'!J94+'4'!J94+'5'!J94+'6'!J94+'7'!J94+'8'!J94+'9'!J94+'10'!J94+'11'!J94+'12'!I94+'13'!J94+'14'!J94+'15'!J94+'16'!J94+'17'!J94+'18'!J94+'19'!I94+'20'!J94+'21'!J94+'22'!I94+'23'!J94+'24'!J94+'25'!J94+'26'!I94+'27'!J94+'28'!J94+'29'!J94</f>
        <v>0</v>
      </c>
      <c r="K94" s="25">
        <f>'1'!K94+'2'!K94+'3'!K94+'4'!K94+'5'!K94+'6'!K94+'7'!K94+'8'!K94+'9'!K94+'10'!K94+'11'!K94+'12'!J94+'13'!K94+'14'!K94+'15'!K94+'16'!K94+'17'!K94+'18'!K94+'19'!J94+'20'!K94+'21'!K94+'22'!J94+'23'!K94+'24'!K94+'25'!K94+'26'!J94+'27'!K94+'28'!K94+'29'!K94</f>
        <v>0</v>
      </c>
      <c r="L94" s="28">
        <f t="shared" si="1"/>
        <v>0</v>
      </c>
      <c r="M94" s="11"/>
      <c r="N94" s="11"/>
      <c r="O94" s="11"/>
      <c r="P94" s="11"/>
      <c r="Q94" s="36">
        <v>0</v>
      </c>
    </row>
    <row r="95" spans="2:20" ht="22.2" hidden="1" x14ac:dyDescent="0.25">
      <c r="B95" s="11">
        <v>1112019</v>
      </c>
      <c r="C95" s="18" t="s">
        <v>103</v>
      </c>
      <c r="D95" s="25">
        <f>'1'!D95+'2'!D95+'3'!D95+'4'!D95+'5'!D95+'6'!D95+'7'!D95+'8'!D95+'9'!D95+'10'!D95+'11'!D95+'12'!C95+'13'!D95+'14'!D95+'15'!D95+'16'!D95+'17'!D95+'18'!D95+'19'!C95+'20'!D95+'21'!D95+'22'!C95+'23'!D95+'24'!D95+'25'!D95+'26'!C95+'27'!D95+'28'!D95+'29'!D95</f>
        <v>0</v>
      </c>
      <c r="E95" s="25">
        <f>'1'!E95+'2'!E95+'3'!E95+'4'!E95+'5'!E95+'6'!E95+'7'!E95+'8'!E95+'9'!E95+'10'!E95+'11'!E95+'12'!D95+'13'!E95+'14'!E95+'15'!E95+'16'!E95+'17'!E95+'18'!E95+'19'!D95+'20'!E95+'21'!E95+'22'!D95+'23'!E95+'24'!E95+'25'!E95+'26'!D95+'27'!E95+'28'!E95+'29'!E95</f>
        <v>0</v>
      </c>
      <c r="F95" s="25">
        <f>'1'!F95+'2'!F95+'3'!F95+'4'!F95+'5'!F95+'6'!F95+'7'!F95+'8'!F95+'9'!F95+'10'!F95+'11'!F95+'12'!E95+'13'!F95+'14'!F95+'15'!F95+'16'!F95+'17'!F95+'18'!F95+'19'!E95+'20'!F95+'21'!F95+'22'!E95+'23'!F95+'24'!F95+'25'!F95+'26'!E95+'27'!F95+'28'!F95+'29'!F95</f>
        <v>0</v>
      </c>
      <c r="G95" s="25">
        <f>'1'!G95+'2'!G95+'3'!G95+'4'!G95+'5'!G95+'6'!G95+'7'!G95+'8'!G95+'9'!G95+'10'!G95+'11'!G95+'12'!F95+'13'!G95+'14'!G95+'15'!G95+'16'!G95+'17'!G95+'18'!G95+'19'!F95+'20'!G95+'21'!G95+'22'!F95+'23'!G95+'24'!G95+'25'!G95+'26'!F95+'27'!G95+'28'!G95+'29'!G95</f>
        <v>0</v>
      </c>
      <c r="H95" s="25">
        <f>'1'!H95+'2'!H95+'3'!H95+'4'!H95+'5'!H95+'6'!H95+'7'!H95+'8'!H95+'9'!H95+'10'!H95+'11'!H95+'12'!G95+'13'!H95+'14'!H95+'15'!H95+'16'!H95+'17'!H95+'18'!H95+'19'!G95+'20'!H95+'21'!H95+'22'!G95+'23'!H95+'24'!H95+'25'!H95+'26'!G95+'27'!H95+'28'!H95+'29'!H95</f>
        <v>0</v>
      </c>
      <c r="I95" s="25">
        <f>'1'!I95+'2'!I95+'3'!I95+'4'!I95+'5'!I95+'6'!I95+'7'!I95+'8'!I95+'9'!I95+'10'!I95+'11'!I95+'12'!H95+'13'!I95+'14'!I95+'15'!I95+'16'!I95+'17'!I95+'18'!I95+'19'!H95+'20'!I95+'21'!I95+'22'!H95+'23'!I95+'24'!I95+'25'!I95+'26'!H95+'27'!I95+'28'!I95+'29'!I95</f>
        <v>0</v>
      </c>
      <c r="J95" s="25">
        <f>'1'!J95+'2'!J95+'3'!J95+'4'!J95+'5'!J95+'6'!J95+'7'!J95+'8'!J95+'9'!J95+'10'!J95+'11'!J95+'12'!I95+'13'!J95+'14'!J95+'15'!J95+'16'!J95+'17'!J95+'18'!J95+'19'!I95+'20'!J95+'21'!J95+'22'!I95+'23'!J95+'24'!J95+'25'!J95+'26'!I95+'27'!J95+'28'!J95+'29'!J95</f>
        <v>0</v>
      </c>
      <c r="K95" s="25">
        <f>'1'!K95+'2'!K95+'3'!K95+'4'!K95+'5'!K95+'6'!K95+'7'!K95+'8'!K95+'9'!K95+'10'!K95+'11'!K95+'12'!J95+'13'!K95+'14'!K95+'15'!K95+'16'!K95+'17'!K95+'18'!K95+'19'!J95+'20'!K95+'21'!K95+'22'!J95+'23'!K95+'24'!K95+'25'!K95+'26'!J95+'27'!K95+'28'!K95+'29'!K95</f>
        <v>0</v>
      </c>
      <c r="L95" s="28">
        <f t="shared" si="1"/>
        <v>0</v>
      </c>
      <c r="M95" s="11"/>
      <c r="N95" s="11"/>
      <c r="O95" s="11"/>
      <c r="P95" s="11"/>
      <c r="Q95" s="36">
        <v>0</v>
      </c>
    </row>
    <row r="96" spans="2:20" ht="22.2" x14ac:dyDescent="0.25">
      <c r="B96" s="11">
        <v>1112017</v>
      </c>
      <c r="C96" s="18" t="s">
        <v>104</v>
      </c>
      <c r="D96" s="25">
        <f>'1'!D96+'2'!D96+'3'!D96+'4'!D96+'5'!D96+'6'!D96+'7'!D96+'8'!D96+'9'!D96+'10'!D96+'11'!D96+'12'!C96+'13'!D96+'14'!D96+'15'!D96+'16'!D96+'17'!D96+'18'!D96+'19'!C96+'20'!D96+'21'!D96+'22'!C96+'23'!D96+'24'!D96+'25'!D96+'26'!C96+'27'!D96+'28'!D96+'29'!D96</f>
        <v>32</v>
      </c>
      <c r="E96" s="25">
        <f>'1'!E96+'2'!E96+'3'!E96+'4'!E96+'5'!E96+'6'!E96+'7'!E96+'8'!E96+'9'!E96+'10'!E96+'11'!E96+'12'!D96+'13'!E96+'14'!E96+'15'!E96+'16'!E96+'17'!E96+'18'!E96+'19'!D96+'20'!E96+'21'!E96+'22'!D96+'23'!E96+'24'!E96+'25'!E96+'26'!D96+'27'!E96+'28'!E96+'29'!E96</f>
        <v>0</v>
      </c>
      <c r="F96" s="25">
        <f>'1'!F96+'2'!F96+'3'!F96+'4'!F96+'5'!F96+'6'!F96+'7'!F96+'8'!F96+'9'!F96+'10'!F96+'11'!F96+'12'!E96+'13'!F96+'14'!F96+'15'!F96+'16'!F96+'17'!F96+'18'!F96+'19'!E96+'20'!F96+'21'!F96+'22'!E96+'23'!F96+'24'!F96+'25'!F96+'26'!E96+'27'!F96+'28'!F96+'29'!F96</f>
        <v>4</v>
      </c>
      <c r="G96" s="25">
        <f>'1'!G96+'2'!G96+'3'!G96+'4'!G96+'5'!G96+'6'!G96+'7'!G96+'8'!G96+'9'!G96+'10'!G96+'11'!G96+'12'!F96+'13'!G96+'14'!G96+'15'!G96+'16'!G96+'17'!G96+'18'!G96+'19'!F96+'20'!G96+'21'!G96+'22'!F96+'23'!G96+'24'!G96+'25'!G96+'26'!F96+'27'!G96+'28'!G96+'29'!G96</f>
        <v>417</v>
      </c>
      <c r="H96" s="25">
        <f>'1'!H96+'2'!H96+'3'!H96+'4'!H96+'5'!H96+'6'!H96+'7'!H96+'8'!H96+'9'!H96+'10'!H96+'11'!H96+'12'!G96+'13'!H96+'14'!H96+'15'!H96+'16'!H96+'17'!H96+'18'!H96+'19'!G96+'20'!H96+'21'!H96+'22'!G96+'23'!H96+'24'!H96+'25'!H96+'26'!G96+'27'!H96+'28'!H96+'29'!H96</f>
        <v>138</v>
      </c>
      <c r="I96" s="25">
        <f>'1'!I96+'2'!I96+'3'!I96+'4'!I96+'5'!I96+'6'!I96+'7'!I96+'8'!I96+'9'!I96+'10'!I96+'11'!I96+'12'!H96+'13'!I96+'14'!I96+'15'!I96+'16'!I96+'17'!I96+'18'!I96+'19'!H96+'20'!I96+'21'!I96+'22'!H96+'23'!I96+'24'!I96+'25'!I96+'26'!H96+'27'!I96+'28'!I96+'29'!I96</f>
        <v>0</v>
      </c>
      <c r="J96" s="25">
        <f>'1'!J96+'2'!J96+'3'!J96+'4'!J96+'5'!J96+'6'!J96+'7'!J96+'8'!J96+'9'!J96+'10'!J96+'11'!J96+'12'!I96+'13'!J96+'14'!J96+'15'!J96+'16'!J96+'17'!J96+'18'!J96+'19'!I96+'20'!J96+'21'!J96+'22'!I96+'23'!J96+'24'!J96+'25'!J96+'26'!I96+'27'!J96+'28'!J96+'29'!J96</f>
        <v>0</v>
      </c>
      <c r="K96" s="25">
        <f>'1'!K96+'2'!K96+'3'!K96+'4'!K96+'5'!K96+'6'!K96+'7'!K96+'8'!K96+'9'!K96+'10'!K96+'11'!K96+'12'!J96+'13'!K96+'14'!K96+'15'!K96+'16'!K96+'17'!K96+'18'!K96+'19'!J96+'20'!K96+'21'!K96+'22'!J96+'23'!K96+'24'!K96+'25'!K96+'26'!J96+'27'!K96+'28'!K96+'29'!K96</f>
        <v>0</v>
      </c>
      <c r="L96" s="28">
        <f t="shared" si="1"/>
        <v>591</v>
      </c>
      <c r="M96" s="11"/>
      <c r="N96" s="11"/>
      <c r="O96" s="11"/>
      <c r="P96" s="11"/>
      <c r="Q96" s="36">
        <v>0</v>
      </c>
    </row>
    <row r="97" spans="2:20" ht="22.2" x14ac:dyDescent="0.25">
      <c r="B97" s="11">
        <v>1112015</v>
      </c>
      <c r="C97" s="18" t="s">
        <v>105</v>
      </c>
      <c r="D97" s="25">
        <f>'1'!D97+'2'!D97+'3'!D97+'4'!D97+'5'!D97+'6'!D97+'7'!D97+'8'!D97+'9'!D97+'10'!D97+'11'!D97+'12'!C97+'13'!D97+'14'!D97+'15'!D97+'16'!D97+'17'!D97+'18'!D97+'19'!C97+'20'!D97+'21'!D97+'22'!C97+'23'!D97+'24'!D97+'25'!D97+'26'!C97+'27'!D97+'28'!D97+'29'!D97</f>
        <v>116</v>
      </c>
      <c r="E97" s="25">
        <f>'1'!E97+'2'!E97+'3'!E97+'4'!E97+'5'!E97+'6'!E97+'7'!E97+'8'!E97+'9'!E97+'10'!E97+'11'!E97+'12'!D97+'13'!E97+'14'!E97+'15'!E97+'16'!E97+'17'!E97+'18'!E97+'19'!D97+'20'!E97+'21'!E97+'22'!D97+'23'!E97+'24'!E97+'25'!E97+'26'!D97+'27'!E97+'28'!E97+'29'!E97</f>
        <v>170</v>
      </c>
      <c r="F97" s="25">
        <f>'1'!F97+'2'!F97+'3'!F97+'4'!F97+'5'!F97+'6'!F97+'7'!F97+'8'!F97+'9'!F97+'10'!F97+'11'!F97+'12'!E97+'13'!F97+'14'!F97+'15'!F97+'16'!F97+'17'!F97+'18'!F97+'19'!E97+'20'!F97+'21'!F97+'22'!E97+'23'!F97+'24'!F97+'25'!F97+'26'!E97+'27'!F97+'28'!F97+'29'!F97</f>
        <v>40</v>
      </c>
      <c r="G97" s="25">
        <f>'1'!G97+'2'!G97+'3'!G97+'4'!G97+'5'!G97+'6'!G97+'7'!G97+'8'!G97+'9'!G97+'10'!G97+'11'!G97+'12'!F97+'13'!G97+'14'!G97+'15'!G97+'16'!G97+'17'!G97+'18'!G97+'19'!F97+'20'!G97+'21'!G97+'22'!F97+'23'!G97+'24'!G97+'25'!G97+'26'!F97+'27'!G97+'28'!G97+'29'!G97</f>
        <v>2046</v>
      </c>
      <c r="H97" s="25">
        <f>'1'!H97+'2'!H97+'3'!H97+'4'!H97+'5'!H97+'6'!H97+'7'!H97+'8'!H97+'9'!H97+'10'!H97+'11'!H97+'12'!G97+'13'!H97+'14'!H97+'15'!H97+'16'!H97+'17'!H97+'18'!H97+'19'!G97+'20'!H97+'21'!H97+'22'!G97+'23'!H97+'24'!H97+'25'!H97+'26'!G97+'27'!H97+'28'!H97+'29'!H97</f>
        <v>335</v>
      </c>
      <c r="I97" s="25">
        <f>'1'!I97+'2'!I97+'3'!I97+'4'!I97+'5'!I97+'6'!I97+'7'!I97+'8'!I97+'9'!I97+'10'!I97+'11'!I97+'12'!H97+'13'!I97+'14'!I97+'15'!I97+'16'!I97+'17'!I97+'18'!I97+'19'!H97+'20'!I97+'21'!I97+'22'!H97+'23'!I97+'24'!I97+'25'!I97+'26'!H97+'27'!I97+'28'!I97+'29'!I97</f>
        <v>0</v>
      </c>
      <c r="J97" s="25">
        <f>'1'!J97+'2'!J97+'3'!J97+'4'!J97+'5'!J97+'6'!J97+'7'!J97+'8'!J97+'9'!J97+'10'!J97+'11'!J97+'12'!I97+'13'!J97+'14'!J97+'15'!J97+'16'!J97+'17'!J97+'18'!J97+'19'!I97+'20'!J97+'21'!J97+'22'!I97+'23'!J97+'24'!J97+'25'!J97+'26'!I97+'27'!J97+'28'!J97+'29'!J97</f>
        <v>0</v>
      </c>
      <c r="K97" s="25">
        <f>'1'!K97+'2'!K97+'3'!K97+'4'!K97+'5'!K97+'6'!K97+'7'!K97+'8'!K97+'9'!K97+'10'!K97+'11'!K97+'12'!J97+'13'!K97+'14'!K97+'15'!K97+'16'!K97+'17'!K97+'18'!K97+'19'!J97+'20'!K97+'21'!K97+'22'!J97+'23'!K97+'24'!K97+'25'!K97+'26'!J97+'27'!K97+'28'!K97+'29'!K97</f>
        <v>11</v>
      </c>
      <c r="L97" s="28">
        <f t="shared" si="1"/>
        <v>2718</v>
      </c>
      <c r="M97" s="11"/>
      <c r="N97" s="11"/>
      <c r="O97" s="11"/>
      <c r="P97" s="11"/>
      <c r="Q97" s="36">
        <v>0</v>
      </c>
    </row>
    <row r="98" spans="2:20" ht="22.2" x14ac:dyDescent="0.35">
      <c r="B98" s="11">
        <v>1112013</v>
      </c>
      <c r="C98" s="18" t="s">
        <v>106</v>
      </c>
      <c r="D98" s="25">
        <f>'1'!D98+'2'!D98+'3'!D98+'4'!D98+'5'!D98+'6'!D98+'7'!D98+'8'!D98+'9'!D98+'10'!D98+'11'!D98+'12'!C98+'13'!D98+'14'!D98+'15'!D98+'16'!D98+'17'!D98+'18'!D98+'19'!C98+'20'!D98+'21'!D98+'22'!C98+'23'!D98+'24'!D98+'25'!D98+'26'!C98+'27'!D98+'28'!D98+'29'!D98</f>
        <v>201</v>
      </c>
      <c r="E98" s="25">
        <f>'1'!E98+'2'!E98+'3'!E98+'4'!E98+'5'!E98+'6'!E98+'7'!E98+'8'!E98+'9'!E98+'10'!E98+'11'!E98+'12'!D98+'13'!E98+'14'!E98+'15'!E98+'16'!E98+'17'!E98+'18'!E98+'19'!D98+'20'!E98+'21'!E98+'22'!D98+'23'!E98+'24'!E98+'25'!E98+'26'!D98+'27'!E98+'28'!E98+'29'!E98</f>
        <v>905</v>
      </c>
      <c r="F98" s="25">
        <f>'1'!F98+'2'!F98+'3'!F98+'4'!F98+'5'!F98+'6'!F98+'7'!F98+'8'!F98+'9'!F98+'10'!F98+'11'!F98+'12'!E98+'13'!F98+'14'!F98+'15'!F98+'16'!F98+'17'!F98+'18'!F98+'19'!E98+'20'!F98+'21'!F98+'22'!E98+'23'!F98+'24'!F98+'25'!F98+'26'!E98+'27'!F98+'28'!F98+'29'!F98</f>
        <v>442</v>
      </c>
      <c r="G98" s="25">
        <f>'1'!G98+'2'!G98+'3'!G98+'4'!G98+'5'!G98+'6'!G98+'7'!G98+'8'!G98+'9'!G98+'10'!G98+'11'!G98+'12'!F98+'13'!G98+'14'!G98+'15'!G98+'16'!G98+'17'!G98+'18'!G98+'19'!F98+'20'!G98+'21'!G98+'22'!F98+'23'!G98+'24'!G98+'25'!G98+'26'!F98+'27'!G98+'28'!G98+'29'!G98</f>
        <v>2509</v>
      </c>
      <c r="H98" s="25">
        <f>'1'!H98+'2'!H98+'3'!H98+'4'!H98+'5'!H98+'6'!H98+'7'!H98+'8'!H98+'9'!H98+'10'!H98+'11'!H98+'12'!G98+'13'!H98+'14'!H98+'15'!H98+'16'!H98+'17'!H98+'18'!H98+'19'!G98+'20'!H98+'21'!H98+'22'!G98+'23'!H98+'24'!H98+'25'!H98+'26'!G98+'27'!H98+'28'!H98+'29'!H98</f>
        <v>393</v>
      </c>
      <c r="I98" s="25">
        <f>'1'!I98+'2'!I98+'3'!I98+'4'!I98+'5'!I98+'6'!I98+'7'!I98+'8'!I98+'9'!I98+'10'!I98+'11'!I98+'12'!H98+'13'!I98+'14'!I98+'15'!I98+'16'!I98+'17'!I98+'18'!I98+'19'!H98+'20'!I98+'21'!I98+'22'!H98+'23'!I98+'24'!I98+'25'!I98+'26'!H98+'27'!I98+'28'!I98+'29'!I98</f>
        <v>0</v>
      </c>
      <c r="J98" s="25">
        <f>'1'!J98+'2'!J98+'3'!J98+'4'!J98+'5'!J98+'6'!J98+'7'!J98+'8'!J98+'9'!J98+'10'!J98+'11'!J98+'12'!I98+'13'!J98+'14'!J98+'15'!J98+'16'!J98+'17'!J98+'18'!J98+'19'!I98+'20'!J98+'21'!J98+'22'!I98+'23'!J98+'24'!J98+'25'!J98+'26'!I98+'27'!J98+'28'!J98+'29'!J98</f>
        <v>0</v>
      </c>
      <c r="K98" s="25">
        <f>'1'!K98+'2'!K98+'3'!K98+'4'!K98+'5'!K98+'6'!K98+'7'!K98+'8'!K98+'9'!K98+'10'!K98+'11'!K98+'12'!J98+'13'!K98+'14'!K98+'15'!K98+'16'!K98+'17'!K98+'18'!K98+'19'!J98+'20'!K98+'21'!K98+'22'!J98+'23'!K98+'24'!K98+'25'!K98+'26'!J98+'27'!K98+'28'!K98+'29'!K98</f>
        <v>56</v>
      </c>
      <c r="L98" s="28">
        <f t="shared" si="1"/>
        <v>4506</v>
      </c>
      <c r="M98" s="11"/>
      <c r="N98" s="11"/>
      <c r="O98" s="11"/>
      <c r="P98" s="11"/>
      <c r="Q98" s="36">
        <v>0</v>
      </c>
      <c r="T98" s="38"/>
    </row>
    <row r="99" spans="2:20" ht="22.2" hidden="1" x14ac:dyDescent="0.25">
      <c r="B99" s="11">
        <v>1124043</v>
      </c>
      <c r="C99" s="18" t="s">
        <v>107</v>
      </c>
      <c r="D99" s="25">
        <f>'1'!D99+'2'!D99+'3'!D99+'4'!D99+'5'!D99+'6'!D99+'7'!D99+'8'!D99+'9'!D99+'10'!D99+'11'!D99+'12'!C99+'13'!D99+'14'!D99+'15'!D99+'16'!D99+'17'!D99+'18'!D99+'19'!C99+'20'!D99+'21'!D99+'22'!C99+'23'!D99+'24'!D99+'25'!D99+'26'!C99+'27'!D99+'28'!D99+'29'!D99</f>
        <v>0</v>
      </c>
      <c r="E99" s="25">
        <f>'1'!E99+'2'!E99+'3'!E99+'4'!E99+'5'!E99+'6'!E99+'7'!E99+'8'!E99+'9'!E99+'10'!E99+'11'!E99+'12'!D99+'13'!E99+'14'!E99+'15'!E99+'16'!E99+'17'!E99+'18'!E99+'19'!D99+'20'!E99+'21'!E99+'22'!D99+'23'!E99+'24'!E99+'25'!E99+'26'!D99+'27'!E99+'28'!E99+'29'!E99</f>
        <v>0</v>
      </c>
      <c r="F99" s="25">
        <f>'1'!F99+'2'!F99+'3'!F99+'4'!F99+'5'!F99+'6'!F99+'7'!F99+'8'!F99+'9'!F99+'10'!F99+'11'!F99+'12'!E99+'13'!F99+'14'!F99+'15'!F99+'16'!F99+'17'!F99+'18'!F99+'19'!E99+'20'!F99+'21'!F99+'22'!E99+'23'!F99+'24'!F99+'25'!F99+'26'!E99+'27'!F99+'28'!F99+'29'!F99</f>
        <v>0</v>
      </c>
      <c r="G99" s="25">
        <f>'1'!G99+'2'!G99+'3'!G99+'4'!G99+'5'!G99+'6'!G99+'7'!G99+'8'!G99+'9'!G99+'10'!G99+'11'!G99+'12'!F99+'13'!G99+'14'!G99+'15'!G99+'16'!G99+'17'!G99+'18'!G99+'19'!F99+'20'!G99+'21'!G99+'22'!F99+'23'!G99+'24'!G99+'25'!G99+'26'!F99+'27'!G99+'28'!G99+'29'!G99</f>
        <v>0</v>
      </c>
      <c r="H99" s="25">
        <f>'1'!H99+'2'!H99+'3'!H99+'4'!H99+'5'!H99+'6'!H99+'7'!H99+'8'!H99+'9'!H99+'10'!H99+'11'!H99+'12'!G99+'13'!H99+'14'!H99+'15'!H99+'16'!H99+'17'!H99+'18'!H99+'19'!G99+'20'!H99+'21'!H99+'22'!G99+'23'!H99+'24'!H99+'25'!H99+'26'!G99+'27'!H99+'28'!H99+'29'!H99</f>
        <v>0</v>
      </c>
      <c r="I99" s="25">
        <f>'1'!I99+'2'!I99+'3'!I99+'4'!I99+'5'!I99+'6'!I99+'7'!I99+'8'!I99+'9'!I99+'10'!I99+'11'!I99+'12'!H99+'13'!I99+'14'!I99+'15'!I99+'16'!I99+'17'!I99+'18'!I99+'19'!H99+'20'!I99+'21'!I99+'22'!H99+'23'!I99+'24'!I99+'25'!I99+'26'!H99+'27'!I99+'28'!I99+'29'!I99</f>
        <v>0</v>
      </c>
      <c r="J99" s="25">
        <f>'1'!J99+'2'!J99+'3'!J99+'4'!J99+'5'!J99+'6'!J99+'7'!J99+'8'!J99+'9'!J99+'10'!J99+'11'!J99+'12'!I99+'13'!J99+'14'!J99+'15'!J99+'16'!J99+'17'!J99+'18'!J99+'19'!I99+'20'!J99+'21'!J99+'22'!I99+'23'!J99+'24'!J99+'25'!J99+'26'!I99+'27'!J99+'28'!J99+'29'!J99</f>
        <v>0</v>
      </c>
      <c r="K99" s="25">
        <f>'1'!K99+'2'!K99+'3'!K99+'4'!K99+'5'!K99+'6'!K99+'7'!K99+'8'!K99+'9'!K99+'10'!K99+'11'!K99+'12'!J99+'13'!K99+'14'!K99+'15'!K99+'16'!K99+'17'!K99+'18'!K99+'19'!J99+'20'!K99+'21'!K99+'22'!J99+'23'!K99+'24'!K99+'25'!K99+'26'!J99+'27'!K99+'28'!K99+'29'!K99</f>
        <v>0</v>
      </c>
      <c r="L99" s="28">
        <f t="shared" si="1"/>
        <v>0</v>
      </c>
      <c r="M99" s="11"/>
      <c r="N99" s="11"/>
      <c r="O99" s="11"/>
      <c r="P99" s="11"/>
      <c r="Q99" s="36">
        <v>0</v>
      </c>
    </row>
    <row r="100" spans="2:20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f>SUM(L90:L99)</f>
        <v>22445</v>
      </c>
      <c r="M100" s="11"/>
      <c r="N100" s="11"/>
      <c r="O100" s="11"/>
      <c r="P100" s="11"/>
      <c r="Q100" s="36">
        <v>-2</v>
      </c>
    </row>
    <row r="101" spans="2:20" ht="20.399999999999999" hidden="1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20" ht="22.2" hidden="1" x14ac:dyDescent="0.25">
      <c r="B102" s="11">
        <v>1112008</v>
      </c>
      <c r="C102" s="18" t="s">
        <v>98</v>
      </c>
      <c r="D102" s="25">
        <f>'1'!D102+'2'!D102+'3'!D102+'4'!D102+'5'!D102+'6'!D102+'7'!D102+'8'!D102+'9'!D102+'10'!D102+'11'!D102+'12'!C102+'13'!D102+'14'!D102+'15'!D102+'16'!D102+'17'!D102+'18'!D102+'19'!C102+'20'!D102+'21'!D102+'22'!C102+'23'!D102+'24'!D102+'25'!D102+'26'!C102+'27'!D102+'28'!D102+'29'!D102</f>
        <v>0</v>
      </c>
      <c r="E102" s="25">
        <f>'1'!E102+'2'!E102+'3'!E102+'4'!E102+'5'!E102+'6'!E102+'7'!E102+'8'!E102+'9'!E102+'10'!E102+'11'!E102+'12'!D102+'13'!E102+'14'!E102+'15'!E102+'16'!E102+'17'!E102+'18'!E102+'19'!D102+'20'!E102+'21'!E102+'22'!D102+'23'!E102+'24'!E102+'25'!E102+'26'!D102+'27'!E102+'28'!E102+'29'!E102</f>
        <v>0</v>
      </c>
      <c r="F102" s="25">
        <f>'1'!F102+'2'!F102+'3'!F102+'4'!F102+'5'!F102+'6'!F102+'7'!F102+'8'!F102+'9'!F102+'10'!F102+'11'!F102+'12'!E102+'13'!F102+'14'!F102+'15'!F102+'16'!F102+'17'!F102+'18'!F102+'19'!E102+'20'!F102+'21'!F102+'22'!E102+'23'!F102+'24'!F102+'25'!F102+'26'!E102+'27'!F102+'28'!F102+'29'!F102</f>
        <v>0</v>
      </c>
      <c r="G102" s="25">
        <f>'1'!G102+'2'!G102+'3'!G102+'4'!G102+'5'!G102+'6'!G102+'7'!G102+'8'!G102+'9'!G102+'10'!G102+'11'!G102+'12'!F102+'13'!G102+'14'!G102+'15'!G102+'16'!G102+'17'!G102+'18'!G102+'19'!F102+'20'!G102+'21'!G102+'22'!F102+'23'!G102+'24'!G102+'25'!G102+'26'!F102+'27'!G102+'28'!G102+'29'!G102</f>
        <v>0</v>
      </c>
      <c r="H102" s="25">
        <f>'1'!H102+'2'!H102+'3'!H102+'4'!H102+'5'!H102+'6'!H102+'7'!H102+'8'!H102+'9'!H102+'10'!H102+'11'!H102+'12'!G102+'13'!H102+'14'!H102+'15'!H102+'16'!H102+'17'!H102+'18'!H102+'19'!G102+'20'!H102+'21'!H102+'22'!G102+'23'!H102+'24'!H102+'25'!H102+'26'!G102+'27'!H102+'28'!H102+'29'!H102</f>
        <v>0</v>
      </c>
      <c r="I102" s="25">
        <f>'1'!I102+'2'!I102+'3'!I102+'4'!I102+'5'!I102+'6'!I102+'7'!I102+'8'!I102+'9'!I102+'10'!I102+'11'!I102+'12'!H102+'13'!I102+'14'!I102+'15'!I102+'16'!I102+'17'!I102+'18'!I102+'19'!H102+'20'!I102+'21'!I102+'22'!H102+'23'!I102+'24'!I102+'25'!I102+'26'!H102+'27'!I102+'28'!I102+'29'!I102</f>
        <v>0</v>
      </c>
      <c r="J102" s="25">
        <f>'1'!J102+'2'!J102+'3'!J102+'4'!J102+'5'!J102+'6'!J102+'7'!J102+'8'!J102+'9'!J102+'10'!J102+'11'!J102+'12'!I102+'13'!J102+'14'!J102+'15'!J102+'16'!J102+'17'!J102+'18'!J102+'19'!I102+'20'!J102+'21'!J102+'22'!I102+'23'!J102+'24'!J102+'25'!J102+'26'!I102+'27'!J102+'28'!J102+'29'!J102</f>
        <v>0</v>
      </c>
      <c r="K102" s="25">
        <f>'1'!K102+'2'!K102+'3'!K102+'4'!K102+'5'!K102+'6'!K102+'7'!K102+'8'!K102+'9'!K102+'10'!K102+'11'!K102+'12'!J102+'13'!K102+'14'!K102+'15'!K102+'16'!K102+'17'!K102+'18'!K102+'19'!J102+'20'!K102+'21'!K102+'22'!J102+'23'!K102+'24'!K102+'25'!K102+'26'!J102+'27'!K102+'28'!K102+'29'!K102</f>
        <v>0</v>
      </c>
      <c r="L102" s="28">
        <f t="shared" si="1"/>
        <v>0</v>
      </c>
      <c r="M102" s="11"/>
      <c r="N102" s="11"/>
      <c r="O102" s="11"/>
      <c r="P102" s="11"/>
      <c r="Q102" s="36">
        <v>0</v>
      </c>
    </row>
    <row r="103" spans="2:20" ht="22.2" hidden="1" x14ac:dyDescent="0.25">
      <c r="B103" s="11">
        <v>1112010</v>
      </c>
      <c r="C103" s="18" t="s">
        <v>99</v>
      </c>
      <c r="D103" s="25">
        <f>'1'!D103+'2'!D103+'3'!D103+'4'!D103+'5'!D103+'6'!D103+'7'!D103+'8'!D103+'9'!D103+'10'!D103+'11'!D103+'12'!C103+'13'!D103+'14'!D103+'15'!D103+'16'!D103+'17'!D103+'18'!D103+'19'!C103+'20'!D103+'21'!D103+'22'!C103+'23'!D103+'24'!D103+'25'!D103+'26'!C103+'27'!D103+'28'!D103+'29'!D103</f>
        <v>0</v>
      </c>
      <c r="E103" s="25">
        <f>'1'!E103+'2'!E103+'3'!E103+'4'!E103+'5'!E103+'6'!E103+'7'!E103+'8'!E103+'9'!E103+'10'!E103+'11'!E103+'12'!D103+'13'!E103+'14'!E103+'15'!E103+'16'!E103+'17'!E103+'18'!E103+'19'!D103+'20'!E103+'21'!E103+'22'!D103+'23'!E103+'24'!E103+'25'!E103+'26'!D103+'27'!E103+'28'!E103+'29'!E103</f>
        <v>0</v>
      </c>
      <c r="F103" s="25">
        <f>'1'!F103+'2'!F103+'3'!F103+'4'!F103+'5'!F103+'6'!F103+'7'!F103+'8'!F103+'9'!F103+'10'!F103+'11'!F103+'12'!E103+'13'!F103+'14'!F103+'15'!F103+'16'!F103+'17'!F103+'18'!F103+'19'!E103+'20'!F103+'21'!F103+'22'!E103+'23'!F103+'24'!F103+'25'!F103+'26'!E103+'27'!F103+'28'!F103+'29'!F103</f>
        <v>0</v>
      </c>
      <c r="G103" s="25">
        <f>'1'!G103+'2'!G103+'3'!G103+'4'!G103+'5'!G103+'6'!G103+'7'!G103+'8'!G103+'9'!G103+'10'!G103+'11'!G103+'12'!F103+'13'!G103+'14'!G103+'15'!G103+'16'!G103+'17'!G103+'18'!G103+'19'!F103+'20'!G103+'21'!G103+'22'!F103+'23'!G103+'24'!G103+'25'!G103+'26'!F103+'27'!G103+'28'!G103+'29'!G103</f>
        <v>0</v>
      </c>
      <c r="H103" s="25">
        <f>'1'!H103+'2'!H103+'3'!H103+'4'!H103+'5'!H103+'6'!H103+'7'!H103+'8'!H103+'9'!H103+'10'!H103+'11'!H103+'12'!G103+'13'!H103+'14'!H103+'15'!H103+'16'!H103+'17'!H103+'18'!H103+'19'!G103+'20'!H103+'21'!H103+'22'!G103+'23'!H103+'24'!H103+'25'!H103+'26'!G103+'27'!H103+'28'!H103+'29'!H103</f>
        <v>0</v>
      </c>
      <c r="I103" s="25">
        <f>'1'!I103+'2'!I103+'3'!I103+'4'!I103+'5'!I103+'6'!I103+'7'!I103+'8'!I103+'9'!I103+'10'!I103+'11'!I103+'12'!H103+'13'!I103+'14'!I103+'15'!I103+'16'!I103+'17'!I103+'18'!I103+'19'!H103+'20'!I103+'21'!I103+'22'!H103+'23'!I103+'24'!I103+'25'!I103+'26'!H103+'27'!I103+'28'!I103+'29'!I103</f>
        <v>0</v>
      </c>
      <c r="J103" s="25">
        <f>'1'!J103+'2'!J103+'3'!J103+'4'!J103+'5'!J103+'6'!J103+'7'!J103+'8'!J103+'9'!J103+'10'!J103+'11'!J103+'12'!I103+'13'!J103+'14'!J103+'15'!J103+'16'!J103+'17'!J103+'18'!J103+'19'!I103+'20'!J103+'21'!J103+'22'!I103+'23'!J103+'24'!J103+'25'!J103+'26'!I103+'27'!J103+'28'!J103+'29'!J103</f>
        <v>0</v>
      </c>
      <c r="K103" s="25">
        <f>'1'!K103+'2'!K103+'3'!K103+'4'!K103+'5'!K103+'6'!K103+'7'!K103+'8'!K103+'9'!K103+'10'!K103+'11'!K103+'12'!J103+'13'!K103+'14'!K103+'15'!K103+'16'!K103+'17'!K103+'18'!K103+'19'!J103+'20'!K103+'21'!K103+'22'!J103+'23'!K103+'24'!K103+'25'!K103+'26'!J103+'27'!K103+'28'!K103+'29'!K103</f>
        <v>0</v>
      </c>
      <c r="L103" s="28">
        <f t="shared" si="1"/>
        <v>0</v>
      </c>
      <c r="M103" s="11"/>
      <c r="N103" s="11"/>
      <c r="O103" s="11"/>
      <c r="P103" s="11"/>
      <c r="Q103" s="36">
        <v>0</v>
      </c>
    </row>
    <row r="104" spans="2:20" ht="22.2" hidden="1" x14ac:dyDescent="0.25">
      <c r="B104" s="11">
        <v>1112002</v>
      </c>
      <c r="C104" s="18" t="s">
        <v>100</v>
      </c>
      <c r="D104" s="25">
        <f>'1'!D104+'2'!D104+'3'!D104+'4'!D104+'5'!D104+'6'!D104+'7'!D104+'8'!D104+'9'!D104+'10'!D104+'11'!D104+'12'!C104+'13'!D104+'14'!D104+'15'!D104+'16'!D104+'17'!D104+'18'!D104+'19'!C104+'20'!D104+'21'!D104+'22'!C104+'23'!D104+'24'!D104+'25'!D104+'26'!C104+'27'!D104+'28'!D104+'29'!D104</f>
        <v>0</v>
      </c>
      <c r="E104" s="25">
        <f>'1'!E104+'2'!E104+'3'!E104+'4'!E104+'5'!E104+'6'!E104+'7'!E104+'8'!E104+'9'!E104+'10'!E104+'11'!E104+'12'!D104+'13'!E104+'14'!E104+'15'!E104+'16'!E104+'17'!E104+'18'!E104+'19'!D104+'20'!E104+'21'!E104+'22'!D104+'23'!E104+'24'!E104+'25'!E104+'26'!D104+'27'!E104+'28'!E104+'29'!E104</f>
        <v>0</v>
      </c>
      <c r="F104" s="25">
        <f>'1'!F104+'2'!F104+'3'!F104+'4'!F104+'5'!F104+'6'!F104+'7'!F104+'8'!F104+'9'!F104+'10'!F104+'11'!F104+'12'!E104+'13'!F104+'14'!F104+'15'!F104+'16'!F104+'17'!F104+'18'!F104+'19'!E104+'20'!F104+'21'!F104+'22'!E104+'23'!F104+'24'!F104+'25'!F104+'26'!E104+'27'!F104+'28'!F104+'29'!F104</f>
        <v>0</v>
      </c>
      <c r="G104" s="25">
        <f>'1'!G104+'2'!G104+'3'!G104+'4'!G104+'5'!G104+'6'!G104+'7'!G104+'8'!G104+'9'!G104+'10'!G104+'11'!G104+'12'!F104+'13'!G104+'14'!G104+'15'!G104+'16'!G104+'17'!G104+'18'!G104+'19'!F104+'20'!G104+'21'!G104+'22'!F104+'23'!G104+'24'!G104+'25'!G104+'26'!F104+'27'!G104+'28'!G104+'29'!G104</f>
        <v>0</v>
      </c>
      <c r="H104" s="25">
        <f>'1'!H104+'2'!H104+'3'!H104+'4'!H104+'5'!H104+'6'!H104+'7'!H104+'8'!H104+'9'!H104+'10'!H104+'11'!H104+'12'!G104+'13'!H104+'14'!H104+'15'!H104+'16'!H104+'17'!H104+'18'!H104+'19'!G104+'20'!H104+'21'!H104+'22'!G104+'23'!H104+'24'!H104+'25'!H104+'26'!G104+'27'!H104+'28'!H104+'29'!H104</f>
        <v>0</v>
      </c>
      <c r="I104" s="25">
        <f>'1'!I104+'2'!I104+'3'!I104+'4'!I104+'5'!I104+'6'!I104+'7'!I104+'8'!I104+'9'!I104+'10'!I104+'11'!I104+'12'!H104+'13'!I104+'14'!I104+'15'!I104+'16'!I104+'17'!I104+'18'!I104+'19'!H104+'20'!I104+'21'!I104+'22'!H104+'23'!I104+'24'!I104+'25'!I104+'26'!H104+'27'!I104+'28'!I104+'29'!I104</f>
        <v>0</v>
      </c>
      <c r="J104" s="25">
        <f>'1'!J104+'2'!J104+'3'!J104+'4'!J104+'5'!J104+'6'!J104+'7'!J104+'8'!J104+'9'!J104+'10'!J104+'11'!J104+'12'!I104+'13'!J104+'14'!J104+'15'!J104+'16'!J104+'17'!J104+'18'!J104+'19'!I104+'20'!J104+'21'!J104+'22'!I104+'23'!J104+'24'!J104+'25'!J104+'26'!I104+'27'!J104+'28'!J104+'29'!J104</f>
        <v>0</v>
      </c>
      <c r="K104" s="25">
        <f>'1'!K104+'2'!K104+'3'!K104+'4'!K104+'5'!K104+'6'!K104+'7'!K104+'8'!K104+'9'!K104+'10'!K104+'11'!K104+'12'!J104+'13'!K104+'14'!K104+'15'!K104+'16'!K104+'17'!K104+'18'!K104+'19'!J104+'20'!K104+'21'!K104+'22'!J104+'23'!K104+'24'!K104+'25'!K104+'26'!J104+'27'!K104+'28'!K104+'29'!K104</f>
        <v>0</v>
      </c>
      <c r="L104" s="28">
        <f t="shared" si="1"/>
        <v>0</v>
      </c>
      <c r="M104" s="11"/>
      <c r="N104" s="11"/>
      <c r="O104" s="11"/>
      <c r="P104" s="11"/>
      <c r="Q104" s="36">
        <v>0</v>
      </c>
    </row>
    <row r="105" spans="2:20" ht="22.2" hidden="1" x14ac:dyDescent="0.25">
      <c r="B105" s="11">
        <v>1112004</v>
      </c>
      <c r="C105" s="18" t="s">
        <v>101</v>
      </c>
      <c r="D105" s="25">
        <f>'1'!D105+'2'!D105+'3'!D105+'4'!D105+'5'!D105+'6'!D105+'7'!D105+'8'!D105+'9'!D105+'10'!D105+'11'!D105+'12'!C105+'13'!D105+'14'!D105+'15'!D105+'16'!D105+'17'!D105+'18'!D105+'19'!C105+'20'!D105+'21'!D105+'22'!C105+'23'!D105+'24'!D105+'25'!D105+'26'!C105+'27'!D105+'28'!D105+'29'!D105</f>
        <v>0</v>
      </c>
      <c r="E105" s="25">
        <f>'1'!E105+'2'!E105+'3'!E105+'4'!E105+'5'!E105+'6'!E105+'7'!E105+'8'!E105+'9'!E105+'10'!E105+'11'!E105+'12'!D105+'13'!E105+'14'!E105+'15'!E105+'16'!E105+'17'!E105+'18'!E105+'19'!D105+'20'!E105+'21'!E105+'22'!D105+'23'!E105+'24'!E105+'25'!E105+'26'!D105+'27'!E105+'28'!E105+'29'!E105</f>
        <v>0</v>
      </c>
      <c r="F105" s="25">
        <f>'1'!F105+'2'!F105+'3'!F105+'4'!F105+'5'!F105+'6'!F105+'7'!F105+'8'!F105+'9'!F105+'10'!F105+'11'!F105+'12'!E105+'13'!F105+'14'!F105+'15'!F105+'16'!F105+'17'!F105+'18'!F105+'19'!E105+'20'!F105+'21'!F105+'22'!E105+'23'!F105+'24'!F105+'25'!F105+'26'!E105+'27'!F105+'28'!F105+'29'!F105</f>
        <v>0</v>
      </c>
      <c r="G105" s="25">
        <f>'1'!G105+'2'!G105+'3'!G105+'4'!G105+'5'!G105+'6'!G105+'7'!G105+'8'!G105+'9'!G105+'10'!G105+'11'!G105+'12'!F105+'13'!G105+'14'!G105+'15'!G105+'16'!G105+'17'!G105+'18'!G105+'19'!F105+'20'!G105+'21'!G105+'22'!F105+'23'!G105+'24'!G105+'25'!G105+'26'!F105+'27'!G105+'28'!G105+'29'!G105</f>
        <v>0</v>
      </c>
      <c r="H105" s="25">
        <f>'1'!H105+'2'!H105+'3'!H105+'4'!H105+'5'!H105+'6'!H105+'7'!H105+'8'!H105+'9'!H105+'10'!H105+'11'!H105+'12'!G105+'13'!H105+'14'!H105+'15'!H105+'16'!H105+'17'!H105+'18'!H105+'19'!G105+'20'!H105+'21'!H105+'22'!G105+'23'!H105+'24'!H105+'25'!H105+'26'!G105+'27'!H105+'28'!H105+'29'!H105</f>
        <v>0</v>
      </c>
      <c r="I105" s="25">
        <f>'1'!I105+'2'!I105+'3'!I105+'4'!I105+'5'!I105+'6'!I105+'7'!I105+'8'!I105+'9'!I105+'10'!I105+'11'!I105+'12'!H105+'13'!I105+'14'!I105+'15'!I105+'16'!I105+'17'!I105+'18'!I105+'19'!H105+'20'!I105+'21'!I105+'22'!H105+'23'!I105+'24'!I105+'25'!I105+'26'!H105+'27'!I105+'28'!I105+'29'!I105</f>
        <v>0</v>
      </c>
      <c r="J105" s="25">
        <f>'1'!J105+'2'!J105+'3'!J105+'4'!J105+'5'!J105+'6'!J105+'7'!J105+'8'!J105+'9'!J105+'10'!J105+'11'!J105+'12'!I105+'13'!J105+'14'!J105+'15'!J105+'16'!J105+'17'!J105+'18'!J105+'19'!I105+'20'!J105+'21'!J105+'22'!I105+'23'!J105+'24'!J105+'25'!J105+'26'!I105+'27'!J105+'28'!J105+'29'!J105</f>
        <v>0</v>
      </c>
      <c r="K105" s="25">
        <f>'1'!K105+'2'!K105+'3'!K105+'4'!K105+'5'!K105+'6'!K105+'7'!K105+'8'!K105+'9'!K105+'10'!K105+'11'!K105+'12'!J105+'13'!K105+'14'!K105+'15'!K105+'16'!K105+'17'!K105+'18'!K105+'19'!J105+'20'!K105+'21'!K105+'22'!J105+'23'!K105+'24'!K105+'25'!K105+'26'!J105+'27'!K105+'28'!K105+'29'!K105</f>
        <v>0</v>
      </c>
      <c r="L105" s="28">
        <f t="shared" si="1"/>
        <v>0</v>
      </c>
      <c r="M105" s="11"/>
      <c r="N105" s="11"/>
      <c r="O105" s="11"/>
      <c r="P105" s="11"/>
      <c r="Q105" s="36">
        <v>0</v>
      </c>
    </row>
    <row r="106" spans="2:20" ht="22.2" hidden="1" x14ac:dyDescent="0.25">
      <c r="B106" s="11">
        <v>1112006</v>
      </c>
      <c r="C106" s="18" t="s">
        <v>102</v>
      </c>
      <c r="D106" s="25">
        <f>'1'!D106+'2'!D106+'3'!D106+'4'!D106+'5'!D106+'6'!D106+'7'!D106+'8'!D106+'9'!D106+'10'!D106+'11'!D106+'12'!C106+'13'!D106+'14'!D106+'15'!D106+'16'!D106+'17'!D106+'18'!D106+'19'!C106+'20'!D106+'21'!D106+'22'!C106+'23'!D106+'24'!D106+'25'!D106+'26'!C106+'27'!D106+'28'!D106+'29'!D106</f>
        <v>0</v>
      </c>
      <c r="E106" s="25">
        <f>'1'!E106+'2'!E106+'3'!E106+'4'!E106+'5'!E106+'6'!E106+'7'!E106+'8'!E106+'9'!E106+'10'!E106+'11'!E106+'12'!D106+'13'!E106+'14'!E106+'15'!E106+'16'!E106+'17'!E106+'18'!E106+'19'!D106+'20'!E106+'21'!E106+'22'!D106+'23'!E106+'24'!E106+'25'!E106+'26'!D106+'27'!E106+'28'!E106+'29'!E106</f>
        <v>0</v>
      </c>
      <c r="F106" s="25">
        <f>'1'!F106+'2'!F106+'3'!F106+'4'!F106+'5'!F106+'6'!F106+'7'!F106+'8'!F106+'9'!F106+'10'!F106+'11'!F106+'12'!E106+'13'!F106+'14'!F106+'15'!F106+'16'!F106+'17'!F106+'18'!F106+'19'!E106+'20'!F106+'21'!F106+'22'!E106+'23'!F106+'24'!F106+'25'!F106+'26'!E106+'27'!F106+'28'!F106+'29'!F106</f>
        <v>0</v>
      </c>
      <c r="G106" s="25">
        <f>'1'!G106+'2'!G106+'3'!G106+'4'!G106+'5'!G106+'6'!G106+'7'!G106+'8'!G106+'9'!G106+'10'!G106+'11'!G106+'12'!F106+'13'!G106+'14'!G106+'15'!G106+'16'!G106+'17'!G106+'18'!G106+'19'!F106+'20'!G106+'21'!G106+'22'!F106+'23'!G106+'24'!G106+'25'!G106+'26'!F106+'27'!G106+'28'!G106+'29'!G106</f>
        <v>0</v>
      </c>
      <c r="H106" s="25">
        <f>'1'!H106+'2'!H106+'3'!H106+'4'!H106+'5'!H106+'6'!H106+'7'!H106+'8'!H106+'9'!H106+'10'!H106+'11'!H106+'12'!G106+'13'!H106+'14'!H106+'15'!H106+'16'!H106+'17'!H106+'18'!H106+'19'!G106+'20'!H106+'21'!H106+'22'!G106+'23'!H106+'24'!H106+'25'!H106+'26'!G106+'27'!H106+'28'!H106+'29'!H106</f>
        <v>0</v>
      </c>
      <c r="I106" s="25">
        <f>'1'!I106+'2'!I106+'3'!I106+'4'!I106+'5'!I106+'6'!I106+'7'!I106+'8'!I106+'9'!I106+'10'!I106+'11'!I106+'12'!H106+'13'!I106+'14'!I106+'15'!I106+'16'!I106+'17'!I106+'18'!I106+'19'!H106+'20'!I106+'21'!I106+'22'!H106+'23'!I106+'24'!I106+'25'!I106+'26'!H106+'27'!I106+'28'!I106+'29'!I106</f>
        <v>0</v>
      </c>
      <c r="J106" s="25">
        <f>'1'!J106+'2'!J106+'3'!J106+'4'!J106+'5'!J106+'6'!J106+'7'!J106+'8'!J106+'9'!J106+'10'!J106+'11'!J106+'12'!I106+'13'!J106+'14'!J106+'15'!J106+'16'!J106+'17'!J106+'18'!J106+'19'!I106+'20'!J106+'21'!J106+'22'!I106+'23'!J106+'24'!J106+'25'!J106+'26'!I106+'27'!J106+'28'!J106+'29'!J106</f>
        <v>0</v>
      </c>
      <c r="K106" s="25">
        <f>'1'!K106+'2'!K106+'3'!K106+'4'!K106+'5'!K106+'6'!K106+'7'!K106+'8'!K106+'9'!K106+'10'!K106+'11'!K106+'12'!J106+'13'!K106+'14'!K106+'15'!K106+'16'!K106+'17'!K106+'18'!K106+'19'!J106+'20'!K106+'21'!K106+'22'!J106+'23'!K106+'24'!K106+'25'!K106+'26'!J106+'27'!K106+'28'!K106+'29'!K106</f>
        <v>0</v>
      </c>
      <c r="L106" s="28">
        <f t="shared" si="1"/>
        <v>0</v>
      </c>
      <c r="M106" s="11"/>
      <c r="N106" s="11"/>
      <c r="O106" s="11"/>
      <c r="P106" s="11"/>
      <c r="Q106" s="36">
        <v>0</v>
      </c>
    </row>
    <row r="107" spans="2:20" ht="22.2" hidden="1" x14ac:dyDescent="0.25">
      <c r="B107" s="11">
        <v>1112018</v>
      </c>
      <c r="C107" s="18" t="s">
        <v>103</v>
      </c>
      <c r="D107" s="25">
        <f>'1'!D107+'2'!D107+'3'!D107+'4'!D107+'5'!D107+'6'!D107+'7'!D107+'8'!D107+'9'!D107+'10'!D107+'11'!D107+'12'!C107+'13'!D107+'14'!D107+'15'!D107+'16'!D107+'17'!D107+'18'!D107+'19'!C107+'20'!D107+'21'!D107+'22'!C107+'23'!D107+'24'!D107+'25'!D107+'26'!C107+'27'!D107+'28'!D107+'29'!D107</f>
        <v>0</v>
      </c>
      <c r="E107" s="25">
        <f>'1'!E107+'2'!E107+'3'!E107+'4'!E107+'5'!E107+'6'!E107+'7'!E107+'8'!E107+'9'!E107+'10'!E107+'11'!E107+'12'!D107+'13'!E107+'14'!E107+'15'!E107+'16'!E107+'17'!E107+'18'!E107+'19'!D107+'20'!E107+'21'!E107+'22'!D107+'23'!E107+'24'!E107+'25'!E107+'26'!D107+'27'!E107+'28'!E107+'29'!E107</f>
        <v>0</v>
      </c>
      <c r="F107" s="25">
        <f>'1'!F107+'2'!F107+'3'!F107+'4'!F107+'5'!F107+'6'!F107+'7'!F107+'8'!F107+'9'!F107+'10'!F107+'11'!F107+'12'!E107+'13'!F107+'14'!F107+'15'!F107+'16'!F107+'17'!F107+'18'!F107+'19'!E107+'20'!F107+'21'!F107+'22'!E107+'23'!F107+'24'!F107+'25'!F107+'26'!E107+'27'!F107+'28'!F107+'29'!F107</f>
        <v>0</v>
      </c>
      <c r="G107" s="25">
        <f>'1'!G107+'2'!G107+'3'!G107+'4'!G107+'5'!G107+'6'!G107+'7'!G107+'8'!G107+'9'!G107+'10'!G107+'11'!G107+'12'!F107+'13'!G107+'14'!G107+'15'!G107+'16'!G107+'17'!G107+'18'!G107+'19'!F107+'20'!G107+'21'!G107+'22'!F107+'23'!G107+'24'!G107+'25'!G107+'26'!F107+'27'!G107+'28'!G107+'29'!G107</f>
        <v>0</v>
      </c>
      <c r="H107" s="25">
        <f>'1'!H107+'2'!H107+'3'!H107+'4'!H107+'5'!H107+'6'!H107+'7'!H107+'8'!H107+'9'!H107+'10'!H107+'11'!H107+'12'!G107+'13'!H107+'14'!H107+'15'!H107+'16'!H107+'17'!H107+'18'!H107+'19'!G107+'20'!H107+'21'!H107+'22'!G107+'23'!H107+'24'!H107+'25'!H107+'26'!G107+'27'!H107+'28'!H107+'29'!H107</f>
        <v>0</v>
      </c>
      <c r="I107" s="25">
        <f>'1'!I107+'2'!I107+'3'!I107+'4'!I107+'5'!I107+'6'!I107+'7'!I107+'8'!I107+'9'!I107+'10'!I107+'11'!I107+'12'!H107+'13'!I107+'14'!I107+'15'!I107+'16'!I107+'17'!I107+'18'!I107+'19'!H107+'20'!I107+'21'!I107+'22'!H107+'23'!I107+'24'!I107+'25'!I107+'26'!H107+'27'!I107+'28'!I107+'29'!I107</f>
        <v>0</v>
      </c>
      <c r="J107" s="25">
        <f>'1'!J107+'2'!J107+'3'!J107+'4'!J107+'5'!J107+'6'!J107+'7'!J107+'8'!J107+'9'!J107+'10'!J107+'11'!J107+'12'!I107+'13'!J107+'14'!J107+'15'!J107+'16'!J107+'17'!J107+'18'!J107+'19'!I107+'20'!J107+'21'!J107+'22'!I107+'23'!J107+'24'!J107+'25'!J107+'26'!I107+'27'!J107+'28'!J107+'29'!J107</f>
        <v>0</v>
      </c>
      <c r="K107" s="25">
        <f>'1'!K107+'2'!K107+'3'!K107+'4'!K107+'5'!K107+'6'!K107+'7'!K107+'8'!K107+'9'!K107+'10'!K107+'11'!K107+'12'!J107+'13'!K107+'14'!K107+'15'!K107+'16'!K107+'17'!K107+'18'!K107+'19'!J107+'20'!K107+'21'!K107+'22'!J107+'23'!K107+'24'!K107+'25'!K107+'26'!J107+'27'!K107+'28'!K107+'29'!K107</f>
        <v>0</v>
      </c>
      <c r="L107" s="28">
        <f t="shared" si="1"/>
        <v>0</v>
      </c>
      <c r="M107" s="11"/>
      <c r="N107" s="11"/>
      <c r="O107" s="11"/>
      <c r="P107" s="11"/>
      <c r="Q107" s="36">
        <v>0</v>
      </c>
    </row>
    <row r="108" spans="2:20" ht="22.2" hidden="1" x14ac:dyDescent="0.25">
      <c r="B108" s="11">
        <v>1112016</v>
      </c>
      <c r="C108" s="18" t="s">
        <v>104</v>
      </c>
      <c r="D108" s="25">
        <f>'1'!D108+'2'!D108+'3'!D108+'4'!D108+'5'!D108+'6'!D108+'7'!D108+'8'!D108+'9'!D108+'10'!D108+'11'!D108+'12'!C108+'13'!D108+'14'!D108+'15'!D108+'16'!D108+'17'!D108+'18'!D108+'19'!C108+'20'!D108+'21'!D108+'22'!C108+'23'!D108+'24'!D108+'25'!D108+'26'!C108+'27'!D108+'28'!D108+'29'!D108</f>
        <v>0</v>
      </c>
      <c r="E108" s="25">
        <f>'1'!E108+'2'!E108+'3'!E108+'4'!E108+'5'!E108+'6'!E108+'7'!E108+'8'!E108+'9'!E108+'10'!E108+'11'!E108+'12'!D108+'13'!E108+'14'!E108+'15'!E108+'16'!E108+'17'!E108+'18'!E108+'19'!D108+'20'!E108+'21'!E108+'22'!D108+'23'!E108+'24'!E108+'25'!E108+'26'!D108+'27'!E108+'28'!E108+'29'!E108</f>
        <v>0</v>
      </c>
      <c r="F108" s="25">
        <f>'1'!F108+'2'!F108+'3'!F108+'4'!F108+'5'!F108+'6'!F108+'7'!F108+'8'!F108+'9'!F108+'10'!F108+'11'!F108+'12'!E108+'13'!F108+'14'!F108+'15'!F108+'16'!F108+'17'!F108+'18'!F108+'19'!E108+'20'!F108+'21'!F108+'22'!E108+'23'!F108+'24'!F108+'25'!F108+'26'!E108+'27'!F108+'28'!F108+'29'!F108</f>
        <v>0</v>
      </c>
      <c r="G108" s="25">
        <f>'1'!G108+'2'!G108+'3'!G108+'4'!G108+'5'!G108+'6'!G108+'7'!G108+'8'!G108+'9'!G108+'10'!G108+'11'!G108+'12'!F108+'13'!G108+'14'!G108+'15'!G108+'16'!G108+'17'!G108+'18'!G108+'19'!F108+'20'!G108+'21'!G108+'22'!F108+'23'!G108+'24'!G108+'25'!G108+'26'!F108+'27'!G108+'28'!G108+'29'!G108</f>
        <v>0</v>
      </c>
      <c r="H108" s="25">
        <f>'1'!H108+'2'!H108+'3'!H108+'4'!H108+'5'!H108+'6'!H108+'7'!H108+'8'!H108+'9'!H108+'10'!H108+'11'!H108+'12'!G108+'13'!H108+'14'!H108+'15'!H108+'16'!H108+'17'!H108+'18'!H108+'19'!G108+'20'!H108+'21'!H108+'22'!G108+'23'!H108+'24'!H108+'25'!H108+'26'!G108+'27'!H108+'28'!H108+'29'!H108</f>
        <v>0</v>
      </c>
      <c r="I108" s="25">
        <f>'1'!I108+'2'!I108+'3'!I108+'4'!I108+'5'!I108+'6'!I108+'7'!I108+'8'!I108+'9'!I108+'10'!I108+'11'!I108+'12'!H108+'13'!I108+'14'!I108+'15'!I108+'16'!I108+'17'!I108+'18'!I108+'19'!H108+'20'!I108+'21'!I108+'22'!H108+'23'!I108+'24'!I108+'25'!I108+'26'!H108+'27'!I108+'28'!I108+'29'!I108</f>
        <v>0</v>
      </c>
      <c r="J108" s="25">
        <f>'1'!J108+'2'!J108+'3'!J108+'4'!J108+'5'!J108+'6'!J108+'7'!J108+'8'!J108+'9'!J108+'10'!J108+'11'!J108+'12'!I108+'13'!J108+'14'!J108+'15'!J108+'16'!J108+'17'!J108+'18'!J108+'19'!I108+'20'!J108+'21'!J108+'22'!I108+'23'!J108+'24'!J108+'25'!J108+'26'!I108+'27'!J108+'28'!J108+'29'!J108</f>
        <v>0</v>
      </c>
      <c r="K108" s="25">
        <f>'1'!K108+'2'!K108+'3'!K108+'4'!K108+'5'!K108+'6'!K108+'7'!K108+'8'!K108+'9'!K108+'10'!K108+'11'!K108+'12'!J108+'13'!K108+'14'!K108+'15'!K108+'16'!K108+'17'!K108+'18'!K108+'19'!J108+'20'!K108+'21'!K108+'22'!J108+'23'!K108+'24'!K108+'25'!K108+'26'!J108+'27'!K108+'28'!K108+'29'!K108</f>
        <v>0</v>
      </c>
      <c r="L108" s="28">
        <f t="shared" si="1"/>
        <v>0</v>
      </c>
      <c r="M108" s="11"/>
      <c r="N108" s="11"/>
      <c r="O108" s="11"/>
      <c r="P108" s="11"/>
      <c r="Q108" s="36">
        <v>0</v>
      </c>
    </row>
    <row r="109" spans="2:20" ht="22.2" hidden="1" x14ac:dyDescent="0.25">
      <c r="B109" s="11">
        <v>1112014</v>
      </c>
      <c r="C109" s="18" t="s">
        <v>105</v>
      </c>
      <c r="D109" s="25">
        <f>'1'!D109+'2'!D109+'3'!D109+'4'!D109+'5'!D109+'6'!D109+'7'!D109+'8'!D109+'9'!D109+'10'!D109+'11'!D109+'12'!C109+'13'!D109+'14'!D109+'15'!D109+'16'!D109+'17'!D109+'18'!D109+'19'!C109+'20'!D109+'21'!D109+'22'!C109+'23'!D109+'24'!D109+'25'!D109+'26'!C109+'27'!D109+'28'!D109+'29'!D109</f>
        <v>0</v>
      </c>
      <c r="E109" s="25">
        <f>'1'!E109+'2'!E109+'3'!E109+'4'!E109+'5'!E109+'6'!E109+'7'!E109+'8'!E109+'9'!E109+'10'!E109+'11'!E109+'12'!D109+'13'!E109+'14'!E109+'15'!E109+'16'!E109+'17'!E109+'18'!E109+'19'!D109+'20'!E109+'21'!E109+'22'!D109+'23'!E109+'24'!E109+'25'!E109+'26'!D109+'27'!E109+'28'!E109+'29'!E109</f>
        <v>0</v>
      </c>
      <c r="F109" s="25">
        <f>'1'!F109+'2'!F109+'3'!F109+'4'!F109+'5'!F109+'6'!F109+'7'!F109+'8'!F109+'9'!F109+'10'!F109+'11'!F109+'12'!E109+'13'!F109+'14'!F109+'15'!F109+'16'!F109+'17'!F109+'18'!F109+'19'!E109+'20'!F109+'21'!F109+'22'!E109+'23'!F109+'24'!F109+'25'!F109+'26'!E109+'27'!F109+'28'!F109+'29'!F109</f>
        <v>0</v>
      </c>
      <c r="G109" s="25">
        <f>'1'!G109+'2'!G109+'3'!G109+'4'!G109+'5'!G109+'6'!G109+'7'!G109+'8'!G109+'9'!G109+'10'!G109+'11'!G109+'12'!F109+'13'!G109+'14'!G109+'15'!G109+'16'!G109+'17'!G109+'18'!G109+'19'!F109+'20'!G109+'21'!G109+'22'!F109+'23'!G109+'24'!G109+'25'!G109+'26'!F109+'27'!G109+'28'!G109+'29'!G109</f>
        <v>0</v>
      </c>
      <c r="H109" s="25">
        <f>'1'!H109+'2'!H109+'3'!H109+'4'!H109+'5'!H109+'6'!H109+'7'!H109+'8'!H109+'9'!H109+'10'!H109+'11'!H109+'12'!G109+'13'!H109+'14'!H109+'15'!H109+'16'!H109+'17'!H109+'18'!H109+'19'!G109+'20'!H109+'21'!H109+'22'!G109+'23'!H109+'24'!H109+'25'!H109+'26'!G109+'27'!H109+'28'!H109+'29'!H109</f>
        <v>0</v>
      </c>
      <c r="I109" s="25">
        <f>'1'!I109+'2'!I109+'3'!I109+'4'!I109+'5'!I109+'6'!I109+'7'!I109+'8'!I109+'9'!I109+'10'!I109+'11'!I109+'12'!H109+'13'!I109+'14'!I109+'15'!I109+'16'!I109+'17'!I109+'18'!I109+'19'!H109+'20'!I109+'21'!I109+'22'!H109+'23'!I109+'24'!I109+'25'!I109+'26'!H109+'27'!I109+'28'!I109+'29'!I109</f>
        <v>0</v>
      </c>
      <c r="J109" s="25">
        <f>'1'!J109+'2'!J109+'3'!J109+'4'!J109+'5'!J109+'6'!J109+'7'!J109+'8'!J109+'9'!J109+'10'!J109+'11'!J109+'12'!I109+'13'!J109+'14'!J109+'15'!J109+'16'!J109+'17'!J109+'18'!J109+'19'!I109+'20'!J109+'21'!J109+'22'!I109+'23'!J109+'24'!J109+'25'!J109+'26'!I109+'27'!J109+'28'!J109+'29'!J109</f>
        <v>0</v>
      </c>
      <c r="K109" s="25">
        <f>'1'!K109+'2'!K109+'3'!K109+'4'!K109+'5'!K109+'6'!K109+'7'!K109+'8'!K109+'9'!K109+'10'!K109+'11'!K109+'12'!J109+'13'!K109+'14'!K109+'15'!K109+'16'!K109+'17'!K109+'18'!K109+'19'!J109+'20'!K109+'21'!K109+'22'!J109+'23'!K109+'24'!K109+'25'!K109+'26'!J109+'27'!K109+'28'!K109+'29'!K109</f>
        <v>0</v>
      </c>
      <c r="L109" s="28">
        <f t="shared" si="1"/>
        <v>0</v>
      </c>
      <c r="M109" s="11"/>
      <c r="N109" s="11"/>
      <c r="O109" s="11"/>
      <c r="P109" s="11"/>
      <c r="Q109" s="36">
        <v>0</v>
      </c>
    </row>
    <row r="110" spans="2:20" ht="22.2" hidden="1" x14ac:dyDescent="0.25">
      <c r="B110" s="11">
        <v>1112012</v>
      </c>
      <c r="C110" s="18" t="s">
        <v>106</v>
      </c>
      <c r="D110" s="25">
        <f>'1'!D110+'2'!D110+'3'!D110+'4'!D110+'5'!D110+'6'!D110+'7'!D110+'8'!D110+'9'!D110+'10'!D110+'11'!D110+'12'!C110+'13'!D110+'14'!D110+'15'!D110+'16'!D110+'17'!D110+'18'!D110+'19'!C110+'20'!D110+'21'!D110+'22'!C110+'23'!D110+'24'!D110+'25'!D110+'26'!C110+'27'!D110+'28'!D110+'29'!D110</f>
        <v>0</v>
      </c>
      <c r="E110" s="25">
        <f>'1'!E110+'2'!E110+'3'!E110+'4'!E110+'5'!E110+'6'!E110+'7'!E110+'8'!E110+'9'!E110+'10'!E110+'11'!E110+'12'!D110+'13'!E110+'14'!E110+'15'!E110+'16'!E110+'17'!E110+'18'!E110+'19'!D110+'20'!E110+'21'!E110+'22'!D110+'23'!E110+'24'!E110+'25'!E110+'26'!D110+'27'!E110+'28'!E110+'29'!E110</f>
        <v>0</v>
      </c>
      <c r="F110" s="25">
        <f>'1'!F110+'2'!F110+'3'!F110+'4'!F110+'5'!F110+'6'!F110+'7'!F110+'8'!F110+'9'!F110+'10'!F110+'11'!F110+'12'!E110+'13'!F110+'14'!F110+'15'!F110+'16'!F110+'17'!F110+'18'!F110+'19'!E110+'20'!F110+'21'!F110+'22'!E110+'23'!F110+'24'!F110+'25'!F110+'26'!E110+'27'!F110+'28'!F110+'29'!F110</f>
        <v>0</v>
      </c>
      <c r="G110" s="25">
        <f>'1'!G110+'2'!G110+'3'!G110+'4'!G110+'5'!G110+'6'!G110+'7'!G110+'8'!G110+'9'!G110+'10'!G110+'11'!G110+'12'!F110+'13'!G110+'14'!G110+'15'!G110+'16'!G110+'17'!G110+'18'!G110+'19'!F110+'20'!G110+'21'!G110+'22'!F110+'23'!G110+'24'!G110+'25'!G110+'26'!F110+'27'!G110+'28'!G110+'29'!G110</f>
        <v>0</v>
      </c>
      <c r="H110" s="25">
        <f>'1'!H110+'2'!H110+'3'!H110+'4'!H110+'5'!H110+'6'!H110+'7'!H110+'8'!H110+'9'!H110+'10'!H110+'11'!H110+'12'!G110+'13'!H110+'14'!H110+'15'!H110+'16'!H110+'17'!H110+'18'!H110+'19'!G110+'20'!H110+'21'!H110+'22'!G110+'23'!H110+'24'!H110+'25'!H110+'26'!G110+'27'!H110+'28'!H110+'29'!H110</f>
        <v>0</v>
      </c>
      <c r="I110" s="25">
        <f>'1'!I110+'2'!I110+'3'!I110+'4'!I110+'5'!I110+'6'!I110+'7'!I110+'8'!I110+'9'!I110+'10'!I110+'11'!I110+'12'!H110+'13'!I110+'14'!I110+'15'!I110+'16'!I110+'17'!I110+'18'!I110+'19'!H110+'20'!I110+'21'!I110+'22'!H110+'23'!I110+'24'!I110+'25'!I110+'26'!H110+'27'!I110+'28'!I110+'29'!I110</f>
        <v>0</v>
      </c>
      <c r="J110" s="25">
        <f>'1'!J110+'2'!J110+'3'!J110+'4'!J110+'5'!J110+'6'!J110+'7'!J110+'8'!J110+'9'!J110+'10'!J110+'11'!J110+'12'!I110+'13'!J110+'14'!J110+'15'!J110+'16'!J110+'17'!J110+'18'!J110+'19'!I110+'20'!J110+'21'!J110+'22'!I110+'23'!J110+'24'!J110+'25'!J110+'26'!I110+'27'!J110+'28'!J110+'29'!J110</f>
        <v>0</v>
      </c>
      <c r="K110" s="25">
        <f>'1'!K110+'2'!K110+'3'!K110+'4'!K110+'5'!K110+'6'!K110+'7'!K110+'8'!K110+'9'!K110+'10'!K110+'11'!K110+'12'!J110+'13'!K110+'14'!K110+'15'!K110+'16'!K110+'17'!K110+'18'!K110+'19'!J110+'20'!K110+'21'!K110+'22'!J110+'23'!K110+'24'!K110+'25'!K110+'26'!J110+'27'!K110+'28'!K110+'29'!K110</f>
        <v>0</v>
      </c>
      <c r="L110" s="28">
        <f t="shared" si="1"/>
        <v>0</v>
      </c>
      <c r="M110" s="11"/>
      <c r="N110" s="11"/>
      <c r="O110" s="11"/>
      <c r="P110" s="11"/>
      <c r="Q110" s="36">
        <v>0</v>
      </c>
    </row>
    <row r="111" spans="2:20" ht="22.2" hidden="1" x14ac:dyDescent="0.25">
      <c r="B111" s="11"/>
      <c r="C111" s="18" t="s">
        <v>107</v>
      </c>
      <c r="D111" s="25">
        <f>'1'!D111+'2'!D111+'3'!D111+'4'!D111+'5'!D111+'6'!D111+'7'!D111+'8'!D111+'9'!D111+'10'!D111+'11'!D111+'12'!C111+'13'!D111+'14'!D111+'15'!D111+'16'!D111+'17'!D111+'18'!D111+'19'!C111+'20'!D111+'21'!D111+'22'!C111+'23'!D111+'24'!D111+'25'!D111+'26'!C111+'27'!D111+'28'!D111+'29'!D111</f>
        <v>0</v>
      </c>
      <c r="E111" s="25">
        <f>'1'!E111+'2'!E111+'3'!E111+'4'!E111+'5'!E111+'6'!E111+'7'!E111+'8'!E111+'9'!E111+'10'!E111+'11'!E111+'12'!D111+'13'!E111+'14'!E111+'15'!E111+'16'!E111+'17'!E111+'18'!E111+'19'!D111+'20'!E111+'21'!E111+'22'!D111+'23'!E111+'24'!E111+'25'!E111+'26'!D111+'27'!E111+'28'!E111+'29'!E111</f>
        <v>0</v>
      </c>
      <c r="F111" s="25">
        <f>'1'!F111+'2'!F111+'3'!F111+'4'!F111+'5'!F111+'6'!F111+'7'!F111+'8'!F111+'9'!F111+'10'!F111+'11'!F111+'12'!E111+'13'!F111+'14'!F111+'15'!F111+'16'!F111+'17'!F111+'18'!F111+'19'!E111+'20'!F111+'21'!F111+'22'!E111+'23'!F111+'24'!F111+'25'!F111+'26'!E111+'27'!F111+'28'!F111+'29'!F111</f>
        <v>0</v>
      </c>
      <c r="G111" s="25">
        <f>'1'!G111+'2'!G111+'3'!G111+'4'!G111+'5'!G111+'6'!G111+'7'!G111+'8'!G111+'9'!G111+'10'!G111+'11'!G111+'12'!F111+'13'!G111+'14'!G111+'15'!G111+'16'!G111+'17'!G111+'18'!G111+'19'!F111+'20'!G111+'21'!G111+'22'!F111+'23'!G111+'24'!G111+'25'!G111+'26'!F111+'27'!G111+'28'!G111+'29'!G111</f>
        <v>0</v>
      </c>
      <c r="H111" s="25">
        <f>'1'!H111+'2'!H111+'3'!H111+'4'!H111+'5'!H111+'6'!H111+'7'!H111+'8'!H111+'9'!H111+'10'!H111+'11'!H111+'12'!G111+'13'!H111+'14'!H111+'15'!H111+'16'!H111+'17'!H111+'18'!H111+'19'!G111+'20'!H111+'21'!H111+'22'!G111+'23'!H111+'24'!H111+'25'!H111+'26'!G111+'27'!H111+'28'!H111+'29'!H111</f>
        <v>0</v>
      </c>
      <c r="I111" s="25">
        <f>'1'!I111+'2'!I111+'3'!I111+'4'!I111+'5'!I111+'6'!I111+'7'!I111+'8'!I111+'9'!I111+'10'!I111+'11'!I111+'12'!H111+'13'!I111+'14'!I111+'15'!I111+'16'!I111+'17'!I111+'18'!I111+'19'!H111+'20'!I111+'21'!I111+'22'!H111+'23'!I111+'24'!I111+'25'!I111+'26'!H111+'27'!I111+'28'!I111+'29'!I111</f>
        <v>0</v>
      </c>
      <c r="J111" s="25">
        <f>'1'!J111+'2'!J111+'3'!J111+'4'!J111+'5'!J111+'6'!J111+'7'!J111+'8'!J111+'9'!J111+'10'!J111+'11'!J111+'12'!I111+'13'!J111+'14'!J111+'15'!J111+'16'!J111+'17'!J111+'18'!J111+'19'!I111+'20'!J111+'21'!J111+'22'!I111+'23'!J111+'24'!J111+'25'!J111+'26'!I111+'27'!J111+'28'!J111+'29'!J111</f>
        <v>0</v>
      </c>
      <c r="K111" s="25">
        <f>'1'!K111+'2'!K111+'3'!K111+'4'!K111+'5'!K111+'6'!K111+'7'!K111+'8'!K111+'9'!K111+'10'!K111+'11'!K111+'12'!J111+'13'!K111+'14'!K111+'15'!K111+'16'!K111+'17'!K111+'18'!K111+'19'!J111+'20'!K111+'21'!K111+'22'!J111+'23'!K111+'24'!K111+'25'!K111+'26'!J111+'27'!K111+'28'!K111+'29'!K111</f>
        <v>0</v>
      </c>
      <c r="L111" s="28">
        <f t="shared" si="1"/>
        <v>0</v>
      </c>
      <c r="M111" s="11"/>
      <c r="N111" s="11"/>
      <c r="O111" s="11"/>
      <c r="P111" s="11"/>
      <c r="Q111" s="36">
        <v>0</v>
      </c>
    </row>
    <row r="112" spans="2:20" ht="22.2" hidden="1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f t="shared" si="1"/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f>'1'!D114+'2'!D114+'3'!D114+'4'!D114+'5'!D114+'6'!D114+'7'!D114+'8'!D114+'9'!D114+'10'!D114+'11'!D114+'12'!C114+'13'!D114+'14'!D114+'15'!D114+'16'!D114+'17'!D114+'18'!D114+'19'!C114+'20'!D114+'21'!D114+'22'!C114+'23'!D114+'24'!D114+'25'!D114+'26'!C114+'27'!D114+'28'!D114+'29'!D114</f>
        <v>213</v>
      </c>
      <c r="E114" s="25">
        <f>'1'!E114+'2'!E114+'3'!E114+'4'!E114+'5'!E114+'6'!E114+'7'!E114+'8'!E114+'9'!E114+'10'!E114+'11'!E114+'12'!D114+'13'!E114+'14'!E114+'15'!E114+'16'!E114+'17'!E114+'18'!E114+'19'!D114+'20'!E114+'21'!E114+'22'!D114+'23'!E114+'24'!E114+'25'!E114+'26'!D114+'27'!E114+'28'!E114+'29'!E114</f>
        <v>10</v>
      </c>
      <c r="F114" s="25">
        <f>'1'!F114+'2'!F114+'3'!F114+'4'!F114+'5'!F114+'6'!F114+'7'!F114+'8'!F114+'9'!F114+'10'!F114+'11'!F114+'12'!E114+'13'!F114+'14'!F114+'15'!F114+'16'!F114+'17'!F114+'18'!F114+'19'!E114+'20'!F114+'21'!F114+'22'!E114+'23'!F114+'24'!F114+'25'!F114+'26'!E114+'27'!F114+'28'!F114+'29'!F114</f>
        <v>7</v>
      </c>
      <c r="G114" s="25">
        <f>'1'!G114+'2'!G114+'3'!G114+'4'!G114+'5'!G114+'6'!G114+'7'!G114+'8'!G114+'9'!G114+'10'!G114+'11'!G114+'12'!F114+'13'!G114+'14'!G114+'15'!G114+'16'!G114+'17'!G114+'18'!G114+'19'!F114+'20'!G114+'21'!G114+'22'!F114+'23'!G114+'24'!G114+'25'!G114+'26'!F114+'27'!G114+'28'!G114+'29'!G114</f>
        <v>124</v>
      </c>
      <c r="H114" s="25">
        <f>'1'!H114+'2'!H114+'3'!H114+'4'!H114+'5'!H114+'6'!H114+'7'!H114+'8'!H114+'9'!H114+'10'!H114+'11'!H114+'12'!G114+'13'!H114+'14'!H114+'15'!H114+'16'!H114+'17'!H114+'18'!H114+'19'!G114+'20'!H114+'21'!H114+'22'!G114+'23'!H114+'24'!H114+'25'!H114+'26'!G114+'27'!H114+'28'!H114+'29'!H114</f>
        <v>29</v>
      </c>
      <c r="I114" s="25">
        <f>'1'!I114+'2'!I114+'3'!I114+'4'!I114+'5'!I114+'6'!I114+'7'!I114+'8'!I114+'9'!I114+'10'!I114+'11'!I114+'12'!H114+'13'!I114+'14'!I114+'15'!I114+'16'!I114+'17'!I114+'18'!I114+'19'!H114+'20'!I114+'21'!I114+'22'!H114+'23'!I114+'24'!I114+'25'!I114+'26'!H114+'27'!I114+'28'!I114+'29'!I114</f>
        <v>0</v>
      </c>
      <c r="J114" s="25">
        <f>'1'!J114+'2'!J114+'3'!J114+'4'!J114+'5'!J114+'6'!J114+'7'!J114+'8'!J114+'9'!J114+'10'!J114+'11'!J114+'12'!I114+'13'!J114+'14'!J114+'15'!J114+'16'!J114+'17'!J114+'18'!J114+'19'!I114+'20'!J114+'21'!J114+'22'!I114+'23'!J114+'24'!J114+'25'!J114+'26'!I114+'27'!J114+'28'!J114+'29'!J114</f>
        <v>0</v>
      </c>
      <c r="K114" s="25">
        <f>'1'!K114+'2'!K114+'3'!K114+'4'!K114+'5'!K114+'6'!K114+'7'!K114+'8'!K114+'9'!K114+'10'!K114+'11'!K114+'12'!J114+'13'!K114+'14'!K114+'15'!K114+'16'!K114+'17'!K114+'18'!K114+'19'!J114+'20'!K114+'21'!K114+'22'!J114+'23'!K114+'24'!K114+'25'!K114+'26'!J114+'27'!K114+'28'!K114+'29'!K114</f>
        <v>70</v>
      </c>
      <c r="L114" s="28">
        <f t="shared" si="1"/>
        <v>453</v>
      </c>
      <c r="M114" s="11"/>
      <c r="N114" s="11">
        <v>2</v>
      </c>
      <c r="O114" s="11"/>
      <c r="P114" s="11"/>
      <c r="Q114" s="36">
        <v>1</v>
      </c>
    </row>
    <row r="115" spans="2:17" ht="22.2" x14ac:dyDescent="0.25">
      <c r="B115" s="11">
        <v>1113171</v>
      </c>
      <c r="C115" s="20" t="s">
        <v>111</v>
      </c>
      <c r="D115" s="25">
        <f>'1'!D115+'2'!D115+'3'!D115+'4'!D115+'5'!D115+'6'!D115+'7'!D115+'8'!D115+'9'!D115+'10'!D115+'11'!D115+'12'!C115+'13'!D115+'14'!D115+'15'!D115+'16'!D115+'17'!D115+'18'!D115+'19'!C115+'20'!D115+'21'!D115+'22'!C115+'23'!D115+'24'!D115+'25'!D115+'26'!C115+'27'!D115+'28'!D115+'29'!D115</f>
        <v>200</v>
      </c>
      <c r="E115" s="25">
        <f>'1'!E115+'2'!E115+'3'!E115+'4'!E115+'5'!E115+'6'!E115+'7'!E115+'8'!E115+'9'!E115+'10'!E115+'11'!E115+'12'!D115+'13'!E115+'14'!E115+'15'!E115+'16'!E115+'17'!E115+'18'!E115+'19'!D115+'20'!E115+'21'!E115+'22'!D115+'23'!E115+'24'!E115+'25'!E115+'26'!D115+'27'!E115+'28'!E115+'29'!E115</f>
        <v>11</v>
      </c>
      <c r="F115" s="25">
        <f>'1'!F115+'2'!F115+'3'!F115+'4'!F115+'5'!F115+'6'!F115+'7'!F115+'8'!F115+'9'!F115+'10'!F115+'11'!F115+'12'!E115+'13'!F115+'14'!F115+'15'!F115+'16'!F115+'17'!F115+'18'!F115+'19'!E115+'20'!F115+'21'!F115+'22'!E115+'23'!F115+'24'!F115+'25'!F115+'26'!E115+'27'!F115+'28'!F115+'29'!F115</f>
        <v>8</v>
      </c>
      <c r="G115" s="25">
        <f>'1'!G115+'2'!G115+'3'!G115+'4'!G115+'5'!G115+'6'!G115+'7'!G115+'8'!G115+'9'!G115+'10'!G115+'11'!G115+'12'!F115+'13'!G115+'14'!G115+'15'!G115+'16'!G115+'17'!G115+'18'!G115+'19'!F115+'20'!G115+'21'!G115+'22'!F115+'23'!G115+'24'!G115+'25'!G115+'26'!F115+'27'!G115+'28'!G115+'29'!G115</f>
        <v>105</v>
      </c>
      <c r="H115" s="25">
        <f>'1'!H115+'2'!H115+'3'!H115+'4'!H115+'5'!H115+'6'!H115+'7'!H115+'8'!H115+'9'!H115+'10'!H115+'11'!H115+'12'!G115+'13'!H115+'14'!H115+'15'!H115+'16'!H115+'17'!H115+'18'!H115+'19'!G115+'20'!H115+'21'!H115+'22'!G115+'23'!H115+'24'!H115+'25'!H115+'26'!G115+'27'!H115+'28'!H115+'29'!H115</f>
        <v>24</v>
      </c>
      <c r="I115" s="25">
        <f>'1'!I115+'2'!I115+'3'!I115+'4'!I115+'5'!I115+'6'!I115+'7'!I115+'8'!I115+'9'!I115+'10'!I115+'11'!I115+'12'!H115+'13'!I115+'14'!I115+'15'!I115+'16'!I115+'17'!I115+'18'!I115+'19'!H115+'20'!I115+'21'!I115+'22'!H115+'23'!I115+'24'!I115+'25'!I115+'26'!H115+'27'!I115+'28'!I115+'29'!I115</f>
        <v>0</v>
      </c>
      <c r="J115" s="25">
        <f>'1'!J115+'2'!J115+'3'!J115+'4'!J115+'5'!J115+'6'!J115+'7'!J115+'8'!J115+'9'!J115+'10'!J115+'11'!J115+'12'!I115+'13'!J115+'14'!J115+'15'!J115+'16'!J115+'17'!J115+'18'!J115+'19'!I115+'20'!J115+'21'!J115+'22'!I115+'23'!J115+'24'!J115+'25'!J115+'26'!I115+'27'!J115+'28'!J115+'29'!J115</f>
        <v>0</v>
      </c>
      <c r="K115" s="25">
        <f>'1'!K115+'2'!K115+'3'!K115+'4'!K115+'5'!K115+'6'!K115+'7'!K115+'8'!K115+'9'!K115+'10'!K115+'11'!K115+'12'!J115+'13'!K115+'14'!K115+'15'!K115+'16'!K115+'17'!K115+'18'!K115+'19'!J115+'20'!K115+'21'!K115+'22'!J115+'23'!K115+'24'!K115+'25'!K115+'26'!J115+'27'!K115+'28'!K115+'29'!K115</f>
        <v>85</v>
      </c>
      <c r="L115" s="28">
        <f t="shared" si="1"/>
        <v>433</v>
      </c>
      <c r="M115" s="11"/>
      <c r="N115" s="11"/>
      <c r="O115" s="11"/>
      <c r="P115" s="11"/>
      <c r="Q115" s="36">
        <v>-1</v>
      </c>
    </row>
    <row r="116" spans="2:17" ht="22.2" x14ac:dyDescent="0.25">
      <c r="B116" s="11">
        <v>1113172</v>
      </c>
      <c r="C116" s="20" t="s">
        <v>112</v>
      </c>
      <c r="D116" s="25">
        <f>'1'!D116+'2'!D116+'3'!D116+'4'!D116+'5'!D116+'6'!D116+'7'!D116+'8'!D116+'9'!D116+'10'!D116+'11'!D116+'12'!C116+'13'!D116+'14'!D116+'15'!D116+'16'!D116+'17'!D116+'18'!D116+'19'!C116+'20'!D116+'21'!D116+'22'!C116+'23'!D116+'24'!D116+'25'!D116+'26'!C116+'27'!D116+'28'!D116+'29'!D116</f>
        <v>164</v>
      </c>
      <c r="E116" s="25">
        <f>'1'!E116+'2'!E116+'3'!E116+'4'!E116+'5'!E116+'6'!E116+'7'!E116+'8'!E116+'9'!E116+'10'!E116+'11'!E116+'12'!D116+'13'!E116+'14'!E116+'15'!E116+'16'!E116+'17'!E116+'18'!E116+'19'!D116+'20'!E116+'21'!E116+'22'!D116+'23'!E116+'24'!E116+'25'!E116+'26'!D116+'27'!E116+'28'!E116+'29'!E116</f>
        <v>9</v>
      </c>
      <c r="F116" s="25">
        <f>'1'!F116+'2'!F116+'3'!F116+'4'!F116+'5'!F116+'6'!F116+'7'!F116+'8'!F116+'9'!F116+'10'!F116+'11'!F116+'12'!E116+'13'!F116+'14'!F116+'15'!F116+'16'!F116+'17'!F116+'18'!F116+'19'!E116+'20'!F116+'21'!F116+'22'!E116+'23'!F116+'24'!F116+'25'!F116+'26'!E116+'27'!F116+'28'!F116+'29'!F116</f>
        <v>7</v>
      </c>
      <c r="G116" s="25">
        <f>'1'!G116+'2'!G116+'3'!G116+'4'!G116+'5'!G116+'6'!G116+'7'!G116+'8'!G116+'9'!G116+'10'!G116+'11'!G116+'12'!F116+'13'!G116+'14'!G116+'15'!G116+'16'!G116+'17'!G116+'18'!G116+'19'!F116+'20'!G116+'21'!G116+'22'!F116+'23'!G116+'24'!G116+'25'!G116+'26'!F116+'27'!G116+'28'!G116+'29'!G116</f>
        <v>127</v>
      </c>
      <c r="H116" s="25">
        <f>'1'!H116+'2'!H116+'3'!H116+'4'!H116+'5'!H116+'6'!H116+'7'!H116+'8'!H116+'9'!H116+'10'!H116+'11'!H116+'12'!G116+'13'!H116+'14'!H116+'15'!H116+'16'!H116+'17'!H116+'18'!H116+'19'!G116+'20'!H116+'21'!H116+'22'!G116+'23'!H116+'24'!H116+'25'!H116+'26'!G116+'27'!H116+'28'!H116+'29'!H116</f>
        <v>38</v>
      </c>
      <c r="I116" s="25">
        <f>'1'!I116+'2'!I116+'3'!I116+'4'!I116+'5'!I116+'6'!I116+'7'!I116+'8'!I116+'9'!I116+'10'!I116+'11'!I116+'12'!H116+'13'!I116+'14'!I116+'15'!I116+'16'!I116+'17'!I116+'18'!I116+'19'!H116+'20'!I116+'21'!I116+'22'!H116+'23'!I116+'24'!I116+'25'!I116+'26'!H116+'27'!I116+'28'!I116+'29'!I116</f>
        <v>0</v>
      </c>
      <c r="J116" s="25">
        <f>'1'!J116+'2'!J116+'3'!J116+'4'!J116+'5'!J116+'6'!J116+'7'!J116+'8'!J116+'9'!J116+'10'!J116+'11'!J116+'12'!I116+'13'!J116+'14'!J116+'15'!J116+'16'!J116+'17'!J116+'18'!J116+'19'!I116+'20'!J116+'21'!J116+'22'!I116+'23'!J116+'24'!J116+'25'!J116+'26'!I116+'27'!J116+'28'!J116+'29'!J116</f>
        <v>0</v>
      </c>
      <c r="K116" s="25">
        <f>'1'!K116+'2'!K116+'3'!K116+'4'!K116+'5'!K116+'6'!K116+'7'!K116+'8'!K116+'9'!K116+'10'!K116+'11'!K116+'12'!J116+'13'!K116+'14'!K116+'15'!K116+'16'!K116+'17'!K116+'18'!K116+'19'!J116+'20'!K116+'21'!K116+'22'!J116+'23'!K116+'24'!K116+'25'!K116+'26'!J116+'27'!K116+'28'!K116+'29'!K116</f>
        <v>28</v>
      </c>
      <c r="L116" s="28">
        <f t="shared" si="1"/>
        <v>373</v>
      </c>
      <c r="M116" s="11"/>
      <c r="N116" s="11"/>
      <c r="O116" s="11"/>
      <c r="P116" s="11"/>
      <c r="Q116" s="36">
        <v>0</v>
      </c>
    </row>
    <row r="117" spans="2:17" ht="22.2" hidden="1" x14ac:dyDescent="0.25">
      <c r="B117" s="11">
        <v>1113173</v>
      </c>
      <c r="C117" s="20" t="s">
        <v>113</v>
      </c>
      <c r="D117" s="25">
        <f>'1'!D117+'2'!D117+'3'!D117+'4'!D117+'5'!D117+'6'!D117+'7'!D117+'8'!D117+'9'!D117+'10'!D117+'11'!D117+'12'!C117+'13'!D117+'14'!D117+'15'!D117+'16'!D117+'17'!D117+'18'!D117+'19'!C117+'20'!D117+'21'!D117+'22'!C117+'23'!D117+'24'!D117+'25'!D117+'26'!C117+'27'!D117+'28'!D117+'29'!D117</f>
        <v>0</v>
      </c>
      <c r="E117" s="25">
        <f>'1'!E117+'2'!E117+'3'!E117+'4'!E117+'5'!E117+'6'!E117+'7'!E117+'8'!E117+'9'!E117+'10'!E117+'11'!E117+'12'!D117+'13'!E117+'14'!E117+'15'!E117+'16'!E117+'17'!E117+'18'!E117+'19'!D117+'20'!E117+'21'!E117+'22'!D117+'23'!E117+'24'!E117+'25'!E117+'26'!D117+'27'!E117+'28'!E117+'29'!E117</f>
        <v>0</v>
      </c>
      <c r="F117" s="25">
        <f>'1'!F117+'2'!F117+'3'!F117+'4'!F117+'5'!F117+'6'!F117+'7'!F117+'8'!F117+'9'!F117+'10'!F117+'11'!F117+'12'!E117+'13'!F117+'14'!F117+'15'!F117+'16'!F117+'17'!F117+'18'!F117+'19'!E117+'20'!F117+'21'!F117+'22'!E117+'23'!F117+'24'!F117+'25'!F117+'26'!E117+'27'!F117+'28'!F117+'29'!F117</f>
        <v>0</v>
      </c>
      <c r="G117" s="25">
        <f>'1'!G117+'2'!G117+'3'!G117+'4'!G117+'5'!G117+'6'!G117+'7'!G117+'8'!G117+'9'!G117+'10'!G117+'11'!G117+'12'!F117+'13'!G117+'14'!G117+'15'!G117+'16'!G117+'17'!G117+'18'!G117+'19'!F117+'20'!G117+'21'!G117+'22'!F117+'23'!G117+'24'!G117+'25'!G117+'26'!F117+'27'!G117+'28'!G117+'29'!G117</f>
        <v>0</v>
      </c>
      <c r="H117" s="25">
        <f>'1'!H117+'2'!H117+'3'!H117+'4'!H117+'5'!H117+'6'!H117+'7'!H117+'8'!H117+'9'!H117+'10'!H117+'11'!H117+'12'!G117+'13'!H117+'14'!H117+'15'!H117+'16'!H117+'17'!H117+'18'!H117+'19'!G117+'20'!H117+'21'!H117+'22'!G117+'23'!H117+'24'!H117+'25'!H117+'26'!G117+'27'!H117+'28'!H117+'29'!H117</f>
        <v>0</v>
      </c>
      <c r="I117" s="25">
        <f>'1'!I117+'2'!I117+'3'!I117+'4'!I117+'5'!I117+'6'!I117+'7'!I117+'8'!I117+'9'!I117+'10'!I117+'11'!I117+'12'!H117+'13'!I117+'14'!I117+'15'!I117+'16'!I117+'17'!I117+'18'!I117+'19'!H117+'20'!I117+'21'!I117+'22'!H117+'23'!I117+'24'!I117+'25'!I117+'26'!H117+'27'!I117+'28'!I117+'29'!I117</f>
        <v>0</v>
      </c>
      <c r="J117" s="25">
        <f>'1'!J117+'2'!J117+'3'!J117+'4'!J117+'5'!J117+'6'!J117+'7'!J117+'8'!J117+'9'!J117+'10'!J117+'11'!J117+'12'!I117+'13'!J117+'14'!J117+'15'!J117+'16'!J117+'17'!J117+'18'!J117+'19'!I117+'20'!J117+'21'!J117+'22'!I117+'23'!J117+'24'!J117+'25'!J117+'26'!I117+'27'!J117+'28'!J117+'29'!J117</f>
        <v>0</v>
      </c>
      <c r="K117" s="25">
        <f>'1'!K117+'2'!K117+'3'!K117+'4'!K117+'5'!K117+'6'!K117+'7'!K117+'8'!K117+'9'!K117+'10'!K117+'11'!K117+'12'!J117+'13'!K117+'14'!K117+'15'!K117+'16'!K117+'17'!K117+'18'!K117+'19'!J117+'20'!K117+'21'!K117+'22'!J117+'23'!K117+'24'!K117+'25'!K117+'26'!J117+'27'!K117+'28'!K117+'29'!K117</f>
        <v>0</v>
      </c>
      <c r="L117" s="28">
        <f t="shared" si="1"/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f>'1'!D118+'2'!D118+'3'!D118+'4'!D118+'5'!D118+'6'!D118+'7'!D118+'8'!D118+'9'!D118+'10'!D118+'11'!D118+'12'!C118+'13'!D118+'14'!D118+'15'!D118+'16'!D118+'17'!D118+'18'!D118+'19'!C118+'20'!D118+'21'!D118+'22'!C118+'23'!D118+'24'!D118+'25'!D118+'26'!C118+'27'!D118+'28'!D118+'29'!D118</f>
        <v>0</v>
      </c>
      <c r="E118" s="25">
        <f>'1'!E118+'2'!E118+'3'!E118+'4'!E118+'5'!E118+'6'!E118+'7'!E118+'8'!E118+'9'!E118+'10'!E118+'11'!E118+'12'!D118+'13'!E118+'14'!E118+'15'!E118+'16'!E118+'17'!E118+'18'!E118+'19'!D118+'20'!E118+'21'!E118+'22'!D118+'23'!E118+'24'!E118+'25'!E118+'26'!D118+'27'!E118+'28'!E118+'29'!E118</f>
        <v>45</v>
      </c>
      <c r="F118" s="25">
        <f>'1'!F118+'2'!F118+'3'!F118+'4'!F118+'5'!F118+'6'!F118+'7'!F118+'8'!F118+'9'!F118+'10'!F118+'11'!F118+'12'!E118+'13'!F118+'14'!F118+'15'!F118+'16'!F118+'17'!F118+'18'!F118+'19'!E118+'20'!F118+'21'!F118+'22'!E118+'23'!F118+'24'!F118+'25'!F118+'26'!E118+'27'!F118+'28'!F118+'29'!F118</f>
        <v>5</v>
      </c>
      <c r="G118" s="25">
        <f>'1'!G118+'2'!G118+'3'!G118+'4'!G118+'5'!G118+'6'!G118+'7'!G118+'8'!G118+'9'!G118+'10'!G118+'11'!G118+'12'!F118+'13'!G118+'14'!G118+'15'!G118+'16'!G118+'17'!G118+'18'!G118+'19'!F118+'20'!G118+'21'!G118+'22'!F118+'23'!G118+'24'!G118+'25'!G118+'26'!F118+'27'!G118+'28'!G118+'29'!G118</f>
        <v>0</v>
      </c>
      <c r="H118" s="25">
        <f>'1'!H118+'2'!H118+'3'!H118+'4'!H118+'5'!H118+'6'!H118+'7'!H118+'8'!H118+'9'!H118+'10'!H118+'11'!H118+'12'!G118+'13'!H118+'14'!H118+'15'!H118+'16'!H118+'17'!H118+'18'!H118+'19'!G118+'20'!H118+'21'!H118+'22'!G118+'23'!H118+'24'!H118+'25'!H118+'26'!G118+'27'!H118+'28'!H118+'29'!H118</f>
        <v>0</v>
      </c>
      <c r="I118" s="25">
        <f>'1'!I118+'2'!I118+'3'!I118+'4'!I118+'5'!I118+'6'!I118+'7'!I118+'8'!I118+'9'!I118+'10'!I118+'11'!I118+'12'!H118+'13'!I118+'14'!I118+'15'!I118+'16'!I118+'17'!I118+'18'!I118+'19'!H118+'20'!I118+'21'!I118+'22'!H118+'23'!I118+'24'!I118+'25'!I118+'26'!H118+'27'!I118+'28'!I118+'29'!I118</f>
        <v>0</v>
      </c>
      <c r="J118" s="25">
        <f>'1'!J118+'2'!J118+'3'!J118+'4'!J118+'5'!J118+'6'!J118+'7'!J118+'8'!J118+'9'!J118+'10'!J118+'11'!J118+'12'!I118+'13'!J118+'14'!J118+'15'!J118+'16'!J118+'17'!J118+'18'!J118+'19'!I118+'20'!J118+'21'!J118+'22'!I118+'23'!J118+'24'!J118+'25'!J118+'26'!I118+'27'!J118+'28'!J118+'29'!J118</f>
        <v>0</v>
      </c>
      <c r="K118" s="25">
        <f>'1'!K118+'2'!K118+'3'!K118+'4'!K118+'5'!K118+'6'!K118+'7'!K118+'8'!K118+'9'!K118+'10'!K118+'11'!K118+'12'!J118+'13'!K118+'14'!K118+'15'!K118+'16'!K118+'17'!K118+'18'!K118+'19'!J118+'20'!K118+'21'!K118+'22'!J118+'23'!K118+'24'!K118+'25'!K118+'26'!J118+'27'!K118+'28'!K118+'29'!K118</f>
        <v>0</v>
      </c>
      <c r="L118" s="28">
        <f t="shared" si="1"/>
        <v>50</v>
      </c>
      <c r="M118" s="11"/>
      <c r="N118" s="11">
        <v>24</v>
      </c>
      <c r="O118" s="11"/>
      <c r="P118" s="11"/>
      <c r="Q118" s="36">
        <v>24</v>
      </c>
    </row>
    <row r="119" spans="2:17" ht="22.2" x14ac:dyDescent="0.25">
      <c r="B119" s="11">
        <v>1100001</v>
      </c>
      <c r="C119" s="20" t="s">
        <v>115</v>
      </c>
      <c r="D119" s="25">
        <f>'1'!D119+'2'!D119+'3'!D119+'4'!D119+'5'!D119+'6'!D119+'7'!D119+'8'!D119+'9'!D119+'10'!D119+'11'!D119+'12'!C119+'13'!D119+'14'!D119+'15'!D119+'16'!D119+'17'!D119+'18'!D119+'19'!C119+'20'!D119+'21'!D119+'22'!C119+'23'!D119+'24'!D119+'25'!D119+'26'!C119+'27'!D119+'28'!D119+'29'!D119</f>
        <v>0</v>
      </c>
      <c r="E119" s="25">
        <f>'1'!E119+'2'!E119+'3'!E119+'4'!E119+'5'!E119+'6'!E119+'7'!E119+'8'!E119+'9'!E119+'10'!E119+'11'!E119+'12'!D119+'13'!E119+'14'!E119+'15'!E119+'16'!E119+'17'!E119+'18'!E119+'19'!D119+'20'!E119+'21'!E119+'22'!D119+'23'!E119+'24'!E119+'25'!E119+'26'!D119+'27'!E119+'28'!E119+'29'!E119</f>
        <v>20</v>
      </c>
      <c r="F119" s="25">
        <f>'1'!F119+'2'!F119+'3'!F119+'4'!F119+'5'!F119+'6'!F119+'7'!F119+'8'!F119+'9'!F119+'10'!F119+'11'!F119+'12'!E119+'13'!F119+'14'!F119+'15'!F119+'16'!F119+'17'!F119+'18'!F119+'19'!E119+'20'!F119+'21'!F119+'22'!E119+'23'!F119+'24'!F119+'25'!F119+'26'!E119+'27'!F119+'28'!F119+'29'!F119</f>
        <v>56</v>
      </c>
      <c r="G119" s="25">
        <f>'1'!G119+'2'!G119+'3'!G119+'4'!G119+'5'!G119+'6'!G119+'7'!G119+'8'!G119+'9'!G119+'10'!G119+'11'!G119+'12'!F119+'13'!G119+'14'!G119+'15'!G119+'16'!G119+'17'!G119+'18'!G119+'19'!F119+'20'!G119+'21'!G119+'22'!F119+'23'!G119+'24'!G119+'25'!G119+'26'!F119+'27'!G119+'28'!G119+'29'!G119</f>
        <v>124</v>
      </c>
      <c r="H119" s="25">
        <f>'1'!H119+'2'!H119+'3'!H119+'4'!H119+'5'!H119+'6'!H119+'7'!H119+'8'!H119+'9'!H119+'10'!H119+'11'!H119+'12'!G119+'13'!H119+'14'!H119+'15'!H119+'16'!H119+'17'!H119+'18'!H119+'19'!G119+'20'!H119+'21'!H119+'22'!G119+'23'!H119+'24'!H119+'25'!H119+'26'!G119+'27'!H119+'28'!H119+'29'!H119</f>
        <v>0</v>
      </c>
      <c r="I119" s="25">
        <f>'1'!I119+'2'!I119+'3'!I119+'4'!I119+'5'!I119+'6'!I119+'7'!I119+'8'!I119+'9'!I119+'10'!I119+'11'!I119+'12'!H119+'13'!I119+'14'!I119+'15'!I119+'16'!I119+'17'!I119+'18'!I119+'19'!H119+'20'!I119+'21'!I119+'22'!H119+'23'!I119+'24'!I119+'25'!I119+'26'!H119+'27'!I119+'28'!I119+'29'!I119</f>
        <v>0</v>
      </c>
      <c r="J119" s="25">
        <f>'1'!J119+'2'!J119+'3'!J119+'4'!J119+'5'!J119+'6'!J119+'7'!J119+'8'!J119+'9'!J119+'10'!J119+'11'!J119+'12'!I119+'13'!J119+'14'!J119+'15'!J119+'16'!J119+'17'!J119+'18'!J119+'19'!I119+'20'!J119+'21'!J119+'22'!I119+'23'!J119+'24'!J119+'25'!J119+'26'!I119+'27'!J119+'28'!J119+'29'!J119</f>
        <v>0</v>
      </c>
      <c r="K119" s="25">
        <f>'1'!K119+'2'!K119+'3'!K119+'4'!K119+'5'!K119+'6'!K119+'7'!K119+'8'!K119+'9'!K119+'10'!K119+'11'!K119+'12'!J119+'13'!K119+'14'!K119+'15'!K119+'16'!K119+'17'!K119+'18'!K119+'19'!J119+'20'!K119+'21'!K119+'22'!J119+'23'!K119+'24'!K119+'25'!K119+'26'!J119+'27'!K119+'28'!K119+'29'!K119</f>
        <v>0</v>
      </c>
      <c r="L119" s="28">
        <f t="shared" si="1"/>
        <v>200</v>
      </c>
      <c r="M119" s="11"/>
      <c r="N119" s="11"/>
      <c r="O119" s="11"/>
      <c r="P119" s="11"/>
      <c r="Q119" s="36">
        <v>0</v>
      </c>
    </row>
    <row r="120" spans="2:17" ht="22.2" x14ac:dyDescent="0.25">
      <c r="B120" s="11">
        <v>1100002</v>
      </c>
      <c r="C120" s="20" t="s">
        <v>116</v>
      </c>
      <c r="D120" s="25">
        <f>'1'!D120+'2'!D120+'3'!D120+'4'!D120+'5'!D120+'6'!D120+'7'!D120+'8'!D120+'9'!D120+'10'!D120+'11'!D120+'12'!C120+'13'!D120+'14'!D120+'15'!D120+'16'!D120+'17'!D120+'18'!D120+'19'!C120+'20'!D120+'21'!D120+'22'!C120+'23'!D120+'24'!D120+'25'!D120+'26'!C120+'27'!D120+'28'!D120+'29'!D120</f>
        <v>0</v>
      </c>
      <c r="E120" s="25">
        <f>'1'!E120+'2'!E120+'3'!E120+'4'!E120+'5'!E120+'6'!E120+'7'!E120+'8'!E120+'9'!E120+'10'!E120+'11'!E120+'12'!D120+'13'!E120+'14'!E120+'15'!E120+'16'!E120+'17'!E120+'18'!E120+'19'!D120+'20'!E120+'21'!E120+'22'!D120+'23'!E120+'24'!E120+'25'!E120+'26'!D120+'27'!E120+'28'!E120+'29'!E120</f>
        <v>50</v>
      </c>
      <c r="F120" s="25">
        <f>'1'!F120+'2'!F120+'3'!F120+'4'!F120+'5'!F120+'6'!F120+'7'!F120+'8'!F120+'9'!F120+'10'!F120+'11'!F120+'12'!E120+'13'!F120+'14'!F120+'15'!F120+'16'!F120+'17'!F120+'18'!F120+'19'!E120+'20'!F120+'21'!F120+'22'!E120+'23'!F120+'24'!F120+'25'!F120+'26'!E120+'27'!F120+'28'!F120+'29'!F120</f>
        <v>3</v>
      </c>
      <c r="G120" s="25">
        <f>'1'!G120+'2'!G120+'3'!G120+'4'!G120+'5'!G120+'6'!G120+'7'!G120+'8'!G120+'9'!G120+'10'!G120+'11'!G120+'12'!F120+'13'!G120+'14'!G120+'15'!G120+'16'!G120+'17'!G120+'18'!G120+'19'!F120+'20'!G120+'21'!G120+'22'!F120+'23'!G120+'24'!G120+'25'!G120+'26'!F120+'27'!G120+'28'!G120+'29'!G120</f>
        <v>41</v>
      </c>
      <c r="H120" s="25">
        <f>'1'!H120+'2'!H120+'3'!H120+'4'!H120+'5'!H120+'6'!H120+'7'!H120+'8'!H120+'9'!H120+'10'!H120+'11'!H120+'12'!G120+'13'!H120+'14'!H120+'15'!H120+'16'!H120+'17'!H120+'18'!H120+'19'!G120+'20'!H120+'21'!H120+'22'!G120+'23'!H120+'24'!H120+'25'!H120+'26'!G120+'27'!H120+'28'!H120+'29'!H120</f>
        <v>9</v>
      </c>
      <c r="I120" s="25">
        <f>'1'!I120+'2'!I120+'3'!I120+'4'!I120+'5'!I120+'6'!I120+'7'!I120+'8'!I120+'9'!I120+'10'!I120+'11'!I120+'12'!H120+'13'!I120+'14'!I120+'15'!I120+'16'!I120+'17'!I120+'18'!I120+'19'!H120+'20'!I120+'21'!I120+'22'!H120+'23'!I120+'24'!I120+'25'!I120+'26'!H120+'27'!I120+'28'!I120+'29'!I120</f>
        <v>0</v>
      </c>
      <c r="J120" s="25">
        <f>'1'!J120+'2'!J120+'3'!J120+'4'!J120+'5'!J120+'6'!J120+'7'!J120+'8'!J120+'9'!J120+'10'!J120+'11'!J120+'12'!I120+'13'!J120+'14'!J120+'15'!J120+'16'!J120+'17'!J120+'18'!J120+'19'!I120+'20'!J120+'21'!J120+'22'!I120+'23'!J120+'24'!J120+'25'!J120+'26'!I120+'27'!J120+'28'!J120+'29'!J120</f>
        <v>0</v>
      </c>
      <c r="K120" s="25">
        <f>'1'!K120+'2'!K120+'3'!K120+'4'!K120+'5'!K120+'6'!K120+'7'!K120+'8'!K120+'9'!K120+'10'!K120+'11'!K120+'12'!J120+'13'!K120+'14'!K120+'15'!K120+'16'!K120+'17'!K120+'18'!K120+'19'!J120+'20'!K120+'21'!K120+'22'!J120+'23'!K120+'24'!K120+'25'!K120+'26'!J120+'27'!K120+'28'!K120+'29'!K120</f>
        <v>10</v>
      </c>
      <c r="L120" s="28">
        <f t="shared" si="1"/>
        <v>113</v>
      </c>
      <c r="M120" s="11"/>
      <c r="N120" s="11"/>
      <c r="O120" s="11"/>
      <c r="P120" s="11"/>
      <c r="Q120" s="36">
        <v>-4</v>
      </c>
    </row>
    <row r="121" spans="2:17" ht="22.2" x14ac:dyDescent="0.25">
      <c r="B121" s="11">
        <v>1200001</v>
      </c>
      <c r="C121" s="20" t="s">
        <v>117</v>
      </c>
      <c r="D121" s="25">
        <f>'1'!D121+'2'!D121+'3'!D121+'4'!D121+'5'!D121+'6'!D121+'7'!D121+'8'!D121+'9'!D121+'10'!D121+'11'!D121+'12'!C121+'13'!D121+'14'!D121+'15'!D121+'16'!D121+'17'!D121+'18'!D121+'19'!C121+'20'!D121+'21'!D121+'22'!C121+'23'!D121+'24'!D121+'25'!D121+'26'!C121+'27'!D121+'28'!D121+'29'!D121</f>
        <v>90</v>
      </c>
      <c r="E121" s="25">
        <f>'1'!E121+'2'!E121+'3'!E121+'4'!E121+'5'!E121+'6'!E121+'7'!E121+'8'!E121+'9'!E121+'10'!E121+'11'!E121+'12'!D121+'13'!E121+'14'!E121+'15'!E121+'16'!E121+'17'!E121+'18'!E121+'19'!D121+'20'!E121+'21'!E121+'22'!D121+'23'!E121+'24'!E121+'25'!E121+'26'!D121+'27'!E121+'28'!E121+'29'!E121</f>
        <v>22</v>
      </c>
      <c r="F121" s="25">
        <f>'1'!F121+'2'!F121+'3'!F121+'4'!F121+'5'!F121+'6'!F121+'7'!F121+'8'!F121+'9'!F121+'10'!F121+'11'!F121+'12'!E121+'13'!F121+'14'!F121+'15'!F121+'16'!F121+'17'!F121+'18'!F121+'19'!E121+'20'!F121+'21'!F121+'22'!E121+'23'!F121+'24'!F121+'25'!F121+'26'!E121+'27'!F121+'28'!F121+'29'!F121</f>
        <v>10</v>
      </c>
      <c r="G121" s="25">
        <f>'1'!G121+'2'!G121+'3'!G121+'4'!G121+'5'!G121+'6'!G121+'7'!G121+'8'!G121+'9'!G121+'10'!G121+'11'!G121+'12'!F121+'13'!G121+'14'!G121+'15'!G121+'16'!G121+'17'!G121+'18'!G121+'19'!F121+'20'!G121+'21'!G121+'22'!F121+'23'!G121+'24'!G121+'25'!G121+'26'!F121+'27'!G121+'28'!G121+'29'!G121</f>
        <v>0</v>
      </c>
      <c r="H121" s="25">
        <f>'1'!H121+'2'!H121+'3'!H121+'4'!H121+'5'!H121+'6'!H121+'7'!H121+'8'!H121+'9'!H121+'10'!H121+'11'!H121+'12'!G121+'13'!H121+'14'!H121+'15'!H121+'16'!H121+'17'!H121+'18'!H121+'19'!G121+'20'!H121+'21'!H121+'22'!G121+'23'!H121+'24'!H121+'25'!H121+'26'!G121+'27'!H121+'28'!H121+'29'!H121</f>
        <v>0</v>
      </c>
      <c r="I121" s="25">
        <f>'1'!I121+'2'!I121+'3'!I121+'4'!I121+'5'!I121+'6'!I121+'7'!I121+'8'!I121+'9'!I121+'10'!I121+'11'!I121+'12'!H121+'13'!I121+'14'!I121+'15'!I121+'16'!I121+'17'!I121+'18'!I121+'19'!H121+'20'!I121+'21'!I121+'22'!H121+'23'!I121+'24'!I121+'25'!I121+'26'!H121+'27'!I121+'28'!I121+'29'!I121</f>
        <v>0</v>
      </c>
      <c r="J121" s="25">
        <f>'1'!J121+'2'!J121+'3'!J121+'4'!J121+'5'!J121+'6'!J121+'7'!J121+'8'!J121+'9'!J121+'10'!J121+'11'!J121+'12'!I121+'13'!J121+'14'!J121+'15'!J121+'16'!J121+'17'!J121+'18'!J121+'19'!I121+'20'!J121+'21'!J121+'22'!I121+'23'!J121+'24'!J121+'25'!J121+'26'!I121+'27'!J121+'28'!J121+'29'!J121</f>
        <v>0</v>
      </c>
      <c r="K121" s="25">
        <f>'1'!K121+'2'!K121+'3'!K121+'4'!K121+'5'!K121+'6'!K121+'7'!K121+'8'!K121+'9'!K121+'10'!K121+'11'!K121+'12'!J121+'13'!K121+'14'!K121+'15'!K121+'16'!K121+'17'!K121+'18'!K121+'19'!J121+'20'!K121+'21'!K121+'22'!J121+'23'!K121+'24'!K121+'25'!K121+'26'!J121+'27'!K121+'28'!K121+'29'!K121</f>
        <v>7</v>
      </c>
      <c r="L121" s="28">
        <f t="shared" si="1"/>
        <v>129</v>
      </c>
      <c r="M121" s="11"/>
      <c r="N121" s="11">
        <v>45</v>
      </c>
      <c r="O121" s="11"/>
      <c r="P121" s="11"/>
      <c r="Q121" s="36">
        <v>45</v>
      </c>
    </row>
    <row r="122" spans="2:17" ht="22.2" x14ac:dyDescent="0.25">
      <c r="B122" s="11">
        <v>1005761</v>
      </c>
      <c r="C122" s="20" t="s">
        <v>118</v>
      </c>
      <c r="D122" s="25">
        <f>'1'!D122+'2'!D122+'3'!D122+'4'!D122+'5'!D122+'6'!D122+'7'!D122+'8'!D122+'9'!D122+'10'!D122+'11'!D122+'12'!C122+'13'!D122+'14'!D122+'15'!D122+'16'!D122+'17'!D122+'18'!D122+'19'!C122+'20'!D122+'21'!D122+'22'!C122+'23'!D122+'24'!D122+'25'!D122+'26'!C122+'27'!D122+'28'!D122+'29'!D122</f>
        <v>3</v>
      </c>
      <c r="E122" s="25">
        <f>'1'!E122+'2'!E122+'3'!E122+'4'!E122+'5'!E122+'6'!E122+'7'!E122+'8'!E122+'9'!E122+'10'!E122+'11'!E122+'12'!D122+'13'!E122+'14'!E122+'15'!E122+'16'!E122+'17'!E122+'18'!E122+'19'!D122+'20'!E122+'21'!E122+'22'!D122+'23'!E122+'24'!E122+'25'!E122+'26'!D122+'27'!E122+'28'!E122+'29'!E122</f>
        <v>10</v>
      </c>
      <c r="F122" s="25">
        <f>'1'!F122+'2'!F122+'3'!F122+'4'!F122+'5'!F122+'6'!F122+'7'!F122+'8'!F122+'9'!F122+'10'!F122+'11'!F122+'12'!E122+'13'!F122+'14'!F122+'15'!F122+'16'!F122+'17'!F122+'18'!F122+'19'!E122+'20'!F122+'21'!F122+'22'!E122+'23'!F122+'24'!F122+'25'!F122+'26'!E122+'27'!F122+'28'!F122+'29'!F122</f>
        <v>18</v>
      </c>
      <c r="G122" s="25">
        <f>'1'!G122+'2'!G122+'3'!G122+'4'!G122+'5'!G122+'6'!G122+'7'!G122+'8'!G122+'9'!G122+'10'!G122+'11'!G122+'12'!F122+'13'!G122+'14'!G122+'15'!G122+'16'!G122+'17'!G122+'18'!G122+'19'!F122+'20'!G122+'21'!G122+'22'!F122+'23'!G122+'24'!G122+'25'!G122+'26'!F122+'27'!G122+'28'!G122+'29'!G122</f>
        <v>0</v>
      </c>
      <c r="H122" s="25">
        <f>'1'!H122+'2'!H122+'3'!H122+'4'!H122+'5'!H122+'6'!H122+'7'!H122+'8'!H122+'9'!H122+'10'!H122+'11'!H122+'12'!G122+'13'!H122+'14'!H122+'15'!H122+'16'!H122+'17'!H122+'18'!H122+'19'!G122+'20'!H122+'21'!H122+'22'!G122+'23'!H122+'24'!H122+'25'!H122+'26'!G122+'27'!H122+'28'!H122+'29'!H122</f>
        <v>0</v>
      </c>
      <c r="I122" s="25">
        <f>'1'!I122+'2'!I122+'3'!I122+'4'!I122+'5'!I122+'6'!I122+'7'!I122+'8'!I122+'9'!I122+'10'!I122+'11'!I122+'12'!H122+'13'!I122+'14'!I122+'15'!I122+'16'!I122+'17'!I122+'18'!I122+'19'!H122+'20'!I122+'21'!I122+'22'!H122+'23'!I122+'24'!I122+'25'!I122+'26'!H122+'27'!I122+'28'!I122+'29'!I122</f>
        <v>0</v>
      </c>
      <c r="J122" s="25">
        <f>'1'!J122+'2'!J122+'3'!J122+'4'!J122+'5'!J122+'6'!J122+'7'!J122+'8'!J122+'9'!J122+'10'!J122+'11'!J122+'12'!I122+'13'!J122+'14'!J122+'15'!J122+'16'!J122+'17'!J122+'18'!J122+'19'!I122+'20'!J122+'21'!J122+'22'!I122+'23'!J122+'24'!J122+'25'!J122+'26'!I122+'27'!J122+'28'!J122+'29'!J122</f>
        <v>0</v>
      </c>
      <c r="K122" s="25">
        <f>'1'!K122+'2'!K122+'3'!K122+'4'!K122+'5'!K122+'6'!K122+'7'!K122+'8'!K122+'9'!K122+'10'!K122+'11'!K122+'12'!J122+'13'!K122+'14'!K122+'15'!K122+'16'!K122+'17'!K122+'18'!K122+'19'!J122+'20'!K122+'21'!K122+'22'!J122+'23'!K122+'24'!K122+'25'!K122+'26'!J122+'27'!K122+'28'!K122+'29'!K122</f>
        <v>0</v>
      </c>
      <c r="L122" s="28">
        <f t="shared" si="1"/>
        <v>31</v>
      </c>
      <c r="M122" s="11"/>
      <c r="N122" s="11"/>
      <c r="O122" s="11"/>
      <c r="P122" s="11"/>
      <c r="Q122" s="36">
        <v>0</v>
      </c>
    </row>
    <row r="123" spans="2:17" ht="22.2" x14ac:dyDescent="0.25">
      <c r="B123" s="11">
        <v>1114501</v>
      </c>
      <c r="C123" s="20" t="s">
        <v>119</v>
      </c>
      <c r="D123" s="25">
        <f>'1'!D123+'2'!D123+'3'!D123+'4'!D123+'5'!D123+'6'!D123+'7'!D123+'8'!D123+'9'!D123+'10'!D123+'11'!D123+'12'!C123+'13'!D123+'14'!D123+'15'!D123+'16'!D123+'17'!D123+'18'!D123+'19'!C123+'20'!D123+'21'!D123+'22'!C123+'23'!D123+'24'!D123+'25'!D123+'26'!C123+'27'!D123+'28'!D123+'29'!D123</f>
        <v>8</v>
      </c>
      <c r="E123" s="25">
        <f>'1'!E123+'2'!E123+'3'!E123+'4'!E123+'5'!E123+'6'!E123+'7'!E123+'8'!E123+'9'!E123+'10'!E123+'11'!E123+'12'!D123+'13'!E123+'14'!E123+'15'!E123+'16'!E123+'17'!E123+'18'!E123+'19'!D123+'20'!E123+'21'!E123+'22'!D123+'23'!E123+'24'!E123+'25'!E123+'26'!D123+'27'!E123+'28'!E123+'29'!E123</f>
        <v>102</v>
      </c>
      <c r="F123" s="25">
        <f>'1'!F123+'2'!F123+'3'!F123+'4'!F123+'5'!F123+'6'!F123+'7'!F123+'8'!F123+'9'!F123+'10'!F123+'11'!F123+'12'!E123+'13'!F123+'14'!F123+'15'!F123+'16'!F123+'17'!F123+'18'!F123+'19'!E123+'20'!F123+'21'!F123+'22'!E123+'23'!F123+'24'!F123+'25'!F123+'26'!E123+'27'!F123+'28'!F123+'29'!F123</f>
        <v>197</v>
      </c>
      <c r="G123" s="25">
        <f>'1'!G123+'2'!G123+'3'!G123+'4'!G123+'5'!G123+'6'!G123+'7'!G123+'8'!G123+'9'!G123+'10'!G123+'11'!G123+'12'!F123+'13'!G123+'14'!G123+'15'!G123+'16'!G123+'17'!G123+'18'!G123+'19'!F123+'20'!G123+'21'!G123+'22'!F123+'23'!G123+'24'!G123+'25'!G123+'26'!F123+'27'!G123+'28'!G123+'29'!G123</f>
        <v>2203</v>
      </c>
      <c r="H123" s="25">
        <f>'1'!H123+'2'!H123+'3'!H123+'4'!H123+'5'!H123+'6'!H123+'7'!H123+'8'!H123+'9'!H123+'10'!H123+'11'!H123+'12'!G123+'13'!H123+'14'!H123+'15'!H123+'16'!H123+'17'!H123+'18'!H123+'19'!G123+'20'!H123+'21'!H123+'22'!G123+'23'!H123+'24'!H123+'25'!H123+'26'!G123+'27'!H123+'28'!H123+'29'!H123</f>
        <v>275</v>
      </c>
      <c r="I123" s="25">
        <f>'1'!I123+'2'!I123+'3'!I123+'4'!I123+'5'!I123+'6'!I123+'7'!I123+'8'!I123+'9'!I123+'10'!I123+'11'!I123+'12'!H123+'13'!I123+'14'!I123+'15'!I123+'16'!I123+'17'!I123+'18'!I123+'19'!H123+'20'!I123+'21'!I123+'22'!H123+'23'!I123+'24'!I123+'25'!I123+'26'!H123+'27'!I123+'28'!I123+'29'!I123</f>
        <v>0</v>
      </c>
      <c r="J123" s="25">
        <f>'1'!J123+'2'!J123+'3'!J123+'4'!J123+'5'!J123+'6'!J123+'7'!J123+'8'!J123+'9'!J123+'10'!J123+'11'!J123+'12'!I123+'13'!J123+'14'!J123+'15'!J123+'16'!J123+'17'!J123+'18'!J123+'19'!I123+'20'!J123+'21'!J123+'22'!I123+'23'!J123+'24'!J123+'25'!J123+'26'!I123+'27'!J123+'28'!J123+'29'!J123</f>
        <v>0</v>
      </c>
      <c r="K123" s="25">
        <f>'1'!K123+'2'!K123+'3'!K123+'4'!K123+'5'!K123+'6'!K123+'7'!K123+'8'!K123+'9'!K123+'10'!K123+'11'!K123+'12'!J123+'13'!K123+'14'!K123+'15'!K123+'16'!K123+'17'!K123+'18'!K123+'19'!J123+'20'!K123+'21'!K123+'22'!J123+'23'!K123+'24'!K123+'25'!K123+'26'!J123+'27'!K123+'28'!K123+'29'!K123</f>
        <v>0</v>
      </c>
      <c r="L123" s="28">
        <f t="shared" si="1"/>
        <v>2785</v>
      </c>
      <c r="M123" s="11"/>
      <c r="N123" s="11">
        <v>12</v>
      </c>
      <c r="O123" s="11"/>
      <c r="P123" s="11"/>
      <c r="Q123" s="36">
        <v>12</v>
      </c>
    </row>
    <row r="124" spans="2:17" ht="22.2" x14ac:dyDescent="0.25">
      <c r="B124" s="11">
        <v>1114502</v>
      </c>
      <c r="C124" s="20" t="s">
        <v>120</v>
      </c>
      <c r="D124" s="25">
        <f>'1'!D124+'2'!D124+'3'!D124+'4'!D124+'5'!D124+'6'!D124+'7'!D124+'8'!D124+'9'!D124+'10'!D124+'11'!D124+'12'!C124+'13'!D124+'14'!D124+'15'!D124+'16'!D124+'17'!D124+'18'!D124+'19'!C124+'20'!D124+'21'!D124+'22'!C124+'23'!D124+'24'!D124+'25'!D124+'26'!C124+'27'!D124+'28'!D124+'29'!D124</f>
        <v>8</v>
      </c>
      <c r="E124" s="25">
        <f>'1'!E124+'2'!E124+'3'!E124+'4'!E124+'5'!E124+'6'!E124+'7'!E124+'8'!E124+'9'!E124+'10'!E124+'11'!E124+'12'!D124+'13'!E124+'14'!E124+'15'!E124+'16'!E124+'17'!E124+'18'!E124+'19'!D124+'20'!E124+'21'!E124+'22'!D124+'23'!E124+'24'!E124+'25'!E124+'26'!D124+'27'!E124+'28'!E124+'29'!E124</f>
        <v>97</v>
      </c>
      <c r="F124" s="25">
        <f>'1'!F124+'2'!F124+'3'!F124+'4'!F124+'5'!F124+'6'!F124+'7'!F124+'8'!F124+'9'!F124+'10'!F124+'11'!F124+'12'!E124+'13'!F124+'14'!F124+'15'!F124+'16'!F124+'17'!F124+'18'!F124+'19'!E124+'20'!F124+'21'!F124+'22'!E124+'23'!F124+'24'!F124+'25'!F124+'26'!E124+'27'!F124+'28'!F124+'29'!F124</f>
        <v>178</v>
      </c>
      <c r="G124" s="25">
        <f>'1'!G124+'2'!G124+'3'!G124+'4'!G124+'5'!G124+'6'!G124+'7'!G124+'8'!G124+'9'!G124+'10'!G124+'11'!G124+'12'!F124+'13'!G124+'14'!G124+'15'!G124+'16'!G124+'17'!G124+'18'!G124+'19'!F124+'20'!G124+'21'!G124+'22'!F124+'23'!G124+'24'!G124+'25'!G124+'26'!F124+'27'!G124+'28'!G124+'29'!G124</f>
        <v>2088</v>
      </c>
      <c r="H124" s="25">
        <f>'1'!H124+'2'!H124+'3'!H124+'4'!H124+'5'!H124+'6'!H124+'7'!H124+'8'!H124+'9'!H124+'10'!H124+'11'!H124+'12'!G124+'13'!H124+'14'!H124+'15'!H124+'16'!H124+'17'!H124+'18'!H124+'19'!G124+'20'!H124+'21'!H124+'22'!G124+'23'!H124+'24'!H124+'25'!H124+'26'!G124+'27'!H124+'28'!H124+'29'!H124</f>
        <v>270</v>
      </c>
      <c r="I124" s="25">
        <f>'1'!I124+'2'!I124+'3'!I124+'4'!I124+'5'!I124+'6'!I124+'7'!I124+'8'!I124+'9'!I124+'10'!I124+'11'!I124+'12'!H124+'13'!I124+'14'!I124+'15'!I124+'16'!I124+'17'!I124+'18'!I124+'19'!H124+'20'!I124+'21'!I124+'22'!H124+'23'!I124+'24'!I124+'25'!I124+'26'!H124+'27'!I124+'28'!I124+'29'!I124</f>
        <v>0</v>
      </c>
      <c r="J124" s="25">
        <f>'1'!J124+'2'!J124+'3'!J124+'4'!J124+'5'!J124+'6'!J124+'7'!J124+'8'!J124+'9'!J124+'10'!J124+'11'!J124+'12'!I124+'13'!J124+'14'!J124+'15'!J124+'16'!J124+'17'!J124+'18'!J124+'19'!I124+'20'!J124+'21'!J124+'22'!I124+'23'!J124+'24'!J124+'25'!J124+'26'!I124+'27'!J124+'28'!J124+'29'!J124</f>
        <v>0</v>
      </c>
      <c r="K124" s="25">
        <f>'1'!K124+'2'!K124+'3'!K124+'4'!K124+'5'!K124+'6'!K124+'7'!K124+'8'!K124+'9'!K124+'10'!K124+'11'!K124+'12'!J124+'13'!K124+'14'!K124+'15'!K124+'16'!K124+'17'!K124+'18'!K124+'19'!J124+'20'!K124+'21'!K124+'22'!J124+'23'!K124+'24'!K124+'25'!K124+'26'!J124+'27'!K124+'28'!K124+'29'!K124</f>
        <v>0</v>
      </c>
      <c r="L124" s="28">
        <f t="shared" si="1"/>
        <v>2641</v>
      </c>
      <c r="M124" s="11"/>
      <c r="N124" s="11">
        <v>3</v>
      </c>
      <c r="O124" s="11"/>
      <c r="P124" s="11"/>
      <c r="Q124" s="36">
        <v>3</v>
      </c>
    </row>
    <row r="125" spans="2:17" ht="22.2" x14ac:dyDescent="0.25">
      <c r="B125" s="11">
        <v>1114503</v>
      </c>
      <c r="C125" s="20" t="s">
        <v>121</v>
      </c>
      <c r="D125" s="25">
        <f>'1'!D125+'2'!D125+'3'!D125+'4'!D125+'5'!D125+'6'!D125+'7'!D125+'8'!D125+'9'!D125+'10'!D125+'11'!D125+'12'!C125+'13'!D125+'14'!D125+'15'!D125+'16'!D125+'17'!D125+'18'!D125+'19'!C125+'20'!D125+'21'!D125+'22'!C125+'23'!D125+'24'!D125+'25'!D125+'26'!C125+'27'!D125+'28'!D125+'29'!D125</f>
        <v>12</v>
      </c>
      <c r="E125" s="25">
        <f>'1'!E125+'2'!E125+'3'!E125+'4'!E125+'5'!E125+'6'!E125+'7'!E125+'8'!E125+'9'!E125+'10'!E125+'11'!E125+'12'!D125+'13'!E125+'14'!E125+'15'!E125+'16'!E125+'17'!E125+'18'!E125+'19'!D125+'20'!E125+'21'!E125+'22'!D125+'23'!E125+'24'!E125+'25'!E125+'26'!D125+'27'!E125+'28'!E125+'29'!E125</f>
        <v>60</v>
      </c>
      <c r="F125" s="25">
        <f>'1'!F125+'2'!F125+'3'!F125+'4'!F125+'5'!F125+'6'!F125+'7'!F125+'8'!F125+'9'!F125+'10'!F125+'11'!F125+'12'!E125+'13'!F125+'14'!F125+'15'!F125+'16'!F125+'17'!F125+'18'!F125+'19'!E125+'20'!F125+'21'!F125+'22'!E125+'23'!F125+'24'!F125+'25'!F125+'26'!E125+'27'!F125+'28'!F125+'29'!F125</f>
        <v>168</v>
      </c>
      <c r="G125" s="25">
        <f>'1'!G125+'2'!G125+'3'!G125+'4'!G125+'5'!G125+'6'!G125+'7'!G125+'8'!G125+'9'!G125+'10'!G125+'11'!G125+'12'!F125+'13'!G125+'14'!G125+'15'!G125+'16'!G125+'17'!G125+'18'!G125+'19'!F125+'20'!G125+'21'!G125+'22'!F125+'23'!G125+'24'!G125+'25'!G125+'26'!F125+'27'!G125+'28'!G125+'29'!G125</f>
        <v>2206</v>
      </c>
      <c r="H125" s="25">
        <f>'1'!H125+'2'!H125+'3'!H125+'4'!H125+'5'!H125+'6'!H125+'7'!H125+'8'!H125+'9'!H125+'10'!H125+'11'!H125+'12'!G125+'13'!H125+'14'!H125+'15'!H125+'16'!H125+'17'!H125+'18'!H125+'19'!G125+'20'!H125+'21'!H125+'22'!G125+'23'!H125+'24'!H125+'25'!H125+'26'!G125+'27'!H125+'28'!H125+'29'!H125</f>
        <v>279</v>
      </c>
      <c r="I125" s="25">
        <f>'1'!I125+'2'!I125+'3'!I125+'4'!I125+'5'!I125+'6'!I125+'7'!I125+'8'!I125+'9'!I125+'10'!I125+'11'!I125+'12'!H125+'13'!I125+'14'!I125+'15'!I125+'16'!I125+'17'!I125+'18'!I125+'19'!H125+'20'!I125+'21'!I125+'22'!H125+'23'!I125+'24'!I125+'25'!I125+'26'!H125+'27'!I125+'28'!I125+'29'!I125</f>
        <v>0</v>
      </c>
      <c r="J125" s="25">
        <f>'1'!J125+'2'!J125+'3'!J125+'4'!J125+'5'!J125+'6'!J125+'7'!J125+'8'!J125+'9'!J125+'10'!J125+'11'!J125+'12'!I125+'13'!J125+'14'!J125+'15'!J125+'16'!J125+'17'!J125+'18'!J125+'19'!I125+'20'!J125+'21'!J125+'22'!I125+'23'!J125+'24'!J125+'25'!J125+'26'!I125+'27'!J125+'28'!J125+'29'!J125</f>
        <v>0</v>
      </c>
      <c r="K125" s="25">
        <f>'1'!K125+'2'!K125+'3'!K125+'4'!K125+'5'!K125+'6'!K125+'7'!K125+'8'!K125+'9'!K125+'10'!K125+'11'!K125+'12'!J125+'13'!K125+'14'!K125+'15'!K125+'16'!K125+'17'!K125+'18'!K125+'19'!J125+'20'!K125+'21'!K125+'22'!J125+'23'!K125+'24'!K125+'25'!K125+'26'!J125+'27'!K125+'28'!K125+'29'!K125</f>
        <v>0</v>
      </c>
      <c r="L125" s="28">
        <f t="shared" si="1"/>
        <v>2725</v>
      </c>
      <c r="M125" s="11"/>
      <c r="N125" s="11">
        <v>3</v>
      </c>
      <c r="O125" s="11"/>
      <c r="P125" s="11"/>
      <c r="Q125" s="36">
        <v>3</v>
      </c>
    </row>
    <row r="126" spans="2:17" ht="22.2" x14ac:dyDescent="0.25">
      <c r="B126" s="11">
        <v>1124021</v>
      </c>
      <c r="C126" s="20" t="s">
        <v>122</v>
      </c>
      <c r="D126" s="25">
        <f>'1'!D126+'2'!D126+'3'!D126+'4'!D126+'5'!D126+'6'!D126+'7'!D126+'8'!D126+'9'!D126+'10'!D126+'11'!D126+'12'!C126+'13'!D126+'14'!D126+'15'!D126+'16'!D126+'17'!D126+'18'!D126+'19'!C126+'20'!D126+'21'!D126+'22'!C126+'23'!D126+'24'!D126+'25'!D126+'26'!C126+'27'!D126+'28'!D126+'29'!D126</f>
        <v>99</v>
      </c>
      <c r="E126" s="25">
        <f>'1'!E126+'2'!E126+'3'!E126+'4'!E126+'5'!E126+'6'!E126+'7'!E126+'8'!E126+'9'!E126+'10'!E126+'11'!E126+'12'!D126+'13'!E126+'14'!E126+'15'!E126+'16'!E126+'17'!E126+'18'!E126+'19'!D126+'20'!E126+'21'!E126+'22'!D126+'23'!E126+'24'!E126+'25'!E126+'26'!D126+'27'!E126+'28'!E126+'29'!E126</f>
        <v>748</v>
      </c>
      <c r="F126" s="25">
        <f>'1'!F126+'2'!F126+'3'!F126+'4'!F126+'5'!F126+'6'!F126+'7'!F126+'8'!F126+'9'!F126+'10'!F126+'11'!F126+'12'!E126+'13'!F126+'14'!F126+'15'!F126+'16'!F126+'17'!F126+'18'!F126+'19'!E126+'20'!F126+'21'!F126+'22'!E126+'23'!F126+'24'!F126+'25'!F126+'26'!E126+'27'!F126+'28'!F126+'29'!F126</f>
        <v>1531</v>
      </c>
      <c r="G126" s="25">
        <f>'1'!G126+'2'!G126+'3'!G126+'4'!G126+'5'!G126+'6'!G126+'7'!G126+'8'!G126+'9'!G126+'10'!G126+'11'!G126+'12'!F126+'13'!G126+'14'!G126+'15'!G126+'16'!G126+'17'!G126+'18'!G126+'19'!F126+'20'!G126+'21'!G126+'22'!F126+'23'!G126+'24'!G126+'25'!G126+'26'!F126+'27'!G126+'28'!G126+'29'!G126</f>
        <v>1519</v>
      </c>
      <c r="H126" s="25">
        <f>'1'!H126+'2'!H126+'3'!H126+'4'!H126+'5'!H126+'6'!H126+'7'!H126+'8'!H126+'9'!H126+'10'!H126+'11'!H126+'12'!G126+'13'!H126+'14'!H126+'15'!H126+'16'!H126+'17'!H126+'18'!H126+'19'!G126+'20'!H126+'21'!H126+'22'!G126+'23'!H126+'24'!H126+'25'!H126+'26'!G126+'27'!H126+'28'!H126+'29'!H126</f>
        <v>181</v>
      </c>
      <c r="I126" s="25">
        <f>'1'!I126+'2'!I126+'3'!I126+'4'!I126+'5'!I126+'6'!I126+'7'!I126+'8'!I126+'9'!I126+'10'!I126+'11'!I126+'12'!H126+'13'!I126+'14'!I126+'15'!I126+'16'!I126+'17'!I126+'18'!I126+'19'!H126+'20'!I126+'21'!I126+'22'!H126+'23'!I126+'24'!I126+'25'!I126+'26'!H126+'27'!I126+'28'!I126+'29'!I126</f>
        <v>0</v>
      </c>
      <c r="J126" s="25">
        <f>'1'!J126+'2'!J126+'3'!J126+'4'!J126+'5'!J126+'6'!J126+'7'!J126+'8'!J126+'9'!J126+'10'!J126+'11'!J126+'12'!I126+'13'!J126+'14'!J126+'15'!J126+'16'!J126+'17'!J126+'18'!J126+'19'!I126+'20'!J126+'21'!J126+'22'!I126+'23'!J126+'24'!J126+'25'!J126+'26'!I126+'27'!J126+'28'!J126+'29'!J126</f>
        <v>0</v>
      </c>
      <c r="K126" s="25">
        <f>'1'!K126+'2'!K126+'3'!K126+'4'!K126+'5'!K126+'6'!K126+'7'!K126+'8'!K126+'9'!K126+'10'!K126+'11'!K126+'12'!J126+'13'!K126+'14'!K126+'15'!K126+'16'!K126+'17'!K126+'18'!K126+'19'!J126+'20'!K126+'21'!K126+'22'!J126+'23'!K126+'24'!K126+'25'!K126+'26'!J126+'27'!K126+'28'!K126+'29'!K126</f>
        <v>279</v>
      </c>
      <c r="L126" s="28">
        <f t="shared" si="1"/>
        <v>4357</v>
      </c>
      <c r="M126" s="11"/>
      <c r="N126" s="11"/>
      <c r="O126" s="11"/>
      <c r="P126" s="11"/>
      <c r="Q126" s="36">
        <v>-3</v>
      </c>
    </row>
    <row r="127" spans="2:17" ht="22.2" hidden="1" x14ac:dyDescent="0.25">
      <c r="B127" s="11">
        <v>1113084</v>
      </c>
      <c r="C127" s="20" t="s">
        <v>123</v>
      </c>
      <c r="D127" s="25">
        <f>'1'!D127+'2'!D127+'3'!D127+'4'!D127+'5'!D127+'6'!D127+'7'!D127+'8'!D127+'9'!D127+'10'!D127+'11'!D127+'12'!C127+'13'!D127+'14'!D127+'15'!D127+'16'!D127+'17'!D127+'18'!D127+'19'!C127+'20'!D127+'21'!D127+'22'!C127+'23'!D127+'24'!D127+'25'!D127+'26'!C127+'27'!D127+'28'!D127+'29'!D127</f>
        <v>0</v>
      </c>
      <c r="E127" s="25">
        <f>'1'!E127+'2'!E127+'3'!E127+'4'!E127+'5'!E127+'6'!E127+'7'!E127+'8'!E127+'9'!E127+'10'!E127+'11'!E127+'12'!D127+'13'!E127+'14'!E127+'15'!E127+'16'!E127+'17'!E127+'18'!E127+'19'!D127+'20'!E127+'21'!E127+'22'!D127+'23'!E127+'24'!E127+'25'!E127+'26'!D127+'27'!E127+'28'!E127+'29'!E127</f>
        <v>0</v>
      </c>
      <c r="F127" s="25">
        <f>'1'!F127+'2'!F127+'3'!F127+'4'!F127+'5'!F127+'6'!F127+'7'!F127+'8'!F127+'9'!F127+'10'!F127+'11'!F127+'12'!E127+'13'!F127+'14'!F127+'15'!F127+'16'!F127+'17'!F127+'18'!F127+'19'!E127+'20'!F127+'21'!F127+'22'!E127+'23'!F127+'24'!F127+'25'!F127+'26'!E127+'27'!F127+'28'!F127+'29'!F127</f>
        <v>0</v>
      </c>
      <c r="G127" s="25">
        <f>'1'!G127+'2'!G127+'3'!G127+'4'!G127+'5'!G127+'6'!G127+'7'!G127+'8'!G127+'9'!G127+'10'!G127+'11'!G127+'12'!F127+'13'!G127+'14'!G127+'15'!G127+'16'!G127+'17'!G127+'18'!G127+'19'!F127+'20'!G127+'21'!G127+'22'!F127+'23'!G127+'24'!G127+'25'!G127+'26'!F127+'27'!G127+'28'!G127+'29'!G127</f>
        <v>0</v>
      </c>
      <c r="H127" s="25">
        <f>'1'!H127+'2'!H127+'3'!H127+'4'!H127+'5'!H127+'6'!H127+'7'!H127+'8'!H127+'9'!H127+'10'!H127+'11'!H127+'12'!G127+'13'!H127+'14'!H127+'15'!H127+'16'!H127+'17'!H127+'18'!H127+'19'!G127+'20'!H127+'21'!H127+'22'!G127+'23'!H127+'24'!H127+'25'!H127+'26'!G127+'27'!H127+'28'!H127+'29'!H127</f>
        <v>0</v>
      </c>
      <c r="I127" s="25">
        <f>'1'!I127+'2'!I127+'3'!I127+'4'!I127+'5'!I127+'6'!I127+'7'!I127+'8'!I127+'9'!I127+'10'!I127+'11'!I127+'12'!H127+'13'!I127+'14'!I127+'15'!I127+'16'!I127+'17'!I127+'18'!I127+'19'!H127+'20'!I127+'21'!I127+'22'!H127+'23'!I127+'24'!I127+'25'!I127+'26'!H127+'27'!I127+'28'!I127+'29'!I127</f>
        <v>0</v>
      </c>
      <c r="J127" s="25">
        <f>'1'!J127+'2'!J127+'3'!J127+'4'!J127+'5'!J127+'6'!J127+'7'!J127+'8'!J127+'9'!J127+'10'!J127+'11'!J127+'12'!I127+'13'!J127+'14'!J127+'15'!J127+'16'!J127+'17'!J127+'18'!J127+'19'!I127+'20'!J127+'21'!J127+'22'!I127+'23'!J127+'24'!J127+'25'!J127+'26'!I127+'27'!J127+'28'!J127+'29'!J127</f>
        <v>0</v>
      </c>
      <c r="K127" s="25">
        <f>'1'!K127+'2'!K127+'3'!K127+'4'!K127+'5'!K127+'6'!K127+'7'!K127+'8'!K127+'9'!K127+'10'!K127+'11'!K127+'12'!J127+'13'!K127+'14'!K127+'15'!K127+'16'!K127+'17'!K127+'18'!K127+'19'!J127+'20'!K127+'21'!K127+'22'!J127+'23'!K127+'24'!K127+'25'!K127+'26'!J127+'27'!K127+'28'!K127+'29'!K127</f>
        <v>0</v>
      </c>
      <c r="L127" s="28">
        <f t="shared" si="1"/>
        <v>0</v>
      </c>
      <c r="M127" s="11"/>
      <c r="N127" s="11"/>
      <c r="O127" s="11"/>
      <c r="P127" s="11"/>
      <c r="Q127" s="36">
        <v>0</v>
      </c>
    </row>
    <row r="128" spans="2:17" ht="22.2" hidden="1" x14ac:dyDescent="0.25">
      <c r="B128" s="11">
        <v>900003</v>
      </c>
      <c r="C128" s="20" t="s">
        <v>124</v>
      </c>
      <c r="D128" s="25">
        <f>'1'!D128+'2'!D128+'3'!D128+'4'!D128+'5'!D128+'6'!D128+'7'!D128+'8'!D128+'9'!D128+'10'!D128+'11'!D128+'12'!C128+'13'!D128+'14'!D128+'15'!D128+'16'!D128+'17'!D128+'18'!D128+'19'!C128+'20'!D128+'21'!D128+'22'!C128+'23'!D128+'24'!D128+'25'!D128+'26'!C128+'27'!D128+'28'!D128+'29'!D128</f>
        <v>0</v>
      </c>
      <c r="E128" s="25">
        <f>'1'!E128+'2'!E128+'3'!E128+'4'!E128+'5'!E128+'6'!E128+'7'!E128+'8'!E128+'9'!E128+'10'!E128+'11'!E128+'12'!D128+'13'!E128+'14'!E128+'15'!E128+'16'!E128+'17'!E128+'18'!E128+'19'!D128+'20'!E128+'21'!E128+'22'!D128+'23'!E128+'24'!E128+'25'!E128+'26'!D128+'27'!E128+'28'!E128+'29'!E128</f>
        <v>0</v>
      </c>
      <c r="F128" s="25">
        <f>'1'!F128+'2'!F128+'3'!F128+'4'!F128+'5'!F128+'6'!F128+'7'!F128+'8'!F128+'9'!F128+'10'!F128+'11'!F128+'12'!E128+'13'!F128+'14'!F128+'15'!F128+'16'!F128+'17'!F128+'18'!F128+'19'!E128+'20'!F128+'21'!F128+'22'!E128+'23'!F128+'24'!F128+'25'!F128+'26'!E128+'27'!F128+'28'!F128+'29'!F128</f>
        <v>0</v>
      </c>
      <c r="G128" s="25">
        <f>'1'!G128+'2'!G128+'3'!G128+'4'!G128+'5'!G128+'6'!G128+'7'!G128+'8'!G128+'9'!G128+'10'!G128+'11'!G128+'12'!F128+'13'!G128+'14'!G128+'15'!G128+'16'!G128+'17'!G128+'18'!G128+'19'!F128+'20'!G128+'21'!G128+'22'!F128+'23'!G128+'24'!G128+'25'!G128+'26'!F128+'27'!G128+'28'!G128+'29'!G128</f>
        <v>0</v>
      </c>
      <c r="H128" s="25">
        <f>'1'!H128+'2'!H128+'3'!H128+'4'!H128+'5'!H128+'6'!H128+'7'!H128+'8'!H128+'9'!H128+'10'!H128+'11'!H128+'12'!G128+'13'!H128+'14'!H128+'15'!H128+'16'!H128+'17'!H128+'18'!H128+'19'!G128+'20'!H128+'21'!H128+'22'!G128+'23'!H128+'24'!H128+'25'!H128+'26'!G128+'27'!H128+'28'!H128+'29'!H128</f>
        <v>0</v>
      </c>
      <c r="I128" s="25">
        <f>'1'!I128+'2'!I128+'3'!I128+'4'!I128+'5'!I128+'6'!I128+'7'!I128+'8'!I128+'9'!I128+'10'!I128+'11'!I128+'12'!H128+'13'!I128+'14'!I128+'15'!I128+'16'!I128+'17'!I128+'18'!I128+'19'!H128+'20'!I128+'21'!I128+'22'!H128+'23'!I128+'24'!I128+'25'!I128+'26'!H128+'27'!I128+'28'!I128+'29'!I128</f>
        <v>0</v>
      </c>
      <c r="J128" s="25">
        <f>'1'!J128+'2'!J128+'3'!J128+'4'!J128+'5'!J128+'6'!J128+'7'!J128+'8'!J128+'9'!J128+'10'!J128+'11'!J128+'12'!I128+'13'!J128+'14'!J128+'15'!J128+'16'!J128+'17'!J128+'18'!J128+'19'!I128+'20'!J128+'21'!J128+'22'!I128+'23'!J128+'24'!J128+'25'!J128+'26'!I128+'27'!J128+'28'!J128+'29'!J128</f>
        <v>0</v>
      </c>
      <c r="K128" s="25">
        <f>'1'!K128+'2'!K128+'3'!K128+'4'!K128+'5'!K128+'6'!K128+'7'!K128+'8'!K128+'9'!K128+'10'!K128+'11'!K128+'12'!J128+'13'!K128+'14'!K128+'15'!K128+'16'!K128+'17'!K128+'18'!K128+'19'!J128+'20'!K128+'21'!K128+'22'!J128+'23'!K128+'24'!K128+'25'!K128+'26'!J128+'27'!K128+'28'!K128+'29'!K128</f>
        <v>0</v>
      </c>
      <c r="L128" s="28">
        <f t="shared" si="1"/>
        <v>0</v>
      </c>
      <c r="M128" s="11"/>
      <c r="N128" s="11"/>
      <c r="O128" s="11"/>
      <c r="P128" s="11"/>
      <c r="Q128" s="36">
        <v>0</v>
      </c>
    </row>
    <row r="129" spans="2:17" ht="22.2" hidden="1" x14ac:dyDescent="0.25">
      <c r="B129" s="11">
        <v>900004</v>
      </c>
      <c r="C129" s="20" t="s">
        <v>125</v>
      </c>
      <c r="D129" s="25">
        <f>'1'!D129+'2'!D129+'3'!D129+'4'!D129+'5'!D129+'6'!D129+'7'!D129+'8'!D129+'9'!D129+'10'!D129+'11'!D129+'12'!C129+'13'!D129+'14'!D129+'15'!D129+'16'!D129+'17'!D129+'18'!D129+'19'!C129+'20'!D129+'21'!D129+'22'!C129+'23'!D129+'24'!D129+'25'!D129+'26'!C129+'27'!D129+'28'!D129+'29'!D129</f>
        <v>0</v>
      </c>
      <c r="E129" s="25">
        <f>'1'!E129+'2'!E129+'3'!E129+'4'!E129+'5'!E129+'6'!E129+'7'!E129+'8'!E129+'9'!E129+'10'!E129+'11'!E129+'12'!D129+'13'!E129+'14'!E129+'15'!E129+'16'!E129+'17'!E129+'18'!E129+'19'!D129+'20'!E129+'21'!E129+'22'!D129+'23'!E129+'24'!E129+'25'!E129+'26'!D129+'27'!E129+'28'!E129+'29'!E129</f>
        <v>0</v>
      </c>
      <c r="F129" s="25">
        <f>'1'!F129+'2'!F129+'3'!F129+'4'!F129+'5'!F129+'6'!F129+'7'!F129+'8'!F129+'9'!F129+'10'!F129+'11'!F129+'12'!E129+'13'!F129+'14'!F129+'15'!F129+'16'!F129+'17'!F129+'18'!F129+'19'!E129+'20'!F129+'21'!F129+'22'!E129+'23'!F129+'24'!F129+'25'!F129+'26'!E129+'27'!F129+'28'!F129+'29'!F129</f>
        <v>0</v>
      </c>
      <c r="G129" s="25">
        <f>'1'!G129+'2'!G129+'3'!G129+'4'!G129+'5'!G129+'6'!G129+'7'!G129+'8'!G129+'9'!G129+'10'!G129+'11'!G129+'12'!F129+'13'!G129+'14'!G129+'15'!G129+'16'!G129+'17'!G129+'18'!G129+'19'!F129+'20'!G129+'21'!G129+'22'!F129+'23'!G129+'24'!G129+'25'!G129+'26'!F129+'27'!G129+'28'!G129+'29'!G129</f>
        <v>0</v>
      </c>
      <c r="H129" s="25">
        <f>'1'!H129+'2'!H129+'3'!H129+'4'!H129+'5'!H129+'6'!H129+'7'!H129+'8'!H129+'9'!H129+'10'!H129+'11'!H129+'12'!G129+'13'!H129+'14'!H129+'15'!H129+'16'!H129+'17'!H129+'18'!H129+'19'!G129+'20'!H129+'21'!H129+'22'!G129+'23'!H129+'24'!H129+'25'!H129+'26'!G129+'27'!H129+'28'!H129+'29'!H129</f>
        <v>0</v>
      </c>
      <c r="I129" s="25">
        <f>'1'!I129+'2'!I129+'3'!I129+'4'!I129+'5'!I129+'6'!I129+'7'!I129+'8'!I129+'9'!I129+'10'!I129+'11'!I129+'12'!H129+'13'!I129+'14'!I129+'15'!I129+'16'!I129+'17'!I129+'18'!I129+'19'!H129+'20'!I129+'21'!I129+'22'!H129+'23'!I129+'24'!I129+'25'!I129+'26'!H129+'27'!I129+'28'!I129+'29'!I129</f>
        <v>0</v>
      </c>
      <c r="J129" s="25">
        <f>'1'!J129+'2'!J129+'3'!J129+'4'!J129+'5'!J129+'6'!J129+'7'!J129+'8'!J129+'9'!J129+'10'!J129+'11'!J129+'12'!I129+'13'!J129+'14'!J129+'15'!J129+'16'!J129+'17'!J129+'18'!J129+'19'!I129+'20'!J129+'21'!J129+'22'!I129+'23'!J129+'24'!J129+'25'!J129+'26'!I129+'27'!J129+'28'!J129+'29'!J129</f>
        <v>0</v>
      </c>
      <c r="K129" s="25">
        <f>'1'!K129+'2'!K129+'3'!K129+'4'!K129+'5'!K129+'6'!K129+'7'!K129+'8'!K129+'9'!K129+'10'!K129+'11'!K129+'12'!J129+'13'!K129+'14'!K129+'15'!K129+'16'!K129+'17'!K129+'18'!K129+'19'!J129+'20'!K129+'21'!K129+'22'!J129+'23'!K129+'24'!K129+'25'!K129+'26'!J129+'27'!K129+'28'!K129+'29'!K129</f>
        <v>0</v>
      </c>
      <c r="L129" s="28">
        <f t="shared" si="1"/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f>'1'!D130+'2'!D130+'3'!D130+'4'!D130+'5'!D130+'6'!D130+'7'!D130+'8'!D130+'9'!D130+'10'!D130+'11'!D130+'12'!C130+'13'!D130+'14'!D130+'15'!D130+'16'!D130+'17'!D130+'18'!D130+'19'!C130+'20'!D130+'21'!D130+'22'!C130+'23'!D130+'24'!D130+'25'!D130+'26'!C130+'27'!D130+'28'!D130+'29'!D130</f>
        <v>0</v>
      </c>
      <c r="E130" s="25">
        <f>'1'!E130+'2'!E130+'3'!E130+'4'!E130+'5'!E130+'6'!E130+'7'!E130+'8'!E130+'9'!E130+'10'!E130+'11'!E130+'12'!D130+'13'!E130+'14'!E130+'15'!E130+'16'!E130+'17'!E130+'18'!E130+'19'!D130+'20'!E130+'21'!E130+'22'!D130+'23'!E130+'24'!E130+'25'!E130+'26'!D130+'27'!E130+'28'!E130+'29'!E130</f>
        <v>5</v>
      </c>
      <c r="F130" s="25">
        <f>'1'!F130+'2'!F130+'3'!F130+'4'!F130+'5'!F130+'6'!F130+'7'!F130+'8'!F130+'9'!F130+'10'!F130+'11'!F130+'12'!E130+'13'!F130+'14'!F130+'15'!F130+'16'!F130+'17'!F130+'18'!F130+'19'!E130+'20'!F130+'21'!F130+'22'!E130+'23'!F130+'24'!F130+'25'!F130+'26'!E130+'27'!F130+'28'!F130+'29'!F130</f>
        <v>1</v>
      </c>
      <c r="G130" s="25">
        <f>'1'!G130+'2'!G130+'3'!G130+'4'!G130+'5'!G130+'6'!G130+'7'!G130+'8'!G130+'9'!G130+'10'!G130+'11'!G130+'12'!F130+'13'!G130+'14'!G130+'15'!G130+'16'!G130+'17'!G130+'18'!G130+'19'!F130+'20'!G130+'21'!G130+'22'!F130+'23'!G130+'24'!G130+'25'!G130+'26'!F130+'27'!G130+'28'!G130+'29'!G130</f>
        <v>0</v>
      </c>
      <c r="H130" s="25">
        <f>'1'!H130+'2'!H130+'3'!H130+'4'!H130+'5'!H130+'6'!H130+'7'!H130+'8'!H130+'9'!H130+'10'!H130+'11'!H130+'12'!G130+'13'!H130+'14'!H130+'15'!H130+'16'!H130+'17'!H130+'18'!H130+'19'!G130+'20'!H130+'21'!H130+'22'!G130+'23'!H130+'24'!H130+'25'!H130+'26'!G130+'27'!H130+'28'!H130+'29'!H130</f>
        <v>0</v>
      </c>
      <c r="I130" s="25">
        <f>'1'!I130+'2'!I130+'3'!I130+'4'!I130+'5'!I130+'6'!I130+'7'!I130+'8'!I130+'9'!I130+'10'!I130+'11'!I130+'12'!H130+'13'!I130+'14'!I130+'15'!I130+'16'!I130+'17'!I130+'18'!I130+'19'!H130+'20'!I130+'21'!I130+'22'!H130+'23'!I130+'24'!I130+'25'!I130+'26'!H130+'27'!I130+'28'!I130+'29'!I130</f>
        <v>0</v>
      </c>
      <c r="J130" s="25">
        <f>'1'!J130+'2'!J130+'3'!J130+'4'!J130+'5'!J130+'6'!J130+'7'!J130+'8'!J130+'9'!J130+'10'!J130+'11'!J130+'12'!I130+'13'!J130+'14'!J130+'15'!J130+'16'!J130+'17'!J130+'18'!J130+'19'!I130+'20'!J130+'21'!J130+'22'!I130+'23'!J130+'24'!J130+'25'!J130+'26'!I130+'27'!J130+'28'!J130+'29'!J130</f>
        <v>0</v>
      </c>
      <c r="K130" s="25">
        <f>'1'!K130+'2'!K130+'3'!K130+'4'!K130+'5'!K130+'6'!K130+'7'!K130+'8'!K130+'9'!K130+'10'!K130+'11'!K130+'12'!J130+'13'!K130+'14'!K130+'15'!K130+'16'!K130+'17'!K130+'18'!K130+'19'!J130+'20'!K130+'21'!K130+'22'!J130+'23'!K130+'24'!K130+'25'!K130+'26'!J130+'27'!K130+'28'!K130+'29'!K130</f>
        <v>5</v>
      </c>
      <c r="L130" s="28">
        <f t="shared" si="1"/>
        <v>11</v>
      </c>
      <c r="M130" s="11"/>
      <c r="N130" s="11"/>
      <c r="O130" s="11"/>
      <c r="P130" s="11"/>
      <c r="Q130" s="36">
        <v>0</v>
      </c>
    </row>
    <row r="131" spans="2:17" ht="22.2" x14ac:dyDescent="0.25">
      <c r="B131" s="11">
        <v>1200003</v>
      </c>
      <c r="C131" s="20" t="s">
        <v>127</v>
      </c>
      <c r="D131" s="25">
        <f>'1'!D131+'2'!D131+'3'!D131+'4'!D131+'5'!D131+'6'!D131+'7'!D131+'8'!D131+'9'!D131+'10'!D131+'11'!D131+'12'!C131+'13'!D131+'14'!D131+'15'!D131+'16'!D131+'17'!D131+'18'!D131+'19'!C131+'20'!D131+'21'!D131+'22'!C131+'23'!D131+'24'!D131+'25'!D131+'26'!C131+'27'!D131+'28'!D131+'29'!D131</f>
        <v>5</v>
      </c>
      <c r="E131" s="25">
        <f>'1'!E131+'2'!E131+'3'!E131+'4'!E131+'5'!E131+'6'!E131+'7'!E131+'8'!E131+'9'!E131+'10'!E131+'11'!E131+'12'!D131+'13'!E131+'14'!E131+'15'!E131+'16'!E131+'17'!E131+'18'!E131+'19'!D131+'20'!E131+'21'!E131+'22'!D131+'23'!E131+'24'!E131+'25'!E131+'26'!D131+'27'!E131+'28'!E131+'29'!E131</f>
        <v>0</v>
      </c>
      <c r="F131" s="25">
        <f>'1'!F131+'2'!F131+'3'!F131+'4'!F131+'5'!F131+'6'!F131+'7'!F131+'8'!F131+'9'!F131+'10'!F131+'11'!F131+'12'!E131+'13'!F131+'14'!F131+'15'!F131+'16'!F131+'17'!F131+'18'!F131+'19'!E131+'20'!F131+'21'!F131+'22'!E131+'23'!F131+'24'!F131+'25'!F131+'26'!E131+'27'!F131+'28'!F131+'29'!F131</f>
        <v>0</v>
      </c>
      <c r="G131" s="25">
        <f>'1'!G131+'2'!G131+'3'!G131+'4'!G131+'5'!G131+'6'!G131+'7'!G131+'8'!G131+'9'!G131+'10'!G131+'11'!G131+'12'!F131+'13'!G131+'14'!G131+'15'!G131+'16'!G131+'17'!G131+'18'!G131+'19'!F131+'20'!G131+'21'!G131+'22'!F131+'23'!G131+'24'!G131+'25'!G131+'26'!F131+'27'!G131+'28'!G131+'29'!G131</f>
        <v>0</v>
      </c>
      <c r="H131" s="25">
        <f>'1'!H131+'2'!H131+'3'!H131+'4'!H131+'5'!H131+'6'!H131+'7'!H131+'8'!H131+'9'!H131+'10'!H131+'11'!H131+'12'!G131+'13'!H131+'14'!H131+'15'!H131+'16'!H131+'17'!H131+'18'!H131+'19'!G131+'20'!H131+'21'!H131+'22'!G131+'23'!H131+'24'!H131+'25'!H131+'26'!G131+'27'!H131+'28'!H131+'29'!H131</f>
        <v>0</v>
      </c>
      <c r="I131" s="25">
        <f>'1'!I131+'2'!I131+'3'!I131+'4'!I131+'5'!I131+'6'!I131+'7'!I131+'8'!I131+'9'!I131+'10'!I131+'11'!I131+'12'!H131+'13'!I131+'14'!I131+'15'!I131+'16'!I131+'17'!I131+'18'!I131+'19'!H131+'20'!I131+'21'!I131+'22'!H131+'23'!I131+'24'!I131+'25'!I131+'26'!H131+'27'!I131+'28'!I131+'29'!I131</f>
        <v>0</v>
      </c>
      <c r="J131" s="25">
        <f>'1'!J131+'2'!J131+'3'!J131+'4'!J131+'5'!J131+'6'!J131+'7'!J131+'8'!J131+'9'!J131+'10'!J131+'11'!J131+'12'!I131+'13'!J131+'14'!J131+'15'!J131+'16'!J131+'17'!J131+'18'!J131+'19'!I131+'20'!J131+'21'!J131+'22'!I131+'23'!J131+'24'!J131+'25'!J131+'26'!I131+'27'!J131+'28'!J131+'29'!J131</f>
        <v>0</v>
      </c>
      <c r="K131" s="25">
        <f>'1'!K131+'2'!K131+'3'!K131+'4'!K131+'5'!K131+'6'!K131+'7'!K131+'8'!K131+'9'!K131+'10'!K131+'11'!K131+'12'!J131+'13'!K131+'14'!K131+'15'!K131+'16'!K131+'17'!K131+'18'!K131+'19'!J131+'20'!K131+'21'!K131+'22'!J131+'23'!K131+'24'!K131+'25'!K131+'26'!J131+'27'!K131+'28'!K131+'29'!K131</f>
        <v>0</v>
      </c>
      <c r="L131" s="28">
        <f t="shared" si="1"/>
        <v>5</v>
      </c>
      <c r="M131" s="11"/>
      <c r="N131" s="11"/>
      <c r="O131" s="11"/>
      <c r="P131" s="11"/>
      <c r="Q131" s="36">
        <v>0</v>
      </c>
    </row>
    <row r="132" spans="2:17" ht="22.2" hidden="1" x14ac:dyDescent="0.25">
      <c r="B132" s="11">
        <v>1200004</v>
      </c>
      <c r="C132" s="20" t="s">
        <v>128</v>
      </c>
      <c r="D132" s="25">
        <f>'1'!D132+'2'!D132+'3'!D132+'4'!D132+'5'!D132+'6'!D132+'7'!D132+'8'!D132+'9'!D132+'10'!D132+'11'!D132+'12'!C132+'13'!D132+'14'!D132+'15'!D132+'16'!D132+'17'!D132+'18'!D132+'19'!C132+'20'!D132+'21'!D132+'22'!C132+'23'!D132+'24'!D132+'25'!D132+'26'!C132+'27'!D132+'28'!D132+'29'!D132</f>
        <v>0</v>
      </c>
      <c r="E132" s="25">
        <f>'1'!E132+'2'!E132+'3'!E132+'4'!E132+'5'!E132+'6'!E132+'7'!E132+'8'!E132+'9'!E132+'10'!E132+'11'!E132+'12'!D132+'13'!E132+'14'!E132+'15'!E132+'16'!E132+'17'!E132+'18'!E132+'19'!D132+'20'!E132+'21'!E132+'22'!D132+'23'!E132+'24'!E132+'25'!E132+'26'!D132+'27'!E132+'28'!E132+'29'!E132</f>
        <v>0</v>
      </c>
      <c r="F132" s="25">
        <f>'1'!F132+'2'!F132+'3'!F132+'4'!F132+'5'!F132+'6'!F132+'7'!F132+'8'!F132+'9'!F132+'10'!F132+'11'!F132+'12'!E132+'13'!F132+'14'!F132+'15'!F132+'16'!F132+'17'!F132+'18'!F132+'19'!E132+'20'!F132+'21'!F132+'22'!E132+'23'!F132+'24'!F132+'25'!F132+'26'!E132+'27'!F132+'28'!F132+'29'!F132</f>
        <v>0</v>
      </c>
      <c r="G132" s="25">
        <f>'1'!G132+'2'!G132+'3'!G132+'4'!G132+'5'!G132+'6'!G132+'7'!G132+'8'!G132+'9'!G132+'10'!G132+'11'!G132+'12'!F132+'13'!G132+'14'!G132+'15'!G132+'16'!G132+'17'!G132+'18'!G132+'19'!F132+'20'!G132+'21'!G132+'22'!F132+'23'!G132+'24'!G132+'25'!G132+'26'!F132+'27'!G132+'28'!G132+'29'!G132</f>
        <v>0</v>
      </c>
      <c r="H132" s="25">
        <f>'1'!H132+'2'!H132+'3'!H132+'4'!H132+'5'!H132+'6'!H132+'7'!H132+'8'!H132+'9'!H132+'10'!H132+'11'!H132+'12'!G132+'13'!H132+'14'!H132+'15'!H132+'16'!H132+'17'!H132+'18'!H132+'19'!G132+'20'!H132+'21'!H132+'22'!G132+'23'!H132+'24'!H132+'25'!H132+'26'!G132+'27'!H132+'28'!H132+'29'!H132</f>
        <v>0</v>
      </c>
      <c r="I132" s="25">
        <f>'1'!I132+'2'!I132+'3'!I132+'4'!I132+'5'!I132+'6'!I132+'7'!I132+'8'!I132+'9'!I132+'10'!I132+'11'!I132+'12'!H132+'13'!I132+'14'!I132+'15'!I132+'16'!I132+'17'!I132+'18'!I132+'19'!H132+'20'!I132+'21'!I132+'22'!H132+'23'!I132+'24'!I132+'25'!I132+'26'!H132+'27'!I132+'28'!I132+'29'!I132</f>
        <v>0</v>
      </c>
      <c r="J132" s="25">
        <f>'1'!J132+'2'!J132+'3'!J132+'4'!J132+'5'!J132+'6'!J132+'7'!J132+'8'!J132+'9'!J132+'10'!J132+'11'!J132+'12'!I132+'13'!J132+'14'!J132+'15'!J132+'16'!J132+'17'!J132+'18'!J132+'19'!I132+'20'!J132+'21'!J132+'22'!I132+'23'!J132+'24'!J132+'25'!J132+'26'!I132+'27'!J132+'28'!J132+'29'!J132</f>
        <v>0</v>
      </c>
      <c r="K132" s="25">
        <f>'1'!K132+'2'!K132+'3'!K132+'4'!K132+'5'!K132+'6'!K132+'7'!K132+'8'!K132+'9'!K132+'10'!K132+'11'!K132+'12'!J132+'13'!K132+'14'!K132+'15'!K132+'16'!K132+'17'!K132+'18'!K132+'19'!J132+'20'!K132+'21'!K132+'22'!J132+'23'!K132+'24'!K132+'25'!K132+'26'!J132+'27'!K132+'28'!K132+'29'!K132</f>
        <v>0</v>
      </c>
      <c r="L132" s="28">
        <f t="shared" si="1"/>
        <v>0</v>
      </c>
      <c r="M132" s="11"/>
      <c r="N132" s="11"/>
      <c r="O132" s="11"/>
      <c r="P132" s="11"/>
      <c r="Q132" s="36">
        <v>0</v>
      </c>
    </row>
    <row r="133" spans="2:17" ht="22.2" hidden="1" x14ac:dyDescent="0.25">
      <c r="B133" s="11">
        <v>1200093</v>
      </c>
      <c r="C133" s="20" t="s">
        <v>129</v>
      </c>
      <c r="D133" s="25">
        <f>'1'!D133+'2'!D133+'3'!D133+'4'!D133+'5'!D133+'6'!D133+'7'!D133+'8'!D133+'9'!D133+'10'!D133+'11'!D133+'12'!C133+'13'!D133+'14'!D133+'15'!D133+'16'!D133+'17'!D133+'18'!D133+'19'!C133+'20'!D133+'21'!D133+'22'!C133+'23'!D133+'24'!D133+'25'!D133+'26'!C133+'27'!D133+'28'!D133+'29'!D133</f>
        <v>0</v>
      </c>
      <c r="E133" s="25">
        <f>'1'!E133+'2'!E133+'3'!E133+'4'!E133+'5'!E133+'6'!E133+'7'!E133+'8'!E133+'9'!E133+'10'!E133+'11'!E133+'12'!D133+'13'!E133+'14'!E133+'15'!E133+'16'!E133+'17'!E133+'18'!E133+'19'!D133+'20'!E133+'21'!E133+'22'!D133+'23'!E133+'24'!E133+'25'!E133+'26'!D133+'27'!E133+'28'!E133+'29'!E133</f>
        <v>0</v>
      </c>
      <c r="F133" s="25">
        <f>'1'!F133+'2'!F133+'3'!F133+'4'!F133+'5'!F133+'6'!F133+'7'!F133+'8'!F133+'9'!F133+'10'!F133+'11'!F133+'12'!E133+'13'!F133+'14'!F133+'15'!F133+'16'!F133+'17'!F133+'18'!F133+'19'!E133+'20'!F133+'21'!F133+'22'!E133+'23'!F133+'24'!F133+'25'!F133+'26'!E133+'27'!F133+'28'!F133+'29'!F133</f>
        <v>0</v>
      </c>
      <c r="G133" s="25">
        <f>'1'!G133+'2'!G133+'3'!G133+'4'!G133+'5'!G133+'6'!G133+'7'!G133+'8'!G133+'9'!G133+'10'!G133+'11'!G133+'12'!F133+'13'!G133+'14'!G133+'15'!G133+'16'!G133+'17'!G133+'18'!G133+'19'!F133+'20'!G133+'21'!G133+'22'!F133+'23'!G133+'24'!G133+'25'!G133+'26'!F133+'27'!G133+'28'!G133+'29'!G133</f>
        <v>0</v>
      </c>
      <c r="H133" s="25">
        <f>'1'!H133+'2'!H133+'3'!H133+'4'!H133+'5'!H133+'6'!H133+'7'!H133+'8'!H133+'9'!H133+'10'!H133+'11'!H133+'12'!G133+'13'!H133+'14'!H133+'15'!H133+'16'!H133+'17'!H133+'18'!H133+'19'!G133+'20'!H133+'21'!H133+'22'!G133+'23'!H133+'24'!H133+'25'!H133+'26'!G133+'27'!H133+'28'!H133+'29'!H133</f>
        <v>0</v>
      </c>
      <c r="I133" s="25">
        <f>'1'!I133+'2'!I133+'3'!I133+'4'!I133+'5'!I133+'6'!I133+'7'!I133+'8'!I133+'9'!I133+'10'!I133+'11'!I133+'12'!H133+'13'!I133+'14'!I133+'15'!I133+'16'!I133+'17'!I133+'18'!I133+'19'!H133+'20'!I133+'21'!I133+'22'!H133+'23'!I133+'24'!I133+'25'!I133+'26'!H133+'27'!I133+'28'!I133+'29'!I133</f>
        <v>0</v>
      </c>
      <c r="J133" s="25">
        <f>'1'!J133+'2'!J133+'3'!J133+'4'!J133+'5'!J133+'6'!J133+'7'!J133+'8'!J133+'9'!J133+'10'!J133+'11'!J133+'12'!I133+'13'!J133+'14'!J133+'15'!J133+'16'!J133+'17'!J133+'18'!J133+'19'!I133+'20'!J133+'21'!J133+'22'!I133+'23'!J133+'24'!J133+'25'!J133+'26'!I133+'27'!J133+'28'!J133+'29'!J133</f>
        <v>0</v>
      </c>
      <c r="K133" s="25">
        <f>'1'!K133+'2'!K133+'3'!K133+'4'!K133+'5'!K133+'6'!K133+'7'!K133+'8'!K133+'9'!K133+'10'!K133+'11'!K133+'12'!J133+'13'!K133+'14'!K133+'15'!K133+'16'!K133+'17'!K133+'18'!K133+'19'!J133+'20'!K133+'21'!K133+'22'!J133+'23'!K133+'24'!K133+'25'!K133+'26'!J133+'27'!K133+'28'!K133+'29'!K133</f>
        <v>0</v>
      </c>
      <c r="L133" s="28">
        <f t="shared" si="1"/>
        <v>0</v>
      </c>
      <c r="M133" s="11"/>
      <c r="N133" s="11"/>
      <c r="O133" s="11"/>
      <c r="P133" s="11"/>
      <c r="Q133" s="36">
        <v>0</v>
      </c>
    </row>
    <row r="134" spans="2:17" ht="22.2" hidden="1" x14ac:dyDescent="0.25">
      <c r="B134" s="11">
        <v>1200092</v>
      </c>
      <c r="C134" s="18" t="s">
        <v>130</v>
      </c>
      <c r="D134" s="25">
        <f>'1'!D134+'2'!D134+'3'!D134+'4'!D134+'5'!D134+'6'!D134+'7'!D134+'8'!D134+'9'!D134+'10'!D134+'11'!D134+'12'!C134+'13'!D134+'14'!D134+'15'!D134+'16'!D134+'17'!D134+'18'!D134+'19'!C134+'20'!D134+'21'!D134+'22'!C134+'23'!D134+'24'!D134+'25'!D134+'26'!C134+'27'!D134+'28'!D134+'29'!D134</f>
        <v>0</v>
      </c>
      <c r="E134" s="25">
        <f>'1'!E134+'2'!E134+'3'!E134+'4'!E134+'5'!E134+'6'!E134+'7'!E134+'8'!E134+'9'!E134+'10'!E134+'11'!E134+'12'!D134+'13'!E134+'14'!E134+'15'!E134+'16'!E134+'17'!E134+'18'!E134+'19'!D134+'20'!E134+'21'!E134+'22'!D134+'23'!E134+'24'!E134+'25'!E134+'26'!D134+'27'!E134+'28'!E134+'29'!E134</f>
        <v>0</v>
      </c>
      <c r="F134" s="25">
        <f>'1'!F134+'2'!F134+'3'!F134+'4'!F134+'5'!F134+'6'!F134+'7'!F134+'8'!F134+'9'!F134+'10'!F134+'11'!F134+'12'!E134+'13'!F134+'14'!F134+'15'!F134+'16'!F134+'17'!F134+'18'!F134+'19'!E134+'20'!F134+'21'!F134+'22'!E134+'23'!F134+'24'!F134+'25'!F134+'26'!E134+'27'!F134+'28'!F134+'29'!F134</f>
        <v>0</v>
      </c>
      <c r="G134" s="25">
        <f>'1'!G134+'2'!G134+'3'!G134+'4'!G134+'5'!G134+'6'!G134+'7'!G134+'8'!G134+'9'!G134+'10'!G134+'11'!G134+'12'!F134+'13'!G134+'14'!G134+'15'!G134+'16'!G134+'17'!G134+'18'!G134+'19'!F134+'20'!G134+'21'!G134+'22'!F134+'23'!G134+'24'!G134+'25'!G134+'26'!F134+'27'!G134+'28'!G134+'29'!G134</f>
        <v>0</v>
      </c>
      <c r="H134" s="25">
        <f>'1'!H134+'2'!H134+'3'!H134+'4'!H134+'5'!H134+'6'!H134+'7'!H134+'8'!H134+'9'!H134+'10'!H134+'11'!H134+'12'!G134+'13'!H134+'14'!H134+'15'!H134+'16'!H134+'17'!H134+'18'!H134+'19'!G134+'20'!H134+'21'!H134+'22'!G134+'23'!H134+'24'!H134+'25'!H134+'26'!G134+'27'!H134+'28'!H134+'29'!H134</f>
        <v>0</v>
      </c>
      <c r="I134" s="25">
        <f>'1'!I134+'2'!I134+'3'!I134+'4'!I134+'5'!I134+'6'!I134+'7'!I134+'8'!I134+'9'!I134+'10'!I134+'11'!I134+'12'!H134+'13'!I134+'14'!I134+'15'!I134+'16'!I134+'17'!I134+'18'!I134+'19'!H134+'20'!I134+'21'!I134+'22'!H134+'23'!I134+'24'!I134+'25'!I134+'26'!H134+'27'!I134+'28'!I134+'29'!I134</f>
        <v>0</v>
      </c>
      <c r="J134" s="25">
        <f>'1'!J134+'2'!J134+'3'!J134+'4'!J134+'5'!J134+'6'!J134+'7'!J134+'8'!J134+'9'!J134+'10'!J134+'11'!J134+'12'!I134+'13'!J134+'14'!J134+'15'!J134+'16'!J134+'17'!J134+'18'!J134+'19'!I134+'20'!J134+'21'!J134+'22'!I134+'23'!J134+'24'!J134+'25'!J134+'26'!I134+'27'!J134+'28'!J134+'29'!J134</f>
        <v>0</v>
      </c>
      <c r="K134" s="25">
        <f>'1'!K134+'2'!K134+'3'!K134+'4'!K134+'5'!K134+'6'!K134+'7'!K134+'8'!K134+'9'!K134+'10'!K134+'11'!K134+'12'!J134+'13'!K134+'14'!K134+'15'!K134+'16'!K134+'17'!K134+'18'!K134+'19'!J134+'20'!K134+'21'!K134+'22'!J134+'23'!K134+'24'!K134+'25'!K134+'26'!J134+'27'!K134+'28'!K134+'29'!K134</f>
        <v>0</v>
      </c>
      <c r="L134" s="28">
        <f t="shared" si="1"/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f>'1'!D135+'2'!D135+'3'!D135+'4'!D135+'5'!D135+'6'!D135+'7'!D135+'8'!D135+'9'!D135+'10'!D135+'11'!D135+'12'!C135+'13'!D135+'14'!D135+'15'!D135+'16'!D135+'17'!D135+'18'!D135+'19'!C135+'20'!D135+'21'!D135+'22'!C135+'23'!D135+'24'!D135+'25'!D135+'26'!C135+'27'!D135+'28'!D135+'29'!D135</f>
        <v>0</v>
      </c>
      <c r="E135" s="25">
        <f>'1'!E135+'2'!E135+'3'!E135+'4'!E135+'5'!E135+'6'!E135+'7'!E135+'8'!E135+'9'!E135+'10'!E135+'11'!E135+'12'!D135+'13'!E135+'14'!E135+'15'!E135+'16'!E135+'17'!E135+'18'!E135+'19'!D135+'20'!E135+'21'!E135+'22'!D135+'23'!E135+'24'!E135+'25'!E135+'26'!D135+'27'!E135+'28'!E135+'29'!E135</f>
        <v>41</v>
      </c>
      <c r="F135" s="25">
        <f>'1'!F135+'2'!F135+'3'!F135+'4'!F135+'5'!F135+'6'!F135+'7'!F135+'8'!F135+'9'!F135+'10'!F135+'11'!F135+'12'!E135+'13'!F135+'14'!F135+'15'!F135+'16'!F135+'17'!F135+'18'!F135+'19'!E135+'20'!F135+'21'!F135+'22'!E135+'23'!F135+'24'!F135+'25'!F135+'26'!E135+'27'!F135+'28'!F135+'29'!F135</f>
        <v>20</v>
      </c>
      <c r="G135" s="25">
        <f>'1'!G135+'2'!G135+'3'!G135+'4'!G135+'5'!G135+'6'!G135+'7'!G135+'8'!G135+'9'!G135+'10'!G135+'11'!G135+'12'!F135+'13'!G135+'14'!G135+'15'!G135+'16'!G135+'17'!G135+'18'!G135+'19'!F135+'20'!G135+'21'!G135+'22'!F135+'23'!G135+'24'!G135+'25'!G135+'26'!F135+'27'!G135+'28'!G135+'29'!G135</f>
        <v>0</v>
      </c>
      <c r="H135" s="25">
        <f>'1'!H135+'2'!H135+'3'!H135+'4'!H135+'5'!H135+'6'!H135+'7'!H135+'8'!H135+'9'!H135+'10'!H135+'11'!H135+'12'!G135+'13'!H135+'14'!H135+'15'!H135+'16'!H135+'17'!H135+'18'!H135+'19'!G135+'20'!H135+'21'!H135+'22'!G135+'23'!H135+'24'!H135+'25'!H135+'26'!G135+'27'!H135+'28'!H135+'29'!H135</f>
        <v>0</v>
      </c>
      <c r="I135" s="25">
        <f>'1'!I135+'2'!I135+'3'!I135+'4'!I135+'5'!I135+'6'!I135+'7'!I135+'8'!I135+'9'!I135+'10'!I135+'11'!I135+'12'!H135+'13'!I135+'14'!I135+'15'!I135+'16'!I135+'17'!I135+'18'!I135+'19'!H135+'20'!I135+'21'!I135+'22'!H135+'23'!I135+'24'!I135+'25'!I135+'26'!H135+'27'!I135+'28'!I135+'29'!I135</f>
        <v>0</v>
      </c>
      <c r="J135" s="25">
        <f>'1'!J135+'2'!J135+'3'!J135+'4'!J135+'5'!J135+'6'!J135+'7'!J135+'8'!J135+'9'!J135+'10'!J135+'11'!J135+'12'!I135+'13'!J135+'14'!J135+'15'!J135+'16'!J135+'17'!J135+'18'!J135+'19'!I135+'20'!J135+'21'!J135+'22'!I135+'23'!J135+'24'!J135+'25'!J135+'26'!I135+'27'!J135+'28'!J135+'29'!J135</f>
        <v>0</v>
      </c>
      <c r="K135" s="25">
        <f>'1'!K135+'2'!K135+'3'!K135+'4'!K135+'5'!K135+'6'!K135+'7'!K135+'8'!K135+'9'!K135+'10'!K135+'11'!K135+'12'!J135+'13'!K135+'14'!K135+'15'!K135+'16'!K135+'17'!K135+'18'!K135+'19'!J135+'20'!K135+'21'!K135+'22'!J135+'23'!K135+'24'!K135+'25'!K135+'26'!J135+'27'!K135+'28'!K135+'29'!K135</f>
        <v>0</v>
      </c>
      <c r="L135" s="28">
        <f t="shared" si="1"/>
        <v>61</v>
      </c>
      <c r="M135" s="11"/>
      <c r="N135" s="11"/>
      <c r="O135" s="11"/>
      <c r="P135" s="11"/>
      <c r="Q135" s="36">
        <v>-1</v>
      </c>
    </row>
    <row r="136" spans="2:17" ht="22.2" x14ac:dyDescent="0.25">
      <c r="B136" s="21"/>
      <c r="C136" s="20" t="s">
        <v>132</v>
      </c>
      <c r="D136" s="25">
        <f>'1'!D136+'2'!D136+'3'!D136+'4'!D136+'5'!D136+'6'!D136+'7'!D136+'8'!D136+'9'!D136+'10'!D136+'11'!D136+'12'!C136+'13'!D136+'14'!D136+'15'!D136+'16'!D136+'17'!D136+'18'!D136+'19'!C136+'20'!D136+'21'!D136+'22'!C136+'23'!D136+'24'!D136+'25'!D136+'26'!C136+'27'!D136+'28'!D136+'29'!D136</f>
        <v>0</v>
      </c>
      <c r="E136" s="25">
        <f>'1'!E136+'2'!E136+'3'!E136+'4'!E136+'5'!E136+'6'!E136+'7'!E136+'8'!E136+'9'!E136+'10'!E136+'11'!E136+'12'!D136+'13'!E136+'14'!E136+'15'!E136+'16'!E136+'17'!E136+'18'!E136+'19'!D136+'20'!E136+'21'!E136+'22'!D136+'23'!E136+'24'!E136+'25'!E136+'26'!D136+'27'!E136+'28'!E136+'29'!E136</f>
        <v>25</v>
      </c>
      <c r="F136" s="25">
        <f>'1'!F136+'2'!F136+'3'!F136+'4'!F136+'5'!F136+'6'!F136+'7'!F136+'8'!F136+'9'!F136+'10'!F136+'11'!F136+'12'!E136+'13'!F136+'14'!F136+'15'!F136+'16'!F136+'17'!F136+'18'!F136+'19'!E136+'20'!F136+'21'!F136+'22'!E136+'23'!F136+'24'!F136+'25'!F136+'26'!E136+'27'!F136+'28'!F136+'29'!F136</f>
        <v>38</v>
      </c>
      <c r="G136" s="25">
        <f>'1'!G136+'2'!G136+'3'!G136+'4'!G136+'5'!G136+'6'!G136+'7'!G136+'8'!G136+'9'!G136+'10'!G136+'11'!G136+'12'!F136+'13'!G136+'14'!G136+'15'!G136+'16'!G136+'17'!G136+'18'!G136+'19'!F136+'20'!G136+'21'!G136+'22'!F136+'23'!G136+'24'!G136+'25'!G136+'26'!F136+'27'!G136+'28'!G136+'29'!G136</f>
        <v>0</v>
      </c>
      <c r="H136" s="25">
        <f>'1'!H136+'2'!H136+'3'!H136+'4'!H136+'5'!H136+'6'!H136+'7'!H136+'8'!H136+'9'!H136+'10'!H136+'11'!H136+'12'!G136+'13'!H136+'14'!H136+'15'!H136+'16'!H136+'17'!H136+'18'!H136+'19'!G136+'20'!H136+'21'!H136+'22'!G136+'23'!H136+'24'!H136+'25'!H136+'26'!G136+'27'!H136+'28'!H136+'29'!H136</f>
        <v>0</v>
      </c>
      <c r="I136" s="25">
        <f>'1'!I136+'2'!I136+'3'!I136+'4'!I136+'5'!I136+'6'!I136+'7'!I136+'8'!I136+'9'!I136+'10'!I136+'11'!I136+'12'!H136+'13'!I136+'14'!I136+'15'!I136+'16'!I136+'17'!I136+'18'!I136+'19'!H136+'20'!I136+'21'!I136+'22'!H136+'23'!I136+'24'!I136+'25'!I136+'26'!H136+'27'!I136+'28'!I136+'29'!I136</f>
        <v>0</v>
      </c>
      <c r="J136" s="25">
        <f>'1'!J136+'2'!J136+'3'!J136+'4'!J136+'5'!J136+'6'!J136+'7'!J136+'8'!J136+'9'!J136+'10'!J136+'11'!J136+'12'!I136+'13'!J136+'14'!J136+'15'!J136+'16'!J136+'17'!J136+'18'!J136+'19'!I136+'20'!J136+'21'!J136+'22'!I136+'23'!J136+'24'!J136+'25'!J136+'26'!I136+'27'!J136+'28'!J136+'29'!J136</f>
        <v>0</v>
      </c>
      <c r="K136" s="25">
        <f>'1'!K136+'2'!K136+'3'!K136+'4'!K136+'5'!K136+'6'!K136+'7'!K136+'8'!K136+'9'!K136+'10'!K136+'11'!K136+'12'!J136+'13'!K136+'14'!K136+'15'!K136+'16'!K136+'17'!K136+'18'!K136+'19'!J136+'20'!K136+'21'!K136+'22'!J136+'23'!K136+'24'!K136+'25'!K136+'26'!J136+'27'!K136+'28'!K136+'29'!K136</f>
        <v>0</v>
      </c>
      <c r="L136" s="28">
        <f t="shared" ref="L136:L138" si="2">SUM(D136:K136)</f>
        <v>63</v>
      </c>
      <c r="M136" s="11"/>
      <c r="N136" s="11"/>
      <c r="O136" s="11"/>
      <c r="P136" s="11"/>
      <c r="Q136" s="36">
        <v>0</v>
      </c>
    </row>
    <row r="137" spans="2:17" ht="22.2" hidden="1" x14ac:dyDescent="0.25">
      <c r="B137" s="41"/>
      <c r="C137" s="40" t="s">
        <v>133</v>
      </c>
      <c r="D137" s="25">
        <f>'1'!D137+'2'!D137+'3'!D137+'4'!D137+'5'!D137+'6'!D137+'7'!D137+'8'!D137+'9'!D137+'10'!D137+'11'!D137+'12'!C137+'13'!D137+'14'!D137+'15'!D137+'16'!D137+'17'!D137+'18'!D137+'19'!C137+'20'!D137+'21'!D137+'22'!C137+'23'!D137+'24'!D137+'25'!D137+'26'!C137+'27'!D137+'28'!D137+'29'!D137</f>
        <v>0</v>
      </c>
      <c r="E137" s="25">
        <f>'1'!E137+'2'!E137+'3'!E137+'4'!E137+'5'!E137+'6'!E137+'7'!E137+'8'!E137+'9'!E137+'10'!E137+'11'!E137+'12'!D137+'13'!E137+'14'!E137+'15'!E137+'16'!E137+'17'!E137+'18'!E137+'19'!D137+'20'!E137+'21'!E137+'22'!D137+'23'!E137+'24'!E137+'25'!E137+'26'!D137+'27'!E137+'28'!E137+'29'!E137</f>
        <v>0</v>
      </c>
      <c r="F137" s="25">
        <f>'1'!F137+'2'!F137+'3'!F137+'4'!F137+'5'!F137+'6'!F137+'7'!F137+'8'!F137+'9'!F137+'10'!F137+'11'!F137+'12'!E137+'13'!F137+'14'!F137+'15'!F137+'16'!F137+'17'!F137+'18'!F137+'19'!E137+'20'!F137+'21'!F137+'22'!E137+'23'!F137+'24'!F137+'25'!F137+'26'!E137+'27'!F137+'28'!F137+'29'!F137</f>
        <v>0</v>
      </c>
      <c r="G137" s="25">
        <f>'1'!G137+'2'!G137+'3'!G137+'4'!G137+'5'!G137+'6'!G137+'7'!G137+'8'!G137+'9'!G137+'10'!G137+'11'!G137+'12'!F137+'13'!G137+'14'!G137+'15'!G137+'16'!G137+'17'!G137+'18'!G137+'19'!F137+'20'!G137+'21'!G137+'22'!F137+'23'!G137+'24'!G137+'25'!G137+'26'!F137+'27'!G137+'28'!G137+'29'!G137</f>
        <v>0</v>
      </c>
      <c r="H137" s="25">
        <f>'1'!H137+'2'!H137+'3'!H137+'4'!H137+'5'!H137+'6'!H137+'7'!H137+'8'!H137+'9'!H137+'10'!H137+'11'!H137+'12'!G137+'13'!H137+'14'!H137+'15'!H137+'16'!H137+'17'!H137+'18'!H137+'19'!G137+'20'!H137+'21'!H137+'22'!G137+'23'!H137+'24'!H137+'25'!H137+'26'!G137+'27'!H137+'28'!H137+'29'!H137</f>
        <v>0</v>
      </c>
      <c r="I137" s="25">
        <f>'1'!I137+'2'!I137+'3'!I137+'4'!I137+'5'!I137+'6'!I137+'7'!I137+'8'!I137+'9'!I137+'10'!I137+'11'!I137+'12'!H137+'13'!I137+'14'!I137+'15'!I137+'16'!I137+'17'!I137+'18'!I137+'19'!H137+'20'!I137+'21'!I137+'22'!H137+'23'!I137+'24'!I137+'25'!I137+'26'!H137+'27'!I137+'28'!I137+'29'!I137</f>
        <v>0</v>
      </c>
      <c r="J137" s="25">
        <f>'1'!J137+'2'!J137+'3'!J137+'4'!J137+'5'!J137+'6'!J137+'7'!J137+'8'!J137+'9'!J137+'10'!J137+'11'!J137+'12'!I137+'13'!J137+'14'!J137+'15'!J137+'16'!J137+'17'!J137+'18'!J137+'19'!I137+'20'!J137+'21'!J137+'22'!I137+'23'!J137+'24'!J137+'25'!J137+'26'!I137+'27'!J137+'28'!J137+'29'!J137</f>
        <v>0</v>
      </c>
      <c r="K137" s="25">
        <f>'1'!K137+'2'!K137+'3'!K137+'4'!K137+'5'!K137+'6'!K137+'7'!K137+'8'!K137+'9'!K137+'10'!K137+'11'!K137+'12'!J137+'13'!K137+'14'!K137+'15'!K137+'16'!K137+'17'!K137+'18'!K137+'19'!J137+'20'!K137+'21'!K137+'22'!J137+'23'!K137+'24'!K137+'25'!K137+'26'!J137+'27'!K137+'28'!K137+'29'!K137</f>
        <v>0</v>
      </c>
      <c r="L137" s="28">
        <f t="shared" si="2"/>
        <v>0</v>
      </c>
      <c r="M137" s="11"/>
      <c r="N137" s="11"/>
      <c r="O137" s="11"/>
      <c r="P137" s="11"/>
      <c r="Q137" s="36">
        <v>0</v>
      </c>
    </row>
    <row r="138" spans="2:17" ht="22.2" hidden="1" x14ac:dyDescent="0.25">
      <c r="B138" s="41"/>
      <c r="C138" s="40" t="s">
        <v>134</v>
      </c>
      <c r="D138" s="25">
        <f>'1'!D138+'2'!D138+'3'!D138+'4'!D138+'5'!D138+'6'!D138+'7'!D138+'8'!D138+'9'!D138+'10'!D138+'11'!D138+'12'!C138+'13'!D138+'14'!D138+'15'!D138+'16'!D138+'17'!D138+'18'!D138+'19'!C138+'20'!D138+'21'!D138+'22'!C138+'23'!D138+'24'!D138+'25'!D138+'26'!C138+'27'!D138+'28'!D138+'29'!D138</f>
        <v>0</v>
      </c>
      <c r="E138" s="25">
        <f>'1'!E138+'2'!E138+'3'!E138+'4'!E138+'5'!E138+'6'!E138+'7'!E138+'8'!E138+'9'!E138+'10'!E138+'11'!E138+'12'!D138+'13'!E138+'14'!E138+'15'!E138+'16'!E138+'17'!E138+'18'!E138+'19'!D138+'20'!E138+'21'!E138+'22'!D138+'23'!E138+'24'!E138+'25'!E138+'26'!D138+'27'!E138+'28'!E138+'29'!E138</f>
        <v>0</v>
      </c>
      <c r="F138" s="25">
        <f>'1'!F138+'2'!F138+'3'!F138+'4'!F138+'5'!F138+'6'!F138+'7'!F138+'8'!F138+'9'!F138+'10'!F138+'11'!F138+'12'!E138+'13'!F138+'14'!F138+'15'!F138+'16'!F138+'17'!F138+'18'!F138+'19'!E138+'20'!F138+'21'!F138+'22'!E138+'23'!F138+'24'!F138+'25'!F138+'26'!E138+'27'!F138+'28'!F138+'29'!F138</f>
        <v>0</v>
      </c>
      <c r="G138" s="25">
        <f>'1'!G138+'2'!G138+'3'!G138+'4'!G138+'5'!G138+'6'!G138+'7'!G138+'8'!G138+'9'!G138+'10'!G138+'11'!G138+'12'!F138+'13'!G138+'14'!G138+'15'!G138+'16'!G138+'17'!G138+'18'!G138+'19'!F138+'20'!G138+'21'!G138+'22'!F138+'23'!G138+'24'!G138+'25'!G138+'26'!F138+'27'!G138+'28'!G138+'29'!G138</f>
        <v>0</v>
      </c>
      <c r="H138" s="25">
        <f>'1'!H138+'2'!H138+'3'!H138+'4'!H138+'5'!H138+'6'!H138+'7'!H138+'8'!H138+'9'!H138+'10'!H138+'11'!H138+'12'!G138+'13'!H138+'14'!H138+'15'!H138+'16'!H138+'17'!H138+'18'!H138+'19'!G138+'20'!H138+'21'!H138+'22'!G138+'23'!H138+'24'!H138+'25'!H138+'26'!G138+'27'!H138+'28'!H138+'29'!H138</f>
        <v>0</v>
      </c>
      <c r="I138" s="25">
        <f>'1'!I138+'2'!I138+'3'!I138+'4'!I138+'5'!I138+'6'!I138+'7'!I138+'8'!I138+'9'!I138+'10'!I138+'11'!I138+'12'!H138+'13'!I138+'14'!I138+'15'!I138+'16'!I138+'17'!I138+'18'!I138+'19'!H138+'20'!I138+'21'!I138+'22'!H138+'23'!I138+'24'!I138+'25'!I138+'26'!H138+'27'!I138+'28'!I138+'29'!I138</f>
        <v>0</v>
      </c>
      <c r="J138" s="25">
        <f>'1'!J138+'2'!J138+'3'!J138+'4'!J138+'5'!J138+'6'!J138+'7'!J138+'8'!J138+'9'!J138+'10'!J138+'11'!J138+'12'!I138+'13'!J138+'14'!J138+'15'!J138+'16'!J138+'17'!J138+'18'!J138+'19'!I138+'20'!J138+'21'!J138+'22'!I138+'23'!J138+'24'!J138+'25'!J138+'26'!I138+'27'!J138+'28'!J138+'29'!J138</f>
        <v>0</v>
      </c>
      <c r="K138" s="25">
        <f>'1'!K138+'2'!K138+'3'!K138+'4'!K138+'5'!K138+'6'!K138+'7'!K138+'8'!K138+'9'!K138+'10'!K138+'11'!K138+'12'!J138+'13'!K138+'14'!K138+'15'!K138+'16'!K138+'17'!K138+'18'!K138+'19'!J138+'20'!K138+'21'!K138+'22'!J138+'23'!K138+'24'!K138+'25'!K138+'26'!J138+'27'!K138+'28'!K138+'29'!K138</f>
        <v>0</v>
      </c>
      <c r="L138" s="28">
        <f t="shared" si="2"/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8" t="s">
        <v>4</v>
      </c>
      <c r="D139" s="49">
        <v>0</v>
      </c>
      <c r="E139" s="49">
        <v>0</v>
      </c>
      <c r="F139" s="49">
        <v>0</v>
      </c>
      <c r="G139" s="49">
        <v>0</v>
      </c>
      <c r="H139" s="49">
        <v>0</v>
      </c>
      <c r="I139" s="49">
        <v>0</v>
      </c>
      <c r="J139" s="49">
        <v>0</v>
      </c>
      <c r="K139" s="49">
        <v>0</v>
      </c>
      <c r="L139" s="28">
        <f>SUM(L114:L138)</f>
        <v>14430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42"/>
      <c r="E140" s="28"/>
      <c r="F140" s="28"/>
      <c r="G140" s="28"/>
      <c r="H140" s="28"/>
      <c r="I140" s="28"/>
      <c r="J140" s="28"/>
      <c r="K140" s="28"/>
      <c r="L140" s="28">
        <f>L67+L77+L88+L100+L139</f>
        <v>70460</v>
      </c>
      <c r="M140" s="25"/>
      <c r="N140" s="25"/>
      <c r="O140" s="25"/>
      <c r="P140" s="25"/>
      <c r="Q140" s="36"/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P2:P4"/>
    <mergeCell ref="Q2:Q4"/>
    <mergeCell ref="B6:Q6"/>
    <mergeCell ref="B68:Q68"/>
    <mergeCell ref="B78:Q78"/>
    <mergeCell ref="B89:Q89"/>
    <mergeCell ref="O2:O4"/>
    <mergeCell ref="B1:L1"/>
    <mergeCell ref="B2:C3"/>
    <mergeCell ref="E2:F3"/>
    <mergeCell ref="M2:M4"/>
    <mergeCell ref="N2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A1EC-8311-4150-A57C-C74AAC1A4717}">
  <dimension ref="B1:R143"/>
  <sheetViews>
    <sheetView workbookViewId="0">
      <selection activeCell="U12" sqref="U12"/>
    </sheetView>
  </sheetViews>
  <sheetFormatPr defaultRowHeight="13.8" x14ac:dyDescent="0.25"/>
  <sheetData>
    <row r="1" spans="2:15" ht="22.2" x14ac:dyDescent="0.25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5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62" t="s">
        <v>4</v>
      </c>
    </row>
    <row r="3" spans="2:15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63"/>
    </row>
    <row r="4" spans="2:15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64"/>
    </row>
    <row r="5" spans="2:15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24"/>
    </row>
    <row r="6" spans="2:15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2:15" ht="22.2" x14ac:dyDescent="0.25">
      <c r="B7" s="11">
        <v>1111002</v>
      </c>
      <c r="C7" s="15" t="s">
        <v>18</v>
      </c>
      <c r="D7" s="25">
        <v>4</v>
      </c>
      <c r="E7" s="25">
        <v>126</v>
      </c>
      <c r="F7" s="25">
        <v>82</v>
      </c>
      <c r="G7" s="25">
        <v>20</v>
      </c>
      <c r="H7" s="25">
        <v>0</v>
      </c>
      <c r="I7" s="25">
        <v>0</v>
      </c>
      <c r="J7" s="25">
        <v>0</v>
      </c>
      <c r="K7" s="25">
        <v>1020</v>
      </c>
      <c r="L7" s="28">
        <v>1252</v>
      </c>
      <c r="M7" s="11"/>
      <c r="N7" s="11"/>
      <c r="O7" s="36">
        <v>-1252</v>
      </c>
    </row>
    <row r="8" spans="2:15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36">
        <v>0</v>
      </c>
    </row>
    <row r="9" spans="2:15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36">
        <v>0</v>
      </c>
    </row>
    <row r="10" spans="2:15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36">
        <v>0</v>
      </c>
    </row>
    <row r="11" spans="2:15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36">
        <v>0</v>
      </c>
    </row>
    <row r="12" spans="2:15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36">
        <v>0</v>
      </c>
    </row>
    <row r="13" spans="2:15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36">
        <v>0</v>
      </c>
    </row>
    <row r="14" spans="2:15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36">
        <v>0</v>
      </c>
    </row>
    <row r="15" spans="2:15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36">
        <v>0</v>
      </c>
    </row>
    <row r="16" spans="2:15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36">
        <v>0</v>
      </c>
    </row>
    <row r="17" spans="2:15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36">
        <v>0</v>
      </c>
    </row>
    <row r="18" spans="2:15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36">
        <v>0</v>
      </c>
    </row>
    <row r="19" spans="2:15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36">
        <v>0</v>
      </c>
    </row>
    <row r="20" spans="2:15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36">
        <v>0</v>
      </c>
    </row>
    <row r="21" spans="2:15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36">
        <v>0</v>
      </c>
    </row>
    <row r="22" spans="2:15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36">
        <v>0</v>
      </c>
    </row>
    <row r="23" spans="2:15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36">
        <v>0</v>
      </c>
    </row>
    <row r="24" spans="2:15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36">
        <v>0</v>
      </c>
    </row>
    <row r="25" spans="2:15" ht="22.2" x14ac:dyDescent="0.25">
      <c r="B25" s="11">
        <v>1111056</v>
      </c>
      <c r="C25" s="15" t="s">
        <v>36</v>
      </c>
      <c r="D25" s="25">
        <v>10</v>
      </c>
      <c r="E25" s="25">
        <v>29</v>
      </c>
      <c r="F25" s="25">
        <v>5</v>
      </c>
      <c r="G25" s="25">
        <v>6</v>
      </c>
      <c r="H25" s="25">
        <v>0</v>
      </c>
      <c r="I25" s="25">
        <v>0</v>
      </c>
      <c r="J25" s="25">
        <v>0</v>
      </c>
      <c r="K25" s="25">
        <v>0</v>
      </c>
      <c r="L25" s="28">
        <v>50</v>
      </c>
      <c r="M25" s="11"/>
      <c r="N25" s="11"/>
      <c r="O25" s="36">
        <v>-50</v>
      </c>
    </row>
    <row r="26" spans="2:15" ht="22.2" x14ac:dyDescent="0.25">
      <c r="B26" s="11">
        <v>1004055</v>
      </c>
      <c r="C26" s="15" t="s">
        <v>37</v>
      </c>
      <c r="D26" s="25">
        <v>1</v>
      </c>
      <c r="E26" s="25">
        <v>64</v>
      </c>
      <c r="F26" s="25">
        <v>4</v>
      </c>
      <c r="G26" s="25">
        <v>550</v>
      </c>
      <c r="H26" s="25">
        <v>0</v>
      </c>
      <c r="I26" s="25">
        <v>0</v>
      </c>
      <c r="J26" s="25">
        <v>0</v>
      </c>
      <c r="K26" s="25">
        <v>15</v>
      </c>
      <c r="L26" s="28">
        <v>634</v>
      </c>
      <c r="M26" s="11"/>
      <c r="N26" s="11"/>
      <c r="O26" s="36">
        <v>-634</v>
      </c>
    </row>
    <row r="27" spans="2:15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36">
        <v>0</v>
      </c>
    </row>
    <row r="28" spans="2:15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36">
        <v>0</v>
      </c>
    </row>
    <row r="29" spans="2:15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36">
        <v>0</v>
      </c>
    </row>
    <row r="30" spans="2:15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36">
        <v>0</v>
      </c>
    </row>
    <row r="31" spans="2:15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36">
        <v>0</v>
      </c>
    </row>
    <row r="32" spans="2:15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36">
        <v>0</v>
      </c>
    </row>
    <row r="33" spans="2:15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36">
        <v>0</v>
      </c>
    </row>
    <row r="34" spans="2:15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36">
        <v>0</v>
      </c>
    </row>
    <row r="35" spans="2:15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36">
        <v>0</v>
      </c>
    </row>
    <row r="36" spans="2:15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36">
        <v>0</v>
      </c>
    </row>
    <row r="37" spans="2:15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36">
        <v>0</v>
      </c>
    </row>
    <row r="38" spans="2:15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36">
        <v>0</v>
      </c>
    </row>
    <row r="39" spans="2:15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36">
        <v>0</v>
      </c>
    </row>
    <row r="40" spans="2:15" ht="22.2" x14ac:dyDescent="0.25">
      <c r="B40" s="11">
        <v>1111057</v>
      </c>
      <c r="C40" s="15" t="s">
        <v>51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8">
        <v>0</v>
      </c>
      <c r="M40" s="11"/>
      <c r="N40" s="11"/>
      <c r="O40" s="36">
        <v>0</v>
      </c>
    </row>
    <row r="41" spans="2:15" ht="22.2" x14ac:dyDescent="0.25">
      <c r="B41" s="11">
        <v>1111058</v>
      </c>
      <c r="C41" s="15" t="s">
        <v>52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8">
        <v>0</v>
      </c>
      <c r="M41" s="11"/>
      <c r="N41" s="11"/>
      <c r="O41" s="36">
        <v>0</v>
      </c>
    </row>
    <row r="42" spans="2:15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8">
        <v>0</v>
      </c>
      <c r="M42" s="11"/>
      <c r="N42" s="11"/>
      <c r="O42" s="36">
        <v>0</v>
      </c>
    </row>
    <row r="43" spans="2:15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/>
      <c r="N43" s="11"/>
      <c r="O43" s="36">
        <v>0</v>
      </c>
    </row>
    <row r="44" spans="2:15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8">
        <v>0</v>
      </c>
      <c r="M44" s="11"/>
      <c r="N44" s="11"/>
      <c r="O44" s="36">
        <v>0</v>
      </c>
    </row>
    <row r="45" spans="2:15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36">
        <v>0</v>
      </c>
    </row>
    <row r="46" spans="2:15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8">
        <v>0</v>
      </c>
      <c r="M46" s="11"/>
      <c r="N46" s="11"/>
      <c r="O46" s="36">
        <v>0</v>
      </c>
    </row>
    <row r="47" spans="2:15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8">
        <v>0</v>
      </c>
      <c r="M47" s="11"/>
      <c r="N47" s="11"/>
      <c r="O47" s="36">
        <v>0</v>
      </c>
    </row>
    <row r="48" spans="2:15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/>
      <c r="N48" s="11"/>
      <c r="O48" s="36">
        <v>0</v>
      </c>
    </row>
    <row r="49" spans="2:18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8">
        <v>0</v>
      </c>
      <c r="M49" s="11"/>
      <c r="N49" s="11"/>
      <c r="O49" s="36">
        <v>0</v>
      </c>
    </row>
    <row r="50" spans="2:18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8">
        <v>0</v>
      </c>
      <c r="M50" s="11"/>
      <c r="N50" s="11"/>
      <c r="O50" s="36">
        <v>0</v>
      </c>
    </row>
    <row r="51" spans="2:18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8">
        <v>0</v>
      </c>
      <c r="M51" s="11"/>
      <c r="N51" s="11"/>
      <c r="O51" s="36">
        <v>0</v>
      </c>
    </row>
    <row r="52" spans="2:18" ht="22.2" x14ac:dyDescent="0.35">
      <c r="B52" s="11">
        <v>1111069</v>
      </c>
      <c r="C52" s="15" t="s">
        <v>63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8">
        <v>0</v>
      </c>
      <c r="M52" s="11"/>
      <c r="N52" s="11"/>
      <c r="O52" s="36">
        <v>0</v>
      </c>
      <c r="Q52" s="38"/>
      <c r="R52" s="37"/>
    </row>
    <row r="53" spans="2:18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36">
        <v>0</v>
      </c>
    </row>
    <row r="54" spans="2:18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36">
        <v>0</v>
      </c>
    </row>
    <row r="55" spans="2:18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36">
        <v>0</v>
      </c>
    </row>
    <row r="56" spans="2:18" ht="22.2" x14ac:dyDescent="0.25">
      <c r="B56" s="11">
        <v>1111074</v>
      </c>
      <c r="C56" s="15" t="s">
        <v>67</v>
      </c>
      <c r="D56" s="25">
        <v>0</v>
      </c>
      <c r="E56" s="25">
        <v>2</v>
      </c>
      <c r="F56" s="25">
        <v>7</v>
      </c>
      <c r="G56" s="25">
        <v>1</v>
      </c>
      <c r="H56" s="25">
        <v>0</v>
      </c>
      <c r="I56" s="25">
        <v>0</v>
      </c>
      <c r="J56" s="25">
        <v>0</v>
      </c>
      <c r="K56" s="25">
        <v>0</v>
      </c>
      <c r="L56" s="28">
        <v>10</v>
      </c>
      <c r="M56" s="11"/>
      <c r="N56" s="11"/>
      <c r="O56" s="36">
        <v>-10</v>
      </c>
    </row>
    <row r="57" spans="2:18" ht="22.2" x14ac:dyDescent="0.25">
      <c r="B57" s="11">
        <v>1111075</v>
      </c>
      <c r="C57" s="15" t="s">
        <v>68</v>
      </c>
      <c r="D57" s="25">
        <v>0</v>
      </c>
      <c r="E57" s="25">
        <v>2</v>
      </c>
      <c r="F57" s="25">
        <v>7</v>
      </c>
      <c r="G57" s="25">
        <v>1</v>
      </c>
      <c r="H57" s="25">
        <v>0</v>
      </c>
      <c r="I57" s="25">
        <v>0</v>
      </c>
      <c r="J57" s="25">
        <v>0</v>
      </c>
      <c r="K57" s="25">
        <v>0</v>
      </c>
      <c r="L57" s="28">
        <v>10</v>
      </c>
      <c r="M57" s="11"/>
      <c r="N57" s="11"/>
      <c r="O57" s="36">
        <v>-10</v>
      </c>
    </row>
    <row r="58" spans="2:18" ht="22.2" x14ac:dyDescent="0.25">
      <c r="B58" s="11">
        <v>1111076</v>
      </c>
      <c r="C58" s="15" t="s">
        <v>69</v>
      </c>
      <c r="D58" s="25">
        <v>0</v>
      </c>
      <c r="E58" s="25">
        <v>2</v>
      </c>
      <c r="F58" s="25">
        <v>7</v>
      </c>
      <c r="G58" s="25">
        <v>1</v>
      </c>
      <c r="H58" s="25">
        <v>0</v>
      </c>
      <c r="I58" s="25">
        <v>0</v>
      </c>
      <c r="J58" s="25">
        <v>0</v>
      </c>
      <c r="K58" s="25">
        <v>0</v>
      </c>
      <c r="L58" s="28">
        <v>10</v>
      </c>
      <c r="M58" s="11"/>
      <c r="N58" s="11"/>
      <c r="O58" s="36">
        <v>-10</v>
      </c>
    </row>
    <row r="59" spans="2:18" ht="22.2" x14ac:dyDescent="0.25">
      <c r="B59" s="11">
        <v>1111077</v>
      </c>
      <c r="C59" s="15" t="s">
        <v>70</v>
      </c>
      <c r="D59" s="25">
        <v>0</v>
      </c>
      <c r="E59" s="25">
        <v>2</v>
      </c>
      <c r="F59" s="25">
        <v>8</v>
      </c>
      <c r="G59" s="25">
        <v>1</v>
      </c>
      <c r="H59" s="25">
        <v>0</v>
      </c>
      <c r="I59" s="25">
        <v>0</v>
      </c>
      <c r="J59" s="25">
        <v>0</v>
      </c>
      <c r="K59" s="25">
        <v>0</v>
      </c>
      <c r="L59" s="28">
        <v>11</v>
      </c>
      <c r="M59" s="11"/>
      <c r="N59" s="11"/>
      <c r="O59" s="36">
        <v>-11</v>
      </c>
    </row>
    <row r="60" spans="2:18" ht="22.2" x14ac:dyDescent="0.25">
      <c r="B60" s="11">
        <v>1111078</v>
      </c>
      <c r="C60" s="15" t="s">
        <v>71</v>
      </c>
      <c r="D60" s="25">
        <v>0</v>
      </c>
      <c r="E60" s="25">
        <v>2</v>
      </c>
      <c r="F60" s="25">
        <v>7</v>
      </c>
      <c r="G60" s="25">
        <v>1</v>
      </c>
      <c r="H60" s="25">
        <v>0</v>
      </c>
      <c r="I60" s="25">
        <v>0</v>
      </c>
      <c r="J60" s="25">
        <v>0</v>
      </c>
      <c r="K60" s="25">
        <v>0</v>
      </c>
      <c r="L60" s="28">
        <v>10</v>
      </c>
      <c r="M60" s="11"/>
      <c r="N60" s="11"/>
      <c r="O60" s="36">
        <v>-10</v>
      </c>
    </row>
    <row r="61" spans="2:18" ht="22.2" x14ac:dyDescent="0.25">
      <c r="B61" s="11">
        <v>1111079</v>
      </c>
      <c r="C61" s="15" t="s">
        <v>72</v>
      </c>
      <c r="D61" s="25">
        <v>0</v>
      </c>
      <c r="E61" s="25">
        <v>2</v>
      </c>
      <c r="F61" s="25">
        <v>8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8">
        <v>10</v>
      </c>
      <c r="M61" s="11"/>
      <c r="N61" s="11"/>
      <c r="O61" s="36">
        <v>-10</v>
      </c>
    </row>
    <row r="62" spans="2:18" ht="22.2" x14ac:dyDescent="0.25">
      <c r="B62" s="11">
        <v>1111080</v>
      </c>
      <c r="C62" s="15" t="s">
        <v>73</v>
      </c>
      <c r="D62" s="25">
        <v>0</v>
      </c>
      <c r="E62" s="25">
        <v>2</v>
      </c>
      <c r="F62" s="25">
        <v>8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8">
        <v>10</v>
      </c>
      <c r="M62" s="11"/>
      <c r="N62" s="11"/>
      <c r="O62" s="36">
        <v>-10</v>
      </c>
    </row>
    <row r="63" spans="2:18" ht="22.2" x14ac:dyDescent="0.25">
      <c r="B63" s="11">
        <v>1111081</v>
      </c>
      <c r="C63" s="15" t="s">
        <v>74</v>
      </c>
      <c r="D63" s="25">
        <v>0</v>
      </c>
      <c r="E63" s="25">
        <v>2</v>
      </c>
      <c r="F63" s="25">
        <v>7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8">
        <v>9</v>
      </c>
      <c r="M63" s="11"/>
      <c r="N63" s="11"/>
      <c r="O63" s="36">
        <v>-9</v>
      </c>
    </row>
    <row r="64" spans="2:18" ht="22.2" x14ac:dyDescent="0.25">
      <c r="B64" s="11">
        <v>1111082</v>
      </c>
      <c r="C64" s="15" t="s">
        <v>75</v>
      </c>
      <c r="D64" s="25">
        <v>0</v>
      </c>
      <c r="E64" s="25">
        <v>2</v>
      </c>
      <c r="F64" s="25">
        <v>7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8">
        <v>9</v>
      </c>
      <c r="M64" s="11"/>
      <c r="N64" s="11"/>
      <c r="O64" s="36">
        <v>-9</v>
      </c>
    </row>
    <row r="65" spans="2:18" ht="22.2" x14ac:dyDescent="0.35">
      <c r="B65" s="11">
        <v>1111083</v>
      </c>
      <c r="C65" s="15" t="s">
        <v>76</v>
      </c>
      <c r="D65" s="25">
        <v>0</v>
      </c>
      <c r="E65" s="25">
        <v>2</v>
      </c>
      <c r="F65" s="25">
        <v>4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8">
        <v>6</v>
      </c>
      <c r="M65" s="11"/>
      <c r="N65" s="11"/>
      <c r="O65" s="36">
        <v>-6</v>
      </c>
      <c r="Q65" s="39"/>
      <c r="R65" s="37"/>
    </row>
    <row r="66" spans="2:18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36">
        <v>0</v>
      </c>
    </row>
    <row r="67" spans="2:18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36"/>
    </row>
    <row r="68" spans="2:18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0"/>
    </row>
    <row r="69" spans="2:18" ht="22.2" x14ac:dyDescent="0.25">
      <c r="B69" s="11">
        <v>1111009</v>
      </c>
      <c r="C69" s="18" t="s">
        <v>79</v>
      </c>
      <c r="D69" s="25">
        <v>6</v>
      </c>
      <c r="E69" s="25">
        <v>4</v>
      </c>
      <c r="F69" s="25">
        <v>5</v>
      </c>
      <c r="G69" s="25">
        <v>1</v>
      </c>
      <c r="H69" s="25">
        <v>0</v>
      </c>
      <c r="I69" s="25">
        <v>0</v>
      </c>
      <c r="J69" s="25">
        <v>0</v>
      </c>
      <c r="K69" s="25">
        <v>5</v>
      </c>
      <c r="L69" s="28">
        <v>21</v>
      </c>
      <c r="M69" s="11"/>
      <c r="N69" s="11"/>
      <c r="O69" s="36">
        <v>-21</v>
      </c>
    </row>
    <row r="70" spans="2:18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36">
        <v>0</v>
      </c>
    </row>
    <row r="71" spans="2:18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36">
        <v>0</v>
      </c>
    </row>
    <row r="72" spans="2:18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36">
        <v>0</v>
      </c>
    </row>
    <row r="73" spans="2:18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36">
        <v>0</v>
      </c>
    </row>
    <row r="74" spans="2:18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36">
        <v>0</v>
      </c>
    </row>
    <row r="75" spans="2:18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36">
        <v>0</v>
      </c>
    </row>
    <row r="76" spans="2:18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36">
        <v>0</v>
      </c>
    </row>
    <row r="77" spans="2:18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36">
        <v>0</v>
      </c>
    </row>
    <row r="78" spans="2:18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60"/>
    </row>
    <row r="79" spans="2:18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36">
        <v>0</v>
      </c>
    </row>
    <row r="80" spans="2:18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36">
        <v>0</v>
      </c>
    </row>
    <row r="81" spans="2:15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36">
        <v>0</v>
      </c>
    </row>
    <row r="82" spans="2:15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36">
        <v>0</v>
      </c>
    </row>
    <row r="83" spans="2:15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36">
        <v>0</v>
      </c>
    </row>
    <row r="84" spans="2:15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36">
        <v>0</v>
      </c>
    </row>
    <row r="85" spans="2:15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36">
        <v>0</v>
      </c>
    </row>
    <row r="86" spans="2:15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36">
        <v>0</v>
      </c>
    </row>
    <row r="87" spans="2:15" ht="22.2" x14ac:dyDescent="0.25">
      <c r="B87" s="11">
        <v>1111008</v>
      </c>
      <c r="C87" s="18" t="s">
        <v>96</v>
      </c>
      <c r="D87" s="25">
        <v>0</v>
      </c>
      <c r="E87" s="25">
        <v>18</v>
      </c>
      <c r="F87" s="25">
        <v>3</v>
      </c>
      <c r="G87" s="25">
        <v>513</v>
      </c>
      <c r="H87" s="25">
        <v>0</v>
      </c>
      <c r="I87" s="25">
        <v>0</v>
      </c>
      <c r="J87" s="25">
        <v>0</v>
      </c>
      <c r="K87" s="25">
        <v>5</v>
      </c>
      <c r="L87" s="28">
        <v>539</v>
      </c>
      <c r="M87" s="11"/>
      <c r="N87" s="11"/>
      <c r="O87" s="36">
        <v>-539</v>
      </c>
    </row>
    <row r="88" spans="2:15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36">
        <v>0</v>
      </c>
    </row>
    <row r="89" spans="2:15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60"/>
    </row>
    <row r="90" spans="2:15" ht="22.2" x14ac:dyDescent="0.25">
      <c r="B90" s="11">
        <v>1112009</v>
      </c>
      <c r="C90" s="18" t="s">
        <v>98</v>
      </c>
      <c r="D90" s="25">
        <v>11</v>
      </c>
      <c r="E90" s="25">
        <v>20</v>
      </c>
      <c r="F90" s="25">
        <v>24</v>
      </c>
      <c r="G90" s="25">
        <v>172</v>
      </c>
      <c r="H90" s="25">
        <v>0</v>
      </c>
      <c r="I90" s="25">
        <v>0</v>
      </c>
      <c r="J90" s="25">
        <v>0</v>
      </c>
      <c r="K90" s="25">
        <v>5</v>
      </c>
      <c r="L90" s="28">
        <v>232</v>
      </c>
      <c r="M90" s="11"/>
      <c r="N90" s="11"/>
      <c r="O90" s="36">
        <v>-232</v>
      </c>
    </row>
    <row r="91" spans="2:15" ht="22.2" x14ac:dyDescent="0.25">
      <c r="B91" s="11">
        <v>1112011</v>
      </c>
      <c r="C91" s="18" t="s">
        <v>99</v>
      </c>
      <c r="D91" s="25">
        <v>16</v>
      </c>
      <c r="E91" s="25">
        <v>23</v>
      </c>
      <c r="F91" s="25">
        <v>38</v>
      </c>
      <c r="G91" s="25">
        <v>173</v>
      </c>
      <c r="H91" s="25">
        <v>0</v>
      </c>
      <c r="I91" s="25">
        <v>0</v>
      </c>
      <c r="J91" s="25">
        <v>0</v>
      </c>
      <c r="K91" s="25">
        <v>6</v>
      </c>
      <c r="L91" s="28">
        <v>256</v>
      </c>
      <c r="M91" s="11"/>
      <c r="N91" s="11"/>
      <c r="O91" s="36">
        <v>-256</v>
      </c>
    </row>
    <row r="92" spans="2:15" ht="22.2" x14ac:dyDescent="0.25">
      <c r="B92" s="11">
        <v>1112003</v>
      </c>
      <c r="C92" s="18" t="s">
        <v>100</v>
      </c>
      <c r="D92" s="25">
        <v>13</v>
      </c>
      <c r="E92" s="25">
        <v>0</v>
      </c>
      <c r="F92" s="25">
        <v>1</v>
      </c>
      <c r="G92" s="25">
        <v>145</v>
      </c>
      <c r="H92" s="25">
        <v>0</v>
      </c>
      <c r="I92" s="25">
        <v>0</v>
      </c>
      <c r="J92" s="25">
        <v>0</v>
      </c>
      <c r="K92" s="25">
        <v>0</v>
      </c>
      <c r="L92" s="28">
        <v>159</v>
      </c>
      <c r="M92" s="11"/>
      <c r="N92" s="11"/>
      <c r="O92" s="36">
        <v>-159</v>
      </c>
    </row>
    <row r="93" spans="2:15" ht="22.2" x14ac:dyDescent="0.25">
      <c r="B93" s="11">
        <v>1112005</v>
      </c>
      <c r="C93" s="18" t="s">
        <v>101</v>
      </c>
      <c r="D93" s="25">
        <v>11</v>
      </c>
      <c r="E93" s="25">
        <v>0</v>
      </c>
      <c r="F93" s="25">
        <v>0</v>
      </c>
      <c r="G93" s="25">
        <v>48</v>
      </c>
      <c r="H93" s="25">
        <v>0</v>
      </c>
      <c r="I93" s="25">
        <v>0</v>
      </c>
      <c r="J93" s="25">
        <v>0</v>
      </c>
      <c r="K93" s="25">
        <v>0</v>
      </c>
      <c r="L93" s="28">
        <v>59</v>
      </c>
      <c r="M93" s="11"/>
      <c r="N93" s="11"/>
      <c r="O93" s="36">
        <v>-59</v>
      </c>
    </row>
    <row r="94" spans="2:15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36">
        <v>0</v>
      </c>
    </row>
    <row r="95" spans="2:15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36">
        <v>0</v>
      </c>
    </row>
    <row r="96" spans="2:15" ht="22.2" x14ac:dyDescent="0.25">
      <c r="B96" s="11">
        <v>1112017</v>
      </c>
      <c r="C96" s="18" t="s">
        <v>104</v>
      </c>
      <c r="D96" s="25">
        <v>15</v>
      </c>
      <c r="E96" s="25">
        <v>0</v>
      </c>
      <c r="F96" s="25">
        <v>1</v>
      </c>
      <c r="G96" s="25">
        <v>145</v>
      </c>
      <c r="H96" s="25">
        <v>0</v>
      </c>
      <c r="I96" s="25">
        <v>0</v>
      </c>
      <c r="J96" s="25">
        <v>0</v>
      </c>
      <c r="K96" s="25">
        <v>0</v>
      </c>
      <c r="L96" s="28">
        <v>161</v>
      </c>
      <c r="M96" s="11"/>
      <c r="N96" s="11"/>
      <c r="O96" s="36">
        <v>-161</v>
      </c>
    </row>
    <row r="97" spans="2:15" ht="22.2" x14ac:dyDescent="0.25">
      <c r="B97" s="11">
        <v>1112015</v>
      </c>
      <c r="C97" s="18" t="s">
        <v>105</v>
      </c>
      <c r="D97" s="25">
        <v>10</v>
      </c>
      <c r="E97" s="25">
        <v>0</v>
      </c>
      <c r="F97" s="25">
        <v>1</v>
      </c>
      <c r="G97" s="25">
        <v>145</v>
      </c>
      <c r="H97" s="25">
        <v>0</v>
      </c>
      <c r="I97" s="25">
        <v>0</v>
      </c>
      <c r="J97" s="25">
        <v>0</v>
      </c>
      <c r="K97" s="25">
        <v>0</v>
      </c>
      <c r="L97" s="28">
        <v>156</v>
      </c>
      <c r="M97" s="11"/>
      <c r="N97" s="11"/>
      <c r="O97" s="36">
        <v>-156</v>
      </c>
    </row>
    <row r="98" spans="2:15" ht="22.2" x14ac:dyDescent="0.25">
      <c r="B98" s="11">
        <v>1112013</v>
      </c>
      <c r="C98" s="18" t="s">
        <v>106</v>
      </c>
      <c r="D98" s="25">
        <v>11</v>
      </c>
      <c r="E98" s="25">
        <v>22</v>
      </c>
      <c r="F98" s="25">
        <v>18</v>
      </c>
      <c r="G98" s="25">
        <v>171</v>
      </c>
      <c r="H98" s="25">
        <v>0</v>
      </c>
      <c r="I98" s="25">
        <v>0</v>
      </c>
      <c r="J98" s="25">
        <v>0</v>
      </c>
      <c r="K98" s="25">
        <v>6</v>
      </c>
      <c r="L98" s="28">
        <v>228</v>
      </c>
      <c r="M98" s="11"/>
      <c r="N98" s="11"/>
      <c r="O98" s="36">
        <v>-228</v>
      </c>
    </row>
    <row r="99" spans="2:15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36"/>
    </row>
    <row r="100" spans="2:15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1251</v>
      </c>
      <c r="M100" s="11"/>
      <c r="N100" s="11"/>
      <c r="O100" s="36"/>
    </row>
    <row r="101" spans="2:15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60"/>
    </row>
    <row r="102" spans="2:15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36">
        <v>0</v>
      </c>
    </row>
    <row r="103" spans="2:15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36">
        <v>0</v>
      </c>
    </row>
    <row r="104" spans="2:15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36">
        <v>0</v>
      </c>
    </row>
    <row r="105" spans="2:15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36">
        <v>0</v>
      </c>
    </row>
    <row r="106" spans="2:15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36">
        <v>0</v>
      </c>
    </row>
    <row r="107" spans="2:15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36">
        <v>0</v>
      </c>
    </row>
    <row r="108" spans="2:15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36">
        <v>0</v>
      </c>
    </row>
    <row r="109" spans="2:15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36">
        <v>0</v>
      </c>
    </row>
    <row r="110" spans="2:15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36">
        <v>0</v>
      </c>
    </row>
    <row r="111" spans="2:15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36">
        <v>0</v>
      </c>
    </row>
    <row r="112" spans="2:15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36">
        <v>0</v>
      </c>
    </row>
    <row r="113" spans="2:15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60"/>
    </row>
    <row r="114" spans="2:15" ht="22.2" x14ac:dyDescent="0.25">
      <c r="B114" s="11">
        <v>1113170</v>
      </c>
      <c r="C114" s="20" t="s">
        <v>110</v>
      </c>
      <c r="D114" s="25">
        <v>1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8">
        <v>1</v>
      </c>
      <c r="M114" s="11"/>
      <c r="N114" s="11"/>
      <c r="O114" s="36">
        <v>-1</v>
      </c>
    </row>
    <row r="115" spans="2:15" ht="22.2" x14ac:dyDescent="0.25">
      <c r="B115" s="11">
        <v>1113171</v>
      </c>
      <c r="C115" s="20" t="s">
        <v>111</v>
      </c>
      <c r="D115" s="25">
        <v>2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2</v>
      </c>
      <c r="M115" s="11"/>
      <c r="N115" s="11"/>
      <c r="O115" s="36">
        <v>-2</v>
      </c>
    </row>
    <row r="116" spans="2:15" ht="22.2" x14ac:dyDescent="0.25">
      <c r="B116" s="11">
        <v>1113172</v>
      </c>
      <c r="C116" s="20" t="s">
        <v>112</v>
      </c>
      <c r="D116" s="25">
        <v>1</v>
      </c>
      <c r="E116" s="25">
        <v>0</v>
      </c>
      <c r="F116" s="25">
        <v>0</v>
      </c>
      <c r="G116" s="25">
        <v>2</v>
      </c>
      <c r="H116" s="25">
        <v>0</v>
      </c>
      <c r="I116" s="25">
        <v>0</v>
      </c>
      <c r="J116" s="25">
        <v>0</v>
      </c>
      <c r="K116" s="25">
        <v>0</v>
      </c>
      <c r="L116" s="28">
        <v>3</v>
      </c>
      <c r="M116" s="11"/>
      <c r="N116" s="11"/>
      <c r="O116" s="36">
        <v>-3</v>
      </c>
    </row>
    <row r="117" spans="2:15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36">
        <v>0</v>
      </c>
    </row>
    <row r="118" spans="2:15" ht="22.2" x14ac:dyDescent="0.25">
      <c r="B118" s="11">
        <v>1100003</v>
      </c>
      <c r="C118" s="20" t="s">
        <v>114</v>
      </c>
      <c r="D118" s="25">
        <v>0</v>
      </c>
      <c r="E118" s="25">
        <v>13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13</v>
      </c>
      <c r="M118" s="11"/>
      <c r="N118" s="11"/>
      <c r="O118" s="36">
        <v>-13</v>
      </c>
    </row>
    <row r="119" spans="2:15" ht="22.2" x14ac:dyDescent="0.25">
      <c r="B119" s="11">
        <v>1100001</v>
      </c>
      <c r="C119" s="20" t="s">
        <v>115</v>
      </c>
      <c r="D119" s="25">
        <v>0</v>
      </c>
      <c r="E119" s="25">
        <v>10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10</v>
      </c>
      <c r="M119" s="11"/>
      <c r="N119" s="11"/>
      <c r="O119" s="36">
        <v>-10</v>
      </c>
    </row>
    <row r="120" spans="2:15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0</v>
      </c>
      <c r="M120" s="11"/>
      <c r="N120" s="11"/>
      <c r="O120" s="36">
        <v>0</v>
      </c>
    </row>
    <row r="121" spans="2:15" ht="22.2" x14ac:dyDescent="0.25">
      <c r="B121" s="11">
        <v>1200001</v>
      </c>
      <c r="C121" s="20" t="s">
        <v>117</v>
      </c>
      <c r="D121" s="25">
        <v>0</v>
      </c>
      <c r="E121" s="25">
        <v>4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4</v>
      </c>
      <c r="M121" s="11"/>
      <c r="N121" s="11"/>
      <c r="O121" s="36">
        <v>-4</v>
      </c>
    </row>
    <row r="122" spans="2:15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36">
        <v>0</v>
      </c>
    </row>
    <row r="123" spans="2:15" ht="22.2" x14ac:dyDescent="0.25">
      <c r="B123" s="11">
        <v>1114501</v>
      </c>
      <c r="C123" s="20" t="s">
        <v>119</v>
      </c>
      <c r="D123" s="25">
        <v>0</v>
      </c>
      <c r="E123" s="25">
        <v>2</v>
      </c>
      <c r="F123" s="25">
        <v>5</v>
      </c>
      <c r="G123" s="25">
        <v>1</v>
      </c>
      <c r="H123" s="25">
        <v>0</v>
      </c>
      <c r="I123" s="25">
        <v>0</v>
      </c>
      <c r="J123" s="25">
        <v>0</v>
      </c>
      <c r="K123" s="25">
        <v>0</v>
      </c>
      <c r="L123" s="28">
        <v>8</v>
      </c>
      <c r="M123" s="11"/>
      <c r="N123" s="11"/>
      <c r="O123" s="36">
        <v>-8</v>
      </c>
    </row>
    <row r="124" spans="2:15" ht="22.2" x14ac:dyDescent="0.25">
      <c r="B124" s="11">
        <v>1114502</v>
      </c>
      <c r="C124" s="20" t="s">
        <v>120</v>
      </c>
      <c r="D124" s="25">
        <v>0</v>
      </c>
      <c r="E124" s="25">
        <v>17</v>
      </c>
      <c r="F124" s="25">
        <v>6</v>
      </c>
      <c r="G124" s="25">
        <v>0</v>
      </c>
      <c r="H124" s="25">
        <v>0</v>
      </c>
      <c r="I124" s="25">
        <v>0</v>
      </c>
      <c r="J124" s="25">
        <v>0</v>
      </c>
      <c r="K124" s="25">
        <v>0</v>
      </c>
      <c r="L124" s="28">
        <v>23</v>
      </c>
      <c r="M124" s="11"/>
      <c r="N124" s="11"/>
      <c r="O124" s="36">
        <v>-23</v>
      </c>
    </row>
    <row r="125" spans="2:15" ht="22.2" x14ac:dyDescent="0.25">
      <c r="B125" s="11">
        <v>1114503</v>
      </c>
      <c r="C125" s="20" t="s">
        <v>121</v>
      </c>
      <c r="D125" s="25">
        <v>0</v>
      </c>
      <c r="E125" s="25">
        <v>0</v>
      </c>
      <c r="F125" s="25">
        <v>7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8">
        <v>7</v>
      </c>
      <c r="M125" s="11"/>
      <c r="N125" s="11"/>
      <c r="O125" s="36">
        <v>-7</v>
      </c>
    </row>
    <row r="126" spans="2:15" ht="22.2" x14ac:dyDescent="0.25">
      <c r="B126" s="11">
        <v>1124021</v>
      </c>
      <c r="C126" s="20" t="s">
        <v>122</v>
      </c>
      <c r="D126" s="25">
        <v>0</v>
      </c>
      <c r="E126" s="25">
        <v>24</v>
      </c>
      <c r="F126" s="25">
        <v>32</v>
      </c>
      <c r="G126" s="25">
        <v>173</v>
      </c>
      <c r="H126" s="25">
        <v>0</v>
      </c>
      <c r="I126" s="25">
        <v>0</v>
      </c>
      <c r="J126" s="25">
        <v>0</v>
      </c>
      <c r="K126" s="25">
        <v>0</v>
      </c>
      <c r="L126" s="28">
        <v>229</v>
      </c>
      <c r="M126" s="11"/>
      <c r="N126" s="11"/>
      <c r="O126" s="36">
        <v>-229</v>
      </c>
    </row>
    <row r="127" spans="2:15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36">
        <v>0</v>
      </c>
    </row>
    <row r="128" spans="2:15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36">
        <v>0</v>
      </c>
    </row>
    <row r="129" spans="2:15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36">
        <v>0</v>
      </c>
    </row>
    <row r="130" spans="2:15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/>
      <c r="O130" s="36">
        <v>0</v>
      </c>
    </row>
    <row r="131" spans="2:15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36">
        <v>0</v>
      </c>
    </row>
    <row r="132" spans="2:15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36">
        <v>0</v>
      </c>
    </row>
    <row r="133" spans="2:15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36">
        <v>0</v>
      </c>
    </row>
    <row r="134" spans="2:15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36">
        <v>0</v>
      </c>
    </row>
    <row r="135" spans="2:15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36">
        <v>0</v>
      </c>
    </row>
    <row r="136" spans="2:15" ht="22.2" x14ac:dyDescent="0.25">
      <c r="B136" s="21"/>
      <c r="C136" s="20" t="s">
        <v>132</v>
      </c>
      <c r="D136" s="25">
        <v>0</v>
      </c>
      <c r="E136" s="25">
        <v>3</v>
      </c>
      <c r="F136" s="25">
        <v>9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12</v>
      </c>
      <c r="M136" s="11"/>
      <c r="N136" s="11"/>
      <c r="O136" s="36">
        <v>-12</v>
      </c>
    </row>
    <row r="137" spans="2:15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36">
        <v>0</v>
      </c>
    </row>
    <row r="138" spans="2:15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36">
        <v>0</v>
      </c>
    </row>
    <row r="139" spans="2:15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36">
        <v>0</v>
      </c>
    </row>
    <row r="140" spans="2:15" ht="22.2" x14ac:dyDescent="0.25">
      <c r="C140" s="27"/>
      <c r="D140" s="28">
        <v>112</v>
      </c>
      <c r="E140" s="28">
        <v>399</v>
      </c>
      <c r="F140" s="28">
        <v>311</v>
      </c>
      <c r="G140" s="28">
        <v>2270</v>
      </c>
      <c r="H140" s="28">
        <v>0</v>
      </c>
      <c r="I140" s="28">
        <v>0</v>
      </c>
      <c r="J140" s="28">
        <v>0</v>
      </c>
      <c r="K140" s="28">
        <v>1062</v>
      </c>
      <c r="L140" s="28">
        <v>4154</v>
      </c>
      <c r="M140" s="25">
        <v>0</v>
      </c>
      <c r="N140" s="25">
        <v>0</v>
      </c>
      <c r="O140" s="36">
        <v>-4154</v>
      </c>
    </row>
    <row r="141" spans="2:15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5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5" ht="22.2" x14ac:dyDescent="0.25">
      <c r="C143" s="22"/>
      <c r="D143" s="26"/>
      <c r="E143" s="61"/>
      <c r="F143" s="61"/>
      <c r="G143" s="23"/>
      <c r="L143" s="32"/>
    </row>
  </sheetData>
  <mergeCells count="13">
    <mergeCell ref="B1:L1"/>
    <mergeCell ref="B2:C3"/>
    <mergeCell ref="E2:F3"/>
    <mergeCell ref="M2:M4"/>
    <mergeCell ref="O2:O4"/>
    <mergeCell ref="B101:O101"/>
    <mergeCell ref="B113:O113"/>
    <mergeCell ref="E143:F143"/>
    <mergeCell ref="B89:O89"/>
    <mergeCell ref="N2:N4"/>
    <mergeCell ref="B6:O6"/>
    <mergeCell ref="B68:O68"/>
    <mergeCell ref="B78:O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86CD-7662-400B-9C68-E08A7C2D7700}">
  <dimension ref="B1:O143"/>
  <sheetViews>
    <sheetView workbookViewId="0">
      <selection activeCell="S16" sqref="S16"/>
    </sheetView>
  </sheetViews>
  <sheetFormatPr defaultRowHeight="13.8" x14ac:dyDescent="0.25"/>
  <sheetData>
    <row r="1" spans="2:15" ht="22.2" x14ac:dyDescent="0.25">
      <c r="B1" s="50" t="s">
        <v>136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5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62" t="s">
        <v>4</v>
      </c>
    </row>
    <row r="3" spans="2:15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63"/>
    </row>
    <row r="4" spans="2:15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64"/>
    </row>
    <row r="5" spans="2:15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24"/>
    </row>
    <row r="6" spans="2:15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2:15" ht="22.2" x14ac:dyDescent="0.25">
      <c r="B7" s="11">
        <v>1111002</v>
      </c>
      <c r="C7" s="15" t="s">
        <v>18</v>
      </c>
      <c r="D7" s="25">
        <v>38</v>
      </c>
      <c r="E7" s="25">
        <v>251</v>
      </c>
      <c r="F7" s="25">
        <v>57</v>
      </c>
      <c r="G7" s="25">
        <v>5</v>
      </c>
      <c r="H7" s="25">
        <v>17</v>
      </c>
      <c r="I7" s="25">
        <v>0</v>
      </c>
      <c r="J7" s="25">
        <v>0</v>
      </c>
      <c r="K7" s="25">
        <v>0</v>
      </c>
      <c r="L7" s="28">
        <v>368</v>
      </c>
      <c r="M7" s="11"/>
      <c r="N7" s="11"/>
      <c r="O7" s="36">
        <v>-368</v>
      </c>
    </row>
    <row r="8" spans="2:15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36">
        <v>0</v>
      </c>
    </row>
    <row r="9" spans="2:15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36">
        <v>0</v>
      </c>
    </row>
    <row r="10" spans="2:15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36">
        <v>0</v>
      </c>
    </row>
    <row r="11" spans="2:15" ht="22.2" x14ac:dyDescent="0.25">
      <c r="B11" s="11">
        <v>1111086</v>
      </c>
      <c r="C11" s="15" t="s">
        <v>22</v>
      </c>
      <c r="D11" s="25">
        <v>20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20</v>
      </c>
      <c r="M11" s="11"/>
      <c r="N11" s="11"/>
      <c r="O11" s="36">
        <v>-20</v>
      </c>
    </row>
    <row r="12" spans="2:15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36">
        <v>0</v>
      </c>
    </row>
    <row r="13" spans="2:15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36">
        <v>0</v>
      </c>
    </row>
    <row r="14" spans="2:15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36">
        <v>0</v>
      </c>
    </row>
    <row r="15" spans="2:15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36">
        <v>0</v>
      </c>
    </row>
    <row r="16" spans="2:15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36">
        <v>0</v>
      </c>
    </row>
    <row r="17" spans="2:15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36">
        <v>0</v>
      </c>
    </row>
    <row r="18" spans="2:15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36">
        <v>0</v>
      </c>
    </row>
    <row r="19" spans="2:15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36">
        <v>0</v>
      </c>
    </row>
    <row r="20" spans="2:15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36">
        <v>0</v>
      </c>
    </row>
    <row r="21" spans="2:15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36">
        <v>0</v>
      </c>
    </row>
    <row r="22" spans="2:15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36">
        <v>0</v>
      </c>
    </row>
    <row r="23" spans="2:15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36">
        <v>0</v>
      </c>
    </row>
    <row r="24" spans="2:15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36">
        <v>0</v>
      </c>
    </row>
    <row r="25" spans="2:15" ht="22.2" x14ac:dyDescent="0.25">
      <c r="B25" s="11">
        <v>1111056</v>
      </c>
      <c r="C25" s="15" t="s">
        <v>36</v>
      </c>
      <c r="D25" s="25">
        <v>8</v>
      </c>
      <c r="E25" s="25">
        <v>21</v>
      </c>
      <c r="F25" s="25">
        <v>19</v>
      </c>
      <c r="G25" s="25">
        <v>1</v>
      </c>
      <c r="H25" s="25">
        <v>0</v>
      </c>
      <c r="I25" s="25">
        <v>0</v>
      </c>
      <c r="J25" s="25">
        <v>0</v>
      </c>
      <c r="K25" s="25">
        <v>0</v>
      </c>
      <c r="L25" s="28">
        <v>49</v>
      </c>
      <c r="M25" s="11"/>
      <c r="N25" s="11"/>
      <c r="O25" s="36">
        <v>-49</v>
      </c>
    </row>
    <row r="26" spans="2:15" ht="22.2" x14ac:dyDescent="0.25">
      <c r="B26" s="11">
        <v>1004055</v>
      </c>
      <c r="C26" s="15" t="s">
        <v>37</v>
      </c>
      <c r="D26" s="25">
        <v>15</v>
      </c>
      <c r="E26" s="25">
        <v>22</v>
      </c>
      <c r="F26" s="25">
        <v>45</v>
      </c>
      <c r="G26" s="25">
        <v>424</v>
      </c>
      <c r="H26" s="25">
        <v>194</v>
      </c>
      <c r="I26" s="25">
        <v>0</v>
      </c>
      <c r="J26" s="25">
        <v>0</v>
      </c>
      <c r="K26" s="25">
        <v>0</v>
      </c>
      <c r="L26" s="28">
        <v>700</v>
      </c>
      <c r="M26" s="11"/>
      <c r="N26" s="11"/>
      <c r="O26" s="36">
        <v>-700</v>
      </c>
    </row>
    <row r="27" spans="2:15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36">
        <v>0</v>
      </c>
    </row>
    <row r="28" spans="2:15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36">
        <v>0</v>
      </c>
    </row>
    <row r="29" spans="2:15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36">
        <v>0</v>
      </c>
    </row>
    <row r="30" spans="2:15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36">
        <v>0</v>
      </c>
    </row>
    <row r="31" spans="2:15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36">
        <v>0</v>
      </c>
    </row>
    <row r="32" spans="2:15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36">
        <v>0</v>
      </c>
    </row>
    <row r="33" spans="2:15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36">
        <v>0</v>
      </c>
    </row>
    <row r="34" spans="2:15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36">
        <v>0</v>
      </c>
    </row>
    <row r="35" spans="2:15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36">
        <v>0</v>
      </c>
    </row>
    <row r="36" spans="2:15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36">
        <v>0</v>
      </c>
    </row>
    <row r="37" spans="2:15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36">
        <v>0</v>
      </c>
    </row>
    <row r="38" spans="2:15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36">
        <v>0</v>
      </c>
    </row>
    <row r="39" spans="2:15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36">
        <v>0</v>
      </c>
    </row>
    <row r="40" spans="2:15" ht="22.2" x14ac:dyDescent="0.25">
      <c r="B40" s="11">
        <v>1111057</v>
      </c>
      <c r="C40" s="15" t="s">
        <v>51</v>
      </c>
      <c r="D40" s="25">
        <v>0</v>
      </c>
      <c r="E40" s="25">
        <v>0</v>
      </c>
      <c r="F40" s="25">
        <v>1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8">
        <v>1</v>
      </c>
      <c r="M40" s="11"/>
      <c r="N40" s="11"/>
      <c r="O40" s="36">
        <v>-1</v>
      </c>
    </row>
    <row r="41" spans="2:15" ht="22.2" x14ac:dyDescent="0.25">
      <c r="B41" s="11">
        <v>1111058</v>
      </c>
      <c r="C41" s="15" t="s">
        <v>52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8">
        <v>0</v>
      </c>
      <c r="M41" s="11"/>
      <c r="N41" s="11"/>
      <c r="O41" s="36">
        <v>0</v>
      </c>
    </row>
    <row r="42" spans="2:15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25">
        <v>0</v>
      </c>
      <c r="G42" s="25">
        <v>5</v>
      </c>
      <c r="H42" s="25">
        <v>0</v>
      </c>
      <c r="I42" s="25">
        <v>0</v>
      </c>
      <c r="J42" s="25">
        <v>0</v>
      </c>
      <c r="K42" s="25">
        <v>0</v>
      </c>
      <c r="L42" s="28">
        <v>5</v>
      </c>
      <c r="M42" s="11"/>
      <c r="N42" s="11"/>
      <c r="O42" s="36">
        <v>-5</v>
      </c>
    </row>
    <row r="43" spans="2:15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/>
      <c r="N43" s="11"/>
      <c r="O43" s="36">
        <v>0</v>
      </c>
    </row>
    <row r="44" spans="2:15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8">
        <v>0</v>
      </c>
      <c r="M44" s="11"/>
      <c r="N44" s="11"/>
      <c r="O44" s="36">
        <v>0</v>
      </c>
    </row>
    <row r="45" spans="2:15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36">
        <v>0</v>
      </c>
    </row>
    <row r="46" spans="2:15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8">
        <v>0</v>
      </c>
      <c r="M46" s="11"/>
      <c r="N46" s="11"/>
      <c r="O46" s="36">
        <v>0</v>
      </c>
    </row>
    <row r="47" spans="2:15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8">
        <v>0</v>
      </c>
      <c r="M47" s="11"/>
      <c r="N47" s="11"/>
      <c r="O47" s="36">
        <v>0</v>
      </c>
    </row>
    <row r="48" spans="2:15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/>
      <c r="N48" s="11"/>
      <c r="O48" s="36">
        <v>0</v>
      </c>
    </row>
    <row r="49" spans="2:15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8">
        <v>0</v>
      </c>
      <c r="M49" s="11"/>
      <c r="N49" s="11"/>
      <c r="O49" s="36">
        <v>0</v>
      </c>
    </row>
    <row r="50" spans="2:15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25">
        <v>0</v>
      </c>
      <c r="G50" s="25">
        <v>5</v>
      </c>
      <c r="H50" s="25">
        <v>0</v>
      </c>
      <c r="I50" s="25">
        <v>0</v>
      </c>
      <c r="J50" s="25">
        <v>0</v>
      </c>
      <c r="K50" s="25">
        <v>0</v>
      </c>
      <c r="L50" s="28">
        <v>5</v>
      </c>
      <c r="M50" s="11"/>
      <c r="N50" s="11"/>
      <c r="O50" s="36">
        <v>-5</v>
      </c>
    </row>
    <row r="51" spans="2:15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8">
        <v>0</v>
      </c>
      <c r="M51" s="11"/>
      <c r="N51" s="11"/>
      <c r="O51" s="36">
        <v>0</v>
      </c>
    </row>
    <row r="52" spans="2:15" ht="22.2" x14ac:dyDescent="0.25">
      <c r="B52" s="11">
        <v>1111069</v>
      </c>
      <c r="C52" s="15" t="s">
        <v>63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8">
        <v>0</v>
      </c>
      <c r="M52" s="11"/>
      <c r="N52" s="11"/>
      <c r="O52" s="36">
        <v>0</v>
      </c>
    </row>
    <row r="53" spans="2:15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36">
        <v>0</v>
      </c>
    </row>
    <row r="54" spans="2:15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36">
        <v>0</v>
      </c>
    </row>
    <row r="55" spans="2:15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36">
        <v>0</v>
      </c>
    </row>
    <row r="56" spans="2:15" ht="22.2" x14ac:dyDescent="0.25">
      <c r="B56" s="11">
        <v>1111074</v>
      </c>
      <c r="C56" s="15" t="s">
        <v>67</v>
      </c>
      <c r="D56" s="25">
        <v>0</v>
      </c>
      <c r="E56" s="25">
        <v>10</v>
      </c>
      <c r="F56" s="25">
        <v>6</v>
      </c>
      <c r="G56" s="25">
        <v>0</v>
      </c>
      <c r="H56" s="25">
        <v>1</v>
      </c>
      <c r="I56" s="25">
        <v>0</v>
      </c>
      <c r="J56" s="25">
        <v>0</v>
      </c>
      <c r="K56" s="25">
        <v>0</v>
      </c>
      <c r="L56" s="28">
        <v>17</v>
      </c>
      <c r="M56" s="11"/>
      <c r="N56" s="11"/>
      <c r="O56" s="36">
        <v>-17</v>
      </c>
    </row>
    <row r="57" spans="2:15" ht="22.2" x14ac:dyDescent="0.25">
      <c r="B57" s="11">
        <v>1111075</v>
      </c>
      <c r="C57" s="15" t="s">
        <v>68</v>
      </c>
      <c r="D57" s="25">
        <v>0</v>
      </c>
      <c r="E57" s="25">
        <v>10</v>
      </c>
      <c r="F57" s="25">
        <v>6</v>
      </c>
      <c r="G57" s="25">
        <v>0</v>
      </c>
      <c r="H57" s="25">
        <v>1</v>
      </c>
      <c r="I57" s="25">
        <v>0</v>
      </c>
      <c r="J57" s="25">
        <v>0</v>
      </c>
      <c r="K57" s="25">
        <v>0</v>
      </c>
      <c r="L57" s="28">
        <v>17</v>
      </c>
      <c r="M57" s="11"/>
      <c r="N57" s="11"/>
      <c r="O57" s="36">
        <v>-17</v>
      </c>
    </row>
    <row r="58" spans="2:15" ht="22.2" x14ac:dyDescent="0.25">
      <c r="B58" s="11">
        <v>1111076</v>
      </c>
      <c r="C58" s="15" t="s">
        <v>69</v>
      </c>
      <c r="D58" s="25">
        <v>0</v>
      </c>
      <c r="E58" s="25">
        <v>10</v>
      </c>
      <c r="F58" s="25">
        <v>5</v>
      </c>
      <c r="G58" s="25">
        <v>0</v>
      </c>
      <c r="H58" s="25">
        <v>1</v>
      </c>
      <c r="I58" s="25">
        <v>0</v>
      </c>
      <c r="J58" s="25">
        <v>0</v>
      </c>
      <c r="K58" s="25">
        <v>0</v>
      </c>
      <c r="L58" s="28">
        <v>16</v>
      </c>
      <c r="M58" s="11"/>
      <c r="N58" s="11"/>
      <c r="O58" s="36">
        <v>-16</v>
      </c>
    </row>
    <row r="59" spans="2:15" ht="22.2" x14ac:dyDescent="0.25">
      <c r="B59" s="11">
        <v>1111077</v>
      </c>
      <c r="C59" s="15" t="s">
        <v>70</v>
      </c>
      <c r="D59" s="25">
        <v>0</v>
      </c>
      <c r="E59" s="25">
        <v>10</v>
      </c>
      <c r="F59" s="25">
        <v>6</v>
      </c>
      <c r="G59" s="25">
        <v>0</v>
      </c>
      <c r="H59" s="25">
        <v>1</v>
      </c>
      <c r="I59" s="25">
        <v>0</v>
      </c>
      <c r="J59" s="25">
        <v>0</v>
      </c>
      <c r="K59" s="25">
        <v>0</v>
      </c>
      <c r="L59" s="28">
        <v>17</v>
      </c>
      <c r="M59" s="11"/>
      <c r="N59" s="11"/>
      <c r="O59" s="36">
        <v>-17</v>
      </c>
    </row>
    <row r="60" spans="2:15" ht="22.2" x14ac:dyDescent="0.25">
      <c r="B60" s="11">
        <v>1111078</v>
      </c>
      <c r="C60" s="15" t="s">
        <v>71</v>
      </c>
      <c r="D60" s="25">
        <v>0</v>
      </c>
      <c r="E60" s="25">
        <v>10</v>
      </c>
      <c r="F60" s="25">
        <v>5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8">
        <v>15</v>
      </c>
      <c r="M60" s="11"/>
      <c r="N60" s="11"/>
      <c r="O60" s="36">
        <v>-15</v>
      </c>
    </row>
    <row r="61" spans="2:15" ht="22.2" x14ac:dyDescent="0.25">
      <c r="B61" s="11">
        <v>1111079</v>
      </c>
      <c r="C61" s="15" t="s">
        <v>72</v>
      </c>
      <c r="D61" s="25">
        <v>0</v>
      </c>
      <c r="E61" s="25">
        <v>10</v>
      </c>
      <c r="F61" s="25">
        <v>6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8">
        <v>16</v>
      </c>
      <c r="M61" s="11"/>
      <c r="N61" s="11"/>
      <c r="O61" s="36">
        <v>-16</v>
      </c>
    </row>
    <row r="62" spans="2:15" ht="22.2" x14ac:dyDescent="0.25">
      <c r="B62" s="11">
        <v>1111080</v>
      </c>
      <c r="C62" s="15" t="s">
        <v>73</v>
      </c>
      <c r="D62" s="25">
        <v>0</v>
      </c>
      <c r="E62" s="25">
        <v>10</v>
      </c>
      <c r="F62" s="25">
        <v>6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8">
        <v>16</v>
      </c>
      <c r="M62" s="11"/>
      <c r="N62" s="11"/>
      <c r="O62" s="36">
        <v>-16</v>
      </c>
    </row>
    <row r="63" spans="2:15" ht="22.2" x14ac:dyDescent="0.25">
      <c r="B63" s="11">
        <v>1111081</v>
      </c>
      <c r="C63" s="15" t="s">
        <v>74</v>
      </c>
      <c r="D63" s="25">
        <v>0</v>
      </c>
      <c r="E63" s="25">
        <v>10</v>
      </c>
      <c r="F63" s="25">
        <v>5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8">
        <v>15</v>
      </c>
      <c r="M63" s="11"/>
      <c r="N63" s="11"/>
      <c r="O63" s="36">
        <v>-15</v>
      </c>
    </row>
    <row r="64" spans="2:15" ht="22.2" x14ac:dyDescent="0.25">
      <c r="B64" s="11">
        <v>1111082</v>
      </c>
      <c r="C64" s="15" t="s">
        <v>75</v>
      </c>
      <c r="D64" s="25">
        <v>0</v>
      </c>
      <c r="E64" s="25">
        <v>10</v>
      </c>
      <c r="F64" s="25">
        <v>5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8">
        <v>15</v>
      </c>
      <c r="M64" s="11"/>
      <c r="N64" s="11"/>
      <c r="O64" s="36">
        <v>-15</v>
      </c>
    </row>
    <row r="65" spans="2:15" ht="22.2" x14ac:dyDescent="0.25">
      <c r="B65" s="11">
        <v>1111083</v>
      </c>
      <c r="C65" s="15" t="s">
        <v>76</v>
      </c>
      <c r="D65" s="25">
        <v>0</v>
      </c>
      <c r="E65" s="25">
        <v>10</v>
      </c>
      <c r="F65" s="25">
        <v>2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8">
        <v>12</v>
      </c>
      <c r="M65" s="11"/>
      <c r="N65" s="11"/>
      <c r="O65" s="36">
        <v>-12</v>
      </c>
    </row>
    <row r="66" spans="2:15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36">
        <v>0</v>
      </c>
    </row>
    <row r="67" spans="2:15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36"/>
    </row>
    <row r="68" spans="2:15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0"/>
    </row>
    <row r="69" spans="2:15" ht="22.2" x14ac:dyDescent="0.25">
      <c r="B69" s="11">
        <v>1111009</v>
      </c>
      <c r="C69" s="18" t="s">
        <v>79</v>
      </c>
      <c r="D69" s="25">
        <v>14</v>
      </c>
      <c r="E69" s="25">
        <v>4</v>
      </c>
      <c r="F69" s="25">
        <v>21</v>
      </c>
      <c r="G69" s="25">
        <v>7</v>
      </c>
      <c r="H69" s="25">
        <v>1</v>
      </c>
      <c r="I69" s="25">
        <v>0</v>
      </c>
      <c r="J69" s="25">
        <v>0</v>
      </c>
      <c r="K69" s="25">
        <v>0</v>
      </c>
      <c r="L69" s="28">
        <v>47</v>
      </c>
      <c r="M69" s="11"/>
      <c r="N69" s="11"/>
      <c r="O69" s="36">
        <v>-47</v>
      </c>
    </row>
    <row r="70" spans="2:15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36">
        <v>0</v>
      </c>
    </row>
    <row r="71" spans="2:15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36">
        <v>0</v>
      </c>
    </row>
    <row r="72" spans="2:15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36">
        <v>0</v>
      </c>
    </row>
    <row r="73" spans="2:15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36">
        <v>0</v>
      </c>
    </row>
    <row r="74" spans="2:15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36">
        <v>0</v>
      </c>
    </row>
    <row r="75" spans="2:15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36">
        <v>0</v>
      </c>
    </row>
    <row r="76" spans="2:15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36">
        <v>0</v>
      </c>
    </row>
    <row r="77" spans="2:15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36">
        <v>0</v>
      </c>
    </row>
    <row r="78" spans="2:15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60"/>
    </row>
    <row r="79" spans="2:15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36">
        <v>0</v>
      </c>
    </row>
    <row r="80" spans="2:15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36">
        <v>0</v>
      </c>
    </row>
    <row r="81" spans="2:15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36">
        <v>0</v>
      </c>
    </row>
    <row r="82" spans="2:15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36">
        <v>0</v>
      </c>
    </row>
    <row r="83" spans="2:15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36">
        <v>0</v>
      </c>
    </row>
    <row r="84" spans="2:15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36">
        <v>0</v>
      </c>
    </row>
    <row r="85" spans="2:15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36">
        <v>0</v>
      </c>
    </row>
    <row r="86" spans="2:15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36">
        <v>0</v>
      </c>
    </row>
    <row r="87" spans="2:15" ht="22.2" x14ac:dyDescent="0.25">
      <c r="B87" s="11">
        <v>1111008</v>
      </c>
      <c r="C87" s="18" t="s">
        <v>96</v>
      </c>
      <c r="D87" s="25">
        <v>20</v>
      </c>
      <c r="E87" s="25">
        <v>9</v>
      </c>
      <c r="F87" s="25">
        <v>0</v>
      </c>
      <c r="G87" s="25">
        <v>366</v>
      </c>
      <c r="H87" s="25">
        <v>211</v>
      </c>
      <c r="I87" s="25">
        <v>0</v>
      </c>
      <c r="J87" s="25">
        <v>0</v>
      </c>
      <c r="K87" s="25">
        <v>0</v>
      </c>
      <c r="L87" s="28">
        <v>606</v>
      </c>
      <c r="M87" s="11"/>
      <c r="N87" s="11"/>
      <c r="O87" s="36">
        <v>-606</v>
      </c>
    </row>
    <row r="88" spans="2:15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36">
        <v>0</v>
      </c>
    </row>
    <row r="89" spans="2:15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60"/>
    </row>
    <row r="90" spans="2:15" ht="22.2" x14ac:dyDescent="0.25">
      <c r="B90" s="11">
        <v>1112009</v>
      </c>
      <c r="C90" s="18" t="s">
        <v>98</v>
      </c>
      <c r="D90" s="25">
        <v>19</v>
      </c>
      <c r="E90" s="25">
        <v>29</v>
      </c>
      <c r="F90" s="25">
        <v>32</v>
      </c>
      <c r="G90" s="25">
        <v>123</v>
      </c>
      <c r="H90" s="25">
        <v>60</v>
      </c>
      <c r="I90" s="25">
        <v>0</v>
      </c>
      <c r="J90" s="25">
        <v>0</v>
      </c>
      <c r="K90" s="25">
        <v>0</v>
      </c>
      <c r="L90" s="28">
        <v>263</v>
      </c>
      <c r="M90" s="11"/>
      <c r="N90" s="11"/>
      <c r="O90" s="36">
        <v>-263</v>
      </c>
    </row>
    <row r="91" spans="2:15" ht="22.2" x14ac:dyDescent="0.25">
      <c r="B91" s="11">
        <v>1112011</v>
      </c>
      <c r="C91" s="18" t="s">
        <v>99</v>
      </c>
      <c r="D91" s="25">
        <v>21</v>
      </c>
      <c r="E91" s="25">
        <v>31</v>
      </c>
      <c r="F91" s="25">
        <v>34</v>
      </c>
      <c r="G91" s="25">
        <v>123</v>
      </c>
      <c r="H91" s="25">
        <v>60</v>
      </c>
      <c r="I91" s="25">
        <v>0</v>
      </c>
      <c r="J91" s="25">
        <v>0</v>
      </c>
      <c r="K91" s="25">
        <v>0</v>
      </c>
      <c r="L91" s="28">
        <v>269</v>
      </c>
      <c r="M91" s="11"/>
      <c r="N91" s="11"/>
      <c r="O91" s="36">
        <v>-269</v>
      </c>
    </row>
    <row r="92" spans="2:15" ht="22.2" x14ac:dyDescent="0.25">
      <c r="B92" s="11">
        <v>1112003</v>
      </c>
      <c r="C92" s="18" t="s">
        <v>100</v>
      </c>
      <c r="D92" s="25">
        <v>14</v>
      </c>
      <c r="E92" s="25">
        <v>0</v>
      </c>
      <c r="F92" s="25">
        <v>2</v>
      </c>
      <c r="G92" s="25">
        <v>87</v>
      </c>
      <c r="H92" s="25">
        <v>50</v>
      </c>
      <c r="I92" s="25">
        <v>0</v>
      </c>
      <c r="J92" s="25">
        <v>0</v>
      </c>
      <c r="K92" s="25">
        <v>0</v>
      </c>
      <c r="L92" s="28">
        <v>153</v>
      </c>
      <c r="M92" s="11"/>
      <c r="N92" s="11"/>
      <c r="O92" s="36">
        <v>-153</v>
      </c>
    </row>
    <row r="93" spans="2:15" ht="22.2" x14ac:dyDescent="0.25">
      <c r="B93" s="11">
        <v>1112005</v>
      </c>
      <c r="C93" s="18" t="s">
        <v>101</v>
      </c>
      <c r="D93" s="25">
        <v>15</v>
      </c>
      <c r="E93" s="25">
        <v>0</v>
      </c>
      <c r="F93" s="25">
        <v>0</v>
      </c>
      <c r="G93" s="25">
        <v>35</v>
      </c>
      <c r="H93" s="25">
        <v>13</v>
      </c>
      <c r="I93" s="25">
        <v>0</v>
      </c>
      <c r="J93" s="25">
        <v>0</v>
      </c>
      <c r="K93" s="25">
        <v>0</v>
      </c>
      <c r="L93" s="28">
        <v>63</v>
      </c>
      <c r="M93" s="11"/>
      <c r="N93" s="11"/>
      <c r="O93" s="36">
        <v>-63</v>
      </c>
    </row>
    <row r="94" spans="2:15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36">
        <v>0</v>
      </c>
    </row>
    <row r="95" spans="2:15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36">
        <v>0</v>
      </c>
    </row>
    <row r="96" spans="2:15" ht="22.2" x14ac:dyDescent="0.25">
      <c r="B96" s="11">
        <v>1112017</v>
      </c>
      <c r="C96" s="18" t="s">
        <v>104</v>
      </c>
      <c r="D96" s="25">
        <v>12</v>
      </c>
      <c r="E96" s="25">
        <v>0</v>
      </c>
      <c r="F96" s="25">
        <v>2</v>
      </c>
      <c r="G96" s="25">
        <v>86</v>
      </c>
      <c r="H96" s="25">
        <v>49</v>
      </c>
      <c r="I96" s="25">
        <v>0</v>
      </c>
      <c r="J96" s="25">
        <v>0</v>
      </c>
      <c r="K96" s="25">
        <v>0</v>
      </c>
      <c r="L96" s="28">
        <v>149</v>
      </c>
      <c r="M96" s="11"/>
      <c r="N96" s="11"/>
      <c r="O96" s="36">
        <v>-149</v>
      </c>
    </row>
    <row r="97" spans="2:15" ht="22.2" x14ac:dyDescent="0.25">
      <c r="B97" s="11">
        <v>1112015</v>
      </c>
      <c r="C97" s="18" t="s">
        <v>105</v>
      </c>
      <c r="D97" s="25">
        <v>15</v>
      </c>
      <c r="E97" s="25">
        <v>0</v>
      </c>
      <c r="F97" s="25">
        <v>2</v>
      </c>
      <c r="G97" s="25">
        <v>86</v>
      </c>
      <c r="H97" s="25">
        <v>49</v>
      </c>
      <c r="I97" s="25">
        <v>0</v>
      </c>
      <c r="J97" s="25">
        <v>0</v>
      </c>
      <c r="K97" s="25">
        <v>0</v>
      </c>
      <c r="L97" s="28">
        <v>152</v>
      </c>
      <c r="M97" s="11"/>
      <c r="N97" s="11"/>
      <c r="O97" s="36">
        <v>-152</v>
      </c>
    </row>
    <row r="98" spans="2:15" ht="22.2" x14ac:dyDescent="0.25">
      <c r="B98" s="11">
        <v>1112013</v>
      </c>
      <c r="C98" s="18" t="s">
        <v>106</v>
      </c>
      <c r="D98" s="25">
        <v>21</v>
      </c>
      <c r="E98" s="25">
        <v>29</v>
      </c>
      <c r="F98" s="25">
        <v>32</v>
      </c>
      <c r="G98" s="25">
        <v>123</v>
      </c>
      <c r="H98" s="25">
        <v>59</v>
      </c>
      <c r="I98" s="25">
        <v>0</v>
      </c>
      <c r="J98" s="25">
        <v>0</v>
      </c>
      <c r="K98" s="25">
        <v>0</v>
      </c>
      <c r="L98" s="28">
        <v>264</v>
      </c>
      <c r="M98" s="11"/>
      <c r="N98" s="11"/>
      <c r="O98" s="36">
        <v>-264</v>
      </c>
    </row>
    <row r="99" spans="2:15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36"/>
    </row>
    <row r="100" spans="2:15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1313</v>
      </c>
      <c r="M100" s="11"/>
      <c r="N100" s="11"/>
      <c r="O100" s="36"/>
    </row>
    <row r="101" spans="2:15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60"/>
    </row>
    <row r="102" spans="2:15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36">
        <v>0</v>
      </c>
    </row>
    <row r="103" spans="2:15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36">
        <v>0</v>
      </c>
    </row>
    <row r="104" spans="2:15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36">
        <v>0</v>
      </c>
    </row>
    <row r="105" spans="2:15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36">
        <v>0</v>
      </c>
    </row>
    <row r="106" spans="2:15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36">
        <v>0</v>
      </c>
    </row>
    <row r="107" spans="2:15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36">
        <v>0</v>
      </c>
    </row>
    <row r="108" spans="2:15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36">
        <v>0</v>
      </c>
    </row>
    <row r="109" spans="2:15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36">
        <v>0</v>
      </c>
    </row>
    <row r="110" spans="2:15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36">
        <v>0</v>
      </c>
    </row>
    <row r="111" spans="2:15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36">
        <v>0</v>
      </c>
    </row>
    <row r="112" spans="2:15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36">
        <v>0</v>
      </c>
    </row>
    <row r="113" spans="2:15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60"/>
    </row>
    <row r="114" spans="2:15" ht="22.2" x14ac:dyDescent="0.25">
      <c r="B114" s="11">
        <v>1113170</v>
      </c>
      <c r="C114" s="20" t="s">
        <v>110</v>
      </c>
      <c r="D114" s="25">
        <v>2</v>
      </c>
      <c r="E114" s="25">
        <v>0</v>
      </c>
      <c r="F114" s="25">
        <v>0</v>
      </c>
      <c r="G114" s="25">
        <v>12</v>
      </c>
      <c r="H114" s="25">
        <v>15</v>
      </c>
      <c r="I114" s="25">
        <v>0</v>
      </c>
      <c r="J114" s="25">
        <v>0</v>
      </c>
      <c r="K114" s="25">
        <v>0</v>
      </c>
      <c r="L114" s="28">
        <v>29</v>
      </c>
      <c r="M114" s="11"/>
      <c r="N114" s="11"/>
      <c r="O114" s="36">
        <v>-29</v>
      </c>
    </row>
    <row r="115" spans="2:15" ht="22.2" x14ac:dyDescent="0.25">
      <c r="B115" s="11">
        <v>1113171</v>
      </c>
      <c r="C115" s="20" t="s">
        <v>111</v>
      </c>
      <c r="D115" s="25">
        <v>5</v>
      </c>
      <c r="E115" s="25">
        <v>0</v>
      </c>
      <c r="F115" s="25">
        <v>0</v>
      </c>
      <c r="G115" s="25">
        <v>10</v>
      </c>
      <c r="H115" s="25">
        <v>10</v>
      </c>
      <c r="I115" s="25">
        <v>0</v>
      </c>
      <c r="J115" s="25">
        <v>0</v>
      </c>
      <c r="K115" s="25">
        <v>0</v>
      </c>
      <c r="L115" s="28">
        <v>25</v>
      </c>
      <c r="M115" s="11"/>
      <c r="N115" s="11"/>
      <c r="O115" s="36">
        <v>-25</v>
      </c>
    </row>
    <row r="116" spans="2:15" ht="22.2" x14ac:dyDescent="0.25">
      <c r="B116" s="11">
        <v>1113172</v>
      </c>
      <c r="C116" s="20" t="s">
        <v>112</v>
      </c>
      <c r="D116" s="25">
        <v>1</v>
      </c>
      <c r="E116" s="25">
        <v>0</v>
      </c>
      <c r="F116" s="25">
        <v>0</v>
      </c>
      <c r="G116" s="25">
        <v>14</v>
      </c>
      <c r="H116" s="25">
        <v>26</v>
      </c>
      <c r="I116" s="25">
        <v>0</v>
      </c>
      <c r="J116" s="25">
        <v>0</v>
      </c>
      <c r="K116" s="25">
        <v>0</v>
      </c>
      <c r="L116" s="28">
        <v>41</v>
      </c>
      <c r="M116" s="11"/>
      <c r="N116" s="11"/>
      <c r="O116" s="36">
        <v>-41</v>
      </c>
    </row>
    <row r="117" spans="2:15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36">
        <v>0</v>
      </c>
    </row>
    <row r="118" spans="2:15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1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1</v>
      </c>
      <c r="M118" s="11"/>
      <c r="N118" s="11"/>
      <c r="O118" s="36">
        <v>-1</v>
      </c>
    </row>
    <row r="119" spans="2:15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2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2</v>
      </c>
      <c r="M119" s="11"/>
      <c r="N119" s="11"/>
      <c r="O119" s="36">
        <v>-2</v>
      </c>
    </row>
    <row r="120" spans="2:15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4</v>
      </c>
      <c r="H120" s="25">
        <v>5</v>
      </c>
      <c r="I120" s="25">
        <v>0</v>
      </c>
      <c r="J120" s="25">
        <v>0</v>
      </c>
      <c r="K120" s="25">
        <v>0</v>
      </c>
      <c r="L120" s="28">
        <v>9</v>
      </c>
      <c r="M120" s="11"/>
      <c r="N120" s="11"/>
      <c r="O120" s="36">
        <v>-9</v>
      </c>
    </row>
    <row r="121" spans="2:15" ht="22.2" x14ac:dyDescent="0.25">
      <c r="B121" s="11">
        <v>1200001</v>
      </c>
      <c r="C121" s="20" t="s">
        <v>117</v>
      </c>
      <c r="D121" s="25">
        <v>50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50</v>
      </c>
      <c r="M121" s="11"/>
      <c r="N121" s="11"/>
      <c r="O121" s="36">
        <v>-50</v>
      </c>
    </row>
    <row r="122" spans="2:15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36">
        <v>0</v>
      </c>
    </row>
    <row r="123" spans="2:15" ht="22.2" x14ac:dyDescent="0.25">
      <c r="B123" s="11">
        <v>1114501</v>
      </c>
      <c r="C123" s="20" t="s">
        <v>119</v>
      </c>
      <c r="D123" s="25">
        <v>1</v>
      </c>
      <c r="E123" s="25">
        <v>3</v>
      </c>
      <c r="F123" s="25">
        <v>5</v>
      </c>
      <c r="G123" s="25">
        <v>29</v>
      </c>
      <c r="H123" s="25">
        <v>8</v>
      </c>
      <c r="I123" s="25">
        <v>0</v>
      </c>
      <c r="J123" s="25">
        <v>0</v>
      </c>
      <c r="K123" s="25">
        <v>0</v>
      </c>
      <c r="L123" s="28">
        <v>46</v>
      </c>
      <c r="M123" s="11"/>
      <c r="N123" s="11"/>
      <c r="O123" s="36">
        <v>-46</v>
      </c>
    </row>
    <row r="124" spans="2:15" ht="22.2" x14ac:dyDescent="0.25">
      <c r="B124" s="11">
        <v>1114502</v>
      </c>
      <c r="C124" s="20" t="s">
        <v>120</v>
      </c>
      <c r="D124" s="25">
        <v>1</v>
      </c>
      <c r="E124" s="25">
        <v>3</v>
      </c>
      <c r="F124" s="25">
        <v>4</v>
      </c>
      <c r="G124" s="25">
        <v>28</v>
      </c>
      <c r="H124" s="25">
        <v>7</v>
      </c>
      <c r="I124" s="25">
        <v>0</v>
      </c>
      <c r="J124" s="25">
        <v>0</v>
      </c>
      <c r="K124" s="25">
        <v>0</v>
      </c>
      <c r="L124" s="28">
        <v>43</v>
      </c>
      <c r="M124" s="11"/>
      <c r="N124" s="11"/>
      <c r="O124" s="36">
        <v>-43</v>
      </c>
    </row>
    <row r="125" spans="2:15" ht="22.2" x14ac:dyDescent="0.25">
      <c r="B125" s="11">
        <v>1114503</v>
      </c>
      <c r="C125" s="20" t="s">
        <v>121</v>
      </c>
      <c r="D125" s="25">
        <v>1</v>
      </c>
      <c r="E125" s="25">
        <v>4</v>
      </c>
      <c r="F125" s="25">
        <v>5</v>
      </c>
      <c r="G125" s="25">
        <v>28</v>
      </c>
      <c r="H125" s="25">
        <v>7</v>
      </c>
      <c r="I125" s="25">
        <v>0</v>
      </c>
      <c r="J125" s="25">
        <v>0</v>
      </c>
      <c r="K125" s="25">
        <v>0</v>
      </c>
      <c r="L125" s="28">
        <v>45</v>
      </c>
      <c r="M125" s="11"/>
      <c r="N125" s="11"/>
      <c r="O125" s="36">
        <v>-45</v>
      </c>
    </row>
    <row r="126" spans="2:15" ht="22.2" x14ac:dyDescent="0.25">
      <c r="B126" s="11">
        <v>1124021</v>
      </c>
      <c r="C126" s="20" t="s">
        <v>122</v>
      </c>
      <c r="D126" s="25">
        <v>0</v>
      </c>
      <c r="E126" s="25">
        <v>29</v>
      </c>
      <c r="F126" s="25">
        <v>48</v>
      </c>
      <c r="G126" s="25">
        <v>112</v>
      </c>
      <c r="H126" s="25">
        <v>127</v>
      </c>
      <c r="I126" s="25">
        <v>0</v>
      </c>
      <c r="J126" s="25">
        <v>0</v>
      </c>
      <c r="K126" s="25">
        <v>0</v>
      </c>
      <c r="L126" s="28">
        <v>316</v>
      </c>
      <c r="M126" s="11"/>
      <c r="N126" s="11"/>
      <c r="O126" s="36">
        <v>-316</v>
      </c>
    </row>
    <row r="127" spans="2:15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36">
        <v>0</v>
      </c>
    </row>
    <row r="128" spans="2:15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36">
        <v>0</v>
      </c>
    </row>
    <row r="129" spans="2:15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36">
        <v>0</v>
      </c>
    </row>
    <row r="130" spans="2:15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/>
      <c r="O130" s="36">
        <v>0</v>
      </c>
    </row>
    <row r="131" spans="2:15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36">
        <v>0</v>
      </c>
    </row>
    <row r="132" spans="2:15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36">
        <v>0</v>
      </c>
    </row>
    <row r="133" spans="2:15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36">
        <v>0</v>
      </c>
    </row>
    <row r="134" spans="2:15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36">
        <v>0</v>
      </c>
    </row>
    <row r="135" spans="2:15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36">
        <v>0</v>
      </c>
    </row>
    <row r="136" spans="2:15" ht="22.2" x14ac:dyDescent="0.25">
      <c r="B136" s="21"/>
      <c r="C136" s="20" t="s">
        <v>132</v>
      </c>
      <c r="D136" s="25">
        <v>0</v>
      </c>
      <c r="E136" s="25">
        <v>5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5</v>
      </c>
      <c r="M136" s="11"/>
      <c r="N136" s="11"/>
      <c r="O136" s="36">
        <v>-5</v>
      </c>
    </row>
    <row r="137" spans="2:15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36">
        <v>0</v>
      </c>
    </row>
    <row r="138" spans="2:15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36">
        <v>0</v>
      </c>
    </row>
    <row r="139" spans="2:15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36">
        <v>0</v>
      </c>
    </row>
    <row r="140" spans="2:15" ht="22.2" x14ac:dyDescent="0.25">
      <c r="C140" s="27"/>
      <c r="D140" s="28">
        <v>293</v>
      </c>
      <c r="E140" s="28">
        <v>540</v>
      </c>
      <c r="F140" s="28">
        <v>364</v>
      </c>
      <c r="G140" s="28">
        <v>1713</v>
      </c>
      <c r="H140" s="28">
        <v>972</v>
      </c>
      <c r="I140" s="28">
        <v>0</v>
      </c>
      <c r="J140" s="28">
        <v>0</v>
      </c>
      <c r="K140" s="28">
        <v>0</v>
      </c>
      <c r="L140" s="28">
        <v>3882</v>
      </c>
      <c r="M140" s="25">
        <v>0</v>
      </c>
      <c r="N140" s="25">
        <v>0</v>
      </c>
      <c r="O140" s="36">
        <v>-3882</v>
      </c>
    </row>
    <row r="141" spans="2:15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5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5" ht="22.2" x14ac:dyDescent="0.25">
      <c r="C143" s="22"/>
      <c r="D143" s="26"/>
      <c r="E143" s="61"/>
      <c r="F143" s="61"/>
      <c r="G143" s="23"/>
      <c r="L143" s="32"/>
    </row>
  </sheetData>
  <mergeCells count="13">
    <mergeCell ref="B1:L1"/>
    <mergeCell ref="B2:C3"/>
    <mergeCell ref="E2:F3"/>
    <mergeCell ref="M2:M4"/>
    <mergeCell ref="O2:O4"/>
    <mergeCell ref="B101:O101"/>
    <mergeCell ref="B113:O113"/>
    <mergeCell ref="E143:F143"/>
    <mergeCell ref="B89:O89"/>
    <mergeCell ref="N2:N4"/>
    <mergeCell ref="B6:O6"/>
    <mergeCell ref="B68:O68"/>
    <mergeCell ref="B78:O7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EDD8-E9BD-4403-83C0-179BE9C324D0}">
  <dimension ref="B1:O143"/>
  <sheetViews>
    <sheetView workbookViewId="0">
      <selection activeCell="R13" sqref="R13"/>
    </sheetView>
  </sheetViews>
  <sheetFormatPr defaultRowHeight="13.8" x14ac:dyDescent="0.25"/>
  <sheetData>
    <row r="1" spans="2:15" ht="22.2" x14ac:dyDescent="0.25">
      <c r="B1" s="50" t="s">
        <v>137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5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62" t="s">
        <v>4</v>
      </c>
    </row>
    <row r="3" spans="2:15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63"/>
    </row>
    <row r="4" spans="2:15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64"/>
    </row>
    <row r="5" spans="2:15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24"/>
    </row>
    <row r="6" spans="2:15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2:15" ht="22.2" x14ac:dyDescent="0.25">
      <c r="B7" s="11">
        <v>1111002</v>
      </c>
      <c r="C7" s="15" t="s">
        <v>18</v>
      </c>
      <c r="D7" s="25">
        <v>23</v>
      </c>
      <c r="E7" s="25">
        <v>176</v>
      </c>
      <c r="F7" s="25">
        <v>86</v>
      </c>
      <c r="G7" s="25">
        <v>6</v>
      </c>
      <c r="H7" s="25">
        <v>0</v>
      </c>
      <c r="I7" s="25">
        <v>0</v>
      </c>
      <c r="J7" s="25">
        <v>0</v>
      </c>
      <c r="K7" s="25">
        <v>5</v>
      </c>
      <c r="L7" s="28">
        <v>296</v>
      </c>
      <c r="M7" s="11"/>
      <c r="N7" s="11"/>
      <c r="O7" s="36">
        <v>-296</v>
      </c>
    </row>
    <row r="8" spans="2:15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36">
        <v>0</v>
      </c>
    </row>
    <row r="9" spans="2:15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36">
        <v>0</v>
      </c>
    </row>
    <row r="10" spans="2:15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36">
        <v>0</v>
      </c>
    </row>
    <row r="11" spans="2:15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36">
        <v>0</v>
      </c>
    </row>
    <row r="12" spans="2:15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36">
        <v>0</v>
      </c>
    </row>
    <row r="13" spans="2:15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36">
        <v>0</v>
      </c>
    </row>
    <row r="14" spans="2:15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36">
        <v>0</v>
      </c>
    </row>
    <row r="15" spans="2:15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36">
        <v>0</v>
      </c>
    </row>
    <row r="16" spans="2:15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36">
        <v>0</v>
      </c>
    </row>
    <row r="17" spans="2:15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36">
        <v>0</v>
      </c>
    </row>
    <row r="18" spans="2:15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36">
        <v>0</v>
      </c>
    </row>
    <row r="19" spans="2:15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36">
        <v>0</v>
      </c>
    </row>
    <row r="20" spans="2:15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36">
        <v>0</v>
      </c>
    </row>
    <row r="21" spans="2:15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36">
        <v>0</v>
      </c>
    </row>
    <row r="22" spans="2:15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36">
        <v>0</v>
      </c>
    </row>
    <row r="23" spans="2:15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36">
        <v>0</v>
      </c>
    </row>
    <row r="24" spans="2:15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36">
        <v>0</v>
      </c>
    </row>
    <row r="25" spans="2:15" ht="22.2" x14ac:dyDescent="0.25">
      <c r="B25" s="11">
        <v>1111056</v>
      </c>
      <c r="C25" s="15" t="s">
        <v>36</v>
      </c>
      <c r="D25" s="25">
        <v>13</v>
      </c>
      <c r="E25" s="25">
        <v>15</v>
      </c>
      <c r="F25" s="25">
        <v>9</v>
      </c>
      <c r="G25" s="25">
        <v>8</v>
      </c>
      <c r="H25" s="25">
        <v>4</v>
      </c>
      <c r="I25" s="25">
        <v>0</v>
      </c>
      <c r="J25" s="25">
        <v>0</v>
      </c>
      <c r="K25" s="25">
        <v>0</v>
      </c>
      <c r="L25" s="28">
        <v>49</v>
      </c>
      <c r="M25" s="11"/>
      <c r="N25" s="11"/>
      <c r="O25" s="36">
        <v>-49</v>
      </c>
    </row>
    <row r="26" spans="2:15" ht="22.2" x14ac:dyDescent="0.25">
      <c r="B26" s="11">
        <v>1004055</v>
      </c>
      <c r="C26" s="15" t="s">
        <v>37</v>
      </c>
      <c r="D26" s="25">
        <v>33</v>
      </c>
      <c r="E26" s="25">
        <v>12</v>
      </c>
      <c r="F26" s="25">
        <v>1</v>
      </c>
      <c r="G26" s="25">
        <v>356</v>
      </c>
      <c r="H26" s="25">
        <v>155</v>
      </c>
      <c r="I26" s="25">
        <v>0</v>
      </c>
      <c r="J26" s="25">
        <v>0</v>
      </c>
      <c r="K26" s="25">
        <v>0</v>
      </c>
      <c r="L26" s="28">
        <v>557</v>
      </c>
      <c r="M26" s="11"/>
      <c r="N26" s="11"/>
      <c r="O26" s="36">
        <v>-557</v>
      </c>
    </row>
    <row r="27" spans="2:15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36">
        <v>0</v>
      </c>
    </row>
    <row r="28" spans="2:15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36">
        <v>0</v>
      </c>
    </row>
    <row r="29" spans="2:15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36">
        <v>0</v>
      </c>
    </row>
    <row r="30" spans="2:15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36">
        <v>0</v>
      </c>
    </row>
    <row r="31" spans="2:15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36">
        <v>0</v>
      </c>
    </row>
    <row r="32" spans="2:15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36">
        <v>0</v>
      </c>
    </row>
    <row r="33" spans="2:15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36">
        <v>0</v>
      </c>
    </row>
    <row r="34" spans="2:15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36">
        <v>0</v>
      </c>
    </row>
    <row r="35" spans="2:15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36">
        <v>0</v>
      </c>
    </row>
    <row r="36" spans="2:15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36">
        <v>0</v>
      </c>
    </row>
    <row r="37" spans="2:15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36">
        <v>0</v>
      </c>
    </row>
    <row r="38" spans="2:15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36">
        <v>0</v>
      </c>
    </row>
    <row r="39" spans="2:15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36">
        <v>0</v>
      </c>
    </row>
    <row r="40" spans="2:15" ht="22.2" x14ac:dyDescent="0.25">
      <c r="B40" s="11">
        <v>1111057</v>
      </c>
      <c r="C40" s="15" t="s">
        <v>51</v>
      </c>
      <c r="D40" s="25">
        <v>1</v>
      </c>
      <c r="E40" s="25">
        <v>0</v>
      </c>
      <c r="F40" s="25">
        <v>2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8">
        <v>3</v>
      </c>
      <c r="M40" s="11"/>
      <c r="N40" s="11"/>
      <c r="O40" s="36">
        <v>-3</v>
      </c>
    </row>
    <row r="41" spans="2:15" ht="22.2" x14ac:dyDescent="0.25">
      <c r="B41" s="11">
        <v>1111058</v>
      </c>
      <c r="C41" s="15" t="s">
        <v>52</v>
      </c>
      <c r="D41" s="25">
        <v>1</v>
      </c>
      <c r="E41" s="25">
        <v>0</v>
      </c>
      <c r="F41" s="25">
        <v>2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8">
        <v>3</v>
      </c>
      <c r="M41" s="11"/>
      <c r="N41" s="11"/>
      <c r="O41" s="36">
        <v>-3</v>
      </c>
    </row>
    <row r="42" spans="2:15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25">
        <v>2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8">
        <v>2</v>
      </c>
      <c r="M42" s="11"/>
      <c r="N42" s="11"/>
      <c r="O42" s="36">
        <v>-2</v>
      </c>
    </row>
    <row r="43" spans="2:15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/>
      <c r="N43" s="11"/>
      <c r="O43" s="36">
        <v>0</v>
      </c>
    </row>
    <row r="44" spans="2:15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25">
        <v>2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8">
        <v>2</v>
      </c>
      <c r="M44" s="11"/>
      <c r="N44" s="11"/>
      <c r="O44" s="36">
        <v>-2</v>
      </c>
    </row>
    <row r="45" spans="2:15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36">
        <v>0</v>
      </c>
    </row>
    <row r="46" spans="2:15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25">
        <v>2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8">
        <v>2</v>
      </c>
      <c r="M46" s="11"/>
      <c r="N46" s="11"/>
      <c r="O46" s="36">
        <v>-2</v>
      </c>
    </row>
    <row r="47" spans="2:15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25">
        <v>2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8">
        <v>2</v>
      </c>
      <c r="M47" s="11"/>
      <c r="N47" s="11"/>
      <c r="O47" s="36">
        <v>-2</v>
      </c>
    </row>
    <row r="48" spans="2:15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/>
      <c r="N48" s="11"/>
      <c r="O48" s="36">
        <v>0</v>
      </c>
    </row>
    <row r="49" spans="2:15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25">
        <v>2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8">
        <v>2</v>
      </c>
      <c r="M49" s="11"/>
      <c r="N49" s="11"/>
      <c r="O49" s="36">
        <v>-2</v>
      </c>
    </row>
    <row r="50" spans="2:15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25">
        <v>2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8">
        <v>2</v>
      </c>
      <c r="M50" s="11"/>
      <c r="N50" s="11"/>
      <c r="O50" s="36">
        <v>-2</v>
      </c>
    </row>
    <row r="51" spans="2:15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25">
        <v>2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8">
        <v>2</v>
      </c>
      <c r="M51" s="11"/>
      <c r="N51" s="11"/>
      <c r="O51" s="36">
        <v>-2</v>
      </c>
    </row>
    <row r="52" spans="2:15" ht="22.2" x14ac:dyDescent="0.25">
      <c r="B52" s="11">
        <v>1111069</v>
      </c>
      <c r="C52" s="15" t="s">
        <v>63</v>
      </c>
      <c r="D52" s="25">
        <v>0</v>
      </c>
      <c r="E52" s="25">
        <v>0</v>
      </c>
      <c r="F52" s="25">
        <v>2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8">
        <v>2</v>
      </c>
      <c r="M52" s="11"/>
      <c r="N52" s="11"/>
      <c r="O52" s="36">
        <v>-2</v>
      </c>
    </row>
    <row r="53" spans="2:15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36">
        <v>0</v>
      </c>
    </row>
    <row r="54" spans="2:15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36">
        <v>0</v>
      </c>
    </row>
    <row r="55" spans="2:15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36">
        <v>0</v>
      </c>
    </row>
    <row r="56" spans="2:15" ht="22.2" x14ac:dyDescent="0.25">
      <c r="B56" s="11">
        <v>1111074</v>
      </c>
      <c r="C56" s="15" t="s">
        <v>67</v>
      </c>
      <c r="D56" s="25">
        <v>0</v>
      </c>
      <c r="E56" s="25">
        <v>4</v>
      </c>
      <c r="F56" s="25">
        <v>3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8">
        <v>7</v>
      </c>
      <c r="M56" s="11"/>
      <c r="N56" s="11"/>
      <c r="O56" s="36">
        <v>-7</v>
      </c>
    </row>
    <row r="57" spans="2:15" ht="22.2" x14ac:dyDescent="0.25">
      <c r="B57" s="11">
        <v>1111075</v>
      </c>
      <c r="C57" s="15" t="s">
        <v>68</v>
      </c>
      <c r="D57" s="25">
        <v>0</v>
      </c>
      <c r="E57" s="25">
        <v>4</v>
      </c>
      <c r="F57" s="25">
        <v>3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8">
        <v>7</v>
      </c>
      <c r="M57" s="11"/>
      <c r="N57" s="11"/>
      <c r="O57" s="36">
        <v>-7</v>
      </c>
    </row>
    <row r="58" spans="2:15" ht="22.2" x14ac:dyDescent="0.25">
      <c r="B58" s="11">
        <v>1111076</v>
      </c>
      <c r="C58" s="15" t="s">
        <v>69</v>
      </c>
      <c r="D58" s="25">
        <v>0</v>
      </c>
      <c r="E58" s="25">
        <v>4</v>
      </c>
      <c r="F58" s="25">
        <v>3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8">
        <v>7</v>
      </c>
      <c r="M58" s="11"/>
      <c r="N58" s="11"/>
      <c r="O58" s="36">
        <v>-7</v>
      </c>
    </row>
    <row r="59" spans="2:15" ht="22.2" x14ac:dyDescent="0.25">
      <c r="B59" s="11">
        <v>1111077</v>
      </c>
      <c r="C59" s="15" t="s">
        <v>70</v>
      </c>
      <c r="D59" s="25">
        <v>0</v>
      </c>
      <c r="E59" s="25">
        <v>4</v>
      </c>
      <c r="F59" s="25">
        <v>3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8">
        <v>7</v>
      </c>
      <c r="M59" s="11"/>
      <c r="N59" s="11"/>
      <c r="O59" s="36">
        <v>-7</v>
      </c>
    </row>
    <row r="60" spans="2:15" ht="22.2" x14ac:dyDescent="0.25">
      <c r="B60" s="11">
        <v>1111078</v>
      </c>
      <c r="C60" s="15" t="s">
        <v>71</v>
      </c>
      <c r="D60" s="25">
        <v>0</v>
      </c>
      <c r="E60" s="25">
        <v>4</v>
      </c>
      <c r="F60" s="25">
        <v>3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8">
        <v>7</v>
      </c>
      <c r="M60" s="11"/>
      <c r="N60" s="11"/>
      <c r="O60" s="36">
        <v>-7</v>
      </c>
    </row>
    <row r="61" spans="2:15" ht="22.2" x14ac:dyDescent="0.25">
      <c r="B61" s="11">
        <v>1111079</v>
      </c>
      <c r="C61" s="15" t="s">
        <v>72</v>
      </c>
      <c r="D61" s="25">
        <v>0</v>
      </c>
      <c r="E61" s="25">
        <v>4</v>
      </c>
      <c r="F61" s="25">
        <v>3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8">
        <v>7</v>
      </c>
      <c r="M61" s="11"/>
      <c r="N61" s="11"/>
      <c r="O61" s="36">
        <v>-7</v>
      </c>
    </row>
    <row r="62" spans="2:15" ht="22.2" x14ac:dyDescent="0.25">
      <c r="B62" s="11">
        <v>1111080</v>
      </c>
      <c r="C62" s="15" t="s">
        <v>73</v>
      </c>
      <c r="D62" s="25">
        <v>0</v>
      </c>
      <c r="E62" s="25">
        <v>4</v>
      </c>
      <c r="F62" s="25">
        <v>3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8">
        <v>7</v>
      </c>
      <c r="M62" s="11"/>
      <c r="N62" s="11"/>
      <c r="O62" s="36">
        <v>-7</v>
      </c>
    </row>
    <row r="63" spans="2:15" ht="22.2" x14ac:dyDescent="0.25">
      <c r="B63" s="11">
        <v>1111081</v>
      </c>
      <c r="C63" s="15" t="s">
        <v>74</v>
      </c>
      <c r="D63" s="25">
        <v>0</v>
      </c>
      <c r="E63" s="25">
        <v>4</v>
      </c>
      <c r="F63" s="25">
        <v>3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8">
        <v>7</v>
      </c>
      <c r="M63" s="11"/>
      <c r="N63" s="11"/>
      <c r="O63" s="36">
        <v>-7</v>
      </c>
    </row>
    <row r="64" spans="2:15" ht="22.2" x14ac:dyDescent="0.25">
      <c r="B64" s="11">
        <v>1111082</v>
      </c>
      <c r="C64" s="15" t="s">
        <v>75</v>
      </c>
      <c r="D64" s="25">
        <v>0</v>
      </c>
      <c r="E64" s="25">
        <v>4</v>
      </c>
      <c r="F64" s="25">
        <v>3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8">
        <v>7</v>
      </c>
      <c r="M64" s="11"/>
      <c r="N64" s="11"/>
      <c r="O64" s="36">
        <v>-7</v>
      </c>
    </row>
    <row r="65" spans="2:15" ht="22.2" x14ac:dyDescent="0.25">
      <c r="B65" s="11">
        <v>1111083</v>
      </c>
      <c r="C65" s="15" t="s">
        <v>76</v>
      </c>
      <c r="D65" s="25">
        <v>0</v>
      </c>
      <c r="E65" s="25">
        <v>4</v>
      </c>
      <c r="F65" s="25">
        <v>3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8">
        <v>7</v>
      </c>
      <c r="M65" s="11"/>
      <c r="N65" s="11"/>
      <c r="O65" s="36">
        <v>-7</v>
      </c>
    </row>
    <row r="66" spans="2:15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36">
        <v>0</v>
      </c>
    </row>
    <row r="67" spans="2:15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36"/>
    </row>
    <row r="68" spans="2:15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0"/>
    </row>
    <row r="69" spans="2:15" ht="22.2" x14ac:dyDescent="0.25">
      <c r="B69" s="11">
        <v>1111009</v>
      </c>
      <c r="C69" s="18" t="s">
        <v>79</v>
      </c>
      <c r="D69" s="25">
        <v>34</v>
      </c>
      <c r="E69" s="25">
        <v>12</v>
      </c>
      <c r="F69" s="25">
        <v>16</v>
      </c>
      <c r="G69" s="25">
        <v>15</v>
      </c>
      <c r="H69" s="25">
        <v>3</v>
      </c>
      <c r="I69" s="25">
        <v>0</v>
      </c>
      <c r="J69" s="25">
        <v>0</v>
      </c>
      <c r="K69" s="25">
        <v>0</v>
      </c>
      <c r="L69" s="28">
        <v>80</v>
      </c>
      <c r="M69" s="11"/>
      <c r="N69" s="11"/>
      <c r="O69" s="36">
        <v>-80</v>
      </c>
    </row>
    <row r="70" spans="2:15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36">
        <v>0</v>
      </c>
    </row>
    <row r="71" spans="2:15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36">
        <v>0</v>
      </c>
    </row>
    <row r="72" spans="2:15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36">
        <v>0</v>
      </c>
    </row>
    <row r="73" spans="2:15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36">
        <v>0</v>
      </c>
    </row>
    <row r="74" spans="2:15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36">
        <v>0</v>
      </c>
    </row>
    <row r="75" spans="2:15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36">
        <v>0</v>
      </c>
    </row>
    <row r="76" spans="2:15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36">
        <v>0</v>
      </c>
    </row>
    <row r="77" spans="2:15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36">
        <v>0</v>
      </c>
    </row>
    <row r="78" spans="2:15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60"/>
    </row>
    <row r="79" spans="2:15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36">
        <v>0</v>
      </c>
    </row>
    <row r="80" spans="2:15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36">
        <v>0</v>
      </c>
    </row>
    <row r="81" spans="2:15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36">
        <v>0</v>
      </c>
    </row>
    <row r="82" spans="2:15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36">
        <v>0</v>
      </c>
    </row>
    <row r="83" spans="2:15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36">
        <v>0</v>
      </c>
    </row>
    <row r="84" spans="2:15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36">
        <v>0</v>
      </c>
    </row>
    <row r="85" spans="2:15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36">
        <v>0</v>
      </c>
    </row>
    <row r="86" spans="2:15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36">
        <v>0</v>
      </c>
    </row>
    <row r="87" spans="2:15" ht="22.2" x14ac:dyDescent="0.25">
      <c r="B87" s="11">
        <v>1111008</v>
      </c>
      <c r="C87" s="18" t="s">
        <v>96</v>
      </c>
      <c r="D87" s="25">
        <v>6</v>
      </c>
      <c r="E87" s="25">
        <v>24</v>
      </c>
      <c r="F87" s="25">
        <v>0</v>
      </c>
      <c r="G87" s="25">
        <v>328</v>
      </c>
      <c r="H87" s="25">
        <v>151</v>
      </c>
      <c r="I87" s="25">
        <v>0</v>
      </c>
      <c r="J87" s="25">
        <v>0</v>
      </c>
      <c r="K87" s="25">
        <v>5</v>
      </c>
      <c r="L87" s="28">
        <v>514</v>
      </c>
      <c r="M87" s="11"/>
      <c r="N87" s="11"/>
      <c r="O87" s="36">
        <v>-514</v>
      </c>
    </row>
    <row r="88" spans="2:15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36">
        <v>0</v>
      </c>
    </row>
    <row r="89" spans="2:15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60"/>
    </row>
    <row r="90" spans="2:15" ht="22.2" x14ac:dyDescent="0.25">
      <c r="B90" s="11">
        <v>1112009</v>
      </c>
      <c r="C90" s="18" t="s">
        <v>98</v>
      </c>
      <c r="D90" s="25">
        <v>5</v>
      </c>
      <c r="E90" s="25">
        <v>53</v>
      </c>
      <c r="F90" s="25">
        <v>37</v>
      </c>
      <c r="G90" s="25">
        <v>133</v>
      </c>
      <c r="H90" s="25">
        <v>77</v>
      </c>
      <c r="I90" s="25">
        <v>0</v>
      </c>
      <c r="J90" s="25">
        <v>0</v>
      </c>
      <c r="K90" s="25">
        <v>0</v>
      </c>
      <c r="L90" s="28">
        <v>305</v>
      </c>
      <c r="M90" s="11"/>
      <c r="N90" s="11"/>
      <c r="O90" s="36">
        <v>-305</v>
      </c>
    </row>
    <row r="91" spans="2:15" ht="22.2" x14ac:dyDescent="0.25">
      <c r="B91" s="11">
        <v>1112011</v>
      </c>
      <c r="C91" s="18" t="s">
        <v>99</v>
      </c>
      <c r="D91" s="25">
        <v>10</v>
      </c>
      <c r="E91" s="25">
        <v>53</v>
      </c>
      <c r="F91" s="25">
        <v>48</v>
      </c>
      <c r="G91" s="25">
        <v>133</v>
      </c>
      <c r="H91" s="25">
        <v>76</v>
      </c>
      <c r="I91" s="25">
        <v>0</v>
      </c>
      <c r="J91" s="25">
        <v>0</v>
      </c>
      <c r="K91" s="25">
        <v>0</v>
      </c>
      <c r="L91" s="28">
        <v>320</v>
      </c>
      <c r="M91" s="11"/>
      <c r="N91" s="11"/>
      <c r="O91" s="36">
        <v>-320</v>
      </c>
    </row>
    <row r="92" spans="2:15" ht="22.2" x14ac:dyDescent="0.25">
      <c r="B92" s="11">
        <v>1112003</v>
      </c>
      <c r="C92" s="18" t="s">
        <v>100</v>
      </c>
      <c r="D92" s="25">
        <v>8</v>
      </c>
      <c r="E92" s="25">
        <v>0</v>
      </c>
      <c r="F92" s="25">
        <v>1</v>
      </c>
      <c r="G92" s="25">
        <v>116</v>
      </c>
      <c r="H92" s="25">
        <v>69</v>
      </c>
      <c r="I92" s="25">
        <v>0</v>
      </c>
      <c r="J92" s="25">
        <v>0</v>
      </c>
      <c r="K92" s="25">
        <v>0</v>
      </c>
      <c r="L92" s="28">
        <v>194</v>
      </c>
      <c r="M92" s="11"/>
      <c r="N92" s="11"/>
      <c r="O92" s="36">
        <v>-194</v>
      </c>
    </row>
    <row r="93" spans="2:15" ht="22.2" x14ac:dyDescent="0.25">
      <c r="B93" s="11">
        <v>1112005</v>
      </c>
      <c r="C93" s="18" t="s">
        <v>101</v>
      </c>
      <c r="D93" s="25">
        <v>20</v>
      </c>
      <c r="E93" s="25">
        <v>0</v>
      </c>
      <c r="F93" s="25">
        <v>0</v>
      </c>
      <c r="G93" s="25">
        <v>55</v>
      </c>
      <c r="H93" s="25">
        <v>30</v>
      </c>
      <c r="I93" s="25">
        <v>0</v>
      </c>
      <c r="J93" s="25">
        <v>0</v>
      </c>
      <c r="K93" s="25">
        <v>0</v>
      </c>
      <c r="L93" s="28">
        <v>105</v>
      </c>
      <c r="M93" s="11"/>
      <c r="N93" s="11"/>
      <c r="O93" s="36">
        <v>-105</v>
      </c>
    </row>
    <row r="94" spans="2:15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36">
        <v>0</v>
      </c>
    </row>
    <row r="95" spans="2:15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36">
        <v>0</v>
      </c>
    </row>
    <row r="96" spans="2:15" ht="22.2" x14ac:dyDescent="0.25">
      <c r="B96" s="11">
        <v>1112017</v>
      </c>
      <c r="C96" s="18" t="s">
        <v>104</v>
      </c>
      <c r="D96" s="25">
        <v>5</v>
      </c>
      <c r="E96" s="25">
        <v>0</v>
      </c>
      <c r="F96" s="25">
        <v>1</v>
      </c>
      <c r="G96" s="25">
        <v>114</v>
      </c>
      <c r="H96" s="25">
        <v>69</v>
      </c>
      <c r="I96" s="25">
        <v>0</v>
      </c>
      <c r="J96" s="25">
        <v>0</v>
      </c>
      <c r="K96" s="25">
        <v>0</v>
      </c>
      <c r="L96" s="28">
        <v>189</v>
      </c>
      <c r="M96" s="11"/>
      <c r="N96" s="11"/>
      <c r="O96" s="36">
        <v>-189</v>
      </c>
    </row>
    <row r="97" spans="2:15" ht="22.2" x14ac:dyDescent="0.25">
      <c r="B97" s="11">
        <v>1112015</v>
      </c>
      <c r="C97" s="18" t="s">
        <v>105</v>
      </c>
      <c r="D97" s="25">
        <v>14</v>
      </c>
      <c r="E97" s="25">
        <v>0</v>
      </c>
      <c r="F97" s="25">
        <v>1</v>
      </c>
      <c r="G97" s="25">
        <v>114</v>
      </c>
      <c r="H97" s="25">
        <v>69</v>
      </c>
      <c r="I97" s="25">
        <v>0</v>
      </c>
      <c r="J97" s="25">
        <v>0</v>
      </c>
      <c r="K97" s="25">
        <v>0</v>
      </c>
      <c r="L97" s="28">
        <v>198</v>
      </c>
      <c r="M97" s="11"/>
      <c r="N97" s="11"/>
      <c r="O97" s="36">
        <v>-198</v>
      </c>
    </row>
    <row r="98" spans="2:15" ht="22.2" x14ac:dyDescent="0.25">
      <c r="B98" s="11">
        <v>1112013</v>
      </c>
      <c r="C98" s="18" t="s">
        <v>106</v>
      </c>
      <c r="D98" s="25">
        <v>18</v>
      </c>
      <c r="E98" s="25">
        <v>55</v>
      </c>
      <c r="F98" s="25">
        <v>37</v>
      </c>
      <c r="G98" s="25">
        <v>132</v>
      </c>
      <c r="H98" s="25">
        <v>76</v>
      </c>
      <c r="I98" s="25">
        <v>0</v>
      </c>
      <c r="J98" s="25">
        <v>0</v>
      </c>
      <c r="K98" s="25">
        <v>0</v>
      </c>
      <c r="L98" s="28">
        <v>318</v>
      </c>
      <c r="M98" s="11"/>
      <c r="N98" s="11"/>
      <c r="O98" s="36">
        <v>-318</v>
      </c>
    </row>
    <row r="99" spans="2:15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36"/>
    </row>
    <row r="100" spans="2:15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1629</v>
      </c>
      <c r="M100" s="11"/>
      <c r="N100" s="11"/>
      <c r="O100" s="36"/>
    </row>
    <row r="101" spans="2:15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60"/>
    </row>
    <row r="102" spans="2:15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36">
        <v>0</v>
      </c>
    </row>
    <row r="103" spans="2:15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36">
        <v>0</v>
      </c>
    </row>
    <row r="104" spans="2:15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36">
        <v>0</v>
      </c>
    </row>
    <row r="105" spans="2:15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36">
        <v>0</v>
      </c>
    </row>
    <row r="106" spans="2:15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36">
        <v>0</v>
      </c>
    </row>
    <row r="107" spans="2:15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36">
        <v>0</v>
      </c>
    </row>
    <row r="108" spans="2:15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36">
        <v>0</v>
      </c>
    </row>
    <row r="109" spans="2:15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36">
        <v>0</v>
      </c>
    </row>
    <row r="110" spans="2:15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36">
        <v>0</v>
      </c>
    </row>
    <row r="111" spans="2:15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36">
        <v>0</v>
      </c>
    </row>
    <row r="112" spans="2:15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36">
        <v>0</v>
      </c>
    </row>
    <row r="113" spans="2:15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60"/>
    </row>
    <row r="114" spans="2:15" ht="22.2" x14ac:dyDescent="0.25">
      <c r="B114" s="11">
        <v>1113170</v>
      </c>
      <c r="C114" s="20" t="s">
        <v>110</v>
      </c>
      <c r="D114" s="25">
        <v>0</v>
      </c>
      <c r="E114" s="25">
        <v>0</v>
      </c>
      <c r="F114" s="25">
        <v>0</v>
      </c>
      <c r="G114" s="25">
        <v>17</v>
      </c>
      <c r="H114" s="25">
        <v>0</v>
      </c>
      <c r="I114" s="25">
        <v>0</v>
      </c>
      <c r="J114" s="25">
        <v>0</v>
      </c>
      <c r="K114" s="25">
        <v>0</v>
      </c>
      <c r="L114" s="28">
        <v>17</v>
      </c>
      <c r="M114" s="11"/>
      <c r="N114" s="11"/>
      <c r="O114" s="36">
        <v>-17</v>
      </c>
    </row>
    <row r="115" spans="2:15" ht="22.2" x14ac:dyDescent="0.25">
      <c r="B115" s="11">
        <v>1113171</v>
      </c>
      <c r="C115" s="20" t="s">
        <v>111</v>
      </c>
      <c r="D115" s="25">
        <v>0</v>
      </c>
      <c r="E115" s="25">
        <v>0</v>
      </c>
      <c r="F115" s="25">
        <v>0</v>
      </c>
      <c r="G115" s="25">
        <v>12</v>
      </c>
      <c r="H115" s="25">
        <v>0</v>
      </c>
      <c r="I115" s="25">
        <v>0</v>
      </c>
      <c r="J115" s="25">
        <v>0</v>
      </c>
      <c r="K115" s="25">
        <v>0</v>
      </c>
      <c r="L115" s="28">
        <v>12</v>
      </c>
      <c r="M115" s="11"/>
      <c r="N115" s="11"/>
      <c r="O115" s="36">
        <v>-12</v>
      </c>
    </row>
    <row r="116" spans="2:15" ht="22.2" x14ac:dyDescent="0.25">
      <c r="B116" s="11">
        <v>1113172</v>
      </c>
      <c r="C116" s="20" t="s">
        <v>112</v>
      </c>
      <c r="D116" s="25">
        <v>0</v>
      </c>
      <c r="E116" s="25">
        <v>0</v>
      </c>
      <c r="F116" s="25">
        <v>0</v>
      </c>
      <c r="G116" s="25">
        <v>17</v>
      </c>
      <c r="H116" s="25">
        <v>0</v>
      </c>
      <c r="I116" s="25">
        <v>0</v>
      </c>
      <c r="J116" s="25">
        <v>0</v>
      </c>
      <c r="K116" s="25">
        <v>0</v>
      </c>
      <c r="L116" s="28">
        <v>17</v>
      </c>
      <c r="M116" s="11"/>
      <c r="N116" s="11"/>
      <c r="O116" s="36">
        <v>-17</v>
      </c>
    </row>
    <row r="117" spans="2:15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36">
        <v>0</v>
      </c>
    </row>
    <row r="118" spans="2:15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/>
      <c r="O118" s="36">
        <v>0</v>
      </c>
    </row>
    <row r="119" spans="2:15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0</v>
      </c>
      <c r="M119" s="11"/>
      <c r="N119" s="11"/>
      <c r="O119" s="36">
        <v>0</v>
      </c>
    </row>
    <row r="120" spans="2:15" ht="22.2" x14ac:dyDescent="0.25">
      <c r="B120" s="11">
        <v>1100002</v>
      </c>
      <c r="C120" s="20" t="s">
        <v>116</v>
      </c>
      <c r="D120" s="25">
        <v>0</v>
      </c>
      <c r="E120" s="25">
        <v>7</v>
      </c>
      <c r="F120" s="25">
        <v>0</v>
      </c>
      <c r="G120" s="25">
        <v>1</v>
      </c>
      <c r="H120" s="25">
        <v>4</v>
      </c>
      <c r="I120" s="25">
        <v>0</v>
      </c>
      <c r="J120" s="25">
        <v>0</v>
      </c>
      <c r="K120" s="25">
        <v>0</v>
      </c>
      <c r="L120" s="28">
        <v>12</v>
      </c>
      <c r="M120" s="11"/>
      <c r="N120" s="11"/>
      <c r="O120" s="36">
        <v>-12</v>
      </c>
    </row>
    <row r="121" spans="2:15" ht="22.2" x14ac:dyDescent="0.25">
      <c r="B121" s="11">
        <v>1200001</v>
      </c>
      <c r="C121" s="20" t="s">
        <v>117</v>
      </c>
      <c r="D121" s="25">
        <v>0</v>
      </c>
      <c r="E121" s="25">
        <v>7</v>
      </c>
      <c r="F121" s="25">
        <v>10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17</v>
      </c>
      <c r="M121" s="11"/>
      <c r="N121" s="11"/>
      <c r="O121" s="36">
        <v>-17</v>
      </c>
    </row>
    <row r="122" spans="2:15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36">
        <v>0</v>
      </c>
    </row>
    <row r="123" spans="2:15" ht="22.2" x14ac:dyDescent="0.25">
      <c r="B123" s="11">
        <v>1114501</v>
      </c>
      <c r="C123" s="20" t="s">
        <v>119</v>
      </c>
      <c r="D123" s="25">
        <v>0</v>
      </c>
      <c r="E123" s="25">
        <v>6</v>
      </c>
      <c r="F123" s="25">
        <v>3</v>
      </c>
      <c r="G123" s="25">
        <v>176</v>
      </c>
      <c r="H123" s="25">
        <v>106</v>
      </c>
      <c r="I123" s="25">
        <v>0</v>
      </c>
      <c r="J123" s="25">
        <v>0</v>
      </c>
      <c r="K123" s="25">
        <v>0</v>
      </c>
      <c r="L123" s="28">
        <v>291</v>
      </c>
      <c r="M123" s="11"/>
      <c r="N123" s="11"/>
      <c r="O123" s="36">
        <v>-291</v>
      </c>
    </row>
    <row r="124" spans="2:15" ht="22.2" x14ac:dyDescent="0.25">
      <c r="B124" s="11">
        <v>1114502</v>
      </c>
      <c r="C124" s="20" t="s">
        <v>120</v>
      </c>
      <c r="D124" s="25">
        <v>0</v>
      </c>
      <c r="E124" s="25">
        <v>6</v>
      </c>
      <c r="F124" s="25">
        <v>4</v>
      </c>
      <c r="G124" s="25">
        <v>176</v>
      </c>
      <c r="H124" s="25">
        <v>106</v>
      </c>
      <c r="I124" s="25">
        <v>0</v>
      </c>
      <c r="J124" s="25">
        <v>0</v>
      </c>
      <c r="K124" s="25">
        <v>0</v>
      </c>
      <c r="L124" s="28">
        <v>292</v>
      </c>
      <c r="M124" s="11"/>
      <c r="N124" s="11"/>
      <c r="O124" s="36">
        <v>-292</v>
      </c>
    </row>
    <row r="125" spans="2:15" ht="22.2" x14ac:dyDescent="0.25">
      <c r="B125" s="11">
        <v>1114503</v>
      </c>
      <c r="C125" s="20" t="s">
        <v>121</v>
      </c>
      <c r="D125" s="25">
        <v>0</v>
      </c>
      <c r="E125" s="25">
        <v>5</v>
      </c>
      <c r="F125" s="25">
        <v>3</v>
      </c>
      <c r="G125" s="25">
        <v>176</v>
      </c>
      <c r="H125" s="25">
        <v>106</v>
      </c>
      <c r="I125" s="25">
        <v>0</v>
      </c>
      <c r="J125" s="25">
        <v>0</v>
      </c>
      <c r="K125" s="25">
        <v>0</v>
      </c>
      <c r="L125" s="28">
        <v>290</v>
      </c>
      <c r="M125" s="11"/>
      <c r="N125" s="11"/>
      <c r="O125" s="36">
        <v>-290</v>
      </c>
    </row>
    <row r="126" spans="2:15" ht="22.2" x14ac:dyDescent="0.25">
      <c r="B126" s="11">
        <v>1124021</v>
      </c>
      <c r="C126" s="20" t="s">
        <v>122</v>
      </c>
      <c r="D126" s="25">
        <v>0</v>
      </c>
      <c r="E126" s="25">
        <v>0</v>
      </c>
      <c r="F126" s="25">
        <v>8</v>
      </c>
      <c r="G126" s="25">
        <v>18</v>
      </c>
      <c r="H126" s="25">
        <v>0</v>
      </c>
      <c r="I126" s="25">
        <v>0</v>
      </c>
      <c r="J126" s="25">
        <v>0</v>
      </c>
      <c r="K126" s="25">
        <v>0</v>
      </c>
      <c r="L126" s="28">
        <v>26</v>
      </c>
      <c r="M126" s="11"/>
      <c r="N126" s="11"/>
      <c r="O126" s="36">
        <v>-26</v>
      </c>
    </row>
    <row r="127" spans="2:15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36">
        <v>0</v>
      </c>
    </row>
    <row r="128" spans="2:15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36">
        <v>0</v>
      </c>
    </row>
    <row r="129" spans="2:15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36">
        <v>0</v>
      </c>
    </row>
    <row r="130" spans="2:15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/>
      <c r="O130" s="36">
        <v>0</v>
      </c>
    </row>
    <row r="131" spans="2:15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36">
        <v>0</v>
      </c>
    </row>
    <row r="132" spans="2:15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36">
        <v>0</v>
      </c>
    </row>
    <row r="133" spans="2:15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36">
        <v>0</v>
      </c>
    </row>
    <row r="134" spans="2:15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36">
        <v>0</v>
      </c>
    </row>
    <row r="135" spans="2:15" ht="22.2" x14ac:dyDescent="0.25">
      <c r="B135" s="21"/>
      <c r="C135" s="20" t="s">
        <v>131</v>
      </c>
      <c r="D135" s="25">
        <v>0</v>
      </c>
      <c r="E135" s="25">
        <v>1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1</v>
      </c>
      <c r="M135" s="11"/>
      <c r="N135" s="11"/>
      <c r="O135" s="36">
        <v>-1</v>
      </c>
    </row>
    <row r="136" spans="2:15" ht="22.2" x14ac:dyDescent="0.25">
      <c r="B136" s="21"/>
      <c r="C136" s="20" t="s">
        <v>132</v>
      </c>
      <c r="D136" s="25">
        <v>0</v>
      </c>
      <c r="E136" s="25">
        <v>3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3</v>
      </c>
      <c r="M136" s="11"/>
      <c r="N136" s="11"/>
      <c r="O136" s="36">
        <v>-3</v>
      </c>
    </row>
    <row r="137" spans="2:15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36">
        <v>0</v>
      </c>
    </row>
    <row r="138" spans="2:15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36">
        <v>0</v>
      </c>
    </row>
    <row r="139" spans="2:15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36">
        <v>0</v>
      </c>
    </row>
    <row r="140" spans="2:15" ht="22.2" x14ac:dyDescent="0.25">
      <c r="C140" s="27"/>
      <c r="D140" s="28">
        <v>191</v>
      </c>
      <c r="E140" s="28">
        <v>475</v>
      </c>
      <c r="F140" s="28">
        <v>315</v>
      </c>
      <c r="G140" s="28">
        <v>2103</v>
      </c>
      <c r="H140" s="28">
        <v>1101</v>
      </c>
      <c r="I140" s="28">
        <v>0</v>
      </c>
      <c r="J140" s="28">
        <v>0</v>
      </c>
      <c r="K140" s="28">
        <v>10</v>
      </c>
      <c r="L140" s="28">
        <v>4195</v>
      </c>
      <c r="M140" s="25">
        <v>0</v>
      </c>
      <c r="N140" s="25">
        <v>0</v>
      </c>
      <c r="O140" s="36">
        <v>-4195</v>
      </c>
    </row>
    <row r="141" spans="2:15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5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5" ht="22.2" x14ac:dyDescent="0.25">
      <c r="C143" s="22"/>
      <c r="D143" s="26"/>
      <c r="E143" s="61"/>
      <c r="F143" s="61"/>
      <c r="G143" s="23"/>
      <c r="L143" s="32"/>
    </row>
  </sheetData>
  <mergeCells count="13">
    <mergeCell ref="B1:L1"/>
    <mergeCell ref="B2:C3"/>
    <mergeCell ref="E2:F3"/>
    <mergeCell ref="M2:M4"/>
    <mergeCell ref="O2:O4"/>
    <mergeCell ref="B101:O101"/>
    <mergeCell ref="B113:O113"/>
    <mergeCell ref="E143:F143"/>
    <mergeCell ref="B89:O89"/>
    <mergeCell ref="N2:N4"/>
    <mergeCell ref="B6:O6"/>
    <mergeCell ref="B68:O68"/>
    <mergeCell ref="B78:O7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9104-45D9-41FB-9B98-1DE2AA1C07E7}">
  <dimension ref="B1:O143"/>
  <sheetViews>
    <sheetView workbookViewId="0">
      <selection activeCell="R10" sqref="R10"/>
    </sheetView>
  </sheetViews>
  <sheetFormatPr defaultRowHeight="13.8" x14ac:dyDescent="0.25"/>
  <sheetData>
    <row r="1" spans="2:15" ht="22.2" x14ac:dyDescent="0.25">
      <c r="B1" s="50" t="s">
        <v>164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5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62" t="s">
        <v>4</v>
      </c>
    </row>
    <row r="3" spans="2:15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63"/>
    </row>
    <row r="4" spans="2:15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64"/>
    </row>
    <row r="5" spans="2:15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24"/>
    </row>
    <row r="6" spans="2:15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2:15" ht="22.2" x14ac:dyDescent="0.25">
      <c r="B7" s="11">
        <v>1111002</v>
      </c>
      <c r="C7" s="15" t="s">
        <v>18</v>
      </c>
      <c r="D7" s="25">
        <v>11</v>
      </c>
      <c r="E7" s="25">
        <v>183</v>
      </c>
      <c r="F7" s="25">
        <v>52</v>
      </c>
      <c r="G7" s="25">
        <v>7</v>
      </c>
      <c r="H7" s="25">
        <v>0</v>
      </c>
      <c r="I7" s="25">
        <v>0</v>
      </c>
      <c r="J7" s="25">
        <v>0</v>
      </c>
      <c r="K7" s="25">
        <v>60</v>
      </c>
      <c r="L7" s="28">
        <v>313</v>
      </c>
      <c r="M7" s="11">
        <v>1000</v>
      </c>
      <c r="N7" s="11">
        <v>1225</v>
      </c>
      <c r="O7" s="36">
        <v>1912</v>
      </c>
    </row>
    <row r="8" spans="2:15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36">
        <v>0</v>
      </c>
    </row>
    <row r="9" spans="2:15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36">
        <v>0</v>
      </c>
    </row>
    <row r="10" spans="2:15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36">
        <v>0</v>
      </c>
    </row>
    <row r="11" spans="2:15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36">
        <v>0</v>
      </c>
    </row>
    <row r="12" spans="2:15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36">
        <v>0</v>
      </c>
    </row>
    <row r="13" spans="2:15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36">
        <v>0</v>
      </c>
    </row>
    <row r="14" spans="2:15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36">
        <v>0</v>
      </c>
    </row>
    <row r="15" spans="2:15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36">
        <v>0</v>
      </c>
    </row>
    <row r="16" spans="2:15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36">
        <v>0</v>
      </c>
    </row>
    <row r="17" spans="2:15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36">
        <v>0</v>
      </c>
    </row>
    <row r="18" spans="2:15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36">
        <v>0</v>
      </c>
    </row>
    <row r="19" spans="2:15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36">
        <v>0</v>
      </c>
    </row>
    <row r="20" spans="2:15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36">
        <v>0</v>
      </c>
    </row>
    <row r="21" spans="2:15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36">
        <v>0</v>
      </c>
    </row>
    <row r="22" spans="2:15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36">
        <v>0</v>
      </c>
    </row>
    <row r="23" spans="2:15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36">
        <v>0</v>
      </c>
    </row>
    <row r="24" spans="2:15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36">
        <v>0</v>
      </c>
    </row>
    <row r="25" spans="2:15" ht="22.2" x14ac:dyDescent="0.25">
      <c r="B25" s="11">
        <v>1111056</v>
      </c>
      <c r="C25" s="15" t="s">
        <v>36</v>
      </c>
      <c r="D25" s="25">
        <v>7</v>
      </c>
      <c r="E25" s="25">
        <v>23</v>
      </c>
      <c r="F25" s="25">
        <v>10</v>
      </c>
      <c r="G25" s="25">
        <v>0</v>
      </c>
      <c r="H25" s="25">
        <v>3</v>
      </c>
      <c r="I25" s="25">
        <v>0</v>
      </c>
      <c r="J25" s="25">
        <v>0</v>
      </c>
      <c r="K25" s="25">
        <v>0</v>
      </c>
      <c r="L25" s="28">
        <v>43</v>
      </c>
      <c r="M25" s="11"/>
      <c r="N25" s="11">
        <v>39</v>
      </c>
      <c r="O25" s="36">
        <v>-4</v>
      </c>
    </row>
    <row r="26" spans="2:15" ht="22.2" x14ac:dyDescent="0.25">
      <c r="B26" s="11">
        <v>1004055</v>
      </c>
      <c r="C26" s="15" t="s">
        <v>37</v>
      </c>
      <c r="D26" s="25">
        <v>5</v>
      </c>
      <c r="E26" s="25">
        <v>52</v>
      </c>
      <c r="F26" s="25">
        <v>9</v>
      </c>
      <c r="G26" s="25">
        <v>401</v>
      </c>
      <c r="H26" s="25">
        <v>264</v>
      </c>
      <c r="I26" s="25">
        <v>0</v>
      </c>
      <c r="J26" s="25">
        <v>0</v>
      </c>
      <c r="K26" s="25">
        <v>50</v>
      </c>
      <c r="L26" s="28">
        <v>781</v>
      </c>
      <c r="M26" s="11"/>
      <c r="N26" s="11">
        <v>594</v>
      </c>
      <c r="O26" s="36">
        <v>-187</v>
      </c>
    </row>
    <row r="27" spans="2:15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36">
        <v>0</v>
      </c>
    </row>
    <row r="28" spans="2:15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36">
        <v>0</v>
      </c>
    </row>
    <row r="29" spans="2:15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36">
        <v>0</v>
      </c>
    </row>
    <row r="30" spans="2:15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36">
        <v>0</v>
      </c>
    </row>
    <row r="31" spans="2:15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36">
        <v>0</v>
      </c>
    </row>
    <row r="32" spans="2:15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36">
        <v>0</v>
      </c>
    </row>
    <row r="33" spans="2:15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36">
        <v>0</v>
      </c>
    </row>
    <row r="34" spans="2:15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36">
        <v>0</v>
      </c>
    </row>
    <row r="35" spans="2:15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36">
        <v>0</v>
      </c>
    </row>
    <row r="36" spans="2:15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36">
        <v>0</v>
      </c>
    </row>
    <row r="37" spans="2:15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36">
        <v>0</v>
      </c>
    </row>
    <row r="38" spans="2:15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36">
        <v>0</v>
      </c>
    </row>
    <row r="39" spans="2:15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36">
        <v>0</v>
      </c>
    </row>
    <row r="40" spans="2:15" ht="22.2" x14ac:dyDescent="0.25">
      <c r="B40" s="11">
        <v>1111057</v>
      </c>
      <c r="C40" s="15" t="s">
        <v>51</v>
      </c>
      <c r="D40" s="25">
        <v>0</v>
      </c>
      <c r="E40" s="25">
        <v>0</v>
      </c>
      <c r="F40" s="25">
        <v>22</v>
      </c>
      <c r="G40" s="25">
        <v>0</v>
      </c>
      <c r="H40" s="25">
        <v>4</v>
      </c>
      <c r="I40" s="25">
        <v>0</v>
      </c>
      <c r="J40" s="25">
        <v>0</v>
      </c>
      <c r="K40" s="25">
        <v>0</v>
      </c>
      <c r="L40" s="28">
        <v>26</v>
      </c>
      <c r="M40" s="11"/>
      <c r="N40" s="11">
        <v>1</v>
      </c>
      <c r="O40" s="36">
        <v>-25</v>
      </c>
    </row>
    <row r="41" spans="2:15" ht="22.2" x14ac:dyDescent="0.25">
      <c r="B41" s="11">
        <v>1111058</v>
      </c>
      <c r="C41" s="15" t="s">
        <v>52</v>
      </c>
      <c r="D41" s="25">
        <v>0</v>
      </c>
      <c r="E41" s="25">
        <v>0</v>
      </c>
      <c r="F41" s="25">
        <v>12</v>
      </c>
      <c r="G41" s="25">
        <v>0</v>
      </c>
      <c r="H41" s="25">
        <v>4</v>
      </c>
      <c r="I41" s="25">
        <v>0</v>
      </c>
      <c r="J41" s="25">
        <v>0</v>
      </c>
      <c r="K41" s="25">
        <v>0</v>
      </c>
      <c r="L41" s="28">
        <v>16</v>
      </c>
      <c r="M41" s="11"/>
      <c r="N41" s="11"/>
      <c r="O41" s="36">
        <v>-16</v>
      </c>
    </row>
    <row r="42" spans="2:15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25">
        <v>22</v>
      </c>
      <c r="G42" s="25">
        <v>0</v>
      </c>
      <c r="H42" s="25">
        <v>4</v>
      </c>
      <c r="I42" s="25">
        <v>0</v>
      </c>
      <c r="J42" s="25">
        <v>0</v>
      </c>
      <c r="K42" s="25">
        <v>0</v>
      </c>
      <c r="L42" s="28">
        <v>26</v>
      </c>
      <c r="M42" s="11"/>
      <c r="N42" s="11"/>
      <c r="O42" s="36">
        <v>-26</v>
      </c>
    </row>
    <row r="43" spans="2:15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/>
      <c r="N43" s="11"/>
      <c r="O43" s="36">
        <v>0</v>
      </c>
    </row>
    <row r="44" spans="2:15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25">
        <v>12</v>
      </c>
      <c r="G44" s="25">
        <v>0</v>
      </c>
      <c r="H44" s="25">
        <v>4</v>
      </c>
      <c r="I44" s="25">
        <v>0</v>
      </c>
      <c r="J44" s="25">
        <v>0</v>
      </c>
      <c r="K44" s="25">
        <v>0</v>
      </c>
      <c r="L44" s="28">
        <v>16</v>
      </c>
      <c r="M44" s="11"/>
      <c r="N44" s="11">
        <v>1</v>
      </c>
      <c r="O44" s="36">
        <v>-15</v>
      </c>
    </row>
    <row r="45" spans="2:15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20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20</v>
      </c>
      <c r="M45" s="11"/>
      <c r="N45" s="11"/>
      <c r="O45" s="36">
        <v>-20</v>
      </c>
    </row>
    <row r="46" spans="2:15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25">
        <v>22</v>
      </c>
      <c r="G46" s="25">
        <v>0</v>
      </c>
      <c r="H46" s="25">
        <v>4</v>
      </c>
      <c r="I46" s="25">
        <v>0</v>
      </c>
      <c r="J46" s="25">
        <v>0</v>
      </c>
      <c r="K46" s="25">
        <v>0</v>
      </c>
      <c r="L46" s="28">
        <v>26</v>
      </c>
      <c r="M46" s="11"/>
      <c r="N46" s="11"/>
      <c r="O46" s="36">
        <v>-26</v>
      </c>
    </row>
    <row r="47" spans="2:15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25">
        <v>22</v>
      </c>
      <c r="G47" s="25">
        <v>0</v>
      </c>
      <c r="H47" s="25">
        <v>4</v>
      </c>
      <c r="I47" s="25">
        <v>0</v>
      </c>
      <c r="J47" s="25">
        <v>0</v>
      </c>
      <c r="K47" s="25">
        <v>0</v>
      </c>
      <c r="L47" s="28">
        <v>26</v>
      </c>
      <c r="M47" s="11"/>
      <c r="N47" s="11"/>
      <c r="O47" s="36">
        <v>-26</v>
      </c>
    </row>
    <row r="48" spans="2:15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/>
      <c r="N48" s="11"/>
      <c r="O48" s="36">
        <v>0</v>
      </c>
    </row>
    <row r="49" spans="2:15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25">
        <v>22</v>
      </c>
      <c r="G49" s="25">
        <v>0</v>
      </c>
      <c r="H49" s="25">
        <v>4</v>
      </c>
      <c r="I49" s="25">
        <v>0</v>
      </c>
      <c r="J49" s="25">
        <v>0</v>
      </c>
      <c r="K49" s="25">
        <v>0</v>
      </c>
      <c r="L49" s="28">
        <v>26</v>
      </c>
      <c r="M49" s="11"/>
      <c r="N49" s="11"/>
      <c r="O49" s="36">
        <v>-26</v>
      </c>
    </row>
    <row r="50" spans="2:15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25">
        <v>22</v>
      </c>
      <c r="G50" s="25">
        <v>0</v>
      </c>
      <c r="H50" s="25">
        <v>4</v>
      </c>
      <c r="I50" s="25">
        <v>0</v>
      </c>
      <c r="J50" s="25">
        <v>0</v>
      </c>
      <c r="K50" s="25">
        <v>0</v>
      </c>
      <c r="L50" s="28">
        <v>26</v>
      </c>
      <c r="M50" s="11"/>
      <c r="N50" s="11"/>
      <c r="O50" s="36">
        <v>-26</v>
      </c>
    </row>
    <row r="51" spans="2:15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25">
        <v>22</v>
      </c>
      <c r="G51" s="25">
        <v>0</v>
      </c>
      <c r="H51" s="25">
        <v>4</v>
      </c>
      <c r="I51" s="25">
        <v>0</v>
      </c>
      <c r="J51" s="25">
        <v>0</v>
      </c>
      <c r="K51" s="25">
        <v>0</v>
      </c>
      <c r="L51" s="28">
        <v>26</v>
      </c>
      <c r="M51" s="11"/>
      <c r="N51" s="11"/>
      <c r="O51" s="36">
        <v>-26</v>
      </c>
    </row>
    <row r="52" spans="2:15" ht="22.2" x14ac:dyDescent="0.25">
      <c r="B52" s="11">
        <v>1111069</v>
      </c>
      <c r="C52" s="15" t="s">
        <v>63</v>
      </c>
      <c r="D52" s="25">
        <v>0</v>
      </c>
      <c r="E52" s="25">
        <v>0</v>
      </c>
      <c r="F52" s="25">
        <v>22</v>
      </c>
      <c r="G52" s="25">
        <v>0</v>
      </c>
      <c r="H52" s="25">
        <v>4</v>
      </c>
      <c r="I52" s="25">
        <v>0</v>
      </c>
      <c r="J52" s="25">
        <v>0</v>
      </c>
      <c r="K52" s="25">
        <v>0</v>
      </c>
      <c r="L52" s="28">
        <v>26</v>
      </c>
      <c r="M52" s="11"/>
      <c r="N52" s="11"/>
      <c r="O52" s="36">
        <v>-26</v>
      </c>
    </row>
    <row r="53" spans="2:15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36">
        <v>0</v>
      </c>
    </row>
    <row r="54" spans="2:15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36">
        <v>0</v>
      </c>
    </row>
    <row r="55" spans="2:15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36">
        <v>0</v>
      </c>
    </row>
    <row r="56" spans="2:15" ht="22.2" x14ac:dyDescent="0.25">
      <c r="B56" s="11">
        <v>1111074</v>
      </c>
      <c r="C56" s="15" t="s">
        <v>67</v>
      </c>
      <c r="D56" s="25">
        <v>0</v>
      </c>
      <c r="E56" s="25">
        <v>1</v>
      </c>
      <c r="F56" s="25">
        <v>1</v>
      </c>
      <c r="G56" s="25">
        <v>0</v>
      </c>
      <c r="H56" s="25">
        <v>6</v>
      </c>
      <c r="I56" s="25">
        <v>0</v>
      </c>
      <c r="J56" s="25">
        <v>0</v>
      </c>
      <c r="K56" s="25">
        <v>0</v>
      </c>
      <c r="L56" s="28">
        <v>8</v>
      </c>
      <c r="M56" s="11"/>
      <c r="N56" s="11"/>
      <c r="O56" s="36">
        <v>-8</v>
      </c>
    </row>
    <row r="57" spans="2:15" ht="22.2" x14ac:dyDescent="0.25">
      <c r="B57" s="11">
        <v>1111075</v>
      </c>
      <c r="C57" s="15" t="s">
        <v>68</v>
      </c>
      <c r="D57" s="25">
        <v>0</v>
      </c>
      <c r="E57" s="25">
        <v>1</v>
      </c>
      <c r="F57" s="25">
        <v>1</v>
      </c>
      <c r="G57" s="25">
        <v>0</v>
      </c>
      <c r="H57" s="25">
        <v>6</v>
      </c>
      <c r="I57" s="25">
        <v>0</v>
      </c>
      <c r="J57" s="25">
        <v>0</v>
      </c>
      <c r="K57" s="25">
        <v>0</v>
      </c>
      <c r="L57" s="28">
        <v>8</v>
      </c>
      <c r="M57" s="11"/>
      <c r="N57" s="11"/>
      <c r="O57" s="36">
        <v>-8</v>
      </c>
    </row>
    <row r="58" spans="2:15" ht="22.2" x14ac:dyDescent="0.25">
      <c r="B58" s="11">
        <v>1111076</v>
      </c>
      <c r="C58" s="15" t="s">
        <v>69</v>
      </c>
      <c r="D58" s="25">
        <v>0</v>
      </c>
      <c r="E58" s="25">
        <v>1</v>
      </c>
      <c r="F58" s="25">
        <v>1</v>
      </c>
      <c r="G58" s="25">
        <v>0</v>
      </c>
      <c r="H58" s="25">
        <v>5</v>
      </c>
      <c r="I58" s="25">
        <v>0</v>
      </c>
      <c r="J58" s="25">
        <v>0</v>
      </c>
      <c r="K58" s="25">
        <v>0</v>
      </c>
      <c r="L58" s="28">
        <v>7</v>
      </c>
      <c r="M58" s="11"/>
      <c r="N58" s="11"/>
      <c r="O58" s="36">
        <v>-7</v>
      </c>
    </row>
    <row r="59" spans="2:15" ht="22.2" x14ac:dyDescent="0.25">
      <c r="B59" s="11">
        <v>1111077</v>
      </c>
      <c r="C59" s="15" t="s">
        <v>70</v>
      </c>
      <c r="D59" s="25">
        <v>0</v>
      </c>
      <c r="E59" s="25">
        <v>1</v>
      </c>
      <c r="F59" s="25">
        <v>1</v>
      </c>
      <c r="G59" s="25">
        <v>0</v>
      </c>
      <c r="H59" s="25">
        <v>5</v>
      </c>
      <c r="I59" s="25">
        <v>0</v>
      </c>
      <c r="J59" s="25">
        <v>0</v>
      </c>
      <c r="K59" s="25">
        <v>0</v>
      </c>
      <c r="L59" s="28">
        <v>7</v>
      </c>
      <c r="M59" s="11"/>
      <c r="N59" s="11"/>
      <c r="O59" s="36">
        <v>-7</v>
      </c>
    </row>
    <row r="60" spans="2:15" ht="22.2" x14ac:dyDescent="0.25">
      <c r="B60" s="11">
        <v>1111078</v>
      </c>
      <c r="C60" s="15" t="s">
        <v>71</v>
      </c>
      <c r="D60" s="25">
        <v>0</v>
      </c>
      <c r="E60" s="25">
        <v>1</v>
      </c>
      <c r="F60" s="25">
        <v>1</v>
      </c>
      <c r="G60" s="25">
        <v>0</v>
      </c>
      <c r="H60" s="25">
        <v>5</v>
      </c>
      <c r="I60" s="25">
        <v>0</v>
      </c>
      <c r="J60" s="25">
        <v>0</v>
      </c>
      <c r="K60" s="25">
        <v>0</v>
      </c>
      <c r="L60" s="28">
        <v>7</v>
      </c>
      <c r="M60" s="11"/>
      <c r="N60" s="11"/>
      <c r="O60" s="36">
        <v>-7</v>
      </c>
    </row>
    <row r="61" spans="2:15" ht="22.2" x14ac:dyDescent="0.25">
      <c r="B61" s="11">
        <v>1111079</v>
      </c>
      <c r="C61" s="15" t="s">
        <v>72</v>
      </c>
      <c r="D61" s="25">
        <v>0</v>
      </c>
      <c r="E61" s="25">
        <v>1</v>
      </c>
      <c r="F61" s="25">
        <v>1</v>
      </c>
      <c r="G61" s="25">
        <v>0</v>
      </c>
      <c r="H61" s="25">
        <v>5</v>
      </c>
      <c r="I61" s="25">
        <v>0</v>
      </c>
      <c r="J61" s="25">
        <v>0</v>
      </c>
      <c r="K61" s="25">
        <v>0</v>
      </c>
      <c r="L61" s="28">
        <v>7</v>
      </c>
      <c r="M61" s="11"/>
      <c r="N61" s="11"/>
      <c r="O61" s="36">
        <v>-7</v>
      </c>
    </row>
    <row r="62" spans="2:15" ht="22.2" x14ac:dyDescent="0.25">
      <c r="B62" s="11">
        <v>1111080</v>
      </c>
      <c r="C62" s="15" t="s">
        <v>73</v>
      </c>
      <c r="D62" s="25">
        <v>0</v>
      </c>
      <c r="E62" s="25">
        <v>1</v>
      </c>
      <c r="F62" s="25">
        <v>1</v>
      </c>
      <c r="G62" s="25">
        <v>0</v>
      </c>
      <c r="H62" s="25">
        <v>5</v>
      </c>
      <c r="I62" s="25">
        <v>0</v>
      </c>
      <c r="J62" s="25">
        <v>0</v>
      </c>
      <c r="K62" s="25">
        <v>0</v>
      </c>
      <c r="L62" s="28">
        <v>7</v>
      </c>
      <c r="M62" s="11"/>
      <c r="N62" s="11"/>
      <c r="O62" s="36">
        <v>-7</v>
      </c>
    </row>
    <row r="63" spans="2:15" ht="22.2" x14ac:dyDescent="0.25">
      <c r="B63" s="11">
        <v>1111081</v>
      </c>
      <c r="C63" s="15" t="s">
        <v>74</v>
      </c>
      <c r="D63" s="25">
        <v>0</v>
      </c>
      <c r="E63" s="25">
        <v>1</v>
      </c>
      <c r="F63" s="25">
        <v>1</v>
      </c>
      <c r="G63" s="25">
        <v>0</v>
      </c>
      <c r="H63" s="25">
        <v>5</v>
      </c>
      <c r="I63" s="25">
        <v>0</v>
      </c>
      <c r="J63" s="25">
        <v>0</v>
      </c>
      <c r="K63" s="25">
        <v>0</v>
      </c>
      <c r="L63" s="28">
        <v>7</v>
      </c>
      <c r="M63" s="11"/>
      <c r="N63" s="11"/>
      <c r="O63" s="36">
        <v>-7</v>
      </c>
    </row>
    <row r="64" spans="2:15" ht="22.2" x14ac:dyDescent="0.25">
      <c r="B64" s="11">
        <v>1111082</v>
      </c>
      <c r="C64" s="15" t="s">
        <v>75</v>
      </c>
      <c r="D64" s="25">
        <v>0</v>
      </c>
      <c r="E64" s="25">
        <v>1</v>
      </c>
      <c r="F64" s="25">
        <v>1</v>
      </c>
      <c r="G64" s="25">
        <v>0</v>
      </c>
      <c r="H64" s="25">
        <v>5</v>
      </c>
      <c r="I64" s="25">
        <v>0</v>
      </c>
      <c r="J64" s="25">
        <v>0</v>
      </c>
      <c r="K64" s="25">
        <v>0</v>
      </c>
      <c r="L64" s="28">
        <v>7</v>
      </c>
      <c r="M64" s="11"/>
      <c r="N64" s="11"/>
      <c r="O64" s="36">
        <v>-7</v>
      </c>
    </row>
    <row r="65" spans="2:15" ht="22.2" x14ac:dyDescent="0.25">
      <c r="B65" s="11">
        <v>1111083</v>
      </c>
      <c r="C65" s="15" t="s">
        <v>76</v>
      </c>
      <c r="D65" s="25">
        <v>0</v>
      </c>
      <c r="E65" s="25">
        <v>1</v>
      </c>
      <c r="F65" s="25">
        <v>1</v>
      </c>
      <c r="G65" s="25">
        <v>0</v>
      </c>
      <c r="H65" s="25">
        <v>5</v>
      </c>
      <c r="I65" s="25">
        <v>0</v>
      </c>
      <c r="J65" s="25">
        <v>0</v>
      </c>
      <c r="K65" s="25">
        <v>0</v>
      </c>
      <c r="L65" s="28">
        <v>7</v>
      </c>
      <c r="M65" s="11"/>
      <c r="N65" s="11"/>
      <c r="O65" s="36">
        <v>-7</v>
      </c>
    </row>
    <row r="66" spans="2:15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36">
        <v>0</v>
      </c>
    </row>
    <row r="67" spans="2:15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36"/>
    </row>
    <row r="68" spans="2:15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0"/>
    </row>
    <row r="69" spans="2:15" ht="22.2" x14ac:dyDescent="0.25">
      <c r="B69" s="11">
        <v>1111009</v>
      </c>
      <c r="C69" s="18" t="s">
        <v>79</v>
      </c>
      <c r="D69" s="25">
        <v>3</v>
      </c>
      <c r="E69" s="25">
        <v>4</v>
      </c>
      <c r="F69" s="25">
        <v>6</v>
      </c>
      <c r="G69" s="25">
        <v>20</v>
      </c>
      <c r="H69" s="25">
        <v>2</v>
      </c>
      <c r="I69" s="25">
        <v>0</v>
      </c>
      <c r="J69" s="25">
        <v>0</v>
      </c>
      <c r="K69" s="25">
        <v>0</v>
      </c>
      <c r="L69" s="28">
        <v>35</v>
      </c>
      <c r="M69" s="11">
        <v>100</v>
      </c>
      <c r="N69" s="11"/>
      <c r="O69" s="36">
        <v>65</v>
      </c>
    </row>
    <row r="70" spans="2:15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36">
        <v>0</v>
      </c>
    </row>
    <row r="71" spans="2:15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36">
        <v>0</v>
      </c>
    </row>
    <row r="72" spans="2:15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36">
        <v>0</v>
      </c>
    </row>
    <row r="73" spans="2:15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36">
        <v>0</v>
      </c>
    </row>
    <row r="74" spans="2:15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36">
        <v>0</v>
      </c>
    </row>
    <row r="75" spans="2:15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36">
        <v>0</v>
      </c>
    </row>
    <row r="76" spans="2:15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36">
        <v>0</v>
      </c>
    </row>
    <row r="77" spans="2:15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36">
        <v>0</v>
      </c>
    </row>
    <row r="78" spans="2:15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60"/>
    </row>
    <row r="79" spans="2:15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36">
        <v>0</v>
      </c>
    </row>
    <row r="80" spans="2:15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36">
        <v>0</v>
      </c>
    </row>
    <row r="81" spans="2:15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36">
        <v>0</v>
      </c>
    </row>
    <row r="82" spans="2:15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36">
        <v>0</v>
      </c>
    </row>
    <row r="83" spans="2:15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36">
        <v>0</v>
      </c>
    </row>
    <row r="84" spans="2:15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36">
        <v>0</v>
      </c>
    </row>
    <row r="85" spans="2:15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36">
        <v>0</v>
      </c>
    </row>
    <row r="86" spans="2:15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36">
        <v>0</v>
      </c>
    </row>
    <row r="87" spans="2:15" ht="22.2" x14ac:dyDescent="0.25">
      <c r="B87" s="11">
        <v>1111008</v>
      </c>
      <c r="C87" s="18" t="s">
        <v>96</v>
      </c>
      <c r="D87" s="25">
        <v>0</v>
      </c>
      <c r="E87" s="25">
        <v>16</v>
      </c>
      <c r="F87" s="25">
        <v>3</v>
      </c>
      <c r="G87" s="25">
        <v>506</v>
      </c>
      <c r="H87" s="25">
        <v>209</v>
      </c>
      <c r="I87" s="25">
        <v>0</v>
      </c>
      <c r="J87" s="25">
        <v>0</v>
      </c>
      <c r="K87" s="25">
        <v>0</v>
      </c>
      <c r="L87" s="28">
        <v>734</v>
      </c>
      <c r="M87" s="11"/>
      <c r="N87" s="11">
        <v>309</v>
      </c>
      <c r="O87" s="36">
        <v>-425</v>
      </c>
    </row>
    <row r="88" spans="2:15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36">
        <v>0</v>
      </c>
    </row>
    <row r="89" spans="2:15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60"/>
    </row>
    <row r="90" spans="2:15" ht="22.2" x14ac:dyDescent="0.25">
      <c r="B90" s="11">
        <v>1112009</v>
      </c>
      <c r="C90" s="18" t="s">
        <v>98</v>
      </c>
      <c r="D90" s="25">
        <v>9</v>
      </c>
      <c r="E90" s="25">
        <v>55</v>
      </c>
      <c r="F90" s="25">
        <v>24</v>
      </c>
      <c r="G90" s="25">
        <v>123</v>
      </c>
      <c r="H90" s="25">
        <v>97</v>
      </c>
      <c r="I90" s="25">
        <v>0</v>
      </c>
      <c r="J90" s="25">
        <v>0</v>
      </c>
      <c r="K90" s="25">
        <v>0</v>
      </c>
      <c r="L90" s="28">
        <v>308</v>
      </c>
      <c r="M90" s="11">
        <v>65</v>
      </c>
      <c r="N90" s="11"/>
      <c r="O90" s="36">
        <v>-243</v>
      </c>
    </row>
    <row r="91" spans="2:15" ht="22.2" x14ac:dyDescent="0.25">
      <c r="B91" s="11">
        <v>1112011</v>
      </c>
      <c r="C91" s="18" t="s">
        <v>99</v>
      </c>
      <c r="D91" s="25">
        <v>9</v>
      </c>
      <c r="E91" s="25">
        <v>60</v>
      </c>
      <c r="F91" s="25">
        <v>34</v>
      </c>
      <c r="G91" s="25">
        <v>123</v>
      </c>
      <c r="H91" s="25">
        <v>97</v>
      </c>
      <c r="I91" s="25">
        <v>0</v>
      </c>
      <c r="J91" s="25">
        <v>0</v>
      </c>
      <c r="K91" s="25">
        <v>0</v>
      </c>
      <c r="L91" s="28">
        <v>323</v>
      </c>
      <c r="M91" s="11">
        <v>150</v>
      </c>
      <c r="N91" s="11"/>
      <c r="O91" s="36">
        <v>-173</v>
      </c>
    </row>
    <row r="92" spans="2:15" ht="22.2" x14ac:dyDescent="0.25">
      <c r="B92" s="11">
        <v>1112003</v>
      </c>
      <c r="C92" s="18" t="s">
        <v>100</v>
      </c>
      <c r="D92" s="25">
        <v>3</v>
      </c>
      <c r="E92" s="25">
        <v>0</v>
      </c>
      <c r="F92" s="25">
        <v>2</v>
      </c>
      <c r="G92" s="25">
        <v>85</v>
      </c>
      <c r="H92" s="25">
        <v>78</v>
      </c>
      <c r="I92" s="25">
        <v>0</v>
      </c>
      <c r="J92" s="25">
        <v>0</v>
      </c>
      <c r="K92" s="25">
        <v>0</v>
      </c>
      <c r="L92" s="28">
        <v>168</v>
      </c>
      <c r="M92" s="11">
        <v>150</v>
      </c>
      <c r="N92" s="11">
        <v>5</v>
      </c>
      <c r="O92" s="36">
        <v>-13</v>
      </c>
    </row>
    <row r="93" spans="2:15" ht="22.2" x14ac:dyDescent="0.25">
      <c r="B93" s="11">
        <v>1112005</v>
      </c>
      <c r="C93" s="18" t="s">
        <v>101</v>
      </c>
      <c r="D93" s="25">
        <v>3</v>
      </c>
      <c r="E93" s="25">
        <v>0</v>
      </c>
      <c r="F93" s="25">
        <v>2</v>
      </c>
      <c r="G93" s="25">
        <v>55</v>
      </c>
      <c r="H93" s="25">
        <v>78</v>
      </c>
      <c r="I93" s="25">
        <v>0</v>
      </c>
      <c r="J93" s="25">
        <v>0</v>
      </c>
      <c r="K93" s="25">
        <v>0</v>
      </c>
      <c r="L93" s="28">
        <v>138</v>
      </c>
      <c r="M93" s="11">
        <v>150</v>
      </c>
      <c r="N93" s="11"/>
      <c r="O93" s="36">
        <v>12</v>
      </c>
    </row>
    <row r="94" spans="2:15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36">
        <v>0</v>
      </c>
    </row>
    <row r="95" spans="2:15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36">
        <v>0</v>
      </c>
    </row>
    <row r="96" spans="2:15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67</v>
      </c>
      <c r="H96" s="25">
        <v>20</v>
      </c>
      <c r="I96" s="25">
        <v>0</v>
      </c>
      <c r="J96" s="25">
        <v>0</v>
      </c>
      <c r="K96" s="25">
        <v>0</v>
      </c>
      <c r="L96" s="28">
        <v>87</v>
      </c>
      <c r="M96" s="11">
        <v>150</v>
      </c>
      <c r="N96" s="11"/>
      <c r="O96" s="36">
        <v>63</v>
      </c>
    </row>
    <row r="97" spans="2:15" ht="22.2" x14ac:dyDescent="0.25">
      <c r="B97" s="11">
        <v>1112015</v>
      </c>
      <c r="C97" s="18" t="s">
        <v>105</v>
      </c>
      <c r="D97" s="25">
        <v>4</v>
      </c>
      <c r="E97" s="25">
        <v>0</v>
      </c>
      <c r="F97" s="25">
        <v>2</v>
      </c>
      <c r="G97" s="25">
        <v>89</v>
      </c>
      <c r="H97" s="25">
        <v>78</v>
      </c>
      <c r="I97" s="25">
        <v>0</v>
      </c>
      <c r="J97" s="25">
        <v>0</v>
      </c>
      <c r="K97" s="25">
        <v>0</v>
      </c>
      <c r="L97" s="28">
        <v>173</v>
      </c>
      <c r="M97" s="11">
        <v>134</v>
      </c>
      <c r="N97" s="11"/>
      <c r="O97" s="36">
        <v>-39</v>
      </c>
    </row>
    <row r="98" spans="2:15" ht="22.2" x14ac:dyDescent="0.25">
      <c r="B98" s="11">
        <v>1112013</v>
      </c>
      <c r="C98" s="18" t="s">
        <v>106</v>
      </c>
      <c r="D98" s="25">
        <v>3</v>
      </c>
      <c r="E98" s="25">
        <v>56</v>
      </c>
      <c r="F98" s="25">
        <v>24</v>
      </c>
      <c r="G98" s="25">
        <v>123</v>
      </c>
      <c r="H98" s="25">
        <v>97</v>
      </c>
      <c r="I98" s="25">
        <v>0</v>
      </c>
      <c r="J98" s="25">
        <v>0</v>
      </c>
      <c r="K98" s="25">
        <v>0</v>
      </c>
      <c r="L98" s="28">
        <v>303</v>
      </c>
      <c r="M98" s="11">
        <v>150</v>
      </c>
      <c r="N98" s="11"/>
      <c r="O98" s="36">
        <v>-153</v>
      </c>
    </row>
    <row r="99" spans="2:15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36"/>
    </row>
    <row r="100" spans="2:15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1500</v>
      </c>
      <c r="M100" s="11"/>
      <c r="N100" s="11"/>
      <c r="O100" s="36"/>
    </row>
    <row r="101" spans="2:15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60"/>
    </row>
    <row r="102" spans="2:15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36">
        <v>0</v>
      </c>
    </row>
    <row r="103" spans="2:15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36">
        <v>0</v>
      </c>
    </row>
    <row r="104" spans="2:15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36">
        <v>0</v>
      </c>
    </row>
    <row r="105" spans="2:15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36">
        <v>0</v>
      </c>
    </row>
    <row r="106" spans="2:15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36">
        <v>0</v>
      </c>
    </row>
    <row r="107" spans="2:15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36">
        <v>0</v>
      </c>
    </row>
    <row r="108" spans="2:15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36">
        <v>0</v>
      </c>
    </row>
    <row r="109" spans="2:15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36">
        <v>0</v>
      </c>
    </row>
    <row r="110" spans="2:15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36">
        <v>0</v>
      </c>
    </row>
    <row r="111" spans="2:15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36">
        <v>0</v>
      </c>
    </row>
    <row r="112" spans="2:15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36">
        <v>0</v>
      </c>
    </row>
    <row r="113" spans="2:15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60"/>
    </row>
    <row r="114" spans="2:15" ht="22.2" x14ac:dyDescent="0.25">
      <c r="B114" s="11">
        <v>1113170</v>
      </c>
      <c r="C114" s="20" t="s">
        <v>110</v>
      </c>
      <c r="D114" s="25">
        <v>1</v>
      </c>
      <c r="E114" s="25">
        <v>0</v>
      </c>
      <c r="F114" s="25">
        <v>0</v>
      </c>
      <c r="G114" s="25">
        <v>4</v>
      </c>
      <c r="H114" s="25">
        <v>0</v>
      </c>
      <c r="I114" s="25">
        <v>0</v>
      </c>
      <c r="J114" s="25">
        <v>0</v>
      </c>
      <c r="K114" s="25">
        <v>0</v>
      </c>
      <c r="L114" s="28">
        <v>5</v>
      </c>
      <c r="M114" s="11"/>
      <c r="N114" s="11">
        <v>9</v>
      </c>
      <c r="O114" s="36">
        <v>4</v>
      </c>
    </row>
    <row r="115" spans="2:15" ht="22.2" x14ac:dyDescent="0.25">
      <c r="B115" s="11">
        <v>1113171</v>
      </c>
      <c r="C115" s="20" t="s">
        <v>111</v>
      </c>
      <c r="D115" s="25">
        <v>2</v>
      </c>
      <c r="E115" s="25">
        <v>0</v>
      </c>
      <c r="F115" s="25">
        <v>0</v>
      </c>
      <c r="G115" s="25">
        <v>2</v>
      </c>
      <c r="H115" s="25">
        <v>0</v>
      </c>
      <c r="I115" s="25">
        <v>0</v>
      </c>
      <c r="J115" s="25">
        <v>0</v>
      </c>
      <c r="K115" s="25">
        <v>0</v>
      </c>
      <c r="L115" s="28">
        <v>4</v>
      </c>
      <c r="M115" s="11"/>
      <c r="N115" s="11">
        <v>13</v>
      </c>
      <c r="O115" s="36">
        <v>9</v>
      </c>
    </row>
    <row r="116" spans="2:15" ht="22.2" x14ac:dyDescent="0.25">
      <c r="B116" s="11">
        <v>1113172</v>
      </c>
      <c r="C116" s="20" t="s">
        <v>112</v>
      </c>
      <c r="D116" s="25">
        <v>5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8">
        <v>5</v>
      </c>
      <c r="M116" s="11"/>
      <c r="N116" s="11">
        <v>24</v>
      </c>
      <c r="O116" s="36">
        <v>19</v>
      </c>
    </row>
    <row r="117" spans="2:15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36">
        <v>0</v>
      </c>
    </row>
    <row r="118" spans="2:15" ht="22.2" x14ac:dyDescent="0.25">
      <c r="B118" s="11">
        <v>1100003</v>
      </c>
      <c r="C118" s="20" t="s">
        <v>114</v>
      </c>
      <c r="D118" s="25">
        <v>0</v>
      </c>
      <c r="E118" s="25">
        <v>5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5</v>
      </c>
      <c r="M118" s="11"/>
      <c r="N118" s="11">
        <v>25</v>
      </c>
      <c r="O118" s="36">
        <v>20</v>
      </c>
    </row>
    <row r="119" spans="2:15" ht="22.2" x14ac:dyDescent="0.25">
      <c r="B119" s="11">
        <v>1100001</v>
      </c>
      <c r="C119" s="20" t="s">
        <v>115</v>
      </c>
      <c r="D119" s="25">
        <v>0</v>
      </c>
      <c r="E119" s="25">
        <v>7</v>
      </c>
      <c r="F119" s="25">
        <v>4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11</v>
      </c>
      <c r="M119" s="11"/>
      <c r="N119" s="11">
        <v>8</v>
      </c>
      <c r="O119" s="36">
        <v>-3</v>
      </c>
    </row>
    <row r="120" spans="2:15" ht="22.2" x14ac:dyDescent="0.25">
      <c r="B120" s="11">
        <v>1100002</v>
      </c>
      <c r="C120" s="20" t="s">
        <v>116</v>
      </c>
      <c r="D120" s="25">
        <v>0</v>
      </c>
      <c r="E120" s="25">
        <v>8</v>
      </c>
      <c r="F120" s="25">
        <v>0</v>
      </c>
      <c r="G120" s="25">
        <v>6</v>
      </c>
      <c r="H120" s="25">
        <v>0</v>
      </c>
      <c r="I120" s="25">
        <v>0</v>
      </c>
      <c r="J120" s="25">
        <v>0</v>
      </c>
      <c r="K120" s="25">
        <v>0</v>
      </c>
      <c r="L120" s="28">
        <v>14</v>
      </c>
      <c r="M120" s="11"/>
      <c r="N120" s="11">
        <v>9</v>
      </c>
      <c r="O120" s="36">
        <v>-5</v>
      </c>
    </row>
    <row r="121" spans="2:15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/>
      <c r="O121" s="36">
        <v>0</v>
      </c>
    </row>
    <row r="122" spans="2:15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3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3</v>
      </c>
      <c r="M122" s="11"/>
      <c r="N122" s="11">
        <v>26</v>
      </c>
      <c r="O122" s="36">
        <v>23</v>
      </c>
    </row>
    <row r="123" spans="2:15" ht="22.2" x14ac:dyDescent="0.25">
      <c r="B123" s="11">
        <v>1114501</v>
      </c>
      <c r="C123" s="20" t="s">
        <v>119</v>
      </c>
      <c r="D123" s="25">
        <v>1</v>
      </c>
      <c r="E123" s="25">
        <v>0</v>
      </c>
      <c r="F123" s="25">
        <v>1</v>
      </c>
      <c r="G123" s="25">
        <v>75</v>
      </c>
      <c r="H123" s="25">
        <v>48</v>
      </c>
      <c r="I123" s="25">
        <v>0</v>
      </c>
      <c r="J123" s="25">
        <v>0</v>
      </c>
      <c r="K123" s="25">
        <v>0</v>
      </c>
      <c r="L123" s="28">
        <v>125</v>
      </c>
      <c r="M123" s="11"/>
      <c r="N123" s="11">
        <v>48</v>
      </c>
      <c r="O123" s="36">
        <v>-77</v>
      </c>
    </row>
    <row r="124" spans="2:15" ht="22.2" x14ac:dyDescent="0.25">
      <c r="B124" s="11">
        <v>1114502</v>
      </c>
      <c r="C124" s="20" t="s">
        <v>120</v>
      </c>
      <c r="D124" s="25">
        <v>0</v>
      </c>
      <c r="E124" s="25">
        <v>0</v>
      </c>
      <c r="F124" s="25">
        <v>1</v>
      </c>
      <c r="G124" s="25">
        <v>75</v>
      </c>
      <c r="H124" s="25">
        <v>48</v>
      </c>
      <c r="I124" s="25">
        <v>0</v>
      </c>
      <c r="J124" s="25">
        <v>0</v>
      </c>
      <c r="K124" s="25">
        <v>0</v>
      </c>
      <c r="L124" s="28">
        <v>124</v>
      </c>
      <c r="M124" s="11"/>
      <c r="N124" s="11">
        <v>39</v>
      </c>
      <c r="O124" s="36">
        <v>-85</v>
      </c>
    </row>
    <row r="125" spans="2:15" ht="22.2" x14ac:dyDescent="0.25">
      <c r="B125" s="11">
        <v>1114503</v>
      </c>
      <c r="C125" s="20" t="s">
        <v>121</v>
      </c>
      <c r="D125" s="25">
        <v>2</v>
      </c>
      <c r="E125" s="25">
        <v>0</v>
      </c>
      <c r="F125" s="25">
        <v>1</v>
      </c>
      <c r="G125" s="25">
        <v>75</v>
      </c>
      <c r="H125" s="25">
        <v>48</v>
      </c>
      <c r="I125" s="25">
        <v>0</v>
      </c>
      <c r="J125" s="25">
        <v>0</v>
      </c>
      <c r="K125" s="25">
        <v>0</v>
      </c>
      <c r="L125" s="28">
        <v>126</v>
      </c>
      <c r="M125" s="11"/>
      <c r="N125" s="11">
        <v>42</v>
      </c>
      <c r="O125" s="36">
        <v>-84</v>
      </c>
    </row>
    <row r="126" spans="2:15" ht="22.2" x14ac:dyDescent="0.25">
      <c r="B126" s="11">
        <v>1124021</v>
      </c>
      <c r="C126" s="20" t="s">
        <v>122</v>
      </c>
      <c r="D126" s="25">
        <v>0</v>
      </c>
      <c r="E126" s="25">
        <v>0</v>
      </c>
      <c r="F126" s="25">
        <v>3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8">
        <v>3</v>
      </c>
      <c r="M126" s="11"/>
      <c r="N126" s="11"/>
      <c r="O126" s="36">
        <v>-3</v>
      </c>
    </row>
    <row r="127" spans="2:15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36">
        <v>0</v>
      </c>
    </row>
    <row r="128" spans="2:15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36">
        <v>0</v>
      </c>
    </row>
    <row r="129" spans="2:15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36">
        <v>0</v>
      </c>
    </row>
    <row r="130" spans="2:15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>
        <v>20</v>
      </c>
      <c r="O130" s="36">
        <v>20</v>
      </c>
    </row>
    <row r="131" spans="2:15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36">
        <v>0</v>
      </c>
    </row>
    <row r="132" spans="2:15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36">
        <v>0</v>
      </c>
    </row>
    <row r="133" spans="2:15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36">
        <v>0</v>
      </c>
    </row>
    <row r="134" spans="2:15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36">
        <v>0</v>
      </c>
    </row>
    <row r="135" spans="2:15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36">
        <v>0</v>
      </c>
    </row>
    <row r="136" spans="2:15" ht="22.2" x14ac:dyDescent="0.25">
      <c r="B136" s="21"/>
      <c r="C136" s="20" t="s">
        <v>132</v>
      </c>
      <c r="D136" s="25">
        <v>0</v>
      </c>
      <c r="E136" s="25">
        <v>8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8</v>
      </c>
      <c r="M136" s="11"/>
      <c r="N136" s="11"/>
      <c r="O136" s="36">
        <v>-8</v>
      </c>
    </row>
    <row r="137" spans="2:15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36">
        <v>0</v>
      </c>
    </row>
    <row r="138" spans="2:15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36">
        <v>0</v>
      </c>
    </row>
    <row r="139" spans="2:15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36">
        <v>0</v>
      </c>
    </row>
    <row r="140" spans="2:15" ht="22.2" x14ac:dyDescent="0.25">
      <c r="C140" s="27"/>
      <c r="D140" s="28">
        <v>68</v>
      </c>
      <c r="E140" s="28">
        <v>487</v>
      </c>
      <c r="F140" s="28">
        <v>411</v>
      </c>
      <c r="G140" s="28">
        <v>1836</v>
      </c>
      <c r="H140" s="28">
        <v>1259</v>
      </c>
      <c r="I140" s="28">
        <v>0</v>
      </c>
      <c r="J140" s="28">
        <v>0</v>
      </c>
      <c r="K140" s="28">
        <v>110</v>
      </c>
      <c r="L140" s="28">
        <v>4171</v>
      </c>
      <c r="M140" s="25">
        <v>2049</v>
      </c>
      <c r="N140" s="25">
        <v>2437</v>
      </c>
      <c r="O140" s="36">
        <v>315</v>
      </c>
    </row>
    <row r="141" spans="2:15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5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5" ht="22.2" x14ac:dyDescent="0.25">
      <c r="C143" s="22"/>
      <c r="D143" s="26"/>
      <c r="E143" s="61"/>
      <c r="F143" s="61"/>
      <c r="G143" s="23"/>
      <c r="L143" s="32"/>
    </row>
  </sheetData>
  <mergeCells count="13">
    <mergeCell ref="B1:L1"/>
    <mergeCell ref="B2:C3"/>
    <mergeCell ref="E2:F3"/>
    <mergeCell ref="M2:M4"/>
    <mergeCell ref="O2:O4"/>
    <mergeCell ref="B101:O101"/>
    <mergeCell ref="B113:O113"/>
    <mergeCell ref="E143:F143"/>
    <mergeCell ref="B89:O89"/>
    <mergeCell ref="N2:N4"/>
    <mergeCell ref="B6:O6"/>
    <mergeCell ref="B68:O68"/>
    <mergeCell ref="B78:O7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7669-F87F-4959-B65A-D3FB25E48CED}">
  <dimension ref="B1:O143"/>
  <sheetViews>
    <sheetView workbookViewId="0">
      <selection activeCell="Q16" sqref="Q16"/>
    </sheetView>
  </sheetViews>
  <sheetFormatPr defaultRowHeight="13.8" x14ac:dyDescent="0.25"/>
  <sheetData>
    <row r="1" spans="2:15" ht="22.2" x14ac:dyDescent="0.25">
      <c r="B1" s="50" t="s">
        <v>163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5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62" t="s">
        <v>4</v>
      </c>
    </row>
    <row r="3" spans="2:15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63"/>
    </row>
    <row r="4" spans="2:15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64"/>
    </row>
    <row r="5" spans="2:15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24"/>
    </row>
    <row r="6" spans="2:15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2:15" ht="22.2" x14ac:dyDescent="0.25">
      <c r="B7" s="11">
        <v>1111002</v>
      </c>
      <c r="C7" s="15" t="s">
        <v>18</v>
      </c>
      <c r="D7" s="25">
        <v>21</v>
      </c>
      <c r="E7" s="25">
        <v>93</v>
      </c>
      <c r="F7" s="25">
        <v>46</v>
      </c>
      <c r="G7" s="25">
        <v>39</v>
      </c>
      <c r="H7" s="25">
        <v>11</v>
      </c>
      <c r="I7" s="25">
        <v>0</v>
      </c>
      <c r="J7" s="25">
        <v>0</v>
      </c>
      <c r="K7" s="25">
        <v>60</v>
      </c>
      <c r="L7" s="28">
        <v>270</v>
      </c>
      <c r="M7" s="11">
        <v>250</v>
      </c>
      <c r="N7" s="11">
        <v>1866</v>
      </c>
      <c r="O7" s="36">
        <v>1846</v>
      </c>
    </row>
    <row r="8" spans="2:15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36">
        <v>0</v>
      </c>
    </row>
    <row r="9" spans="2:15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36">
        <v>0</v>
      </c>
    </row>
    <row r="10" spans="2:15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36">
        <v>0</v>
      </c>
    </row>
    <row r="11" spans="2:15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36">
        <v>0</v>
      </c>
    </row>
    <row r="12" spans="2:15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36">
        <v>0</v>
      </c>
    </row>
    <row r="13" spans="2:15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36">
        <v>0</v>
      </c>
    </row>
    <row r="14" spans="2:15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36">
        <v>0</v>
      </c>
    </row>
    <row r="15" spans="2:15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36">
        <v>0</v>
      </c>
    </row>
    <row r="16" spans="2:15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36">
        <v>0</v>
      </c>
    </row>
    <row r="17" spans="2:15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36">
        <v>0</v>
      </c>
    </row>
    <row r="18" spans="2:15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36">
        <v>0</v>
      </c>
    </row>
    <row r="19" spans="2:15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36">
        <v>0</v>
      </c>
    </row>
    <row r="20" spans="2:15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36">
        <v>0</v>
      </c>
    </row>
    <row r="21" spans="2:15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36">
        <v>0</v>
      </c>
    </row>
    <row r="22" spans="2:15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36">
        <v>0</v>
      </c>
    </row>
    <row r="23" spans="2:15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36">
        <v>0</v>
      </c>
    </row>
    <row r="24" spans="2:15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36">
        <v>0</v>
      </c>
    </row>
    <row r="25" spans="2:15" ht="22.2" x14ac:dyDescent="0.25">
      <c r="B25" s="11">
        <v>1111056</v>
      </c>
      <c r="C25" s="15" t="s">
        <v>36</v>
      </c>
      <c r="D25" s="25">
        <v>7</v>
      </c>
      <c r="E25" s="25">
        <v>10</v>
      </c>
      <c r="F25" s="25">
        <v>0</v>
      </c>
      <c r="G25" s="25">
        <v>1</v>
      </c>
      <c r="H25" s="25">
        <v>0</v>
      </c>
      <c r="I25" s="25">
        <v>0</v>
      </c>
      <c r="J25" s="25">
        <v>0</v>
      </c>
      <c r="K25" s="25">
        <v>0</v>
      </c>
      <c r="L25" s="28">
        <v>18</v>
      </c>
      <c r="M25" s="11">
        <v>50</v>
      </c>
      <c r="N25" s="11">
        <v>87</v>
      </c>
      <c r="O25" s="36">
        <v>119</v>
      </c>
    </row>
    <row r="26" spans="2:15" ht="22.2" x14ac:dyDescent="0.25">
      <c r="B26" s="11">
        <v>1004055</v>
      </c>
      <c r="C26" s="15" t="s">
        <v>37</v>
      </c>
      <c r="D26" s="25">
        <v>65</v>
      </c>
      <c r="E26" s="25">
        <v>5</v>
      </c>
      <c r="F26" s="25">
        <v>15</v>
      </c>
      <c r="G26" s="25">
        <v>286</v>
      </c>
      <c r="H26" s="25">
        <v>92</v>
      </c>
      <c r="I26" s="25">
        <v>0</v>
      </c>
      <c r="J26" s="25">
        <v>0</v>
      </c>
      <c r="K26" s="25">
        <v>50</v>
      </c>
      <c r="L26" s="28">
        <v>513</v>
      </c>
      <c r="M26" s="11">
        <v>100</v>
      </c>
      <c r="N26" s="11">
        <v>38</v>
      </c>
      <c r="O26" s="36">
        <v>-375</v>
      </c>
    </row>
    <row r="27" spans="2:15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36">
        <v>0</v>
      </c>
    </row>
    <row r="28" spans="2:15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36">
        <v>0</v>
      </c>
    </row>
    <row r="29" spans="2:15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36">
        <v>0</v>
      </c>
    </row>
    <row r="30" spans="2:15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36">
        <v>0</v>
      </c>
    </row>
    <row r="31" spans="2:15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36">
        <v>0</v>
      </c>
    </row>
    <row r="32" spans="2:15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36">
        <v>0</v>
      </c>
    </row>
    <row r="33" spans="2:15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36">
        <v>0</v>
      </c>
    </row>
    <row r="34" spans="2:15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36">
        <v>0</v>
      </c>
    </row>
    <row r="35" spans="2:15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36">
        <v>0</v>
      </c>
    </row>
    <row r="36" spans="2:15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36">
        <v>0</v>
      </c>
    </row>
    <row r="37" spans="2:15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36">
        <v>0</v>
      </c>
    </row>
    <row r="38" spans="2:15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36">
        <v>0</v>
      </c>
    </row>
    <row r="39" spans="2:15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36">
        <v>0</v>
      </c>
    </row>
    <row r="40" spans="2:15" ht="22.2" x14ac:dyDescent="0.25">
      <c r="B40" s="11">
        <v>1111057</v>
      </c>
      <c r="C40" s="15" t="s">
        <v>51</v>
      </c>
      <c r="D40" s="25">
        <v>0</v>
      </c>
      <c r="E40" s="25">
        <v>2</v>
      </c>
      <c r="F40" s="25">
        <v>0</v>
      </c>
      <c r="G40" s="25">
        <v>2</v>
      </c>
      <c r="H40" s="25">
        <v>0</v>
      </c>
      <c r="I40" s="25">
        <v>0</v>
      </c>
      <c r="J40" s="25">
        <v>0</v>
      </c>
      <c r="K40" s="25">
        <v>0</v>
      </c>
      <c r="L40" s="28">
        <v>4</v>
      </c>
      <c r="M40" s="11"/>
      <c r="N40" s="11"/>
      <c r="O40" s="36">
        <v>-4</v>
      </c>
    </row>
    <row r="41" spans="2:15" ht="22.2" x14ac:dyDescent="0.25">
      <c r="B41" s="11">
        <v>1111058</v>
      </c>
      <c r="C41" s="15" t="s">
        <v>52</v>
      </c>
      <c r="D41" s="25">
        <v>0</v>
      </c>
      <c r="E41" s="25">
        <v>2</v>
      </c>
      <c r="F41" s="25">
        <v>0</v>
      </c>
      <c r="G41" s="25">
        <v>2</v>
      </c>
      <c r="H41" s="25">
        <v>0</v>
      </c>
      <c r="I41" s="25">
        <v>0</v>
      </c>
      <c r="J41" s="25">
        <v>0</v>
      </c>
      <c r="K41" s="25">
        <v>0</v>
      </c>
      <c r="L41" s="28">
        <v>4</v>
      </c>
      <c r="M41" s="11"/>
      <c r="N41" s="11"/>
      <c r="O41" s="36">
        <v>-4</v>
      </c>
    </row>
    <row r="42" spans="2:15" ht="22.2" x14ac:dyDescent="0.25">
      <c r="B42" s="11">
        <v>1111059</v>
      </c>
      <c r="C42" s="15" t="s">
        <v>53</v>
      </c>
      <c r="D42" s="25">
        <v>0</v>
      </c>
      <c r="E42" s="25">
        <v>2</v>
      </c>
      <c r="F42" s="25">
        <v>0</v>
      </c>
      <c r="G42" s="25">
        <v>2</v>
      </c>
      <c r="H42" s="25">
        <v>0</v>
      </c>
      <c r="I42" s="25">
        <v>0</v>
      </c>
      <c r="J42" s="25">
        <v>0</v>
      </c>
      <c r="K42" s="25">
        <v>0</v>
      </c>
      <c r="L42" s="28">
        <v>4</v>
      </c>
      <c r="M42" s="11"/>
      <c r="N42" s="11"/>
      <c r="O42" s="36">
        <v>-4</v>
      </c>
    </row>
    <row r="43" spans="2:15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/>
      <c r="N43" s="11"/>
      <c r="O43" s="36">
        <v>0</v>
      </c>
    </row>
    <row r="44" spans="2:15" ht="22.2" x14ac:dyDescent="0.25">
      <c r="B44" s="11">
        <v>1111061</v>
      </c>
      <c r="C44" s="15" t="s">
        <v>55</v>
      </c>
      <c r="D44" s="25">
        <v>0</v>
      </c>
      <c r="E44" s="25">
        <v>2</v>
      </c>
      <c r="F44" s="25">
        <v>0</v>
      </c>
      <c r="G44" s="25">
        <v>2</v>
      </c>
      <c r="H44" s="25">
        <v>0</v>
      </c>
      <c r="I44" s="25">
        <v>0</v>
      </c>
      <c r="J44" s="25">
        <v>0</v>
      </c>
      <c r="K44" s="25">
        <v>0</v>
      </c>
      <c r="L44" s="28">
        <v>4</v>
      </c>
      <c r="M44" s="11"/>
      <c r="N44" s="11"/>
      <c r="O44" s="36">
        <v>-4</v>
      </c>
    </row>
    <row r="45" spans="2:15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36">
        <v>0</v>
      </c>
    </row>
    <row r="46" spans="2:15" ht="22.2" x14ac:dyDescent="0.25">
      <c r="B46" s="11">
        <v>1111063</v>
      </c>
      <c r="C46" s="15" t="s">
        <v>57</v>
      </c>
      <c r="D46" s="25">
        <v>0</v>
      </c>
      <c r="E46" s="25">
        <v>2</v>
      </c>
      <c r="F46" s="25">
        <v>0</v>
      </c>
      <c r="G46" s="25">
        <v>2</v>
      </c>
      <c r="H46" s="25">
        <v>0</v>
      </c>
      <c r="I46" s="25">
        <v>0</v>
      </c>
      <c r="J46" s="25">
        <v>0</v>
      </c>
      <c r="K46" s="25">
        <v>0</v>
      </c>
      <c r="L46" s="28">
        <v>4</v>
      </c>
      <c r="M46" s="11"/>
      <c r="N46" s="11"/>
      <c r="O46" s="36">
        <v>-4</v>
      </c>
    </row>
    <row r="47" spans="2:15" ht="22.2" x14ac:dyDescent="0.25">
      <c r="B47" s="11">
        <v>1111064</v>
      </c>
      <c r="C47" s="15" t="s">
        <v>58</v>
      </c>
      <c r="D47" s="25">
        <v>0</v>
      </c>
      <c r="E47" s="25">
        <v>2</v>
      </c>
      <c r="F47" s="25">
        <v>0</v>
      </c>
      <c r="G47" s="25">
        <v>2</v>
      </c>
      <c r="H47" s="25">
        <v>0</v>
      </c>
      <c r="I47" s="25">
        <v>0</v>
      </c>
      <c r="J47" s="25">
        <v>0</v>
      </c>
      <c r="K47" s="25">
        <v>0</v>
      </c>
      <c r="L47" s="28">
        <v>4</v>
      </c>
      <c r="M47" s="11"/>
      <c r="N47" s="11"/>
      <c r="O47" s="36">
        <v>-4</v>
      </c>
    </row>
    <row r="48" spans="2:15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/>
      <c r="N48" s="11"/>
      <c r="O48" s="36">
        <v>0</v>
      </c>
    </row>
    <row r="49" spans="2:15" ht="22.2" x14ac:dyDescent="0.25">
      <c r="B49" s="11">
        <v>1111066</v>
      </c>
      <c r="C49" s="15" t="s">
        <v>60</v>
      </c>
      <c r="D49" s="25">
        <v>0</v>
      </c>
      <c r="E49" s="25">
        <v>2</v>
      </c>
      <c r="F49" s="25">
        <v>0</v>
      </c>
      <c r="G49" s="25">
        <v>2</v>
      </c>
      <c r="H49" s="25">
        <v>0</v>
      </c>
      <c r="I49" s="25">
        <v>0</v>
      </c>
      <c r="J49" s="25">
        <v>0</v>
      </c>
      <c r="K49" s="25">
        <v>0</v>
      </c>
      <c r="L49" s="28">
        <v>4</v>
      </c>
      <c r="M49" s="11"/>
      <c r="N49" s="11"/>
      <c r="O49" s="36">
        <v>-4</v>
      </c>
    </row>
    <row r="50" spans="2:15" ht="22.2" x14ac:dyDescent="0.25">
      <c r="B50" s="11">
        <v>1111067</v>
      </c>
      <c r="C50" s="15" t="s">
        <v>61</v>
      </c>
      <c r="D50" s="25">
        <v>0</v>
      </c>
      <c r="E50" s="25">
        <v>2</v>
      </c>
      <c r="F50" s="25">
        <v>0</v>
      </c>
      <c r="G50" s="25">
        <v>2</v>
      </c>
      <c r="H50" s="25">
        <v>0</v>
      </c>
      <c r="I50" s="25">
        <v>0</v>
      </c>
      <c r="J50" s="25">
        <v>0</v>
      </c>
      <c r="K50" s="25">
        <v>0</v>
      </c>
      <c r="L50" s="28">
        <v>4</v>
      </c>
      <c r="M50" s="11"/>
      <c r="N50" s="11"/>
      <c r="O50" s="36">
        <v>-4</v>
      </c>
    </row>
    <row r="51" spans="2:15" ht="22.2" x14ac:dyDescent="0.25">
      <c r="B51" s="11">
        <v>1111068</v>
      </c>
      <c r="C51" s="15" t="s">
        <v>62</v>
      </c>
      <c r="D51" s="25">
        <v>0</v>
      </c>
      <c r="E51" s="25">
        <v>2</v>
      </c>
      <c r="F51" s="25">
        <v>0</v>
      </c>
      <c r="G51" s="25">
        <v>2</v>
      </c>
      <c r="H51" s="25">
        <v>0</v>
      </c>
      <c r="I51" s="25">
        <v>0</v>
      </c>
      <c r="J51" s="25">
        <v>0</v>
      </c>
      <c r="K51" s="25">
        <v>0</v>
      </c>
      <c r="L51" s="28">
        <v>4</v>
      </c>
      <c r="M51" s="11"/>
      <c r="N51" s="11"/>
      <c r="O51" s="36">
        <v>-4</v>
      </c>
    </row>
    <row r="52" spans="2:15" ht="22.2" x14ac:dyDescent="0.25">
      <c r="B52" s="11">
        <v>1111069</v>
      </c>
      <c r="C52" s="15" t="s">
        <v>63</v>
      </c>
      <c r="D52" s="25">
        <v>0</v>
      </c>
      <c r="E52" s="25">
        <v>2</v>
      </c>
      <c r="F52" s="25">
        <v>0</v>
      </c>
      <c r="G52" s="25">
        <v>2</v>
      </c>
      <c r="H52" s="25">
        <v>0</v>
      </c>
      <c r="I52" s="25">
        <v>0</v>
      </c>
      <c r="J52" s="25">
        <v>0</v>
      </c>
      <c r="K52" s="25">
        <v>0</v>
      </c>
      <c r="L52" s="28">
        <v>4</v>
      </c>
      <c r="M52" s="11"/>
      <c r="N52" s="11"/>
      <c r="O52" s="36">
        <v>-4</v>
      </c>
    </row>
    <row r="53" spans="2:15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36">
        <v>0</v>
      </c>
    </row>
    <row r="54" spans="2:15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36">
        <v>0</v>
      </c>
    </row>
    <row r="55" spans="2:15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36">
        <v>0</v>
      </c>
    </row>
    <row r="56" spans="2:15" ht="22.2" x14ac:dyDescent="0.25">
      <c r="B56" s="11">
        <v>1111074</v>
      </c>
      <c r="C56" s="15" t="s">
        <v>67</v>
      </c>
      <c r="D56" s="25">
        <v>6</v>
      </c>
      <c r="E56" s="25">
        <v>4</v>
      </c>
      <c r="F56" s="25">
        <v>4</v>
      </c>
      <c r="G56" s="25">
        <v>2</v>
      </c>
      <c r="H56" s="25">
        <v>0</v>
      </c>
      <c r="I56" s="25">
        <v>0</v>
      </c>
      <c r="J56" s="25">
        <v>0</v>
      </c>
      <c r="K56" s="25">
        <v>0</v>
      </c>
      <c r="L56" s="28">
        <v>16</v>
      </c>
      <c r="M56" s="11"/>
      <c r="N56" s="11">
        <v>15</v>
      </c>
      <c r="O56" s="36">
        <v>-1</v>
      </c>
    </row>
    <row r="57" spans="2:15" ht="22.2" x14ac:dyDescent="0.25">
      <c r="B57" s="11">
        <v>1111075</v>
      </c>
      <c r="C57" s="15" t="s">
        <v>68</v>
      </c>
      <c r="D57" s="25">
        <v>6</v>
      </c>
      <c r="E57" s="25">
        <v>4</v>
      </c>
      <c r="F57" s="25">
        <v>4</v>
      </c>
      <c r="G57" s="25">
        <v>2</v>
      </c>
      <c r="H57" s="25">
        <v>0</v>
      </c>
      <c r="I57" s="25">
        <v>0</v>
      </c>
      <c r="J57" s="25">
        <v>0</v>
      </c>
      <c r="K57" s="25">
        <v>0</v>
      </c>
      <c r="L57" s="28">
        <v>16</v>
      </c>
      <c r="M57" s="11"/>
      <c r="N57" s="11"/>
      <c r="O57" s="36">
        <v>-16</v>
      </c>
    </row>
    <row r="58" spans="2:15" ht="22.2" x14ac:dyDescent="0.25">
      <c r="B58" s="11">
        <v>1111076</v>
      </c>
      <c r="C58" s="15" t="s">
        <v>69</v>
      </c>
      <c r="D58" s="25">
        <v>6</v>
      </c>
      <c r="E58" s="25">
        <v>4</v>
      </c>
      <c r="F58" s="25">
        <v>4</v>
      </c>
      <c r="G58" s="25">
        <v>2</v>
      </c>
      <c r="H58" s="25">
        <v>0</v>
      </c>
      <c r="I58" s="25">
        <v>0</v>
      </c>
      <c r="J58" s="25">
        <v>0</v>
      </c>
      <c r="K58" s="25">
        <v>0</v>
      </c>
      <c r="L58" s="28">
        <v>16</v>
      </c>
      <c r="M58" s="11"/>
      <c r="N58" s="11"/>
      <c r="O58" s="36">
        <v>-16</v>
      </c>
    </row>
    <row r="59" spans="2:15" ht="22.2" x14ac:dyDescent="0.25">
      <c r="B59" s="11">
        <v>1111077</v>
      </c>
      <c r="C59" s="15" t="s">
        <v>70</v>
      </c>
      <c r="D59" s="25">
        <v>6</v>
      </c>
      <c r="E59" s="25">
        <v>4</v>
      </c>
      <c r="F59" s="25">
        <v>4</v>
      </c>
      <c r="G59" s="25">
        <v>2</v>
      </c>
      <c r="H59" s="25">
        <v>0</v>
      </c>
      <c r="I59" s="25">
        <v>0</v>
      </c>
      <c r="J59" s="25">
        <v>0</v>
      </c>
      <c r="K59" s="25">
        <v>0</v>
      </c>
      <c r="L59" s="28">
        <v>16</v>
      </c>
      <c r="M59" s="11"/>
      <c r="N59" s="11"/>
      <c r="O59" s="36">
        <v>-16</v>
      </c>
    </row>
    <row r="60" spans="2:15" ht="22.2" x14ac:dyDescent="0.25">
      <c r="B60" s="11">
        <v>1111078</v>
      </c>
      <c r="C60" s="15" t="s">
        <v>71</v>
      </c>
      <c r="D60" s="25">
        <v>6</v>
      </c>
      <c r="E60" s="25">
        <v>4</v>
      </c>
      <c r="F60" s="25">
        <v>4</v>
      </c>
      <c r="G60" s="25">
        <v>2</v>
      </c>
      <c r="H60" s="25">
        <v>0</v>
      </c>
      <c r="I60" s="25">
        <v>0</v>
      </c>
      <c r="J60" s="25">
        <v>0</v>
      </c>
      <c r="K60" s="25">
        <v>0</v>
      </c>
      <c r="L60" s="28">
        <v>16</v>
      </c>
      <c r="M60" s="11"/>
      <c r="N60" s="11"/>
      <c r="O60" s="36">
        <v>-16</v>
      </c>
    </row>
    <row r="61" spans="2:15" ht="22.2" x14ac:dyDescent="0.25">
      <c r="B61" s="11">
        <v>1111079</v>
      </c>
      <c r="C61" s="15" t="s">
        <v>72</v>
      </c>
      <c r="D61" s="25">
        <v>6</v>
      </c>
      <c r="E61" s="25">
        <v>4</v>
      </c>
      <c r="F61" s="25">
        <v>4</v>
      </c>
      <c r="G61" s="25">
        <v>2</v>
      </c>
      <c r="H61" s="25">
        <v>0</v>
      </c>
      <c r="I61" s="25">
        <v>0</v>
      </c>
      <c r="J61" s="25">
        <v>0</v>
      </c>
      <c r="K61" s="25">
        <v>0</v>
      </c>
      <c r="L61" s="28">
        <v>16</v>
      </c>
      <c r="M61" s="11"/>
      <c r="N61" s="11"/>
      <c r="O61" s="36">
        <v>-16</v>
      </c>
    </row>
    <row r="62" spans="2:15" ht="22.2" x14ac:dyDescent="0.25">
      <c r="B62" s="11">
        <v>1111080</v>
      </c>
      <c r="C62" s="15" t="s">
        <v>73</v>
      </c>
      <c r="D62" s="25">
        <v>6</v>
      </c>
      <c r="E62" s="25">
        <v>4</v>
      </c>
      <c r="F62" s="25">
        <v>4</v>
      </c>
      <c r="G62" s="25">
        <v>2</v>
      </c>
      <c r="H62" s="25">
        <v>0</v>
      </c>
      <c r="I62" s="25">
        <v>0</v>
      </c>
      <c r="J62" s="25">
        <v>0</v>
      </c>
      <c r="K62" s="25">
        <v>0</v>
      </c>
      <c r="L62" s="28">
        <v>16</v>
      </c>
      <c r="M62" s="11"/>
      <c r="N62" s="11"/>
      <c r="O62" s="36">
        <v>-16</v>
      </c>
    </row>
    <row r="63" spans="2:15" ht="22.2" x14ac:dyDescent="0.25">
      <c r="B63" s="11">
        <v>1111081</v>
      </c>
      <c r="C63" s="15" t="s">
        <v>74</v>
      </c>
      <c r="D63" s="25">
        <v>6</v>
      </c>
      <c r="E63" s="25">
        <v>4</v>
      </c>
      <c r="F63" s="25">
        <v>4</v>
      </c>
      <c r="G63" s="25">
        <v>2</v>
      </c>
      <c r="H63" s="25">
        <v>0</v>
      </c>
      <c r="I63" s="25">
        <v>0</v>
      </c>
      <c r="J63" s="25">
        <v>0</v>
      </c>
      <c r="K63" s="25">
        <v>0</v>
      </c>
      <c r="L63" s="28">
        <v>16</v>
      </c>
      <c r="M63" s="11"/>
      <c r="N63" s="11"/>
      <c r="O63" s="36">
        <v>-16</v>
      </c>
    </row>
    <row r="64" spans="2:15" ht="22.2" x14ac:dyDescent="0.25">
      <c r="B64" s="11">
        <v>1111082</v>
      </c>
      <c r="C64" s="15" t="s">
        <v>75</v>
      </c>
      <c r="D64" s="25">
        <v>6</v>
      </c>
      <c r="E64" s="25">
        <v>4</v>
      </c>
      <c r="F64" s="25">
        <v>4</v>
      </c>
      <c r="G64" s="25">
        <v>2</v>
      </c>
      <c r="H64" s="25">
        <v>0</v>
      </c>
      <c r="I64" s="25">
        <v>0</v>
      </c>
      <c r="J64" s="25">
        <v>0</v>
      </c>
      <c r="K64" s="25">
        <v>0</v>
      </c>
      <c r="L64" s="28">
        <v>16</v>
      </c>
      <c r="M64" s="11"/>
      <c r="N64" s="11"/>
      <c r="O64" s="36">
        <v>-16</v>
      </c>
    </row>
    <row r="65" spans="2:15" ht="22.2" x14ac:dyDescent="0.25">
      <c r="B65" s="11">
        <v>1111083</v>
      </c>
      <c r="C65" s="15" t="s">
        <v>76</v>
      </c>
      <c r="D65" s="25">
        <v>6</v>
      </c>
      <c r="E65" s="25">
        <v>1</v>
      </c>
      <c r="F65" s="25">
        <v>4</v>
      </c>
      <c r="G65" s="25">
        <v>2</v>
      </c>
      <c r="H65" s="25">
        <v>0</v>
      </c>
      <c r="I65" s="25">
        <v>0</v>
      </c>
      <c r="J65" s="25">
        <v>0</v>
      </c>
      <c r="K65" s="25">
        <v>0</v>
      </c>
      <c r="L65" s="28">
        <v>13</v>
      </c>
      <c r="M65" s="11"/>
      <c r="N65" s="11"/>
      <c r="O65" s="36">
        <v>-13</v>
      </c>
    </row>
    <row r="66" spans="2:15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36">
        <v>0</v>
      </c>
    </row>
    <row r="67" spans="2:15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36"/>
    </row>
    <row r="68" spans="2:15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0"/>
    </row>
    <row r="69" spans="2:15" ht="22.2" x14ac:dyDescent="0.25">
      <c r="B69" s="11">
        <v>1111009</v>
      </c>
      <c r="C69" s="18" t="s">
        <v>79</v>
      </c>
      <c r="D69" s="25">
        <v>15</v>
      </c>
      <c r="E69" s="25">
        <v>3</v>
      </c>
      <c r="F69" s="25">
        <v>0</v>
      </c>
      <c r="G69" s="25">
        <v>23</v>
      </c>
      <c r="H69" s="25">
        <v>3</v>
      </c>
      <c r="I69" s="25">
        <v>0</v>
      </c>
      <c r="J69" s="25">
        <v>0</v>
      </c>
      <c r="K69" s="25">
        <v>0</v>
      </c>
      <c r="L69" s="28">
        <v>44</v>
      </c>
      <c r="M69" s="11">
        <v>100</v>
      </c>
      <c r="N69" s="11"/>
      <c r="O69" s="36">
        <v>56</v>
      </c>
    </row>
    <row r="70" spans="2:15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36">
        <v>0</v>
      </c>
    </row>
    <row r="71" spans="2:15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36">
        <v>0</v>
      </c>
    </row>
    <row r="72" spans="2:15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36">
        <v>0</v>
      </c>
    </row>
    <row r="73" spans="2:15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36">
        <v>0</v>
      </c>
    </row>
    <row r="74" spans="2:15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36">
        <v>0</v>
      </c>
    </row>
    <row r="75" spans="2:15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36">
        <v>0</v>
      </c>
    </row>
    <row r="76" spans="2:15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36">
        <v>0</v>
      </c>
    </row>
    <row r="77" spans="2:15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36">
        <v>0</v>
      </c>
    </row>
    <row r="78" spans="2:15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60"/>
    </row>
    <row r="79" spans="2:15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36">
        <v>0</v>
      </c>
    </row>
    <row r="80" spans="2:15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36">
        <v>0</v>
      </c>
    </row>
    <row r="81" spans="2:15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36">
        <v>0</v>
      </c>
    </row>
    <row r="82" spans="2:15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36">
        <v>0</v>
      </c>
    </row>
    <row r="83" spans="2:15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36">
        <v>0</v>
      </c>
    </row>
    <row r="84" spans="2:15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36">
        <v>0</v>
      </c>
    </row>
    <row r="85" spans="2:15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36">
        <v>0</v>
      </c>
    </row>
    <row r="86" spans="2:15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36">
        <v>0</v>
      </c>
    </row>
    <row r="87" spans="2:15" ht="22.2" x14ac:dyDescent="0.25">
      <c r="B87" s="11">
        <v>1111008</v>
      </c>
      <c r="C87" s="18" t="s">
        <v>96</v>
      </c>
      <c r="D87" s="25">
        <v>11</v>
      </c>
      <c r="E87" s="25">
        <v>4</v>
      </c>
      <c r="F87" s="25">
        <v>0</v>
      </c>
      <c r="G87" s="25">
        <v>247</v>
      </c>
      <c r="H87" s="25">
        <v>130</v>
      </c>
      <c r="I87" s="25">
        <v>0</v>
      </c>
      <c r="J87" s="25">
        <v>0</v>
      </c>
      <c r="K87" s="25">
        <v>0</v>
      </c>
      <c r="L87" s="28">
        <v>392</v>
      </c>
      <c r="M87" s="11">
        <v>100</v>
      </c>
      <c r="N87" s="11">
        <v>49</v>
      </c>
      <c r="O87" s="36">
        <v>-243</v>
      </c>
    </row>
    <row r="88" spans="2:15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36">
        <v>0</v>
      </c>
    </row>
    <row r="89" spans="2:15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60"/>
    </row>
    <row r="90" spans="2:15" ht="22.2" x14ac:dyDescent="0.25">
      <c r="B90" s="11">
        <v>1112009</v>
      </c>
      <c r="C90" s="18" t="s">
        <v>98</v>
      </c>
      <c r="D90" s="25">
        <v>6</v>
      </c>
      <c r="E90" s="25">
        <v>20</v>
      </c>
      <c r="F90" s="25">
        <v>20</v>
      </c>
      <c r="G90" s="25">
        <v>71</v>
      </c>
      <c r="H90" s="25">
        <v>55</v>
      </c>
      <c r="I90" s="25">
        <v>0</v>
      </c>
      <c r="J90" s="25">
        <v>0</v>
      </c>
      <c r="K90" s="25">
        <v>0</v>
      </c>
      <c r="L90" s="28">
        <v>172</v>
      </c>
      <c r="M90" s="11">
        <v>150</v>
      </c>
      <c r="N90" s="11">
        <v>94</v>
      </c>
      <c r="O90" s="36">
        <v>72</v>
      </c>
    </row>
    <row r="91" spans="2:15" ht="22.2" x14ac:dyDescent="0.25">
      <c r="B91" s="11">
        <v>1112011</v>
      </c>
      <c r="C91" s="18" t="s">
        <v>99</v>
      </c>
      <c r="D91" s="25">
        <v>5</v>
      </c>
      <c r="E91" s="25">
        <v>23</v>
      </c>
      <c r="F91" s="25">
        <v>24</v>
      </c>
      <c r="G91" s="25">
        <v>71</v>
      </c>
      <c r="H91" s="25">
        <v>54</v>
      </c>
      <c r="I91" s="25">
        <v>0</v>
      </c>
      <c r="J91" s="25">
        <v>0</v>
      </c>
      <c r="K91" s="25">
        <v>0</v>
      </c>
      <c r="L91" s="28">
        <v>177</v>
      </c>
      <c r="M91" s="11">
        <v>150</v>
      </c>
      <c r="N91" s="11">
        <v>84</v>
      </c>
      <c r="O91" s="36">
        <v>57</v>
      </c>
    </row>
    <row r="92" spans="2:15" ht="22.2" x14ac:dyDescent="0.25">
      <c r="B92" s="11">
        <v>1112003</v>
      </c>
      <c r="C92" s="18" t="s">
        <v>100</v>
      </c>
      <c r="D92" s="25">
        <v>5</v>
      </c>
      <c r="E92" s="25">
        <v>0</v>
      </c>
      <c r="F92" s="25">
        <v>1</v>
      </c>
      <c r="G92" s="25">
        <v>52</v>
      </c>
      <c r="H92" s="25">
        <v>40</v>
      </c>
      <c r="I92" s="25">
        <v>0</v>
      </c>
      <c r="J92" s="25">
        <v>0</v>
      </c>
      <c r="K92" s="25">
        <v>0</v>
      </c>
      <c r="L92" s="28">
        <v>98</v>
      </c>
      <c r="M92" s="11">
        <v>100</v>
      </c>
      <c r="N92" s="11">
        <v>69</v>
      </c>
      <c r="O92" s="36">
        <v>71</v>
      </c>
    </row>
    <row r="93" spans="2:15" ht="22.2" x14ac:dyDescent="0.25">
      <c r="B93" s="11">
        <v>1112005</v>
      </c>
      <c r="C93" s="18" t="s">
        <v>101</v>
      </c>
      <c r="D93" s="25">
        <v>5</v>
      </c>
      <c r="E93" s="25">
        <v>0</v>
      </c>
      <c r="F93" s="25">
        <v>1</v>
      </c>
      <c r="G93" s="25">
        <v>52</v>
      </c>
      <c r="H93" s="25">
        <v>40</v>
      </c>
      <c r="I93" s="25">
        <v>0</v>
      </c>
      <c r="J93" s="25">
        <v>0</v>
      </c>
      <c r="K93" s="25">
        <v>0</v>
      </c>
      <c r="L93" s="28">
        <v>98</v>
      </c>
      <c r="M93" s="11">
        <v>100</v>
      </c>
      <c r="N93" s="11">
        <v>1</v>
      </c>
      <c r="O93" s="36">
        <v>3</v>
      </c>
    </row>
    <row r="94" spans="2:15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36">
        <v>0</v>
      </c>
    </row>
    <row r="95" spans="2:15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36">
        <v>0</v>
      </c>
    </row>
    <row r="96" spans="2:15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36">
        <v>0</v>
      </c>
    </row>
    <row r="97" spans="2:15" ht="22.2" x14ac:dyDescent="0.25">
      <c r="B97" s="11">
        <v>1112015</v>
      </c>
      <c r="C97" s="18" t="s">
        <v>105</v>
      </c>
      <c r="D97" s="25">
        <v>5</v>
      </c>
      <c r="E97" s="25">
        <v>0</v>
      </c>
      <c r="F97" s="25">
        <v>1</v>
      </c>
      <c r="G97" s="25">
        <v>52</v>
      </c>
      <c r="H97" s="25">
        <v>40</v>
      </c>
      <c r="I97" s="25">
        <v>0</v>
      </c>
      <c r="J97" s="25">
        <v>0</v>
      </c>
      <c r="K97" s="25">
        <v>0</v>
      </c>
      <c r="L97" s="28">
        <v>98</v>
      </c>
      <c r="M97" s="11">
        <v>100</v>
      </c>
      <c r="N97" s="11"/>
      <c r="O97" s="36">
        <v>2</v>
      </c>
    </row>
    <row r="98" spans="2:15" ht="22.2" x14ac:dyDescent="0.25">
      <c r="B98" s="11">
        <v>1112013</v>
      </c>
      <c r="C98" s="18" t="s">
        <v>106</v>
      </c>
      <c r="D98" s="25">
        <v>5</v>
      </c>
      <c r="E98" s="25">
        <v>20</v>
      </c>
      <c r="F98" s="25">
        <v>20</v>
      </c>
      <c r="G98" s="25">
        <v>70</v>
      </c>
      <c r="H98" s="25">
        <v>53</v>
      </c>
      <c r="I98" s="25">
        <v>0</v>
      </c>
      <c r="J98" s="25">
        <v>0</v>
      </c>
      <c r="K98" s="25">
        <v>0</v>
      </c>
      <c r="L98" s="28">
        <v>168</v>
      </c>
      <c r="M98" s="11">
        <v>150</v>
      </c>
      <c r="N98" s="11"/>
      <c r="O98" s="36">
        <v>-18</v>
      </c>
    </row>
    <row r="99" spans="2:15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36"/>
    </row>
    <row r="100" spans="2:15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811</v>
      </c>
      <c r="M100" s="11"/>
      <c r="N100" s="11"/>
      <c r="O100" s="36"/>
    </row>
    <row r="101" spans="2:15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60"/>
    </row>
    <row r="102" spans="2:15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36">
        <v>0</v>
      </c>
    </row>
    <row r="103" spans="2:15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36">
        <v>0</v>
      </c>
    </row>
    <row r="104" spans="2:15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36">
        <v>0</v>
      </c>
    </row>
    <row r="105" spans="2:15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36">
        <v>0</v>
      </c>
    </row>
    <row r="106" spans="2:15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36">
        <v>0</v>
      </c>
    </row>
    <row r="107" spans="2:15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36">
        <v>0</v>
      </c>
    </row>
    <row r="108" spans="2:15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36">
        <v>0</v>
      </c>
    </row>
    <row r="109" spans="2:15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36">
        <v>0</v>
      </c>
    </row>
    <row r="110" spans="2:15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36">
        <v>0</v>
      </c>
    </row>
    <row r="111" spans="2:15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36">
        <v>0</v>
      </c>
    </row>
    <row r="112" spans="2:15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36">
        <v>0</v>
      </c>
    </row>
    <row r="113" spans="2:15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60"/>
    </row>
    <row r="114" spans="2:15" ht="22.2" x14ac:dyDescent="0.25">
      <c r="B114" s="11">
        <v>1113170</v>
      </c>
      <c r="C114" s="20" t="s">
        <v>110</v>
      </c>
      <c r="D114" s="25">
        <v>0</v>
      </c>
      <c r="E114" s="25">
        <v>0</v>
      </c>
      <c r="F114" s="25">
        <v>0</v>
      </c>
      <c r="G114" s="25">
        <v>5</v>
      </c>
      <c r="H114" s="25">
        <v>1</v>
      </c>
      <c r="I114" s="25">
        <v>0</v>
      </c>
      <c r="J114" s="25">
        <v>0</v>
      </c>
      <c r="K114" s="25">
        <v>0</v>
      </c>
      <c r="L114" s="28">
        <v>6</v>
      </c>
      <c r="M114" s="11"/>
      <c r="N114" s="11">
        <v>4</v>
      </c>
      <c r="O114" s="36">
        <v>-2</v>
      </c>
    </row>
    <row r="115" spans="2:15" ht="22.2" x14ac:dyDescent="0.25">
      <c r="B115" s="11">
        <v>1113171</v>
      </c>
      <c r="C115" s="20" t="s">
        <v>111</v>
      </c>
      <c r="D115" s="25">
        <v>0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0</v>
      </c>
      <c r="M115" s="11"/>
      <c r="N115" s="11">
        <v>9</v>
      </c>
      <c r="O115" s="36">
        <v>9</v>
      </c>
    </row>
    <row r="116" spans="2:15" ht="22.2" x14ac:dyDescent="0.25">
      <c r="B116" s="11">
        <v>1113172</v>
      </c>
      <c r="C116" s="20" t="s">
        <v>112</v>
      </c>
      <c r="D116" s="25">
        <v>0</v>
      </c>
      <c r="E116" s="25">
        <v>0</v>
      </c>
      <c r="F116" s="25">
        <v>0</v>
      </c>
      <c r="G116" s="25">
        <v>7</v>
      </c>
      <c r="H116" s="25">
        <v>1</v>
      </c>
      <c r="I116" s="25">
        <v>0</v>
      </c>
      <c r="J116" s="25">
        <v>0</v>
      </c>
      <c r="K116" s="25">
        <v>0</v>
      </c>
      <c r="L116" s="28">
        <v>8</v>
      </c>
      <c r="M116" s="11"/>
      <c r="N116" s="11">
        <v>19</v>
      </c>
      <c r="O116" s="36">
        <v>11</v>
      </c>
    </row>
    <row r="117" spans="2:15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36">
        <v>0</v>
      </c>
    </row>
    <row r="118" spans="2:15" ht="22.2" x14ac:dyDescent="0.25">
      <c r="B118" s="11">
        <v>1100003</v>
      </c>
      <c r="C118" s="20" t="s">
        <v>114</v>
      </c>
      <c r="D118" s="25">
        <v>0</v>
      </c>
      <c r="E118" s="25">
        <v>5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5</v>
      </c>
      <c r="M118" s="11">
        <v>50</v>
      </c>
      <c r="N118" s="11">
        <v>20</v>
      </c>
      <c r="O118" s="36">
        <v>65</v>
      </c>
    </row>
    <row r="119" spans="2:15" ht="22.2" x14ac:dyDescent="0.25">
      <c r="B119" s="11">
        <v>1100001</v>
      </c>
      <c r="C119" s="20" t="s">
        <v>115</v>
      </c>
      <c r="D119" s="25">
        <v>0</v>
      </c>
      <c r="E119" s="25">
        <v>1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1</v>
      </c>
      <c r="M119" s="11"/>
      <c r="N119" s="11"/>
      <c r="O119" s="36">
        <v>-1</v>
      </c>
    </row>
    <row r="120" spans="2:15" ht="22.2" x14ac:dyDescent="0.25">
      <c r="B120" s="11">
        <v>1100002</v>
      </c>
      <c r="C120" s="20" t="s">
        <v>116</v>
      </c>
      <c r="D120" s="25">
        <v>0</v>
      </c>
      <c r="E120" s="25">
        <v>1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1</v>
      </c>
      <c r="M120" s="11">
        <v>50</v>
      </c>
      <c r="N120" s="11"/>
      <c r="O120" s="36">
        <v>49</v>
      </c>
    </row>
    <row r="121" spans="2:15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/>
      <c r="O121" s="36">
        <v>0</v>
      </c>
    </row>
    <row r="122" spans="2:15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>
        <v>23</v>
      </c>
      <c r="O122" s="36">
        <v>23</v>
      </c>
    </row>
    <row r="123" spans="2:15" ht="22.2" x14ac:dyDescent="0.25">
      <c r="B123" s="11">
        <v>1114501</v>
      </c>
      <c r="C123" s="20" t="s">
        <v>119</v>
      </c>
      <c r="D123" s="25">
        <v>0</v>
      </c>
      <c r="E123" s="25">
        <v>7</v>
      </c>
      <c r="F123" s="25">
        <v>10</v>
      </c>
      <c r="G123" s="25">
        <v>92</v>
      </c>
      <c r="H123" s="25">
        <v>44</v>
      </c>
      <c r="I123" s="25">
        <v>0</v>
      </c>
      <c r="J123" s="25">
        <v>0</v>
      </c>
      <c r="K123" s="25">
        <v>0</v>
      </c>
      <c r="L123" s="28">
        <v>153</v>
      </c>
      <c r="M123" s="11">
        <v>100</v>
      </c>
      <c r="N123" s="11">
        <v>59</v>
      </c>
      <c r="O123" s="36">
        <v>6</v>
      </c>
    </row>
    <row r="124" spans="2:15" ht="22.2" x14ac:dyDescent="0.25">
      <c r="B124" s="11">
        <v>1114502</v>
      </c>
      <c r="C124" s="20" t="s">
        <v>120</v>
      </c>
      <c r="D124" s="25">
        <v>0</v>
      </c>
      <c r="E124" s="25">
        <v>5</v>
      </c>
      <c r="F124" s="25">
        <v>3</v>
      </c>
      <c r="G124" s="25">
        <v>91</v>
      </c>
      <c r="H124" s="25">
        <v>43</v>
      </c>
      <c r="I124" s="25">
        <v>0</v>
      </c>
      <c r="J124" s="25">
        <v>0</v>
      </c>
      <c r="K124" s="25">
        <v>0</v>
      </c>
      <c r="L124" s="28">
        <v>142</v>
      </c>
      <c r="M124" s="11">
        <v>100</v>
      </c>
      <c r="N124" s="11">
        <v>67</v>
      </c>
      <c r="O124" s="36">
        <v>25</v>
      </c>
    </row>
    <row r="125" spans="2:15" ht="22.2" x14ac:dyDescent="0.25">
      <c r="B125" s="11">
        <v>1114503</v>
      </c>
      <c r="C125" s="20" t="s">
        <v>121</v>
      </c>
      <c r="D125" s="25">
        <v>0</v>
      </c>
      <c r="E125" s="25">
        <v>2</v>
      </c>
      <c r="F125" s="25">
        <v>6</v>
      </c>
      <c r="G125" s="25">
        <v>91</v>
      </c>
      <c r="H125" s="25">
        <v>43</v>
      </c>
      <c r="I125" s="25">
        <v>0</v>
      </c>
      <c r="J125" s="25">
        <v>0</v>
      </c>
      <c r="K125" s="25">
        <v>0</v>
      </c>
      <c r="L125" s="28">
        <v>142</v>
      </c>
      <c r="M125" s="11">
        <v>100</v>
      </c>
      <c r="N125" s="11">
        <v>68</v>
      </c>
      <c r="O125" s="36">
        <v>26</v>
      </c>
    </row>
    <row r="126" spans="2:15" ht="22.2" x14ac:dyDescent="0.25">
      <c r="B126" s="11">
        <v>1124021</v>
      </c>
      <c r="C126" s="20" t="s">
        <v>122</v>
      </c>
      <c r="D126" s="25">
        <v>0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8">
        <v>0</v>
      </c>
      <c r="M126" s="11">
        <v>100</v>
      </c>
      <c r="N126" s="11"/>
      <c r="O126" s="36">
        <v>100</v>
      </c>
    </row>
    <row r="127" spans="2:15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36">
        <v>0</v>
      </c>
    </row>
    <row r="128" spans="2:15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36">
        <v>0</v>
      </c>
    </row>
    <row r="129" spans="2:15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36">
        <v>0</v>
      </c>
    </row>
    <row r="130" spans="2:15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>
        <v>20</v>
      </c>
      <c r="O130" s="36">
        <v>20</v>
      </c>
    </row>
    <row r="131" spans="2:15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36">
        <v>0</v>
      </c>
    </row>
    <row r="132" spans="2:15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36">
        <v>0</v>
      </c>
    </row>
    <row r="133" spans="2:15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36">
        <v>0</v>
      </c>
    </row>
    <row r="134" spans="2:15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36">
        <v>0</v>
      </c>
    </row>
    <row r="135" spans="2:15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36">
        <v>0</v>
      </c>
    </row>
    <row r="136" spans="2:15" ht="22.2" x14ac:dyDescent="0.25">
      <c r="B136" s="21"/>
      <c r="C136" s="20" t="s">
        <v>132</v>
      </c>
      <c r="D136" s="25">
        <v>0</v>
      </c>
      <c r="E136" s="25">
        <v>3</v>
      </c>
      <c r="F136" s="25">
        <v>3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6</v>
      </c>
      <c r="M136" s="11"/>
      <c r="N136" s="11"/>
      <c r="O136" s="36">
        <v>-6</v>
      </c>
    </row>
    <row r="137" spans="2:15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36">
        <v>0</v>
      </c>
    </row>
    <row r="138" spans="2:15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36">
        <v>0</v>
      </c>
    </row>
    <row r="139" spans="2:15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36">
        <v>0</v>
      </c>
    </row>
    <row r="140" spans="2:15" ht="22.2" x14ac:dyDescent="0.25">
      <c r="C140" s="27"/>
      <c r="D140" s="28">
        <v>210</v>
      </c>
      <c r="E140" s="28">
        <v>259</v>
      </c>
      <c r="F140" s="28">
        <v>190</v>
      </c>
      <c r="G140" s="28">
        <v>1290</v>
      </c>
      <c r="H140" s="28">
        <v>650</v>
      </c>
      <c r="I140" s="28">
        <v>0</v>
      </c>
      <c r="J140" s="28">
        <v>0</v>
      </c>
      <c r="K140" s="28">
        <v>110</v>
      </c>
      <c r="L140" s="28">
        <v>2709</v>
      </c>
      <c r="M140" s="25">
        <v>1850</v>
      </c>
      <c r="N140" s="25">
        <v>2592</v>
      </c>
      <c r="O140" s="36">
        <v>1733</v>
      </c>
    </row>
    <row r="141" spans="2:15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5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5" ht="22.2" x14ac:dyDescent="0.25">
      <c r="C143" s="22"/>
      <c r="D143" s="26"/>
      <c r="E143" s="61"/>
      <c r="F143" s="61"/>
      <c r="G143" s="23"/>
      <c r="L143" s="32"/>
    </row>
  </sheetData>
  <mergeCells count="13">
    <mergeCell ref="B101:O101"/>
    <mergeCell ref="B113:O113"/>
    <mergeCell ref="E143:F143"/>
    <mergeCell ref="B89:O89"/>
    <mergeCell ref="N2:N4"/>
    <mergeCell ref="B6:O6"/>
    <mergeCell ref="B68:O68"/>
    <mergeCell ref="B78:O78"/>
    <mergeCell ref="B1:L1"/>
    <mergeCell ref="B2:C3"/>
    <mergeCell ref="E2:F3"/>
    <mergeCell ref="M2:M4"/>
    <mergeCell ref="O2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FAFA-F28C-4296-B912-622A853FBF74}">
  <dimension ref="B1:O143"/>
  <sheetViews>
    <sheetView workbookViewId="0">
      <selection activeCell="Q9" sqref="Q9"/>
    </sheetView>
  </sheetViews>
  <sheetFormatPr defaultRowHeight="13.8" x14ac:dyDescent="0.25"/>
  <sheetData>
    <row r="1" spans="2:15" ht="22.2" x14ac:dyDescent="0.25">
      <c r="B1" s="50" t="s">
        <v>162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5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62" t="s">
        <v>4</v>
      </c>
    </row>
    <row r="3" spans="2:15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63"/>
    </row>
    <row r="4" spans="2:15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64"/>
    </row>
    <row r="5" spans="2:15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24"/>
    </row>
    <row r="6" spans="2:15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2:15" ht="22.2" x14ac:dyDescent="0.25">
      <c r="B7" s="11">
        <v>1111002</v>
      </c>
      <c r="C7" s="15" t="s">
        <v>18</v>
      </c>
      <c r="D7" s="25">
        <v>17</v>
      </c>
      <c r="E7" s="25">
        <v>66</v>
      </c>
      <c r="F7" s="25">
        <v>306</v>
      </c>
      <c r="G7" s="25">
        <v>3</v>
      </c>
      <c r="H7" s="25">
        <v>0</v>
      </c>
      <c r="I7" s="25">
        <v>0</v>
      </c>
      <c r="J7" s="25">
        <v>0</v>
      </c>
      <c r="K7" s="25">
        <v>0</v>
      </c>
      <c r="L7" s="28">
        <v>392</v>
      </c>
      <c r="M7" s="11"/>
      <c r="N7" s="11"/>
      <c r="O7" s="36">
        <v>-392</v>
      </c>
    </row>
    <row r="8" spans="2:15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36">
        <v>0</v>
      </c>
    </row>
    <row r="9" spans="2:15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36">
        <v>0</v>
      </c>
    </row>
    <row r="10" spans="2:15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36">
        <v>0</v>
      </c>
    </row>
    <row r="11" spans="2:15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36">
        <v>0</v>
      </c>
    </row>
    <row r="12" spans="2:15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36">
        <v>0</v>
      </c>
    </row>
    <row r="13" spans="2:15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36">
        <v>0</v>
      </c>
    </row>
    <row r="14" spans="2:15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36">
        <v>0</v>
      </c>
    </row>
    <row r="15" spans="2:15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36">
        <v>0</v>
      </c>
    </row>
    <row r="16" spans="2:15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185</v>
      </c>
      <c r="L16" s="28">
        <v>185</v>
      </c>
      <c r="M16" s="11"/>
      <c r="N16" s="11"/>
      <c r="O16" s="36">
        <v>-185</v>
      </c>
    </row>
    <row r="17" spans="2:15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36">
        <v>0</v>
      </c>
    </row>
    <row r="18" spans="2:15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36">
        <v>0</v>
      </c>
    </row>
    <row r="19" spans="2:15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36">
        <v>0</v>
      </c>
    </row>
    <row r="20" spans="2:15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36">
        <v>0</v>
      </c>
    </row>
    <row r="21" spans="2:15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36">
        <v>0</v>
      </c>
    </row>
    <row r="22" spans="2:15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36">
        <v>0</v>
      </c>
    </row>
    <row r="23" spans="2:15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36">
        <v>0</v>
      </c>
    </row>
    <row r="24" spans="2:15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36">
        <v>0</v>
      </c>
    </row>
    <row r="25" spans="2:15" ht="22.2" x14ac:dyDescent="0.25">
      <c r="B25" s="11">
        <v>1111056</v>
      </c>
      <c r="C25" s="15" t="s">
        <v>36</v>
      </c>
      <c r="D25" s="25">
        <v>17</v>
      </c>
      <c r="E25" s="25">
        <v>3</v>
      </c>
      <c r="F25" s="25">
        <v>18</v>
      </c>
      <c r="G25" s="25">
        <v>1</v>
      </c>
      <c r="H25" s="25">
        <v>0</v>
      </c>
      <c r="I25" s="25">
        <v>0</v>
      </c>
      <c r="J25" s="25">
        <v>0</v>
      </c>
      <c r="K25" s="25">
        <v>0</v>
      </c>
      <c r="L25" s="28">
        <v>39</v>
      </c>
      <c r="M25" s="11"/>
      <c r="N25" s="11"/>
      <c r="O25" s="36">
        <v>-39</v>
      </c>
    </row>
    <row r="26" spans="2:15" ht="22.2" x14ac:dyDescent="0.25">
      <c r="B26" s="11">
        <v>1004055</v>
      </c>
      <c r="C26" s="15" t="s">
        <v>37</v>
      </c>
      <c r="D26" s="25">
        <v>15</v>
      </c>
      <c r="E26" s="25">
        <v>4</v>
      </c>
      <c r="F26" s="25">
        <v>10</v>
      </c>
      <c r="G26" s="25">
        <v>265</v>
      </c>
      <c r="H26" s="25">
        <v>234</v>
      </c>
      <c r="I26" s="25">
        <v>0</v>
      </c>
      <c r="J26" s="25">
        <v>0</v>
      </c>
      <c r="K26" s="25">
        <v>0</v>
      </c>
      <c r="L26" s="28">
        <v>528</v>
      </c>
      <c r="M26" s="11"/>
      <c r="N26" s="11"/>
      <c r="O26" s="36">
        <v>-528</v>
      </c>
    </row>
    <row r="27" spans="2:15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36">
        <v>0</v>
      </c>
    </row>
    <row r="28" spans="2:15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36">
        <v>0</v>
      </c>
    </row>
    <row r="29" spans="2:15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36">
        <v>0</v>
      </c>
    </row>
    <row r="30" spans="2:15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36">
        <v>0</v>
      </c>
    </row>
    <row r="31" spans="2:15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36">
        <v>0</v>
      </c>
    </row>
    <row r="32" spans="2:15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36">
        <v>0</v>
      </c>
    </row>
    <row r="33" spans="2:15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36">
        <v>0</v>
      </c>
    </row>
    <row r="34" spans="2:15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36">
        <v>0</v>
      </c>
    </row>
    <row r="35" spans="2:15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36">
        <v>0</v>
      </c>
    </row>
    <row r="36" spans="2:15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36">
        <v>0</v>
      </c>
    </row>
    <row r="37" spans="2:15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36">
        <v>0</v>
      </c>
    </row>
    <row r="38" spans="2:15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36">
        <v>0</v>
      </c>
    </row>
    <row r="39" spans="2:15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36">
        <v>0</v>
      </c>
    </row>
    <row r="40" spans="2:15" ht="22.2" x14ac:dyDescent="0.25">
      <c r="B40" s="11">
        <v>1111057</v>
      </c>
      <c r="C40" s="15" t="s">
        <v>51</v>
      </c>
      <c r="D40" s="25">
        <v>0</v>
      </c>
      <c r="E40" s="25">
        <v>0</v>
      </c>
      <c r="F40" s="25">
        <v>5</v>
      </c>
      <c r="G40" s="25">
        <v>0</v>
      </c>
      <c r="H40" s="25">
        <v>2</v>
      </c>
      <c r="I40" s="25">
        <v>0</v>
      </c>
      <c r="J40" s="25">
        <v>0</v>
      </c>
      <c r="K40" s="25">
        <v>0</v>
      </c>
      <c r="L40" s="28">
        <v>7</v>
      </c>
      <c r="M40" s="11"/>
      <c r="N40" s="11"/>
      <c r="O40" s="36">
        <v>-7</v>
      </c>
    </row>
    <row r="41" spans="2:15" ht="22.2" x14ac:dyDescent="0.25">
      <c r="B41" s="11">
        <v>1111058</v>
      </c>
      <c r="C41" s="15" t="s">
        <v>52</v>
      </c>
      <c r="D41" s="25">
        <v>0</v>
      </c>
      <c r="E41" s="25">
        <v>0</v>
      </c>
      <c r="F41" s="25">
        <v>1</v>
      </c>
      <c r="G41" s="25">
        <v>0</v>
      </c>
      <c r="H41" s="25">
        <v>2</v>
      </c>
      <c r="I41" s="25">
        <v>0</v>
      </c>
      <c r="J41" s="25">
        <v>0</v>
      </c>
      <c r="K41" s="25">
        <v>0</v>
      </c>
      <c r="L41" s="28">
        <v>3</v>
      </c>
      <c r="M41" s="11"/>
      <c r="N41" s="11"/>
      <c r="O41" s="36">
        <v>-3</v>
      </c>
    </row>
    <row r="42" spans="2:15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25">
        <v>1</v>
      </c>
      <c r="G42" s="25">
        <v>5</v>
      </c>
      <c r="H42" s="25">
        <v>5</v>
      </c>
      <c r="I42" s="25">
        <v>0</v>
      </c>
      <c r="J42" s="25">
        <v>0</v>
      </c>
      <c r="K42" s="25">
        <v>0</v>
      </c>
      <c r="L42" s="28">
        <v>11</v>
      </c>
      <c r="M42" s="11"/>
      <c r="N42" s="11"/>
      <c r="O42" s="36">
        <v>-11</v>
      </c>
    </row>
    <row r="43" spans="2:15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1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1</v>
      </c>
      <c r="M43" s="11"/>
      <c r="N43" s="11"/>
      <c r="O43" s="36">
        <v>-1</v>
      </c>
    </row>
    <row r="44" spans="2:15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25">
        <v>0</v>
      </c>
      <c r="G44" s="25">
        <v>0</v>
      </c>
      <c r="H44" s="25">
        <v>2</v>
      </c>
      <c r="I44" s="25">
        <v>0</v>
      </c>
      <c r="J44" s="25">
        <v>0</v>
      </c>
      <c r="K44" s="25">
        <v>0</v>
      </c>
      <c r="L44" s="28">
        <v>2</v>
      </c>
      <c r="M44" s="11"/>
      <c r="N44" s="11"/>
      <c r="O44" s="36">
        <v>-2</v>
      </c>
    </row>
    <row r="45" spans="2:15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36">
        <v>0</v>
      </c>
    </row>
    <row r="46" spans="2:15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25">
        <v>1</v>
      </c>
      <c r="G46" s="25">
        <v>0</v>
      </c>
      <c r="H46" s="25">
        <v>2</v>
      </c>
      <c r="I46" s="25">
        <v>0</v>
      </c>
      <c r="J46" s="25">
        <v>0</v>
      </c>
      <c r="K46" s="25">
        <v>0</v>
      </c>
      <c r="L46" s="28">
        <v>3</v>
      </c>
      <c r="M46" s="11"/>
      <c r="N46" s="11"/>
      <c r="O46" s="36">
        <v>-3</v>
      </c>
    </row>
    <row r="47" spans="2:15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25">
        <v>0</v>
      </c>
      <c r="G47" s="25">
        <v>0</v>
      </c>
      <c r="H47" s="25">
        <v>2</v>
      </c>
      <c r="I47" s="25">
        <v>0</v>
      </c>
      <c r="J47" s="25">
        <v>0</v>
      </c>
      <c r="K47" s="25">
        <v>0</v>
      </c>
      <c r="L47" s="28">
        <v>2</v>
      </c>
      <c r="M47" s="11"/>
      <c r="N47" s="11"/>
      <c r="O47" s="36">
        <v>-2</v>
      </c>
    </row>
    <row r="48" spans="2:15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1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1</v>
      </c>
      <c r="M48" s="11"/>
      <c r="N48" s="11"/>
      <c r="O48" s="36">
        <v>-1</v>
      </c>
    </row>
    <row r="49" spans="2:15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25">
        <v>1</v>
      </c>
      <c r="G49" s="25">
        <v>0</v>
      </c>
      <c r="H49" s="25">
        <v>2</v>
      </c>
      <c r="I49" s="25">
        <v>0</v>
      </c>
      <c r="J49" s="25">
        <v>0</v>
      </c>
      <c r="K49" s="25">
        <v>0</v>
      </c>
      <c r="L49" s="28">
        <v>3</v>
      </c>
      <c r="M49" s="11"/>
      <c r="N49" s="11"/>
      <c r="O49" s="36">
        <v>-3</v>
      </c>
    </row>
    <row r="50" spans="2:15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25">
        <v>1</v>
      </c>
      <c r="G50" s="25">
        <v>5</v>
      </c>
      <c r="H50" s="25">
        <v>7</v>
      </c>
      <c r="I50" s="25">
        <v>0</v>
      </c>
      <c r="J50" s="25">
        <v>0</v>
      </c>
      <c r="K50" s="25">
        <v>0</v>
      </c>
      <c r="L50" s="28">
        <v>13</v>
      </c>
      <c r="M50" s="11"/>
      <c r="N50" s="11"/>
      <c r="O50" s="36">
        <v>-13</v>
      </c>
    </row>
    <row r="51" spans="2:15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25">
        <v>1</v>
      </c>
      <c r="G51" s="25">
        <v>0</v>
      </c>
      <c r="H51" s="25">
        <v>2</v>
      </c>
      <c r="I51" s="25">
        <v>0</v>
      </c>
      <c r="J51" s="25">
        <v>0</v>
      </c>
      <c r="K51" s="25">
        <v>0</v>
      </c>
      <c r="L51" s="28">
        <v>3</v>
      </c>
      <c r="M51" s="11"/>
      <c r="N51" s="11"/>
      <c r="O51" s="36">
        <v>-3</v>
      </c>
    </row>
    <row r="52" spans="2:15" ht="22.2" x14ac:dyDescent="0.25">
      <c r="B52" s="11">
        <v>1111069</v>
      </c>
      <c r="C52" s="15" t="s">
        <v>63</v>
      </c>
      <c r="D52" s="25">
        <v>0</v>
      </c>
      <c r="E52" s="25">
        <v>0</v>
      </c>
      <c r="F52" s="25">
        <v>1</v>
      </c>
      <c r="G52" s="25">
        <v>0</v>
      </c>
      <c r="H52" s="25">
        <v>2</v>
      </c>
      <c r="I52" s="25">
        <v>0</v>
      </c>
      <c r="J52" s="25">
        <v>0</v>
      </c>
      <c r="K52" s="25">
        <v>0</v>
      </c>
      <c r="L52" s="28">
        <v>3</v>
      </c>
      <c r="M52" s="11"/>
      <c r="N52" s="11"/>
      <c r="O52" s="36">
        <v>-3</v>
      </c>
    </row>
    <row r="53" spans="2:15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36">
        <v>0</v>
      </c>
    </row>
    <row r="54" spans="2:15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36">
        <v>0</v>
      </c>
    </row>
    <row r="55" spans="2:15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36">
        <v>0</v>
      </c>
    </row>
    <row r="56" spans="2:15" ht="22.2" x14ac:dyDescent="0.25">
      <c r="B56" s="11">
        <v>1111074</v>
      </c>
      <c r="C56" s="15" t="s">
        <v>67</v>
      </c>
      <c r="D56" s="25">
        <v>2</v>
      </c>
      <c r="E56" s="25">
        <v>1</v>
      </c>
      <c r="F56" s="25">
        <v>9</v>
      </c>
      <c r="G56" s="25">
        <v>2</v>
      </c>
      <c r="H56" s="25">
        <v>0</v>
      </c>
      <c r="I56" s="25">
        <v>0</v>
      </c>
      <c r="J56" s="25">
        <v>0</v>
      </c>
      <c r="K56" s="25">
        <v>0</v>
      </c>
      <c r="L56" s="28">
        <v>14</v>
      </c>
      <c r="M56" s="11"/>
      <c r="N56" s="11"/>
      <c r="O56" s="36">
        <v>-14</v>
      </c>
    </row>
    <row r="57" spans="2:15" ht="22.2" x14ac:dyDescent="0.25">
      <c r="B57" s="11">
        <v>1111075</v>
      </c>
      <c r="C57" s="15" t="s">
        <v>68</v>
      </c>
      <c r="D57" s="25">
        <v>2</v>
      </c>
      <c r="E57" s="25">
        <v>1</v>
      </c>
      <c r="F57" s="25">
        <v>9</v>
      </c>
      <c r="G57" s="25">
        <v>2</v>
      </c>
      <c r="H57" s="25">
        <v>0</v>
      </c>
      <c r="I57" s="25">
        <v>0</v>
      </c>
      <c r="J57" s="25">
        <v>0</v>
      </c>
      <c r="K57" s="25">
        <v>0</v>
      </c>
      <c r="L57" s="28">
        <v>14</v>
      </c>
      <c r="M57" s="11"/>
      <c r="N57" s="11"/>
      <c r="O57" s="36">
        <v>-14</v>
      </c>
    </row>
    <row r="58" spans="2:15" ht="22.2" x14ac:dyDescent="0.25">
      <c r="B58" s="11">
        <v>1111076</v>
      </c>
      <c r="C58" s="15" t="s">
        <v>69</v>
      </c>
      <c r="D58" s="25">
        <v>2</v>
      </c>
      <c r="E58" s="25">
        <v>1</v>
      </c>
      <c r="F58" s="25">
        <v>9</v>
      </c>
      <c r="G58" s="25">
        <v>2</v>
      </c>
      <c r="H58" s="25">
        <v>0</v>
      </c>
      <c r="I58" s="25">
        <v>0</v>
      </c>
      <c r="J58" s="25">
        <v>0</v>
      </c>
      <c r="K58" s="25">
        <v>0</v>
      </c>
      <c r="L58" s="28">
        <v>14</v>
      </c>
      <c r="M58" s="11"/>
      <c r="N58" s="11"/>
      <c r="O58" s="36">
        <v>-14</v>
      </c>
    </row>
    <row r="59" spans="2:15" ht="22.2" x14ac:dyDescent="0.25">
      <c r="B59" s="11">
        <v>1111077</v>
      </c>
      <c r="C59" s="15" t="s">
        <v>70</v>
      </c>
      <c r="D59" s="25">
        <v>2</v>
      </c>
      <c r="E59" s="25">
        <v>1</v>
      </c>
      <c r="F59" s="25">
        <v>9</v>
      </c>
      <c r="G59" s="25">
        <v>2</v>
      </c>
      <c r="H59" s="25">
        <v>0</v>
      </c>
      <c r="I59" s="25">
        <v>0</v>
      </c>
      <c r="J59" s="25">
        <v>0</v>
      </c>
      <c r="K59" s="25">
        <v>0</v>
      </c>
      <c r="L59" s="28">
        <v>14</v>
      </c>
      <c r="M59" s="11"/>
      <c r="N59" s="11"/>
      <c r="O59" s="36">
        <v>-14</v>
      </c>
    </row>
    <row r="60" spans="2:15" ht="22.2" x14ac:dyDescent="0.25">
      <c r="B60" s="11">
        <v>1111078</v>
      </c>
      <c r="C60" s="15" t="s">
        <v>71</v>
      </c>
      <c r="D60" s="25">
        <v>2</v>
      </c>
      <c r="E60" s="25">
        <v>1</v>
      </c>
      <c r="F60" s="25">
        <v>9</v>
      </c>
      <c r="G60" s="25">
        <v>2</v>
      </c>
      <c r="H60" s="25">
        <v>0</v>
      </c>
      <c r="I60" s="25">
        <v>0</v>
      </c>
      <c r="J60" s="25">
        <v>0</v>
      </c>
      <c r="K60" s="25">
        <v>0</v>
      </c>
      <c r="L60" s="28">
        <v>14</v>
      </c>
      <c r="M60" s="11"/>
      <c r="N60" s="11"/>
      <c r="O60" s="36">
        <v>-14</v>
      </c>
    </row>
    <row r="61" spans="2:15" ht="22.2" x14ac:dyDescent="0.25">
      <c r="B61" s="11">
        <v>1111079</v>
      </c>
      <c r="C61" s="15" t="s">
        <v>72</v>
      </c>
      <c r="D61" s="25">
        <v>2</v>
      </c>
      <c r="E61" s="25">
        <v>1</v>
      </c>
      <c r="F61" s="25">
        <v>9</v>
      </c>
      <c r="G61" s="25">
        <v>2</v>
      </c>
      <c r="H61" s="25">
        <v>0</v>
      </c>
      <c r="I61" s="25">
        <v>0</v>
      </c>
      <c r="J61" s="25">
        <v>0</v>
      </c>
      <c r="K61" s="25">
        <v>0</v>
      </c>
      <c r="L61" s="28">
        <v>14</v>
      </c>
      <c r="M61" s="11"/>
      <c r="N61" s="11"/>
      <c r="O61" s="36">
        <v>-14</v>
      </c>
    </row>
    <row r="62" spans="2:15" ht="22.2" x14ac:dyDescent="0.25">
      <c r="B62" s="11">
        <v>1111080</v>
      </c>
      <c r="C62" s="15" t="s">
        <v>73</v>
      </c>
      <c r="D62" s="25">
        <v>2</v>
      </c>
      <c r="E62" s="25">
        <v>1</v>
      </c>
      <c r="F62" s="25">
        <v>9</v>
      </c>
      <c r="G62" s="25">
        <v>2</v>
      </c>
      <c r="H62" s="25">
        <v>0</v>
      </c>
      <c r="I62" s="25">
        <v>0</v>
      </c>
      <c r="J62" s="25">
        <v>0</v>
      </c>
      <c r="K62" s="25">
        <v>0</v>
      </c>
      <c r="L62" s="28">
        <v>14</v>
      </c>
      <c r="M62" s="11"/>
      <c r="N62" s="11"/>
      <c r="O62" s="36">
        <v>-14</v>
      </c>
    </row>
    <row r="63" spans="2:15" ht="22.2" x14ac:dyDescent="0.25">
      <c r="B63" s="11">
        <v>1111081</v>
      </c>
      <c r="C63" s="15" t="s">
        <v>74</v>
      </c>
      <c r="D63" s="25">
        <v>2</v>
      </c>
      <c r="E63" s="25">
        <v>1</v>
      </c>
      <c r="F63" s="25">
        <v>9</v>
      </c>
      <c r="G63" s="25">
        <v>2</v>
      </c>
      <c r="H63" s="25">
        <v>0</v>
      </c>
      <c r="I63" s="25">
        <v>0</v>
      </c>
      <c r="J63" s="25">
        <v>0</v>
      </c>
      <c r="K63" s="25">
        <v>0</v>
      </c>
      <c r="L63" s="28">
        <v>14</v>
      </c>
      <c r="M63" s="11"/>
      <c r="N63" s="11"/>
      <c r="O63" s="36">
        <v>-14</v>
      </c>
    </row>
    <row r="64" spans="2:15" ht="22.2" x14ac:dyDescent="0.25">
      <c r="B64" s="11">
        <v>1111082</v>
      </c>
      <c r="C64" s="15" t="s">
        <v>75</v>
      </c>
      <c r="D64" s="25">
        <v>2</v>
      </c>
      <c r="E64" s="25">
        <v>1</v>
      </c>
      <c r="F64" s="25">
        <v>9</v>
      </c>
      <c r="G64" s="25">
        <v>2</v>
      </c>
      <c r="H64" s="25">
        <v>0</v>
      </c>
      <c r="I64" s="25">
        <v>0</v>
      </c>
      <c r="J64" s="25">
        <v>0</v>
      </c>
      <c r="K64" s="25">
        <v>0</v>
      </c>
      <c r="L64" s="28">
        <v>14</v>
      </c>
      <c r="M64" s="11"/>
      <c r="N64" s="11"/>
      <c r="O64" s="36">
        <v>-14</v>
      </c>
    </row>
    <row r="65" spans="2:15" ht="22.2" x14ac:dyDescent="0.25">
      <c r="B65" s="11">
        <v>1111083</v>
      </c>
      <c r="C65" s="15" t="s">
        <v>76</v>
      </c>
      <c r="D65" s="25">
        <v>2</v>
      </c>
      <c r="E65" s="25">
        <v>1</v>
      </c>
      <c r="F65" s="25">
        <v>9</v>
      </c>
      <c r="G65" s="25">
        <v>2</v>
      </c>
      <c r="H65" s="25">
        <v>0</v>
      </c>
      <c r="I65" s="25">
        <v>0</v>
      </c>
      <c r="J65" s="25">
        <v>0</v>
      </c>
      <c r="K65" s="25">
        <v>0</v>
      </c>
      <c r="L65" s="28">
        <v>14</v>
      </c>
      <c r="M65" s="11"/>
      <c r="N65" s="11"/>
      <c r="O65" s="36">
        <v>-14</v>
      </c>
    </row>
    <row r="66" spans="2:15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36">
        <v>0</v>
      </c>
    </row>
    <row r="67" spans="2:15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36"/>
    </row>
    <row r="68" spans="2:15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0"/>
    </row>
    <row r="69" spans="2:15" ht="22.2" x14ac:dyDescent="0.25">
      <c r="B69" s="11">
        <v>1111009</v>
      </c>
      <c r="C69" s="18" t="s">
        <v>79</v>
      </c>
      <c r="D69" s="25">
        <v>27</v>
      </c>
      <c r="E69" s="25">
        <v>3</v>
      </c>
      <c r="F69" s="25">
        <v>23</v>
      </c>
      <c r="G69" s="25">
        <v>3</v>
      </c>
      <c r="H69" s="25">
        <v>0</v>
      </c>
      <c r="I69" s="25">
        <v>0</v>
      </c>
      <c r="J69" s="25">
        <v>0</v>
      </c>
      <c r="K69" s="25">
        <v>0</v>
      </c>
      <c r="L69" s="28">
        <v>56</v>
      </c>
      <c r="M69" s="11"/>
      <c r="N69" s="11"/>
      <c r="O69" s="36">
        <v>-56</v>
      </c>
    </row>
    <row r="70" spans="2:15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36">
        <v>0</v>
      </c>
    </row>
    <row r="71" spans="2:15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36">
        <v>0</v>
      </c>
    </row>
    <row r="72" spans="2:15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36">
        <v>0</v>
      </c>
    </row>
    <row r="73" spans="2:15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36">
        <v>0</v>
      </c>
    </row>
    <row r="74" spans="2:15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36">
        <v>0</v>
      </c>
    </row>
    <row r="75" spans="2:15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36">
        <v>0</v>
      </c>
    </row>
    <row r="76" spans="2:15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36">
        <v>0</v>
      </c>
    </row>
    <row r="77" spans="2:15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36">
        <v>0</v>
      </c>
    </row>
    <row r="78" spans="2:15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60"/>
    </row>
    <row r="79" spans="2:15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36">
        <v>0</v>
      </c>
    </row>
    <row r="80" spans="2:15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36">
        <v>0</v>
      </c>
    </row>
    <row r="81" spans="2:15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36">
        <v>0</v>
      </c>
    </row>
    <row r="82" spans="2:15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36">
        <v>0</v>
      </c>
    </row>
    <row r="83" spans="2:15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36">
        <v>0</v>
      </c>
    </row>
    <row r="84" spans="2:15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36">
        <v>0</v>
      </c>
    </row>
    <row r="85" spans="2:15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36">
        <v>0</v>
      </c>
    </row>
    <row r="86" spans="2:15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36">
        <v>0</v>
      </c>
    </row>
    <row r="87" spans="2:15" ht="22.2" x14ac:dyDescent="0.25">
      <c r="B87" s="11">
        <v>1111008</v>
      </c>
      <c r="C87" s="18" t="s">
        <v>96</v>
      </c>
      <c r="D87" s="25">
        <v>25</v>
      </c>
      <c r="E87" s="25">
        <v>2</v>
      </c>
      <c r="F87" s="25">
        <v>0</v>
      </c>
      <c r="G87" s="25">
        <v>263</v>
      </c>
      <c r="H87" s="25">
        <v>255</v>
      </c>
      <c r="I87" s="25">
        <v>0</v>
      </c>
      <c r="J87" s="25">
        <v>0</v>
      </c>
      <c r="K87" s="25">
        <v>0</v>
      </c>
      <c r="L87" s="28">
        <v>545</v>
      </c>
      <c r="M87" s="11"/>
      <c r="N87" s="11"/>
      <c r="O87" s="36">
        <v>-545</v>
      </c>
    </row>
    <row r="88" spans="2:15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36">
        <v>0</v>
      </c>
    </row>
    <row r="89" spans="2:15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60"/>
    </row>
    <row r="90" spans="2:15" ht="22.2" x14ac:dyDescent="0.25">
      <c r="B90" s="11">
        <v>1112009</v>
      </c>
      <c r="C90" s="18" t="s">
        <v>98</v>
      </c>
      <c r="D90" s="25">
        <v>9</v>
      </c>
      <c r="E90" s="25">
        <v>13</v>
      </c>
      <c r="F90" s="25">
        <v>24</v>
      </c>
      <c r="G90" s="25">
        <v>84</v>
      </c>
      <c r="H90" s="25">
        <v>5</v>
      </c>
      <c r="I90" s="25">
        <v>0</v>
      </c>
      <c r="J90" s="25">
        <v>0</v>
      </c>
      <c r="K90" s="25">
        <v>0</v>
      </c>
      <c r="L90" s="28">
        <v>135</v>
      </c>
      <c r="M90" s="11"/>
      <c r="N90" s="11"/>
      <c r="O90" s="36">
        <v>-135</v>
      </c>
    </row>
    <row r="91" spans="2:15" ht="22.2" x14ac:dyDescent="0.25">
      <c r="B91" s="11">
        <v>1112011</v>
      </c>
      <c r="C91" s="18" t="s">
        <v>99</v>
      </c>
      <c r="D91" s="25">
        <v>41</v>
      </c>
      <c r="E91" s="25">
        <v>16</v>
      </c>
      <c r="F91" s="25">
        <v>26</v>
      </c>
      <c r="G91" s="25">
        <v>84</v>
      </c>
      <c r="H91" s="25">
        <v>5</v>
      </c>
      <c r="I91" s="25">
        <v>0</v>
      </c>
      <c r="J91" s="25">
        <v>0</v>
      </c>
      <c r="K91" s="25">
        <v>0</v>
      </c>
      <c r="L91" s="28">
        <v>172</v>
      </c>
      <c r="M91" s="11"/>
      <c r="N91" s="11"/>
      <c r="O91" s="36">
        <v>-172</v>
      </c>
    </row>
    <row r="92" spans="2:15" ht="22.2" x14ac:dyDescent="0.25">
      <c r="B92" s="11">
        <v>1112003</v>
      </c>
      <c r="C92" s="18" t="s">
        <v>100</v>
      </c>
      <c r="D92" s="25">
        <v>8</v>
      </c>
      <c r="E92" s="25">
        <v>0</v>
      </c>
      <c r="F92" s="25">
        <v>0</v>
      </c>
      <c r="G92" s="25">
        <v>63</v>
      </c>
      <c r="H92" s="25">
        <v>4</v>
      </c>
      <c r="I92" s="25">
        <v>0</v>
      </c>
      <c r="J92" s="25">
        <v>0</v>
      </c>
      <c r="K92" s="25">
        <v>0</v>
      </c>
      <c r="L92" s="28">
        <v>75</v>
      </c>
      <c r="M92" s="11"/>
      <c r="N92" s="11"/>
      <c r="O92" s="36">
        <v>-75</v>
      </c>
    </row>
    <row r="93" spans="2:15" ht="22.2" x14ac:dyDescent="0.25">
      <c r="B93" s="11">
        <v>1112005</v>
      </c>
      <c r="C93" s="18" t="s">
        <v>101</v>
      </c>
      <c r="D93" s="25">
        <v>7</v>
      </c>
      <c r="E93" s="25">
        <v>0</v>
      </c>
      <c r="F93" s="25">
        <v>0</v>
      </c>
      <c r="G93" s="25">
        <v>63</v>
      </c>
      <c r="H93" s="25">
        <v>4</v>
      </c>
      <c r="I93" s="25">
        <v>0</v>
      </c>
      <c r="J93" s="25">
        <v>0</v>
      </c>
      <c r="K93" s="25">
        <v>0</v>
      </c>
      <c r="L93" s="28">
        <v>74</v>
      </c>
      <c r="M93" s="11"/>
      <c r="N93" s="11"/>
      <c r="O93" s="36">
        <v>-74</v>
      </c>
    </row>
    <row r="94" spans="2:15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36">
        <v>0</v>
      </c>
    </row>
    <row r="95" spans="2:15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36">
        <v>0</v>
      </c>
    </row>
    <row r="96" spans="2:15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36">
        <v>0</v>
      </c>
    </row>
    <row r="97" spans="2:15" ht="22.2" x14ac:dyDescent="0.25">
      <c r="B97" s="11">
        <v>1112015</v>
      </c>
      <c r="C97" s="18" t="s">
        <v>105</v>
      </c>
      <c r="D97" s="25">
        <v>7</v>
      </c>
      <c r="E97" s="25">
        <v>0</v>
      </c>
      <c r="F97" s="25">
        <v>0</v>
      </c>
      <c r="G97" s="25">
        <v>60</v>
      </c>
      <c r="H97" s="25">
        <v>4</v>
      </c>
      <c r="I97" s="25">
        <v>0</v>
      </c>
      <c r="J97" s="25">
        <v>0</v>
      </c>
      <c r="K97" s="25">
        <v>0</v>
      </c>
      <c r="L97" s="28">
        <v>71</v>
      </c>
      <c r="M97" s="11"/>
      <c r="N97" s="11"/>
      <c r="O97" s="36">
        <v>-71</v>
      </c>
    </row>
    <row r="98" spans="2:15" ht="22.2" x14ac:dyDescent="0.25">
      <c r="B98" s="11">
        <v>1112013</v>
      </c>
      <c r="C98" s="18" t="s">
        <v>106</v>
      </c>
      <c r="D98" s="25">
        <v>7</v>
      </c>
      <c r="E98" s="25">
        <v>14</v>
      </c>
      <c r="F98" s="25">
        <v>22</v>
      </c>
      <c r="G98" s="25">
        <v>83</v>
      </c>
      <c r="H98" s="25">
        <v>4</v>
      </c>
      <c r="I98" s="25">
        <v>0</v>
      </c>
      <c r="J98" s="25">
        <v>0</v>
      </c>
      <c r="K98" s="25">
        <v>0</v>
      </c>
      <c r="L98" s="28">
        <v>130</v>
      </c>
      <c r="M98" s="11"/>
      <c r="N98" s="11"/>
      <c r="O98" s="36">
        <v>-130</v>
      </c>
    </row>
    <row r="99" spans="2:15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36"/>
    </row>
    <row r="100" spans="2:15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657</v>
      </c>
      <c r="M100" s="11"/>
      <c r="N100" s="11"/>
      <c r="O100" s="36"/>
    </row>
    <row r="101" spans="2:15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60"/>
    </row>
    <row r="102" spans="2:15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36">
        <v>0</v>
      </c>
    </row>
    <row r="103" spans="2:15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36">
        <v>0</v>
      </c>
    </row>
    <row r="104" spans="2:15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36">
        <v>0</v>
      </c>
    </row>
    <row r="105" spans="2:15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36">
        <v>0</v>
      </c>
    </row>
    <row r="106" spans="2:15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36">
        <v>0</v>
      </c>
    </row>
    <row r="107" spans="2:15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36">
        <v>0</v>
      </c>
    </row>
    <row r="108" spans="2:15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36">
        <v>0</v>
      </c>
    </row>
    <row r="109" spans="2:15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36">
        <v>0</v>
      </c>
    </row>
    <row r="110" spans="2:15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36">
        <v>0</v>
      </c>
    </row>
    <row r="111" spans="2:15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36">
        <v>0</v>
      </c>
    </row>
    <row r="112" spans="2:15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/>
      <c r="M112" s="11"/>
      <c r="N112" s="11"/>
      <c r="O112" s="36"/>
    </row>
    <row r="113" spans="2:15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60"/>
    </row>
    <row r="114" spans="2:15" ht="22.2" x14ac:dyDescent="0.25">
      <c r="B114" s="11">
        <v>1113170</v>
      </c>
      <c r="C114" s="20" t="s">
        <v>110</v>
      </c>
      <c r="D114" s="25">
        <v>0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8">
        <v>0</v>
      </c>
      <c r="M114" s="11"/>
      <c r="N114" s="11"/>
      <c r="O114" s="36">
        <v>0</v>
      </c>
    </row>
    <row r="115" spans="2:15" ht="22.2" x14ac:dyDescent="0.25">
      <c r="B115" s="11">
        <v>1113171</v>
      </c>
      <c r="C115" s="20" t="s">
        <v>111</v>
      </c>
      <c r="D115" s="25">
        <v>0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0</v>
      </c>
      <c r="M115" s="11"/>
      <c r="N115" s="11"/>
      <c r="O115" s="36">
        <v>0</v>
      </c>
    </row>
    <row r="116" spans="2:15" ht="22.2" x14ac:dyDescent="0.25">
      <c r="B116" s="11">
        <v>1113172</v>
      </c>
      <c r="C116" s="20" t="s">
        <v>112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8">
        <v>0</v>
      </c>
      <c r="M116" s="11"/>
      <c r="N116" s="11"/>
      <c r="O116" s="36">
        <v>0</v>
      </c>
    </row>
    <row r="117" spans="2:15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36">
        <v>0</v>
      </c>
    </row>
    <row r="118" spans="2:15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1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1</v>
      </c>
      <c r="M118" s="11"/>
      <c r="N118" s="11"/>
      <c r="O118" s="36">
        <v>-1</v>
      </c>
    </row>
    <row r="119" spans="2:15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10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10</v>
      </c>
      <c r="M119" s="11"/>
      <c r="N119" s="11"/>
      <c r="O119" s="36">
        <v>-10</v>
      </c>
    </row>
    <row r="120" spans="2:15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1</v>
      </c>
      <c r="H120" s="25">
        <v>0</v>
      </c>
      <c r="I120" s="25">
        <v>0</v>
      </c>
      <c r="J120" s="25">
        <v>0</v>
      </c>
      <c r="K120" s="25">
        <v>0</v>
      </c>
      <c r="L120" s="28">
        <v>1</v>
      </c>
      <c r="M120" s="11"/>
      <c r="N120" s="11"/>
      <c r="O120" s="36">
        <v>-1</v>
      </c>
    </row>
    <row r="121" spans="2:15" ht="22.2" x14ac:dyDescent="0.25">
      <c r="B121" s="11">
        <v>1200001</v>
      </c>
      <c r="C121" s="20" t="s">
        <v>117</v>
      </c>
      <c r="D121" s="25">
        <v>40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40</v>
      </c>
      <c r="M121" s="11"/>
      <c r="N121" s="11"/>
      <c r="O121" s="36">
        <v>-40</v>
      </c>
    </row>
    <row r="122" spans="2:15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36">
        <v>0</v>
      </c>
    </row>
    <row r="123" spans="2:15" ht="22.2" x14ac:dyDescent="0.25">
      <c r="B123" s="11">
        <v>1114501</v>
      </c>
      <c r="C123" s="20" t="s">
        <v>119</v>
      </c>
      <c r="D123" s="25">
        <v>0</v>
      </c>
      <c r="E123" s="25">
        <v>10</v>
      </c>
      <c r="F123" s="25">
        <v>15</v>
      </c>
      <c r="G123" s="25">
        <v>58</v>
      </c>
      <c r="H123" s="25">
        <v>14</v>
      </c>
      <c r="I123" s="25">
        <v>0</v>
      </c>
      <c r="J123" s="25">
        <v>0</v>
      </c>
      <c r="K123" s="25">
        <v>0</v>
      </c>
      <c r="L123" s="28">
        <v>97</v>
      </c>
      <c r="M123" s="11"/>
      <c r="N123" s="11"/>
      <c r="O123" s="36">
        <v>-97</v>
      </c>
    </row>
    <row r="124" spans="2:15" ht="22.2" x14ac:dyDescent="0.25">
      <c r="B124" s="11">
        <v>1114502</v>
      </c>
      <c r="C124" s="20" t="s">
        <v>120</v>
      </c>
      <c r="D124" s="25">
        <v>0</v>
      </c>
      <c r="E124" s="25">
        <v>3</v>
      </c>
      <c r="F124" s="25">
        <v>12</v>
      </c>
      <c r="G124" s="25">
        <v>58</v>
      </c>
      <c r="H124" s="25">
        <v>14</v>
      </c>
      <c r="I124" s="25">
        <v>0</v>
      </c>
      <c r="J124" s="25">
        <v>0</v>
      </c>
      <c r="K124" s="25">
        <v>0</v>
      </c>
      <c r="L124" s="28">
        <v>87</v>
      </c>
      <c r="M124" s="11"/>
      <c r="N124" s="11"/>
      <c r="O124" s="36">
        <v>-87</v>
      </c>
    </row>
    <row r="125" spans="2:15" ht="22.2" x14ac:dyDescent="0.25">
      <c r="B125" s="11">
        <v>1114503</v>
      </c>
      <c r="C125" s="20" t="s">
        <v>121</v>
      </c>
      <c r="D125" s="25">
        <v>1</v>
      </c>
      <c r="E125" s="25">
        <v>4</v>
      </c>
      <c r="F125" s="25">
        <v>15</v>
      </c>
      <c r="G125" s="25">
        <v>58</v>
      </c>
      <c r="H125" s="25">
        <v>14</v>
      </c>
      <c r="I125" s="25">
        <v>0</v>
      </c>
      <c r="J125" s="25">
        <v>0</v>
      </c>
      <c r="K125" s="25">
        <v>0</v>
      </c>
      <c r="L125" s="28">
        <v>92</v>
      </c>
      <c r="M125" s="11"/>
      <c r="N125" s="11"/>
      <c r="O125" s="36">
        <v>-92</v>
      </c>
    </row>
    <row r="126" spans="2:15" ht="22.2" x14ac:dyDescent="0.25">
      <c r="B126" s="11">
        <v>1124021</v>
      </c>
      <c r="C126" s="20" t="s">
        <v>122</v>
      </c>
      <c r="D126" s="25">
        <v>0</v>
      </c>
      <c r="E126" s="25">
        <v>36</v>
      </c>
      <c r="F126" s="25">
        <v>179</v>
      </c>
      <c r="G126" s="25">
        <v>9</v>
      </c>
      <c r="H126" s="25">
        <v>6</v>
      </c>
      <c r="I126" s="25">
        <v>0</v>
      </c>
      <c r="J126" s="25">
        <v>0</v>
      </c>
      <c r="K126" s="25">
        <v>0</v>
      </c>
      <c r="L126" s="28">
        <v>230</v>
      </c>
      <c r="M126" s="11"/>
      <c r="N126" s="11"/>
      <c r="O126" s="36">
        <v>-230</v>
      </c>
    </row>
    <row r="127" spans="2:15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36">
        <v>0</v>
      </c>
    </row>
    <row r="128" spans="2:15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36">
        <v>0</v>
      </c>
    </row>
    <row r="129" spans="2:15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36">
        <v>0</v>
      </c>
    </row>
    <row r="130" spans="2:15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/>
      <c r="O130" s="36">
        <v>0</v>
      </c>
    </row>
    <row r="131" spans="2:15" ht="22.2" x14ac:dyDescent="0.25">
      <c r="B131" s="11">
        <v>1200003</v>
      </c>
      <c r="C131" s="20" t="s">
        <v>127</v>
      </c>
      <c r="D131" s="25">
        <v>3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3</v>
      </c>
      <c r="M131" s="11"/>
      <c r="N131" s="11"/>
      <c r="O131" s="36">
        <v>-3</v>
      </c>
    </row>
    <row r="132" spans="2:15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36">
        <v>0</v>
      </c>
    </row>
    <row r="133" spans="2:15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36">
        <v>0</v>
      </c>
    </row>
    <row r="134" spans="2:15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36">
        <v>0</v>
      </c>
    </row>
    <row r="135" spans="2:15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36">
        <v>0</v>
      </c>
    </row>
    <row r="136" spans="2:15" ht="22.2" x14ac:dyDescent="0.25">
      <c r="B136" s="21"/>
      <c r="C136" s="20" t="s">
        <v>132</v>
      </c>
      <c r="D136" s="25">
        <v>0</v>
      </c>
      <c r="E136" s="25">
        <v>3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3</v>
      </c>
      <c r="M136" s="11"/>
      <c r="N136" s="11"/>
      <c r="O136" s="36">
        <v>-3</v>
      </c>
    </row>
    <row r="137" spans="2:15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36">
        <v>0</v>
      </c>
    </row>
    <row r="138" spans="2:15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36">
        <v>0</v>
      </c>
    </row>
    <row r="139" spans="2:15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36">
        <v>0</v>
      </c>
    </row>
    <row r="140" spans="2:15" ht="22.2" x14ac:dyDescent="0.25">
      <c r="C140" s="27"/>
      <c r="D140" s="28">
        <v>244</v>
      </c>
      <c r="E140" s="28">
        <v>187</v>
      </c>
      <c r="F140" s="28">
        <v>765</v>
      </c>
      <c r="G140" s="28">
        <v>1186</v>
      </c>
      <c r="H140" s="28">
        <v>591</v>
      </c>
      <c r="I140" s="28">
        <v>0</v>
      </c>
      <c r="J140" s="28">
        <v>0</v>
      </c>
      <c r="K140" s="28">
        <v>185</v>
      </c>
      <c r="L140" s="28">
        <v>3158</v>
      </c>
      <c r="M140" s="25">
        <v>0</v>
      </c>
      <c r="N140" s="25">
        <v>0</v>
      </c>
      <c r="O140" s="36">
        <v>-3158</v>
      </c>
    </row>
    <row r="141" spans="2:15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5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5" ht="22.2" x14ac:dyDescent="0.25">
      <c r="C143" s="22"/>
      <c r="D143" s="26"/>
      <c r="E143" s="61"/>
      <c r="F143" s="61"/>
      <c r="G143" s="23"/>
      <c r="L143" s="32"/>
    </row>
  </sheetData>
  <mergeCells count="13">
    <mergeCell ref="B101:O101"/>
    <mergeCell ref="B113:O113"/>
    <mergeCell ref="E143:F143"/>
    <mergeCell ref="B89:O89"/>
    <mergeCell ref="N2:N4"/>
    <mergeCell ref="B6:O6"/>
    <mergeCell ref="B68:O68"/>
    <mergeCell ref="B78:O78"/>
    <mergeCell ref="B1:L1"/>
    <mergeCell ref="B2:C3"/>
    <mergeCell ref="E2:F3"/>
    <mergeCell ref="M2:M4"/>
    <mergeCell ref="O2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D4A1-73B7-4D29-B321-2A9CB0DEC03F}">
  <dimension ref="B1:Q143"/>
  <sheetViews>
    <sheetView workbookViewId="0">
      <selection activeCell="T13" sqref="T13"/>
    </sheetView>
  </sheetViews>
  <sheetFormatPr defaultRowHeight="13.8" x14ac:dyDescent="0.25"/>
  <sheetData>
    <row r="1" spans="2:17" ht="22.2" x14ac:dyDescent="0.25">
      <c r="B1" s="50" t="s">
        <v>161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31</v>
      </c>
      <c r="E7" s="25">
        <v>38</v>
      </c>
      <c r="F7" s="25">
        <v>441</v>
      </c>
      <c r="G7" s="25">
        <v>13</v>
      </c>
      <c r="H7" s="25">
        <v>0</v>
      </c>
      <c r="I7" s="25">
        <v>0</v>
      </c>
      <c r="J7" s="25">
        <v>0</v>
      </c>
      <c r="K7" s="25">
        <v>0</v>
      </c>
      <c r="L7" s="28">
        <v>523</v>
      </c>
      <c r="M7" s="11"/>
      <c r="N7" s="11"/>
      <c r="O7" s="11"/>
      <c r="P7" s="11"/>
      <c r="Q7" s="36">
        <v>-523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32</v>
      </c>
      <c r="E25" s="25">
        <v>4</v>
      </c>
      <c r="F25" s="25">
        <v>54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8">
        <v>90</v>
      </c>
      <c r="M25" s="11"/>
      <c r="N25" s="11"/>
      <c r="O25" s="11"/>
      <c r="P25" s="11"/>
      <c r="Q25" s="36">
        <v>-90</v>
      </c>
    </row>
    <row r="26" spans="2:17" ht="22.2" x14ac:dyDescent="0.25">
      <c r="B26" s="11">
        <v>1004055</v>
      </c>
      <c r="C26" s="15" t="s">
        <v>37</v>
      </c>
      <c r="D26" s="25">
        <v>15</v>
      </c>
      <c r="E26" s="25">
        <v>23</v>
      </c>
      <c r="F26" s="25">
        <v>15</v>
      </c>
      <c r="G26" s="25">
        <v>322</v>
      </c>
      <c r="H26" s="25">
        <v>0</v>
      </c>
      <c r="I26" s="25">
        <v>0</v>
      </c>
      <c r="J26" s="25">
        <v>0</v>
      </c>
      <c r="K26" s="25">
        <v>0</v>
      </c>
      <c r="L26" s="28">
        <v>375</v>
      </c>
      <c r="M26" s="11"/>
      <c r="N26" s="11"/>
      <c r="O26" s="11"/>
      <c r="P26" s="11"/>
      <c r="Q26" s="36">
        <v>-375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54</v>
      </c>
      <c r="E40" s="25">
        <v>0</v>
      </c>
      <c r="F40" s="25">
        <v>11</v>
      </c>
      <c r="G40" s="25">
        <v>2</v>
      </c>
      <c r="H40" s="25">
        <v>0</v>
      </c>
      <c r="I40" s="25">
        <v>0</v>
      </c>
      <c r="J40" s="25">
        <v>0</v>
      </c>
      <c r="K40" s="25">
        <v>0</v>
      </c>
      <c r="L40" s="28">
        <v>67</v>
      </c>
      <c r="M40" s="11"/>
      <c r="N40" s="11"/>
      <c r="O40" s="11"/>
      <c r="P40" s="11"/>
      <c r="Q40" s="36">
        <v>-67</v>
      </c>
    </row>
    <row r="41" spans="2:17" ht="22.2" x14ac:dyDescent="0.25">
      <c r="B41" s="11">
        <v>1111058</v>
      </c>
      <c r="C41" s="15" t="s">
        <v>52</v>
      </c>
      <c r="D41" s="25">
        <v>54</v>
      </c>
      <c r="E41" s="25">
        <v>0</v>
      </c>
      <c r="F41" s="25">
        <v>11</v>
      </c>
      <c r="G41" s="25">
        <v>2</v>
      </c>
      <c r="H41" s="25">
        <v>0</v>
      </c>
      <c r="I41" s="25">
        <v>0</v>
      </c>
      <c r="J41" s="25">
        <v>0</v>
      </c>
      <c r="K41" s="25">
        <v>0</v>
      </c>
      <c r="L41" s="28">
        <v>67</v>
      </c>
      <c r="M41" s="11"/>
      <c r="N41" s="11"/>
      <c r="O41" s="11"/>
      <c r="P41" s="11"/>
      <c r="Q41" s="36">
        <v>-67</v>
      </c>
    </row>
    <row r="42" spans="2:17" ht="22.2" x14ac:dyDescent="0.25">
      <c r="B42" s="11">
        <v>1111059</v>
      </c>
      <c r="C42" s="15" t="s">
        <v>53</v>
      </c>
      <c r="D42" s="25">
        <v>54</v>
      </c>
      <c r="E42" s="25">
        <v>0</v>
      </c>
      <c r="F42" s="25">
        <v>11</v>
      </c>
      <c r="G42" s="25">
        <v>2</v>
      </c>
      <c r="H42" s="25">
        <v>0</v>
      </c>
      <c r="I42" s="25">
        <v>0</v>
      </c>
      <c r="J42" s="25">
        <v>0</v>
      </c>
      <c r="K42" s="25">
        <v>0</v>
      </c>
      <c r="L42" s="28">
        <v>67</v>
      </c>
      <c r="M42" s="11"/>
      <c r="N42" s="11"/>
      <c r="O42" s="11"/>
      <c r="P42" s="11"/>
      <c r="Q42" s="36">
        <v>-67</v>
      </c>
    </row>
    <row r="43" spans="2:17" ht="22.2" x14ac:dyDescent="0.25">
      <c r="B43" s="11">
        <v>1111060</v>
      </c>
      <c r="C43" s="15" t="s">
        <v>54</v>
      </c>
      <c r="D43" s="25">
        <v>53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53</v>
      </c>
      <c r="M43" s="11"/>
      <c r="N43" s="11"/>
      <c r="O43" s="11"/>
      <c r="P43" s="11"/>
      <c r="Q43" s="36">
        <v>-53</v>
      </c>
    </row>
    <row r="44" spans="2:17" ht="22.2" x14ac:dyDescent="0.25">
      <c r="B44" s="11">
        <v>1111061</v>
      </c>
      <c r="C44" s="15" t="s">
        <v>55</v>
      </c>
      <c r="D44" s="25">
        <v>54</v>
      </c>
      <c r="E44" s="25">
        <v>0</v>
      </c>
      <c r="F44" s="25">
        <v>11</v>
      </c>
      <c r="G44" s="25">
        <v>2</v>
      </c>
      <c r="H44" s="25">
        <v>0</v>
      </c>
      <c r="I44" s="25">
        <v>0</v>
      </c>
      <c r="J44" s="25">
        <v>0</v>
      </c>
      <c r="K44" s="25">
        <v>0</v>
      </c>
      <c r="L44" s="28">
        <v>67</v>
      </c>
      <c r="M44" s="11"/>
      <c r="N44" s="11"/>
      <c r="O44" s="11"/>
      <c r="P44" s="11"/>
      <c r="Q44" s="36">
        <v>-67</v>
      </c>
    </row>
    <row r="45" spans="2:17" ht="22.2" x14ac:dyDescent="0.25">
      <c r="B45" s="11">
        <v>1111062</v>
      </c>
      <c r="C45" s="15" t="s">
        <v>56</v>
      </c>
      <c r="D45" s="25">
        <v>54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54</v>
      </c>
      <c r="M45" s="11"/>
      <c r="N45" s="11"/>
      <c r="O45" s="11"/>
      <c r="P45" s="11"/>
      <c r="Q45" s="36">
        <v>-54</v>
      </c>
    </row>
    <row r="46" spans="2:17" ht="22.2" x14ac:dyDescent="0.25">
      <c r="B46" s="11">
        <v>1111063</v>
      </c>
      <c r="C46" s="15" t="s">
        <v>57</v>
      </c>
      <c r="D46" s="25">
        <v>54</v>
      </c>
      <c r="E46" s="25">
        <v>0</v>
      </c>
      <c r="F46" s="25">
        <v>11</v>
      </c>
      <c r="G46" s="25">
        <v>2</v>
      </c>
      <c r="H46" s="25">
        <v>0</v>
      </c>
      <c r="I46" s="25">
        <v>0</v>
      </c>
      <c r="J46" s="25">
        <v>0</v>
      </c>
      <c r="K46" s="25">
        <v>0</v>
      </c>
      <c r="L46" s="28">
        <v>67</v>
      </c>
      <c r="M46" s="11"/>
      <c r="N46" s="11"/>
      <c r="O46" s="11"/>
      <c r="P46" s="11"/>
      <c r="Q46" s="36">
        <v>-67</v>
      </c>
    </row>
    <row r="47" spans="2:17" ht="22.2" x14ac:dyDescent="0.25">
      <c r="B47" s="11">
        <v>1111064</v>
      </c>
      <c r="C47" s="15" t="s">
        <v>58</v>
      </c>
      <c r="D47" s="25">
        <v>54</v>
      </c>
      <c r="E47" s="25">
        <v>0</v>
      </c>
      <c r="F47" s="25">
        <v>11</v>
      </c>
      <c r="G47" s="25">
        <v>2</v>
      </c>
      <c r="H47" s="25">
        <v>0</v>
      </c>
      <c r="I47" s="25">
        <v>0</v>
      </c>
      <c r="J47" s="25">
        <v>0</v>
      </c>
      <c r="K47" s="25">
        <v>0</v>
      </c>
      <c r="L47" s="28">
        <v>67</v>
      </c>
      <c r="M47" s="11"/>
      <c r="N47" s="11"/>
      <c r="O47" s="11"/>
      <c r="P47" s="11"/>
      <c r="Q47" s="36">
        <v>-67</v>
      </c>
    </row>
    <row r="48" spans="2:17" ht="22.2" x14ac:dyDescent="0.25">
      <c r="B48" s="11">
        <v>1111065</v>
      </c>
      <c r="C48" s="15" t="s">
        <v>59</v>
      </c>
      <c r="D48" s="25">
        <v>53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53</v>
      </c>
      <c r="M48" s="11"/>
      <c r="N48" s="11"/>
      <c r="O48" s="11"/>
      <c r="P48" s="11"/>
      <c r="Q48" s="36">
        <v>-53</v>
      </c>
    </row>
    <row r="49" spans="2:17" ht="22.2" x14ac:dyDescent="0.25">
      <c r="B49" s="11">
        <v>1111066</v>
      </c>
      <c r="C49" s="15" t="s">
        <v>60</v>
      </c>
      <c r="D49" s="25">
        <v>54</v>
      </c>
      <c r="E49" s="25">
        <v>0</v>
      </c>
      <c r="F49" s="25">
        <v>11</v>
      </c>
      <c r="G49" s="25">
        <v>2</v>
      </c>
      <c r="H49" s="25">
        <v>0</v>
      </c>
      <c r="I49" s="25">
        <v>0</v>
      </c>
      <c r="J49" s="25">
        <v>0</v>
      </c>
      <c r="K49" s="25">
        <v>0</v>
      </c>
      <c r="L49" s="28">
        <v>67</v>
      </c>
      <c r="M49" s="11"/>
      <c r="N49" s="11"/>
      <c r="O49" s="11"/>
      <c r="P49" s="11"/>
      <c r="Q49" s="36">
        <v>-67</v>
      </c>
    </row>
    <row r="50" spans="2:17" ht="22.2" x14ac:dyDescent="0.25">
      <c r="B50" s="11">
        <v>1111067</v>
      </c>
      <c r="C50" s="15" t="s">
        <v>61</v>
      </c>
      <c r="D50" s="25">
        <v>54</v>
      </c>
      <c r="E50" s="25">
        <v>0</v>
      </c>
      <c r="F50" s="25">
        <v>11</v>
      </c>
      <c r="G50" s="25">
        <v>2</v>
      </c>
      <c r="H50" s="25">
        <v>0</v>
      </c>
      <c r="I50" s="25">
        <v>0</v>
      </c>
      <c r="J50" s="25">
        <v>0</v>
      </c>
      <c r="K50" s="25">
        <v>0</v>
      </c>
      <c r="L50" s="28">
        <v>67</v>
      </c>
      <c r="M50" s="11"/>
      <c r="N50" s="11"/>
      <c r="O50" s="11"/>
      <c r="P50" s="11"/>
      <c r="Q50" s="36">
        <v>-67</v>
      </c>
    </row>
    <row r="51" spans="2:17" ht="22.2" x14ac:dyDescent="0.25">
      <c r="B51" s="11">
        <v>1111068</v>
      </c>
      <c r="C51" s="15" t="s">
        <v>62</v>
      </c>
      <c r="D51" s="25">
        <v>54</v>
      </c>
      <c r="E51" s="25">
        <v>0</v>
      </c>
      <c r="F51" s="25">
        <v>11</v>
      </c>
      <c r="G51" s="25">
        <v>2</v>
      </c>
      <c r="H51" s="25">
        <v>0</v>
      </c>
      <c r="I51" s="25">
        <v>0</v>
      </c>
      <c r="J51" s="25">
        <v>0</v>
      </c>
      <c r="K51" s="25">
        <v>0</v>
      </c>
      <c r="L51" s="28">
        <v>67</v>
      </c>
      <c r="M51" s="11"/>
      <c r="N51" s="11"/>
      <c r="O51" s="11"/>
      <c r="P51" s="11"/>
      <c r="Q51" s="36">
        <v>-67</v>
      </c>
    </row>
    <row r="52" spans="2:17" ht="22.2" x14ac:dyDescent="0.25">
      <c r="B52" s="11">
        <v>1111069</v>
      </c>
      <c r="C52" s="15" t="s">
        <v>63</v>
      </c>
      <c r="D52" s="25">
        <v>54</v>
      </c>
      <c r="E52" s="25">
        <v>0</v>
      </c>
      <c r="F52" s="25">
        <v>11</v>
      </c>
      <c r="G52" s="25">
        <v>2</v>
      </c>
      <c r="H52" s="25">
        <v>0</v>
      </c>
      <c r="I52" s="25">
        <v>0</v>
      </c>
      <c r="J52" s="25">
        <v>0</v>
      </c>
      <c r="K52" s="25">
        <v>0</v>
      </c>
      <c r="L52" s="28">
        <v>67</v>
      </c>
      <c r="M52" s="11"/>
      <c r="N52" s="11"/>
      <c r="O52" s="11"/>
      <c r="P52" s="11"/>
      <c r="Q52" s="36">
        <v>-67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0</v>
      </c>
      <c r="E56" s="25">
        <v>18</v>
      </c>
      <c r="F56" s="25">
        <v>13</v>
      </c>
      <c r="G56" s="25">
        <v>4</v>
      </c>
      <c r="H56" s="25">
        <v>0</v>
      </c>
      <c r="I56" s="25">
        <v>0</v>
      </c>
      <c r="J56" s="25">
        <v>0</v>
      </c>
      <c r="K56" s="25">
        <v>0</v>
      </c>
      <c r="L56" s="28">
        <v>35</v>
      </c>
      <c r="M56" s="11"/>
      <c r="N56" s="11"/>
      <c r="O56" s="11"/>
      <c r="P56" s="11"/>
      <c r="Q56" s="36">
        <v>-35</v>
      </c>
    </row>
    <row r="57" spans="2:17" ht="22.2" x14ac:dyDescent="0.25">
      <c r="B57" s="11">
        <v>1111075</v>
      </c>
      <c r="C57" s="15" t="s">
        <v>68</v>
      </c>
      <c r="D57" s="25">
        <v>0</v>
      </c>
      <c r="E57" s="25">
        <v>18</v>
      </c>
      <c r="F57" s="25">
        <v>13</v>
      </c>
      <c r="G57" s="25">
        <v>4</v>
      </c>
      <c r="H57" s="25">
        <v>0</v>
      </c>
      <c r="I57" s="25">
        <v>0</v>
      </c>
      <c r="J57" s="25">
        <v>0</v>
      </c>
      <c r="K57" s="25">
        <v>0</v>
      </c>
      <c r="L57" s="28">
        <v>35</v>
      </c>
      <c r="M57" s="11"/>
      <c r="N57" s="11"/>
      <c r="O57" s="11"/>
      <c r="P57" s="11"/>
      <c r="Q57" s="36">
        <v>-35</v>
      </c>
    </row>
    <row r="58" spans="2:17" ht="22.2" x14ac:dyDescent="0.25">
      <c r="B58" s="11">
        <v>1111076</v>
      </c>
      <c r="C58" s="15" t="s">
        <v>69</v>
      </c>
      <c r="D58" s="25">
        <v>0</v>
      </c>
      <c r="E58" s="25">
        <v>18</v>
      </c>
      <c r="F58" s="25">
        <v>13</v>
      </c>
      <c r="G58" s="25">
        <v>4</v>
      </c>
      <c r="H58" s="25">
        <v>0</v>
      </c>
      <c r="I58" s="25">
        <v>0</v>
      </c>
      <c r="J58" s="25">
        <v>0</v>
      </c>
      <c r="K58" s="25">
        <v>0</v>
      </c>
      <c r="L58" s="28">
        <v>35</v>
      </c>
      <c r="M58" s="11"/>
      <c r="N58" s="11"/>
      <c r="O58" s="11"/>
      <c r="P58" s="11"/>
      <c r="Q58" s="36">
        <v>-35</v>
      </c>
    </row>
    <row r="59" spans="2:17" ht="22.2" x14ac:dyDescent="0.25">
      <c r="B59" s="11">
        <v>1111077</v>
      </c>
      <c r="C59" s="15" t="s">
        <v>70</v>
      </c>
      <c r="D59" s="25">
        <v>0</v>
      </c>
      <c r="E59" s="25">
        <v>18</v>
      </c>
      <c r="F59" s="25">
        <v>15</v>
      </c>
      <c r="G59" s="25">
        <v>4</v>
      </c>
      <c r="H59" s="25">
        <v>0</v>
      </c>
      <c r="I59" s="25">
        <v>0</v>
      </c>
      <c r="J59" s="25">
        <v>0</v>
      </c>
      <c r="K59" s="25">
        <v>0</v>
      </c>
      <c r="L59" s="28">
        <v>37</v>
      </c>
      <c r="M59" s="11"/>
      <c r="N59" s="11"/>
      <c r="O59" s="11"/>
      <c r="P59" s="11"/>
      <c r="Q59" s="36">
        <v>-37</v>
      </c>
    </row>
    <row r="60" spans="2:17" ht="22.2" x14ac:dyDescent="0.25">
      <c r="B60" s="11">
        <v>1111078</v>
      </c>
      <c r="C60" s="15" t="s">
        <v>71</v>
      </c>
      <c r="D60" s="25">
        <v>0</v>
      </c>
      <c r="E60" s="25">
        <v>18</v>
      </c>
      <c r="F60" s="25">
        <v>13</v>
      </c>
      <c r="G60" s="25">
        <v>4</v>
      </c>
      <c r="H60" s="25">
        <v>0</v>
      </c>
      <c r="I60" s="25">
        <v>0</v>
      </c>
      <c r="J60" s="25">
        <v>0</v>
      </c>
      <c r="K60" s="25">
        <v>0</v>
      </c>
      <c r="L60" s="28">
        <v>35</v>
      </c>
      <c r="M60" s="11"/>
      <c r="N60" s="11"/>
      <c r="O60" s="11"/>
      <c r="P60" s="11"/>
      <c r="Q60" s="36">
        <v>-35</v>
      </c>
    </row>
    <row r="61" spans="2:17" ht="22.2" x14ac:dyDescent="0.25">
      <c r="B61" s="11">
        <v>1111079</v>
      </c>
      <c r="C61" s="15" t="s">
        <v>72</v>
      </c>
      <c r="D61" s="25">
        <v>0</v>
      </c>
      <c r="E61" s="25">
        <v>18</v>
      </c>
      <c r="F61" s="25">
        <v>15</v>
      </c>
      <c r="G61" s="25">
        <v>4</v>
      </c>
      <c r="H61" s="25">
        <v>0</v>
      </c>
      <c r="I61" s="25">
        <v>0</v>
      </c>
      <c r="J61" s="25">
        <v>0</v>
      </c>
      <c r="K61" s="25">
        <v>0</v>
      </c>
      <c r="L61" s="28">
        <v>37</v>
      </c>
      <c r="M61" s="11"/>
      <c r="N61" s="11"/>
      <c r="O61" s="11"/>
      <c r="P61" s="11"/>
      <c r="Q61" s="36">
        <v>-37</v>
      </c>
    </row>
    <row r="62" spans="2:17" ht="22.2" x14ac:dyDescent="0.25">
      <c r="B62" s="11">
        <v>1111080</v>
      </c>
      <c r="C62" s="15" t="s">
        <v>73</v>
      </c>
      <c r="D62" s="25">
        <v>0</v>
      </c>
      <c r="E62" s="25">
        <v>18</v>
      </c>
      <c r="F62" s="25">
        <v>15</v>
      </c>
      <c r="G62" s="25">
        <v>4</v>
      </c>
      <c r="H62" s="25">
        <v>0</v>
      </c>
      <c r="I62" s="25">
        <v>0</v>
      </c>
      <c r="J62" s="25">
        <v>0</v>
      </c>
      <c r="K62" s="25">
        <v>0</v>
      </c>
      <c r="L62" s="28">
        <v>37</v>
      </c>
      <c r="M62" s="11"/>
      <c r="N62" s="11"/>
      <c r="O62" s="11"/>
      <c r="P62" s="11"/>
      <c r="Q62" s="36">
        <v>-37</v>
      </c>
    </row>
    <row r="63" spans="2:17" ht="22.2" x14ac:dyDescent="0.25">
      <c r="B63" s="11">
        <v>1111081</v>
      </c>
      <c r="C63" s="15" t="s">
        <v>74</v>
      </c>
      <c r="D63" s="25">
        <v>0</v>
      </c>
      <c r="E63" s="25">
        <v>8</v>
      </c>
      <c r="F63" s="25">
        <v>13</v>
      </c>
      <c r="G63" s="25">
        <v>4</v>
      </c>
      <c r="H63" s="25">
        <v>0</v>
      </c>
      <c r="I63" s="25">
        <v>0</v>
      </c>
      <c r="J63" s="25">
        <v>0</v>
      </c>
      <c r="K63" s="25">
        <v>0</v>
      </c>
      <c r="L63" s="28">
        <v>25</v>
      </c>
      <c r="M63" s="11"/>
      <c r="N63" s="11"/>
      <c r="O63" s="11"/>
      <c r="P63" s="11"/>
      <c r="Q63" s="36">
        <v>-25</v>
      </c>
    </row>
    <row r="64" spans="2:17" ht="22.2" x14ac:dyDescent="0.25">
      <c r="B64" s="11">
        <v>1111082</v>
      </c>
      <c r="C64" s="15" t="s">
        <v>75</v>
      </c>
      <c r="D64" s="25">
        <v>0</v>
      </c>
      <c r="E64" s="25">
        <v>18</v>
      </c>
      <c r="F64" s="25">
        <v>13</v>
      </c>
      <c r="G64" s="25">
        <v>4</v>
      </c>
      <c r="H64" s="25">
        <v>0</v>
      </c>
      <c r="I64" s="25">
        <v>0</v>
      </c>
      <c r="J64" s="25">
        <v>0</v>
      </c>
      <c r="K64" s="25">
        <v>0</v>
      </c>
      <c r="L64" s="28">
        <v>35</v>
      </c>
      <c r="M64" s="11"/>
      <c r="N64" s="11"/>
      <c r="O64" s="11"/>
      <c r="P64" s="11"/>
      <c r="Q64" s="36">
        <v>-35</v>
      </c>
    </row>
    <row r="65" spans="2:17" ht="22.2" x14ac:dyDescent="0.25">
      <c r="B65" s="11">
        <v>1111083</v>
      </c>
      <c r="C65" s="15" t="s">
        <v>76</v>
      </c>
      <c r="D65" s="25">
        <v>0</v>
      </c>
      <c r="E65" s="25">
        <v>8</v>
      </c>
      <c r="F65" s="25">
        <v>7</v>
      </c>
      <c r="G65" s="25">
        <v>4</v>
      </c>
      <c r="H65" s="25">
        <v>0</v>
      </c>
      <c r="I65" s="25">
        <v>0</v>
      </c>
      <c r="J65" s="25">
        <v>0</v>
      </c>
      <c r="K65" s="25">
        <v>0</v>
      </c>
      <c r="L65" s="28">
        <v>19</v>
      </c>
      <c r="M65" s="11"/>
      <c r="N65" s="11"/>
      <c r="O65" s="11"/>
      <c r="P65" s="11"/>
      <c r="Q65" s="36">
        <v>-19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18</v>
      </c>
      <c r="E69" s="25">
        <v>5</v>
      </c>
      <c r="F69" s="25">
        <v>56</v>
      </c>
      <c r="G69" s="25">
        <v>1</v>
      </c>
      <c r="H69" s="25">
        <v>0</v>
      </c>
      <c r="I69" s="25">
        <v>0</v>
      </c>
      <c r="J69" s="25">
        <v>0</v>
      </c>
      <c r="K69" s="25">
        <v>0</v>
      </c>
      <c r="L69" s="28">
        <v>80</v>
      </c>
      <c r="M69" s="11"/>
      <c r="N69" s="11"/>
      <c r="O69" s="11"/>
      <c r="P69" s="11"/>
      <c r="Q69" s="36">
        <v>-80</v>
      </c>
    </row>
    <row r="70" spans="2:17" ht="22.2" x14ac:dyDescent="0.25">
      <c r="B70" s="11">
        <v>1111023</v>
      </c>
      <c r="C70" s="18" t="s">
        <v>80</v>
      </c>
      <c r="D70" s="25">
        <v>5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5</v>
      </c>
      <c r="M70" s="11"/>
      <c r="N70" s="11"/>
      <c r="O70" s="11"/>
      <c r="P70" s="11"/>
      <c r="Q70" s="36">
        <v>-5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5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5</v>
      </c>
      <c r="M74" s="11"/>
      <c r="N74" s="11"/>
      <c r="O74" s="11"/>
      <c r="P74" s="11"/>
      <c r="Q74" s="36">
        <v>-5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5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5</v>
      </c>
      <c r="M76" s="11"/>
      <c r="N76" s="11"/>
      <c r="O76" s="11"/>
      <c r="P76" s="11"/>
      <c r="Q76" s="36">
        <v>-5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15</v>
      </c>
      <c r="E87" s="25">
        <v>7</v>
      </c>
      <c r="F87" s="25">
        <v>3</v>
      </c>
      <c r="G87" s="25">
        <v>343</v>
      </c>
      <c r="H87" s="25">
        <v>0</v>
      </c>
      <c r="I87" s="25">
        <v>0</v>
      </c>
      <c r="J87" s="25">
        <v>0</v>
      </c>
      <c r="K87" s="25">
        <v>0</v>
      </c>
      <c r="L87" s="28">
        <v>368</v>
      </c>
      <c r="M87" s="11"/>
      <c r="N87" s="11"/>
      <c r="O87" s="11"/>
      <c r="P87" s="11"/>
      <c r="Q87" s="36">
        <v>-368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8</v>
      </c>
      <c r="E90" s="25">
        <v>4</v>
      </c>
      <c r="F90" s="25">
        <v>22</v>
      </c>
      <c r="G90" s="25">
        <v>138</v>
      </c>
      <c r="H90" s="25">
        <v>0</v>
      </c>
      <c r="I90" s="25">
        <v>0</v>
      </c>
      <c r="J90" s="25">
        <v>0</v>
      </c>
      <c r="K90" s="25">
        <v>0</v>
      </c>
      <c r="L90" s="28">
        <v>172</v>
      </c>
      <c r="M90" s="11"/>
      <c r="N90" s="11"/>
      <c r="O90" s="11"/>
      <c r="P90" s="11"/>
      <c r="Q90" s="36">
        <v>-172</v>
      </c>
    </row>
    <row r="91" spans="2:17" ht="22.2" x14ac:dyDescent="0.25">
      <c r="B91" s="11">
        <v>1112011</v>
      </c>
      <c r="C91" s="18" t="s">
        <v>99</v>
      </c>
      <c r="D91" s="25">
        <v>11</v>
      </c>
      <c r="E91" s="25">
        <v>4</v>
      </c>
      <c r="F91" s="25">
        <v>34</v>
      </c>
      <c r="G91" s="25">
        <v>138</v>
      </c>
      <c r="H91" s="25">
        <v>0</v>
      </c>
      <c r="I91" s="25">
        <v>0</v>
      </c>
      <c r="J91" s="25">
        <v>0</v>
      </c>
      <c r="K91" s="25">
        <v>0</v>
      </c>
      <c r="L91" s="28">
        <v>187</v>
      </c>
      <c r="M91" s="11"/>
      <c r="N91" s="11"/>
      <c r="O91" s="11"/>
      <c r="P91" s="11"/>
      <c r="Q91" s="36">
        <v>-187</v>
      </c>
    </row>
    <row r="92" spans="2:17" ht="22.2" x14ac:dyDescent="0.25">
      <c r="B92" s="11">
        <v>1112003</v>
      </c>
      <c r="C92" s="18" t="s">
        <v>100</v>
      </c>
      <c r="D92" s="25">
        <v>10</v>
      </c>
      <c r="E92" s="25">
        <v>0</v>
      </c>
      <c r="F92" s="25">
        <v>3</v>
      </c>
      <c r="G92" s="25">
        <v>94</v>
      </c>
      <c r="H92" s="25">
        <v>0</v>
      </c>
      <c r="I92" s="25">
        <v>0</v>
      </c>
      <c r="J92" s="25">
        <v>0</v>
      </c>
      <c r="K92" s="25">
        <v>0</v>
      </c>
      <c r="L92" s="28">
        <v>107</v>
      </c>
      <c r="M92" s="11"/>
      <c r="N92" s="11"/>
      <c r="O92" s="11"/>
      <c r="P92" s="11"/>
      <c r="Q92" s="36">
        <v>-107</v>
      </c>
    </row>
    <row r="93" spans="2:17" ht="22.2" x14ac:dyDescent="0.25">
      <c r="B93" s="11">
        <v>1112005</v>
      </c>
      <c r="C93" s="18" t="s">
        <v>101</v>
      </c>
      <c r="D93" s="25">
        <v>7</v>
      </c>
      <c r="E93" s="25">
        <v>0</v>
      </c>
      <c r="F93" s="25">
        <v>3</v>
      </c>
      <c r="G93" s="25">
        <v>94</v>
      </c>
      <c r="H93" s="25">
        <v>0</v>
      </c>
      <c r="I93" s="25">
        <v>0</v>
      </c>
      <c r="J93" s="25">
        <v>0</v>
      </c>
      <c r="K93" s="25">
        <v>0</v>
      </c>
      <c r="L93" s="28">
        <v>104</v>
      </c>
      <c r="M93" s="11"/>
      <c r="N93" s="11"/>
      <c r="O93" s="11"/>
      <c r="P93" s="11"/>
      <c r="Q93" s="36">
        <v>-104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7</v>
      </c>
      <c r="E97" s="25">
        <v>0</v>
      </c>
      <c r="F97" s="25">
        <v>3</v>
      </c>
      <c r="G97" s="25">
        <v>94</v>
      </c>
      <c r="H97" s="25">
        <v>0</v>
      </c>
      <c r="I97" s="25">
        <v>0</v>
      </c>
      <c r="J97" s="25">
        <v>0</v>
      </c>
      <c r="K97" s="25">
        <v>0</v>
      </c>
      <c r="L97" s="28">
        <v>104</v>
      </c>
      <c r="M97" s="11"/>
      <c r="N97" s="11"/>
      <c r="O97" s="11"/>
      <c r="P97" s="11"/>
      <c r="Q97" s="36">
        <v>-104</v>
      </c>
    </row>
    <row r="98" spans="2:17" ht="22.2" x14ac:dyDescent="0.25">
      <c r="B98" s="11">
        <v>1112013</v>
      </c>
      <c r="C98" s="18" t="s">
        <v>106</v>
      </c>
      <c r="D98" s="25">
        <v>11</v>
      </c>
      <c r="E98" s="25">
        <v>4</v>
      </c>
      <c r="F98" s="25">
        <v>26</v>
      </c>
      <c r="G98" s="25">
        <v>137</v>
      </c>
      <c r="H98" s="25">
        <v>0</v>
      </c>
      <c r="I98" s="25">
        <v>0</v>
      </c>
      <c r="J98" s="25">
        <v>0</v>
      </c>
      <c r="K98" s="25">
        <v>0</v>
      </c>
      <c r="L98" s="28">
        <v>178</v>
      </c>
      <c r="M98" s="11"/>
      <c r="N98" s="11"/>
      <c r="O98" s="11"/>
      <c r="P98" s="11"/>
      <c r="Q98" s="36">
        <v>-178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852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0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8">
        <v>0</v>
      </c>
      <c r="M114" s="11"/>
      <c r="N114" s="11"/>
      <c r="O114" s="11"/>
      <c r="P114" s="11"/>
      <c r="Q114" s="36">
        <v>0</v>
      </c>
    </row>
    <row r="115" spans="2:17" ht="22.2" x14ac:dyDescent="0.25">
      <c r="B115" s="11">
        <v>1113171</v>
      </c>
      <c r="C115" s="20" t="s">
        <v>111</v>
      </c>
      <c r="D115" s="25">
        <v>2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2</v>
      </c>
      <c r="M115" s="11"/>
      <c r="N115" s="11"/>
      <c r="O115" s="11"/>
      <c r="P115" s="11"/>
      <c r="Q115" s="36">
        <v>-2</v>
      </c>
    </row>
    <row r="116" spans="2:17" ht="22.2" x14ac:dyDescent="0.25">
      <c r="B116" s="11">
        <v>1113172</v>
      </c>
      <c r="C116" s="20" t="s">
        <v>112</v>
      </c>
      <c r="D116" s="25">
        <v>3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3</v>
      </c>
      <c r="L116" s="28">
        <v>6</v>
      </c>
      <c r="M116" s="11"/>
      <c r="N116" s="11"/>
      <c r="O116" s="11"/>
      <c r="P116" s="11"/>
      <c r="Q116" s="36">
        <v>-6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1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1</v>
      </c>
      <c r="M118" s="11"/>
      <c r="N118" s="11"/>
      <c r="O118" s="11"/>
      <c r="P118" s="11"/>
      <c r="Q118" s="36">
        <v>-1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1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1</v>
      </c>
      <c r="M119" s="11"/>
      <c r="N119" s="11"/>
      <c r="O119" s="11"/>
      <c r="P119" s="11"/>
      <c r="Q119" s="36">
        <v>-1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4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4</v>
      </c>
      <c r="M120" s="11"/>
      <c r="N120" s="11"/>
      <c r="O120" s="11"/>
      <c r="P120" s="11"/>
      <c r="Q120" s="36">
        <v>-4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/>
      <c r="O121" s="11"/>
      <c r="P121" s="11"/>
      <c r="Q121" s="36">
        <v>0</v>
      </c>
    </row>
    <row r="122" spans="2:17" ht="22.2" x14ac:dyDescent="0.25">
      <c r="B122" s="11">
        <v>1005761</v>
      </c>
      <c r="C122" s="20" t="s">
        <v>118</v>
      </c>
      <c r="D122" s="25">
        <v>3</v>
      </c>
      <c r="E122" s="25">
        <v>0</v>
      </c>
      <c r="F122" s="25">
        <v>3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6</v>
      </c>
      <c r="M122" s="11"/>
      <c r="N122" s="11"/>
      <c r="O122" s="11"/>
      <c r="P122" s="11"/>
      <c r="Q122" s="36">
        <v>-6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2</v>
      </c>
      <c r="F123" s="25">
        <v>17</v>
      </c>
      <c r="G123" s="25">
        <v>119</v>
      </c>
      <c r="H123" s="25">
        <v>0</v>
      </c>
      <c r="I123" s="25">
        <v>0</v>
      </c>
      <c r="J123" s="25">
        <v>0</v>
      </c>
      <c r="K123" s="25">
        <v>0</v>
      </c>
      <c r="L123" s="28">
        <v>138</v>
      </c>
      <c r="M123" s="11"/>
      <c r="N123" s="11"/>
      <c r="O123" s="11"/>
      <c r="P123" s="11"/>
      <c r="Q123" s="36">
        <v>-138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1</v>
      </c>
      <c r="F124" s="25">
        <v>23</v>
      </c>
      <c r="G124" s="25">
        <v>116</v>
      </c>
      <c r="H124" s="25">
        <v>0</v>
      </c>
      <c r="I124" s="25">
        <v>0</v>
      </c>
      <c r="J124" s="25">
        <v>0</v>
      </c>
      <c r="K124" s="25">
        <v>0</v>
      </c>
      <c r="L124" s="28">
        <v>140</v>
      </c>
      <c r="M124" s="11"/>
      <c r="N124" s="11"/>
      <c r="O124" s="11"/>
      <c r="P124" s="11"/>
      <c r="Q124" s="36">
        <v>-140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25">
        <v>2</v>
      </c>
      <c r="F125" s="25">
        <v>16</v>
      </c>
      <c r="G125" s="25">
        <v>116</v>
      </c>
      <c r="H125" s="25">
        <v>0</v>
      </c>
      <c r="I125" s="25">
        <v>0</v>
      </c>
      <c r="J125" s="25">
        <v>0</v>
      </c>
      <c r="K125" s="25">
        <v>0</v>
      </c>
      <c r="L125" s="28">
        <v>134</v>
      </c>
      <c r="M125" s="11"/>
      <c r="N125" s="11"/>
      <c r="O125" s="11"/>
      <c r="P125" s="11"/>
      <c r="Q125" s="36">
        <v>-134</v>
      </c>
    </row>
    <row r="126" spans="2:17" ht="22.2" x14ac:dyDescent="0.25">
      <c r="B126" s="11">
        <v>1124021</v>
      </c>
      <c r="C126" s="20" t="s">
        <v>122</v>
      </c>
      <c r="D126" s="25">
        <v>30</v>
      </c>
      <c r="E126" s="25">
        <v>6</v>
      </c>
      <c r="F126" s="25">
        <v>71</v>
      </c>
      <c r="G126" s="25">
        <v>6</v>
      </c>
      <c r="H126" s="25">
        <v>0</v>
      </c>
      <c r="I126" s="25">
        <v>0</v>
      </c>
      <c r="J126" s="25">
        <v>0</v>
      </c>
      <c r="K126" s="25">
        <v>0</v>
      </c>
      <c r="L126" s="28">
        <v>113</v>
      </c>
      <c r="M126" s="11"/>
      <c r="N126" s="11"/>
      <c r="O126" s="11"/>
      <c r="P126" s="11"/>
      <c r="Q126" s="36">
        <v>-113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/>
      <c r="O130" s="11"/>
      <c r="P130" s="11"/>
      <c r="Q130" s="36">
        <v>0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11"/>
      <c r="P135" s="11"/>
      <c r="Q135" s="36">
        <v>0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918</v>
      </c>
      <c r="E140" s="28">
        <v>265</v>
      </c>
      <c r="F140" s="28">
        <v>1031</v>
      </c>
      <c r="G140" s="28">
        <v>1791</v>
      </c>
      <c r="H140" s="28">
        <v>0</v>
      </c>
      <c r="I140" s="28">
        <v>0</v>
      </c>
      <c r="J140" s="28">
        <v>0</v>
      </c>
      <c r="K140" s="28">
        <v>3</v>
      </c>
      <c r="L140" s="28">
        <v>4008</v>
      </c>
      <c r="M140" s="25">
        <v>0</v>
      </c>
      <c r="N140" s="25">
        <v>0</v>
      </c>
      <c r="O140" s="25"/>
      <c r="P140" s="25"/>
      <c r="Q140" s="36">
        <v>-4008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4B82-4358-4D35-BB52-C8013B8BCCEE}">
  <dimension ref="B1:Q143"/>
  <sheetViews>
    <sheetView workbookViewId="0">
      <selection activeCell="T15" sqref="T15"/>
    </sheetView>
  </sheetViews>
  <sheetFormatPr defaultRowHeight="13.8" x14ac:dyDescent="0.25"/>
  <sheetData>
    <row r="1" spans="2:17" ht="22.2" x14ac:dyDescent="0.25">
      <c r="B1" s="50" t="s">
        <v>160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47</v>
      </c>
      <c r="E7" s="25">
        <v>76</v>
      </c>
      <c r="F7" s="25">
        <v>274</v>
      </c>
      <c r="G7" s="25">
        <v>4</v>
      </c>
      <c r="H7" s="25">
        <v>0</v>
      </c>
      <c r="I7" s="25">
        <v>0</v>
      </c>
      <c r="J7" s="25">
        <v>0</v>
      </c>
      <c r="K7" s="25">
        <v>20</v>
      </c>
      <c r="L7" s="28">
        <v>421</v>
      </c>
      <c r="M7" s="11"/>
      <c r="N7" s="11"/>
      <c r="O7" s="11"/>
      <c r="P7" s="11"/>
      <c r="Q7" s="36">
        <v>-421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7</v>
      </c>
      <c r="E25" s="25">
        <v>8</v>
      </c>
      <c r="F25" s="25">
        <v>32</v>
      </c>
      <c r="G25" s="25">
        <v>10</v>
      </c>
      <c r="H25" s="25">
        <v>0</v>
      </c>
      <c r="I25" s="25">
        <v>0</v>
      </c>
      <c r="J25" s="25">
        <v>0</v>
      </c>
      <c r="K25" s="25">
        <v>10</v>
      </c>
      <c r="L25" s="28">
        <v>67</v>
      </c>
      <c r="M25" s="11"/>
      <c r="N25" s="11"/>
      <c r="O25" s="11"/>
      <c r="P25" s="11"/>
      <c r="Q25" s="36">
        <v>-67</v>
      </c>
    </row>
    <row r="26" spans="2:17" ht="22.2" x14ac:dyDescent="0.25">
      <c r="B26" s="11">
        <v>1004055</v>
      </c>
      <c r="C26" s="15" t="s">
        <v>37</v>
      </c>
      <c r="D26" s="25">
        <v>0</v>
      </c>
      <c r="E26" s="25">
        <v>44</v>
      </c>
      <c r="F26" s="25">
        <v>36</v>
      </c>
      <c r="G26" s="25">
        <v>180</v>
      </c>
      <c r="H26" s="25">
        <v>0</v>
      </c>
      <c r="I26" s="25">
        <v>0</v>
      </c>
      <c r="J26" s="25">
        <v>0</v>
      </c>
      <c r="K26" s="25">
        <v>15</v>
      </c>
      <c r="L26" s="28">
        <v>275</v>
      </c>
      <c r="M26" s="11"/>
      <c r="N26" s="11"/>
      <c r="O26" s="11"/>
      <c r="P26" s="11"/>
      <c r="Q26" s="36">
        <v>-275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8</v>
      </c>
      <c r="E40" s="25">
        <v>2</v>
      </c>
      <c r="F40" s="25">
        <v>2</v>
      </c>
      <c r="G40" s="25">
        <v>4</v>
      </c>
      <c r="H40" s="25">
        <v>0</v>
      </c>
      <c r="I40" s="25">
        <v>0</v>
      </c>
      <c r="J40" s="25">
        <v>0</v>
      </c>
      <c r="K40" s="25">
        <v>0</v>
      </c>
      <c r="L40" s="28">
        <v>16</v>
      </c>
      <c r="M40" s="11"/>
      <c r="N40" s="11"/>
      <c r="O40" s="11"/>
      <c r="P40" s="11"/>
      <c r="Q40" s="36">
        <v>-16</v>
      </c>
    </row>
    <row r="41" spans="2:17" ht="22.2" x14ac:dyDescent="0.25">
      <c r="B41" s="11">
        <v>1111058</v>
      </c>
      <c r="C41" s="15" t="s">
        <v>52</v>
      </c>
      <c r="D41" s="25">
        <v>6</v>
      </c>
      <c r="E41" s="25">
        <v>2</v>
      </c>
      <c r="F41" s="25">
        <v>1</v>
      </c>
      <c r="G41" s="25">
        <v>4</v>
      </c>
      <c r="H41" s="25">
        <v>0</v>
      </c>
      <c r="I41" s="25">
        <v>0</v>
      </c>
      <c r="J41" s="25">
        <v>0</v>
      </c>
      <c r="K41" s="25">
        <v>0</v>
      </c>
      <c r="L41" s="28">
        <v>13</v>
      </c>
      <c r="M41" s="11"/>
      <c r="N41" s="11"/>
      <c r="O41" s="11"/>
      <c r="P41" s="11"/>
      <c r="Q41" s="36">
        <v>-13</v>
      </c>
    </row>
    <row r="42" spans="2:17" ht="22.2" x14ac:dyDescent="0.25">
      <c r="B42" s="11">
        <v>1111059</v>
      </c>
      <c r="C42" s="15" t="s">
        <v>53</v>
      </c>
      <c r="D42" s="25">
        <v>8</v>
      </c>
      <c r="E42" s="25">
        <v>2</v>
      </c>
      <c r="F42" s="25">
        <v>0</v>
      </c>
      <c r="G42" s="25">
        <v>4</v>
      </c>
      <c r="H42" s="25">
        <v>0</v>
      </c>
      <c r="I42" s="25">
        <v>0</v>
      </c>
      <c r="J42" s="25">
        <v>0</v>
      </c>
      <c r="K42" s="25">
        <v>0</v>
      </c>
      <c r="L42" s="28">
        <v>14</v>
      </c>
      <c r="M42" s="11"/>
      <c r="N42" s="11"/>
      <c r="O42" s="11"/>
      <c r="P42" s="11"/>
      <c r="Q42" s="36">
        <v>-14</v>
      </c>
    </row>
    <row r="43" spans="2:17" ht="22.2" x14ac:dyDescent="0.25">
      <c r="B43" s="11">
        <v>1111060</v>
      </c>
      <c r="C43" s="15" t="s">
        <v>54</v>
      </c>
      <c r="D43" s="25">
        <v>6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6</v>
      </c>
      <c r="M43" s="11"/>
      <c r="N43" s="11"/>
      <c r="O43" s="11"/>
      <c r="P43" s="11"/>
      <c r="Q43" s="36">
        <v>-6</v>
      </c>
    </row>
    <row r="44" spans="2:17" ht="22.2" x14ac:dyDescent="0.25">
      <c r="B44" s="11">
        <v>1111061</v>
      </c>
      <c r="C44" s="15" t="s">
        <v>55</v>
      </c>
      <c r="D44" s="25">
        <v>6</v>
      </c>
      <c r="E44" s="25">
        <v>2</v>
      </c>
      <c r="F44" s="25">
        <v>0</v>
      </c>
      <c r="G44" s="25">
        <v>4</v>
      </c>
      <c r="H44" s="25">
        <v>0</v>
      </c>
      <c r="I44" s="25">
        <v>0</v>
      </c>
      <c r="J44" s="25">
        <v>0</v>
      </c>
      <c r="K44" s="25">
        <v>0</v>
      </c>
      <c r="L44" s="28">
        <v>12</v>
      </c>
      <c r="M44" s="11"/>
      <c r="N44" s="11"/>
      <c r="O44" s="11"/>
      <c r="P44" s="11"/>
      <c r="Q44" s="36">
        <v>-12</v>
      </c>
    </row>
    <row r="45" spans="2:17" ht="22.2" x14ac:dyDescent="0.25">
      <c r="B45" s="11">
        <v>1111062</v>
      </c>
      <c r="C45" s="15" t="s">
        <v>56</v>
      </c>
      <c r="D45" s="25">
        <v>6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6</v>
      </c>
      <c r="M45" s="11"/>
      <c r="N45" s="11"/>
      <c r="O45" s="11"/>
      <c r="P45" s="11"/>
      <c r="Q45" s="36">
        <v>-6</v>
      </c>
    </row>
    <row r="46" spans="2:17" ht="22.2" x14ac:dyDescent="0.25">
      <c r="B46" s="11">
        <v>1111063</v>
      </c>
      <c r="C46" s="15" t="s">
        <v>57</v>
      </c>
      <c r="D46" s="25">
        <v>6</v>
      </c>
      <c r="E46" s="25">
        <v>2</v>
      </c>
      <c r="F46" s="25">
        <v>0</v>
      </c>
      <c r="G46" s="25">
        <v>4</v>
      </c>
      <c r="H46" s="25">
        <v>0</v>
      </c>
      <c r="I46" s="25">
        <v>0</v>
      </c>
      <c r="J46" s="25">
        <v>0</v>
      </c>
      <c r="K46" s="25">
        <v>0</v>
      </c>
      <c r="L46" s="28">
        <v>12</v>
      </c>
      <c r="M46" s="11"/>
      <c r="N46" s="11"/>
      <c r="O46" s="11"/>
      <c r="P46" s="11"/>
      <c r="Q46" s="36">
        <v>-12</v>
      </c>
    </row>
    <row r="47" spans="2:17" ht="22.2" x14ac:dyDescent="0.25">
      <c r="B47" s="11">
        <v>1111064</v>
      </c>
      <c r="C47" s="15" t="s">
        <v>58</v>
      </c>
      <c r="D47" s="25">
        <v>6</v>
      </c>
      <c r="E47" s="25">
        <v>2</v>
      </c>
      <c r="F47" s="25">
        <v>0</v>
      </c>
      <c r="G47" s="25">
        <v>4</v>
      </c>
      <c r="H47" s="25">
        <v>0</v>
      </c>
      <c r="I47" s="25">
        <v>0</v>
      </c>
      <c r="J47" s="25">
        <v>0</v>
      </c>
      <c r="K47" s="25">
        <v>0</v>
      </c>
      <c r="L47" s="28">
        <v>12</v>
      </c>
      <c r="M47" s="11"/>
      <c r="N47" s="11"/>
      <c r="O47" s="11"/>
      <c r="P47" s="11"/>
      <c r="Q47" s="36">
        <v>-12</v>
      </c>
    </row>
    <row r="48" spans="2:17" ht="22.2" x14ac:dyDescent="0.25">
      <c r="B48" s="11">
        <v>1111065</v>
      </c>
      <c r="C48" s="15" t="s">
        <v>59</v>
      </c>
      <c r="D48" s="25">
        <v>6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6</v>
      </c>
      <c r="M48" s="11"/>
      <c r="N48" s="11"/>
      <c r="O48" s="11"/>
      <c r="P48" s="11"/>
      <c r="Q48" s="36">
        <v>-6</v>
      </c>
    </row>
    <row r="49" spans="2:17" ht="22.2" x14ac:dyDescent="0.25">
      <c r="B49" s="11">
        <v>1111066</v>
      </c>
      <c r="C49" s="15" t="s">
        <v>60</v>
      </c>
      <c r="D49" s="25">
        <v>6</v>
      </c>
      <c r="E49" s="25">
        <v>2</v>
      </c>
      <c r="F49" s="25">
        <v>0</v>
      </c>
      <c r="G49" s="25">
        <v>4</v>
      </c>
      <c r="H49" s="25">
        <v>0</v>
      </c>
      <c r="I49" s="25">
        <v>0</v>
      </c>
      <c r="J49" s="25">
        <v>0</v>
      </c>
      <c r="K49" s="25">
        <v>0</v>
      </c>
      <c r="L49" s="28">
        <v>12</v>
      </c>
      <c r="M49" s="11"/>
      <c r="N49" s="11"/>
      <c r="O49" s="11"/>
      <c r="P49" s="11"/>
      <c r="Q49" s="36">
        <v>-12</v>
      </c>
    </row>
    <row r="50" spans="2:17" ht="22.2" x14ac:dyDescent="0.25">
      <c r="B50" s="11">
        <v>1111067</v>
      </c>
      <c r="C50" s="15" t="s">
        <v>61</v>
      </c>
      <c r="D50" s="25">
        <v>6</v>
      </c>
      <c r="E50" s="25">
        <v>2</v>
      </c>
      <c r="F50" s="25">
        <v>0</v>
      </c>
      <c r="G50" s="25">
        <v>4</v>
      </c>
      <c r="H50" s="25">
        <v>0</v>
      </c>
      <c r="I50" s="25">
        <v>0</v>
      </c>
      <c r="J50" s="25">
        <v>0</v>
      </c>
      <c r="K50" s="25">
        <v>0</v>
      </c>
      <c r="L50" s="28">
        <v>12</v>
      </c>
      <c r="M50" s="11"/>
      <c r="N50" s="11"/>
      <c r="O50" s="11"/>
      <c r="P50" s="11"/>
      <c r="Q50" s="36">
        <v>-12</v>
      </c>
    </row>
    <row r="51" spans="2:17" ht="22.2" x14ac:dyDescent="0.25">
      <c r="B51" s="11">
        <v>1111068</v>
      </c>
      <c r="C51" s="15" t="s">
        <v>62</v>
      </c>
      <c r="D51" s="25">
        <v>6</v>
      </c>
      <c r="E51" s="25">
        <v>2</v>
      </c>
      <c r="F51" s="25">
        <v>0</v>
      </c>
      <c r="G51" s="25">
        <v>4</v>
      </c>
      <c r="H51" s="25">
        <v>0</v>
      </c>
      <c r="I51" s="25">
        <v>0</v>
      </c>
      <c r="J51" s="25">
        <v>0</v>
      </c>
      <c r="K51" s="25">
        <v>0</v>
      </c>
      <c r="L51" s="28">
        <v>12</v>
      </c>
      <c r="M51" s="11"/>
      <c r="N51" s="11"/>
      <c r="O51" s="11"/>
      <c r="P51" s="11"/>
      <c r="Q51" s="36">
        <v>-12</v>
      </c>
    </row>
    <row r="52" spans="2:17" ht="22.2" x14ac:dyDescent="0.25">
      <c r="B52" s="11">
        <v>1111069</v>
      </c>
      <c r="C52" s="15" t="s">
        <v>63</v>
      </c>
      <c r="D52" s="25">
        <v>6</v>
      </c>
      <c r="E52" s="25">
        <v>2</v>
      </c>
      <c r="F52" s="25">
        <v>0</v>
      </c>
      <c r="G52" s="25">
        <v>4</v>
      </c>
      <c r="H52" s="25">
        <v>0</v>
      </c>
      <c r="I52" s="25">
        <v>0</v>
      </c>
      <c r="J52" s="25">
        <v>0</v>
      </c>
      <c r="K52" s="25">
        <v>0</v>
      </c>
      <c r="L52" s="28">
        <v>12</v>
      </c>
      <c r="M52" s="11"/>
      <c r="N52" s="11"/>
      <c r="O52" s="11"/>
      <c r="P52" s="11"/>
      <c r="Q52" s="36">
        <v>-12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11</v>
      </c>
      <c r="E56" s="25">
        <v>1</v>
      </c>
      <c r="F56" s="25">
        <v>5</v>
      </c>
      <c r="G56" s="25">
        <v>4</v>
      </c>
      <c r="H56" s="25">
        <v>0</v>
      </c>
      <c r="I56" s="25">
        <v>0</v>
      </c>
      <c r="J56" s="25">
        <v>0</v>
      </c>
      <c r="K56" s="25">
        <v>0</v>
      </c>
      <c r="L56" s="28">
        <v>21</v>
      </c>
      <c r="M56" s="11"/>
      <c r="N56" s="11"/>
      <c r="O56" s="11"/>
      <c r="P56" s="11"/>
      <c r="Q56" s="36">
        <v>-21</v>
      </c>
    </row>
    <row r="57" spans="2:17" ht="22.2" x14ac:dyDescent="0.25">
      <c r="B57" s="11">
        <v>1111075</v>
      </c>
      <c r="C57" s="15" t="s">
        <v>68</v>
      </c>
      <c r="D57" s="25">
        <v>11</v>
      </c>
      <c r="E57" s="25">
        <v>1</v>
      </c>
      <c r="F57" s="25">
        <v>5</v>
      </c>
      <c r="G57" s="25">
        <v>4</v>
      </c>
      <c r="H57" s="25">
        <v>0</v>
      </c>
      <c r="I57" s="25">
        <v>0</v>
      </c>
      <c r="J57" s="25">
        <v>0</v>
      </c>
      <c r="K57" s="25">
        <v>0</v>
      </c>
      <c r="L57" s="28">
        <v>21</v>
      </c>
      <c r="M57" s="11"/>
      <c r="N57" s="11"/>
      <c r="O57" s="11"/>
      <c r="P57" s="11"/>
      <c r="Q57" s="36">
        <v>-21</v>
      </c>
    </row>
    <row r="58" spans="2:17" ht="22.2" x14ac:dyDescent="0.25">
      <c r="B58" s="11">
        <v>1111076</v>
      </c>
      <c r="C58" s="15" t="s">
        <v>69</v>
      </c>
      <c r="D58" s="25">
        <v>11</v>
      </c>
      <c r="E58" s="25">
        <v>1</v>
      </c>
      <c r="F58" s="25">
        <v>5</v>
      </c>
      <c r="G58" s="25">
        <v>3</v>
      </c>
      <c r="H58" s="25">
        <v>0</v>
      </c>
      <c r="I58" s="25">
        <v>0</v>
      </c>
      <c r="J58" s="25">
        <v>0</v>
      </c>
      <c r="K58" s="25">
        <v>0</v>
      </c>
      <c r="L58" s="28">
        <v>20</v>
      </c>
      <c r="M58" s="11"/>
      <c r="N58" s="11"/>
      <c r="O58" s="11"/>
      <c r="P58" s="11"/>
      <c r="Q58" s="36">
        <v>-20</v>
      </c>
    </row>
    <row r="59" spans="2:17" ht="22.2" x14ac:dyDescent="0.25">
      <c r="B59" s="11">
        <v>1111077</v>
      </c>
      <c r="C59" s="15" t="s">
        <v>70</v>
      </c>
      <c r="D59" s="25">
        <v>11</v>
      </c>
      <c r="E59" s="25">
        <v>1</v>
      </c>
      <c r="F59" s="25">
        <v>5</v>
      </c>
      <c r="G59" s="25">
        <v>3</v>
      </c>
      <c r="H59" s="25">
        <v>0</v>
      </c>
      <c r="I59" s="25">
        <v>0</v>
      </c>
      <c r="J59" s="25">
        <v>0</v>
      </c>
      <c r="K59" s="25">
        <v>0</v>
      </c>
      <c r="L59" s="28">
        <v>20</v>
      </c>
      <c r="M59" s="11"/>
      <c r="N59" s="11"/>
      <c r="O59" s="11"/>
      <c r="P59" s="11"/>
      <c r="Q59" s="36">
        <v>-20</v>
      </c>
    </row>
    <row r="60" spans="2:17" ht="22.2" x14ac:dyDescent="0.25">
      <c r="B60" s="11">
        <v>1111078</v>
      </c>
      <c r="C60" s="15" t="s">
        <v>71</v>
      </c>
      <c r="D60" s="25">
        <v>11</v>
      </c>
      <c r="E60" s="25">
        <v>1</v>
      </c>
      <c r="F60" s="25">
        <v>5</v>
      </c>
      <c r="G60" s="25">
        <v>3</v>
      </c>
      <c r="H60" s="25">
        <v>0</v>
      </c>
      <c r="I60" s="25">
        <v>0</v>
      </c>
      <c r="J60" s="25">
        <v>0</v>
      </c>
      <c r="K60" s="25">
        <v>0</v>
      </c>
      <c r="L60" s="28">
        <v>20</v>
      </c>
      <c r="M60" s="11"/>
      <c r="N60" s="11"/>
      <c r="O60" s="11"/>
      <c r="P60" s="11"/>
      <c r="Q60" s="36">
        <v>-20</v>
      </c>
    </row>
    <row r="61" spans="2:17" ht="22.2" x14ac:dyDescent="0.25">
      <c r="B61" s="11">
        <v>1111079</v>
      </c>
      <c r="C61" s="15" t="s">
        <v>72</v>
      </c>
      <c r="D61" s="25">
        <v>11</v>
      </c>
      <c r="E61" s="25">
        <v>1</v>
      </c>
      <c r="F61" s="25">
        <v>5</v>
      </c>
      <c r="G61" s="25">
        <v>3</v>
      </c>
      <c r="H61" s="25">
        <v>0</v>
      </c>
      <c r="I61" s="25">
        <v>0</v>
      </c>
      <c r="J61" s="25">
        <v>0</v>
      </c>
      <c r="K61" s="25">
        <v>0</v>
      </c>
      <c r="L61" s="28">
        <v>20</v>
      </c>
      <c r="M61" s="11"/>
      <c r="N61" s="11"/>
      <c r="O61" s="11"/>
      <c r="P61" s="11"/>
      <c r="Q61" s="36">
        <v>-20</v>
      </c>
    </row>
    <row r="62" spans="2:17" ht="22.2" x14ac:dyDescent="0.25">
      <c r="B62" s="11">
        <v>1111080</v>
      </c>
      <c r="C62" s="15" t="s">
        <v>73</v>
      </c>
      <c r="D62" s="25">
        <v>11</v>
      </c>
      <c r="E62" s="25">
        <v>1</v>
      </c>
      <c r="F62" s="25">
        <v>5</v>
      </c>
      <c r="G62" s="25">
        <v>3</v>
      </c>
      <c r="H62" s="25">
        <v>0</v>
      </c>
      <c r="I62" s="25">
        <v>0</v>
      </c>
      <c r="J62" s="25">
        <v>0</v>
      </c>
      <c r="K62" s="25">
        <v>0</v>
      </c>
      <c r="L62" s="28">
        <v>20</v>
      </c>
      <c r="M62" s="11"/>
      <c r="N62" s="11"/>
      <c r="O62" s="11"/>
      <c r="P62" s="11"/>
      <c r="Q62" s="36">
        <v>-20</v>
      </c>
    </row>
    <row r="63" spans="2:17" ht="22.2" x14ac:dyDescent="0.25">
      <c r="B63" s="11">
        <v>1111081</v>
      </c>
      <c r="C63" s="15" t="s">
        <v>74</v>
      </c>
      <c r="D63" s="25">
        <v>11</v>
      </c>
      <c r="E63" s="25">
        <v>1</v>
      </c>
      <c r="F63" s="25">
        <v>5</v>
      </c>
      <c r="G63" s="25">
        <v>3</v>
      </c>
      <c r="H63" s="25">
        <v>0</v>
      </c>
      <c r="I63" s="25">
        <v>0</v>
      </c>
      <c r="J63" s="25">
        <v>0</v>
      </c>
      <c r="K63" s="25">
        <v>0</v>
      </c>
      <c r="L63" s="28">
        <v>20</v>
      </c>
      <c r="M63" s="11"/>
      <c r="N63" s="11"/>
      <c r="O63" s="11"/>
      <c r="P63" s="11"/>
      <c r="Q63" s="36">
        <v>-20</v>
      </c>
    </row>
    <row r="64" spans="2:17" ht="22.2" x14ac:dyDescent="0.25">
      <c r="B64" s="11">
        <v>1111082</v>
      </c>
      <c r="C64" s="15" t="s">
        <v>75</v>
      </c>
      <c r="D64" s="25">
        <v>11</v>
      </c>
      <c r="E64" s="25">
        <v>1</v>
      </c>
      <c r="F64" s="25">
        <v>5</v>
      </c>
      <c r="G64" s="25">
        <v>3</v>
      </c>
      <c r="H64" s="25">
        <v>0</v>
      </c>
      <c r="I64" s="25">
        <v>0</v>
      </c>
      <c r="J64" s="25">
        <v>0</v>
      </c>
      <c r="K64" s="25">
        <v>0</v>
      </c>
      <c r="L64" s="28">
        <v>20</v>
      </c>
      <c r="M64" s="11"/>
      <c r="N64" s="11"/>
      <c r="O64" s="11"/>
      <c r="P64" s="11"/>
      <c r="Q64" s="36">
        <v>-20</v>
      </c>
    </row>
    <row r="65" spans="2:17" ht="22.2" x14ac:dyDescent="0.25">
      <c r="B65" s="11">
        <v>1111083</v>
      </c>
      <c r="C65" s="15" t="s">
        <v>76</v>
      </c>
      <c r="D65" s="25">
        <v>10</v>
      </c>
      <c r="E65" s="25">
        <v>1</v>
      </c>
      <c r="F65" s="25">
        <v>5</v>
      </c>
      <c r="G65" s="25">
        <v>3</v>
      </c>
      <c r="H65" s="25">
        <v>0</v>
      </c>
      <c r="I65" s="25">
        <v>0</v>
      </c>
      <c r="J65" s="25">
        <v>0</v>
      </c>
      <c r="K65" s="25">
        <v>0</v>
      </c>
      <c r="L65" s="28">
        <v>19</v>
      </c>
      <c r="M65" s="11"/>
      <c r="N65" s="11"/>
      <c r="O65" s="11"/>
      <c r="P65" s="11"/>
      <c r="Q65" s="36">
        <v>-19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14</v>
      </c>
      <c r="E69" s="25">
        <v>6</v>
      </c>
      <c r="F69" s="25">
        <v>38</v>
      </c>
      <c r="G69" s="25">
        <v>6</v>
      </c>
      <c r="H69" s="25">
        <v>0</v>
      </c>
      <c r="I69" s="25">
        <v>0</v>
      </c>
      <c r="J69" s="25">
        <v>0</v>
      </c>
      <c r="K69" s="25">
        <v>5</v>
      </c>
      <c r="L69" s="28">
        <v>69</v>
      </c>
      <c r="M69" s="11"/>
      <c r="N69" s="11"/>
      <c r="O69" s="11"/>
      <c r="P69" s="11"/>
      <c r="Q69" s="36">
        <v>-69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0</v>
      </c>
      <c r="E87" s="25">
        <v>11</v>
      </c>
      <c r="F87" s="25">
        <v>0</v>
      </c>
      <c r="G87" s="25">
        <v>206</v>
      </c>
      <c r="H87" s="25">
        <v>0</v>
      </c>
      <c r="I87" s="25">
        <v>0</v>
      </c>
      <c r="J87" s="25">
        <v>0</v>
      </c>
      <c r="K87" s="25">
        <v>3</v>
      </c>
      <c r="L87" s="28">
        <v>220</v>
      </c>
      <c r="M87" s="11"/>
      <c r="N87" s="11"/>
      <c r="O87" s="11"/>
      <c r="P87" s="11"/>
      <c r="Q87" s="36">
        <v>-220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2</v>
      </c>
      <c r="E90" s="25">
        <v>13</v>
      </c>
      <c r="F90" s="25">
        <v>13</v>
      </c>
      <c r="G90" s="25">
        <v>74</v>
      </c>
      <c r="H90" s="25">
        <v>0</v>
      </c>
      <c r="I90" s="25">
        <v>0</v>
      </c>
      <c r="J90" s="25">
        <v>0</v>
      </c>
      <c r="K90" s="25">
        <v>8</v>
      </c>
      <c r="L90" s="28">
        <v>110</v>
      </c>
      <c r="M90" s="11"/>
      <c r="N90" s="11"/>
      <c r="O90" s="11"/>
      <c r="P90" s="11"/>
      <c r="Q90" s="36">
        <v>-110</v>
      </c>
    </row>
    <row r="91" spans="2:17" ht="22.2" x14ac:dyDescent="0.25">
      <c r="B91" s="11">
        <v>1112011</v>
      </c>
      <c r="C91" s="18" t="s">
        <v>99</v>
      </c>
      <c r="D91" s="25">
        <v>6</v>
      </c>
      <c r="E91" s="25">
        <v>15</v>
      </c>
      <c r="F91" s="25">
        <v>25</v>
      </c>
      <c r="G91" s="25">
        <v>74</v>
      </c>
      <c r="H91" s="25">
        <v>0</v>
      </c>
      <c r="I91" s="25">
        <v>0</v>
      </c>
      <c r="J91" s="25">
        <v>0</v>
      </c>
      <c r="K91" s="25">
        <v>6</v>
      </c>
      <c r="L91" s="28">
        <v>126</v>
      </c>
      <c r="M91" s="11"/>
      <c r="N91" s="11"/>
      <c r="O91" s="11"/>
      <c r="P91" s="11"/>
      <c r="Q91" s="36">
        <v>-126</v>
      </c>
    </row>
    <row r="92" spans="2:17" ht="22.2" x14ac:dyDescent="0.25">
      <c r="B92" s="11">
        <v>1112003</v>
      </c>
      <c r="C92" s="18" t="s">
        <v>100</v>
      </c>
      <c r="D92" s="25">
        <v>3</v>
      </c>
      <c r="E92" s="25">
        <v>0</v>
      </c>
      <c r="F92" s="25">
        <v>0</v>
      </c>
      <c r="G92" s="25">
        <v>52</v>
      </c>
      <c r="H92" s="25">
        <v>0</v>
      </c>
      <c r="I92" s="25">
        <v>0</v>
      </c>
      <c r="J92" s="25">
        <v>0</v>
      </c>
      <c r="K92" s="25">
        <v>0</v>
      </c>
      <c r="L92" s="28">
        <v>55</v>
      </c>
      <c r="M92" s="11"/>
      <c r="N92" s="11"/>
      <c r="O92" s="11"/>
      <c r="P92" s="11"/>
      <c r="Q92" s="36">
        <v>-55</v>
      </c>
    </row>
    <row r="93" spans="2:17" ht="22.2" x14ac:dyDescent="0.25">
      <c r="B93" s="11">
        <v>1112005</v>
      </c>
      <c r="C93" s="18" t="s">
        <v>101</v>
      </c>
      <c r="D93" s="25">
        <v>3</v>
      </c>
      <c r="E93" s="25">
        <v>0</v>
      </c>
      <c r="F93" s="25">
        <v>0</v>
      </c>
      <c r="G93" s="25">
        <v>52</v>
      </c>
      <c r="H93" s="25">
        <v>0</v>
      </c>
      <c r="I93" s="25">
        <v>0</v>
      </c>
      <c r="J93" s="25">
        <v>0</v>
      </c>
      <c r="K93" s="25">
        <v>0</v>
      </c>
      <c r="L93" s="28">
        <v>55</v>
      </c>
      <c r="M93" s="11"/>
      <c r="N93" s="11"/>
      <c r="O93" s="11"/>
      <c r="P93" s="11"/>
      <c r="Q93" s="36">
        <v>-55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3</v>
      </c>
      <c r="E97" s="25">
        <v>0</v>
      </c>
      <c r="F97" s="25">
        <v>0</v>
      </c>
      <c r="G97" s="25">
        <v>51</v>
      </c>
      <c r="H97" s="25">
        <v>0</v>
      </c>
      <c r="I97" s="25">
        <v>0</v>
      </c>
      <c r="J97" s="25">
        <v>0</v>
      </c>
      <c r="K97" s="25">
        <v>0</v>
      </c>
      <c r="L97" s="28">
        <v>54</v>
      </c>
      <c r="M97" s="11"/>
      <c r="N97" s="11"/>
      <c r="O97" s="11"/>
      <c r="P97" s="11"/>
      <c r="Q97" s="36">
        <v>-54</v>
      </c>
    </row>
    <row r="98" spans="2:17" ht="22.2" x14ac:dyDescent="0.25">
      <c r="B98" s="11">
        <v>1112013</v>
      </c>
      <c r="C98" s="18" t="s">
        <v>106</v>
      </c>
      <c r="D98" s="25">
        <v>3</v>
      </c>
      <c r="E98" s="25">
        <v>13</v>
      </c>
      <c r="F98" s="25">
        <v>13</v>
      </c>
      <c r="G98" s="25">
        <v>74</v>
      </c>
      <c r="H98" s="25">
        <v>0</v>
      </c>
      <c r="I98" s="25">
        <v>0</v>
      </c>
      <c r="J98" s="25">
        <v>0</v>
      </c>
      <c r="K98" s="25">
        <v>9</v>
      </c>
      <c r="L98" s="28">
        <v>112</v>
      </c>
      <c r="M98" s="11"/>
      <c r="N98" s="11"/>
      <c r="O98" s="11"/>
      <c r="P98" s="11"/>
      <c r="Q98" s="36">
        <v>-112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512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10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8">
        <v>10</v>
      </c>
      <c r="M114" s="11"/>
      <c r="N114" s="11"/>
      <c r="O114" s="11"/>
      <c r="P114" s="11"/>
      <c r="Q114" s="36">
        <v>-10</v>
      </c>
    </row>
    <row r="115" spans="2:17" ht="22.2" x14ac:dyDescent="0.25">
      <c r="B115" s="11">
        <v>1113171</v>
      </c>
      <c r="C115" s="20" t="s">
        <v>111</v>
      </c>
      <c r="D115" s="25">
        <v>5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5</v>
      </c>
      <c r="M115" s="11"/>
      <c r="N115" s="11"/>
      <c r="O115" s="11"/>
      <c r="P115" s="11"/>
      <c r="Q115" s="36">
        <v>-5</v>
      </c>
    </row>
    <row r="116" spans="2:17" ht="22.2" x14ac:dyDescent="0.25">
      <c r="B116" s="11">
        <v>1113172</v>
      </c>
      <c r="C116" s="20" t="s">
        <v>112</v>
      </c>
      <c r="D116" s="25">
        <v>10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8">
        <v>10</v>
      </c>
      <c r="M116" s="11"/>
      <c r="N116" s="11"/>
      <c r="O116" s="11"/>
      <c r="P116" s="11"/>
      <c r="Q116" s="36">
        <v>-10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7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7</v>
      </c>
      <c r="M118" s="11"/>
      <c r="N118" s="11"/>
      <c r="O118" s="11"/>
      <c r="P118" s="11"/>
      <c r="Q118" s="36">
        <v>-7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1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1</v>
      </c>
      <c r="M119" s="11"/>
      <c r="N119" s="11"/>
      <c r="O119" s="11"/>
      <c r="P119" s="11"/>
      <c r="Q119" s="36">
        <v>-1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5</v>
      </c>
      <c r="F120" s="25">
        <v>0</v>
      </c>
      <c r="G120" s="25">
        <v>1</v>
      </c>
      <c r="H120" s="25">
        <v>0</v>
      </c>
      <c r="I120" s="25">
        <v>0</v>
      </c>
      <c r="J120" s="25">
        <v>0</v>
      </c>
      <c r="K120" s="25">
        <v>0</v>
      </c>
      <c r="L120" s="28">
        <v>6</v>
      </c>
      <c r="M120" s="11"/>
      <c r="N120" s="11"/>
      <c r="O120" s="11"/>
      <c r="P120" s="11"/>
      <c r="Q120" s="36">
        <v>-6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/>
      <c r="O121" s="11"/>
      <c r="P121" s="11"/>
      <c r="Q121" s="36">
        <v>0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6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6</v>
      </c>
      <c r="M122" s="11"/>
      <c r="N122" s="11"/>
      <c r="O122" s="11"/>
      <c r="P122" s="11"/>
      <c r="Q122" s="36">
        <v>-6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4</v>
      </c>
      <c r="F123" s="25">
        <v>7</v>
      </c>
      <c r="G123" s="25">
        <v>103</v>
      </c>
      <c r="H123" s="25">
        <v>0</v>
      </c>
      <c r="I123" s="25">
        <v>0</v>
      </c>
      <c r="J123" s="25">
        <v>0</v>
      </c>
      <c r="K123" s="25">
        <v>0</v>
      </c>
      <c r="L123" s="28">
        <v>114</v>
      </c>
      <c r="M123" s="11"/>
      <c r="N123" s="11"/>
      <c r="O123" s="11"/>
      <c r="P123" s="11"/>
      <c r="Q123" s="36">
        <v>-114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3</v>
      </c>
      <c r="F124" s="25">
        <v>9</v>
      </c>
      <c r="G124" s="25">
        <v>103</v>
      </c>
      <c r="H124" s="25">
        <v>0</v>
      </c>
      <c r="I124" s="25">
        <v>0</v>
      </c>
      <c r="J124" s="25">
        <v>0</v>
      </c>
      <c r="K124" s="25">
        <v>0</v>
      </c>
      <c r="L124" s="28">
        <v>115</v>
      </c>
      <c r="M124" s="11"/>
      <c r="N124" s="11"/>
      <c r="O124" s="11"/>
      <c r="P124" s="11"/>
      <c r="Q124" s="36">
        <v>-115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25">
        <v>4</v>
      </c>
      <c r="F125" s="25">
        <v>9</v>
      </c>
      <c r="G125" s="25">
        <v>103</v>
      </c>
      <c r="H125" s="25">
        <v>0</v>
      </c>
      <c r="I125" s="25">
        <v>0</v>
      </c>
      <c r="J125" s="25">
        <v>0</v>
      </c>
      <c r="K125" s="25">
        <v>0</v>
      </c>
      <c r="L125" s="28">
        <v>116</v>
      </c>
      <c r="M125" s="11"/>
      <c r="N125" s="11"/>
      <c r="O125" s="11"/>
      <c r="P125" s="11"/>
      <c r="Q125" s="36">
        <v>-116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107</v>
      </c>
      <c r="F126" s="25">
        <v>178</v>
      </c>
      <c r="G126" s="25">
        <v>69</v>
      </c>
      <c r="H126" s="25">
        <v>0</v>
      </c>
      <c r="I126" s="25">
        <v>0</v>
      </c>
      <c r="J126" s="25">
        <v>0</v>
      </c>
      <c r="K126" s="25">
        <v>0</v>
      </c>
      <c r="L126" s="28">
        <v>354</v>
      </c>
      <c r="M126" s="11"/>
      <c r="N126" s="11"/>
      <c r="O126" s="11"/>
      <c r="P126" s="11"/>
      <c r="Q126" s="36">
        <v>-354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1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1</v>
      </c>
      <c r="M130" s="11"/>
      <c r="N130" s="11"/>
      <c r="O130" s="11"/>
      <c r="P130" s="11"/>
      <c r="Q130" s="36">
        <v>-1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11"/>
      <c r="P135" s="11"/>
      <c r="Q135" s="36">
        <v>0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304</v>
      </c>
      <c r="E140" s="28">
        <v>347</v>
      </c>
      <c r="F140" s="28">
        <v>694</v>
      </c>
      <c r="G140" s="28">
        <v>1234</v>
      </c>
      <c r="H140" s="28">
        <v>0</v>
      </c>
      <c r="I140" s="28">
        <v>0</v>
      </c>
      <c r="J140" s="28">
        <v>0</v>
      </c>
      <c r="K140" s="28">
        <v>76</v>
      </c>
      <c r="L140" s="28">
        <v>2655</v>
      </c>
      <c r="M140" s="25">
        <v>0</v>
      </c>
      <c r="N140" s="25">
        <v>0</v>
      </c>
      <c r="O140" s="25"/>
      <c r="P140" s="25"/>
      <c r="Q140" s="36">
        <v>-2655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B6D4-0BA9-401A-BC96-DB78EA5E2F4E}">
  <dimension ref="B1:Q143"/>
  <sheetViews>
    <sheetView workbookViewId="0">
      <selection sqref="A1:Q143"/>
    </sheetView>
  </sheetViews>
  <sheetFormatPr defaultRowHeight="13.8" x14ac:dyDescent="0.25"/>
  <sheetData>
    <row r="1" spans="2:17" ht="22.2" x14ac:dyDescent="0.25">
      <c r="B1" s="50" t="s">
        <v>159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2</v>
      </c>
      <c r="E7" s="47">
        <v>112</v>
      </c>
      <c r="F7" s="47">
        <v>198</v>
      </c>
      <c r="G7" s="47">
        <v>13</v>
      </c>
      <c r="H7" s="25">
        <v>0</v>
      </c>
      <c r="I7" s="25">
        <v>0</v>
      </c>
      <c r="J7" s="25">
        <v>0</v>
      </c>
      <c r="K7" s="25">
        <v>10</v>
      </c>
      <c r="L7" s="28">
        <v>335</v>
      </c>
      <c r="M7" s="11">
        <v>100</v>
      </c>
      <c r="N7" s="11">
        <v>901</v>
      </c>
      <c r="O7" s="11"/>
      <c r="P7" s="11">
        <v>100</v>
      </c>
      <c r="Q7" s="36">
        <v>766</v>
      </c>
    </row>
    <row r="8" spans="2:17" ht="22.2" x14ac:dyDescent="0.25">
      <c r="B8" s="11"/>
      <c r="C8" s="15" t="s">
        <v>19</v>
      </c>
      <c r="D8" s="25">
        <v>0</v>
      </c>
      <c r="E8" s="47">
        <v>0</v>
      </c>
      <c r="F8" s="47">
        <v>0</v>
      </c>
      <c r="G8" s="47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47">
        <v>0</v>
      </c>
      <c r="F9" s="47">
        <v>0</v>
      </c>
      <c r="G9" s="47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47">
        <v>0</v>
      </c>
      <c r="F10" s="47">
        <v>0</v>
      </c>
      <c r="G10" s="47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47">
        <v>0</v>
      </c>
      <c r="F11" s="47">
        <v>0</v>
      </c>
      <c r="G11" s="47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47">
        <v>0</v>
      </c>
      <c r="F12" s="47">
        <v>0</v>
      </c>
      <c r="G12" s="47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47">
        <v>0</v>
      </c>
      <c r="F13" s="47">
        <v>0</v>
      </c>
      <c r="G13" s="47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47">
        <v>0</v>
      </c>
      <c r="F14" s="47">
        <v>0</v>
      </c>
      <c r="G14" s="47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47">
        <v>0</v>
      </c>
      <c r="F15" s="47">
        <v>0</v>
      </c>
      <c r="G15" s="47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47">
        <v>0</v>
      </c>
      <c r="F16" s="47">
        <v>0</v>
      </c>
      <c r="G16" s="47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47">
        <v>0</v>
      </c>
      <c r="F17" s="47">
        <v>0</v>
      </c>
      <c r="G17" s="47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47">
        <v>0</v>
      </c>
      <c r="F18" s="47">
        <v>0</v>
      </c>
      <c r="G18" s="47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47">
        <v>0</v>
      </c>
      <c r="F19" s="47">
        <v>0</v>
      </c>
      <c r="G19" s="47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47">
        <v>0</v>
      </c>
      <c r="F20" s="47">
        <v>0</v>
      </c>
      <c r="G20" s="47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47">
        <v>0</v>
      </c>
      <c r="F21" s="47">
        <v>0</v>
      </c>
      <c r="G21" s="47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47">
        <v>0</v>
      </c>
      <c r="F22" s="47">
        <v>0</v>
      </c>
      <c r="G22" s="47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47">
        <v>0</v>
      </c>
      <c r="F23" s="47">
        <v>0</v>
      </c>
      <c r="G23" s="47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47">
        <v>0</v>
      </c>
      <c r="F24" s="47">
        <v>0</v>
      </c>
      <c r="G24" s="47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2</v>
      </c>
      <c r="E25" s="47">
        <v>16</v>
      </c>
      <c r="F25" s="47">
        <v>33</v>
      </c>
      <c r="G25" s="44">
        <v>0</v>
      </c>
      <c r="H25" s="25">
        <v>0</v>
      </c>
      <c r="I25" s="25">
        <v>0</v>
      </c>
      <c r="J25" s="25">
        <v>0</v>
      </c>
      <c r="K25" s="25">
        <v>0</v>
      </c>
      <c r="L25" s="28">
        <v>51</v>
      </c>
      <c r="M25" s="11">
        <v>10</v>
      </c>
      <c r="N25" s="11">
        <v>10</v>
      </c>
      <c r="O25" s="11"/>
      <c r="P25" s="11">
        <v>10</v>
      </c>
      <c r="Q25" s="36">
        <v>-21</v>
      </c>
    </row>
    <row r="26" spans="2:17" ht="22.2" x14ac:dyDescent="0.25">
      <c r="B26" s="11">
        <v>1004055</v>
      </c>
      <c r="C26" s="15" t="s">
        <v>37</v>
      </c>
      <c r="D26" s="25">
        <v>16</v>
      </c>
      <c r="E26" s="47">
        <v>39</v>
      </c>
      <c r="F26" s="47">
        <v>5</v>
      </c>
      <c r="G26" s="47">
        <v>260</v>
      </c>
      <c r="H26" s="25">
        <v>0</v>
      </c>
      <c r="I26" s="25">
        <v>0</v>
      </c>
      <c r="J26" s="25">
        <v>0</v>
      </c>
      <c r="K26" s="25">
        <v>15</v>
      </c>
      <c r="L26" s="28">
        <v>335</v>
      </c>
      <c r="M26" s="11">
        <v>50</v>
      </c>
      <c r="N26" s="11">
        <v>390</v>
      </c>
      <c r="O26" s="11"/>
      <c r="P26" s="11">
        <v>50</v>
      </c>
      <c r="Q26" s="36">
        <v>155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47">
        <v>35</v>
      </c>
      <c r="E40" s="47">
        <v>14</v>
      </c>
      <c r="F40" s="25">
        <v>3</v>
      </c>
      <c r="G40" s="25">
        <v>0</v>
      </c>
      <c r="H40" s="25">
        <v>0</v>
      </c>
      <c r="I40" s="25">
        <v>0</v>
      </c>
      <c r="J40" s="25">
        <v>0</v>
      </c>
      <c r="K40" s="25">
        <v>20</v>
      </c>
      <c r="L40" s="28">
        <v>72</v>
      </c>
      <c r="M40" s="11"/>
      <c r="N40" s="11">
        <v>181</v>
      </c>
      <c r="O40" s="11"/>
      <c r="P40" s="11"/>
      <c r="Q40" s="36">
        <v>109</v>
      </c>
    </row>
    <row r="41" spans="2:17" ht="22.2" x14ac:dyDescent="0.25">
      <c r="B41" s="11">
        <v>1111058</v>
      </c>
      <c r="C41" s="15" t="s">
        <v>52</v>
      </c>
      <c r="D41" s="47">
        <v>35</v>
      </c>
      <c r="E41" s="47">
        <v>8</v>
      </c>
      <c r="F41" s="25">
        <v>1</v>
      </c>
      <c r="G41" s="25">
        <v>0</v>
      </c>
      <c r="H41" s="25">
        <v>0</v>
      </c>
      <c r="I41" s="25">
        <v>0</v>
      </c>
      <c r="J41" s="25">
        <v>0</v>
      </c>
      <c r="K41" s="25">
        <v>20</v>
      </c>
      <c r="L41" s="28">
        <v>64</v>
      </c>
      <c r="M41" s="11"/>
      <c r="N41" s="11">
        <v>96</v>
      </c>
      <c r="O41" s="11"/>
      <c r="P41" s="11"/>
      <c r="Q41" s="36">
        <v>32</v>
      </c>
    </row>
    <row r="42" spans="2:17" ht="22.2" x14ac:dyDescent="0.25">
      <c r="B42" s="11">
        <v>1111059</v>
      </c>
      <c r="C42" s="15" t="s">
        <v>53</v>
      </c>
      <c r="D42" s="47">
        <v>35</v>
      </c>
      <c r="E42" s="47">
        <v>8</v>
      </c>
      <c r="F42" s="25">
        <v>1</v>
      </c>
      <c r="G42" s="25">
        <v>0</v>
      </c>
      <c r="H42" s="25">
        <v>0</v>
      </c>
      <c r="I42" s="25">
        <v>0</v>
      </c>
      <c r="J42" s="25">
        <v>0</v>
      </c>
      <c r="K42" s="25">
        <v>20</v>
      </c>
      <c r="L42" s="28">
        <v>64</v>
      </c>
      <c r="M42" s="11"/>
      <c r="N42" s="11">
        <v>75</v>
      </c>
      <c r="O42" s="11"/>
      <c r="P42" s="11"/>
      <c r="Q42" s="36">
        <v>11</v>
      </c>
    </row>
    <row r="43" spans="2:17" ht="22.2" x14ac:dyDescent="0.25">
      <c r="B43" s="11">
        <v>1111060</v>
      </c>
      <c r="C43" s="15" t="s">
        <v>54</v>
      </c>
      <c r="D43" s="47">
        <v>35</v>
      </c>
      <c r="E43" s="25">
        <v>0</v>
      </c>
      <c r="F43" s="25">
        <v>1</v>
      </c>
      <c r="G43" s="25">
        <v>0</v>
      </c>
      <c r="H43" s="25">
        <v>0</v>
      </c>
      <c r="I43" s="25">
        <v>0</v>
      </c>
      <c r="J43" s="25">
        <v>0</v>
      </c>
      <c r="K43" s="25">
        <v>19</v>
      </c>
      <c r="L43" s="28">
        <v>55</v>
      </c>
      <c r="M43" s="11"/>
      <c r="N43" s="11">
        <v>102</v>
      </c>
      <c r="O43" s="11"/>
      <c r="P43" s="11"/>
      <c r="Q43" s="36">
        <v>47</v>
      </c>
    </row>
    <row r="44" spans="2:17" ht="22.2" x14ac:dyDescent="0.25">
      <c r="B44" s="11">
        <v>1111061</v>
      </c>
      <c r="C44" s="15" t="s">
        <v>55</v>
      </c>
      <c r="D44" s="47">
        <v>35</v>
      </c>
      <c r="E44" s="47">
        <v>8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19</v>
      </c>
      <c r="L44" s="28">
        <v>62</v>
      </c>
      <c r="M44" s="11"/>
      <c r="N44" s="11">
        <v>176</v>
      </c>
      <c r="O44" s="11"/>
      <c r="P44" s="11"/>
      <c r="Q44" s="36">
        <v>114</v>
      </c>
    </row>
    <row r="45" spans="2:17" ht="22.2" x14ac:dyDescent="0.25">
      <c r="B45" s="11">
        <v>1111062</v>
      </c>
      <c r="C45" s="15" t="s">
        <v>56</v>
      </c>
      <c r="D45" s="47">
        <v>35</v>
      </c>
      <c r="E45" s="47">
        <v>6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19</v>
      </c>
      <c r="L45" s="28">
        <v>60</v>
      </c>
      <c r="M45" s="11"/>
      <c r="N45" s="11">
        <v>98</v>
      </c>
      <c r="O45" s="11"/>
      <c r="P45" s="11"/>
      <c r="Q45" s="36">
        <v>38</v>
      </c>
    </row>
    <row r="46" spans="2:17" ht="22.2" x14ac:dyDescent="0.25">
      <c r="B46" s="11">
        <v>1111063</v>
      </c>
      <c r="C46" s="15" t="s">
        <v>57</v>
      </c>
      <c r="D46" s="47">
        <v>35</v>
      </c>
      <c r="E46" s="47">
        <v>10</v>
      </c>
      <c r="F46" s="25">
        <v>1</v>
      </c>
      <c r="G46" s="25">
        <v>0</v>
      </c>
      <c r="H46" s="25">
        <v>0</v>
      </c>
      <c r="I46" s="25">
        <v>0</v>
      </c>
      <c r="J46" s="25">
        <v>0</v>
      </c>
      <c r="K46" s="25">
        <v>19</v>
      </c>
      <c r="L46" s="28">
        <v>65</v>
      </c>
      <c r="M46" s="11"/>
      <c r="N46" s="11">
        <v>78</v>
      </c>
      <c r="O46" s="11"/>
      <c r="P46" s="11"/>
      <c r="Q46" s="36">
        <v>13</v>
      </c>
    </row>
    <row r="47" spans="2:17" ht="22.2" x14ac:dyDescent="0.25">
      <c r="B47" s="11">
        <v>1111064</v>
      </c>
      <c r="C47" s="15" t="s">
        <v>58</v>
      </c>
      <c r="D47" s="47">
        <v>35</v>
      </c>
      <c r="E47" s="47">
        <v>10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19</v>
      </c>
      <c r="L47" s="28">
        <v>64</v>
      </c>
      <c r="M47" s="11"/>
      <c r="N47" s="11">
        <v>99</v>
      </c>
      <c r="O47" s="11"/>
      <c r="P47" s="11"/>
      <c r="Q47" s="36">
        <v>35</v>
      </c>
    </row>
    <row r="48" spans="2:17" ht="22.2" x14ac:dyDescent="0.25">
      <c r="B48" s="11">
        <v>1111065</v>
      </c>
      <c r="C48" s="15" t="s">
        <v>59</v>
      </c>
      <c r="D48" s="47">
        <v>34</v>
      </c>
      <c r="E48" s="47">
        <v>8</v>
      </c>
      <c r="F48" s="25">
        <v>1</v>
      </c>
      <c r="G48" s="25">
        <v>0</v>
      </c>
      <c r="H48" s="25">
        <v>0</v>
      </c>
      <c r="I48" s="25">
        <v>0</v>
      </c>
      <c r="J48" s="25">
        <v>0</v>
      </c>
      <c r="K48" s="25">
        <v>19</v>
      </c>
      <c r="L48" s="28">
        <v>62</v>
      </c>
      <c r="M48" s="11"/>
      <c r="N48" s="11"/>
      <c r="O48" s="11"/>
      <c r="P48" s="11"/>
      <c r="Q48" s="36">
        <v>-62</v>
      </c>
    </row>
    <row r="49" spans="2:17" ht="22.2" x14ac:dyDescent="0.25">
      <c r="B49" s="11">
        <v>1111066</v>
      </c>
      <c r="C49" s="15" t="s">
        <v>60</v>
      </c>
      <c r="D49" s="47">
        <v>34</v>
      </c>
      <c r="E49" s="47">
        <v>10</v>
      </c>
      <c r="F49" s="25">
        <v>1</v>
      </c>
      <c r="G49" s="25">
        <v>0</v>
      </c>
      <c r="H49" s="25">
        <v>0</v>
      </c>
      <c r="I49" s="25">
        <v>0</v>
      </c>
      <c r="J49" s="25">
        <v>0</v>
      </c>
      <c r="K49" s="25">
        <v>19</v>
      </c>
      <c r="L49" s="28">
        <v>64</v>
      </c>
      <c r="M49" s="11"/>
      <c r="N49" s="11"/>
      <c r="O49" s="11"/>
      <c r="P49" s="11"/>
      <c r="Q49" s="36">
        <v>-64</v>
      </c>
    </row>
    <row r="50" spans="2:17" ht="22.2" x14ac:dyDescent="0.25">
      <c r="B50" s="11">
        <v>1111067</v>
      </c>
      <c r="C50" s="15" t="s">
        <v>61</v>
      </c>
      <c r="D50" s="47">
        <v>34</v>
      </c>
      <c r="E50" s="47">
        <v>16</v>
      </c>
      <c r="F50" s="25">
        <v>1</v>
      </c>
      <c r="G50" s="25">
        <v>0</v>
      </c>
      <c r="H50" s="25">
        <v>0</v>
      </c>
      <c r="I50" s="25">
        <v>0</v>
      </c>
      <c r="J50" s="25">
        <v>0</v>
      </c>
      <c r="K50" s="25">
        <v>19</v>
      </c>
      <c r="L50" s="28">
        <v>70</v>
      </c>
      <c r="M50" s="11"/>
      <c r="N50" s="11">
        <v>88</v>
      </c>
      <c r="O50" s="11"/>
      <c r="P50" s="11"/>
      <c r="Q50" s="36">
        <v>18</v>
      </c>
    </row>
    <row r="51" spans="2:17" ht="22.2" x14ac:dyDescent="0.25">
      <c r="B51" s="11">
        <v>1111068</v>
      </c>
      <c r="C51" s="15" t="s">
        <v>62</v>
      </c>
      <c r="D51" s="47">
        <v>34</v>
      </c>
      <c r="E51" s="47">
        <v>12</v>
      </c>
      <c r="F51" s="25">
        <v>1</v>
      </c>
      <c r="G51" s="25">
        <v>0</v>
      </c>
      <c r="H51" s="25">
        <v>0</v>
      </c>
      <c r="I51" s="25">
        <v>0</v>
      </c>
      <c r="J51" s="25">
        <v>0</v>
      </c>
      <c r="K51" s="25">
        <v>19</v>
      </c>
      <c r="L51" s="28">
        <v>66</v>
      </c>
      <c r="M51" s="11"/>
      <c r="N51" s="11">
        <v>96</v>
      </c>
      <c r="O51" s="11"/>
      <c r="P51" s="11"/>
      <c r="Q51" s="36">
        <v>30</v>
      </c>
    </row>
    <row r="52" spans="2:17" ht="22.2" x14ac:dyDescent="0.25">
      <c r="B52" s="11">
        <v>1111069</v>
      </c>
      <c r="C52" s="15" t="s">
        <v>63</v>
      </c>
      <c r="D52" s="47">
        <v>34</v>
      </c>
      <c r="E52" s="47">
        <v>10</v>
      </c>
      <c r="F52" s="25">
        <v>1</v>
      </c>
      <c r="G52" s="25">
        <v>0</v>
      </c>
      <c r="H52" s="25">
        <v>0</v>
      </c>
      <c r="I52" s="25">
        <v>0</v>
      </c>
      <c r="J52" s="25">
        <v>0</v>
      </c>
      <c r="K52" s="25">
        <v>19</v>
      </c>
      <c r="L52" s="28">
        <v>64</v>
      </c>
      <c r="M52" s="11"/>
      <c r="N52" s="11">
        <v>80</v>
      </c>
      <c r="O52" s="11"/>
      <c r="P52" s="11"/>
      <c r="Q52" s="36">
        <v>16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47">
        <v>10</v>
      </c>
      <c r="E56" s="25">
        <v>1</v>
      </c>
      <c r="F56" s="47">
        <v>8</v>
      </c>
      <c r="G56" s="47">
        <v>3</v>
      </c>
      <c r="H56" s="25">
        <v>0</v>
      </c>
      <c r="I56" s="25">
        <v>0</v>
      </c>
      <c r="J56" s="25">
        <v>0</v>
      </c>
      <c r="K56" s="25">
        <v>0</v>
      </c>
      <c r="L56" s="28">
        <v>22</v>
      </c>
      <c r="M56" s="11"/>
      <c r="N56" s="11"/>
      <c r="O56" s="11"/>
      <c r="P56" s="11"/>
      <c r="Q56" s="36">
        <v>-22</v>
      </c>
    </row>
    <row r="57" spans="2:17" ht="22.2" x14ac:dyDescent="0.25">
      <c r="B57" s="11">
        <v>1111075</v>
      </c>
      <c r="C57" s="15" t="s">
        <v>68</v>
      </c>
      <c r="D57" s="47">
        <v>10</v>
      </c>
      <c r="E57" s="25">
        <v>1</v>
      </c>
      <c r="F57" s="47">
        <v>8</v>
      </c>
      <c r="G57" s="25">
        <v>1</v>
      </c>
      <c r="H57" s="25">
        <v>0</v>
      </c>
      <c r="I57" s="25">
        <v>0</v>
      </c>
      <c r="J57" s="25">
        <v>0</v>
      </c>
      <c r="K57" s="25">
        <v>0</v>
      </c>
      <c r="L57" s="28">
        <v>20</v>
      </c>
      <c r="M57" s="11"/>
      <c r="N57" s="11">
        <v>104</v>
      </c>
      <c r="O57" s="11"/>
      <c r="P57" s="11"/>
      <c r="Q57" s="36">
        <v>84</v>
      </c>
    </row>
    <row r="58" spans="2:17" ht="22.2" x14ac:dyDescent="0.25">
      <c r="B58" s="11">
        <v>1111076</v>
      </c>
      <c r="C58" s="15" t="s">
        <v>69</v>
      </c>
      <c r="D58" s="47">
        <v>10</v>
      </c>
      <c r="E58" s="25">
        <v>1</v>
      </c>
      <c r="F58" s="47">
        <v>7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8">
        <v>18</v>
      </c>
      <c r="M58" s="11"/>
      <c r="N58" s="11">
        <v>101</v>
      </c>
      <c r="O58" s="11"/>
      <c r="P58" s="11"/>
      <c r="Q58" s="36">
        <v>83</v>
      </c>
    </row>
    <row r="59" spans="2:17" ht="22.2" x14ac:dyDescent="0.25">
      <c r="B59" s="11">
        <v>1111077</v>
      </c>
      <c r="C59" s="15" t="s">
        <v>70</v>
      </c>
      <c r="D59" s="47">
        <v>10</v>
      </c>
      <c r="E59" s="25">
        <v>1</v>
      </c>
      <c r="F59" s="47">
        <v>7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8">
        <v>18</v>
      </c>
      <c r="M59" s="11"/>
      <c r="N59" s="11">
        <v>107</v>
      </c>
      <c r="O59" s="11"/>
      <c r="P59" s="11"/>
      <c r="Q59" s="36">
        <v>89</v>
      </c>
    </row>
    <row r="60" spans="2:17" ht="22.2" x14ac:dyDescent="0.25">
      <c r="B60" s="11">
        <v>1111078</v>
      </c>
      <c r="C60" s="15" t="s">
        <v>71</v>
      </c>
      <c r="D60" s="47">
        <v>10</v>
      </c>
      <c r="E60" s="25">
        <v>1</v>
      </c>
      <c r="F60" s="47">
        <v>7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8">
        <v>18</v>
      </c>
      <c r="M60" s="11">
        <v>150</v>
      </c>
      <c r="N60" s="11"/>
      <c r="O60" s="11"/>
      <c r="P60" s="11"/>
      <c r="Q60" s="36">
        <v>132</v>
      </c>
    </row>
    <row r="61" spans="2:17" ht="22.2" x14ac:dyDescent="0.25">
      <c r="B61" s="11">
        <v>1111079</v>
      </c>
      <c r="C61" s="15" t="s">
        <v>72</v>
      </c>
      <c r="D61" s="47">
        <v>10</v>
      </c>
      <c r="E61" s="25">
        <v>1</v>
      </c>
      <c r="F61" s="47">
        <v>7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8">
        <v>18</v>
      </c>
      <c r="M61" s="11"/>
      <c r="N61" s="11"/>
      <c r="O61" s="11"/>
      <c r="P61" s="11"/>
      <c r="Q61" s="36">
        <v>-18</v>
      </c>
    </row>
    <row r="62" spans="2:17" ht="22.2" x14ac:dyDescent="0.25">
      <c r="B62" s="11">
        <v>1111080</v>
      </c>
      <c r="C62" s="15" t="s">
        <v>73</v>
      </c>
      <c r="D62" s="47">
        <v>10</v>
      </c>
      <c r="E62" s="25">
        <v>1</v>
      </c>
      <c r="F62" s="47">
        <v>7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8">
        <v>18</v>
      </c>
      <c r="M62" s="11"/>
      <c r="N62" s="11">
        <v>94</v>
      </c>
      <c r="O62" s="11"/>
      <c r="P62" s="11"/>
      <c r="Q62" s="36">
        <v>76</v>
      </c>
    </row>
    <row r="63" spans="2:17" ht="22.2" x14ac:dyDescent="0.25">
      <c r="B63" s="11">
        <v>1111081</v>
      </c>
      <c r="C63" s="15" t="s">
        <v>74</v>
      </c>
      <c r="D63" s="47">
        <v>10</v>
      </c>
      <c r="E63" s="25">
        <v>1</v>
      </c>
      <c r="F63" s="47">
        <v>7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8">
        <v>18</v>
      </c>
      <c r="M63" s="11">
        <v>150</v>
      </c>
      <c r="N63" s="11"/>
      <c r="O63" s="11"/>
      <c r="P63" s="11"/>
      <c r="Q63" s="36">
        <v>132</v>
      </c>
    </row>
    <row r="64" spans="2:17" ht="22.2" x14ac:dyDescent="0.25">
      <c r="B64" s="11">
        <v>1111082</v>
      </c>
      <c r="C64" s="15" t="s">
        <v>75</v>
      </c>
      <c r="D64" s="47">
        <v>10</v>
      </c>
      <c r="E64" s="25">
        <v>1</v>
      </c>
      <c r="F64" s="47">
        <v>7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8">
        <v>18</v>
      </c>
      <c r="M64" s="11">
        <v>150</v>
      </c>
      <c r="N64" s="11"/>
      <c r="O64" s="11"/>
      <c r="P64" s="11"/>
      <c r="Q64" s="36">
        <v>132</v>
      </c>
    </row>
    <row r="65" spans="2:17" ht="22.2" x14ac:dyDescent="0.25">
      <c r="B65" s="11">
        <v>1111083</v>
      </c>
      <c r="C65" s="15" t="s">
        <v>76</v>
      </c>
      <c r="D65" s="47">
        <v>10</v>
      </c>
      <c r="E65" s="25">
        <v>1</v>
      </c>
      <c r="F65" s="47">
        <v>7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8">
        <v>18</v>
      </c>
      <c r="M65" s="11"/>
      <c r="N65" s="11"/>
      <c r="O65" s="11"/>
      <c r="P65" s="11"/>
      <c r="Q65" s="36">
        <v>-18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3</v>
      </c>
      <c r="E69" s="47">
        <v>8</v>
      </c>
      <c r="F69" s="47">
        <v>37</v>
      </c>
      <c r="G69" s="25">
        <v>1</v>
      </c>
      <c r="H69" s="25">
        <v>0</v>
      </c>
      <c r="I69" s="25">
        <v>0</v>
      </c>
      <c r="J69" s="25">
        <v>0</v>
      </c>
      <c r="K69" s="25">
        <v>10</v>
      </c>
      <c r="L69" s="28">
        <v>59</v>
      </c>
      <c r="M69" s="11">
        <v>50</v>
      </c>
      <c r="N69" s="11">
        <v>44</v>
      </c>
      <c r="O69" s="11"/>
      <c r="P69" s="11">
        <v>50</v>
      </c>
      <c r="Q69" s="36">
        <v>85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47">
        <v>20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20</v>
      </c>
      <c r="M80" s="11"/>
      <c r="N80" s="11"/>
      <c r="O80" s="11"/>
      <c r="P80" s="11"/>
      <c r="Q80" s="36">
        <v>-20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47">
        <v>20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20</v>
      </c>
      <c r="M82" s="11"/>
      <c r="N82" s="11"/>
      <c r="O82" s="11"/>
      <c r="P82" s="11"/>
      <c r="Q82" s="36">
        <v>-20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16</v>
      </c>
      <c r="E87" s="47">
        <v>7</v>
      </c>
      <c r="F87" s="25">
        <v>0</v>
      </c>
      <c r="G87" s="47">
        <v>310</v>
      </c>
      <c r="H87" s="25">
        <v>0</v>
      </c>
      <c r="I87" s="25">
        <v>0</v>
      </c>
      <c r="J87" s="25">
        <v>0</v>
      </c>
      <c r="K87" s="25">
        <v>5</v>
      </c>
      <c r="L87" s="28">
        <v>338</v>
      </c>
      <c r="M87" s="11">
        <v>50</v>
      </c>
      <c r="N87" s="11">
        <v>340</v>
      </c>
      <c r="O87" s="11"/>
      <c r="P87" s="11">
        <v>50</v>
      </c>
      <c r="Q87" s="36">
        <v>102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47">
        <v>9</v>
      </c>
      <c r="E90" s="47">
        <v>5</v>
      </c>
      <c r="F90" s="47">
        <v>22</v>
      </c>
      <c r="G90" s="47">
        <v>144</v>
      </c>
      <c r="H90" s="25">
        <v>0</v>
      </c>
      <c r="I90" s="25">
        <v>0</v>
      </c>
      <c r="J90" s="25">
        <v>0</v>
      </c>
      <c r="K90" s="25">
        <v>0</v>
      </c>
      <c r="L90" s="28">
        <v>180</v>
      </c>
      <c r="M90" s="11">
        <v>140</v>
      </c>
      <c r="N90" s="11">
        <v>401</v>
      </c>
      <c r="O90" s="11"/>
      <c r="P90" s="11">
        <v>150</v>
      </c>
      <c r="Q90" s="36">
        <v>511</v>
      </c>
    </row>
    <row r="91" spans="2:17" ht="22.2" x14ac:dyDescent="0.25">
      <c r="B91" s="11">
        <v>1112011</v>
      </c>
      <c r="C91" s="18" t="s">
        <v>99</v>
      </c>
      <c r="D91" s="47">
        <v>7</v>
      </c>
      <c r="E91" s="47">
        <v>5</v>
      </c>
      <c r="F91" s="47">
        <v>30</v>
      </c>
      <c r="G91" s="47">
        <v>143</v>
      </c>
      <c r="H91" s="25">
        <v>0</v>
      </c>
      <c r="I91" s="25">
        <v>0</v>
      </c>
      <c r="J91" s="25">
        <v>0</v>
      </c>
      <c r="K91" s="25">
        <v>0</v>
      </c>
      <c r="L91" s="28">
        <v>185</v>
      </c>
      <c r="M91" s="11">
        <v>86</v>
      </c>
      <c r="N91" s="11">
        <v>3</v>
      </c>
      <c r="O91" s="11"/>
      <c r="P91" s="11">
        <v>150</v>
      </c>
      <c r="Q91" s="36">
        <v>54</v>
      </c>
    </row>
    <row r="92" spans="2:17" ht="22.2" x14ac:dyDescent="0.25">
      <c r="B92" s="11">
        <v>1112003</v>
      </c>
      <c r="C92" s="18" t="s">
        <v>100</v>
      </c>
      <c r="D92" s="47">
        <v>6</v>
      </c>
      <c r="E92" s="25">
        <v>0</v>
      </c>
      <c r="F92" s="25">
        <v>0</v>
      </c>
      <c r="G92" s="47">
        <v>95</v>
      </c>
      <c r="H92" s="25">
        <v>0</v>
      </c>
      <c r="I92" s="25">
        <v>0</v>
      </c>
      <c r="J92" s="25">
        <v>0</v>
      </c>
      <c r="K92" s="25">
        <v>0</v>
      </c>
      <c r="L92" s="28">
        <v>101</v>
      </c>
      <c r="M92" s="11">
        <v>100</v>
      </c>
      <c r="N92" s="11">
        <v>376</v>
      </c>
      <c r="O92" s="11"/>
      <c r="P92" s="11">
        <v>100</v>
      </c>
      <c r="Q92" s="36">
        <v>475</v>
      </c>
    </row>
    <row r="93" spans="2:17" ht="22.2" x14ac:dyDescent="0.25">
      <c r="B93" s="11">
        <v>1112005</v>
      </c>
      <c r="C93" s="18" t="s">
        <v>101</v>
      </c>
      <c r="D93" s="47">
        <v>7</v>
      </c>
      <c r="E93" s="25">
        <v>0</v>
      </c>
      <c r="F93" s="25">
        <v>0</v>
      </c>
      <c r="G93" s="47">
        <v>96</v>
      </c>
      <c r="H93" s="25">
        <v>0</v>
      </c>
      <c r="I93" s="25">
        <v>0</v>
      </c>
      <c r="J93" s="25">
        <v>0</v>
      </c>
      <c r="K93" s="25">
        <v>0</v>
      </c>
      <c r="L93" s="28">
        <v>103</v>
      </c>
      <c r="M93" s="11">
        <v>100</v>
      </c>
      <c r="N93" s="11">
        <v>341</v>
      </c>
      <c r="O93" s="11"/>
      <c r="P93" s="11"/>
      <c r="Q93" s="36">
        <v>338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47">
        <v>3</v>
      </c>
      <c r="E97" s="25">
        <v>0</v>
      </c>
      <c r="F97" s="25">
        <v>0</v>
      </c>
      <c r="G97" s="47">
        <v>94</v>
      </c>
      <c r="H97" s="25">
        <v>0</v>
      </c>
      <c r="I97" s="25">
        <v>0</v>
      </c>
      <c r="J97" s="25">
        <v>0</v>
      </c>
      <c r="K97" s="25">
        <v>0</v>
      </c>
      <c r="L97" s="28">
        <v>97</v>
      </c>
      <c r="M97" s="11">
        <v>116</v>
      </c>
      <c r="N97" s="11">
        <v>355</v>
      </c>
      <c r="O97" s="11"/>
      <c r="P97" s="11">
        <v>100</v>
      </c>
      <c r="Q97" s="36">
        <v>474</v>
      </c>
    </row>
    <row r="98" spans="2:17" ht="22.2" x14ac:dyDescent="0.25">
      <c r="B98" s="11">
        <v>1112013</v>
      </c>
      <c r="C98" s="18" t="s">
        <v>106</v>
      </c>
      <c r="D98" s="47">
        <v>6</v>
      </c>
      <c r="E98" s="47">
        <v>6</v>
      </c>
      <c r="F98" s="47">
        <v>22</v>
      </c>
      <c r="G98" s="47">
        <v>141</v>
      </c>
      <c r="H98" s="25">
        <v>0</v>
      </c>
      <c r="I98" s="25">
        <v>0</v>
      </c>
      <c r="J98" s="25">
        <v>0</v>
      </c>
      <c r="K98" s="25">
        <v>0</v>
      </c>
      <c r="L98" s="28">
        <v>175</v>
      </c>
      <c r="M98" s="11">
        <v>94</v>
      </c>
      <c r="N98" s="11">
        <v>239</v>
      </c>
      <c r="O98" s="11"/>
      <c r="P98" s="11">
        <v>100</v>
      </c>
      <c r="Q98" s="36">
        <v>258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841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0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8">
        <v>0</v>
      </c>
      <c r="M114" s="11">
        <v>50</v>
      </c>
      <c r="N114" s="11"/>
      <c r="O114" s="11"/>
      <c r="P114" s="11"/>
      <c r="Q114" s="36">
        <v>50</v>
      </c>
    </row>
    <row r="115" spans="2:17" ht="22.2" x14ac:dyDescent="0.25">
      <c r="B115" s="11">
        <v>1113171</v>
      </c>
      <c r="C115" s="20" t="s">
        <v>111</v>
      </c>
      <c r="D115" s="25">
        <v>0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0</v>
      </c>
      <c r="M115" s="11">
        <v>50</v>
      </c>
      <c r="N115" s="11">
        <v>5</v>
      </c>
      <c r="O115" s="11"/>
      <c r="P115" s="11"/>
      <c r="Q115" s="36">
        <v>55</v>
      </c>
    </row>
    <row r="116" spans="2:17" ht="22.2" x14ac:dyDescent="0.25">
      <c r="B116" s="11">
        <v>1113172</v>
      </c>
      <c r="C116" s="20" t="s">
        <v>112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8">
        <v>0</v>
      </c>
      <c r="M116" s="11">
        <v>50</v>
      </c>
      <c r="N116" s="11">
        <v>3</v>
      </c>
      <c r="O116" s="11"/>
      <c r="P116" s="11"/>
      <c r="Q116" s="36">
        <v>53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>
        <v>56</v>
      </c>
      <c r="O118" s="11"/>
      <c r="P118" s="11"/>
      <c r="Q118" s="36">
        <v>56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9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9</v>
      </c>
      <c r="M119" s="11"/>
      <c r="N119" s="11"/>
      <c r="O119" s="11"/>
      <c r="P119" s="11"/>
      <c r="Q119" s="36">
        <v>-9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5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5</v>
      </c>
      <c r="M120" s="11">
        <v>100</v>
      </c>
      <c r="N120" s="11">
        <v>26</v>
      </c>
      <c r="O120" s="11"/>
      <c r="P120" s="11"/>
      <c r="Q120" s="36">
        <v>121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>
        <v>78</v>
      </c>
      <c r="O121" s="11"/>
      <c r="P121" s="11"/>
      <c r="Q121" s="36">
        <v>78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>
        <v>11</v>
      </c>
      <c r="O122" s="11"/>
      <c r="P122" s="11"/>
      <c r="Q122" s="36">
        <v>11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47">
        <v>4</v>
      </c>
      <c r="F123" s="47">
        <v>18</v>
      </c>
      <c r="G123" s="47">
        <v>138</v>
      </c>
      <c r="H123" s="25">
        <v>0</v>
      </c>
      <c r="I123" s="25">
        <v>0</v>
      </c>
      <c r="J123" s="25">
        <v>0</v>
      </c>
      <c r="K123" s="25">
        <v>0</v>
      </c>
      <c r="L123" s="28">
        <v>160</v>
      </c>
      <c r="M123" s="11">
        <v>59</v>
      </c>
      <c r="N123" s="11">
        <v>180</v>
      </c>
      <c r="O123" s="11"/>
      <c r="P123" s="11">
        <v>50</v>
      </c>
      <c r="Q123" s="36">
        <v>129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47">
        <v>4</v>
      </c>
      <c r="F124" s="47">
        <v>10</v>
      </c>
      <c r="G124" s="47">
        <v>137</v>
      </c>
      <c r="H124" s="25">
        <v>0</v>
      </c>
      <c r="I124" s="25">
        <v>0</v>
      </c>
      <c r="J124" s="25">
        <v>0</v>
      </c>
      <c r="K124" s="25">
        <v>0</v>
      </c>
      <c r="L124" s="28">
        <v>151</v>
      </c>
      <c r="M124" s="11">
        <v>50</v>
      </c>
      <c r="N124" s="11">
        <v>201</v>
      </c>
      <c r="O124" s="11"/>
      <c r="P124" s="11">
        <v>50</v>
      </c>
      <c r="Q124" s="36">
        <v>150</v>
      </c>
    </row>
    <row r="125" spans="2:17" ht="22.2" x14ac:dyDescent="0.25">
      <c r="B125" s="11">
        <v>1114503</v>
      </c>
      <c r="C125" s="20" t="s">
        <v>121</v>
      </c>
      <c r="D125" s="25">
        <v>1</v>
      </c>
      <c r="E125" s="47">
        <v>3</v>
      </c>
      <c r="F125" s="47">
        <v>8</v>
      </c>
      <c r="G125" s="47">
        <v>137</v>
      </c>
      <c r="H125" s="25">
        <v>0</v>
      </c>
      <c r="I125" s="25">
        <v>0</v>
      </c>
      <c r="J125" s="25">
        <v>0</v>
      </c>
      <c r="K125" s="25">
        <v>0</v>
      </c>
      <c r="L125" s="28">
        <v>149</v>
      </c>
      <c r="M125" s="11">
        <v>47</v>
      </c>
      <c r="N125" s="11">
        <v>216</v>
      </c>
      <c r="O125" s="11"/>
      <c r="P125" s="11">
        <v>50</v>
      </c>
      <c r="Q125" s="36">
        <v>164</v>
      </c>
    </row>
    <row r="126" spans="2:17" ht="22.2" x14ac:dyDescent="0.25">
      <c r="B126" s="11">
        <v>1124021</v>
      </c>
      <c r="C126" s="20" t="s">
        <v>122</v>
      </c>
      <c r="D126" s="25">
        <v>21</v>
      </c>
      <c r="E126" s="25">
        <v>0</v>
      </c>
      <c r="F126" s="25">
        <v>13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8">
        <v>34</v>
      </c>
      <c r="M126" s="11">
        <v>97</v>
      </c>
      <c r="N126" s="11">
        <v>1</v>
      </c>
      <c r="O126" s="11"/>
      <c r="P126" s="11">
        <v>100</v>
      </c>
      <c r="Q126" s="36">
        <v>164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>
        <v>19</v>
      </c>
      <c r="O130" s="11"/>
      <c r="P130" s="11"/>
      <c r="Q130" s="36">
        <v>19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2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2</v>
      </c>
      <c r="M135" s="11"/>
      <c r="N135" s="11"/>
      <c r="O135" s="11"/>
      <c r="P135" s="11"/>
      <c r="Q135" s="36">
        <v>-2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689</v>
      </c>
      <c r="E140" s="28">
        <v>346</v>
      </c>
      <c r="F140" s="28">
        <v>489</v>
      </c>
      <c r="G140" s="28">
        <v>1713</v>
      </c>
      <c r="H140" s="28">
        <v>0</v>
      </c>
      <c r="I140" s="28">
        <v>0</v>
      </c>
      <c r="J140" s="28">
        <v>0</v>
      </c>
      <c r="K140" s="28">
        <v>290</v>
      </c>
      <c r="L140" s="28">
        <v>3527</v>
      </c>
      <c r="M140" s="25">
        <v>1849</v>
      </c>
      <c r="N140" s="25">
        <v>5771</v>
      </c>
      <c r="O140" s="25"/>
      <c r="P140" s="25"/>
      <c r="Q140" s="36">
        <v>4093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BBA4-759C-425F-BF94-7DC9450E79DB}">
  <dimension ref="B1:Q143"/>
  <sheetViews>
    <sheetView workbookViewId="0">
      <selection activeCell="U14" sqref="U14"/>
    </sheetView>
  </sheetViews>
  <sheetFormatPr defaultRowHeight="13.8" x14ac:dyDescent="0.25"/>
  <sheetData>
    <row r="1" spans="2:17" ht="22.2" x14ac:dyDescent="0.25">
      <c r="B1" s="50" t="s">
        <v>158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46">
        <v>7</v>
      </c>
      <c r="E7" s="46">
        <v>80</v>
      </c>
      <c r="F7" s="46">
        <v>35</v>
      </c>
      <c r="G7" s="46">
        <v>15</v>
      </c>
      <c r="H7" s="25">
        <v>0</v>
      </c>
      <c r="I7" s="25">
        <v>0</v>
      </c>
      <c r="J7" s="25">
        <v>0</v>
      </c>
      <c r="K7" s="25">
        <v>0</v>
      </c>
      <c r="L7" s="28">
        <v>137</v>
      </c>
      <c r="M7" s="11">
        <v>100</v>
      </c>
      <c r="N7" s="11">
        <v>700</v>
      </c>
      <c r="O7" s="11"/>
      <c r="P7" s="11">
        <v>100</v>
      </c>
      <c r="Q7" s="36">
        <v>763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46">
        <v>6</v>
      </c>
      <c r="E25" s="46">
        <v>8</v>
      </c>
      <c r="F25" s="46">
        <v>15</v>
      </c>
      <c r="G25" s="25">
        <v>2</v>
      </c>
      <c r="H25" s="25">
        <v>0</v>
      </c>
      <c r="I25" s="25">
        <v>0</v>
      </c>
      <c r="J25" s="25">
        <v>0</v>
      </c>
      <c r="K25" s="25">
        <v>0</v>
      </c>
      <c r="L25" s="28">
        <v>31</v>
      </c>
      <c r="M25" s="11">
        <v>10</v>
      </c>
      <c r="N25" s="11"/>
      <c r="O25" s="11"/>
      <c r="P25" s="11">
        <v>10</v>
      </c>
      <c r="Q25" s="36">
        <v>-11</v>
      </c>
    </row>
    <row r="26" spans="2:17" ht="22.2" x14ac:dyDescent="0.25">
      <c r="B26" s="11">
        <v>1004055</v>
      </c>
      <c r="C26" s="15" t="s">
        <v>37</v>
      </c>
      <c r="D26" s="25">
        <v>1</v>
      </c>
      <c r="E26" s="46">
        <v>21</v>
      </c>
      <c r="F26" s="25">
        <v>0</v>
      </c>
      <c r="G26" s="46">
        <v>139</v>
      </c>
      <c r="H26" s="25">
        <v>0</v>
      </c>
      <c r="I26" s="25">
        <v>0</v>
      </c>
      <c r="J26" s="25">
        <v>0</v>
      </c>
      <c r="K26" s="25">
        <v>0</v>
      </c>
      <c r="L26" s="28">
        <v>161</v>
      </c>
      <c r="M26" s="11">
        <v>50</v>
      </c>
      <c r="N26" s="11">
        <v>102</v>
      </c>
      <c r="O26" s="11"/>
      <c r="P26" s="11">
        <v>50</v>
      </c>
      <c r="Q26" s="36">
        <v>41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8</v>
      </c>
      <c r="E40" s="25">
        <v>0</v>
      </c>
      <c r="F40" s="46">
        <v>1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8">
        <v>9</v>
      </c>
      <c r="M40" s="11"/>
      <c r="N40" s="11"/>
      <c r="O40" s="11"/>
      <c r="P40" s="11"/>
      <c r="Q40" s="36">
        <v>-9</v>
      </c>
    </row>
    <row r="41" spans="2:17" ht="22.2" x14ac:dyDescent="0.25">
      <c r="B41" s="11">
        <v>1111058</v>
      </c>
      <c r="C41" s="15" t="s">
        <v>52</v>
      </c>
      <c r="D41" s="25">
        <v>7</v>
      </c>
      <c r="E41" s="25">
        <v>0</v>
      </c>
      <c r="F41" s="46">
        <v>1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8">
        <v>8</v>
      </c>
      <c r="M41" s="11"/>
      <c r="N41" s="11"/>
      <c r="O41" s="11"/>
      <c r="P41" s="11"/>
      <c r="Q41" s="36">
        <v>-8</v>
      </c>
    </row>
    <row r="42" spans="2:17" ht="22.2" x14ac:dyDescent="0.25">
      <c r="B42" s="11">
        <v>1111059</v>
      </c>
      <c r="C42" s="15" t="s">
        <v>53</v>
      </c>
      <c r="D42" s="25">
        <v>8</v>
      </c>
      <c r="E42" s="25">
        <v>0</v>
      </c>
      <c r="F42" s="46">
        <v>1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8">
        <v>9</v>
      </c>
      <c r="M42" s="11"/>
      <c r="N42" s="11"/>
      <c r="O42" s="11"/>
      <c r="P42" s="11"/>
      <c r="Q42" s="36">
        <v>-9</v>
      </c>
    </row>
    <row r="43" spans="2:17" ht="22.2" x14ac:dyDescent="0.25">
      <c r="B43" s="11">
        <v>1111060</v>
      </c>
      <c r="C43" s="15" t="s">
        <v>54</v>
      </c>
      <c r="D43" s="25">
        <v>7</v>
      </c>
      <c r="E43" s="25">
        <v>0</v>
      </c>
      <c r="F43" s="46">
        <v>1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8</v>
      </c>
      <c r="M43" s="11"/>
      <c r="N43" s="11"/>
      <c r="O43" s="11"/>
      <c r="P43" s="11"/>
      <c r="Q43" s="36">
        <v>-8</v>
      </c>
    </row>
    <row r="44" spans="2:17" ht="22.2" x14ac:dyDescent="0.25">
      <c r="B44" s="11">
        <v>1111061</v>
      </c>
      <c r="C44" s="15" t="s">
        <v>55</v>
      </c>
      <c r="D44" s="25">
        <v>7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8">
        <v>7</v>
      </c>
      <c r="M44" s="11"/>
      <c r="N44" s="11"/>
      <c r="O44" s="11"/>
      <c r="P44" s="11"/>
      <c r="Q44" s="36">
        <v>-7</v>
      </c>
    </row>
    <row r="45" spans="2:17" ht="22.2" x14ac:dyDescent="0.25">
      <c r="B45" s="11">
        <v>1111062</v>
      </c>
      <c r="C45" s="15" t="s">
        <v>56</v>
      </c>
      <c r="D45" s="25">
        <v>8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8</v>
      </c>
      <c r="M45" s="11"/>
      <c r="N45" s="11"/>
      <c r="O45" s="11"/>
      <c r="P45" s="11"/>
      <c r="Q45" s="36">
        <v>-8</v>
      </c>
    </row>
    <row r="46" spans="2:17" ht="22.2" x14ac:dyDescent="0.25">
      <c r="B46" s="11">
        <v>1111063</v>
      </c>
      <c r="C46" s="15" t="s">
        <v>57</v>
      </c>
      <c r="D46" s="25">
        <v>8</v>
      </c>
      <c r="E46" s="25">
        <v>0</v>
      </c>
      <c r="F46" s="46">
        <v>1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8">
        <v>9</v>
      </c>
      <c r="M46" s="11"/>
      <c r="N46" s="11"/>
      <c r="O46" s="11"/>
      <c r="P46" s="11"/>
      <c r="Q46" s="36">
        <v>-9</v>
      </c>
    </row>
    <row r="47" spans="2:17" ht="22.2" x14ac:dyDescent="0.25">
      <c r="B47" s="11">
        <v>1111064</v>
      </c>
      <c r="C47" s="15" t="s">
        <v>58</v>
      </c>
      <c r="D47" s="25">
        <v>8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8">
        <v>8</v>
      </c>
      <c r="M47" s="11"/>
      <c r="N47" s="11"/>
      <c r="O47" s="11"/>
      <c r="P47" s="11"/>
      <c r="Q47" s="36">
        <v>-8</v>
      </c>
    </row>
    <row r="48" spans="2:17" ht="22.2" x14ac:dyDescent="0.25">
      <c r="B48" s="11">
        <v>1111065</v>
      </c>
      <c r="C48" s="15" t="s">
        <v>59</v>
      </c>
      <c r="D48" s="25">
        <v>7</v>
      </c>
      <c r="E48" s="25">
        <v>0</v>
      </c>
      <c r="F48" s="46">
        <v>1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8</v>
      </c>
      <c r="M48" s="11"/>
      <c r="N48" s="11"/>
      <c r="O48" s="11"/>
      <c r="P48" s="11"/>
      <c r="Q48" s="36">
        <v>-8</v>
      </c>
    </row>
    <row r="49" spans="2:17" ht="22.2" x14ac:dyDescent="0.25">
      <c r="B49" s="11">
        <v>1111066</v>
      </c>
      <c r="C49" s="15" t="s">
        <v>60</v>
      </c>
      <c r="D49" s="25">
        <v>8</v>
      </c>
      <c r="E49" s="25">
        <v>0</v>
      </c>
      <c r="F49" s="46">
        <v>1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8">
        <v>9</v>
      </c>
      <c r="M49" s="11"/>
      <c r="N49" s="11"/>
      <c r="O49" s="11"/>
      <c r="P49" s="11"/>
      <c r="Q49" s="36">
        <v>-9</v>
      </c>
    </row>
    <row r="50" spans="2:17" ht="22.2" x14ac:dyDescent="0.25">
      <c r="B50" s="11">
        <v>1111067</v>
      </c>
      <c r="C50" s="15" t="s">
        <v>61</v>
      </c>
      <c r="D50" s="25">
        <v>8</v>
      </c>
      <c r="E50" s="25">
        <v>0</v>
      </c>
      <c r="F50" s="46">
        <v>1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8">
        <v>9</v>
      </c>
      <c r="M50" s="11"/>
      <c r="N50" s="11"/>
      <c r="O50" s="11"/>
      <c r="P50" s="11"/>
      <c r="Q50" s="36">
        <v>-9</v>
      </c>
    </row>
    <row r="51" spans="2:17" ht="22.2" x14ac:dyDescent="0.25">
      <c r="B51" s="11">
        <v>1111068</v>
      </c>
      <c r="C51" s="15" t="s">
        <v>62</v>
      </c>
      <c r="D51" s="25">
        <v>8</v>
      </c>
      <c r="E51" s="25">
        <v>0</v>
      </c>
      <c r="F51" s="46">
        <v>1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8">
        <v>9</v>
      </c>
      <c r="M51" s="11"/>
      <c r="N51" s="11"/>
      <c r="O51" s="11"/>
      <c r="P51" s="11"/>
      <c r="Q51" s="36">
        <v>-9</v>
      </c>
    </row>
    <row r="52" spans="2:17" ht="22.2" x14ac:dyDescent="0.25">
      <c r="B52" s="11">
        <v>1111069</v>
      </c>
      <c r="C52" s="15" t="s">
        <v>63</v>
      </c>
      <c r="D52" s="25">
        <v>8</v>
      </c>
      <c r="E52" s="25">
        <v>0</v>
      </c>
      <c r="F52" s="46">
        <v>1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8">
        <v>9</v>
      </c>
      <c r="M52" s="11"/>
      <c r="N52" s="11"/>
      <c r="O52" s="11"/>
      <c r="P52" s="11"/>
      <c r="Q52" s="36">
        <v>-9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6</v>
      </c>
      <c r="E56" s="25">
        <v>0</v>
      </c>
      <c r="F56" s="46">
        <v>4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8">
        <v>10</v>
      </c>
      <c r="M56" s="11"/>
      <c r="N56" s="11">
        <v>124</v>
      </c>
      <c r="O56" s="11"/>
      <c r="P56" s="11"/>
      <c r="Q56" s="36">
        <v>114</v>
      </c>
    </row>
    <row r="57" spans="2:17" ht="22.2" x14ac:dyDescent="0.25">
      <c r="B57" s="11">
        <v>1111075</v>
      </c>
      <c r="C57" s="15" t="s">
        <v>68</v>
      </c>
      <c r="D57" s="25">
        <v>6</v>
      </c>
      <c r="E57" s="25">
        <v>0</v>
      </c>
      <c r="F57" s="46">
        <v>4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8">
        <v>10</v>
      </c>
      <c r="M57" s="11"/>
      <c r="N57" s="11">
        <v>139</v>
      </c>
      <c r="O57" s="11"/>
      <c r="P57" s="11"/>
      <c r="Q57" s="36">
        <v>129</v>
      </c>
    </row>
    <row r="58" spans="2:17" ht="22.2" x14ac:dyDescent="0.25">
      <c r="B58" s="11">
        <v>1111076</v>
      </c>
      <c r="C58" s="15" t="s">
        <v>69</v>
      </c>
      <c r="D58" s="25">
        <v>6</v>
      </c>
      <c r="E58" s="25">
        <v>0</v>
      </c>
      <c r="F58" s="46">
        <v>4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8">
        <v>10</v>
      </c>
      <c r="M58" s="11"/>
      <c r="N58" s="11">
        <v>135</v>
      </c>
      <c r="O58" s="11"/>
      <c r="P58" s="11"/>
      <c r="Q58" s="36">
        <v>125</v>
      </c>
    </row>
    <row r="59" spans="2:17" ht="22.2" x14ac:dyDescent="0.25">
      <c r="B59" s="11">
        <v>1111077</v>
      </c>
      <c r="C59" s="15" t="s">
        <v>70</v>
      </c>
      <c r="D59" s="25">
        <v>6</v>
      </c>
      <c r="E59" s="25">
        <v>0</v>
      </c>
      <c r="F59" s="46">
        <v>5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8">
        <v>11</v>
      </c>
      <c r="M59" s="11"/>
      <c r="N59" s="11">
        <v>148</v>
      </c>
      <c r="O59" s="11"/>
      <c r="P59" s="11"/>
      <c r="Q59" s="36">
        <v>137</v>
      </c>
    </row>
    <row r="60" spans="2:17" ht="22.2" x14ac:dyDescent="0.25">
      <c r="B60" s="11">
        <v>1111078</v>
      </c>
      <c r="C60" s="15" t="s">
        <v>71</v>
      </c>
      <c r="D60" s="25">
        <v>6</v>
      </c>
      <c r="E60" s="25">
        <v>0</v>
      </c>
      <c r="F60" s="46">
        <v>4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8">
        <v>10</v>
      </c>
      <c r="M60" s="11"/>
      <c r="N60" s="11"/>
      <c r="O60" s="11"/>
      <c r="P60" s="11"/>
      <c r="Q60" s="36">
        <v>-10</v>
      </c>
    </row>
    <row r="61" spans="2:17" ht="22.2" x14ac:dyDescent="0.25">
      <c r="B61" s="11">
        <v>1111079</v>
      </c>
      <c r="C61" s="15" t="s">
        <v>72</v>
      </c>
      <c r="D61" s="25">
        <v>6</v>
      </c>
      <c r="E61" s="25">
        <v>0</v>
      </c>
      <c r="F61" s="46">
        <v>5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8">
        <v>11</v>
      </c>
      <c r="M61" s="11"/>
      <c r="N61" s="11">
        <v>164</v>
      </c>
      <c r="O61" s="11"/>
      <c r="P61" s="11"/>
      <c r="Q61" s="36">
        <v>153</v>
      </c>
    </row>
    <row r="62" spans="2:17" ht="22.2" x14ac:dyDescent="0.25">
      <c r="B62" s="11">
        <v>1111080</v>
      </c>
      <c r="C62" s="15" t="s">
        <v>73</v>
      </c>
      <c r="D62" s="25">
        <v>6</v>
      </c>
      <c r="E62" s="25">
        <v>0</v>
      </c>
      <c r="F62" s="46">
        <v>5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8">
        <v>11</v>
      </c>
      <c r="M62" s="11"/>
      <c r="N62" s="11">
        <v>67</v>
      </c>
      <c r="O62" s="11"/>
      <c r="P62" s="11"/>
      <c r="Q62" s="36">
        <v>56</v>
      </c>
    </row>
    <row r="63" spans="2:17" ht="22.2" x14ac:dyDescent="0.25">
      <c r="B63" s="11">
        <v>1111081</v>
      </c>
      <c r="C63" s="15" t="s">
        <v>74</v>
      </c>
      <c r="D63" s="25">
        <v>6</v>
      </c>
      <c r="E63" s="25">
        <v>0</v>
      </c>
      <c r="F63" s="46">
        <v>4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8">
        <v>10</v>
      </c>
      <c r="M63" s="11"/>
      <c r="N63" s="11"/>
      <c r="O63" s="11"/>
      <c r="P63" s="11"/>
      <c r="Q63" s="36">
        <v>-10</v>
      </c>
    </row>
    <row r="64" spans="2:17" ht="22.2" x14ac:dyDescent="0.25">
      <c r="B64" s="11">
        <v>1111082</v>
      </c>
      <c r="C64" s="15" t="s">
        <v>75</v>
      </c>
      <c r="D64" s="25">
        <v>6</v>
      </c>
      <c r="E64" s="25">
        <v>0</v>
      </c>
      <c r="F64" s="46">
        <v>4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8">
        <v>10</v>
      </c>
      <c r="M64" s="11"/>
      <c r="N64" s="11"/>
      <c r="O64" s="11"/>
      <c r="P64" s="11"/>
      <c r="Q64" s="36">
        <v>-10</v>
      </c>
    </row>
    <row r="65" spans="2:17" ht="22.2" x14ac:dyDescent="0.25">
      <c r="B65" s="11">
        <v>1111083</v>
      </c>
      <c r="C65" s="15" t="s">
        <v>76</v>
      </c>
      <c r="D65" s="25">
        <v>6</v>
      </c>
      <c r="E65" s="25">
        <v>0</v>
      </c>
      <c r="F65" s="25">
        <v>1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8">
        <v>7</v>
      </c>
      <c r="M65" s="11"/>
      <c r="N65" s="11"/>
      <c r="O65" s="11"/>
      <c r="P65" s="11"/>
      <c r="Q65" s="36">
        <v>-7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46">
        <v>10</v>
      </c>
      <c r="E69" s="46">
        <v>5</v>
      </c>
      <c r="F69" s="46">
        <v>9</v>
      </c>
      <c r="G69" s="25">
        <v>14</v>
      </c>
      <c r="H69" s="25">
        <v>0</v>
      </c>
      <c r="I69" s="25">
        <v>0</v>
      </c>
      <c r="J69" s="25">
        <v>0</v>
      </c>
      <c r="K69" s="25">
        <v>0</v>
      </c>
      <c r="L69" s="28">
        <v>38</v>
      </c>
      <c r="M69" s="11">
        <v>50</v>
      </c>
      <c r="N69" s="11">
        <v>33</v>
      </c>
      <c r="O69" s="11"/>
      <c r="P69" s="11">
        <v>50</v>
      </c>
      <c r="Q69" s="36">
        <v>95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46">
        <v>14</v>
      </c>
      <c r="E87" s="46">
        <v>9</v>
      </c>
      <c r="F87" s="25">
        <v>3</v>
      </c>
      <c r="G87" s="46">
        <v>115</v>
      </c>
      <c r="H87" s="25">
        <v>0</v>
      </c>
      <c r="I87" s="25">
        <v>0</v>
      </c>
      <c r="J87" s="25">
        <v>0</v>
      </c>
      <c r="K87" s="25">
        <v>0</v>
      </c>
      <c r="L87" s="28">
        <v>141</v>
      </c>
      <c r="M87" s="11">
        <v>50</v>
      </c>
      <c r="N87" s="11">
        <v>168</v>
      </c>
      <c r="O87" s="11"/>
      <c r="P87" s="11">
        <v>50</v>
      </c>
      <c r="Q87" s="36">
        <v>127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46">
        <v>8</v>
      </c>
      <c r="E90" s="46">
        <v>3</v>
      </c>
      <c r="F90" s="46">
        <v>13</v>
      </c>
      <c r="G90" s="46">
        <v>79</v>
      </c>
      <c r="H90" s="25">
        <v>0</v>
      </c>
      <c r="I90" s="25">
        <v>0</v>
      </c>
      <c r="J90" s="25">
        <v>0</v>
      </c>
      <c r="K90" s="25">
        <v>0</v>
      </c>
      <c r="L90" s="28">
        <v>103</v>
      </c>
      <c r="M90" s="11">
        <v>150</v>
      </c>
      <c r="N90" s="11">
        <v>428</v>
      </c>
      <c r="O90" s="11"/>
      <c r="P90" s="11">
        <v>150</v>
      </c>
      <c r="Q90" s="36">
        <v>625</v>
      </c>
    </row>
    <row r="91" spans="2:17" ht="22.2" x14ac:dyDescent="0.25">
      <c r="B91" s="11">
        <v>1112011</v>
      </c>
      <c r="C91" s="18" t="s">
        <v>99</v>
      </c>
      <c r="D91" s="46">
        <v>5</v>
      </c>
      <c r="E91" s="46">
        <v>3</v>
      </c>
      <c r="F91" s="46">
        <v>16</v>
      </c>
      <c r="G91" s="46">
        <v>78</v>
      </c>
      <c r="H91" s="25">
        <v>0</v>
      </c>
      <c r="I91" s="25">
        <v>0</v>
      </c>
      <c r="J91" s="25">
        <v>0</v>
      </c>
      <c r="K91" s="25">
        <v>0</v>
      </c>
      <c r="L91" s="28">
        <v>102</v>
      </c>
      <c r="M91" s="11">
        <v>150</v>
      </c>
      <c r="N91" s="11">
        <v>124</v>
      </c>
      <c r="O91" s="11"/>
      <c r="P91" s="11">
        <v>150</v>
      </c>
      <c r="Q91" s="36">
        <v>322</v>
      </c>
    </row>
    <row r="92" spans="2:17" ht="22.2" x14ac:dyDescent="0.25">
      <c r="B92" s="11">
        <v>1112003</v>
      </c>
      <c r="C92" s="18" t="s">
        <v>100</v>
      </c>
      <c r="D92" s="46">
        <v>1</v>
      </c>
      <c r="E92" s="25">
        <v>0</v>
      </c>
      <c r="F92" s="25">
        <v>0</v>
      </c>
      <c r="G92" s="46">
        <v>62</v>
      </c>
      <c r="H92" s="25">
        <v>0</v>
      </c>
      <c r="I92" s="25">
        <v>0</v>
      </c>
      <c r="J92" s="25">
        <v>0</v>
      </c>
      <c r="K92" s="25">
        <v>0</v>
      </c>
      <c r="L92" s="28">
        <v>63</v>
      </c>
      <c r="M92" s="11">
        <v>100</v>
      </c>
      <c r="N92" s="11">
        <v>380</v>
      </c>
      <c r="O92" s="11"/>
      <c r="P92" s="11">
        <v>100</v>
      </c>
      <c r="Q92" s="36">
        <v>517</v>
      </c>
    </row>
    <row r="93" spans="2:17" ht="22.2" x14ac:dyDescent="0.25">
      <c r="B93" s="11">
        <v>1112005</v>
      </c>
      <c r="C93" s="18" t="s">
        <v>101</v>
      </c>
      <c r="D93" s="25">
        <v>7</v>
      </c>
      <c r="E93" s="25">
        <v>0</v>
      </c>
      <c r="F93" s="25">
        <v>0</v>
      </c>
      <c r="G93" s="46">
        <v>62</v>
      </c>
      <c r="H93" s="25">
        <v>0</v>
      </c>
      <c r="I93" s="25">
        <v>0</v>
      </c>
      <c r="J93" s="25">
        <v>0</v>
      </c>
      <c r="K93" s="25">
        <v>0</v>
      </c>
      <c r="L93" s="28">
        <v>69</v>
      </c>
      <c r="M93" s="11">
        <v>100</v>
      </c>
      <c r="N93" s="11">
        <v>447</v>
      </c>
      <c r="O93" s="11"/>
      <c r="P93" s="11">
        <v>100</v>
      </c>
      <c r="Q93" s="36">
        <v>578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0</v>
      </c>
      <c r="E97" s="25">
        <v>0</v>
      </c>
      <c r="F97" s="25">
        <v>0</v>
      </c>
      <c r="G97" s="46">
        <v>63</v>
      </c>
      <c r="H97" s="25">
        <v>0</v>
      </c>
      <c r="I97" s="25">
        <v>0</v>
      </c>
      <c r="J97" s="25">
        <v>0</v>
      </c>
      <c r="K97" s="25">
        <v>0</v>
      </c>
      <c r="L97" s="28">
        <v>63</v>
      </c>
      <c r="M97" s="11">
        <v>100</v>
      </c>
      <c r="N97" s="11">
        <v>360</v>
      </c>
      <c r="O97" s="11"/>
      <c r="P97" s="11">
        <v>100</v>
      </c>
      <c r="Q97" s="36">
        <v>497</v>
      </c>
    </row>
    <row r="98" spans="2:17" ht="22.2" x14ac:dyDescent="0.25">
      <c r="B98" s="11">
        <v>1112013</v>
      </c>
      <c r="C98" s="18" t="s">
        <v>106</v>
      </c>
      <c r="D98" s="25">
        <v>2</v>
      </c>
      <c r="E98" s="46">
        <v>3</v>
      </c>
      <c r="F98" s="46">
        <v>9</v>
      </c>
      <c r="G98" s="46">
        <v>76</v>
      </c>
      <c r="H98" s="25">
        <v>0</v>
      </c>
      <c r="I98" s="25">
        <v>0</v>
      </c>
      <c r="J98" s="25">
        <v>0</v>
      </c>
      <c r="K98" s="25">
        <v>0</v>
      </c>
      <c r="L98" s="28">
        <v>90</v>
      </c>
      <c r="M98" s="11">
        <v>100</v>
      </c>
      <c r="N98" s="11">
        <v>245</v>
      </c>
      <c r="O98" s="11"/>
      <c r="P98" s="11">
        <v>100</v>
      </c>
      <c r="Q98" s="36">
        <v>355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490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0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8">
        <v>0</v>
      </c>
      <c r="M114" s="11"/>
      <c r="N114" s="11">
        <v>26</v>
      </c>
      <c r="O114" s="11"/>
      <c r="P114" s="11"/>
      <c r="Q114" s="36">
        <v>26</v>
      </c>
    </row>
    <row r="115" spans="2:17" ht="22.2" x14ac:dyDescent="0.25">
      <c r="B115" s="11">
        <v>1113171</v>
      </c>
      <c r="C115" s="20" t="s">
        <v>111</v>
      </c>
      <c r="D115" s="25">
        <v>0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0</v>
      </c>
      <c r="M115" s="11"/>
      <c r="N115" s="11">
        <v>61</v>
      </c>
      <c r="O115" s="11"/>
      <c r="P115" s="11"/>
      <c r="Q115" s="36">
        <v>61</v>
      </c>
    </row>
    <row r="116" spans="2:17" ht="22.2" x14ac:dyDescent="0.25">
      <c r="B116" s="11">
        <v>1113172</v>
      </c>
      <c r="C116" s="20" t="s">
        <v>112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8">
        <v>0</v>
      </c>
      <c r="M116" s="11"/>
      <c r="N116" s="11">
        <v>42</v>
      </c>
      <c r="O116" s="11"/>
      <c r="P116" s="11"/>
      <c r="Q116" s="36">
        <v>42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>
        <v>56</v>
      </c>
      <c r="O118" s="11"/>
      <c r="P118" s="11"/>
      <c r="Q118" s="36">
        <v>56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0</v>
      </c>
      <c r="M119" s="11"/>
      <c r="N119" s="11">
        <v>400</v>
      </c>
      <c r="O119" s="11"/>
      <c r="P119" s="11"/>
      <c r="Q119" s="36">
        <v>400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46">
        <v>10</v>
      </c>
      <c r="H120" s="25">
        <v>0</v>
      </c>
      <c r="I120" s="25">
        <v>0</v>
      </c>
      <c r="J120" s="25">
        <v>0</v>
      </c>
      <c r="K120" s="25">
        <v>0</v>
      </c>
      <c r="L120" s="28">
        <v>10</v>
      </c>
      <c r="M120" s="11"/>
      <c r="N120" s="11">
        <v>20</v>
      </c>
      <c r="O120" s="11"/>
      <c r="P120" s="11"/>
      <c r="Q120" s="36">
        <v>10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>
        <v>104</v>
      </c>
      <c r="O121" s="11"/>
      <c r="P121" s="11"/>
      <c r="Q121" s="36">
        <v>104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1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1</v>
      </c>
      <c r="M122" s="11"/>
      <c r="N122" s="11">
        <v>4</v>
      </c>
      <c r="O122" s="11"/>
      <c r="P122" s="11"/>
      <c r="Q122" s="36">
        <v>3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46">
        <v>7</v>
      </c>
      <c r="F123" s="46">
        <v>12</v>
      </c>
      <c r="G123" s="46">
        <v>92</v>
      </c>
      <c r="H123" s="25">
        <v>0</v>
      </c>
      <c r="I123" s="25">
        <v>0</v>
      </c>
      <c r="J123" s="25">
        <v>0</v>
      </c>
      <c r="K123" s="25">
        <v>0</v>
      </c>
      <c r="L123" s="28">
        <v>111</v>
      </c>
      <c r="M123" s="11"/>
      <c r="N123" s="11">
        <v>26</v>
      </c>
      <c r="O123" s="11"/>
      <c r="P123" s="11">
        <v>50</v>
      </c>
      <c r="Q123" s="36">
        <v>-35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4</v>
      </c>
      <c r="F124" s="46">
        <v>11</v>
      </c>
      <c r="G124" s="46">
        <v>91</v>
      </c>
      <c r="H124" s="25">
        <v>0</v>
      </c>
      <c r="I124" s="25">
        <v>0</v>
      </c>
      <c r="J124" s="25">
        <v>0</v>
      </c>
      <c r="K124" s="25">
        <v>0</v>
      </c>
      <c r="L124" s="28">
        <v>106</v>
      </c>
      <c r="M124" s="11"/>
      <c r="N124" s="11">
        <v>99</v>
      </c>
      <c r="O124" s="11"/>
      <c r="P124" s="11">
        <v>50</v>
      </c>
      <c r="Q124" s="36">
        <v>43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46">
        <v>4</v>
      </c>
      <c r="F125" s="46">
        <v>13</v>
      </c>
      <c r="G125" s="46">
        <v>92</v>
      </c>
      <c r="H125" s="25">
        <v>0</v>
      </c>
      <c r="I125" s="25">
        <v>0</v>
      </c>
      <c r="J125" s="25">
        <v>0</v>
      </c>
      <c r="K125" s="25">
        <v>0</v>
      </c>
      <c r="L125" s="28">
        <v>109</v>
      </c>
      <c r="M125" s="11"/>
      <c r="N125" s="11">
        <v>68</v>
      </c>
      <c r="O125" s="11"/>
      <c r="P125" s="11">
        <v>50</v>
      </c>
      <c r="Q125" s="36">
        <v>9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46">
        <v>6</v>
      </c>
      <c r="F126" s="46">
        <v>24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8">
        <v>30</v>
      </c>
      <c r="M126" s="11">
        <v>97</v>
      </c>
      <c r="N126" s="11"/>
      <c r="O126" s="11"/>
      <c r="P126" s="11">
        <v>100</v>
      </c>
      <c r="Q126" s="36">
        <v>167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>
        <v>19</v>
      </c>
      <c r="O130" s="11"/>
      <c r="P130" s="11"/>
      <c r="Q130" s="36">
        <v>19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3</v>
      </c>
      <c r="F135" s="25">
        <v>1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4</v>
      </c>
      <c r="M135" s="11"/>
      <c r="N135" s="11"/>
      <c r="O135" s="11"/>
      <c r="P135" s="11"/>
      <c r="Q135" s="36">
        <v>-4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221</v>
      </c>
      <c r="E140" s="28">
        <v>156</v>
      </c>
      <c r="F140" s="28">
        <v>212</v>
      </c>
      <c r="G140" s="28">
        <v>990</v>
      </c>
      <c r="H140" s="28">
        <v>0</v>
      </c>
      <c r="I140" s="28">
        <v>0</v>
      </c>
      <c r="J140" s="28">
        <v>0</v>
      </c>
      <c r="K140" s="28">
        <v>0</v>
      </c>
      <c r="L140" s="28">
        <v>1579</v>
      </c>
      <c r="M140" s="25">
        <v>1057</v>
      </c>
      <c r="N140" s="25">
        <v>4689</v>
      </c>
      <c r="O140" s="25"/>
      <c r="P140" s="25"/>
      <c r="Q140" s="36">
        <v>4167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DD5D-417F-49FE-B7DC-39722601F42A}">
  <dimension ref="B1:Q143"/>
  <sheetViews>
    <sheetView workbookViewId="0">
      <selection activeCell="S11" sqref="S11"/>
    </sheetView>
  </sheetViews>
  <sheetFormatPr defaultRowHeight="13.8" x14ac:dyDescent="0.25"/>
  <sheetData>
    <row r="1" spans="2:17" ht="22.2" x14ac:dyDescent="0.25">
      <c r="B1" s="50" t="s">
        <v>157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0</v>
      </c>
      <c r="E7" s="45">
        <v>24</v>
      </c>
      <c r="F7" s="45">
        <v>10</v>
      </c>
      <c r="G7" s="45">
        <v>13</v>
      </c>
      <c r="H7" s="25">
        <v>0</v>
      </c>
      <c r="I7" s="25">
        <v>0</v>
      </c>
      <c r="J7" s="25">
        <v>0</v>
      </c>
      <c r="K7" s="25">
        <v>0</v>
      </c>
      <c r="L7" s="28">
        <v>47</v>
      </c>
      <c r="M7" s="11">
        <v>500</v>
      </c>
      <c r="N7" s="11">
        <v>499</v>
      </c>
      <c r="O7" s="11"/>
      <c r="P7" s="11"/>
      <c r="Q7" s="36">
        <v>952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0</v>
      </c>
      <c r="E25" s="45">
        <v>1</v>
      </c>
      <c r="F25" s="25">
        <v>4</v>
      </c>
      <c r="G25" s="25">
        <v>2</v>
      </c>
      <c r="H25" s="25">
        <v>0</v>
      </c>
      <c r="I25" s="25">
        <v>0</v>
      </c>
      <c r="J25" s="25">
        <v>0</v>
      </c>
      <c r="K25" s="25">
        <v>0</v>
      </c>
      <c r="L25" s="28">
        <v>7</v>
      </c>
      <c r="M25" s="11">
        <v>80</v>
      </c>
      <c r="N25" s="11"/>
      <c r="O25" s="11"/>
      <c r="P25" s="11"/>
      <c r="Q25" s="36">
        <v>73</v>
      </c>
    </row>
    <row r="26" spans="2:17" ht="22.2" x14ac:dyDescent="0.25">
      <c r="B26" s="11">
        <v>1004055</v>
      </c>
      <c r="C26" s="15" t="s">
        <v>37</v>
      </c>
      <c r="D26" s="25">
        <v>0</v>
      </c>
      <c r="E26" s="25">
        <v>0</v>
      </c>
      <c r="F26" s="25">
        <v>0</v>
      </c>
      <c r="G26" s="45">
        <v>96</v>
      </c>
      <c r="H26" s="25">
        <v>0</v>
      </c>
      <c r="I26" s="25">
        <v>0</v>
      </c>
      <c r="J26" s="25">
        <v>0</v>
      </c>
      <c r="K26" s="25">
        <v>0</v>
      </c>
      <c r="L26" s="28">
        <v>96</v>
      </c>
      <c r="M26" s="11">
        <v>500</v>
      </c>
      <c r="N26" s="11">
        <v>37</v>
      </c>
      <c r="O26" s="11"/>
      <c r="P26" s="11"/>
      <c r="Q26" s="36">
        <v>441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0</v>
      </c>
      <c r="E40" s="25">
        <v>0</v>
      </c>
      <c r="F40" s="45">
        <v>30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8">
        <v>30</v>
      </c>
      <c r="M40" s="11">
        <v>100</v>
      </c>
      <c r="N40" s="11">
        <v>12</v>
      </c>
      <c r="O40" s="11"/>
      <c r="P40" s="11"/>
      <c r="Q40" s="36">
        <v>82</v>
      </c>
    </row>
    <row r="41" spans="2:17" ht="22.2" x14ac:dyDescent="0.25">
      <c r="B41" s="11">
        <v>1111058</v>
      </c>
      <c r="C41" s="15" t="s">
        <v>52</v>
      </c>
      <c r="D41" s="25">
        <v>0</v>
      </c>
      <c r="E41" s="25">
        <v>0</v>
      </c>
      <c r="F41" s="45">
        <v>15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8">
        <v>15</v>
      </c>
      <c r="M41" s="11">
        <v>100</v>
      </c>
      <c r="N41" s="11"/>
      <c r="O41" s="11"/>
      <c r="P41" s="11"/>
      <c r="Q41" s="36">
        <v>85</v>
      </c>
    </row>
    <row r="42" spans="2:17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45">
        <v>30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8">
        <v>30</v>
      </c>
      <c r="M42" s="11">
        <v>100</v>
      </c>
      <c r="N42" s="11">
        <v>13</v>
      </c>
      <c r="O42" s="11"/>
      <c r="P42" s="11"/>
      <c r="Q42" s="36">
        <v>83</v>
      </c>
    </row>
    <row r="43" spans="2:17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>
        <v>100</v>
      </c>
      <c r="N43" s="11"/>
      <c r="O43" s="11"/>
      <c r="P43" s="11"/>
      <c r="Q43" s="36">
        <v>100</v>
      </c>
    </row>
    <row r="44" spans="2:17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45">
        <v>15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8">
        <v>15</v>
      </c>
      <c r="M44" s="11">
        <v>100</v>
      </c>
      <c r="N44" s="11">
        <v>12</v>
      </c>
      <c r="O44" s="11"/>
      <c r="P44" s="11"/>
      <c r="Q44" s="36">
        <v>97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45">
        <v>30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30</v>
      </c>
      <c r="M45" s="11">
        <v>100</v>
      </c>
      <c r="N45" s="11"/>
      <c r="O45" s="11"/>
      <c r="P45" s="11"/>
      <c r="Q45" s="36">
        <v>70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45">
        <v>30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8">
        <v>30</v>
      </c>
      <c r="M46" s="11">
        <v>100</v>
      </c>
      <c r="N46" s="11">
        <v>11</v>
      </c>
      <c r="O46" s="11"/>
      <c r="P46" s="11"/>
      <c r="Q46" s="36">
        <v>81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45">
        <v>30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8">
        <v>30</v>
      </c>
      <c r="M47" s="11">
        <v>100</v>
      </c>
      <c r="N47" s="11"/>
      <c r="O47" s="11"/>
      <c r="P47" s="11"/>
      <c r="Q47" s="36">
        <v>70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>
        <v>100</v>
      </c>
      <c r="N48" s="11"/>
      <c r="O48" s="11"/>
      <c r="P48" s="11"/>
      <c r="Q48" s="36">
        <v>100</v>
      </c>
    </row>
    <row r="49" spans="2:17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45">
        <v>30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8">
        <v>30</v>
      </c>
      <c r="M49" s="11">
        <v>100</v>
      </c>
      <c r="N49" s="11">
        <v>12</v>
      </c>
      <c r="O49" s="11"/>
      <c r="P49" s="11"/>
      <c r="Q49" s="36">
        <v>82</v>
      </c>
    </row>
    <row r="50" spans="2:17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45">
        <v>30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8">
        <v>30</v>
      </c>
      <c r="M50" s="11">
        <v>100</v>
      </c>
      <c r="N50" s="11">
        <v>12</v>
      </c>
      <c r="O50" s="11"/>
      <c r="P50" s="11"/>
      <c r="Q50" s="36">
        <v>82</v>
      </c>
    </row>
    <row r="51" spans="2:17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45">
        <v>30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8">
        <v>30</v>
      </c>
      <c r="M51" s="11">
        <v>100</v>
      </c>
      <c r="N51" s="11">
        <v>11</v>
      </c>
      <c r="O51" s="11"/>
      <c r="P51" s="11"/>
      <c r="Q51" s="36">
        <v>81</v>
      </c>
    </row>
    <row r="52" spans="2:17" ht="22.2" x14ac:dyDescent="0.25">
      <c r="B52" s="11">
        <v>1111069</v>
      </c>
      <c r="C52" s="15" t="s">
        <v>63</v>
      </c>
      <c r="D52" s="25">
        <v>0</v>
      </c>
      <c r="E52" s="25">
        <v>0</v>
      </c>
      <c r="F52" s="45">
        <v>30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8">
        <v>30</v>
      </c>
      <c r="M52" s="11">
        <v>100</v>
      </c>
      <c r="N52" s="11">
        <v>12</v>
      </c>
      <c r="O52" s="11"/>
      <c r="P52" s="11"/>
      <c r="Q52" s="36">
        <v>82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0</v>
      </c>
      <c r="E56" s="25">
        <v>0</v>
      </c>
      <c r="F56" s="25">
        <v>2</v>
      </c>
      <c r="G56" s="45">
        <v>2</v>
      </c>
      <c r="H56" s="25">
        <v>0</v>
      </c>
      <c r="I56" s="25">
        <v>0</v>
      </c>
      <c r="J56" s="25">
        <v>0</v>
      </c>
      <c r="K56" s="25">
        <v>0</v>
      </c>
      <c r="L56" s="28">
        <v>4</v>
      </c>
      <c r="M56" s="11">
        <v>100</v>
      </c>
      <c r="N56" s="11">
        <v>109</v>
      </c>
      <c r="O56" s="11"/>
      <c r="P56" s="11"/>
      <c r="Q56" s="36">
        <v>205</v>
      </c>
    </row>
    <row r="57" spans="2:17" ht="22.2" x14ac:dyDescent="0.25">
      <c r="B57" s="11">
        <v>1111075</v>
      </c>
      <c r="C57" s="15" t="s">
        <v>68</v>
      </c>
      <c r="D57" s="25">
        <v>0</v>
      </c>
      <c r="E57" s="25">
        <v>0</v>
      </c>
      <c r="F57" s="25">
        <v>2</v>
      </c>
      <c r="G57" s="45">
        <v>2</v>
      </c>
      <c r="H57" s="25">
        <v>0</v>
      </c>
      <c r="I57" s="25">
        <v>0</v>
      </c>
      <c r="J57" s="25">
        <v>0</v>
      </c>
      <c r="K57" s="25">
        <v>0</v>
      </c>
      <c r="L57" s="28">
        <v>4</v>
      </c>
      <c r="M57" s="11">
        <v>100</v>
      </c>
      <c r="N57" s="11">
        <v>124</v>
      </c>
      <c r="O57" s="11"/>
      <c r="P57" s="11"/>
      <c r="Q57" s="36">
        <v>220</v>
      </c>
    </row>
    <row r="58" spans="2:17" ht="22.2" x14ac:dyDescent="0.25">
      <c r="B58" s="11">
        <v>1111076</v>
      </c>
      <c r="C58" s="15" t="s">
        <v>69</v>
      </c>
      <c r="D58" s="25">
        <v>0</v>
      </c>
      <c r="E58" s="25">
        <v>0</v>
      </c>
      <c r="F58" s="25">
        <v>2</v>
      </c>
      <c r="G58" s="45">
        <v>2</v>
      </c>
      <c r="H58" s="25">
        <v>0</v>
      </c>
      <c r="I58" s="25">
        <v>0</v>
      </c>
      <c r="J58" s="25">
        <v>0</v>
      </c>
      <c r="K58" s="25">
        <v>0</v>
      </c>
      <c r="L58" s="28">
        <v>4</v>
      </c>
      <c r="M58" s="11">
        <v>100</v>
      </c>
      <c r="N58" s="11">
        <v>119</v>
      </c>
      <c r="O58" s="11"/>
      <c r="P58" s="11"/>
      <c r="Q58" s="36">
        <v>215</v>
      </c>
    </row>
    <row r="59" spans="2:17" ht="22.2" x14ac:dyDescent="0.25">
      <c r="B59" s="11">
        <v>1111077</v>
      </c>
      <c r="C59" s="15" t="s">
        <v>70</v>
      </c>
      <c r="D59" s="25">
        <v>0</v>
      </c>
      <c r="E59" s="25">
        <v>0</v>
      </c>
      <c r="F59" s="25">
        <v>2</v>
      </c>
      <c r="G59" s="45">
        <v>2</v>
      </c>
      <c r="H59" s="25">
        <v>0</v>
      </c>
      <c r="I59" s="25">
        <v>0</v>
      </c>
      <c r="J59" s="25">
        <v>0</v>
      </c>
      <c r="K59" s="25">
        <v>0</v>
      </c>
      <c r="L59" s="28">
        <v>4</v>
      </c>
      <c r="M59" s="11">
        <v>100</v>
      </c>
      <c r="N59" s="11">
        <v>128</v>
      </c>
      <c r="O59" s="11"/>
      <c r="P59" s="11"/>
      <c r="Q59" s="36">
        <v>224</v>
      </c>
    </row>
    <row r="60" spans="2:17" ht="22.2" x14ac:dyDescent="0.25">
      <c r="B60" s="11">
        <v>1111078</v>
      </c>
      <c r="C60" s="15" t="s">
        <v>71</v>
      </c>
      <c r="D60" s="25">
        <v>0</v>
      </c>
      <c r="E60" s="25">
        <v>0</v>
      </c>
      <c r="F60" s="25">
        <v>2</v>
      </c>
      <c r="G60" s="45">
        <v>2</v>
      </c>
      <c r="H60" s="25">
        <v>0</v>
      </c>
      <c r="I60" s="25">
        <v>0</v>
      </c>
      <c r="J60" s="25">
        <v>0</v>
      </c>
      <c r="K60" s="25">
        <v>0</v>
      </c>
      <c r="L60" s="28">
        <v>4</v>
      </c>
      <c r="M60" s="11">
        <v>100</v>
      </c>
      <c r="N60" s="11"/>
      <c r="O60" s="11"/>
      <c r="P60" s="11"/>
      <c r="Q60" s="36">
        <v>96</v>
      </c>
    </row>
    <row r="61" spans="2:17" ht="22.2" x14ac:dyDescent="0.25">
      <c r="B61" s="11">
        <v>1111079</v>
      </c>
      <c r="C61" s="15" t="s">
        <v>72</v>
      </c>
      <c r="D61" s="25">
        <v>0</v>
      </c>
      <c r="E61" s="25">
        <v>0</v>
      </c>
      <c r="F61" s="25">
        <v>2</v>
      </c>
      <c r="G61" s="45">
        <v>2</v>
      </c>
      <c r="H61" s="25">
        <v>0</v>
      </c>
      <c r="I61" s="25">
        <v>0</v>
      </c>
      <c r="J61" s="25">
        <v>0</v>
      </c>
      <c r="K61" s="25">
        <v>0</v>
      </c>
      <c r="L61" s="28">
        <v>4</v>
      </c>
      <c r="M61" s="11">
        <v>100</v>
      </c>
      <c r="N61" s="11">
        <v>146</v>
      </c>
      <c r="O61" s="11"/>
      <c r="P61" s="11"/>
      <c r="Q61" s="36">
        <v>242</v>
      </c>
    </row>
    <row r="62" spans="2:17" ht="22.2" x14ac:dyDescent="0.25">
      <c r="B62" s="11">
        <v>1111080</v>
      </c>
      <c r="C62" s="15" t="s">
        <v>73</v>
      </c>
      <c r="D62" s="25">
        <v>0</v>
      </c>
      <c r="E62" s="25">
        <v>0</v>
      </c>
      <c r="F62" s="25">
        <v>2</v>
      </c>
      <c r="G62" s="45">
        <v>2</v>
      </c>
      <c r="H62" s="25">
        <v>0</v>
      </c>
      <c r="I62" s="25">
        <v>0</v>
      </c>
      <c r="J62" s="25">
        <v>0</v>
      </c>
      <c r="K62" s="25">
        <v>0</v>
      </c>
      <c r="L62" s="28">
        <v>4</v>
      </c>
      <c r="M62" s="11">
        <v>100</v>
      </c>
      <c r="N62" s="11">
        <v>48</v>
      </c>
      <c r="O62" s="11"/>
      <c r="P62" s="11"/>
      <c r="Q62" s="36">
        <v>144</v>
      </c>
    </row>
    <row r="63" spans="2:17" ht="22.2" x14ac:dyDescent="0.25">
      <c r="B63" s="11">
        <v>1111081</v>
      </c>
      <c r="C63" s="15" t="s">
        <v>74</v>
      </c>
      <c r="D63" s="25">
        <v>0</v>
      </c>
      <c r="E63" s="25">
        <v>0</v>
      </c>
      <c r="F63" s="25">
        <v>2</v>
      </c>
      <c r="G63" s="45">
        <v>2</v>
      </c>
      <c r="H63" s="25">
        <v>0</v>
      </c>
      <c r="I63" s="25">
        <v>0</v>
      </c>
      <c r="J63" s="25">
        <v>0</v>
      </c>
      <c r="K63" s="25">
        <v>0</v>
      </c>
      <c r="L63" s="28">
        <v>4</v>
      </c>
      <c r="M63" s="11">
        <v>100</v>
      </c>
      <c r="N63" s="11"/>
      <c r="O63" s="11"/>
      <c r="P63" s="11"/>
      <c r="Q63" s="36">
        <v>96</v>
      </c>
    </row>
    <row r="64" spans="2:17" ht="22.2" x14ac:dyDescent="0.25">
      <c r="B64" s="11">
        <v>1111082</v>
      </c>
      <c r="C64" s="15" t="s">
        <v>75</v>
      </c>
      <c r="D64" s="25">
        <v>0</v>
      </c>
      <c r="E64" s="25">
        <v>0</v>
      </c>
      <c r="F64" s="25">
        <v>2</v>
      </c>
      <c r="G64" s="45">
        <v>2</v>
      </c>
      <c r="H64" s="25">
        <v>0</v>
      </c>
      <c r="I64" s="25">
        <v>0</v>
      </c>
      <c r="J64" s="25">
        <v>0</v>
      </c>
      <c r="K64" s="25">
        <v>0</v>
      </c>
      <c r="L64" s="28">
        <v>4</v>
      </c>
      <c r="M64" s="11">
        <v>100</v>
      </c>
      <c r="N64" s="11"/>
      <c r="O64" s="11"/>
      <c r="P64" s="11"/>
      <c r="Q64" s="36">
        <v>96</v>
      </c>
    </row>
    <row r="65" spans="2:17" ht="22.2" x14ac:dyDescent="0.25">
      <c r="B65" s="11">
        <v>1111083</v>
      </c>
      <c r="C65" s="15" t="s">
        <v>76</v>
      </c>
      <c r="D65" s="25">
        <v>0</v>
      </c>
      <c r="E65" s="25">
        <v>0</v>
      </c>
      <c r="F65" s="25">
        <v>2</v>
      </c>
      <c r="G65" s="45">
        <v>2</v>
      </c>
      <c r="H65" s="25">
        <v>0</v>
      </c>
      <c r="I65" s="25">
        <v>0</v>
      </c>
      <c r="J65" s="25">
        <v>0</v>
      </c>
      <c r="K65" s="25">
        <v>0</v>
      </c>
      <c r="L65" s="28">
        <v>4</v>
      </c>
      <c r="M65" s="11">
        <v>100</v>
      </c>
      <c r="N65" s="11"/>
      <c r="O65" s="11"/>
      <c r="P65" s="11"/>
      <c r="Q65" s="36">
        <v>96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0</v>
      </c>
      <c r="E69" s="45">
        <v>3</v>
      </c>
      <c r="F69" s="25">
        <v>7</v>
      </c>
      <c r="G69" s="25">
        <v>9</v>
      </c>
      <c r="H69" s="25">
        <v>0</v>
      </c>
      <c r="I69" s="25">
        <v>0</v>
      </c>
      <c r="J69" s="25">
        <v>0</v>
      </c>
      <c r="K69" s="25">
        <v>0</v>
      </c>
      <c r="L69" s="28">
        <v>19</v>
      </c>
      <c r="M69" s="11">
        <v>130</v>
      </c>
      <c r="N69" s="11">
        <v>99</v>
      </c>
      <c r="O69" s="11"/>
      <c r="P69" s="11"/>
      <c r="Q69" s="36">
        <v>210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>
        <v>0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0</v>
      </c>
      <c r="E87" s="25">
        <v>3</v>
      </c>
      <c r="F87" s="25">
        <v>3</v>
      </c>
      <c r="G87" s="45">
        <v>158</v>
      </c>
      <c r="H87" s="25">
        <v>0</v>
      </c>
      <c r="I87" s="25">
        <v>0</v>
      </c>
      <c r="J87" s="25">
        <v>0</v>
      </c>
      <c r="K87" s="25">
        <v>0</v>
      </c>
      <c r="L87" s="28">
        <v>164</v>
      </c>
      <c r="M87" s="11">
        <v>500</v>
      </c>
      <c r="N87" s="11">
        <v>100</v>
      </c>
      <c r="O87" s="11"/>
      <c r="P87" s="11"/>
      <c r="Q87" s="36">
        <v>436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0</v>
      </c>
      <c r="E90" s="45">
        <v>3</v>
      </c>
      <c r="F90" s="45">
        <v>9</v>
      </c>
      <c r="G90" s="45">
        <v>58</v>
      </c>
      <c r="H90" s="25">
        <v>0</v>
      </c>
      <c r="I90" s="25">
        <v>0</v>
      </c>
      <c r="J90" s="25">
        <v>0</v>
      </c>
      <c r="K90" s="25">
        <v>0</v>
      </c>
      <c r="L90" s="28">
        <v>70</v>
      </c>
      <c r="M90" s="11">
        <v>500</v>
      </c>
      <c r="N90" s="11">
        <v>440</v>
      </c>
      <c r="O90" s="11"/>
      <c r="P90" s="11"/>
      <c r="Q90" s="36">
        <v>870</v>
      </c>
    </row>
    <row r="91" spans="2:17" ht="22.2" x14ac:dyDescent="0.25">
      <c r="B91" s="11">
        <v>1112011</v>
      </c>
      <c r="C91" s="18" t="s">
        <v>99</v>
      </c>
      <c r="D91" s="25">
        <v>0</v>
      </c>
      <c r="E91" s="45">
        <v>10</v>
      </c>
      <c r="F91" s="45">
        <v>13</v>
      </c>
      <c r="G91" s="45">
        <v>58</v>
      </c>
      <c r="H91" s="25">
        <v>0</v>
      </c>
      <c r="I91" s="25">
        <v>0</v>
      </c>
      <c r="J91" s="25">
        <v>0</v>
      </c>
      <c r="K91" s="25">
        <v>0</v>
      </c>
      <c r="L91" s="28">
        <v>81</v>
      </c>
      <c r="M91" s="11">
        <v>500</v>
      </c>
      <c r="N91" s="11">
        <v>213</v>
      </c>
      <c r="O91" s="11"/>
      <c r="P91" s="11"/>
      <c r="Q91" s="36">
        <v>632</v>
      </c>
    </row>
    <row r="92" spans="2:17" ht="22.2" x14ac:dyDescent="0.25">
      <c r="B92" s="11">
        <v>1112003</v>
      </c>
      <c r="C92" s="18" t="s">
        <v>100</v>
      </c>
      <c r="D92" s="25">
        <v>0</v>
      </c>
      <c r="E92" s="25">
        <v>0</v>
      </c>
      <c r="F92" s="25">
        <v>0</v>
      </c>
      <c r="G92" s="45">
        <v>42</v>
      </c>
      <c r="H92" s="25">
        <v>0</v>
      </c>
      <c r="I92" s="25">
        <v>0</v>
      </c>
      <c r="J92" s="25">
        <v>0</v>
      </c>
      <c r="K92" s="25">
        <v>0</v>
      </c>
      <c r="L92" s="28">
        <v>42</v>
      </c>
      <c r="M92" s="11">
        <v>500</v>
      </c>
      <c r="N92" s="11">
        <v>413</v>
      </c>
      <c r="O92" s="11"/>
      <c r="P92" s="11"/>
      <c r="Q92" s="36">
        <v>871</v>
      </c>
    </row>
    <row r="93" spans="2:17" ht="22.2" x14ac:dyDescent="0.25">
      <c r="B93" s="11">
        <v>1112005</v>
      </c>
      <c r="C93" s="18" t="s">
        <v>101</v>
      </c>
      <c r="D93" s="25">
        <v>0</v>
      </c>
      <c r="E93" s="25">
        <v>0</v>
      </c>
      <c r="F93" s="25">
        <v>0</v>
      </c>
      <c r="G93" s="45">
        <v>43</v>
      </c>
      <c r="H93" s="25">
        <v>0</v>
      </c>
      <c r="I93" s="25">
        <v>0</v>
      </c>
      <c r="J93" s="25">
        <v>0</v>
      </c>
      <c r="K93" s="25">
        <v>0</v>
      </c>
      <c r="L93" s="28">
        <v>43</v>
      </c>
      <c r="M93" s="11">
        <v>500</v>
      </c>
      <c r="N93" s="11">
        <v>471</v>
      </c>
      <c r="O93" s="11"/>
      <c r="P93" s="11"/>
      <c r="Q93" s="36">
        <v>928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0</v>
      </c>
      <c r="E97" s="25">
        <v>0</v>
      </c>
      <c r="F97" s="25">
        <v>0</v>
      </c>
      <c r="G97" s="45">
        <v>40</v>
      </c>
      <c r="H97" s="25">
        <v>0</v>
      </c>
      <c r="I97" s="25">
        <v>0</v>
      </c>
      <c r="J97" s="25">
        <v>0</v>
      </c>
      <c r="K97" s="25">
        <v>0</v>
      </c>
      <c r="L97" s="28">
        <v>40</v>
      </c>
      <c r="M97" s="11">
        <v>500</v>
      </c>
      <c r="N97" s="11">
        <v>198</v>
      </c>
      <c r="O97" s="11"/>
      <c r="P97" s="11"/>
      <c r="Q97" s="36">
        <v>658</v>
      </c>
    </row>
    <row r="98" spans="2:17" ht="22.2" x14ac:dyDescent="0.25">
      <c r="B98" s="11">
        <v>1112013</v>
      </c>
      <c r="C98" s="18" t="s">
        <v>106</v>
      </c>
      <c r="D98" s="25">
        <v>0</v>
      </c>
      <c r="E98" s="25">
        <v>5</v>
      </c>
      <c r="F98" s="25">
        <v>7</v>
      </c>
      <c r="G98" s="45">
        <v>55</v>
      </c>
      <c r="H98" s="25">
        <v>0</v>
      </c>
      <c r="I98" s="25">
        <v>0</v>
      </c>
      <c r="J98" s="25">
        <v>0</v>
      </c>
      <c r="K98" s="25">
        <v>0</v>
      </c>
      <c r="L98" s="28">
        <v>67</v>
      </c>
      <c r="M98" s="11">
        <v>500</v>
      </c>
      <c r="N98" s="11">
        <v>391</v>
      </c>
      <c r="O98" s="11"/>
      <c r="P98" s="11"/>
      <c r="Q98" s="36">
        <v>824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343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0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8">
        <v>0</v>
      </c>
      <c r="M114" s="11">
        <v>200</v>
      </c>
      <c r="N114" s="11"/>
      <c r="O114" s="11"/>
      <c r="P114" s="11"/>
      <c r="Q114" s="36">
        <v>200</v>
      </c>
    </row>
    <row r="115" spans="2:17" ht="22.2" x14ac:dyDescent="0.25">
      <c r="B115" s="11">
        <v>1113171</v>
      </c>
      <c r="C115" s="20" t="s">
        <v>111</v>
      </c>
      <c r="D115" s="25">
        <v>0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0</v>
      </c>
      <c r="M115" s="11">
        <v>200</v>
      </c>
      <c r="N115" s="11"/>
      <c r="O115" s="11"/>
      <c r="P115" s="11"/>
      <c r="Q115" s="36">
        <v>200</v>
      </c>
    </row>
    <row r="116" spans="2:17" ht="22.2" x14ac:dyDescent="0.25">
      <c r="B116" s="11">
        <v>1113172</v>
      </c>
      <c r="C116" s="20" t="s">
        <v>112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8">
        <v>0</v>
      </c>
      <c r="M116" s="11">
        <v>200</v>
      </c>
      <c r="N116" s="11"/>
      <c r="O116" s="11"/>
      <c r="P116" s="11"/>
      <c r="Q116" s="36">
        <v>200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45">
        <v>1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1</v>
      </c>
      <c r="M118" s="11"/>
      <c r="N118" s="11">
        <v>56</v>
      </c>
      <c r="O118" s="11"/>
      <c r="P118" s="11"/>
      <c r="Q118" s="36">
        <v>55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0</v>
      </c>
      <c r="M119" s="11"/>
      <c r="N119" s="11">
        <v>400</v>
      </c>
      <c r="O119" s="11"/>
      <c r="P119" s="11"/>
      <c r="Q119" s="36">
        <v>400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45">
        <v>1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1</v>
      </c>
      <c r="M120" s="11">
        <v>200</v>
      </c>
      <c r="N120" s="11">
        <v>10</v>
      </c>
      <c r="O120" s="11"/>
      <c r="P120" s="11"/>
      <c r="Q120" s="36">
        <v>209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>
        <v>100</v>
      </c>
      <c r="N121" s="11">
        <v>102</v>
      </c>
      <c r="O121" s="11"/>
      <c r="P121" s="11"/>
      <c r="Q121" s="36">
        <v>202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>
        <v>3</v>
      </c>
      <c r="O122" s="11"/>
      <c r="P122" s="11"/>
      <c r="Q122" s="36">
        <v>3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45">
        <v>3</v>
      </c>
      <c r="F123" s="45">
        <v>4</v>
      </c>
      <c r="G123" s="45">
        <v>77</v>
      </c>
      <c r="H123" s="25">
        <v>0</v>
      </c>
      <c r="I123" s="25">
        <v>0</v>
      </c>
      <c r="J123" s="25">
        <v>0</v>
      </c>
      <c r="K123" s="25">
        <v>0</v>
      </c>
      <c r="L123" s="28">
        <v>84</v>
      </c>
      <c r="M123" s="11">
        <v>300</v>
      </c>
      <c r="N123" s="11">
        <v>277</v>
      </c>
      <c r="O123" s="11"/>
      <c r="P123" s="11"/>
      <c r="Q123" s="36">
        <v>493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45">
        <v>2</v>
      </c>
      <c r="F124" s="25">
        <v>2</v>
      </c>
      <c r="G124" s="45">
        <v>79</v>
      </c>
      <c r="H124" s="25">
        <v>0</v>
      </c>
      <c r="I124" s="25">
        <v>0</v>
      </c>
      <c r="J124" s="25">
        <v>0</v>
      </c>
      <c r="K124" s="25">
        <v>0</v>
      </c>
      <c r="L124" s="28">
        <v>83</v>
      </c>
      <c r="M124" s="11">
        <v>300</v>
      </c>
      <c r="N124" s="11">
        <v>299</v>
      </c>
      <c r="O124" s="11"/>
      <c r="P124" s="11"/>
      <c r="Q124" s="36">
        <v>516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45">
        <v>2</v>
      </c>
      <c r="F125" s="25">
        <v>4</v>
      </c>
      <c r="G125" s="45">
        <v>87</v>
      </c>
      <c r="H125" s="25">
        <v>0</v>
      </c>
      <c r="I125" s="25">
        <v>0</v>
      </c>
      <c r="J125" s="25">
        <v>0</v>
      </c>
      <c r="K125" s="25">
        <v>0</v>
      </c>
      <c r="L125" s="28">
        <v>93</v>
      </c>
      <c r="M125" s="11">
        <v>300</v>
      </c>
      <c r="N125" s="11">
        <v>242</v>
      </c>
      <c r="O125" s="11"/>
      <c r="P125" s="11"/>
      <c r="Q125" s="36">
        <v>449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45">
        <v>49</v>
      </c>
      <c r="F126" s="45">
        <v>165</v>
      </c>
      <c r="G126" s="45">
        <v>66</v>
      </c>
      <c r="H126" s="25">
        <v>0</v>
      </c>
      <c r="I126" s="25">
        <v>0</v>
      </c>
      <c r="J126" s="25">
        <v>0</v>
      </c>
      <c r="K126" s="25">
        <v>0</v>
      </c>
      <c r="L126" s="28">
        <v>280</v>
      </c>
      <c r="M126" s="11">
        <v>400</v>
      </c>
      <c r="N126" s="11">
        <v>5</v>
      </c>
      <c r="O126" s="11"/>
      <c r="P126" s="11"/>
      <c r="Q126" s="36">
        <v>125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1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1</v>
      </c>
      <c r="M130" s="11"/>
      <c r="N130" s="11">
        <v>19</v>
      </c>
      <c r="O130" s="11"/>
      <c r="P130" s="11"/>
      <c r="Q130" s="36">
        <v>18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11"/>
      <c r="P135" s="11"/>
      <c r="Q135" s="36">
        <v>0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0</v>
      </c>
      <c r="E140" s="28">
        <v>108</v>
      </c>
      <c r="F140" s="28">
        <v>548</v>
      </c>
      <c r="G140" s="28">
        <v>903</v>
      </c>
      <c r="H140" s="28">
        <v>0</v>
      </c>
      <c r="I140" s="28">
        <v>0</v>
      </c>
      <c r="J140" s="28">
        <v>0</v>
      </c>
      <c r="K140" s="28">
        <v>0</v>
      </c>
      <c r="L140" s="28">
        <v>1559</v>
      </c>
      <c r="M140" s="25">
        <v>9210</v>
      </c>
      <c r="N140" s="25">
        <v>5043</v>
      </c>
      <c r="O140" s="25"/>
      <c r="P140" s="25"/>
      <c r="Q140" s="36">
        <v>12694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5D56-9777-40A7-A0CD-A97CCFB87B8E}">
  <dimension ref="A1:P143"/>
  <sheetViews>
    <sheetView workbookViewId="0">
      <selection activeCell="T16" sqref="T16"/>
    </sheetView>
  </sheetViews>
  <sheetFormatPr defaultRowHeight="13.8" x14ac:dyDescent="0.25"/>
  <sheetData>
    <row r="1" spans="1:16" ht="22.2" x14ac:dyDescent="0.25">
      <c r="A1" s="50" t="s">
        <v>156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6" ht="22.2" x14ac:dyDescent="0.25">
      <c r="A2" s="51"/>
      <c r="B2" s="52"/>
      <c r="C2" s="1"/>
      <c r="D2" s="53"/>
      <c r="E2" s="53"/>
      <c r="F2" s="2"/>
      <c r="G2" s="2"/>
      <c r="H2" s="2"/>
      <c r="I2" s="2"/>
      <c r="J2" s="2"/>
      <c r="K2" s="3" t="s">
        <v>1</v>
      </c>
      <c r="L2" s="55" t="s">
        <v>2</v>
      </c>
      <c r="M2" s="55" t="s">
        <v>3</v>
      </c>
      <c r="N2" s="55" t="s">
        <v>139</v>
      </c>
      <c r="O2" s="55" t="s">
        <v>140</v>
      </c>
      <c r="P2" s="62" t="s">
        <v>4</v>
      </c>
    </row>
    <row r="3" spans="1:16" ht="22.2" x14ac:dyDescent="0.25">
      <c r="A3" s="51"/>
      <c r="B3" s="52"/>
      <c r="C3" s="4"/>
      <c r="D3" s="54"/>
      <c r="E3" s="54"/>
      <c r="F3" s="5"/>
      <c r="G3" s="5"/>
      <c r="H3" s="5"/>
      <c r="I3" s="33"/>
      <c r="J3" s="33"/>
      <c r="K3" s="6" t="s">
        <v>5</v>
      </c>
      <c r="L3" s="56"/>
      <c r="M3" s="56"/>
      <c r="N3" s="56"/>
      <c r="O3" s="56"/>
      <c r="P3" s="63"/>
    </row>
    <row r="4" spans="1:16" ht="22.2" x14ac:dyDescent="0.25">
      <c r="A4" s="7" t="s">
        <v>6</v>
      </c>
      <c r="B4" s="8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34" t="s">
        <v>14</v>
      </c>
      <c r="J4" s="34" t="s">
        <v>15</v>
      </c>
      <c r="K4" s="10" t="s">
        <v>16</v>
      </c>
      <c r="L4" s="57"/>
      <c r="M4" s="57"/>
      <c r="N4" s="57"/>
      <c r="O4" s="57"/>
      <c r="P4" s="64"/>
    </row>
    <row r="5" spans="1:16" ht="22.2" x14ac:dyDescent="0.25">
      <c r="A5" s="11"/>
      <c r="B5" s="12"/>
      <c r="C5" s="13"/>
      <c r="D5" s="9"/>
      <c r="E5" s="9"/>
      <c r="F5" s="9"/>
      <c r="G5" s="9"/>
      <c r="H5" s="9"/>
      <c r="I5" s="34"/>
      <c r="J5" s="34"/>
      <c r="K5" s="14"/>
      <c r="L5" s="11"/>
      <c r="M5" s="11"/>
      <c r="N5" s="11"/>
      <c r="O5" s="11"/>
      <c r="P5" s="24"/>
    </row>
    <row r="6" spans="1:16" ht="20.399999999999999" x14ac:dyDescent="0.25">
      <c r="A6" s="58" t="s">
        <v>17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</row>
    <row r="7" spans="1:16" ht="22.2" x14ac:dyDescent="0.25">
      <c r="A7" s="11">
        <v>1111002</v>
      </c>
      <c r="B7" s="15" t="s">
        <v>18</v>
      </c>
      <c r="C7" s="25">
        <v>1</v>
      </c>
      <c r="D7" s="25">
        <v>30</v>
      </c>
      <c r="E7" s="25">
        <v>28</v>
      </c>
      <c r="F7" s="25">
        <v>6</v>
      </c>
      <c r="G7" s="25">
        <v>0</v>
      </c>
      <c r="H7" s="25">
        <v>0</v>
      </c>
      <c r="I7" s="25">
        <v>0</v>
      </c>
      <c r="J7" s="25">
        <v>15</v>
      </c>
      <c r="K7" s="28">
        <v>80</v>
      </c>
      <c r="L7" s="11">
        <v>500</v>
      </c>
      <c r="M7" s="11">
        <v>604</v>
      </c>
      <c r="N7" s="11"/>
      <c r="O7" s="11"/>
      <c r="P7" s="36">
        <v>1024</v>
      </c>
    </row>
    <row r="8" spans="1:16" ht="22.2" x14ac:dyDescent="0.25">
      <c r="A8" s="11"/>
      <c r="B8" s="15" t="s">
        <v>19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8">
        <v>0</v>
      </c>
      <c r="L8" s="11"/>
      <c r="M8" s="11"/>
      <c r="N8" s="11"/>
      <c r="O8" s="11"/>
      <c r="P8" s="36">
        <v>0</v>
      </c>
    </row>
    <row r="9" spans="1:16" ht="22.2" x14ac:dyDescent="0.25">
      <c r="A9" s="11">
        <v>1111084</v>
      </c>
      <c r="B9" s="15" t="s">
        <v>20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8">
        <v>0</v>
      </c>
      <c r="L9" s="11"/>
      <c r="M9" s="11"/>
      <c r="N9" s="11"/>
      <c r="O9" s="11"/>
      <c r="P9" s="36">
        <v>0</v>
      </c>
    </row>
    <row r="10" spans="1:16" ht="22.2" x14ac:dyDescent="0.25">
      <c r="A10" s="11">
        <v>1111085</v>
      </c>
      <c r="B10" s="15" t="s">
        <v>21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8">
        <v>0</v>
      </c>
      <c r="L10" s="11"/>
      <c r="M10" s="11"/>
      <c r="N10" s="11"/>
      <c r="O10" s="11"/>
      <c r="P10" s="36">
        <v>0</v>
      </c>
    </row>
    <row r="11" spans="1:16" ht="22.2" x14ac:dyDescent="0.25">
      <c r="A11" s="11">
        <v>1111086</v>
      </c>
      <c r="B11" s="15" t="s">
        <v>22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8">
        <v>0</v>
      </c>
      <c r="L11" s="11"/>
      <c r="M11" s="11"/>
      <c r="N11" s="11"/>
      <c r="O11" s="11"/>
      <c r="P11" s="36">
        <v>0</v>
      </c>
    </row>
    <row r="12" spans="1:16" ht="22.2" x14ac:dyDescent="0.25">
      <c r="A12" s="11">
        <v>1111087</v>
      </c>
      <c r="B12" s="15" t="s">
        <v>23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8">
        <v>0</v>
      </c>
      <c r="L12" s="11"/>
      <c r="M12" s="11"/>
      <c r="N12" s="11"/>
      <c r="O12" s="11"/>
      <c r="P12" s="36">
        <v>0</v>
      </c>
    </row>
    <row r="13" spans="1:16" ht="22.2" x14ac:dyDescent="0.25">
      <c r="A13" s="11">
        <v>1111088</v>
      </c>
      <c r="B13" s="15" t="s">
        <v>24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8">
        <v>0</v>
      </c>
      <c r="L13" s="11"/>
      <c r="M13" s="11"/>
      <c r="N13" s="11"/>
      <c r="O13" s="11"/>
      <c r="P13" s="36">
        <v>0</v>
      </c>
    </row>
    <row r="14" spans="1:16" ht="22.2" x14ac:dyDescent="0.25">
      <c r="A14" s="11">
        <v>1111089</v>
      </c>
      <c r="B14" s="15" t="s">
        <v>25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8">
        <v>0</v>
      </c>
      <c r="L14" s="11"/>
      <c r="M14" s="11"/>
      <c r="N14" s="11"/>
      <c r="O14" s="11"/>
      <c r="P14" s="36">
        <v>0</v>
      </c>
    </row>
    <row r="15" spans="1:16" ht="22.2" x14ac:dyDescent="0.25">
      <c r="A15" s="11">
        <v>1111090</v>
      </c>
      <c r="B15" s="15" t="s">
        <v>26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8">
        <v>0</v>
      </c>
      <c r="L15" s="11"/>
      <c r="M15" s="11"/>
      <c r="N15" s="11"/>
      <c r="O15" s="11"/>
      <c r="P15" s="36">
        <v>0</v>
      </c>
    </row>
    <row r="16" spans="1:16" ht="22.2" x14ac:dyDescent="0.25">
      <c r="A16" s="11">
        <v>1111091</v>
      </c>
      <c r="B16" s="15" t="s">
        <v>27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8">
        <v>0</v>
      </c>
      <c r="L16" s="11"/>
      <c r="M16" s="11"/>
      <c r="N16" s="11"/>
      <c r="O16" s="11"/>
      <c r="P16" s="36">
        <v>0</v>
      </c>
    </row>
    <row r="17" spans="1:16" ht="22.2" x14ac:dyDescent="0.25">
      <c r="A17" s="11">
        <v>1111092</v>
      </c>
      <c r="B17" s="15" t="s">
        <v>28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8">
        <v>0</v>
      </c>
      <c r="L17" s="11"/>
      <c r="M17" s="11"/>
      <c r="N17" s="11"/>
      <c r="O17" s="11"/>
      <c r="P17" s="36">
        <v>0</v>
      </c>
    </row>
    <row r="18" spans="1:16" ht="22.2" x14ac:dyDescent="0.25">
      <c r="A18" s="11">
        <v>1111093</v>
      </c>
      <c r="B18" s="15" t="s">
        <v>29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8">
        <v>0</v>
      </c>
      <c r="L18" s="11"/>
      <c r="M18" s="11"/>
      <c r="N18" s="11"/>
      <c r="O18" s="11"/>
      <c r="P18" s="36">
        <v>0</v>
      </c>
    </row>
    <row r="19" spans="1:16" ht="22.2" x14ac:dyDescent="0.25">
      <c r="A19" s="11">
        <v>1111094</v>
      </c>
      <c r="B19" s="15" t="s">
        <v>30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8">
        <v>0</v>
      </c>
      <c r="L19" s="11"/>
      <c r="M19" s="11"/>
      <c r="N19" s="11"/>
      <c r="O19" s="11"/>
      <c r="P19" s="36">
        <v>0</v>
      </c>
    </row>
    <row r="20" spans="1:16" ht="22.2" x14ac:dyDescent="0.25">
      <c r="A20" s="11">
        <v>1111095</v>
      </c>
      <c r="B20" s="15" t="s">
        <v>31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8">
        <v>0</v>
      </c>
      <c r="L20" s="11"/>
      <c r="M20" s="11"/>
      <c r="N20" s="11"/>
      <c r="O20" s="11"/>
      <c r="P20" s="36">
        <v>0</v>
      </c>
    </row>
    <row r="21" spans="1:16" ht="22.2" x14ac:dyDescent="0.25">
      <c r="A21" s="11">
        <v>1111096</v>
      </c>
      <c r="B21" s="15" t="s">
        <v>32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8">
        <v>0</v>
      </c>
      <c r="L21" s="11"/>
      <c r="M21" s="11"/>
      <c r="N21" s="11"/>
      <c r="O21" s="11"/>
      <c r="P21" s="36">
        <v>0</v>
      </c>
    </row>
    <row r="22" spans="1:16" ht="22.2" x14ac:dyDescent="0.25">
      <c r="A22" s="11">
        <v>1111097</v>
      </c>
      <c r="B22" s="15" t="s">
        <v>33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8">
        <v>0</v>
      </c>
      <c r="L22" s="11"/>
      <c r="M22" s="11"/>
      <c r="N22" s="11"/>
      <c r="O22" s="11"/>
      <c r="P22" s="36">
        <v>0</v>
      </c>
    </row>
    <row r="23" spans="1:16" ht="22.2" x14ac:dyDescent="0.25">
      <c r="A23" s="11">
        <v>1111098</v>
      </c>
      <c r="B23" s="15" t="s">
        <v>34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8">
        <v>0</v>
      </c>
      <c r="L23" s="11"/>
      <c r="M23" s="11"/>
      <c r="N23" s="11"/>
      <c r="O23" s="11"/>
      <c r="P23" s="36">
        <v>0</v>
      </c>
    </row>
    <row r="24" spans="1:16" ht="22.2" x14ac:dyDescent="0.25">
      <c r="A24" s="11">
        <v>1111043</v>
      </c>
      <c r="B24" s="15" t="s">
        <v>35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8">
        <v>0</v>
      </c>
      <c r="L24" s="11"/>
      <c r="M24" s="11"/>
      <c r="N24" s="11"/>
      <c r="O24" s="11"/>
      <c r="P24" s="36">
        <v>0</v>
      </c>
    </row>
    <row r="25" spans="1:16" ht="22.2" x14ac:dyDescent="0.25">
      <c r="A25" s="11">
        <v>1111056</v>
      </c>
      <c r="B25" s="15" t="s">
        <v>36</v>
      </c>
      <c r="C25" s="25">
        <v>11</v>
      </c>
      <c r="D25" s="25">
        <v>7</v>
      </c>
      <c r="E25" s="25">
        <v>2</v>
      </c>
      <c r="F25" s="25">
        <v>4</v>
      </c>
      <c r="G25" s="25">
        <v>0</v>
      </c>
      <c r="H25" s="25">
        <v>0</v>
      </c>
      <c r="I25" s="25">
        <v>0</v>
      </c>
      <c r="J25" s="25">
        <v>0</v>
      </c>
      <c r="K25" s="28">
        <v>24</v>
      </c>
      <c r="L25" s="11">
        <v>80</v>
      </c>
      <c r="M25" s="11"/>
      <c r="N25" s="11"/>
      <c r="O25" s="11"/>
      <c r="P25" s="36">
        <v>56</v>
      </c>
    </row>
    <row r="26" spans="1:16" ht="22.2" x14ac:dyDescent="0.25">
      <c r="A26" s="11">
        <v>1004055</v>
      </c>
      <c r="B26" s="15" t="s">
        <v>37</v>
      </c>
      <c r="C26" s="25">
        <v>0</v>
      </c>
      <c r="D26" s="25">
        <v>8</v>
      </c>
      <c r="E26" s="25">
        <v>0</v>
      </c>
      <c r="F26" s="25">
        <v>132</v>
      </c>
      <c r="G26" s="25">
        <v>0</v>
      </c>
      <c r="H26" s="25">
        <v>0</v>
      </c>
      <c r="I26" s="25">
        <v>0</v>
      </c>
      <c r="J26" s="25">
        <v>0</v>
      </c>
      <c r="K26" s="28">
        <v>140</v>
      </c>
      <c r="L26" s="11">
        <v>500</v>
      </c>
      <c r="M26" s="11">
        <v>3</v>
      </c>
      <c r="N26" s="11"/>
      <c r="O26" s="11"/>
      <c r="P26" s="36">
        <v>363</v>
      </c>
    </row>
    <row r="27" spans="1:16" ht="22.2" x14ac:dyDescent="0.25">
      <c r="A27" s="11">
        <v>1004055</v>
      </c>
      <c r="B27" s="15" t="s">
        <v>38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8">
        <v>0</v>
      </c>
      <c r="L27" s="11"/>
      <c r="M27" s="11"/>
      <c r="N27" s="11"/>
      <c r="O27" s="11"/>
      <c r="P27" s="36">
        <v>0</v>
      </c>
    </row>
    <row r="28" spans="1:16" ht="22.2" x14ac:dyDescent="0.25">
      <c r="A28" s="11">
        <v>1004055</v>
      </c>
      <c r="B28" s="15" t="s">
        <v>39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8">
        <v>0</v>
      </c>
      <c r="L28" s="11"/>
      <c r="M28" s="11"/>
      <c r="N28" s="11"/>
      <c r="O28" s="11"/>
      <c r="P28" s="36">
        <v>0</v>
      </c>
    </row>
    <row r="29" spans="1:16" ht="22.2" x14ac:dyDescent="0.25">
      <c r="A29" s="11">
        <v>1004055</v>
      </c>
      <c r="B29" s="15" t="s">
        <v>40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8">
        <v>0</v>
      </c>
      <c r="L29" s="11"/>
      <c r="M29" s="11"/>
      <c r="N29" s="11"/>
      <c r="O29" s="11"/>
      <c r="P29" s="36">
        <v>0</v>
      </c>
    </row>
    <row r="30" spans="1:16" ht="22.2" x14ac:dyDescent="0.25">
      <c r="A30" s="11">
        <v>1004055</v>
      </c>
      <c r="B30" s="15" t="s">
        <v>41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8">
        <v>0</v>
      </c>
      <c r="L30" s="11"/>
      <c r="M30" s="11"/>
      <c r="N30" s="11"/>
      <c r="O30" s="11"/>
      <c r="P30" s="36">
        <v>0</v>
      </c>
    </row>
    <row r="31" spans="1:16" ht="22.2" x14ac:dyDescent="0.25">
      <c r="A31" s="11">
        <v>1004055</v>
      </c>
      <c r="B31" s="15" t="s">
        <v>42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8">
        <v>0</v>
      </c>
      <c r="L31" s="11"/>
      <c r="M31" s="11"/>
      <c r="N31" s="11"/>
      <c r="O31" s="11"/>
      <c r="P31" s="36">
        <v>0</v>
      </c>
    </row>
    <row r="32" spans="1:16" ht="22.2" x14ac:dyDescent="0.25">
      <c r="A32" s="11">
        <v>1004055</v>
      </c>
      <c r="B32" s="15" t="s">
        <v>43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8">
        <v>0</v>
      </c>
      <c r="L32" s="11"/>
      <c r="M32" s="11"/>
      <c r="N32" s="11"/>
      <c r="O32" s="11"/>
      <c r="P32" s="36">
        <v>0</v>
      </c>
    </row>
    <row r="33" spans="1:16" ht="22.2" x14ac:dyDescent="0.25">
      <c r="A33" s="11">
        <v>1004055</v>
      </c>
      <c r="B33" s="15" t="s">
        <v>44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8">
        <v>0</v>
      </c>
      <c r="L33" s="11"/>
      <c r="M33" s="11"/>
      <c r="N33" s="11"/>
      <c r="O33" s="11"/>
      <c r="P33" s="36">
        <v>0</v>
      </c>
    </row>
    <row r="34" spans="1:16" ht="22.2" x14ac:dyDescent="0.25">
      <c r="A34" s="11">
        <v>1004055</v>
      </c>
      <c r="B34" s="15" t="s">
        <v>45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8">
        <v>0</v>
      </c>
      <c r="L34" s="11"/>
      <c r="M34" s="11"/>
      <c r="N34" s="11"/>
      <c r="O34" s="11"/>
      <c r="P34" s="36">
        <v>0</v>
      </c>
    </row>
    <row r="35" spans="1:16" ht="22.2" x14ac:dyDescent="0.25">
      <c r="A35" s="11">
        <v>1004055</v>
      </c>
      <c r="B35" s="15" t="s">
        <v>46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8">
        <v>0</v>
      </c>
      <c r="L35" s="11"/>
      <c r="M35" s="11"/>
      <c r="N35" s="11"/>
      <c r="O35" s="11"/>
      <c r="P35" s="36">
        <v>0</v>
      </c>
    </row>
    <row r="36" spans="1:16" ht="22.2" x14ac:dyDescent="0.25">
      <c r="A36" s="11">
        <v>1004055</v>
      </c>
      <c r="B36" s="15" t="s">
        <v>47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8">
        <v>0</v>
      </c>
      <c r="L36" s="11"/>
      <c r="M36" s="11"/>
      <c r="N36" s="11"/>
      <c r="O36" s="11"/>
      <c r="P36" s="36">
        <v>0</v>
      </c>
    </row>
    <row r="37" spans="1:16" ht="22.2" x14ac:dyDescent="0.25">
      <c r="A37" s="11">
        <v>1004055</v>
      </c>
      <c r="B37" s="15" t="s">
        <v>48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8">
        <v>0</v>
      </c>
      <c r="L37" s="11"/>
      <c r="M37" s="11"/>
      <c r="N37" s="11"/>
      <c r="O37" s="11"/>
      <c r="P37" s="36">
        <v>0</v>
      </c>
    </row>
    <row r="38" spans="1:16" ht="22.2" x14ac:dyDescent="0.25">
      <c r="A38" s="11">
        <v>1004055</v>
      </c>
      <c r="B38" s="15" t="s">
        <v>49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8">
        <v>0</v>
      </c>
      <c r="L38" s="11"/>
      <c r="M38" s="11"/>
      <c r="N38" s="11"/>
      <c r="O38" s="11"/>
      <c r="P38" s="36">
        <v>0</v>
      </c>
    </row>
    <row r="39" spans="1:16" ht="22.2" x14ac:dyDescent="0.25">
      <c r="A39" s="11">
        <v>1004055</v>
      </c>
      <c r="B39" s="15" t="s">
        <v>50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8">
        <v>0</v>
      </c>
      <c r="L39" s="11"/>
      <c r="M39" s="11"/>
      <c r="N39" s="11"/>
      <c r="O39" s="11"/>
      <c r="P39" s="36">
        <v>0</v>
      </c>
    </row>
    <row r="40" spans="1:16" ht="22.2" x14ac:dyDescent="0.25">
      <c r="A40" s="11">
        <v>1111057</v>
      </c>
      <c r="B40" s="15" t="s">
        <v>51</v>
      </c>
      <c r="C40" s="25">
        <v>0</v>
      </c>
      <c r="D40" s="25">
        <v>0</v>
      </c>
      <c r="E40" s="25">
        <v>0</v>
      </c>
      <c r="F40" s="25">
        <v>2</v>
      </c>
      <c r="G40" s="25">
        <v>0</v>
      </c>
      <c r="H40" s="25">
        <v>0</v>
      </c>
      <c r="I40" s="25">
        <v>0</v>
      </c>
      <c r="J40" s="25">
        <v>0</v>
      </c>
      <c r="K40" s="28">
        <v>2</v>
      </c>
      <c r="L40" s="11">
        <v>100</v>
      </c>
      <c r="M40" s="11">
        <v>1</v>
      </c>
      <c r="N40" s="11"/>
      <c r="O40" s="11"/>
      <c r="P40" s="36">
        <v>99</v>
      </c>
    </row>
    <row r="41" spans="1:16" ht="22.2" x14ac:dyDescent="0.25">
      <c r="A41" s="11">
        <v>1111058</v>
      </c>
      <c r="B41" s="15" t="s">
        <v>52</v>
      </c>
      <c r="C41" s="25">
        <v>0</v>
      </c>
      <c r="D41" s="25">
        <v>0</v>
      </c>
      <c r="E41" s="25">
        <v>0</v>
      </c>
      <c r="F41" s="25">
        <v>2</v>
      </c>
      <c r="G41" s="25">
        <v>0</v>
      </c>
      <c r="H41" s="25">
        <v>0</v>
      </c>
      <c r="I41" s="25">
        <v>0</v>
      </c>
      <c r="J41" s="25">
        <v>0</v>
      </c>
      <c r="K41" s="28">
        <v>2</v>
      </c>
      <c r="L41" s="11">
        <v>100</v>
      </c>
      <c r="M41" s="11"/>
      <c r="N41" s="11"/>
      <c r="O41" s="11"/>
      <c r="P41" s="36">
        <v>98</v>
      </c>
    </row>
    <row r="42" spans="1:16" ht="22.2" x14ac:dyDescent="0.25">
      <c r="A42" s="11">
        <v>1111059</v>
      </c>
      <c r="B42" s="15" t="s">
        <v>53</v>
      </c>
      <c r="C42" s="25">
        <v>0</v>
      </c>
      <c r="D42" s="25">
        <v>0</v>
      </c>
      <c r="E42" s="25">
        <v>0</v>
      </c>
      <c r="F42" s="25">
        <v>2</v>
      </c>
      <c r="G42" s="25">
        <v>0</v>
      </c>
      <c r="H42" s="25">
        <v>0</v>
      </c>
      <c r="I42" s="25">
        <v>0</v>
      </c>
      <c r="J42" s="25">
        <v>0</v>
      </c>
      <c r="K42" s="28">
        <v>2</v>
      </c>
      <c r="L42" s="11">
        <v>100</v>
      </c>
      <c r="M42" s="11"/>
      <c r="N42" s="11"/>
      <c r="O42" s="11"/>
      <c r="P42" s="36">
        <v>98</v>
      </c>
    </row>
    <row r="43" spans="1:16" ht="22.2" x14ac:dyDescent="0.25">
      <c r="A43" s="11">
        <v>1111060</v>
      </c>
      <c r="B43" s="15" t="s">
        <v>54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8">
        <v>0</v>
      </c>
      <c r="L43" s="11">
        <v>100</v>
      </c>
      <c r="M43" s="11"/>
      <c r="N43" s="11"/>
      <c r="O43" s="11"/>
      <c r="P43" s="36">
        <v>100</v>
      </c>
    </row>
    <row r="44" spans="1:16" ht="22.2" x14ac:dyDescent="0.25">
      <c r="A44" s="11">
        <v>1111061</v>
      </c>
      <c r="B44" s="15" t="s">
        <v>55</v>
      </c>
      <c r="C44" s="25">
        <v>0</v>
      </c>
      <c r="D44" s="25">
        <v>0</v>
      </c>
      <c r="E44" s="25">
        <v>0</v>
      </c>
      <c r="F44" s="25">
        <v>2</v>
      </c>
      <c r="G44" s="25">
        <v>0</v>
      </c>
      <c r="H44" s="25">
        <v>0</v>
      </c>
      <c r="I44" s="25">
        <v>0</v>
      </c>
      <c r="J44" s="25">
        <v>0</v>
      </c>
      <c r="K44" s="28">
        <v>2</v>
      </c>
      <c r="L44" s="11">
        <v>100</v>
      </c>
      <c r="M44" s="11"/>
      <c r="N44" s="11"/>
      <c r="O44" s="11"/>
      <c r="P44" s="36">
        <v>98</v>
      </c>
    </row>
    <row r="45" spans="1:16" ht="22.2" x14ac:dyDescent="0.25">
      <c r="A45" s="11">
        <v>1111062</v>
      </c>
      <c r="B45" s="15" t="s">
        <v>56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8">
        <v>0</v>
      </c>
      <c r="L45" s="11">
        <v>100</v>
      </c>
      <c r="M45" s="11"/>
      <c r="N45" s="11"/>
      <c r="O45" s="11"/>
      <c r="P45" s="36">
        <v>100</v>
      </c>
    </row>
    <row r="46" spans="1:16" ht="22.2" x14ac:dyDescent="0.25">
      <c r="A46" s="11">
        <v>1111063</v>
      </c>
      <c r="B46" s="15" t="s">
        <v>57</v>
      </c>
      <c r="C46" s="25">
        <v>0</v>
      </c>
      <c r="D46" s="25">
        <v>0</v>
      </c>
      <c r="E46" s="25">
        <v>0</v>
      </c>
      <c r="F46" s="25">
        <v>2</v>
      </c>
      <c r="G46" s="25">
        <v>0</v>
      </c>
      <c r="H46" s="25">
        <v>0</v>
      </c>
      <c r="I46" s="25">
        <v>0</v>
      </c>
      <c r="J46" s="25">
        <v>0</v>
      </c>
      <c r="K46" s="28">
        <v>2</v>
      </c>
      <c r="L46" s="11">
        <v>100</v>
      </c>
      <c r="M46" s="11"/>
      <c r="N46" s="11"/>
      <c r="O46" s="11"/>
      <c r="P46" s="36">
        <v>98</v>
      </c>
    </row>
    <row r="47" spans="1:16" ht="22.2" x14ac:dyDescent="0.25">
      <c r="A47" s="11">
        <v>1111064</v>
      </c>
      <c r="B47" s="15" t="s">
        <v>58</v>
      </c>
      <c r="C47" s="25">
        <v>0</v>
      </c>
      <c r="D47" s="25">
        <v>0</v>
      </c>
      <c r="E47" s="25">
        <v>0</v>
      </c>
      <c r="F47" s="25">
        <v>2</v>
      </c>
      <c r="G47" s="25">
        <v>0</v>
      </c>
      <c r="H47" s="25">
        <v>0</v>
      </c>
      <c r="I47" s="25">
        <v>0</v>
      </c>
      <c r="J47" s="25">
        <v>0</v>
      </c>
      <c r="K47" s="28">
        <v>2</v>
      </c>
      <c r="L47" s="11">
        <v>100</v>
      </c>
      <c r="M47" s="11"/>
      <c r="N47" s="11"/>
      <c r="O47" s="11"/>
      <c r="P47" s="36">
        <v>98</v>
      </c>
    </row>
    <row r="48" spans="1:16" ht="22.2" x14ac:dyDescent="0.25">
      <c r="A48" s="11">
        <v>1111065</v>
      </c>
      <c r="B48" s="15" t="s">
        <v>59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8">
        <v>0</v>
      </c>
      <c r="L48" s="11">
        <v>100</v>
      </c>
      <c r="M48" s="11"/>
      <c r="N48" s="11"/>
      <c r="O48" s="11"/>
      <c r="P48" s="36">
        <v>100</v>
      </c>
    </row>
    <row r="49" spans="1:16" ht="22.2" x14ac:dyDescent="0.25">
      <c r="A49" s="11">
        <v>1111066</v>
      </c>
      <c r="B49" s="15" t="s">
        <v>60</v>
      </c>
      <c r="C49" s="25">
        <v>0</v>
      </c>
      <c r="D49" s="25">
        <v>0</v>
      </c>
      <c r="E49" s="25">
        <v>0</v>
      </c>
      <c r="F49" s="25">
        <v>2</v>
      </c>
      <c r="G49" s="25">
        <v>0</v>
      </c>
      <c r="H49" s="25">
        <v>0</v>
      </c>
      <c r="I49" s="25">
        <v>0</v>
      </c>
      <c r="J49" s="25">
        <v>0</v>
      </c>
      <c r="K49" s="28">
        <v>2</v>
      </c>
      <c r="L49" s="11">
        <v>100</v>
      </c>
      <c r="M49" s="11"/>
      <c r="N49" s="11"/>
      <c r="O49" s="11"/>
      <c r="P49" s="36">
        <v>98</v>
      </c>
    </row>
    <row r="50" spans="1:16" ht="22.2" x14ac:dyDescent="0.25">
      <c r="A50" s="11">
        <v>1111067</v>
      </c>
      <c r="B50" s="15" t="s">
        <v>61</v>
      </c>
      <c r="C50" s="25">
        <v>0</v>
      </c>
      <c r="D50" s="25">
        <v>0</v>
      </c>
      <c r="E50" s="25">
        <v>0</v>
      </c>
      <c r="F50" s="25">
        <v>2</v>
      </c>
      <c r="G50" s="25">
        <v>0</v>
      </c>
      <c r="H50" s="25">
        <v>0</v>
      </c>
      <c r="I50" s="25">
        <v>0</v>
      </c>
      <c r="J50" s="25">
        <v>0</v>
      </c>
      <c r="K50" s="28">
        <v>2</v>
      </c>
      <c r="L50" s="11">
        <v>100</v>
      </c>
      <c r="M50" s="11"/>
      <c r="N50" s="11"/>
      <c r="O50" s="11"/>
      <c r="P50" s="36">
        <v>98</v>
      </c>
    </row>
    <row r="51" spans="1:16" ht="22.2" x14ac:dyDescent="0.25">
      <c r="A51" s="11">
        <v>1111068</v>
      </c>
      <c r="B51" s="15" t="s">
        <v>62</v>
      </c>
      <c r="C51" s="25">
        <v>0</v>
      </c>
      <c r="D51" s="25">
        <v>0</v>
      </c>
      <c r="E51" s="25">
        <v>0</v>
      </c>
      <c r="F51" s="25">
        <v>2</v>
      </c>
      <c r="G51" s="25">
        <v>0</v>
      </c>
      <c r="H51" s="25">
        <v>0</v>
      </c>
      <c r="I51" s="25">
        <v>0</v>
      </c>
      <c r="J51" s="25">
        <v>0</v>
      </c>
      <c r="K51" s="28">
        <v>2</v>
      </c>
      <c r="L51" s="11">
        <v>100</v>
      </c>
      <c r="M51" s="11"/>
      <c r="N51" s="11"/>
      <c r="O51" s="11"/>
      <c r="P51" s="36">
        <v>98</v>
      </c>
    </row>
    <row r="52" spans="1:16" ht="22.2" x14ac:dyDescent="0.25">
      <c r="A52" s="11">
        <v>1111069</v>
      </c>
      <c r="B52" s="15" t="s">
        <v>63</v>
      </c>
      <c r="C52" s="25">
        <v>0</v>
      </c>
      <c r="D52" s="25">
        <v>0</v>
      </c>
      <c r="E52" s="25">
        <v>0</v>
      </c>
      <c r="F52" s="25">
        <v>2</v>
      </c>
      <c r="G52" s="25">
        <v>0</v>
      </c>
      <c r="H52" s="25">
        <v>0</v>
      </c>
      <c r="I52" s="25">
        <v>0</v>
      </c>
      <c r="J52" s="25">
        <v>0</v>
      </c>
      <c r="K52" s="28">
        <v>2</v>
      </c>
      <c r="L52" s="11">
        <v>100</v>
      </c>
      <c r="M52" s="11">
        <v>1</v>
      </c>
      <c r="N52" s="11"/>
      <c r="O52" s="11"/>
      <c r="P52" s="36">
        <v>99</v>
      </c>
    </row>
    <row r="53" spans="1:16" ht="22.2" x14ac:dyDescent="0.25">
      <c r="A53" s="11">
        <v>1111070</v>
      </c>
      <c r="B53" s="15" t="s">
        <v>64</v>
      </c>
      <c r="C53" s="25">
        <v>0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8">
        <v>0</v>
      </c>
      <c r="L53" s="11"/>
      <c r="M53" s="11"/>
      <c r="N53" s="11"/>
      <c r="O53" s="11"/>
      <c r="P53" s="36">
        <v>0</v>
      </c>
    </row>
    <row r="54" spans="1:16" ht="22.2" x14ac:dyDescent="0.25">
      <c r="A54" s="11">
        <v>1111071</v>
      </c>
      <c r="B54" s="15" t="s">
        <v>65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8">
        <v>0</v>
      </c>
      <c r="L54" s="11"/>
      <c r="M54" s="11"/>
      <c r="N54" s="11"/>
      <c r="O54" s="11"/>
      <c r="P54" s="36">
        <v>0</v>
      </c>
    </row>
    <row r="55" spans="1:16" ht="22.2" x14ac:dyDescent="0.25">
      <c r="A55" s="11">
        <v>1111001</v>
      </c>
      <c r="B55" s="15" t="s">
        <v>66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8">
        <v>0</v>
      </c>
      <c r="L55" s="11"/>
      <c r="M55" s="11"/>
      <c r="N55" s="11"/>
      <c r="O55" s="11"/>
      <c r="P55" s="36">
        <v>0</v>
      </c>
    </row>
    <row r="56" spans="1:16" ht="22.2" x14ac:dyDescent="0.25">
      <c r="A56" s="11">
        <v>1111074</v>
      </c>
      <c r="B56" s="15" t="s">
        <v>67</v>
      </c>
      <c r="C56" s="25">
        <v>0</v>
      </c>
      <c r="D56" s="25">
        <v>0</v>
      </c>
      <c r="E56" s="25">
        <v>1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8">
        <v>1</v>
      </c>
      <c r="L56" s="11">
        <v>100</v>
      </c>
      <c r="M56" s="11">
        <v>51</v>
      </c>
      <c r="N56" s="11"/>
      <c r="O56" s="11"/>
      <c r="P56" s="36">
        <v>150</v>
      </c>
    </row>
    <row r="57" spans="1:16" ht="22.2" x14ac:dyDescent="0.25">
      <c r="A57" s="11">
        <v>1111075</v>
      </c>
      <c r="B57" s="15" t="s">
        <v>68</v>
      </c>
      <c r="C57" s="25">
        <v>0</v>
      </c>
      <c r="D57" s="25">
        <v>0</v>
      </c>
      <c r="E57" s="25">
        <v>1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8">
        <v>1</v>
      </c>
      <c r="L57" s="11">
        <v>100</v>
      </c>
      <c r="M57" s="11">
        <v>91</v>
      </c>
      <c r="N57" s="11"/>
      <c r="O57" s="11"/>
      <c r="P57" s="36">
        <v>190</v>
      </c>
    </row>
    <row r="58" spans="1:16" ht="22.2" x14ac:dyDescent="0.25">
      <c r="A58" s="11">
        <v>1111076</v>
      </c>
      <c r="B58" s="15" t="s">
        <v>69</v>
      </c>
      <c r="C58" s="25">
        <v>0</v>
      </c>
      <c r="D58" s="25">
        <v>0</v>
      </c>
      <c r="E58" s="25">
        <v>1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8">
        <v>1</v>
      </c>
      <c r="L58" s="11">
        <v>100</v>
      </c>
      <c r="M58" s="11">
        <v>64</v>
      </c>
      <c r="N58" s="11"/>
      <c r="O58" s="11"/>
      <c r="P58" s="36">
        <v>163</v>
      </c>
    </row>
    <row r="59" spans="1:16" ht="22.2" x14ac:dyDescent="0.25">
      <c r="A59" s="11">
        <v>1111077</v>
      </c>
      <c r="B59" s="15" t="s">
        <v>70</v>
      </c>
      <c r="C59" s="25">
        <v>0</v>
      </c>
      <c r="D59" s="25">
        <v>0</v>
      </c>
      <c r="E59" s="25">
        <v>1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8">
        <v>1</v>
      </c>
      <c r="L59" s="11">
        <v>100</v>
      </c>
      <c r="M59" s="11">
        <v>80</v>
      </c>
      <c r="N59" s="11"/>
      <c r="O59" s="11"/>
      <c r="P59" s="36">
        <v>179</v>
      </c>
    </row>
    <row r="60" spans="1:16" ht="22.2" x14ac:dyDescent="0.25">
      <c r="A60" s="11">
        <v>1111078</v>
      </c>
      <c r="B60" s="15" t="s">
        <v>71</v>
      </c>
      <c r="C60" s="25">
        <v>0</v>
      </c>
      <c r="D60" s="25">
        <v>0</v>
      </c>
      <c r="E60" s="25">
        <v>1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8">
        <v>1</v>
      </c>
      <c r="L60" s="11">
        <v>100</v>
      </c>
      <c r="M60" s="11"/>
      <c r="N60" s="11"/>
      <c r="O60" s="11"/>
      <c r="P60" s="36">
        <v>99</v>
      </c>
    </row>
    <row r="61" spans="1:16" ht="22.2" x14ac:dyDescent="0.25">
      <c r="A61" s="11">
        <v>1111079</v>
      </c>
      <c r="B61" s="15" t="s">
        <v>72</v>
      </c>
      <c r="C61" s="25">
        <v>0</v>
      </c>
      <c r="D61" s="25">
        <v>0</v>
      </c>
      <c r="E61" s="25">
        <v>1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8">
        <v>1</v>
      </c>
      <c r="L61" s="11">
        <v>100</v>
      </c>
      <c r="M61" s="11">
        <v>143</v>
      </c>
      <c r="N61" s="11"/>
      <c r="O61" s="11"/>
      <c r="P61" s="36">
        <v>242</v>
      </c>
    </row>
    <row r="62" spans="1:16" ht="22.2" x14ac:dyDescent="0.25">
      <c r="A62" s="11">
        <v>1111080</v>
      </c>
      <c r="B62" s="15" t="s">
        <v>73</v>
      </c>
      <c r="C62" s="25">
        <v>0</v>
      </c>
      <c r="D62" s="25">
        <v>0</v>
      </c>
      <c r="E62" s="25">
        <v>1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8">
        <v>1</v>
      </c>
      <c r="L62" s="11">
        <v>100</v>
      </c>
      <c r="M62" s="11">
        <v>40</v>
      </c>
      <c r="N62" s="11"/>
      <c r="O62" s="11"/>
      <c r="P62" s="36">
        <v>139</v>
      </c>
    </row>
    <row r="63" spans="1:16" ht="22.2" x14ac:dyDescent="0.25">
      <c r="A63" s="11">
        <v>1111081</v>
      </c>
      <c r="B63" s="15" t="s">
        <v>74</v>
      </c>
      <c r="C63" s="25">
        <v>0</v>
      </c>
      <c r="D63" s="25">
        <v>0</v>
      </c>
      <c r="E63" s="25">
        <v>1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8">
        <v>1</v>
      </c>
      <c r="L63" s="11">
        <v>100</v>
      </c>
      <c r="M63" s="11"/>
      <c r="N63" s="11"/>
      <c r="O63" s="11"/>
      <c r="P63" s="36">
        <v>99</v>
      </c>
    </row>
    <row r="64" spans="1:16" ht="22.2" x14ac:dyDescent="0.25">
      <c r="A64" s="11">
        <v>1111082</v>
      </c>
      <c r="B64" s="15" t="s">
        <v>75</v>
      </c>
      <c r="C64" s="25">
        <v>0</v>
      </c>
      <c r="D64" s="25">
        <v>0</v>
      </c>
      <c r="E64" s="25">
        <v>1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8">
        <v>1</v>
      </c>
      <c r="L64" s="11">
        <v>100</v>
      </c>
      <c r="M64" s="11"/>
      <c r="N64" s="11"/>
      <c r="O64" s="11"/>
      <c r="P64" s="36">
        <v>99</v>
      </c>
    </row>
    <row r="65" spans="1:16" ht="22.2" x14ac:dyDescent="0.25">
      <c r="A65" s="11">
        <v>1111083</v>
      </c>
      <c r="B65" s="15" t="s">
        <v>76</v>
      </c>
      <c r="C65" s="25">
        <v>0</v>
      </c>
      <c r="D65" s="25">
        <v>0</v>
      </c>
      <c r="E65" s="25">
        <v>1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8">
        <v>1</v>
      </c>
      <c r="L65" s="11">
        <v>100</v>
      </c>
      <c r="M65" s="11"/>
      <c r="N65" s="11"/>
      <c r="O65" s="11"/>
      <c r="P65" s="36">
        <v>99</v>
      </c>
    </row>
    <row r="66" spans="1:16" ht="22.2" x14ac:dyDescent="0.25">
      <c r="A66" s="11">
        <v>1111010</v>
      </c>
      <c r="B66" s="15" t="s">
        <v>77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35"/>
      <c r="K66" s="28">
        <v>0</v>
      </c>
      <c r="L66" s="11"/>
      <c r="M66" s="11"/>
      <c r="N66" s="11"/>
      <c r="O66" s="11"/>
      <c r="P66" s="36">
        <v>0</v>
      </c>
    </row>
    <row r="67" spans="1:16" ht="22.2" x14ac:dyDescent="0.25">
      <c r="A67" s="16"/>
      <c r="B67" s="16" t="s">
        <v>4</v>
      </c>
      <c r="C67" s="17"/>
      <c r="D67" s="17"/>
      <c r="E67" s="17"/>
      <c r="F67" s="17"/>
      <c r="G67" s="17"/>
      <c r="H67" s="17"/>
      <c r="I67" s="19"/>
      <c r="J67" s="19"/>
      <c r="K67" s="28">
        <v>0</v>
      </c>
      <c r="L67" s="11"/>
      <c r="M67" s="11"/>
      <c r="N67" s="11"/>
      <c r="O67" s="11"/>
      <c r="P67" s="36">
        <v>0</v>
      </c>
    </row>
    <row r="68" spans="1:16" ht="20.399999999999999" x14ac:dyDescent="0.25">
      <c r="A68" s="58" t="s">
        <v>78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60"/>
    </row>
    <row r="69" spans="1:16" ht="22.2" x14ac:dyDescent="0.25">
      <c r="A69" s="11">
        <v>1111009</v>
      </c>
      <c r="B69" s="18" t="s">
        <v>79</v>
      </c>
      <c r="C69" s="25">
        <v>1</v>
      </c>
      <c r="D69" s="25">
        <v>6</v>
      </c>
      <c r="E69" s="25">
        <v>7</v>
      </c>
      <c r="F69" s="25">
        <v>3</v>
      </c>
      <c r="G69" s="25">
        <v>0</v>
      </c>
      <c r="H69" s="25">
        <v>0</v>
      </c>
      <c r="I69" s="25">
        <v>0</v>
      </c>
      <c r="J69" s="25">
        <v>0</v>
      </c>
      <c r="K69" s="28">
        <v>17</v>
      </c>
      <c r="L69" s="11">
        <v>130</v>
      </c>
      <c r="M69" s="11">
        <v>75</v>
      </c>
      <c r="N69" s="11"/>
      <c r="O69" s="11"/>
      <c r="P69" s="36">
        <v>188</v>
      </c>
    </row>
    <row r="70" spans="1:16" ht="22.2" x14ac:dyDescent="0.25">
      <c r="A70" s="11">
        <v>1111023</v>
      </c>
      <c r="B70" s="18" t="s">
        <v>80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8">
        <v>0</v>
      </c>
      <c r="L70" s="11"/>
      <c r="M70" s="11"/>
      <c r="N70" s="11"/>
      <c r="O70" s="11"/>
      <c r="P70" s="36">
        <v>0</v>
      </c>
    </row>
    <row r="71" spans="1:16" ht="22.2" x14ac:dyDescent="0.25">
      <c r="A71" s="11">
        <v>1111016</v>
      </c>
      <c r="B71" s="18" t="s">
        <v>81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8">
        <v>0</v>
      </c>
      <c r="L71" s="11"/>
      <c r="M71" s="11"/>
      <c r="N71" s="11"/>
      <c r="O71" s="11"/>
      <c r="P71" s="36">
        <v>0</v>
      </c>
    </row>
    <row r="72" spans="1:16" ht="22.2" x14ac:dyDescent="0.25">
      <c r="A72" s="11">
        <v>1111014</v>
      </c>
      <c r="B72" s="18" t="s">
        <v>82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8">
        <v>0</v>
      </c>
      <c r="L72" s="11"/>
      <c r="M72" s="11"/>
      <c r="N72" s="11"/>
      <c r="O72" s="11"/>
      <c r="P72" s="36">
        <v>0</v>
      </c>
    </row>
    <row r="73" spans="1:16" ht="22.2" x14ac:dyDescent="0.25">
      <c r="A73" s="11">
        <v>1111025</v>
      </c>
      <c r="B73" s="18" t="s">
        <v>83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8">
        <v>0</v>
      </c>
      <c r="L73" s="11"/>
      <c r="M73" s="11"/>
      <c r="N73" s="11"/>
      <c r="O73" s="11"/>
      <c r="P73" s="36">
        <v>0</v>
      </c>
    </row>
    <row r="74" spans="1:16" ht="22.2" x14ac:dyDescent="0.25">
      <c r="A74" s="11">
        <v>1111018</v>
      </c>
      <c r="B74" s="18" t="s">
        <v>84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8">
        <v>0</v>
      </c>
      <c r="L74" s="11"/>
      <c r="M74" s="11"/>
      <c r="N74" s="11"/>
      <c r="O74" s="11"/>
      <c r="P74" s="36">
        <v>0</v>
      </c>
    </row>
    <row r="75" spans="1:16" ht="22.2" x14ac:dyDescent="0.25">
      <c r="A75" s="11">
        <v>1111012</v>
      </c>
      <c r="B75" s="18" t="s">
        <v>85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8">
        <v>0</v>
      </c>
      <c r="L75" s="11"/>
      <c r="M75" s="11"/>
      <c r="N75" s="11"/>
      <c r="O75" s="11"/>
      <c r="P75" s="36">
        <v>0</v>
      </c>
    </row>
    <row r="76" spans="1:16" ht="22.2" x14ac:dyDescent="0.25">
      <c r="A76" s="11">
        <v>1111020</v>
      </c>
      <c r="B76" s="18" t="s">
        <v>86</v>
      </c>
      <c r="C76" s="25">
        <v>0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8">
        <v>0</v>
      </c>
      <c r="L76" s="11"/>
      <c r="M76" s="11"/>
      <c r="N76" s="11"/>
      <c r="O76" s="11"/>
      <c r="P76" s="36">
        <v>0</v>
      </c>
    </row>
    <row r="77" spans="1:16" ht="22.2" x14ac:dyDescent="0.25">
      <c r="A77" s="17"/>
      <c r="B77" s="19" t="s">
        <v>4</v>
      </c>
      <c r="C77" s="19"/>
      <c r="D77" s="17"/>
      <c r="E77" s="17"/>
      <c r="F77" s="17"/>
      <c r="G77" s="17"/>
      <c r="H77" s="17"/>
      <c r="I77" s="19"/>
      <c r="J77" s="19"/>
      <c r="K77" s="28"/>
      <c r="L77" s="11"/>
      <c r="M77" s="11"/>
      <c r="N77" s="11"/>
      <c r="O77" s="11"/>
      <c r="P77" s="36">
        <v>0</v>
      </c>
    </row>
    <row r="78" spans="1:16" ht="20.399999999999999" x14ac:dyDescent="0.25">
      <c r="A78" s="58" t="s">
        <v>87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60"/>
    </row>
    <row r="79" spans="1:16" ht="22.2" x14ac:dyDescent="0.25">
      <c r="A79" s="11">
        <v>1111022</v>
      </c>
      <c r="B79" s="18" t="s">
        <v>88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8">
        <v>0</v>
      </c>
      <c r="L79" s="11"/>
      <c r="M79" s="11"/>
      <c r="N79" s="11"/>
      <c r="O79" s="11"/>
      <c r="P79" s="36">
        <v>0</v>
      </c>
    </row>
    <row r="80" spans="1:16" ht="22.2" x14ac:dyDescent="0.25">
      <c r="A80" s="11">
        <v>1111015</v>
      </c>
      <c r="B80" s="18" t="s">
        <v>89</v>
      </c>
      <c r="C80" s="25">
        <v>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8">
        <v>0</v>
      </c>
      <c r="L80" s="11"/>
      <c r="M80" s="11"/>
      <c r="N80" s="11"/>
      <c r="O80" s="11"/>
      <c r="P80" s="36">
        <v>0</v>
      </c>
    </row>
    <row r="81" spans="1:16" ht="22.2" x14ac:dyDescent="0.25">
      <c r="A81" s="11">
        <v>1111013</v>
      </c>
      <c r="B81" s="18" t="s">
        <v>90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8">
        <v>0</v>
      </c>
      <c r="L81" s="11"/>
      <c r="M81" s="11"/>
      <c r="N81" s="11"/>
      <c r="O81" s="11"/>
      <c r="P81" s="36">
        <v>0</v>
      </c>
    </row>
    <row r="82" spans="1:16" ht="22.2" x14ac:dyDescent="0.25">
      <c r="A82" s="11">
        <v>1111024</v>
      </c>
      <c r="B82" s="18" t="s">
        <v>91</v>
      </c>
      <c r="C82" s="25">
        <v>0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8">
        <v>0</v>
      </c>
      <c r="L82" s="11"/>
      <c r="M82" s="11"/>
      <c r="N82" s="11"/>
      <c r="O82" s="11"/>
      <c r="P82" s="36">
        <v>0</v>
      </c>
    </row>
    <row r="83" spans="1:16" ht="22.2" x14ac:dyDescent="0.25">
      <c r="A83" s="11">
        <v>1111017</v>
      </c>
      <c r="B83" s="18" t="s">
        <v>92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8">
        <v>0</v>
      </c>
      <c r="L83" s="11"/>
      <c r="M83" s="11"/>
      <c r="N83" s="11"/>
      <c r="O83" s="11"/>
      <c r="P83" s="36">
        <v>0</v>
      </c>
    </row>
    <row r="84" spans="1:16" ht="22.2" x14ac:dyDescent="0.25">
      <c r="A84" s="11">
        <v>1111011</v>
      </c>
      <c r="B84" s="18" t="s">
        <v>93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8">
        <v>0</v>
      </c>
      <c r="L84" s="11"/>
      <c r="M84" s="11"/>
      <c r="N84" s="11"/>
      <c r="O84" s="11"/>
      <c r="P84" s="36">
        <v>0</v>
      </c>
    </row>
    <row r="85" spans="1:16" ht="22.2" x14ac:dyDescent="0.25">
      <c r="A85" s="11">
        <v>1111019</v>
      </c>
      <c r="B85" s="18" t="s">
        <v>94</v>
      </c>
      <c r="C85" s="25">
        <v>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8">
        <v>0</v>
      </c>
      <c r="L85" s="11"/>
      <c r="M85" s="11"/>
      <c r="N85" s="11"/>
      <c r="O85" s="11"/>
      <c r="P85" s="36">
        <v>0</v>
      </c>
    </row>
    <row r="86" spans="1:16" ht="22.2" x14ac:dyDescent="0.25">
      <c r="A86" s="11">
        <v>1113081</v>
      </c>
      <c r="B86" s="18" t="s">
        <v>95</v>
      </c>
      <c r="C86" s="25">
        <v>0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8">
        <v>0</v>
      </c>
      <c r="L86" s="11"/>
      <c r="M86" s="11"/>
      <c r="N86" s="11"/>
      <c r="O86" s="11"/>
      <c r="P86" s="36">
        <v>0</v>
      </c>
    </row>
    <row r="87" spans="1:16" ht="22.2" x14ac:dyDescent="0.25">
      <c r="A87" s="11">
        <v>1111008</v>
      </c>
      <c r="B87" s="18" t="s">
        <v>96</v>
      </c>
      <c r="C87" s="25">
        <v>0</v>
      </c>
      <c r="D87" s="25">
        <v>0</v>
      </c>
      <c r="E87" s="25">
        <v>0</v>
      </c>
      <c r="F87" s="25">
        <v>129</v>
      </c>
      <c r="G87" s="25">
        <v>0</v>
      </c>
      <c r="H87" s="25">
        <v>0</v>
      </c>
      <c r="I87" s="25">
        <v>0</v>
      </c>
      <c r="J87" s="25">
        <v>0</v>
      </c>
      <c r="K87" s="28">
        <v>129</v>
      </c>
      <c r="L87" s="11">
        <v>500</v>
      </c>
      <c r="M87" s="11">
        <v>2</v>
      </c>
      <c r="N87" s="11"/>
      <c r="O87" s="11"/>
      <c r="P87" s="36">
        <v>373</v>
      </c>
    </row>
    <row r="88" spans="1:16" ht="22.2" x14ac:dyDescent="0.25">
      <c r="A88" s="17"/>
      <c r="B88" s="17" t="s">
        <v>4</v>
      </c>
      <c r="C88" s="17"/>
      <c r="D88" s="17"/>
      <c r="E88" s="17"/>
      <c r="F88" s="17"/>
      <c r="G88" s="17"/>
      <c r="H88" s="17"/>
      <c r="I88" s="19"/>
      <c r="J88" s="19"/>
      <c r="K88" s="28">
        <v>0</v>
      </c>
      <c r="L88" s="11"/>
      <c r="M88" s="11"/>
      <c r="N88" s="11"/>
      <c r="O88" s="11"/>
      <c r="P88" s="36">
        <v>0</v>
      </c>
    </row>
    <row r="89" spans="1:16" ht="20.399999999999999" x14ac:dyDescent="0.25">
      <c r="A89" s="58" t="s">
        <v>97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60"/>
    </row>
    <row r="90" spans="1:16" ht="22.2" x14ac:dyDescent="0.25">
      <c r="A90" s="11">
        <v>1112009</v>
      </c>
      <c r="B90" s="18" t="s">
        <v>98</v>
      </c>
      <c r="C90" s="25">
        <v>0</v>
      </c>
      <c r="D90" s="25">
        <v>5</v>
      </c>
      <c r="E90" s="25">
        <v>16</v>
      </c>
      <c r="F90" s="25">
        <v>77</v>
      </c>
      <c r="G90" s="25">
        <v>0</v>
      </c>
      <c r="H90" s="25">
        <v>0</v>
      </c>
      <c r="I90" s="25">
        <v>0</v>
      </c>
      <c r="J90" s="25">
        <v>3</v>
      </c>
      <c r="K90" s="28">
        <v>101</v>
      </c>
      <c r="L90" s="11">
        <v>500</v>
      </c>
      <c r="M90" s="11">
        <v>298</v>
      </c>
      <c r="N90" s="11"/>
      <c r="O90" s="11"/>
      <c r="P90" s="36">
        <v>697</v>
      </c>
    </row>
    <row r="91" spans="1:16" ht="22.2" x14ac:dyDescent="0.25">
      <c r="A91" s="11">
        <v>1112011</v>
      </c>
      <c r="B91" s="18" t="s">
        <v>99</v>
      </c>
      <c r="C91" s="25">
        <v>0</v>
      </c>
      <c r="D91" s="25">
        <v>5</v>
      </c>
      <c r="E91" s="25">
        <v>18</v>
      </c>
      <c r="F91" s="25">
        <v>77</v>
      </c>
      <c r="G91" s="25">
        <v>0</v>
      </c>
      <c r="H91" s="25">
        <v>0</v>
      </c>
      <c r="I91" s="25">
        <v>0</v>
      </c>
      <c r="J91" s="25">
        <v>0</v>
      </c>
      <c r="K91" s="28">
        <v>100</v>
      </c>
      <c r="L91" s="11">
        <v>500</v>
      </c>
      <c r="M91" s="11">
        <v>290</v>
      </c>
      <c r="N91" s="11"/>
      <c r="O91" s="11"/>
      <c r="P91" s="36">
        <v>690</v>
      </c>
    </row>
    <row r="92" spans="1:16" ht="22.2" x14ac:dyDescent="0.25">
      <c r="A92" s="11">
        <v>1112003</v>
      </c>
      <c r="B92" s="18" t="s">
        <v>100</v>
      </c>
      <c r="C92" s="25">
        <v>0</v>
      </c>
      <c r="D92" s="25">
        <v>0</v>
      </c>
      <c r="E92" s="25">
        <v>4</v>
      </c>
      <c r="F92" s="25">
        <v>58</v>
      </c>
      <c r="G92" s="25">
        <v>0</v>
      </c>
      <c r="H92" s="25">
        <v>0</v>
      </c>
      <c r="I92" s="25">
        <v>0</v>
      </c>
      <c r="J92" s="25">
        <v>0</v>
      </c>
      <c r="K92" s="28">
        <v>62</v>
      </c>
      <c r="L92" s="11">
        <v>500</v>
      </c>
      <c r="M92" s="11">
        <v>303</v>
      </c>
      <c r="N92" s="11"/>
      <c r="O92" s="11"/>
      <c r="P92" s="36">
        <v>741</v>
      </c>
    </row>
    <row r="93" spans="1:16" ht="22.2" x14ac:dyDescent="0.25">
      <c r="A93" s="11">
        <v>1112005</v>
      </c>
      <c r="B93" s="18" t="s">
        <v>101</v>
      </c>
      <c r="C93" s="25">
        <v>0</v>
      </c>
      <c r="D93" s="25">
        <v>0</v>
      </c>
      <c r="E93" s="25">
        <v>4</v>
      </c>
      <c r="F93" s="25">
        <v>58</v>
      </c>
      <c r="G93" s="25">
        <v>0</v>
      </c>
      <c r="H93" s="25">
        <v>0</v>
      </c>
      <c r="I93" s="25">
        <v>0</v>
      </c>
      <c r="J93" s="25">
        <v>0</v>
      </c>
      <c r="K93" s="28">
        <v>62</v>
      </c>
      <c r="L93" s="11">
        <v>500</v>
      </c>
      <c r="M93" s="11">
        <v>531</v>
      </c>
      <c r="N93" s="11"/>
      <c r="O93" s="11"/>
      <c r="P93" s="36">
        <v>969</v>
      </c>
    </row>
    <row r="94" spans="1:16" ht="22.2" x14ac:dyDescent="0.25">
      <c r="A94" s="11">
        <v>1112007</v>
      </c>
      <c r="B94" s="18" t="s">
        <v>102</v>
      </c>
      <c r="C94" s="25">
        <v>0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8">
        <v>0</v>
      </c>
      <c r="L94" s="11"/>
      <c r="M94" s="11"/>
      <c r="N94" s="11"/>
      <c r="O94" s="11"/>
      <c r="P94" s="36">
        <v>0</v>
      </c>
    </row>
    <row r="95" spans="1:16" ht="22.2" x14ac:dyDescent="0.25">
      <c r="A95" s="11">
        <v>1112019</v>
      </c>
      <c r="B95" s="18" t="s">
        <v>103</v>
      </c>
      <c r="C95" s="25">
        <v>0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8">
        <v>0</v>
      </c>
      <c r="L95" s="11"/>
      <c r="M95" s="11"/>
      <c r="N95" s="11"/>
      <c r="O95" s="11"/>
      <c r="P95" s="36">
        <v>0</v>
      </c>
    </row>
    <row r="96" spans="1:16" ht="22.2" x14ac:dyDescent="0.25">
      <c r="A96" s="11">
        <v>1112017</v>
      </c>
      <c r="B96" s="18" t="s">
        <v>104</v>
      </c>
      <c r="C96" s="25">
        <v>0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8">
        <v>0</v>
      </c>
      <c r="L96" s="11"/>
      <c r="M96" s="11"/>
      <c r="N96" s="11"/>
      <c r="O96" s="11"/>
      <c r="P96" s="36">
        <v>0</v>
      </c>
    </row>
    <row r="97" spans="1:16" ht="22.2" x14ac:dyDescent="0.25">
      <c r="A97" s="11">
        <v>1112015</v>
      </c>
      <c r="B97" s="18" t="s">
        <v>105</v>
      </c>
      <c r="C97" s="25">
        <v>0</v>
      </c>
      <c r="D97" s="25">
        <v>0</v>
      </c>
      <c r="E97" s="25">
        <v>4</v>
      </c>
      <c r="F97" s="25">
        <v>57</v>
      </c>
      <c r="G97" s="25">
        <v>0</v>
      </c>
      <c r="H97" s="25">
        <v>0</v>
      </c>
      <c r="I97" s="25">
        <v>0</v>
      </c>
      <c r="J97" s="25">
        <v>0</v>
      </c>
      <c r="K97" s="28">
        <v>61</v>
      </c>
      <c r="L97" s="11">
        <v>500</v>
      </c>
      <c r="M97" s="11">
        <v>481</v>
      </c>
      <c r="N97" s="11"/>
      <c r="O97" s="11"/>
      <c r="P97" s="36">
        <v>920</v>
      </c>
    </row>
    <row r="98" spans="1:16" ht="22.2" x14ac:dyDescent="0.25">
      <c r="A98" s="11">
        <v>1112013</v>
      </c>
      <c r="B98" s="18" t="s">
        <v>106</v>
      </c>
      <c r="C98" s="25">
        <v>0</v>
      </c>
      <c r="D98" s="25">
        <v>4</v>
      </c>
      <c r="E98" s="25">
        <v>16</v>
      </c>
      <c r="F98" s="25">
        <v>75</v>
      </c>
      <c r="G98" s="25">
        <v>0</v>
      </c>
      <c r="H98" s="25">
        <v>0</v>
      </c>
      <c r="I98" s="25">
        <v>0</v>
      </c>
      <c r="J98" s="25">
        <v>3</v>
      </c>
      <c r="K98" s="28">
        <v>98</v>
      </c>
      <c r="L98" s="11">
        <v>500</v>
      </c>
      <c r="M98" s="11">
        <v>310</v>
      </c>
      <c r="N98" s="11"/>
      <c r="O98" s="11"/>
      <c r="P98" s="36">
        <v>712</v>
      </c>
    </row>
    <row r="99" spans="1:16" ht="22.2" x14ac:dyDescent="0.25">
      <c r="A99" s="11">
        <v>1124043</v>
      </c>
      <c r="B99" s="18" t="s">
        <v>107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35"/>
      <c r="K99" s="28">
        <v>0</v>
      </c>
      <c r="L99" s="11"/>
      <c r="M99" s="11"/>
      <c r="N99" s="11"/>
      <c r="O99" s="11"/>
      <c r="P99" s="36">
        <v>0</v>
      </c>
    </row>
    <row r="100" spans="1:16" ht="22.2" x14ac:dyDescent="0.25">
      <c r="A100" s="17"/>
      <c r="B100" s="17" t="s">
        <v>4</v>
      </c>
      <c r="C100" s="17"/>
      <c r="D100" s="17"/>
      <c r="E100" s="17"/>
      <c r="F100" s="17"/>
      <c r="G100" s="17"/>
      <c r="H100" s="17"/>
      <c r="I100" s="19"/>
      <c r="J100" s="19"/>
      <c r="K100" s="28">
        <v>484</v>
      </c>
      <c r="L100" s="11"/>
      <c r="M100" s="11"/>
      <c r="N100" s="11"/>
      <c r="O100" s="11"/>
      <c r="P100" s="36"/>
    </row>
    <row r="101" spans="1:16" ht="20.399999999999999" x14ac:dyDescent="0.25">
      <c r="A101" s="58" t="s">
        <v>108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60"/>
    </row>
    <row r="102" spans="1:16" ht="22.2" x14ac:dyDescent="0.25">
      <c r="A102" s="11">
        <v>1112008</v>
      </c>
      <c r="B102" s="18" t="s">
        <v>98</v>
      </c>
      <c r="C102" s="25">
        <v>0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35"/>
      <c r="K102" s="28">
        <v>0</v>
      </c>
      <c r="L102" s="11"/>
      <c r="M102" s="11"/>
      <c r="N102" s="11"/>
      <c r="O102" s="11"/>
      <c r="P102" s="36">
        <v>0</v>
      </c>
    </row>
    <row r="103" spans="1:16" ht="22.2" x14ac:dyDescent="0.25">
      <c r="A103" s="11">
        <v>1112010</v>
      </c>
      <c r="B103" s="18" t="s">
        <v>99</v>
      </c>
      <c r="C103" s="25">
        <v>0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35"/>
      <c r="K103" s="28">
        <v>0</v>
      </c>
      <c r="L103" s="11"/>
      <c r="M103" s="11"/>
      <c r="N103" s="11"/>
      <c r="O103" s="11"/>
      <c r="P103" s="36">
        <v>0</v>
      </c>
    </row>
    <row r="104" spans="1:16" ht="22.2" x14ac:dyDescent="0.25">
      <c r="A104" s="11">
        <v>1112002</v>
      </c>
      <c r="B104" s="18" t="s">
        <v>100</v>
      </c>
      <c r="C104" s="25">
        <v>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35"/>
      <c r="K104" s="28">
        <v>0</v>
      </c>
      <c r="L104" s="11"/>
      <c r="M104" s="11"/>
      <c r="N104" s="11"/>
      <c r="O104" s="11"/>
      <c r="P104" s="36">
        <v>0</v>
      </c>
    </row>
    <row r="105" spans="1:16" ht="22.2" x14ac:dyDescent="0.25">
      <c r="A105" s="11">
        <v>1112004</v>
      </c>
      <c r="B105" s="18" t="s">
        <v>101</v>
      </c>
      <c r="C105" s="25">
        <v>0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35"/>
      <c r="K105" s="28">
        <v>0</v>
      </c>
      <c r="L105" s="11"/>
      <c r="M105" s="11"/>
      <c r="N105" s="11"/>
      <c r="O105" s="11"/>
      <c r="P105" s="36">
        <v>0</v>
      </c>
    </row>
    <row r="106" spans="1:16" ht="22.2" x14ac:dyDescent="0.25">
      <c r="A106" s="11">
        <v>1112006</v>
      </c>
      <c r="B106" s="18" t="s">
        <v>102</v>
      </c>
      <c r="C106" s="25">
        <v>0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35"/>
      <c r="K106" s="28">
        <v>0</v>
      </c>
      <c r="L106" s="11"/>
      <c r="M106" s="11"/>
      <c r="N106" s="11"/>
      <c r="O106" s="11"/>
      <c r="P106" s="36">
        <v>0</v>
      </c>
    </row>
    <row r="107" spans="1:16" ht="22.2" x14ac:dyDescent="0.25">
      <c r="A107" s="11">
        <v>1112018</v>
      </c>
      <c r="B107" s="18" t="s">
        <v>103</v>
      </c>
      <c r="C107" s="25">
        <v>0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35"/>
      <c r="K107" s="28">
        <v>0</v>
      </c>
      <c r="L107" s="11"/>
      <c r="M107" s="11"/>
      <c r="N107" s="11"/>
      <c r="O107" s="11"/>
      <c r="P107" s="36">
        <v>0</v>
      </c>
    </row>
    <row r="108" spans="1:16" ht="22.2" x14ac:dyDescent="0.25">
      <c r="A108" s="11">
        <v>1112016</v>
      </c>
      <c r="B108" s="18" t="s">
        <v>104</v>
      </c>
      <c r="C108" s="25">
        <v>0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35"/>
      <c r="K108" s="28">
        <v>0</v>
      </c>
      <c r="L108" s="11"/>
      <c r="M108" s="11"/>
      <c r="N108" s="11"/>
      <c r="O108" s="11"/>
      <c r="P108" s="36">
        <v>0</v>
      </c>
    </row>
    <row r="109" spans="1:16" ht="22.2" x14ac:dyDescent="0.25">
      <c r="A109" s="11">
        <v>1112014</v>
      </c>
      <c r="B109" s="18" t="s">
        <v>105</v>
      </c>
      <c r="C109" s="25">
        <v>0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35"/>
      <c r="K109" s="28">
        <v>0</v>
      </c>
      <c r="L109" s="11"/>
      <c r="M109" s="11"/>
      <c r="N109" s="11"/>
      <c r="O109" s="11"/>
      <c r="P109" s="36">
        <v>0</v>
      </c>
    </row>
    <row r="110" spans="1:16" ht="22.2" x14ac:dyDescent="0.25">
      <c r="A110" s="11">
        <v>1112012</v>
      </c>
      <c r="B110" s="18" t="s">
        <v>106</v>
      </c>
      <c r="C110" s="25">
        <v>0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35"/>
      <c r="K110" s="28">
        <v>0</v>
      </c>
      <c r="L110" s="11"/>
      <c r="M110" s="11"/>
      <c r="N110" s="11"/>
      <c r="O110" s="11"/>
      <c r="P110" s="36">
        <v>0</v>
      </c>
    </row>
    <row r="111" spans="1:16" ht="22.2" x14ac:dyDescent="0.25">
      <c r="A111" s="11"/>
      <c r="B111" s="18" t="s">
        <v>107</v>
      </c>
      <c r="C111" s="25">
        <v>0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35"/>
      <c r="K111" s="28">
        <v>0</v>
      </c>
      <c r="L111" s="11"/>
      <c r="M111" s="11"/>
      <c r="N111" s="11"/>
      <c r="O111" s="11"/>
      <c r="P111" s="36">
        <v>0</v>
      </c>
    </row>
    <row r="112" spans="1:16" ht="22.2" x14ac:dyDescent="0.25">
      <c r="A112" s="17"/>
      <c r="B112" s="17" t="s">
        <v>4</v>
      </c>
      <c r="C112" s="17"/>
      <c r="D112" s="17"/>
      <c r="E112" s="17"/>
      <c r="F112" s="17"/>
      <c r="G112" s="17"/>
      <c r="H112" s="17"/>
      <c r="I112" s="19"/>
      <c r="J112" s="19"/>
      <c r="K112" s="28">
        <v>0</v>
      </c>
      <c r="L112" s="11"/>
      <c r="M112" s="11"/>
      <c r="N112" s="11"/>
      <c r="O112" s="11"/>
      <c r="P112" s="36">
        <v>0</v>
      </c>
    </row>
    <row r="113" spans="1:16" ht="20.399999999999999" x14ac:dyDescent="0.25">
      <c r="A113" s="58" t="s">
        <v>109</v>
      </c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60"/>
    </row>
    <row r="114" spans="1:16" ht="22.2" x14ac:dyDescent="0.25">
      <c r="A114" s="11">
        <v>1113170</v>
      </c>
      <c r="B114" s="20" t="s">
        <v>110</v>
      </c>
      <c r="C114" s="25">
        <v>0</v>
      </c>
      <c r="D114" s="25">
        <v>0</v>
      </c>
      <c r="E114" s="25">
        <v>0</v>
      </c>
      <c r="F114" s="25">
        <v>2</v>
      </c>
      <c r="G114" s="25">
        <v>0</v>
      </c>
      <c r="H114" s="25">
        <v>0</v>
      </c>
      <c r="I114" s="25">
        <v>0</v>
      </c>
      <c r="J114" s="25">
        <v>0</v>
      </c>
      <c r="K114" s="28">
        <v>2</v>
      </c>
      <c r="L114" s="11">
        <v>200</v>
      </c>
      <c r="M114" s="11">
        <v>52</v>
      </c>
      <c r="N114" s="11"/>
      <c r="O114" s="11"/>
      <c r="P114" s="36">
        <v>250</v>
      </c>
    </row>
    <row r="115" spans="1:16" ht="22.2" x14ac:dyDescent="0.25">
      <c r="A115" s="11">
        <v>1113171</v>
      </c>
      <c r="B115" s="20" t="s">
        <v>111</v>
      </c>
      <c r="C115" s="25">
        <v>0</v>
      </c>
      <c r="D115" s="25">
        <v>0</v>
      </c>
      <c r="E115" s="25">
        <v>0</v>
      </c>
      <c r="F115" s="25">
        <v>1</v>
      </c>
      <c r="G115" s="25">
        <v>0</v>
      </c>
      <c r="H115" s="25">
        <v>0</v>
      </c>
      <c r="I115" s="25">
        <v>0</v>
      </c>
      <c r="J115" s="25">
        <v>0</v>
      </c>
      <c r="K115" s="28">
        <v>1</v>
      </c>
      <c r="L115" s="11">
        <v>200</v>
      </c>
      <c r="M115" s="11">
        <v>35</v>
      </c>
      <c r="N115" s="11"/>
      <c r="O115" s="11"/>
      <c r="P115" s="36">
        <v>234</v>
      </c>
    </row>
    <row r="116" spans="1:16" ht="22.2" x14ac:dyDescent="0.25">
      <c r="A116" s="11">
        <v>1113172</v>
      </c>
      <c r="B116" s="20" t="s">
        <v>112</v>
      </c>
      <c r="C116" s="25">
        <v>0</v>
      </c>
      <c r="D116" s="25">
        <v>0</v>
      </c>
      <c r="E116" s="25">
        <v>0</v>
      </c>
      <c r="F116" s="25">
        <v>4</v>
      </c>
      <c r="G116" s="25">
        <v>0</v>
      </c>
      <c r="H116" s="25">
        <v>0</v>
      </c>
      <c r="I116" s="25">
        <v>0</v>
      </c>
      <c r="J116" s="25">
        <v>0</v>
      </c>
      <c r="K116" s="28">
        <v>4</v>
      </c>
      <c r="L116" s="11">
        <v>200</v>
      </c>
      <c r="M116" s="11">
        <v>40</v>
      </c>
      <c r="N116" s="11"/>
      <c r="O116" s="11"/>
      <c r="P116" s="36">
        <v>236</v>
      </c>
    </row>
    <row r="117" spans="1:16" ht="22.2" x14ac:dyDescent="0.25">
      <c r="A117" s="11">
        <v>1113173</v>
      </c>
      <c r="B117" s="20" t="s">
        <v>113</v>
      </c>
      <c r="C117" s="25">
        <v>0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8">
        <v>0</v>
      </c>
      <c r="L117" s="11"/>
      <c r="M117" s="11"/>
      <c r="N117" s="11"/>
      <c r="O117" s="11"/>
      <c r="P117" s="36">
        <v>0</v>
      </c>
    </row>
    <row r="118" spans="1:16" ht="22.2" x14ac:dyDescent="0.25">
      <c r="A118" s="11">
        <v>1100003</v>
      </c>
      <c r="B118" s="20" t="s">
        <v>114</v>
      </c>
      <c r="C118" s="25">
        <v>0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8">
        <v>0</v>
      </c>
      <c r="L118" s="11"/>
      <c r="M118" s="11">
        <v>55</v>
      </c>
      <c r="N118" s="11"/>
      <c r="O118" s="11"/>
      <c r="P118" s="36">
        <v>55</v>
      </c>
    </row>
    <row r="119" spans="1:16" ht="22.2" x14ac:dyDescent="0.25">
      <c r="A119" s="11">
        <v>1100001</v>
      </c>
      <c r="B119" s="20" t="s">
        <v>115</v>
      </c>
      <c r="C119" s="25">
        <v>0</v>
      </c>
      <c r="D119" s="25">
        <v>2</v>
      </c>
      <c r="E119" s="25">
        <v>11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8">
        <v>13</v>
      </c>
      <c r="L119" s="11"/>
      <c r="M119" s="11">
        <v>400</v>
      </c>
      <c r="N119" s="11"/>
      <c r="O119" s="11"/>
      <c r="P119" s="36">
        <v>387</v>
      </c>
    </row>
    <row r="120" spans="1:16" ht="22.2" x14ac:dyDescent="0.25">
      <c r="A120" s="11">
        <v>1100002</v>
      </c>
      <c r="B120" s="20" t="s">
        <v>116</v>
      </c>
      <c r="C120" s="25">
        <v>0</v>
      </c>
      <c r="D120" s="25">
        <v>1</v>
      </c>
      <c r="E120" s="25">
        <v>1</v>
      </c>
      <c r="F120" s="25">
        <v>3</v>
      </c>
      <c r="G120" s="25">
        <v>0</v>
      </c>
      <c r="H120" s="25">
        <v>0</v>
      </c>
      <c r="I120" s="25">
        <v>0</v>
      </c>
      <c r="J120" s="25">
        <v>0</v>
      </c>
      <c r="K120" s="28">
        <v>5</v>
      </c>
      <c r="L120" s="11">
        <v>200</v>
      </c>
      <c r="M120" s="11">
        <v>8</v>
      </c>
      <c r="N120" s="11"/>
      <c r="O120" s="11"/>
      <c r="P120" s="36">
        <v>203</v>
      </c>
    </row>
    <row r="121" spans="1:16" ht="22.2" x14ac:dyDescent="0.25">
      <c r="A121" s="11">
        <v>1200001</v>
      </c>
      <c r="B121" s="20" t="s">
        <v>117</v>
      </c>
      <c r="C121" s="25">
        <v>0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8">
        <v>0</v>
      </c>
      <c r="L121" s="11">
        <v>100</v>
      </c>
      <c r="M121" s="11">
        <v>102</v>
      </c>
      <c r="N121" s="11"/>
      <c r="O121" s="11"/>
      <c r="P121" s="36">
        <v>202</v>
      </c>
    </row>
    <row r="122" spans="1:16" ht="22.2" x14ac:dyDescent="0.25">
      <c r="A122" s="11">
        <v>1005761</v>
      </c>
      <c r="B122" s="20" t="s">
        <v>118</v>
      </c>
      <c r="C122" s="25">
        <v>0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8">
        <v>0</v>
      </c>
      <c r="L122" s="11"/>
      <c r="M122" s="11">
        <v>5</v>
      </c>
      <c r="N122" s="11"/>
      <c r="O122" s="11"/>
      <c r="P122" s="36">
        <v>5</v>
      </c>
    </row>
    <row r="123" spans="1:16" ht="22.2" x14ac:dyDescent="0.25">
      <c r="A123" s="11">
        <v>1114501</v>
      </c>
      <c r="B123" s="20" t="s">
        <v>119</v>
      </c>
      <c r="C123" s="25">
        <v>0</v>
      </c>
      <c r="D123" s="25">
        <v>7</v>
      </c>
      <c r="E123" s="25">
        <v>9</v>
      </c>
      <c r="F123" s="25">
        <v>158</v>
      </c>
      <c r="G123" s="25">
        <v>0</v>
      </c>
      <c r="H123" s="25">
        <v>0</v>
      </c>
      <c r="I123" s="25">
        <v>0</v>
      </c>
      <c r="J123" s="25">
        <v>0</v>
      </c>
      <c r="K123" s="28">
        <v>174</v>
      </c>
      <c r="L123" s="11">
        <v>100</v>
      </c>
      <c r="M123" s="11">
        <v>190</v>
      </c>
      <c r="N123" s="11"/>
      <c r="O123" s="11"/>
      <c r="P123" s="36">
        <v>116</v>
      </c>
    </row>
    <row r="124" spans="1:16" ht="22.2" x14ac:dyDescent="0.25">
      <c r="A124" s="11">
        <v>1114502</v>
      </c>
      <c r="B124" s="20" t="s">
        <v>120</v>
      </c>
      <c r="C124" s="25">
        <v>0</v>
      </c>
      <c r="D124" s="25">
        <v>5</v>
      </c>
      <c r="E124" s="25">
        <v>8</v>
      </c>
      <c r="F124" s="25">
        <v>158</v>
      </c>
      <c r="G124" s="25">
        <v>0</v>
      </c>
      <c r="H124" s="25">
        <v>0</v>
      </c>
      <c r="I124" s="25">
        <v>0</v>
      </c>
      <c r="J124" s="25">
        <v>0</v>
      </c>
      <c r="K124" s="28">
        <v>171</v>
      </c>
      <c r="L124" s="11">
        <v>100</v>
      </c>
      <c r="M124" s="11">
        <v>215</v>
      </c>
      <c r="N124" s="11"/>
      <c r="O124" s="11"/>
      <c r="P124" s="36">
        <v>144</v>
      </c>
    </row>
    <row r="125" spans="1:16" ht="22.2" x14ac:dyDescent="0.25">
      <c r="A125" s="11">
        <v>1114503</v>
      </c>
      <c r="B125" s="20" t="s">
        <v>121</v>
      </c>
      <c r="C125" s="25">
        <v>0</v>
      </c>
      <c r="D125" s="25">
        <v>6</v>
      </c>
      <c r="E125" s="25">
        <v>8</v>
      </c>
      <c r="F125" s="25">
        <v>157</v>
      </c>
      <c r="G125" s="25">
        <v>0</v>
      </c>
      <c r="H125" s="25">
        <v>0</v>
      </c>
      <c r="I125" s="25">
        <v>0</v>
      </c>
      <c r="J125" s="25">
        <v>0</v>
      </c>
      <c r="K125" s="28">
        <v>171</v>
      </c>
      <c r="L125" s="11">
        <v>100</v>
      </c>
      <c r="M125" s="11">
        <v>179</v>
      </c>
      <c r="N125" s="11"/>
      <c r="O125" s="11"/>
      <c r="P125" s="36">
        <v>108</v>
      </c>
    </row>
    <row r="126" spans="1:16" ht="22.2" x14ac:dyDescent="0.25">
      <c r="A126" s="11">
        <v>1124021</v>
      </c>
      <c r="B126" s="20" t="s">
        <v>122</v>
      </c>
      <c r="C126" s="25">
        <v>0</v>
      </c>
      <c r="D126" s="25">
        <v>19</v>
      </c>
      <c r="E126" s="25">
        <v>50</v>
      </c>
      <c r="F126" s="25">
        <v>33</v>
      </c>
      <c r="G126" s="25">
        <v>0</v>
      </c>
      <c r="H126" s="25">
        <v>0</v>
      </c>
      <c r="I126" s="25">
        <v>0</v>
      </c>
      <c r="J126" s="25">
        <v>279</v>
      </c>
      <c r="K126" s="28">
        <v>381</v>
      </c>
      <c r="L126" s="11">
        <v>400</v>
      </c>
      <c r="M126" s="11"/>
      <c r="N126" s="11"/>
      <c r="O126" s="11"/>
      <c r="P126" s="36">
        <v>19</v>
      </c>
    </row>
    <row r="127" spans="1:16" ht="22.2" x14ac:dyDescent="0.25">
      <c r="A127" s="11">
        <v>1113084</v>
      </c>
      <c r="B127" s="20" t="s">
        <v>123</v>
      </c>
      <c r="C127" s="25">
        <v>0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8">
        <v>0</v>
      </c>
      <c r="L127" s="11"/>
      <c r="M127" s="11"/>
      <c r="N127" s="11"/>
      <c r="O127" s="11"/>
      <c r="P127" s="36">
        <v>0</v>
      </c>
    </row>
    <row r="128" spans="1:16" ht="22.2" x14ac:dyDescent="0.25">
      <c r="A128" s="11">
        <v>900003</v>
      </c>
      <c r="B128" s="20" t="s">
        <v>124</v>
      </c>
      <c r="C128" s="25">
        <v>0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8">
        <v>0</v>
      </c>
      <c r="L128" s="11"/>
      <c r="M128" s="11"/>
      <c r="N128" s="11"/>
      <c r="O128" s="11"/>
      <c r="P128" s="36">
        <v>0</v>
      </c>
    </row>
    <row r="129" spans="1:16" ht="22.2" x14ac:dyDescent="0.25">
      <c r="A129" s="11">
        <v>900004</v>
      </c>
      <c r="B129" s="20" t="s">
        <v>125</v>
      </c>
      <c r="C129" s="25">
        <v>0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8">
        <v>0</v>
      </c>
      <c r="L129" s="11"/>
      <c r="M129" s="11"/>
      <c r="N129" s="11"/>
      <c r="O129" s="11"/>
      <c r="P129" s="36">
        <v>0</v>
      </c>
    </row>
    <row r="130" spans="1:16" ht="22.2" x14ac:dyDescent="0.25">
      <c r="A130" s="11">
        <v>1200002</v>
      </c>
      <c r="B130" s="20" t="s">
        <v>126</v>
      </c>
      <c r="C130" s="25">
        <v>0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8">
        <v>0</v>
      </c>
      <c r="L130" s="11"/>
      <c r="M130" s="11">
        <v>18</v>
      </c>
      <c r="N130" s="11"/>
      <c r="O130" s="11"/>
      <c r="P130" s="36">
        <v>18</v>
      </c>
    </row>
    <row r="131" spans="1:16" ht="22.2" x14ac:dyDescent="0.25">
      <c r="A131" s="11">
        <v>1200003</v>
      </c>
      <c r="B131" s="20" t="s">
        <v>127</v>
      </c>
      <c r="C131" s="25">
        <v>0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8">
        <v>0</v>
      </c>
      <c r="L131" s="11"/>
      <c r="M131" s="11"/>
      <c r="N131" s="11"/>
      <c r="O131" s="11"/>
      <c r="P131" s="36">
        <v>0</v>
      </c>
    </row>
    <row r="132" spans="1:16" ht="22.2" x14ac:dyDescent="0.25">
      <c r="A132" s="11">
        <v>1200004</v>
      </c>
      <c r="B132" s="20" t="s">
        <v>128</v>
      </c>
      <c r="C132" s="25">
        <v>0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8">
        <v>0</v>
      </c>
      <c r="L132" s="11"/>
      <c r="M132" s="11"/>
      <c r="N132" s="11"/>
      <c r="O132" s="11"/>
      <c r="P132" s="36">
        <v>0</v>
      </c>
    </row>
    <row r="133" spans="1:16" ht="22.2" x14ac:dyDescent="0.25">
      <c r="A133" s="11">
        <v>1200093</v>
      </c>
      <c r="B133" s="20" t="s">
        <v>129</v>
      </c>
      <c r="C133" s="25">
        <v>0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8">
        <v>0</v>
      </c>
      <c r="L133" s="11"/>
      <c r="M133" s="11"/>
      <c r="N133" s="11"/>
      <c r="O133" s="11"/>
      <c r="P133" s="36">
        <v>0</v>
      </c>
    </row>
    <row r="134" spans="1:16" ht="22.2" x14ac:dyDescent="0.25">
      <c r="A134" s="11">
        <v>1200092</v>
      </c>
      <c r="B134" s="18" t="s">
        <v>130</v>
      </c>
      <c r="C134" s="25">
        <v>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8">
        <v>0</v>
      </c>
      <c r="L134" s="11"/>
      <c r="M134" s="11"/>
      <c r="N134" s="11"/>
      <c r="O134" s="11"/>
      <c r="P134" s="36">
        <v>0</v>
      </c>
    </row>
    <row r="135" spans="1:16" ht="22.2" x14ac:dyDescent="0.25">
      <c r="A135" s="21"/>
      <c r="B135" s="20" t="s">
        <v>131</v>
      </c>
      <c r="C135" s="25">
        <v>0</v>
      </c>
      <c r="D135" s="25">
        <v>0</v>
      </c>
      <c r="E135" s="25">
        <v>10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8">
        <v>10</v>
      </c>
      <c r="L135" s="11"/>
      <c r="M135" s="11"/>
      <c r="N135" s="11"/>
      <c r="O135" s="11"/>
      <c r="P135" s="36">
        <v>-10</v>
      </c>
    </row>
    <row r="136" spans="1:16" ht="22.2" x14ac:dyDescent="0.25">
      <c r="A136" s="21"/>
      <c r="B136" s="20" t="s">
        <v>132</v>
      </c>
      <c r="C136" s="25">
        <v>0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8">
        <v>0</v>
      </c>
      <c r="L136" s="11"/>
      <c r="M136" s="11"/>
      <c r="N136" s="11"/>
      <c r="O136" s="11"/>
      <c r="P136" s="36">
        <v>0</v>
      </c>
    </row>
    <row r="137" spans="1:16" ht="22.2" x14ac:dyDescent="0.25">
      <c r="A137" s="41"/>
      <c r="B137" s="40" t="s">
        <v>133</v>
      </c>
      <c r="C137" s="25">
        <v>0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8">
        <v>0</v>
      </c>
      <c r="L137" s="11"/>
      <c r="M137" s="11"/>
      <c r="N137" s="11"/>
      <c r="O137" s="11"/>
      <c r="P137" s="36">
        <v>0</v>
      </c>
    </row>
    <row r="138" spans="1:16" ht="22.2" x14ac:dyDescent="0.25">
      <c r="A138" s="41"/>
      <c r="B138" s="40" t="s">
        <v>134</v>
      </c>
      <c r="C138" s="25">
        <v>0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8">
        <v>0</v>
      </c>
      <c r="L138" s="11"/>
      <c r="M138" s="11"/>
      <c r="N138" s="11"/>
      <c r="O138" s="11"/>
      <c r="P138" s="36">
        <v>0</v>
      </c>
    </row>
    <row r="139" spans="1:16" ht="22.2" x14ac:dyDescent="0.25">
      <c r="A139" s="41"/>
      <c r="B139" s="40" t="s">
        <v>135</v>
      </c>
      <c r="C139" s="25">
        <v>0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8">
        <v>0</v>
      </c>
      <c r="L139" s="11"/>
      <c r="M139" s="11"/>
      <c r="N139" s="11"/>
      <c r="O139" s="11"/>
      <c r="P139" s="36">
        <v>0</v>
      </c>
    </row>
    <row r="140" spans="1:16" ht="22.2" x14ac:dyDescent="0.25">
      <c r="B140" s="27"/>
      <c r="C140" s="28">
        <v>13</v>
      </c>
      <c r="D140" s="28">
        <v>105</v>
      </c>
      <c r="E140" s="28">
        <v>206</v>
      </c>
      <c r="F140" s="28">
        <v>1212</v>
      </c>
      <c r="G140" s="28">
        <v>0</v>
      </c>
      <c r="H140" s="28">
        <v>0</v>
      </c>
      <c r="I140" s="28">
        <v>0</v>
      </c>
      <c r="J140" s="28">
        <v>300</v>
      </c>
      <c r="K140" s="28">
        <v>1836</v>
      </c>
      <c r="L140" s="25">
        <v>8610</v>
      </c>
      <c r="M140" s="25">
        <v>4667</v>
      </c>
      <c r="N140" s="25"/>
      <c r="O140" s="25"/>
      <c r="P140" s="36">
        <v>11441</v>
      </c>
    </row>
    <row r="141" spans="1:16" ht="22.2" x14ac:dyDescent="0.25">
      <c r="A141" s="29"/>
      <c r="B141" s="27"/>
      <c r="C141" s="30"/>
      <c r="D141" s="30"/>
      <c r="E141" s="30"/>
      <c r="F141" s="30"/>
      <c r="G141" s="30"/>
      <c r="H141" s="30"/>
      <c r="I141" s="30"/>
      <c r="J141" s="30"/>
      <c r="K141" s="31"/>
    </row>
    <row r="142" spans="1:16" ht="22.2" x14ac:dyDescent="0.25">
      <c r="A142" s="29"/>
      <c r="B142" s="27"/>
      <c r="C142" s="30"/>
      <c r="D142" s="30"/>
      <c r="E142" s="30"/>
      <c r="F142" s="30"/>
      <c r="G142" s="30"/>
      <c r="H142" s="30"/>
      <c r="I142" s="30"/>
      <c r="J142" s="30"/>
      <c r="K142" s="31"/>
    </row>
    <row r="143" spans="1:16" ht="22.2" x14ac:dyDescent="0.25">
      <c r="B143" s="22"/>
      <c r="C143" s="26"/>
      <c r="D143" s="61"/>
      <c r="E143" s="61"/>
      <c r="F143" s="23"/>
      <c r="K143" s="32"/>
    </row>
  </sheetData>
  <mergeCells count="15">
    <mergeCell ref="A1:K1"/>
    <mergeCell ref="A2:B3"/>
    <mergeCell ref="D2:E3"/>
    <mergeCell ref="L2:L4"/>
    <mergeCell ref="P2:P4"/>
    <mergeCell ref="A101:P101"/>
    <mergeCell ref="A113:P113"/>
    <mergeCell ref="D143:E143"/>
    <mergeCell ref="A89:P89"/>
    <mergeCell ref="M2:M4"/>
    <mergeCell ref="N2:N4"/>
    <mergeCell ref="O2:O4"/>
    <mergeCell ref="A6:P6"/>
    <mergeCell ref="A68:P68"/>
    <mergeCell ref="A78:P7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8879-8BF8-4FA6-8157-E9FD382FA9B7}">
  <dimension ref="B1:Q143"/>
  <sheetViews>
    <sheetView workbookViewId="0">
      <selection activeCell="S11" sqref="S11"/>
    </sheetView>
  </sheetViews>
  <sheetFormatPr defaultRowHeight="13.8" x14ac:dyDescent="0.25"/>
  <sheetData>
    <row r="1" spans="2:17" ht="22.2" x14ac:dyDescent="0.25">
      <c r="B1" s="50" t="s">
        <v>155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44">
        <v>32</v>
      </c>
      <c r="E7" s="44">
        <v>67</v>
      </c>
      <c r="F7" s="44">
        <v>30</v>
      </c>
      <c r="G7" s="44">
        <v>8</v>
      </c>
      <c r="H7" s="25">
        <v>0</v>
      </c>
      <c r="I7" s="25">
        <v>0</v>
      </c>
      <c r="J7" s="25">
        <v>0</v>
      </c>
      <c r="K7" s="25">
        <v>0</v>
      </c>
      <c r="L7" s="28">
        <v>137</v>
      </c>
      <c r="M7" s="11">
        <v>500</v>
      </c>
      <c r="N7" s="11">
        <v>783</v>
      </c>
      <c r="O7" s="11"/>
      <c r="P7" s="11"/>
      <c r="Q7" s="36">
        <v>1146</v>
      </c>
    </row>
    <row r="8" spans="2:17" ht="22.2" x14ac:dyDescent="0.25">
      <c r="B8" s="11"/>
      <c r="C8" s="15" t="s">
        <v>19</v>
      </c>
      <c r="D8" s="44">
        <v>0</v>
      </c>
      <c r="E8" s="44">
        <v>0</v>
      </c>
      <c r="F8" s="44">
        <v>0</v>
      </c>
      <c r="G8" s="44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44">
        <v>0</v>
      </c>
      <c r="E9" s="44">
        <v>0</v>
      </c>
      <c r="F9" s="44">
        <v>0</v>
      </c>
      <c r="G9" s="44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44">
        <v>0</v>
      </c>
      <c r="E10" s="44">
        <v>0</v>
      </c>
      <c r="F10" s="44">
        <v>0</v>
      </c>
      <c r="G10" s="44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44">
        <v>0</v>
      </c>
      <c r="E11" s="44">
        <v>0</v>
      </c>
      <c r="F11" s="44">
        <v>0</v>
      </c>
      <c r="G11" s="44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44">
        <v>0</v>
      </c>
      <c r="E12" s="44">
        <v>0</v>
      </c>
      <c r="F12" s="44">
        <v>0</v>
      </c>
      <c r="G12" s="44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44">
        <v>0</v>
      </c>
      <c r="E13" s="44">
        <v>0</v>
      </c>
      <c r="F13" s="44">
        <v>0</v>
      </c>
      <c r="G13" s="44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44">
        <v>0</v>
      </c>
      <c r="E14" s="44">
        <v>0</v>
      </c>
      <c r="F14" s="44">
        <v>0</v>
      </c>
      <c r="G14" s="44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44">
        <v>0</v>
      </c>
      <c r="E15" s="44">
        <v>0</v>
      </c>
      <c r="F15" s="44">
        <v>0</v>
      </c>
      <c r="G15" s="44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44">
        <v>0</v>
      </c>
      <c r="E16" s="44">
        <v>0</v>
      </c>
      <c r="F16" s="44">
        <v>0</v>
      </c>
      <c r="G16" s="44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44">
        <v>0</v>
      </c>
      <c r="E17" s="44">
        <v>0</v>
      </c>
      <c r="F17" s="44">
        <v>0</v>
      </c>
      <c r="G17" s="44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44">
        <v>0</v>
      </c>
      <c r="E18" s="44">
        <v>0</v>
      </c>
      <c r="F18" s="44">
        <v>0</v>
      </c>
      <c r="G18" s="44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44">
        <v>0</v>
      </c>
      <c r="E19" s="44">
        <v>0</v>
      </c>
      <c r="F19" s="44">
        <v>0</v>
      </c>
      <c r="G19" s="44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44">
        <v>0</v>
      </c>
      <c r="E20" s="44">
        <v>0</v>
      </c>
      <c r="F20" s="44">
        <v>0</v>
      </c>
      <c r="G20" s="44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44">
        <v>0</v>
      </c>
      <c r="E21" s="44">
        <v>0</v>
      </c>
      <c r="F21" s="44">
        <v>0</v>
      </c>
      <c r="G21" s="44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44">
        <v>0</v>
      </c>
      <c r="E22" s="44">
        <v>0</v>
      </c>
      <c r="F22" s="44">
        <v>0</v>
      </c>
      <c r="G22" s="44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44">
        <v>0</v>
      </c>
      <c r="E23" s="44">
        <v>0</v>
      </c>
      <c r="F23" s="44">
        <v>0</v>
      </c>
      <c r="G23" s="44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44">
        <v>0</v>
      </c>
      <c r="E24" s="44">
        <v>0</v>
      </c>
      <c r="F24" s="44">
        <v>0</v>
      </c>
      <c r="G24" s="44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44">
        <v>2</v>
      </c>
      <c r="E25" s="44">
        <v>4</v>
      </c>
      <c r="F25" s="44">
        <v>0</v>
      </c>
      <c r="G25" s="44">
        <v>5</v>
      </c>
      <c r="H25" s="25">
        <v>0</v>
      </c>
      <c r="I25" s="25">
        <v>0</v>
      </c>
      <c r="J25" s="25">
        <v>0</v>
      </c>
      <c r="K25" s="25">
        <v>0</v>
      </c>
      <c r="L25" s="28">
        <v>11</v>
      </c>
      <c r="M25" s="11">
        <v>82</v>
      </c>
      <c r="N25" s="11">
        <v>55</v>
      </c>
      <c r="O25" s="11"/>
      <c r="P25" s="11"/>
      <c r="Q25" s="36">
        <v>126</v>
      </c>
    </row>
    <row r="26" spans="2:17" ht="22.2" x14ac:dyDescent="0.25">
      <c r="B26" s="11">
        <v>1004055</v>
      </c>
      <c r="C26" s="15" t="s">
        <v>37</v>
      </c>
      <c r="D26" s="44">
        <v>0</v>
      </c>
      <c r="E26" s="44">
        <v>30</v>
      </c>
      <c r="F26" s="44">
        <v>22</v>
      </c>
      <c r="G26" s="44">
        <v>165</v>
      </c>
      <c r="H26" s="25">
        <v>0</v>
      </c>
      <c r="I26" s="25">
        <v>0</v>
      </c>
      <c r="J26" s="25">
        <v>0</v>
      </c>
      <c r="K26" s="25">
        <v>0</v>
      </c>
      <c r="L26" s="28">
        <v>217</v>
      </c>
      <c r="M26" s="11">
        <v>500</v>
      </c>
      <c r="N26" s="11">
        <v>363</v>
      </c>
      <c r="O26" s="11"/>
      <c r="P26" s="11"/>
      <c r="Q26" s="36">
        <v>646</v>
      </c>
    </row>
    <row r="27" spans="2:17" ht="22.2" x14ac:dyDescent="0.25">
      <c r="B27" s="11">
        <v>1004055</v>
      </c>
      <c r="C27" s="15" t="s">
        <v>38</v>
      </c>
      <c r="D27" s="44">
        <v>0</v>
      </c>
      <c r="E27" s="44">
        <v>0</v>
      </c>
      <c r="F27" s="44">
        <v>0</v>
      </c>
      <c r="G27" s="44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44">
        <v>0</v>
      </c>
      <c r="E28" s="44">
        <v>0</v>
      </c>
      <c r="F28" s="44">
        <v>0</v>
      </c>
      <c r="G28" s="44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44">
        <v>0</v>
      </c>
      <c r="E29" s="44">
        <v>0</v>
      </c>
      <c r="F29" s="44">
        <v>0</v>
      </c>
      <c r="G29" s="44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44">
        <v>0</v>
      </c>
      <c r="E30" s="44">
        <v>0</v>
      </c>
      <c r="F30" s="44">
        <v>0</v>
      </c>
      <c r="G30" s="44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44">
        <v>0</v>
      </c>
      <c r="E31" s="44">
        <v>0</v>
      </c>
      <c r="F31" s="44">
        <v>0</v>
      </c>
      <c r="G31" s="44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44">
        <v>0</v>
      </c>
      <c r="E32" s="44">
        <v>0</v>
      </c>
      <c r="F32" s="44">
        <v>0</v>
      </c>
      <c r="G32" s="44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44">
        <v>0</v>
      </c>
      <c r="E33" s="44">
        <v>0</v>
      </c>
      <c r="F33" s="44">
        <v>0</v>
      </c>
      <c r="G33" s="44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44">
        <v>0</v>
      </c>
      <c r="E34" s="44">
        <v>0</v>
      </c>
      <c r="F34" s="44">
        <v>0</v>
      </c>
      <c r="G34" s="44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44">
        <v>0</v>
      </c>
      <c r="E35" s="44">
        <v>0</v>
      </c>
      <c r="F35" s="44">
        <v>0</v>
      </c>
      <c r="G35" s="44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44">
        <v>0</v>
      </c>
      <c r="E36" s="44">
        <v>0</v>
      </c>
      <c r="F36" s="44">
        <v>0</v>
      </c>
      <c r="G36" s="44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44">
        <v>0</v>
      </c>
      <c r="E37" s="44">
        <v>0</v>
      </c>
      <c r="F37" s="44">
        <v>0</v>
      </c>
      <c r="G37" s="44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44">
        <v>0</v>
      </c>
      <c r="E38" s="44">
        <v>0</v>
      </c>
      <c r="F38" s="44">
        <v>0</v>
      </c>
      <c r="G38" s="44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44">
        <v>0</v>
      </c>
      <c r="E39" s="44">
        <v>0</v>
      </c>
      <c r="F39" s="44">
        <v>0</v>
      </c>
      <c r="G39" s="44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44">
        <v>0</v>
      </c>
      <c r="E40" s="44">
        <v>1</v>
      </c>
      <c r="F40" s="44">
        <v>0</v>
      </c>
      <c r="G40" s="44">
        <v>0</v>
      </c>
      <c r="H40" s="25">
        <v>0</v>
      </c>
      <c r="I40" s="25">
        <v>0</v>
      </c>
      <c r="J40" s="25">
        <v>0</v>
      </c>
      <c r="K40" s="25">
        <v>0</v>
      </c>
      <c r="L40" s="28">
        <v>1</v>
      </c>
      <c r="M40" s="11">
        <v>100</v>
      </c>
      <c r="N40" s="11">
        <v>100</v>
      </c>
      <c r="O40" s="11"/>
      <c r="P40" s="11"/>
      <c r="Q40" s="36">
        <v>199</v>
      </c>
    </row>
    <row r="41" spans="2:17" ht="22.2" x14ac:dyDescent="0.25">
      <c r="B41" s="11">
        <v>1111058</v>
      </c>
      <c r="C41" s="15" t="s">
        <v>52</v>
      </c>
      <c r="D41" s="44">
        <v>0</v>
      </c>
      <c r="E41" s="44">
        <v>1</v>
      </c>
      <c r="F41" s="44">
        <v>0</v>
      </c>
      <c r="G41" s="44">
        <v>0</v>
      </c>
      <c r="H41" s="25">
        <v>0</v>
      </c>
      <c r="I41" s="25">
        <v>0</v>
      </c>
      <c r="J41" s="25">
        <v>0</v>
      </c>
      <c r="K41" s="25">
        <v>0</v>
      </c>
      <c r="L41" s="28">
        <v>1</v>
      </c>
      <c r="M41" s="11">
        <v>100</v>
      </c>
      <c r="N41" s="11"/>
      <c r="O41" s="11"/>
      <c r="P41" s="11"/>
      <c r="Q41" s="36">
        <v>99</v>
      </c>
    </row>
    <row r="42" spans="2:17" ht="22.2" x14ac:dyDescent="0.25">
      <c r="B42" s="11">
        <v>1111059</v>
      </c>
      <c r="C42" s="15" t="s">
        <v>53</v>
      </c>
      <c r="D42" s="44">
        <v>0</v>
      </c>
      <c r="E42" s="44">
        <v>1</v>
      </c>
      <c r="F42" s="44">
        <v>0</v>
      </c>
      <c r="G42" s="44">
        <v>0</v>
      </c>
      <c r="H42" s="25">
        <v>0</v>
      </c>
      <c r="I42" s="25">
        <v>0</v>
      </c>
      <c r="J42" s="25">
        <v>0</v>
      </c>
      <c r="K42" s="25">
        <v>0</v>
      </c>
      <c r="L42" s="28">
        <v>1</v>
      </c>
      <c r="M42" s="11">
        <v>100</v>
      </c>
      <c r="N42" s="11">
        <v>100</v>
      </c>
      <c r="O42" s="11"/>
      <c r="P42" s="11"/>
      <c r="Q42" s="36">
        <v>199</v>
      </c>
    </row>
    <row r="43" spans="2:17" ht="22.2" x14ac:dyDescent="0.25">
      <c r="B43" s="11">
        <v>1111060</v>
      </c>
      <c r="C43" s="15" t="s">
        <v>54</v>
      </c>
      <c r="D43" s="44">
        <v>0</v>
      </c>
      <c r="E43" s="44">
        <v>1</v>
      </c>
      <c r="F43" s="44">
        <v>0</v>
      </c>
      <c r="G43" s="44">
        <v>0</v>
      </c>
      <c r="H43" s="25">
        <v>0</v>
      </c>
      <c r="I43" s="25">
        <v>0</v>
      </c>
      <c r="J43" s="25">
        <v>0</v>
      </c>
      <c r="K43" s="25">
        <v>0</v>
      </c>
      <c r="L43" s="28">
        <v>1</v>
      </c>
      <c r="M43" s="11">
        <v>100</v>
      </c>
      <c r="N43" s="11">
        <v>200</v>
      </c>
      <c r="O43" s="11"/>
      <c r="P43" s="11"/>
      <c r="Q43" s="36">
        <v>299</v>
      </c>
    </row>
    <row r="44" spans="2:17" ht="22.2" x14ac:dyDescent="0.25">
      <c r="B44" s="11">
        <v>1111061</v>
      </c>
      <c r="C44" s="15" t="s">
        <v>55</v>
      </c>
      <c r="D44" s="44">
        <v>0</v>
      </c>
      <c r="E44" s="44">
        <v>0</v>
      </c>
      <c r="F44" s="44">
        <v>0</v>
      </c>
      <c r="G44" s="44">
        <v>0</v>
      </c>
      <c r="H44" s="25">
        <v>0</v>
      </c>
      <c r="I44" s="25">
        <v>0</v>
      </c>
      <c r="J44" s="25">
        <v>0</v>
      </c>
      <c r="K44" s="25">
        <v>0</v>
      </c>
      <c r="L44" s="28">
        <v>0</v>
      </c>
      <c r="M44" s="11">
        <v>100</v>
      </c>
      <c r="N44" s="11">
        <v>98</v>
      </c>
      <c r="O44" s="11"/>
      <c r="P44" s="11"/>
      <c r="Q44" s="36">
        <v>198</v>
      </c>
    </row>
    <row r="45" spans="2:17" ht="22.2" x14ac:dyDescent="0.25">
      <c r="B45" s="11">
        <v>1111062</v>
      </c>
      <c r="C45" s="15" t="s">
        <v>56</v>
      </c>
      <c r="D45" s="44">
        <v>0</v>
      </c>
      <c r="E45" s="44">
        <v>0</v>
      </c>
      <c r="F45" s="44">
        <v>0</v>
      </c>
      <c r="G45" s="44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>
        <v>100</v>
      </c>
      <c r="N45" s="11">
        <v>100</v>
      </c>
      <c r="O45" s="11"/>
      <c r="P45" s="11"/>
      <c r="Q45" s="36">
        <v>200</v>
      </c>
    </row>
    <row r="46" spans="2:17" ht="22.2" x14ac:dyDescent="0.25">
      <c r="B46" s="11">
        <v>1111063</v>
      </c>
      <c r="C46" s="15" t="s">
        <v>57</v>
      </c>
      <c r="D46" s="44">
        <v>0</v>
      </c>
      <c r="E46" s="44">
        <v>1</v>
      </c>
      <c r="F46" s="44">
        <v>0</v>
      </c>
      <c r="G46" s="44">
        <v>0</v>
      </c>
      <c r="H46" s="25">
        <v>0</v>
      </c>
      <c r="I46" s="25">
        <v>0</v>
      </c>
      <c r="J46" s="25">
        <v>0</v>
      </c>
      <c r="K46" s="25">
        <v>0</v>
      </c>
      <c r="L46" s="28">
        <v>1</v>
      </c>
      <c r="M46" s="11">
        <v>100</v>
      </c>
      <c r="N46" s="11">
        <v>200</v>
      </c>
      <c r="O46" s="11"/>
      <c r="P46" s="11"/>
      <c r="Q46" s="36">
        <v>299</v>
      </c>
    </row>
    <row r="47" spans="2:17" ht="22.2" x14ac:dyDescent="0.25">
      <c r="B47" s="11">
        <v>1111064</v>
      </c>
      <c r="C47" s="15" t="s">
        <v>58</v>
      </c>
      <c r="D47" s="44">
        <v>0</v>
      </c>
      <c r="E47" s="44">
        <v>0</v>
      </c>
      <c r="F47" s="44">
        <v>0</v>
      </c>
      <c r="G47" s="44">
        <v>0</v>
      </c>
      <c r="H47" s="25">
        <v>0</v>
      </c>
      <c r="I47" s="25">
        <v>0</v>
      </c>
      <c r="J47" s="25">
        <v>0</v>
      </c>
      <c r="K47" s="25">
        <v>0</v>
      </c>
      <c r="L47" s="28">
        <v>0</v>
      </c>
      <c r="M47" s="11">
        <v>100</v>
      </c>
      <c r="N47" s="11"/>
      <c r="O47" s="11"/>
      <c r="P47" s="11"/>
      <c r="Q47" s="36">
        <v>100</v>
      </c>
    </row>
    <row r="48" spans="2:17" ht="22.2" x14ac:dyDescent="0.25">
      <c r="B48" s="11">
        <v>1111065</v>
      </c>
      <c r="C48" s="15" t="s">
        <v>59</v>
      </c>
      <c r="D48" s="44">
        <v>0</v>
      </c>
      <c r="E48" s="44">
        <v>1</v>
      </c>
      <c r="F48" s="44">
        <v>0</v>
      </c>
      <c r="G48" s="44">
        <v>0</v>
      </c>
      <c r="H48" s="25">
        <v>0</v>
      </c>
      <c r="I48" s="25">
        <v>0</v>
      </c>
      <c r="J48" s="25">
        <v>0</v>
      </c>
      <c r="K48" s="25">
        <v>0</v>
      </c>
      <c r="L48" s="28">
        <v>1</v>
      </c>
      <c r="M48" s="11">
        <v>100</v>
      </c>
      <c r="N48" s="11"/>
      <c r="O48" s="11"/>
      <c r="P48" s="11"/>
      <c r="Q48" s="36">
        <v>99</v>
      </c>
    </row>
    <row r="49" spans="2:17" ht="22.2" x14ac:dyDescent="0.25">
      <c r="B49" s="11">
        <v>1111066</v>
      </c>
      <c r="C49" s="15" t="s">
        <v>60</v>
      </c>
      <c r="D49" s="44">
        <v>0</v>
      </c>
      <c r="E49" s="44">
        <v>1</v>
      </c>
      <c r="F49" s="44">
        <v>0</v>
      </c>
      <c r="G49" s="44">
        <v>0</v>
      </c>
      <c r="H49" s="25">
        <v>0</v>
      </c>
      <c r="I49" s="25">
        <v>0</v>
      </c>
      <c r="J49" s="25">
        <v>0</v>
      </c>
      <c r="K49" s="25">
        <v>0</v>
      </c>
      <c r="L49" s="28">
        <v>1</v>
      </c>
      <c r="M49" s="11">
        <v>100</v>
      </c>
      <c r="N49" s="11">
        <v>100</v>
      </c>
      <c r="O49" s="11"/>
      <c r="P49" s="11"/>
      <c r="Q49" s="36">
        <v>199</v>
      </c>
    </row>
    <row r="50" spans="2:17" ht="22.2" x14ac:dyDescent="0.25">
      <c r="B50" s="11">
        <v>1111067</v>
      </c>
      <c r="C50" s="15" t="s">
        <v>61</v>
      </c>
      <c r="D50" s="44">
        <v>0</v>
      </c>
      <c r="E50" s="44">
        <v>1</v>
      </c>
      <c r="F50" s="44">
        <v>0</v>
      </c>
      <c r="G50" s="44">
        <v>0</v>
      </c>
      <c r="H50" s="25">
        <v>0</v>
      </c>
      <c r="I50" s="25">
        <v>0</v>
      </c>
      <c r="J50" s="25">
        <v>0</v>
      </c>
      <c r="K50" s="25">
        <v>0</v>
      </c>
      <c r="L50" s="28">
        <v>1</v>
      </c>
      <c r="M50" s="11">
        <v>100</v>
      </c>
      <c r="N50" s="11">
        <v>100</v>
      </c>
      <c r="O50" s="11"/>
      <c r="P50" s="11"/>
      <c r="Q50" s="36">
        <v>199</v>
      </c>
    </row>
    <row r="51" spans="2:17" ht="22.2" x14ac:dyDescent="0.25">
      <c r="B51" s="11">
        <v>1111068</v>
      </c>
      <c r="C51" s="15" t="s">
        <v>62</v>
      </c>
      <c r="D51" s="44">
        <v>0</v>
      </c>
      <c r="E51" s="44">
        <v>1</v>
      </c>
      <c r="F51" s="44">
        <v>0</v>
      </c>
      <c r="G51" s="44">
        <v>0</v>
      </c>
      <c r="H51" s="25">
        <v>0</v>
      </c>
      <c r="I51" s="25">
        <v>0</v>
      </c>
      <c r="J51" s="25">
        <v>0</v>
      </c>
      <c r="K51" s="25">
        <v>0</v>
      </c>
      <c r="L51" s="28">
        <v>1</v>
      </c>
      <c r="M51" s="11">
        <v>100</v>
      </c>
      <c r="N51" s="11">
        <v>100</v>
      </c>
      <c r="O51" s="11"/>
      <c r="P51" s="11"/>
      <c r="Q51" s="36">
        <v>199</v>
      </c>
    </row>
    <row r="52" spans="2:17" ht="22.2" x14ac:dyDescent="0.25">
      <c r="B52" s="11">
        <v>1111069</v>
      </c>
      <c r="C52" s="15" t="s">
        <v>63</v>
      </c>
      <c r="D52" s="44">
        <v>0</v>
      </c>
      <c r="E52" s="44">
        <v>1</v>
      </c>
      <c r="F52" s="44">
        <v>0</v>
      </c>
      <c r="G52" s="44">
        <v>0</v>
      </c>
      <c r="H52" s="25">
        <v>0</v>
      </c>
      <c r="I52" s="25">
        <v>0</v>
      </c>
      <c r="J52" s="25">
        <v>0</v>
      </c>
      <c r="K52" s="25">
        <v>0</v>
      </c>
      <c r="L52" s="28">
        <v>1</v>
      </c>
      <c r="M52" s="11">
        <v>100</v>
      </c>
      <c r="N52" s="11">
        <v>100</v>
      </c>
      <c r="O52" s="11"/>
      <c r="P52" s="11"/>
      <c r="Q52" s="36">
        <v>199</v>
      </c>
    </row>
    <row r="53" spans="2:17" ht="22.2" x14ac:dyDescent="0.25">
      <c r="B53" s="11">
        <v>1111070</v>
      </c>
      <c r="C53" s="15" t="s">
        <v>64</v>
      </c>
      <c r="D53" s="44">
        <v>0</v>
      </c>
      <c r="E53" s="44">
        <v>0</v>
      </c>
      <c r="F53" s="44">
        <v>0</v>
      </c>
      <c r="G53" s="44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44">
        <v>0</v>
      </c>
      <c r="E54" s="44">
        <v>0</v>
      </c>
      <c r="F54" s="44">
        <v>0</v>
      </c>
      <c r="G54" s="44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44">
        <v>0</v>
      </c>
      <c r="E55" s="44">
        <v>0</v>
      </c>
      <c r="F55" s="44">
        <v>0</v>
      </c>
      <c r="G55" s="44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44">
        <v>0</v>
      </c>
      <c r="E56" s="44">
        <v>2</v>
      </c>
      <c r="F56" s="44">
        <v>2</v>
      </c>
      <c r="G56" s="44">
        <v>0</v>
      </c>
      <c r="H56" s="25">
        <v>0</v>
      </c>
      <c r="I56" s="25">
        <v>0</v>
      </c>
      <c r="J56" s="25">
        <v>0</v>
      </c>
      <c r="K56" s="25">
        <v>0</v>
      </c>
      <c r="L56" s="28">
        <v>4</v>
      </c>
      <c r="M56" s="11">
        <v>100</v>
      </c>
      <c r="N56" s="11">
        <v>49</v>
      </c>
      <c r="O56" s="11"/>
      <c r="P56" s="11"/>
      <c r="Q56" s="36">
        <v>145</v>
      </c>
    </row>
    <row r="57" spans="2:17" ht="22.2" x14ac:dyDescent="0.25">
      <c r="B57" s="11">
        <v>1111075</v>
      </c>
      <c r="C57" s="15" t="s">
        <v>68</v>
      </c>
      <c r="D57" s="44">
        <v>0</v>
      </c>
      <c r="E57" s="44">
        <v>2</v>
      </c>
      <c r="F57" s="44">
        <v>2</v>
      </c>
      <c r="G57" s="44">
        <v>0</v>
      </c>
      <c r="H57" s="25">
        <v>0</v>
      </c>
      <c r="I57" s="25">
        <v>0</v>
      </c>
      <c r="J57" s="25">
        <v>0</v>
      </c>
      <c r="K57" s="25">
        <v>0</v>
      </c>
      <c r="L57" s="28">
        <v>4</v>
      </c>
      <c r="M57" s="11">
        <v>100</v>
      </c>
      <c r="N57" s="11">
        <v>89</v>
      </c>
      <c r="O57" s="11"/>
      <c r="P57" s="11"/>
      <c r="Q57" s="36">
        <v>185</v>
      </c>
    </row>
    <row r="58" spans="2:17" ht="22.2" x14ac:dyDescent="0.25">
      <c r="B58" s="11">
        <v>1111076</v>
      </c>
      <c r="C58" s="15" t="s">
        <v>69</v>
      </c>
      <c r="D58" s="44">
        <v>0</v>
      </c>
      <c r="E58" s="44">
        <v>2</v>
      </c>
      <c r="F58" s="44">
        <v>2</v>
      </c>
      <c r="G58" s="44">
        <v>0</v>
      </c>
      <c r="H58" s="25">
        <v>0</v>
      </c>
      <c r="I58" s="25">
        <v>0</v>
      </c>
      <c r="J58" s="25">
        <v>0</v>
      </c>
      <c r="K58" s="25">
        <v>0</v>
      </c>
      <c r="L58" s="28">
        <v>4</v>
      </c>
      <c r="M58" s="11">
        <v>100</v>
      </c>
      <c r="N58" s="11">
        <v>62</v>
      </c>
      <c r="O58" s="11"/>
      <c r="P58" s="11"/>
      <c r="Q58" s="36">
        <v>158</v>
      </c>
    </row>
    <row r="59" spans="2:17" ht="22.2" x14ac:dyDescent="0.25">
      <c r="B59" s="11">
        <v>1111077</v>
      </c>
      <c r="C59" s="15" t="s">
        <v>70</v>
      </c>
      <c r="D59" s="44">
        <v>0</v>
      </c>
      <c r="E59" s="44">
        <v>2</v>
      </c>
      <c r="F59" s="44">
        <v>2</v>
      </c>
      <c r="G59" s="44">
        <v>0</v>
      </c>
      <c r="H59" s="25">
        <v>0</v>
      </c>
      <c r="I59" s="25">
        <v>0</v>
      </c>
      <c r="J59" s="25">
        <v>0</v>
      </c>
      <c r="K59" s="25">
        <v>0</v>
      </c>
      <c r="L59" s="28">
        <v>4</v>
      </c>
      <c r="M59" s="11">
        <v>100</v>
      </c>
      <c r="N59" s="11">
        <v>80</v>
      </c>
      <c r="O59" s="11"/>
      <c r="P59" s="11"/>
      <c r="Q59" s="36">
        <v>176</v>
      </c>
    </row>
    <row r="60" spans="2:17" ht="22.2" x14ac:dyDescent="0.25">
      <c r="B60" s="11">
        <v>1111078</v>
      </c>
      <c r="C60" s="15" t="s">
        <v>71</v>
      </c>
      <c r="D60" s="44">
        <v>0</v>
      </c>
      <c r="E60" s="44">
        <v>2</v>
      </c>
      <c r="F60" s="44">
        <v>2</v>
      </c>
      <c r="G60" s="44">
        <v>0</v>
      </c>
      <c r="H60" s="25">
        <v>0</v>
      </c>
      <c r="I60" s="25">
        <v>0</v>
      </c>
      <c r="J60" s="25">
        <v>0</v>
      </c>
      <c r="K60" s="25">
        <v>0</v>
      </c>
      <c r="L60" s="28">
        <v>4</v>
      </c>
      <c r="M60" s="11">
        <v>100</v>
      </c>
      <c r="N60" s="11"/>
      <c r="O60" s="11"/>
      <c r="P60" s="11"/>
      <c r="Q60" s="36">
        <v>96</v>
      </c>
    </row>
    <row r="61" spans="2:17" ht="22.2" x14ac:dyDescent="0.25">
      <c r="B61" s="11">
        <v>1111079</v>
      </c>
      <c r="C61" s="15" t="s">
        <v>72</v>
      </c>
      <c r="D61" s="44">
        <v>0</v>
      </c>
      <c r="E61" s="44">
        <v>2</v>
      </c>
      <c r="F61" s="44">
        <v>2</v>
      </c>
      <c r="G61" s="44">
        <v>0</v>
      </c>
      <c r="H61" s="25">
        <v>0</v>
      </c>
      <c r="I61" s="25">
        <v>0</v>
      </c>
      <c r="J61" s="25">
        <v>0</v>
      </c>
      <c r="K61" s="25">
        <v>0</v>
      </c>
      <c r="L61" s="28">
        <v>4</v>
      </c>
      <c r="M61" s="11">
        <v>100</v>
      </c>
      <c r="N61" s="11">
        <v>140</v>
      </c>
      <c r="O61" s="11"/>
      <c r="P61" s="11"/>
      <c r="Q61" s="36">
        <v>236</v>
      </c>
    </row>
    <row r="62" spans="2:17" ht="22.2" x14ac:dyDescent="0.25">
      <c r="B62" s="11">
        <v>1111080</v>
      </c>
      <c r="C62" s="15" t="s">
        <v>73</v>
      </c>
      <c r="D62" s="44">
        <v>0</v>
      </c>
      <c r="E62" s="44">
        <v>2</v>
      </c>
      <c r="F62" s="44">
        <v>2</v>
      </c>
      <c r="G62" s="44">
        <v>0</v>
      </c>
      <c r="H62" s="25">
        <v>0</v>
      </c>
      <c r="I62" s="25">
        <v>0</v>
      </c>
      <c r="J62" s="25">
        <v>0</v>
      </c>
      <c r="K62" s="25">
        <v>0</v>
      </c>
      <c r="L62" s="28">
        <v>4</v>
      </c>
      <c r="M62" s="11">
        <v>100</v>
      </c>
      <c r="N62" s="11">
        <v>40</v>
      </c>
      <c r="O62" s="11"/>
      <c r="P62" s="11"/>
      <c r="Q62" s="36">
        <v>136</v>
      </c>
    </row>
    <row r="63" spans="2:17" ht="22.2" x14ac:dyDescent="0.25">
      <c r="B63" s="11">
        <v>1111081</v>
      </c>
      <c r="C63" s="15" t="s">
        <v>74</v>
      </c>
      <c r="D63" s="44">
        <v>0</v>
      </c>
      <c r="E63" s="44">
        <v>2</v>
      </c>
      <c r="F63" s="44">
        <v>2</v>
      </c>
      <c r="G63" s="44">
        <v>0</v>
      </c>
      <c r="H63" s="25">
        <v>0</v>
      </c>
      <c r="I63" s="25">
        <v>0</v>
      </c>
      <c r="J63" s="25">
        <v>0</v>
      </c>
      <c r="K63" s="25">
        <v>0</v>
      </c>
      <c r="L63" s="28">
        <v>4</v>
      </c>
      <c r="M63" s="11">
        <v>100</v>
      </c>
      <c r="N63" s="11"/>
      <c r="O63" s="11"/>
      <c r="P63" s="11"/>
      <c r="Q63" s="36">
        <v>96</v>
      </c>
    </row>
    <row r="64" spans="2:17" ht="22.2" x14ac:dyDescent="0.25">
      <c r="B64" s="11">
        <v>1111082</v>
      </c>
      <c r="C64" s="15" t="s">
        <v>75</v>
      </c>
      <c r="D64" s="44">
        <v>0</v>
      </c>
      <c r="E64" s="44">
        <v>2</v>
      </c>
      <c r="F64" s="44">
        <v>2</v>
      </c>
      <c r="G64" s="44">
        <v>0</v>
      </c>
      <c r="H64" s="25">
        <v>0</v>
      </c>
      <c r="I64" s="25">
        <v>0</v>
      </c>
      <c r="J64" s="25">
        <v>0</v>
      </c>
      <c r="K64" s="25">
        <v>0</v>
      </c>
      <c r="L64" s="28">
        <v>4</v>
      </c>
      <c r="M64" s="11">
        <v>100</v>
      </c>
      <c r="N64" s="11"/>
      <c r="O64" s="11"/>
      <c r="P64" s="11"/>
      <c r="Q64" s="36">
        <v>96</v>
      </c>
    </row>
    <row r="65" spans="2:17" ht="22.2" x14ac:dyDescent="0.25">
      <c r="B65" s="11">
        <v>1111083</v>
      </c>
      <c r="C65" s="15" t="s">
        <v>76</v>
      </c>
      <c r="D65" s="44">
        <v>0</v>
      </c>
      <c r="E65" s="44">
        <v>2</v>
      </c>
      <c r="F65" s="44">
        <v>2</v>
      </c>
      <c r="G65" s="44">
        <v>0</v>
      </c>
      <c r="H65" s="25">
        <v>0</v>
      </c>
      <c r="I65" s="25">
        <v>0</v>
      </c>
      <c r="J65" s="25">
        <v>0</v>
      </c>
      <c r="K65" s="25">
        <v>0</v>
      </c>
      <c r="L65" s="28">
        <v>4</v>
      </c>
      <c r="M65" s="11">
        <v>100</v>
      </c>
      <c r="N65" s="11"/>
      <c r="O65" s="11"/>
      <c r="P65" s="11"/>
      <c r="Q65" s="36">
        <v>96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44">
        <v>2</v>
      </c>
      <c r="E69" s="44">
        <v>2</v>
      </c>
      <c r="F69" s="44">
        <v>0</v>
      </c>
      <c r="G69" s="44">
        <v>3</v>
      </c>
      <c r="H69" s="25">
        <v>0</v>
      </c>
      <c r="I69" s="25">
        <v>0</v>
      </c>
      <c r="J69" s="25">
        <v>0</v>
      </c>
      <c r="K69" s="25">
        <v>0</v>
      </c>
      <c r="L69" s="28">
        <v>7</v>
      </c>
      <c r="M69" s="11">
        <v>260</v>
      </c>
      <c r="N69" s="11">
        <v>59</v>
      </c>
      <c r="O69" s="11"/>
      <c r="P69" s="11"/>
      <c r="Q69" s="36">
        <v>312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44">
        <v>3</v>
      </c>
      <c r="E87" s="44">
        <v>9</v>
      </c>
      <c r="F87" s="44">
        <v>0</v>
      </c>
      <c r="G87" s="44">
        <v>183</v>
      </c>
      <c r="H87" s="25">
        <v>0</v>
      </c>
      <c r="I87" s="25">
        <v>0</v>
      </c>
      <c r="J87" s="25">
        <v>0</v>
      </c>
      <c r="K87" s="25">
        <v>0</v>
      </c>
      <c r="L87" s="28">
        <v>195</v>
      </c>
      <c r="M87" s="11">
        <v>700</v>
      </c>
      <c r="N87" s="11">
        <v>196</v>
      </c>
      <c r="O87" s="11"/>
      <c r="P87" s="11"/>
      <c r="Q87" s="36">
        <v>701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44">
        <v>2</v>
      </c>
      <c r="E90" s="44">
        <v>2</v>
      </c>
      <c r="F90" s="44">
        <v>17</v>
      </c>
      <c r="G90" s="44">
        <v>93</v>
      </c>
      <c r="H90" s="25">
        <v>0</v>
      </c>
      <c r="I90" s="25">
        <v>0</v>
      </c>
      <c r="J90" s="25">
        <v>0</v>
      </c>
      <c r="K90" s="25">
        <v>0</v>
      </c>
      <c r="L90" s="28">
        <v>114</v>
      </c>
      <c r="M90" s="11">
        <v>525</v>
      </c>
      <c r="N90" s="11">
        <v>555</v>
      </c>
      <c r="O90" s="11"/>
      <c r="P90" s="11"/>
      <c r="Q90" s="36">
        <v>966</v>
      </c>
    </row>
    <row r="91" spans="2:17" ht="22.2" x14ac:dyDescent="0.25">
      <c r="B91" s="11">
        <v>1112011</v>
      </c>
      <c r="C91" s="18" t="s">
        <v>99</v>
      </c>
      <c r="D91" s="44">
        <v>2</v>
      </c>
      <c r="E91" s="44">
        <v>2</v>
      </c>
      <c r="F91" s="44">
        <v>18</v>
      </c>
      <c r="G91" s="44">
        <v>93</v>
      </c>
      <c r="H91" s="25">
        <v>0</v>
      </c>
      <c r="I91" s="25">
        <v>0</v>
      </c>
      <c r="J91" s="25">
        <v>0</v>
      </c>
      <c r="K91" s="25">
        <v>0</v>
      </c>
      <c r="L91" s="28">
        <v>115</v>
      </c>
      <c r="M91" s="11">
        <v>309</v>
      </c>
      <c r="N91" s="11">
        <v>514</v>
      </c>
      <c r="O91" s="11"/>
      <c r="P91" s="11"/>
      <c r="Q91" s="36">
        <v>708</v>
      </c>
    </row>
    <row r="92" spans="2:17" ht="22.2" x14ac:dyDescent="0.25">
      <c r="B92" s="11">
        <v>1112003</v>
      </c>
      <c r="C92" s="18" t="s">
        <v>100</v>
      </c>
      <c r="D92" s="44">
        <v>0</v>
      </c>
      <c r="E92" s="44">
        <v>0</v>
      </c>
      <c r="F92" s="44">
        <v>0</v>
      </c>
      <c r="G92" s="44">
        <v>72</v>
      </c>
      <c r="H92" s="25">
        <v>0</v>
      </c>
      <c r="I92" s="25">
        <v>0</v>
      </c>
      <c r="J92" s="25">
        <v>0</v>
      </c>
      <c r="K92" s="25">
        <v>0</v>
      </c>
      <c r="L92" s="28">
        <v>72</v>
      </c>
      <c r="M92" s="11">
        <v>448</v>
      </c>
      <c r="N92" s="11">
        <v>386</v>
      </c>
      <c r="O92" s="11"/>
      <c r="P92" s="11"/>
      <c r="Q92" s="36">
        <v>762</v>
      </c>
    </row>
    <row r="93" spans="2:17" ht="22.2" x14ac:dyDescent="0.25">
      <c r="B93" s="11">
        <v>1112005</v>
      </c>
      <c r="C93" s="18" t="s">
        <v>101</v>
      </c>
      <c r="D93" s="44">
        <v>0</v>
      </c>
      <c r="E93" s="44">
        <v>0</v>
      </c>
      <c r="F93" s="44">
        <v>0</v>
      </c>
      <c r="G93" s="44">
        <v>72</v>
      </c>
      <c r="H93" s="25">
        <v>0</v>
      </c>
      <c r="I93" s="25">
        <v>0</v>
      </c>
      <c r="J93" s="25">
        <v>0</v>
      </c>
      <c r="K93" s="25">
        <v>0</v>
      </c>
      <c r="L93" s="28">
        <v>72</v>
      </c>
      <c r="M93" s="11">
        <v>400</v>
      </c>
      <c r="N93" s="11">
        <v>535</v>
      </c>
      <c r="O93" s="11"/>
      <c r="P93" s="11"/>
      <c r="Q93" s="36">
        <v>863</v>
      </c>
    </row>
    <row r="94" spans="2:17" ht="22.2" x14ac:dyDescent="0.25">
      <c r="B94" s="11">
        <v>1112007</v>
      </c>
      <c r="C94" s="18" t="s">
        <v>102</v>
      </c>
      <c r="D94" s="44">
        <v>0</v>
      </c>
      <c r="E94" s="44">
        <v>0</v>
      </c>
      <c r="F94" s="44">
        <v>0</v>
      </c>
      <c r="G94" s="44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44">
        <v>0</v>
      </c>
      <c r="E95" s="44">
        <v>0</v>
      </c>
      <c r="F95" s="44">
        <v>0</v>
      </c>
      <c r="G95" s="44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44">
        <v>0</v>
      </c>
      <c r="E96" s="44">
        <v>0</v>
      </c>
      <c r="F96" s="44">
        <v>0</v>
      </c>
      <c r="G96" s="44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44">
        <v>0</v>
      </c>
      <c r="E97" s="44">
        <v>0</v>
      </c>
      <c r="F97" s="44">
        <v>0</v>
      </c>
      <c r="G97" s="44">
        <v>72</v>
      </c>
      <c r="H97" s="25">
        <v>0</v>
      </c>
      <c r="I97" s="25">
        <v>0</v>
      </c>
      <c r="J97" s="25">
        <v>0</v>
      </c>
      <c r="K97" s="25">
        <v>0</v>
      </c>
      <c r="L97" s="28">
        <v>72</v>
      </c>
      <c r="M97" s="11">
        <v>508</v>
      </c>
      <c r="N97" s="11">
        <v>488</v>
      </c>
      <c r="O97" s="11"/>
      <c r="P97" s="11"/>
      <c r="Q97" s="36">
        <v>924</v>
      </c>
    </row>
    <row r="98" spans="2:17" ht="22.2" x14ac:dyDescent="0.25">
      <c r="B98" s="11">
        <v>1112013</v>
      </c>
      <c r="C98" s="18" t="s">
        <v>106</v>
      </c>
      <c r="D98" s="44">
        <v>2</v>
      </c>
      <c r="E98" s="44">
        <v>1</v>
      </c>
      <c r="F98" s="44">
        <v>17</v>
      </c>
      <c r="G98" s="44">
        <v>93</v>
      </c>
      <c r="H98" s="25">
        <v>0</v>
      </c>
      <c r="I98" s="25">
        <v>0</v>
      </c>
      <c r="J98" s="25">
        <v>0</v>
      </c>
      <c r="K98" s="25">
        <v>0</v>
      </c>
      <c r="L98" s="28">
        <v>113</v>
      </c>
      <c r="M98" s="11">
        <v>426</v>
      </c>
      <c r="N98" s="11">
        <v>407</v>
      </c>
      <c r="O98" s="11"/>
      <c r="P98" s="11"/>
      <c r="Q98" s="36">
        <v>720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558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44">
        <v>2</v>
      </c>
      <c r="E114" s="44">
        <v>0</v>
      </c>
      <c r="F114" s="44">
        <v>0</v>
      </c>
      <c r="G114" s="44">
        <v>3</v>
      </c>
      <c r="H114" s="25">
        <v>0</v>
      </c>
      <c r="I114" s="25">
        <v>0</v>
      </c>
      <c r="J114" s="25">
        <v>0</v>
      </c>
      <c r="K114" s="25">
        <v>0</v>
      </c>
      <c r="L114" s="28">
        <v>5</v>
      </c>
      <c r="M114" s="11">
        <v>200</v>
      </c>
      <c r="N114" s="11">
        <v>50</v>
      </c>
      <c r="O114" s="11"/>
      <c r="P114" s="11"/>
      <c r="Q114" s="36">
        <v>245</v>
      </c>
    </row>
    <row r="115" spans="2:17" ht="22.2" x14ac:dyDescent="0.25">
      <c r="B115" s="11">
        <v>1113171</v>
      </c>
      <c r="C115" s="20" t="s">
        <v>111</v>
      </c>
      <c r="D115" s="44">
        <v>2</v>
      </c>
      <c r="E115" s="44">
        <v>0</v>
      </c>
      <c r="F115" s="44">
        <v>0</v>
      </c>
      <c r="G115" s="44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2</v>
      </c>
      <c r="M115" s="11">
        <v>200</v>
      </c>
      <c r="N115" s="11">
        <v>36</v>
      </c>
      <c r="O115" s="11"/>
      <c r="P115" s="11"/>
      <c r="Q115" s="36">
        <v>234</v>
      </c>
    </row>
    <row r="116" spans="2:17" ht="22.2" x14ac:dyDescent="0.25">
      <c r="B116" s="11">
        <v>1113172</v>
      </c>
      <c r="C116" s="20" t="s">
        <v>112</v>
      </c>
      <c r="D116" s="44">
        <v>3</v>
      </c>
      <c r="E116" s="44">
        <v>0</v>
      </c>
      <c r="F116" s="44">
        <v>0</v>
      </c>
      <c r="G116" s="44">
        <v>8</v>
      </c>
      <c r="H116" s="25">
        <v>0</v>
      </c>
      <c r="I116" s="25">
        <v>0</v>
      </c>
      <c r="J116" s="25">
        <v>0</v>
      </c>
      <c r="K116" s="25">
        <v>0</v>
      </c>
      <c r="L116" s="28">
        <v>11</v>
      </c>
      <c r="M116" s="11">
        <v>200</v>
      </c>
      <c r="N116" s="11">
        <v>36</v>
      </c>
      <c r="O116" s="11"/>
      <c r="P116" s="11"/>
      <c r="Q116" s="36">
        <v>225</v>
      </c>
    </row>
    <row r="117" spans="2:17" ht="22.2" x14ac:dyDescent="0.25">
      <c r="B117" s="11">
        <v>1113173</v>
      </c>
      <c r="C117" s="20" t="s">
        <v>113</v>
      </c>
      <c r="D117" s="44">
        <v>0</v>
      </c>
      <c r="E117" s="44">
        <v>0</v>
      </c>
      <c r="F117" s="44">
        <v>0</v>
      </c>
      <c r="G117" s="44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44">
        <v>0</v>
      </c>
      <c r="E118" s="44">
        <v>0</v>
      </c>
      <c r="F118" s="44">
        <v>0</v>
      </c>
      <c r="G118" s="44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>
        <v>55</v>
      </c>
      <c r="O118" s="11"/>
      <c r="P118" s="11"/>
      <c r="Q118" s="36">
        <v>55</v>
      </c>
    </row>
    <row r="119" spans="2:17" ht="22.2" x14ac:dyDescent="0.25">
      <c r="B119" s="11">
        <v>1100001</v>
      </c>
      <c r="C119" s="20" t="s">
        <v>115</v>
      </c>
      <c r="D119" s="44">
        <v>0</v>
      </c>
      <c r="E119" s="44">
        <v>0</v>
      </c>
      <c r="F119" s="44">
        <v>0</v>
      </c>
      <c r="G119" s="44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0</v>
      </c>
      <c r="M119" s="11"/>
      <c r="N119" s="11">
        <v>400</v>
      </c>
      <c r="O119" s="11"/>
      <c r="P119" s="11"/>
      <c r="Q119" s="36">
        <v>400</v>
      </c>
    </row>
    <row r="120" spans="2:17" ht="22.2" x14ac:dyDescent="0.25">
      <c r="B120" s="11">
        <v>1100002</v>
      </c>
      <c r="C120" s="20" t="s">
        <v>116</v>
      </c>
      <c r="D120" s="44">
        <v>0</v>
      </c>
      <c r="E120" s="44">
        <v>5</v>
      </c>
      <c r="F120" s="44">
        <v>0</v>
      </c>
      <c r="G120" s="44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5</v>
      </c>
      <c r="M120" s="11">
        <v>200</v>
      </c>
      <c r="N120" s="11">
        <v>3</v>
      </c>
      <c r="O120" s="11"/>
      <c r="P120" s="11"/>
      <c r="Q120" s="36">
        <v>198</v>
      </c>
    </row>
    <row r="121" spans="2:17" ht="22.2" x14ac:dyDescent="0.25">
      <c r="B121" s="11">
        <v>1200001</v>
      </c>
      <c r="C121" s="20" t="s">
        <v>117</v>
      </c>
      <c r="D121" s="44">
        <v>0</v>
      </c>
      <c r="E121" s="44">
        <v>0</v>
      </c>
      <c r="F121" s="44">
        <v>0</v>
      </c>
      <c r="G121" s="44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>
        <v>100</v>
      </c>
      <c r="N121" s="11">
        <v>102</v>
      </c>
      <c r="O121" s="11"/>
      <c r="P121" s="11"/>
      <c r="Q121" s="36">
        <v>202</v>
      </c>
    </row>
    <row r="122" spans="2:17" ht="22.2" x14ac:dyDescent="0.25">
      <c r="B122" s="11">
        <v>1005761</v>
      </c>
      <c r="C122" s="20" t="s">
        <v>118</v>
      </c>
      <c r="D122" s="44">
        <v>0</v>
      </c>
      <c r="E122" s="44">
        <v>0</v>
      </c>
      <c r="F122" s="44">
        <v>0</v>
      </c>
      <c r="G122" s="44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11"/>
      <c r="P122" s="11"/>
      <c r="Q122" s="36">
        <v>0</v>
      </c>
    </row>
    <row r="123" spans="2:17" ht="22.2" x14ac:dyDescent="0.25">
      <c r="B123" s="11">
        <v>1114501</v>
      </c>
      <c r="C123" s="20" t="s">
        <v>119</v>
      </c>
      <c r="D123" s="44">
        <v>0</v>
      </c>
      <c r="E123" s="44">
        <v>8</v>
      </c>
      <c r="F123" s="44">
        <v>4</v>
      </c>
      <c r="G123" s="44">
        <v>134</v>
      </c>
      <c r="H123" s="25">
        <v>0</v>
      </c>
      <c r="I123" s="25">
        <v>0</v>
      </c>
      <c r="J123" s="25">
        <v>0</v>
      </c>
      <c r="K123" s="25">
        <v>0</v>
      </c>
      <c r="L123" s="28">
        <v>146</v>
      </c>
      <c r="M123" s="11">
        <v>399</v>
      </c>
      <c r="N123" s="11">
        <v>17</v>
      </c>
      <c r="O123" s="11"/>
      <c r="P123" s="11"/>
      <c r="Q123" s="36">
        <v>270</v>
      </c>
    </row>
    <row r="124" spans="2:17" ht="22.2" x14ac:dyDescent="0.25">
      <c r="B124" s="11">
        <v>1114502</v>
      </c>
      <c r="C124" s="20" t="s">
        <v>120</v>
      </c>
      <c r="D124" s="44">
        <v>0</v>
      </c>
      <c r="E124" s="44">
        <v>6</v>
      </c>
      <c r="F124" s="44">
        <v>5</v>
      </c>
      <c r="G124" s="44">
        <v>134</v>
      </c>
      <c r="H124" s="25">
        <v>0</v>
      </c>
      <c r="I124" s="25">
        <v>0</v>
      </c>
      <c r="J124" s="25">
        <v>0</v>
      </c>
      <c r="K124" s="25">
        <v>0</v>
      </c>
      <c r="L124" s="28">
        <v>145</v>
      </c>
      <c r="M124" s="11">
        <v>401</v>
      </c>
      <c r="N124" s="11">
        <v>49</v>
      </c>
      <c r="O124" s="11"/>
      <c r="P124" s="11"/>
      <c r="Q124" s="36">
        <v>305</v>
      </c>
    </row>
    <row r="125" spans="2:17" ht="22.2" x14ac:dyDescent="0.25">
      <c r="B125" s="11">
        <v>1114503</v>
      </c>
      <c r="C125" s="20" t="s">
        <v>121</v>
      </c>
      <c r="D125" s="44">
        <v>0</v>
      </c>
      <c r="E125" s="44">
        <v>5</v>
      </c>
      <c r="F125" s="44">
        <v>3</v>
      </c>
      <c r="G125" s="44">
        <v>134</v>
      </c>
      <c r="H125" s="25">
        <v>0</v>
      </c>
      <c r="I125" s="25">
        <v>0</v>
      </c>
      <c r="J125" s="25">
        <v>0</v>
      </c>
      <c r="K125" s="25">
        <v>0</v>
      </c>
      <c r="L125" s="28">
        <v>142</v>
      </c>
      <c r="M125" s="11">
        <v>438</v>
      </c>
      <c r="N125" s="11">
        <v>11</v>
      </c>
      <c r="O125" s="11"/>
      <c r="P125" s="11"/>
      <c r="Q125" s="36">
        <v>307</v>
      </c>
    </row>
    <row r="126" spans="2:17" ht="22.2" x14ac:dyDescent="0.25">
      <c r="B126" s="11">
        <v>1124021</v>
      </c>
      <c r="C126" s="20" t="s">
        <v>122</v>
      </c>
      <c r="D126" s="44">
        <v>0</v>
      </c>
      <c r="E126" s="44">
        <v>18</v>
      </c>
      <c r="F126" s="44">
        <v>52</v>
      </c>
      <c r="G126" s="44">
        <v>6</v>
      </c>
      <c r="H126" s="25">
        <v>0</v>
      </c>
      <c r="I126" s="25">
        <v>0</v>
      </c>
      <c r="J126" s="25">
        <v>0</v>
      </c>
      <c r="K126" s="25">
        <v>0</v>
      </c>
      <c r="L126" s="28">
        <v>76</v>
      </c>
      <c r="M126" s="11">
        <v>550</v>
      </c>
      <c r="N126" s="11"/>
      <c r="O126" s="11"/>
      <c r="P126" s="11"/>
      <c r="Q126" s="36">
        <v>474</v>
      </c>
    </row>
    <row r="127" spans="2:17" ht="22.2" x14ac:dyDescent="0.25">
      <c r="B127" s="11">
        <v>1113084</v>
      </c>
      <c r="C127" s="20" t="s">
        <v>123</v>
      </c>
      <c r="D127" s="44">
        <v>0</v>
      </c>
      <c r="E127" s="44">
        <v>0</v>
      </c>
      <c r="F127" s="44">
        <v>0</v>
      </c>
      <c r="G127" s="44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44">
        <v>0</v>
      </c>
      <c r="E128" s="44">
        <v>0</v>
      </c>
      <c r="F128" s="44">
        <v>0</v>
      </c>
      <c r="G128" s="44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44">
        <v>0</v>
      </c>
      <c r="E129" s="44">
        <v>0</v>
      </c>
      <c r="F129" s="44">
        <v>0</v>
      </c>
      <c r="G129" s="44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44">
        <v>0</v>
      </c>
      <c r="E130" s="44">
        <v>0</v>
      </c>
      <c r="F130" s="44">
        <v>0</v>
      </c>
      <c r="G130" s="44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>
        <v>18</v>
      </c>
      <c r="O130" s="11"/>
      <c r="P130" s="11"/>
      <c r="Q130" s="36">
        <v>18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11"/>
      <c r="P135" s="11"/>
      <c r="Q135" s="36">
        <v>0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52</v>
      </c>
      <c r="E140" s="28">
        <v>189</v>
      </c>
      <c r="F140" s="28">
        <v>188</v>
      </c>
      <c r="G140" s="28">
        <v>1278</v>
      </c>
      <c r="H140" s="28">
        <v>0</v>
      </c>
      <c r="I140" s="28">
        <v>0</v>
      </c>
      <c r="J140" s="28">
        <v>0</v>
      </c>
      <c r="K140" s="28">
        <v>0</v>
      </c>
      <c r="L140" s="28">
        <v>1707</v>
      </c>
      <c r="M140" s="25">
        <v>9646</v>
      </c>
      <c r="N140" s="25">
        <v>6776</v>
      </c>
      <c r="O140" s="25"/>
      <c r="P140" s="25"/>
      <c r="Q140" s="36">
        <v>14715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:L1"/>
    <mergeCell ref="B2:C3"/>
    <mergeCell ref="E2:F3"/>
    <mergeCell ref="M2:M4"/>
    <mergeCell ref="Q2:Q4"/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FF58-235C-4EA3-BFD9-F983AA17E024}">
  <dimension ref="B1:Q143"/>
  <sheetViews>
    <sheetView workbookViewId="0">
      <selection activeCell="S13" sqref="S13"/>
    </sheetView>
  </sheetViews>
  <sheetFormatPr defaultRowHeight="13.8" x14ac:dyDescent="0.25"/>
  <sheetData>
    <row r="1" spans="2:17" ht="22.2" x14ac:dyDescent="0.25">
      <c r="B1" s="50" t="s">
        <v>154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13</v>
      </c>
      <c r="E7" s="43">
        <v>19</v>
      </c>
      <c r="F7" s="43">
        <v>23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8">
        <v>55</v>
      </c>
      <c r="M7" s="11">
        <v>500</v>
      </c>
      <c r="N7" s="11">
        <v>1384</v>
      </c>
      <c r="O7" s="11"/>
      <c r="P7" s="11"/>
      <c r="Q7" s="36">
        <v>1829</v>
      </c>
    </row>
    <row r="8" spans="2:17" ht="22.2" x14ac:dyDescent="0.25">
      <c r="B8" s="11"/>
      <c r="C8" s="15" t="s">
        <v>19</v>
      </c>
      <c r="D8" s="25">
        <v>0</v>
      </c>
      <c r="E8" s="43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43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43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43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43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43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43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43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43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43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43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43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43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43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43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43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43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7</v>
      </c>
      <c r="E25" s="43">
        <v>3</v>
      </c>
      <c r="F25" s="43">
        <v>6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8">
        <v>16</v>
      </c>
      <c r="M25" s="11">
        <v>80</v>
      </c>
      <c r="N25" s="11">
        <v>99</v>
      </c>
      <c r="O25" s="11"/>
      <c r="P25" s="11"/>
      <c r="Q25" s="36">
        <v>163</v>
      </c>
    </row>
    <row r="26" spans="2:17" ht="22.2" x14ac:dyDescent="0.25">
      <c r="B26" s="11">
        <v>1004055</v>
      </c>
      <c r="C26" s="15" t="s">
        <v>37</v>
      </c>
      <c r="D26" s="25">
        <v>13</v>
      </c>
      <c r="E26" s="25">
        <v>21</v>
      </c>
      <c r="F26" s="25">
        <v>5</v>
      </c>
      <c r="G26" s="43">
        <v>138</v>
      </c>
      <c r="H26" s="25">
        <v>0</v>
      </c>
      <c r="I26" s="25">
        <v>0</v>
      </c>
      <c r="J26" s="25">
        <v>0</v>
      </c>
      <c r="K26" s="25">
        <v>0</v>
      </c>
      <c r="L26" s="28">
        <v>177</v>
      </c>
      <c r="M26" s="11">
        <v>500</v>
      </c>
      <c r="N26" s="11">
        <v>645</v>
      </c>
      <c r="O26" s="11"/>
      <c r="P26" s="11"/>
      <c r="Q26" s="36">
        <v>968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0</v>
      </c>
      <c r="E40" s="25">
        <v>0</v>
      </c>
      <c r="F40" s="25">
        <v>2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8">
        <v>2</v>
      </c>
      <c r="M40" s="11">
        <v>100</v>
      </c>
      <c r="N40" s="11">
        <v>195</v>
      </c>
      <c r="O40" s="11"/>
      <c r="P40" s="11"/>
      <c r="Q40" s="36">
        <v>293</v>
      </c>
    </row>
    <row r="41" spans="2:17" ht="22.2" x14ac:dyDescent="0.25">
      <c r="B41" s="11">
        <v>1111058</v>
      </c>
      <c r="C41" s="15" t="s">
        <v>52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8">
        <v>0</v>
      </c>
      <c r="M41" s="11"/>
      <c r="N41" s="11"/>
      <c r="O41" s="11"/>
      <c r="P41" s="11"/>
      <c r="Q41" s="36">
        <v>0</v>
      </c>
    </row>
    <row r="42" spans="2:17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8">
        <v>0</v>
      </c>
      <c r="M42" s="11">
        <v>100</v>
      </c>
      <c r="N42" s="11">
        <v>199</v>
      </c>
      <c r="O42" s="11"/>
      <c r="P42" s="11"/>
      <c r="Q42" s="36">
        <v>299</v>
      </c>
    </row>
    <row r="43" spans="2:17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/>
      <c r="N43" s="11">
        <v>229</v>
      </c>
      <c r="O43" s="11"/>
      <c r="P43" s="11"/>
      <c r="Q43" s="36">
        <v>229</v>
      </c>
    </row>
    <row r="44" spans="2:17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8">
        <v>0</v>
      </c>
      <c r="M44" s="11">
        <v>100</v>
      </c>
      <c r="N44" s="11">
        <v>198</v>
      </c>
      <c r="O44" s="11"/>
      <c r="P44" s="11"/>
      <c r="Q44" s="36">
        <v>298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>
        <v>98</v>
      </c>
      <c r="O45" s="11"/>
      <c r="P45" s="11"/>
      <c r="Q45" s="36">
        <v>98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8">
        <v>0</v>
      </c>
      <c r="M46" s="11">
        <v>100</v>
      </c>
      <c r="N46" s="11">
        <v>227</v>
      </c>
      <c r="O46" s="11"/>
      <c r="P46" s="11"/>
      <c r="Q46" s="36">
        <v>327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8">
        <v>0</v>
      </c>
      <c r="M47" s="11"/>
      <c r="N47" s="11">
        <v>100</v>
      </c>
      <c r="O47" s="11"/>
      <c r="P47" s="11"/>
      <c r="Q47" s="36">
        <v>100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/>
      <c r="N48" s="11"/>
      <c r="O48" s="11"/>
      <c r="P48" s="11"/>
      <c r="Q48" s="36">
        <v>0</v>
      </c>
    </row>
    <row r="49" spans="2:17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8">
        <v>0</v>
      </c>
      <c r="M49" s="11">
        <v>100</v>
      </c>
      <c r="N49" s="11">
        <v>198</v>
      </c>
      <c r="O49" s="11"/>
      <c r="P49" s="11"/>
      <c r="Q49" s="36">
        <v>298</v>
      </c>
    </row>
    <row r="50" spans="2:17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8">
        <v>0</v>
      </c>
      <c r="M50" s="11">
        <v>100</v>
      </c>
      <c r="N50" s="11">
        <v>199</v>
      </c>
      <c r="O50" s="11"/>
      <c r="P50" s="11"/>
      <c r="Q50" s="36">
        <v>299</v>
      </c>
    </row>
    <row r="51" spans="2:17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8">
        <v>0</v>
      </c>
      <c r="M51" s="11">
        <v>100</v>
      </c>
      <c r="N51" s="11">
        <v>298</v>
      </c>
      <c r="O51" s="11"/>
      <c r="P51" s="11"/>
      <c r="Q51" s="36">
        <v>398</v>
      </c>
    </row>
    <row r="52" spans="2:17" ht="22.2" x14ac:dyDescent="0.25">
      <c r="B52" s="11">
        <v>1111069</v>
      </c>
      <c r="C52" s="15" t="s">
        <v>63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8">
        <v>0</v>
      </c>
      <c r="M52" s="11">
        <v>100</v>
      </c>
      <c r="N52" s="11"/>
      <c r="O52" s="11"/>
      <c r="P52" s="11"/>
      <c r="Q52" s="36">
        <v>100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0</v>
      </c>
      <c r="E56" s="25">
        <v>2</v>
      </c>
      <c r="F56" s="25">
        <v>1</v>
      </c>
      <c r="G56" s="25">
        <v>3</v>
      </c>
      <c r="H56" s="25">
        <v>0</v>
      </c>
      <c r="I56" s="25">
        <v>0</v>
      </c>
      <c r="J56" s="25">
        <v>0</v>
      </c>
      <c r="K56" s="25">
        <v>0</v>
      </c>
      <c r="L56" s="28">
        <v>6</v>
      </c>
      <c r="M56" s="11">
        <v>200</v>
      </c>
      <c r="N56" s="11">
        <v>242</v>
      </c>
      <c r="O56" s="11"/>
      <c r="P56" s="11"/>
      <c r="Q56" s="36">
        <v>436</v>
      </c>
    </row>
    <row r="57" spans="2:17" ht="22.2" x14ac:dyDescent="0.25">
      <c r="B57" s="11">
        <v>1111075</v>
      </c>
      <c r="C57" s="15" t="s">
        <v>68</v>
      </c>
      <c r="D57" s="25">
        <v>0</v>
      </c>
      <c r="E57" s="25">
        <v>2</v>
      </c>
      <c r="F57" s="25">
        <v>1</v>
      </c>
      <c r="G57" s="25">
        <v>2</v>
      </c>
      <c r="H57" s="25">
        <v>0</v>
      </c>
      <c r="I57" s="25">
        <v>0</v>
      </c>
      <c r="J57" s="25">
        <v>0</v>
      </c>
      <c r="K57" s="25">
        <v>0</v>
      </c>
      <c r="L57" s="28">
        <v>5</v>
      </c>
      <c r="M57" s="11">
        <v>200</v>
      </c>
      <c r="N57" s="11">
        <v>282</v>
      </c>
      <c r="O57" s="11"/>
      <c r="P57" s="11"/>
      <c r="Q57" s="36">
        <v>477</v>
      </c>
    </row>
    <row r="58" spans="2:17" ht="22.2" x14ac:dyDescent="0.25">
      <c r="B58" s="11">
        <v>1111076</v>
      </c>
      <c r="C58" s="15" t="s">
        <v>69</v>
      </c>
      <c r="D58" s="25">
        <v>0</v>
      </c>
      <c r="E58" s="25">
        <v>2</v>
      </c>
      <c r="F58" s="25">
        <v>1</v>
      </c>
      <c r="G58" s="25">
        <v>2</v>
      </c>
      <c r="H58" s="25">
        <v>0</v>
      </c>
      <c r="I58" s="25">
        <v>0</v>
      </c>
      <c r="J58" s="25">
        <v>0</v>
      </c>
      <c r="K58" s="25">
        <v>0</v>
      </c>
      <c r="L58" s="28">
        <v>5</v>
      </c>
      <c r="M58" s="11">
        <v>200</v>
      </c>
      <c r="N58" s="11">
        <v>255</v>
      </c>
      <c r="O58" s="11"/>
      <c r="P58" s="11"/>
      <c r="Q58" s="36">
        <v>450</v>
      </c>
    </row>
    <row r="59" spans="2:17" ht="22.2" x14ac:dyDescent="0.25">
      <c r="B59" s="11">
        <v>1111077</v>
      </c>
      <c r="C59" s="15" t="s">
        <v>70</v>
      </c>
      <c r="D59" s="25">
        <v>0</v>
      </c>
      <c r="E59" s="25">
        <v>2</v>
      </c>
      <c r="F59" s="25">
        <v>1</v>
      </c>
      <c r="G59" s="25">
        <v>2</v>
      </c>
      <c r="H59" s="25">
        <v>0</v>
      </c>
      <c r="I59" s="25">
        <v>0</v>
      </c>
      <c r="J59" s="25">
        <v>0</v>
      </c>
      <c r="K59" s="25">
        <v>0</v>
      </c>
      <c r="L59" s="28">
        <v>5</v>
      </c>
      <c r="M59" s="11">
        <v>200</v>
      </c>
      <c r="N59" s="11">
        <v>270</v>
      </c>
      <c r="O59" s="11"/>
      <c r="P59" s="11"/>
      <c r="Q59" s="36">
        <v>465</v>
      </c>
    </row>
    <row r="60" spans="2:17" ht="22.2" x14ac:dyDescent="0.25">
      <c r="B60" s="11">
        <v>1111078</v>
      </c>
      <c r="C60" s="15" t="s">
        <v>71</v>
      </c>
      <c r="D60" s="25">
        <v>0</v>
      </c>
      <c r="E60" s="25">
        <v>2</v>
      </c>
      <c r="F60" s="25">
        <v>1</v>
      </c>
      <c r="G60" s="25">
        <v>2</v>
      </c>
      <c r="H60" s="25">
        <v>0</v>
      </c>
      <c r="I60" s="25">
        <v>0</v>
      </c>
      <c r="J60" s="25">
        <v>0</v>
      </c>
      <c r="K60" s="25">
        <v>0</v>
      </c>
      <c r="L60" s="28">
        <v>5</v>
      </c>
      <c r="M60" s="11"/>
      <c r="N60" s="11"/>
      <c r="O60" s="11"/>
      <c r="P60" s="11"/>
      <c r="Q60" s="36">
        <v>-5</v>
      </c>
    </row>
    <row r="61" spans="2:17" ht="22.2" x14ac:dyDescent="0.25">
      <c r="B61" s="11">
        <v>1111079</v>
      </c>
      <c r="C61" s="15" t="s">
        <v>72</v>
      </c>
      <c r="D61" s="25">
        <v>0</v>
      </c>
      <c r="E61" s="25">
        <v>2</v>
      </c>
      <c r="F61" s="25">
        <v>1</v>
      </c>
      <c r="G61" s="25">
        <v>2</v>
      </c>
      <c r="H61" s="25">
        <v>0</v>
      </c>
      <c r="I61" s="25">
        <v>0</v>
      </c>
      <c r="J61" s="25">
        <v>0</v>
      </c>
      <c r="K61" s="25">
        <v>0</v>
      </c>
      <c r="L61" s="28">
        <v>5</v>
      </c>
      <c r="M61" s="11">
        <v>200</v>
      </c>
      <c r="N61" s="11">
        <v>337</v>
      </c>
      <c r="O61" s="11"/>
      <c r="P61" s="11"/>
      <c r="Q61" s="36">
        <v>532</v>
      </c>
    </row>
    <row r="62" spans="2:17" ht="22.2" x14ac:dyDescent="0.25">
      <c r="B62" s="11">
        <v>1111080</v>
      </c>
      <c r="C62" s="15" t="s">
        <v>73</v>
      </c>
      <c r="D62" s="25">
        <v>0</v>
      </c>
      <c r="E62" s="25">
        <v>2</v>
      </c>
      <c r="F62" s="25">
        <v>1</v>
      </c>
      <c r="G62" s="25">
        <v>2</v>
      </c>
      <c r="H62" s="25">
        <v>0</v>
      </c>
      <c r="I62" s="25">
        <v>0</v>
      </c>
      <c r="J62" s="25">
        <v>0</v>
      </c>
      <c r="K62" s="25">
        <v>0</v>
      </c>
      <c r="L62" s="28">
        <v>5</v>
      </c>
      <c r="M62" s="11"/>
      <c r="N62" s="11">
        <v>27</v>
      </c>
      <c r="O62" s="11"/>
      <c r="P62" s="11"/>
      <c r="Q62" s="36">
        <v>22</v>
      </c>
    </row>
    <row r="63" spans="2:17" ht="22.2" x14ac:dyDescent="0.25">
      <c r="B63" s="11">
        <v>1111081</v>
      </c>
      <c r="C63" s="15" t="s">
        <v>74</v>
      </c>
      <c r="D63" s="25">
        <v>0</v>
      </c>
      <c r="E63" s="25">
        <v>2</v>
      </c>
      <c r="F63" s="25">
        <v>1</v>
      </c>
      <c r="G63" s="25">
        <v>2</v>
      </c>
      <c r="H63" s="25">
        <v>0</v>
      </c>
      <c r="I63" s="25">
        <v>0</v>
      </c>
      <c r="J63" s="25">
        <v>0</v>
      </c>
      <c r="K63" s="25">
        <v>0</v>
      </c>
      <c r="L63" s="28">
        <v>5</v>
      </c>
      <c r="M63" s="11"/>
      <c r="N63" s="11"/>
      <c r="O63" s="11"/>
      <c r="P63" s="11"/>
      <c r="Q63" s="36">
        <v>-5</v>
      </c>
    </row>
    <row r="64" spans="2:17" ht="22.2" x14ac:dyDescent="0.25">
      <c r="B64" s="11">
        <v>1111082</v>
      </c>
      <c r="C64" s="15" t="s">
        <v>75</v>
      </c>
      <c r="D64" s="25">
        <v>0</v>
      </c>
      <c r="E64" s="25">
        <v>2</v>
      </c>
      <c r="F64" s="25">
        <v>1</v>
      </c>
      <c r="G64" s="25">
        <v>2</v>
      </c>
      <c r="H64" s="25">
        <v>0</v>
      </c>
      <c r="I64" s="25">
        <v>0</v>
      </c>
      <c r="J64" s="25">
        <v>0</v>
      </c>
      <c r="K64" s="25">
        <v>0</v>
      </c>
      <c r="L64" s="28">
        <v>5</v>
      </c>
      <c r="M64" s="11"/>
      <c r="N64" s="11"/>
      <c r="O64" s="11"/>
      <c r="P64" s="11"/>
      <c r="Q64" s="36">
        <v>-5</v>
      </c>
    </row>
    <row r="65" spans="2:17" ht="22.2" x14ac:dyDescent="0.25">
      <c r="B65" s="11">
        <v>1111083</v>
      </c>
      <c r="C65" s="15" t="s">
        <v>76</v>
      </c>
      <c r="D65" s="25">
        <v>0</v>
      </c>
      <c r="E65" s="25">
        <v>2</v>
      </c>
      <c r="F65" s="25">
        <v>1</v>
      </c>
      <c r="G65" s="25">
        <v>2</v>
      </c>
      <c r="H65" s="25">
        <v>0</v>
      </c>
      <c r="I65" s="25">
        <v>0</v>
      </c>
      <c r="J65" s="25">
        <v>0</v>
      </c>
      <c r="K65" s="25">
        <v>0</v>
      </c>
      <c r="L65" s="28">
        <v>5</v>
      </c>
      <c r="M65" s="11">
        <v>200</v>
      </c>
      <c r="N65" s="11">
        <v>200</v>
      </c>
      <c r="O65" s="11"/>
      <c r="P65" s="11"/>
      <c r="Q65" s="36">
        <v>395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28</v>
      </c>
      <c r="E69" s="25">
        <v>5</v>
      </c>
      <c r="F69" s="43">
        <v>11</v>
      </c>
      <c r="G69" s="25">
        <v>6</v>
      </c>
      <c r="H69" s="25">
        <v>0</v>
      </c>
      <c r="I69" s="25">
        <v>0</v>
      </c>
      <c r="J69" s="25">
        <v>0</v>
      </c>
      <c r="K69" s="25">
        <v>0</v>
      </c>
      <c r="L69" s="28">
        <v>50</v>
      </c>
      <c r="M69" s="11">
        <v>130</v>
      </c>
      <c r="N69" s="11">
        <v>177</v>
      </c>
      <c r="O69" s="11"/>
      <c r="P69" s="11"/>
      <c r="Q69" s="36">
        <v>257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5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5</v>
      </c>
      <c r="M76" s="11"/>
      <c r="N76" s="11"/>
      <c r="O76" s="11"/>
      <c r="P76" s="11"/>
      <c r="Q76" s="36">
        <v>-5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4</v>
      </c>
      <c r="E87" s="25">
        <v>0</v>
      </c>
      <c r="F87" s="25">
        <v>0</v>
      </c>
      <c r="G87" s="43">
        <v>160</v>
      </c>
      <c r="H87" s="25">
        <v>0</v>
      </c>
      <c r="I87" s="25">
        <v>0</v>
      </c>
      <c r="J87" s="25">
        <v>0</v>
      </c>
      <c r="K87" s="25">
        <v>0</v>
      </c>
      <c r="L87" s="28">
        <v>164</v>
      </c>
      <c r="M87" s="11">
        <v>300</v>
      </c>
      <c r="N87" s="11">
        <v>602</v>
      </c>
      <c r="O87" s="11"/>
      <c r="P87" s="11"/>
      <c r="Q87" s="36">
        <v>738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5</v>
      </c>
      <c r="E90" s="43">
        <v>3</v>
      </c>
      <c r="F90" s="43">
        <v>15</v>
      </c>
      <c r="G90" s="43">
        <v>80</v>
      </c>
      <c r="H90" s="25">
        <v>0</v>
      </c>
      <c r="I90" s="25">
        <v>0</v>
      </c>
      <c r="J90" s="25">
        <v>0</v>
      </c>
      <c r="K90" s="25">
        <v>0</v>
      </c>
      <c r="L90" s="28">
        <v>103</v>
      </c>
      <c r="M90" s="11">
        <v>300</v>
      </c>
      <c r="N90" s="11">
        <v>938</v>
      </c>
      <c r="O90" s="11"/>
      <c r="P90" s="11">
        <v>300</v>
      </c>
      <c r="Q90" s="36">
        <v>1435</v>
      </c>
    </row>
    <row r="91" spans="2:17" ht="22.2" x14ac:dyDescent="0.25">
      <c r="B91" s="11">
        <v>1112011</v>
      </c>
      <c r="C91" s="18" t="s">
        <v>99</v>
      </c>
      <c r="D91" s="25">
        <v>4</v>
      </c>
      <c r="E91" s="43">
        <v>3</v>
      </c>
      <c r="F91" s="43">
        <v>17</v>
      </c>
      <c r="G91" s="43">
        <v>80</v>
      </c>
      <c r="H91" s="25">
        <v>0</v>
      </c>
      <c r="I91" s="25">
        <v>0</v>
      </c>
      <c r="J91" s="25">
        <v>0</v>
      </c>
      <c r="K91" s="25">
        <v>0</v>
      </c>
      <c r="L91" s="28">
        <v>104</v>
      </c>
      <c r="M91" s="11">
        <v>300</v>
      </c>
      <c r="N91" s="11">
        <v>527</v>
      </c>
      <c r="O91" s="11"/>
      <c r="P91" s="11">
        <v>300</v>
      </c>
      <c r="Q91" s="36">
        <v>1023</v>
      </c>
    </row>
    <row r="92" spans="2:17" ht="22.2" x14ac:dyDescent="0.25">
      <c r="B92" s="11">
        <v>1112003</v>
      </c>
      <c r="C92" s="18" t="s">
        <v>100</v>
      </c>
      <c r="D92" s="25">
        <v>0</v>
      </c>
      <c r="E92" s="25">
        <v>0</v>
      </c>
      <c r="F92" s="25">
        <v>0</v>
      </c>
      <c r="G92" s="43">
        <v>61</v>
      </c>
      <c r="H92" s="25">
        <v>0</v>
      </c>
      <c r="I92" s="25">
        <v>0</v>
      </c>
      <c r="J92" s="25">
        <v>0</v>
      </c>
      <c r="K92" s="25">
        <v>0</v>
      </c>
      <c r="L92" s="28">
        <v>61</v>
      </c>
      <c r="M92" s="11">
        <v>300</v>
      </c>
      <c r="N92" s="11">
        <v>659</v>
      </c>
      <c r="O92" s="11"/>
      <c r="P92" s="11">
        <v>300</v>
      </c>
      <c r="Q92" s="36">
        <v>1198</v>
      </c>
    </row>
    <row r="93" spans="2:17" ht="22.2" x14ac:dyDescent="0.25">
      <c r="B93" s="11">
        <v>1112005</v>
      </c>
      <c r="C93" s="18" t="s">
        <v>101</v>
      </c>
      <c r="D93" s="25">
        <v>0</v>
      </c>
      <c r="E93" s="25">
        <v>0</v>
      </c>
      <c r="F93" s="25">
        <v>0</v>
      </c>
      <c r="G93" s="43">
        <v>60</v>
      </c>
      <c r="H93" s="25">
        <v>0</v>
      </c>
      <c r="I93" s="25">
        <v>0</v>
      </c>
      <c r="J93" s="25">
        <v>0</v>
      </c>
      <c r="K93" s="25">
        <v>0</v>
      </c>
      <c r="L93" s="28">
        <v>60</v>
      </c>
      <c r="M93" s="11">
        <v>300</v>
      </c>
      <c r="N93" s="11">
        <v>526</v>
      </c>
      <c r="O93" s="11"/>
      <c r="P93" s="11">
        <v>300</v>
      </c>
      <c r="Q93" s="36">
        <v>1066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43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43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43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0</v>
      </c>
      <c r="E97" s="25">
        <v>0</v>
      </c>
      <c r="F97" s="25">
        <v>0</v>
      </c>
      <c r="G97" s="43">
        <v>58</v>
      </c>
      <c r="H97" s="25">
        <v>0</v>
      </c>
      <c r="I97" s="25">
        <v>0</v>
      </c>
      <c r="J97" s="25">
        <v>0</v>
      </c>
      <c r="K97" s="25">
        <v>0</v>
      </c>
      <c r="L97" s="28">
        <v>58</v>
      </c>
      <c r="M97" s="11">
        <v>300</v>
      </c>
      <c r="N97" s="11">
        <v>290</v>
      </c>
      <c r="O97" s="11"/>
      <c r="P97" s="11">
        <v>300</v>
      </c>
      <c r="Q97" s="36">
        <v>832</v>
      </c>
    </row>
    <row r="98" spans="2:17" ht="22.2" x14ac:dyDescent="0.25">
      <c r="B98" s="11">
        <v>1112013</v>
      </c>
      <c r="C98" s="18" t="s">
        <v>106</v>
      </c>
      <c r="D98" s="25">
        <v>5</v>
      </c>
      <c r="E98" s="43">
        <v>3</v>
      </c>
      <c r="F98" s="43">
        <v>12</v>
      </c>
      <c r="G98" s="43">
        <v>79</v>
      </c>
      <c r="H98" s="25">
        <v>0</v>
      </c>
      <c r="I98" s="25">
        <v>0</v>
      </c>
      <c r="J98" s="25">
        <v>0</v>
      </c>
      <c r="K98" s="25">
        <v>0</v>
      </c>
      <c r="L98" s="28">
        <v>99</v>
      </c>
      <c r="M98" s="11">
        <v>300</v>
      </c>
      <c r="N98" s="11">
        <v>423</v>
      </c>
      <c r="O98" s="11"/>
      <c r="P98" s="11">
        <v>300</v>
      </c>
      <c r="Q98" s="36">
        <v>924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485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6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8">
        <v>6</v>
      </c>
      <c r="M114" s="11"/>
      <c r="N114" s="11">
        <v>70</v>
      </c>
      <c r="O114" s="11"/>
      <c r="P114" s="11"/>
      <c r="Q114" s="36">
        <v>64</v>
      </c>
    </row>
    <row r="115" spans="2:17" ht="22.2" x14ac:dyDescent="0.25">
      <c r="B115" s="11">
        <v>1113171</v>
      </c>
      <c r="C115" s="20" t="s">
        <v>111</v>
      </c>
      <c r="D115" s="25">
        <v>15</v>
      </c>
      <c r="E115" s="25">
        <v>0</v>
      </c>
      <c r="F115" s="25">
        <v>0</v>
      </c>
      <c r="G115" s="43">
        <v>1</v>
      </c>
      <c r="H115" s="25">
        <v>0</v>
      </c>
      <c r="I115" s="25">
        <v>0</v>
      </c>
      <c r="J115" s="25">
        <v>0</v>
      </c>
      <c r="K115" s="25">
        <v>0</v>
      </c>
      <c r="L115" s="28">
        <v>16</v>
      </c>
      <c r="M115" s="11"/>
      <c r="N115" s="11">
        <v>65</v>
      </c>
      <c r="O115" s="11"/>
      <c r="P115" s="11"/>
      <c r="Q115" s="36">
        <v>49</v>
      </c>
    </row>
    <row r="116" spans="2:17" ht="22.2" x14ac:dyDescent="0.25">
      <c r="B116" s="11">
        <v>1113172</v>
      </c>
      <c r="C116" s="20" t="s">
        <v>112</v>
      </c>
      <c r="D116" s="25">
        <v>6</v>
      </c>
      <c r="E116" s="25">
        <v>0</v>
      </c>
      <c r="F116" s="25">
        <v>0</v>
      </c>
      <c r="G116" s="43">
        <v>3</v>
      </c>
      <c r="H116" s="25">
        <v>0</v>
      </c>
      <c r="I116" s="25">
        <v>0</v>
      </c>
      <c r="J116" s="25">
        <v>0</v>
      </c>
      <c r="K116" s="25">
        <v>0</v>
      </c>
      <c r="L116" s="28">
        <v>9</v>
      </c>
      <c r="M116" s="11"/>
      <c r="N116" s="11">
        <v>59</v>
      </c>
      <c r="O116" s="11"/>
      <c r="P116" s="11"/>
      <c r="Q116" s="36">
        <v>50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>
        <v>55</v>
      </c>
      <c r="O118" s="11"/>
      <c r="P118" s="11"/>
      <c r="Q118" s="36">
        <v>55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0</v>
      </c>
      <c r="M119" s="11"/>
      <c r="N119" s="11">
        <v>398</v>
      </c>
      <c r="O119" s="11"/>
      <c r="P119" s="11"/>
      <c r="Q119" s="36">
        <v>398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0</v>
      </c>
      <c r="M120" s="11"/>
      <c r="N120" s="11">
        <v>25</v>
      </c>
      <c r="O120" s="11"/>
      <c r="P120" s="11"/>
      <c r="Q120" s="36">
        <v>25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>
        <v>102</v>
      </c>
      <c r="O121" s="11"/>
      <c r="P121" s="11"/>
      <c r="Q121" s="36">
        <v>102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>
        <v>5</v>
      </c>
      <c r="O122" s="11"/>
      <c r="P122" s="11"/>
      <c r="Q122" s="36">
        <v>5</v>
      </c>
    </row>
    <row r="123" spans="2:17" ht="22.2" x14ac:dyDescent="0.25">
      <c r="B123" s="11">
        <v>1114501</v>
      </c>
      <c r="C123" s="20" t="s">
        <v>119</v>
      </c>
      <c r="D123" s="25">
        <v>2</v>
      </c>
      <c r="E123" s="43">
        <v>6</v>
      </c>
      <c r="F123" s="43">
        <v>19</v>
      </c>
      <c r="G123" s="43">
        <v>70</v>
      </c>
      <c r="H123" s="25">
        <v>0</v>
      </c>
      <c r="I123" s="25">
        <v>0</v>
      </c>
      <c r="J123" s="25">
        <v>0</v>
      </c>
      <c r="K123" s="25">
        <v>0</v>
      </c>
      <c r="L123" s="28">
        <v>97</v>
      </c>
      <c r="M123" s="11"/>
      <c r="N123" s="11">
        <v>266</v>
      </c>
      <c r="O123" s="11"/>
      <c r="P123" s="11">
        <v>300</v>
      </c>
      <c r="Q123" s="36">
        <v>469</v>
      </c>
    </row>
    <row r="124" spans="2:17" ht="22.2" x14ac:dyDescent="0.25">
      <c r="B124" s="11">
        <v>1114502</v>
      </c>
      <c r="C124" s="20" t="s">
        <v>120</v>
      </c>
      <c r="D124" s="25">
        <v>3</v>
      </c>
      <c r="E124" s="43">
        <v>5</v>
      </c>
      <c r="F124" s="43">
        <v>16</v>
      </c>
      <c r="G124" s="43">
        <v>70</v>
      </c>
      <c r="H124" s="25">
        <v>0</v>
      </c>
      <c r="I124" s="25">
        <v>0</v>
      </c>
      <c r="J124" s="25">
        <v>0</v>
      </c>
      <c r="K124" s="25">
        <v>0</v>
      </c>
      <c r="L124" s="28">
        <v>94</v>
      </c>
      <c r="M124" s="11"/>
      <c r="N124" s="11">
        <v>8</v>
      </c>
      <c r="O124" s="11"/>
      <c r="P124" s="11">
        <v>300</v>
      </c>
      <c r="Q124" s="36">
        <v>214</v>
      </c>
    </row>
    <row r="125" spans="2:17" ht="22.2" x14ac:dyDescent="0.25">
      <c r="B125" s="11">
        <v>1114503</v>
      </c>
      <c r="C125" s="20" t="s">
        <v>121</v>
      </c>
      <c r="D125" s="25">
        <v>2</v>
      </c>
      <c r="E125" s="43">
        <v>3</v>
      </c>
      <c r="F125" s="43">
        <v>14</v>
      </c>
      <c r="G125" s="43">
        <v>70</v>
      </c>
      <c r="H125" s="25">
        <v>0</v>
      </c>
      <c r="I125" s="25">
        <v>0</v>
      </c>
      <c r="J125" s="25">
        <v>0</v>
      </c>
      <c r="K125" s="25">
        <v>0</v>
      </c>
      <c r="L125" s="28">
        <v>89</v>
      </c>
      <c r="M125" s="11"/>
      <c r="N125" s="11">
        <v>40</v>
      </c>
      <c r="O125" s="11"/>
      <c r="P125" s="11">
        <v>300</v>
      </c>
      <c r="Q125" s="36">
        <v>251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43">
        <v>18</v>
      </c>
      <c r="F126" s="43">
        <v>23</v>
      </c>
      <c r="G126" s="43">
        <v>48</v>
      </c>
      <c r="H126" s="25">
        <v>0</v>
      </c>
      <c r="I126" s="25">
        <v>0</v>
      </c>
      <c r="J126" s="25">
        <v>0</v>
      </c>
      <c r="K126" s="25">
        <v>0</v>
      </c>
      <c r="L126" s="28">
        <v>89</v>
      </c>
      <c r="M126" s="11">
        <v>150</v>
      </c>
      <c r="N126" s="11">
        <v>105</v>
      </c>
      <c r="O126" s="11"/>
      <c r="P126" s="11">
        <v>150</v>
      </c>
      <c r="Q126" s="36">
        <v>316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>
        <v>18</v>
      </c>
      <c r="O130" s="11"/>
      <c r="P130" s="11"/>
      <c r="Q130" s="36">
        <v>18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43">
        <v>5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5</v>
      </c>
      <c r="M135" s="11"/>
      <c r="N135" s="11"/>
      <c r="O135" s="11"/>
      <c r="P135" s="11"/>
      <c r="Q135" s="36">
        <v>-5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118</v>
      </c>
      <c r="E140" s="28">
        <v>114</v>
      </c>
      <c r="F140" s="28">
        <v>173</v>
      </c>
      <c r="G140" s="28">
        <v>1005</v>
      </c>
      <c r="H140" s="28">
        <v>0</v>
      </c>
      <c r="I140" s="28">
        <v>0</v>
      </c>
      <c r="J140" s="28">
        <v>0</v>
      </c>
      <c r="K140" s="28">
        <v>0</v>
      </c>
      <c r="L140" s="28">
        <v>1410</v>
      </c>
      <c r="M140" s="25">
        <v>5460</v>
      </c>
      <c r="N140" s="25">
        <v>11040</v>
      </c>
      <c r="O140" s="25"/>
      <c r="P140" s="25"/>
      <c r="Q140" s="36">
        <v>15090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2B5C-DEB5-4437-BCC5-4C3E52206830}">
  <dimension ref="B1:Q143"/>
  <sheetViews>
    <sheetView workbookViewId="0">
      <selection activeCell="Z15" sqref="Z15"/>
    </sheetView>
  </sheetViews>
  <sheetFormatPr defaultRowHeight="13.8" x14ac:dyDescent="0.25"/>
  <sheetData>
    <row r="1" spans="2:17" ht="22.2" x14ac:dyDescent="0.25">
      <c r="B1" s="50" t="s">
        <v>153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16</v>
      </c>
      <c r="E7" s="25">
        <v>20</v>
      </c>
      <c r="F7" s="25">
        <v>195</v>
      </c>
      <c r="G7" s="25">
        <v>10</v>
      </c>
      <c r="H7" s="25">
        <v>0</v>
      </c>
      <c r="I7" s="25">
        <v>0</v>
      </c>
      <c r="J7" s="25">
        <v>0</v>
      </c>
      <c r="K7" s="25">
        <v>26</v>
      </c>
      <c r="L7" s="28">
        <v>267</v>
      </c>
      <c r="M7" s="11"/>
      <c r="N7" s="11">
        <v>1835</v>
      </c>
      <c r="O7" s="11"/>
      <c r="P7" s="11"/>
      <c r="Q7" s="36">
        <v>1568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6</v>
      </c>
      <c r="E25" s="25">
        <v>13</v>
      </c>
      <c r="F25" s="25">
        <v>30</v>
      </c>
      <c r="G25" s="25">
        <v>0</v>
      </c>
      <c r="H25" s="25">
        <v>0</v>
      </c>
      <c r="I25" s="25">
        <v>0</v>
      </c>
      <c r="J25" s="25">
        <v>0</v>
      </c>
      <c r="K25" s="25">
        <v>10</v>
      </c>
      <c r="L25" s="28">
        <v>59</v>
      </c>
      <c r="M25" s="11"/>
      <c r="N25" s="11">
        <v>182</v>
      </c>
      <c r="O25" s="11"/>
      <c r="P25" s="11"/>
      <c r="Q25" s="36">
        <v>123</v>
      </c>
    </row>
    <row r="26" spans="2:17" ht="22.2" x14ac:dyDescent="0.25">
      <c r="B26" s="11">
        <v>1004055</v>
      </c>
      <c r="C26" s="15" t="s">
        <v>37</v>
      </c>
      <c r="D26" s="25">
        <v>0</v>
      </c>
      <c r="E26" s="25">
        <v>8</v>
      </c>
      <c r="F26" s="25">
        <v>10</v>
      </c>
      <c r="G26" s="25">
        <v>142</v>
      </c>
      <c r="H26" s="25">
        <v>0</v>
      </c>
      <c r="I26" s="25">
        <v>0</v>
      </c>
      <c r="J26" s="25">
        <v>0</v>
      </c>
      <c r="K26" s="25">
        <v>15</v>
      </c>
      <c r="L26" s="28">
        <v>175</v>
      </c>
      <c r="M26" s="11"/>
      <c r="N26" s="11">
        <v>646</v>
      </c>
      <c r="O26" s="11"/>
      <c r="P26" s="11"/>
      <c r="Q26" s="36">
        <v>471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1</v>
      </c>
      <c r="E40" s="25">
        <v>11</v>
      </c>
      <c r="F40" s="25">
        <v>1</v>
      </c>
      <c r="G40" s="25">
        <v>12</v>
      </c>
      <c r="H40" s="25">
        <v>0</v>
      </c>
      <c r="I40" s="25">
        <v>0</v>
      </c>
      <c r="J40" s="25">
        <v>0</v>
      </c>
      <c r="K40" s="25">
        <v>0</v>
      </c>
      <c r="L40" s="28">
        <v>25</v>
      </c>
      <c r="M40" s="11"/>
      <c r="N40" s="11">
        <v>194</v>
      </c>
      <c r="O40" s="11"/>
      <c r="P40" s="11"/>
      <c r="Q40" s="36">
        <v>169</v>
      </c>
    </row>
    <row r="41" spans="2:17" ht="22.2" x14ac:dyDescent="0.25">
      <c r="B41" s="11">
        <v>1111058</v>
      </c>
      <c r="C41" s="15" t="s">
        <v>52</v>
      </c>
      <c r="D41" s="25">
        <v>1</v>
      </c>
      <c r="E41" s="25">
        <v>8</v>
      </c>
      <c r="F41" s="25">
        <v>1</v>
      </c>
      <c r="G41" s="25">
        <v>12</v>
      </c>
      <c r="H41" s="25">
        <v>0</v>
      </c>
      <c r="I41" s="25">
        <v>0</v>
      </c>
      <c r="J41" s="25">
        <v>0</v>
      </c>
      <c r="K41" s="25">
        <v>0</v>
      </c>
      <c r="L41" s="28">
        <v>22</v>
      </c>
      <c r="M41" s="11"/>
      <c r="N41" s="11"/>
      <c r="O41" s="11"/>
      <c r="P41" s="11"/>
      <c r="Q41" s="36">
        <v>-22</v>
      </c>
    </row>
    <row r="42" spans="2:17" ht="22.2" x14ac:dyDescent="0.25">
      <c r="B42" s="11">
        <v>1111059</v>
      </c>
      <c r="C42" s="15" t="s">
        <v>53</v>
      </c>
      <c r="D42" s="25">
        <v>1</v>
      </c>
      <c r="E42" s="25">
        <v>6</v>
      </c>
      <c r="F42" s="25">
        <v>1</v>
      </c>
      <c r="G42" s="25">
        <v>17</v>
      </c>
      <c r="H42" s="25">
        <v>0</v>
      </c>
      <c r="I42" s="25">
        <v>0</v>
      </c>
      <c r="J42" s="25">
        <v>0</v>
      </c>
      <c r="K42" s="25">
        <v>0</v>
      </c>
      <c r="L42" s="28">
        <v>25</v>
      </c>
      <c r="M42" s="11"/>
      <c r="N42" s="11">
        <v>200</v>
      </c>
      <c r="O42" s="11"/>
      <c r="P42" s="11"/>
      <c r="Q42" s="36">
        <v>175</v>
      </c>
    </row>
    <row r="43" spans="2:17" ht="22.2" x14ac:dyDescent="0.25">
      <c r="B43" s="11">
        <v>1111060</v>
      </c>
      <c r="C43" s="15" t="s">
        <v>54</v>
      </c>
      <c r="D43" s="25">
        <v>1</v>
      </c>
      <c r="E43" s="25">
        <v>2</v>
      </c>
      <c r="F43" s="25">
        <v>1</v>
      </c>
      <c r="G43" s="25">
        <v>2</v>
      </c>
      <c r="H43" s="25">
        <v>0</v>
      </c>
      <c r="I43" s="25">
        <v>0</v>
      </c>
      <c r="J43" s="25">
        <v>0</v>
      </c>
      <c r="K43" s="25">
        <v>0</v>
      </c>
      <c r="L43" s="28">
        <v>6</v>
      </c>
      <c r="M43" s="11"/>
      <c r="N43" s="11">
        <v>238</v>
      </c>
      <c r="O43" s="11"/>
      <c r="P43" s="11"/>
      <c r="Q43" s="36">
        <v>232</v>
      </c>
    </row>
    <row r="44" spans="2:17" ht="22.2" x14ac:dyDescent="0.25">
      <c r="B44" s="11">
        <v>1111061</v>
      </c>
      <c r="C44" s="15" t="s">
        <v>55</v>
      </c>
      <c r="D44" s="25">
        <v>1</v>
      </c>
      <c r="E44" s="25">
        <v>6</v>
      </c>
      <c r="F44" s="25">
        <v>0</v>
      </c>
      <c r="G44" s="25">
        <v>12</v>
      </c>
      <c r="H44" s="25">
        <v>0</v>
      </c>
      <c r="I44" s="25">
        <v>0</v>
      </c>
      <c r="J44" s="25">
        <v>0</v>
      </c>
      <c r="K44" s="25">
        <v>0</v>
      </c>
      <c r="L44" s="28">
        <v>19</v>
      </c>
      <c r="M44" s="11"/>
      <c r="N44" s="11">
        <v>200</v>
      </c>
      <c r="O44" s="11"/>
      <c r="P44" s="11"/>
      <c r="Q44" s="36">
        <v>181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5</v>
      </c>
      <c r="F45" s="25">
        <v>0</v>
      </c>
      <c r="G45" s="25">
        <v>2</v>
      </c>
      <c r="H45" s="25">
        <v>0</v>
      </c>
      <c r="I45" s="25">
        <v>0</v>
      </c>
      <c r="J45" s="25">
        <v>0</v>
      </c>
      <c r="K45" s="25">
        <v>0</v>
      </c>
      <c r="L45" s="28">
        <v>7</v>
      </c>
      <c r="M45" s="11"/>
      <c r="N45" s="11">
        <v>125</v>
      </c>
      <c r="O45" s="11"/>
      <c r="P45" s="11"/>
      <c r="Q45" s="36">
        <v>118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7</v>
      </c>
      <c r="F46" s="25">
        <v>1</v>
      </c>
      <c r="G46" s="25">
        <v>11</v>
      </c>
      <c r="H46" s="25">
        <v>0</v>
      </c>
      <c r="I46" s="25">
        <v>0</v>
      </c>
      <c r="J46" s="25">
        <v>0</v>
      </c>
      <c r="K46" s="25">
        <v>0</v>
      </c>
      <c r="L46" s="28">
        <v>19</v>
      </c>
      <c r="M46" s="11"/>
      <c r="N46" s="11">
        <v>297</v>
      </c>
      <c r="O46" s="11"/>
      <c r="P46" s="11"/>
      <c r="Q46" s="36">
        <v>278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7</v>
      </c>
      <c r="F47" s="25">
        <v>0</v>
      </c>
      <c r="G47" s="25">
        <v>11</v>
      </c>
      <c r="H47" s="25">
        <v>0</v>
      </c>
      <c r="I47" s="25">
        <v>0</v>
      </c>
      <c r="J47" s="25">
        <v>0</v>
      </c>
      <c r="K47" s="25">
        <v>0</v>
      </c>
      <c r="L47" s="28">
        <v>18</v>
      </c>
      <c r="M47" s="11"/>
      <c r="N47" s="11">
        <v>22</v>
      </c>
      <c r="O47" s="11"/>
      <c r="P47" s="11"/>
      <c r="Q47" s="36">
        <v>4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6</v>
      </c>
      <c r="F48" s="25">
        <v>1</v>
      </c>
      <c r="G48" s="25">
        <v>1</v>
      </c>
      <c r="H48" s="25">
        <v>0</v>
      </c>
      <c r="I48" s="25">
        <v>0</v>
      </c>
      <c r="J48" s="25">
        <v>0</v>
      </c>
      <c r="K48" s="25">
        <v>0</v>
      </c>
      <c r="L48" s="28">
        <v>8</v>
      </c>
      <c r="M48" s="11"/>
      <c r="N48" s="11"/>
      <c r="O48" s="11"/>
      <c r="P48" s="11"/>
      <c r="Q48" s="36">
        <v>-8</v>
      </c>
    </row>
    <row r="49" spans="2:17" ht="22.2" x14ac:dyDescent="0.25">
      <c r="B49" s="11">
        <v>1111066</v>
      </c>
      <c r="C49" s="15" t="s">
        <v>60</v>
      </c>
      <c r="D49" s="25">
        <v>0</v>
      </c>
      <c r="E49" s="25">
        <v>7</v>
      </c>
      <c r="F49" s="25">
        <v>1</v>
      </c>
      <c r="G49" s="25">
        <v>11</v>
      </c>
      <c r="H49" s="25">
        <v>0</v>
      </c>
      <c r="I49" s="25">
        <v>0</v>
      </c>
      <c r="J49" s="25">
        <v>0</v>
      </c>
      <c r="K49" s="25">
        <v>0</v>
      </c>
      <c r="L49" s="28">
        <v>19</v>
      </c>
      <c r="M49" s="11"/>
      <c r="N49" s="11">
        <v>200</v>
      </c>
      <c r="O49" s="11"/>
      <c r="P49" s="11"/>
      <c r="Q49" s="36">
        <v>181</v>
      </c>
    </row>
    <row r="50" spans="2:17" ht="22.2" x14ac:dyDescent="0.25">
      <c r="B50" s="11">
        <v>1111067</v>
      </c>
      <c r="C50" s="15" t="s">
        <v>61</v>
      </c>
      <c r="D50" s="25">
        <v>0</v>
      </c>
      <c r="E50" s="25">
        <v>10</v>
      </c>
      <c r="F50" s="25">
        <v>1</v>
      </c>
      <c r="G50" s="25">
        <v>16</v>
      </c>
      <c r="H50" s="25">
        <v>0</v>
      </c>
      <c r="I50" s="25">
        <v>0</v>
      </c>
      <c r="J50" s="25">
        <v>0</v>
      </c>
      <c r="K50" s="25">
        <v>0</v>
      </c>
      <c r="L50" s="28">
        <v>27</v>
      </c>
      <c r="M50" s="11"/>
      <c r="N50" s="11">
        <v>198</v>
      </c>
      <c r="O50" s="11"/>
      <c r="P50" s="11"/>
      <c r="Q50" s="36">
        <v>171</v>
      </c>
    </row>
    <row r="51" spans="2:17" ht="22.2" x14ac:dyDescent="0.25">
      <c r="B51" s="11">
        <v>1111068</v>
      </c>
      <c r="C51" s="15" t="s">
        <v>62</v>
      </c>
      <c r="D51" s="25">
        <v>0</v>
      </c>
      <c r="E51" s="25">
        <v>8</v>
      </c>
      <c r="F51" s="25">
        <v>1</v>
      </c>
      <c r="G51" s="25">
        <v>11</v>
      </c>
      <c r="H51" s="25">
        <v>0</v>
      </c>
      <c r="I51" s="25">
        <v>0</v>
      </c>
      <c r="J51" s="25">
        <v>0</v>
      </c>
      <c r="K51" s="25">
        <v>0</v>
      </c>
      <c r="L51" s="28">
        <v>20</v>
      </c>
      <c r="M51" s="11"/>
      <c r="N51" s="11">
        <v>199</v>
      </c>
      <c r="O51" s="11"/>
      <c r="P51" s="11"/>
      <c r="Q51" s="36">
        <v>179</v>
      </c>
    </row>
    <row r="52" spans="2:17" ht="22.2" x14ac:dyDescent="0.25">
      <c r="B52" s="11">
        <v>1111069</v>
      </c>
      <c r="C52" s="15" t="s">
        <v>63</v>
      </c>
      <c r="D52" s="25">
        <v>0</v>
      </c>
      <c r="E52" s="25">
        <v>7</v>
      </c>
      <c r="F52" s="25">
        <v>1</v>
      </c>
      <c r="G52" s="25">
        <v>11</v>
      </c>
      <c r="H52" s="25">
        <v>0</v>
      </c>
      <c r="I52" s="25">
        <v>0</v>
      </c>
      <c r="J52" s="25">
        <v>0</v>
      </c>
      <c r="K52" s="25">
        <v>0</v>
      </c>
      <c r="L52" s="28">
        <v>19</v>
      </c>
      <c r="M52" s="11"/>
      <c r="N52" s="11">
        <v>186</v>
      </c>
      <c r="O52" s="11"/>
      <c r="P52" s="11"/>
      <c r="Q52" s="36">
        <v>167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0</v>
      </c>
      <c r="E56" s="25">
        <v>2</v>
      </c>
      <c r="F56" s="25">
        <v>7</v>
      </c>
      <c r="G56" s="25">
        <v>8</v>
      </c>
      <c r="H56" s="25">
        <v>0</v>
      </c>
      <c r="I56" s="25">
        <v>0</v>
      </c>
      <c r="J56" s="25">
        <v>0</v>
      </c>
      <c r="K56" s="25">
        <v>0</v>
      </c>
      <c r="L56" s="28">
        <v>17</v>
      </c>
      <c r="M56" s="11"/>
      <c r="N56" s="11">
        <v>245</v>
      </c>
      <c r="O56" s="11"/>
      <c r="P56" s="11"/>
      <c r="Q56" s="36">
        <v>228</v>
      </c>
    </row>
    <row r="57" spans="2:17" ht="22.2" x14ac:dyDescent="0.25">
      <c r="B57" s="11">
        <v>1111075</v>
      </c>
      <c r="C57" s="15" t="s">
        <v>68</v>
      </c>
      <c r="D57" s="25">
        <v>0</v>
      </c>
      <c r="E57" s="25">
        <v>2</v>
      </c>
      <c r="F57" s="25">
        <v>7</v>
      </c>
      <c r="G57" s="25">
        <v>7</v>
      </c>
      <c r="H57" s="25">
        <v>0</v>
      </c>
      <c r="I57" s="25">
        <v>0</v>
      </c>
      <c r="J57" s="25">
        <v>0</v>
      </c>
      <c r="K57" s="25">
        <v>0</v>
      </c>
      <c r="L57" s="28">
        <v>16</v>
      </c>
      <c r="M57" s="11"/>
      <c r="N57" s="11">
        <v>273</v>
      </c>
      <c r="O57" s="11"/>
      <c r="P57" s="11"/>
      <c r="Q57" s="36">
        <v>257</v>
      </c>
    </row>
    <row r="58" spans="2:17" ht="22.2" x14ac:dyDescent="0.25">
      <c r="B58" s="11">
        <v>1111076</v>
      </c>
      <c r="C58" s="15" t="s">
        <v>69</v>
      </c>
      <c r="D58" s="25">
        <v>0</v>
      </c>
      <c r="E58" s="25">
        <v>2</v>
      </c>
      <c r="F58" s="25">
        <v>7</v>
      </c>
      <c r="G58" s="25">
        <v>7</v>
      </c>
      <c r="H58" s="25">
        <v>0</v>
      </c>
      <c r="I58" s="25">
        <v>0</v>
      </c>
      <c r="J58" s="25">
        <v>0</v>
      </c>
      <c r="K58" s="25">
        <v>0</v>
      </c>
      <c r="L58" s="28">
        <v>16</v>
      </c>
      <c r="M58" s="11"/>
      <c r="N58" s="11">
        <v>257</v>
      </c>
      <c r="O58" s="11"/>
      <c r="P58" s="11"/>
      <c r="Q58" s="36">
        <v>241</v>
      </c>
    </row>
    <row r="59" spans="2:17" ht="22.2" x14ac:dyDescent="0.25">
      <c r="B59" s="11">
        <v>1111077</v>
      </c>
      <c r="C59" s="15" t="s">
        <v>70</v>
      </c>
      <c r="D59" s="25">
        <v>0</v>
      </c>
      <c r="E59" s="25">
        <v>2</v>
      </c>
      <c r="F59" s="25">
        <v>7</v>
      </c>
      <c r="G59" s="25">
        <v>7</v>
      </c>
      <c r="H59" s="25">
        <v>0</v>
      </c>
      <c r="I59" s="25">
        <v>0</v>
      </c>
      <c r="J59" s="25">
        <v>0</v>
      </c>
      <c r="K59" s="25">
        <v>0</v>
      </c>
      <c r="L59" s="28">
        <v>16</v>
      </c>
      <c r="M59" s="11"/>
      <c r="N59" s="11">
        <v>260</v>
      </c>
      <c r="O59" s="11"/>
      <c r="P59" s="11"/>
      <c r="Q59" s="36">
        <v>244</v>
      </c>
    </row>
    <row r="60" spans="2:17" ht="22.2" x14ac:dyDescent="0.25">
      <c r="B60" s="11">
        <v>1111078</v>
      </c>
      <c r="C60" s="15" t="s">
        <v>71</v>
      </c>
      <c r="D60" s="25">
        <v>0</v>
      </c>
      <c r="E60" s="25">
        <v>2</v>
      </c>
      <c r="F60" s="25">
        <v>6</v>
      </c>
      <c r="G60" s="25">
        <v>7</v>
      </c>
      <c r="H60" s="25">
        <v>0</v>
      </c>
      <c r="I60" s="25">
        <v>0</v>
      </c>
      <c r="J60" s="25">
        <v>0</v>
      </c>
      <c r="K60" s="25">
        <v>0</v>
      </c>
      <c r="L60" s="28">
        <v>15</v>
      </c>
      <c r="M60" s="11"/>
      <c r="N60" s="11"/>
      <c r="O60" s="11"/>
      <c r="P60" s="11"/>
      <c r="Q60" s="36">
        <v>-15</v>
      </c>
    </row>
    <row r="61" spans="2:17" ht="22.2" x14ac:dyDescent="0.25">
      <c r="B61" s="11">
        <v>1111079</v>
      </c>
      <c r="C61" s="15" t="s">
        <v>72</v>
      </c>
      <c r="D61" s="25">
        <v>0</v>
      </c>
      <c r="E61" s="25">
        <v>2</v>
      </c>
      <c r="F61" s="25">
        <v>6</v>
      </c>
      <c r="G61" s="25">
        <v>7</v>
      </c>
      <c r="H61" s="25">
        <v>0</v>
      </c>
      <c r="I61" s="25">
        <v>0</v>
      </c>
      <c r="J61" s="25">
        <v>0</v>
      </c>
      <c r="K61" s="25">
        <v>0</v>
      </c>
      <c r="L61" s="28">
        <v>15</v>
      </c>
      <c r="M61" s="11"/>
      <c r="N61" s="11">
        <v>327</v>
      </c>
      <c r="O61" s="11"/>
      <c r="P61" s="11"/>
      <c r="Q61" s="36">
        <v>312</v>
      </c>
    </row>
    <row r="62" spans="2:17" ht="22.2" x14ac:dyDescent="0.25">
      <c r="B62" s="11">
        <v>1111080</v>
      </c>
      <c r="C62" s="15" t="s">
        <v>73</v>
      </c>
      <c r="D62" s="25">
        <v>0</v>
      </c>
      <c r="E62" s="25">
        <v>2</v>
      </c>
      <c r="F62" s="25">
        <v>6</v>
      </c>
      <c r="G62" s="25">
        <v>7</v>
      </c>
      <c r="H62" s="25">
        <v>0</v>
      </c>
      <c r="I62" s="25">
        <v>0</v>
      </c>
      <c r="J62" s="25">
        <v>0</v>
      </c>
      <c r="K62" s="25">
        <v>0</v>
      </c>
      <c r="L62" s="28">
        <v>15</v>
      </c>
      <c r="M62" s="11"/>
      <c r="N62" s="11"/>
      <c r="O62" s="11"/>
      <c r="P62" s="11"/>
      <c r="Q62" s="36">
        <v>-15</v>
      </c>
    </row>
    <row r="63" spans="2:17" ht="22.2" x14ac:dyDescent="0.25">
      <c r="B63" s="11">
        <v>1111081</v>
      </c>
      <c r="C63" s="15" t="s">
        <v>74</v>
      </c>
      <c r="D63" s="25">
        <v>0</v>
      </c>
      <c r="E63" s="25">
        <v>2</v>
      </c>
      <c r="F63" s="25">
        <v>6</v>
      </c>
      <c r="G63" s="25">
        <v>7</v>
      </c>
      <c r="H63" s="25">
        <v>0</v>
      </c>
      <c r="I63" s="25">
        <v>0</v>
      </c>
      <c r="J63" s="25">
        <v>0</v>
      </c>
      <c r="K63" s="25">
        <v>0</v>
      </c>
      <c r="L63" s="28">
        <v>15</v>
      </c>
      <c r="M63" s="11"/>
      <c r="N63" s="11"/>
      <c r="O63" s="11"/>
      <c r="P63" s="11"/>
      <c r="Q63" s="36">
        <v>-15</v>
      </c>
    </row>
    <row r="64" spans="2:17" ht="22.2" x14ac:dyDescent="0.25">
      <c r="B64" s="11">
        <v>1111082</v>
      </c>
      <c r="C64" s="15" t="s">
        <v>75</v>
      </c>
      <c r="D64" s="25">
        <v>0</v>
      </c>
      <c r="E64" s="25">
        <v>2</v>
      </c>
      <c r="F64" s="25">
        <v>6</v>
      </c>
      <c r="G64" s="25">
        <v>7</v>
      </c>
      <c r="H64" s="25">
        <v>0</v>
      </c>
      <c r="I64" s="25">
        <v>0</v>
      </c>
      <c r="J64" s="25">
        <v>0</v>
      </c>
      <c r="K64" s="25">
        <v>0</v>
      </c>
      <c r="L64" s="28">
        <v>15</v>
      </c>
      <c r="M64" s="11"/>
      <c r="N64" s="11"/>
      <c r="O64" s="11"/>
      <c r="P64" s="11"/>
      <c r="Q64" s="36">
        <v>-15</v>
      </c>
    </row>
    <row r="65" spans="2:17" ht="22.2" x14ac:dyDescent="0.25">
      <c r="B65" s="11">
        <v>1111083</v>
      </c>
      <c r="C65" s="15" t="s">
        <v>76</v>
      </c>
      <c r="D65" s="25">
        <v>0</v>
      </c>
      <c r="E65" s="25">
        <v>2</v>
      </c>
      <c r="F65" s="25">
        <v>6</v>
      </c>
      <c r="G65" s="25">
        <v>7</v>
      </c>
      <c r="H65" s="25">
        <v>0</v>
      </c>
      <c r="I65" s="25">
        <v>0</v>
      </c>
      <c r="J65" s="25">
        <v>0</v>
      </c>
      <c r="K65" s="25">
        <v>0</v>
      </c>
      <c r="L65" s="28">
        <v>15</v>
      </c>
      <c r="M65" s="11"/>
      <c r="N65" s="11">
        <v>198</v>
      </c>
      <c r="O65" s="11"/>
      <c r="P65" s="11"/>
      <c r="Q65" s="36">
        <v>183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7</v>
      </c>
      <c r="E69" s="25">
        <v>3</v>
      </c>
      <c r="F69" s="25">
        <v>33</v>
      </c>
      <c r="G69" s="25">
        <v>1</v>
      </c>
      <c r="H69" s="25">
        <v>0</v>
      </c>
      <c r="I69" s="25">
        <v>0</v>
      </c>
      <c r="J69" s="25">
        <v>0</v>
      </c>
      <c r="K69" s="25">
        <v>5</v>
      </c>
      <c r="L69" s="28">
        <v>49</v>
      </c>
      <c r="M69" s="11"/>
      <c r="N69" s="11">
        <v>391</v>
      </c>
      <c r="O69" s="11"/>
      <c r="P69" s="11"/>
      <c r="Q69" s="36">
        <v>342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0</v>
      </c>
      <c r="E87" s="25">
        <v>6</v>
      </c>
      <c r="F87" s="25">
        <v>3</v>
      </c>
      <c r="G87" s="25">
        <v>169</v>
      </c>
      <c r="H87" s="25">
        <v>0</v>
      </c>
      <c r="I87" s="25">
        <v>0</v>
      </c>
      <c r="J87" s="25">
        <v>0</v>
      </c>
      <c r="K87" s="25">
        <v>5</v>
      </c>
      <c r="L87" s="28">
        <v>183</v>
      </c>
      <c r="M87" s="11"/>
      <c r="N87" s="11">
        <v>1038</v>
      </c>
      <c r="O87" s="11"/>
      <c r="P87" s="11"/>
      <c r="Q87" s="36">
        <v>855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0</v>
      </c>
      <c r="E90" s="25">
        <v>12</v>
      </c>
      <c r="F90" s="25">
        <v>32</v>
      </c>
      <c r="G90" s="25">
        <v>149</v>
      </c>
      <c r="H90" s="25">
        <v>0</v>
      </c>
      <c r="I90" s="25">
        <v>0</v>
      </c>
      <c r="J90" s="25">
        <v>0</v>
      </c>
      <c r="K90" s="25">
        <v>5</v>
      </c>
      <c r="L90" s="28">
        <v>198</v>
      </c>
      <c r="M90" s="11"/>
      <c r="N90" s="11">
        <v>846</v>
      </c>
      <c r="O90" s="11"/>
      <c r="P90" s="11"/>
      <c r="Q90" s="36">
        <v>648</v>
      </c>
    </row>
    <row r="91" spans="2:17" ht="22.2" x14ac:dyDescent="0.25">
      <c r="B91" s="11">
        <v>1112011</v>
      </c>
      <c r="C91" s="18" t="s">
        <v>99</v>
      </c>
      <c r="D91" s="25">
        <v>0</v>
      </c>
      <c r="E91" s="25">
        <v>12</v>
      </c>
      <c r="F91" s="25">
        <v>38</v>
      </c>
      <c r="G91" s="25">
        <v>148</v>
      </c>
      <c r="H91" s="25">
        <v>0</v>
      </c>
      <c r="I91" s="25">
        <v>0</v>
      </c>
      <c r="J91" s="25">
        <v>0</v>
      </c>
      <c r="K91" s="25">
        <v>5</v>
      </c>
      <c r="L91" s="28">
        <v>203</v>
      </c>
      <c r="M91" s="11"/>
      <c r="N91" s="11">
        <v>829</v>
      </c>
      <c r="O91" s="11"/>
      <c r="P91" s="11"/>
      <c r="Q91" s="36">
        <v>626</v>
      </c>
    </row>
    <row r="92" spans="2:17" ht="22.2" x14ac:dyDescent="0.25">
      <c r="B92" s="11">
        <v>1112003</v>
      </c>
      <c r="C92" s="18" t="s">
        <v>100</v>
      </c>
      <c r="D92" s="25">
        <v>0</v>
      </c>
      <c r="E92" s="25">
        <v>0</v>
      </c>
      <c r="F92" s="25">
        <v>1</v>
      </c>
      <c r="G92" s="25">
        <v>133</v>
      </c>
      <c r="H92" s="25">
        <v>0</v>
      </c>
      <c r="I92" s="25">
        <v>0</v>
      </c>
      <c r="J92" s="25">
        <v>0</v>
      </c>
      <c r="K92" s="25">
        <v>0</v>
      </c>
      <c r="L92" s="28">
        <v>134</v>
      </c>
      <c r="M92" s="11"/>
      <c r="N92" s="11">
        <v>737</v>
      </c>
      <c r="O92" s="11"/>
      <c r="P92" s="11"/>
      <c r="Q92" s="36">
        <v>603</v>
      </c>
    </row>
    <row r="93" spans="2:17" ht="22.2" x14ac:dyDescent="0.25">
      <c r="B93" s="11">
        <v>1112005</v>
      </c>
      <c r="C93" s="18" t="s">
        <v>101</v>
      </c>
      <c r="D93" s="25">
        <v>0</v>
      </c>
      <c r="E93" s="25">
        <v>0</v>
      </c>
      <c r="F93" s="25">
        <v>1</v>
      </c>
      <c r="G93" s="25">
        <v>132</v>
      </c>
      <c r="H93" s="25">
        <v>0</v>
      </c>
      <c r="I93" s="25">
        <v>0</v>
      </c>
      <c r="J93" s="25">
        <v>0</v>
      </c>
      <c r="K93" s="25">
        <v>0</v>
      </c>
      <c r="L93" s="28">
        <v>133</v>
      </c>
      <c r="M93" s="11"/>
      <c r="N93" s="11">
        <v>1050</v>
      </c>
      <c r="O93" s="11"/>
      <c r="P93" s="11"/>
      <c r="Q93" s="36">
        <v>917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0</v>
      </c>
      <c r="E97" s="25">
        <v>0</v>
      </c>
      <c r="F97" s="25">
        <v>1</v>
      </c>
      <c r="G97" s="25">
        <v>128</v>
      </c>
      <c r="H97" s="25">
        <v>0</v>
      </c>
      <c r="I97" s="25">
        <v>0</v>
      </c>
      <c r="J97" s="25">
        <v>0</v>
      </c>
      <c r="K97" s="25">
        <v>0</v>
      </c>
      <c r="L97" s="28">
        <v>129</v>
      </c>
      <c r="M97" s="11"/>
      <c r="N97" s="11">
        <v>469</v>
      </c>
      <c r="O97" s="11"/>
      <c r="P97" s="11"/>
      <c r="Q97" s="36">
        <v>340</v>
      </c>
    </row>
    <row r="98" spans="2:17" ht="22.2" x14ac:dyDescent="0.25">
      <c r="B98" s="11">
        <v>1112013</v>
      </c>
      <c r="C98" s="18" t="s">
        <v>106</v>
      </c>
      <c r="D98" s="25">
        <v>0</v>
      </c>
      <c r="E98" s="25">
        <v>12</v>
      </c>
      <c r="F98" s="25">
        <v>26</v>
      </c>
      <c r="G98" s="25">
        <v>145</v>
      </c>
      <c r="H98" s="25">
        <v>0</v>
      </c>
      <c r="I98" s="25">
        <v>0</v>
      </c>
      <c r="J98" s="25">
        <v>0</v>
      </c>
      <c r="K98" s="25">
        <v>5</v>
      </c>
      <c r="L98" s="28">
        <v>188</v>
      </c>
      <c r="M98" s="11"/>
      <c r="N98" s="11">
        <v>936</v>
      </c>
      <c r="O98" s="11"/>
      <c r="P98" s="11"/>
      <c r="Q98" s="36">
        <v>748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>
        <v>4867</v>
      </c>
      <c r="O99" s="11"/>
      <c r="P99" s="11"/>
      <c r="Q99" s="36">
        <v>4867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985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0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50</v>
      </c>
      <c r="L114" s="28">
        <v>50</v>
      </c>
      <c r="M114" s="11"/>
      <c r="N114" s="11">
        <v>227</v>
      </c>
      <c r="O114" s="11"/>
      <c r="P114" s="11"/>
      <c r="Q114" s="36">
        <v>177</v>
      </c>
    </row>
    <row r="115" spans="2:17" ht="22.2" x14ac:dyDescent="0.25">
      <c r="B115" s="11">
        <v>1113171</v>
      </c>
      <c r="C115" s="20" t="s">
        <v>111</v>
      </c>
      <c r="D115" s="25">
        <v>0</v>
      </c>
      <c r="E115" s="25">
        <v>0</v>
      </c>
      <c r="F115" s="25">
        <v>0</v>
      </c>
      <c r="G115" s="25">
        <v>1</v>
      </c>
      <c r="H115" s="25">
        <v>0</v>
      </c>
      <c r="I115" s="25">
        <v>0</v>
      </c>
      <c r="J115" s="25">
        <v>0</v>
      </c>
      <c r="K115" s="25">
        <v>50</v>
      </c>
      <c r="L115" s="28">
        <v>51</v>
      </c>
      <c r="M115" s="11"/>
      <c r="N115" s="11">
        <v>113</v>
      </c>
      <c r="O115" s="11"/>
      <c r="P115" s="11"/>
      <c r="Q115" s="36">
        <v>62</v>
      </c>
    </row>
    <row r="116" spans="2:17" ht="22.2" x14ac:dyDescent="0.25">
      <c r="B116" s="11">
        <v>1113172</v>
      </c>
      <c r="C116" s="20" t="s">
        <v>112</v>
      </c>
      <c r="D116" s="25">
        <v>0</v>
      </c>
      <c r="E116" s="25">
        <v>0</v>
      </c>
      <c r="F116" s="25">
        <v>0</v>
      </c>
      <c r="G116" s="25">
        <v>3</v>
      </c>
      <c r="H116" s="25">
        <v>0</v>
      </c>
      <c r="I116" s="25">
        <v>0</v>
      </c>
      <c r="J116" s="25">
        <v>0</v>
      </c>
      <c r="K116" s="25">
        <v>0</v>
      </c>
      <c r="L116" s="28">
        <v>3</v>
      </c>
      <c r="M116" s="11"/>
      <c r="N116" s="11">
        <v>284</v>
      </c>
      <c r="O116" s="11"/>
      <c r="P116" s="11"/>
      <c r="Q116" s="36">
        <v>281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2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2</v>
      </c>
      <c r="M118" s="11"/>
      <c r="N118" s="11">
        <v>55</v>
      </c>
      <c r="O118" s="11"/>
      <c r="P118" s="11"/>
      <c r="Q118" s="36">
        <v>53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1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1</v>
      </c>
      <c r="M119" s="11"/>
      <c r="N119" s="11">
        <v>284</v>
      </c>
      <c r="O119" s="11"/>
      <c r="P119" s="11"/>
      <c r="Q119" s="36">
        <v>283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2</v>
      </c>
      <c r="G120" s="25">
        <v>0</v>
      </c>
      <c r="H120" s="25">
        <v>0</v>
      </c>
      <c r="I120" s="25">
        <v>0</v>
      </c>
      <c r="J120" s="25">
        <v>0</v>
      </c>
      <c r="K120" s="25">
        <v>10</v>
      </c>
      <c r="L120" s="28">
        <v>12</v>
      </c>
      <c r="M120" s="11"/>
      <c r="N120" s="11">
        <v>143</v>
      </c>
      <c r="O120" s="11"/>
      <c r="P120" s="11"/>
      <c r="Q120" s="36">
        <v>131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5</v>
      </c>
      <c r="L121" s="28">
        <v>5</v>
      </c>
      <c r="M121" s="11"/>
      <c r="N121" s="11">
        <v>62</v>
      </c>
      <c r="O121" s="11"/>
      <c r="P121" s="11"/>
      <c r="Q121" s="36">
        <v>57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11"/>
      <c r="P122" s="11"/>
      <c r="Q122" s="36">
        <v>0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2</v>
      </c>
      <c r="F123" s="25">
        <v>14</v>
      </c>
      <c r="G123" s="25">
        <v>125</v>
      </c>
      <c r="H123" s="25">
        <v>0</v>
      </c>
      <c r="I123" s="25">
        <v>0</v>
      </c>
      <c r="J123" s="25">
        <v>0</v>
      </c>
      <c r="K123" s="25">
        <v>0</v>
      </c>
      <c r="L123" s="28">
        <v>141</v>
      </c>
      <c r="M123" s="11"/>
      <c r="N123" s="11">
        <v>610</v>
      </c>
      <c r="O123" s="11"/>
      <c r="P123" s="11"/>
      <c r="Q123" s="36">
        <v>469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4</v>
      </c>
      <c r="F124" s="25">
        <v>14</v>
      </c>
      <c r="G124" s="25">
        <v>124</v>
      </c>
      <c r="H124" s="25">
        <v>0</v>
      </c>
      <c r="I124" s="25">
        <v>0</v>
      </c>
      <c r="J124" s="25">
        <v>0</v>
      </c>
      <c r="K124" s="25">
        <v>0</v>
      </c>
      <c r="L124" s="28">
        <v>142</v>
      </c>
      <c r="M124" s="11"/>
      <c r="N124" s="11">
        <v>212</v>
      </c>
      <c r="O124" s="11"/>
      <c r="P124" s="11"/>
      <c r="Q124" s="36">
        <v>70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25">
        <v>2</v>
      </c>
      <c r="F125" s="25">
        <v>15</v>
      </c>
      <c r="G125" s="25">
        <v>124</v>
      </c>
      <c r="H125" s="25">
        <v>0</v>
      </c>
      <c r="I125" s="25">
        <v>0</v>
      </c>
      <c r="J125" s="25">
        <v>0</v>
      </c>
      <c r="K125" s="25">
        <v>0</v>
      </c>
      <c r="L125" s="28">
        <v>141</v>
      </c>
      <c r="M125" s="11"/>
      <c r="N125" s="11">
        <v>193</v>
      </c>
      <c r="O125" s="11"/>
      <c r="P125" s="11"/>
      <c r="Q125" s="36">
        <v>52</v>
      </c>
    </row>
    <row r="126" spans="2:17" ht="22.2" x14ac:dyDescent="0.25">
      <c r="B126" s="11">
        <v>1124021</v>
      </c>
      <c r="C126" s="20" t="s">
        <v>122</v>
      </c>
      <c r="D126" s="25">
        <v>24</v>
      </c>
      <c r="E126" s="25">
        <v>84</v>
      </c>
      <c r="F126" s="25">
        <v>89</v>
      </c>
      <c r="G126" s="25">
        <v>51</v>
      </c>
      <c r="H126" s="25">
        <v>0</v>
      </c>
      <c r="I126" s="25">
        <v>0</v>
      </c>
      <c r="J126" s="25">
        <v>0</v>
      </c>
      <c r="K126" s="25">
        <v>0</v>
      </c>
      <c r="L126" s="28">
        <v>248</v>
      </c>
      <c r="M126" s="11"/>
      <c r="N126" s="11">
        <v>16</v>
      </c>
      <c r="O126" s="11"/>
      <c r="P126" s="11"/>
      <c r="Q126" s="36">
        <v>-232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1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5</v>
      </c>
      <c r="L130" s="28">
        <v>6</v>
      </c>
      <c r="M130" s="11"/>
      <c r="N130" s="11">
        <v>18</v>
      </c>
      <c r="O130" s="11"/>
      <c r="P130" s="11"/>
      <c r="Q130" s="36">
        <v>12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11"/>
      <c r="P135" s="11"/>
      <c r="Q135" s="36">
        <v>0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58</v>
      </c>
      <c r="E140" s="28">
        <v>291</v>
      </c>
      <c r="F140" s="28">
        <v>579</v>
      </c>
      <c r="G140" s="28">
        <v>1785</v>
      </c>
      <c r="H140" s="28">
        <v>0</v>
      </c>
      <c r="I140" s="28">
        <v>0</v>
      </c>
      <c r="J140" s="28">
        <v>0</v>
      </c>
      <c r="K140" s="28">
        <v>196</v>
      </c>
      <c r="L140" s="28">
        <v>2909</v>
      </c>
      <c r="M140" s="25">
        <v>0</v>
      </c>
      <c r="N140" s="25">
        <v>14795</v>
      </c>
      <c r="O140" s="25"/>
      <c r="P140" s="25"/>
      <c r="Q140" s="36">
        <v>11886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:L1"/>
    <mergeCell ref="B2:C3"/>
    <mergeCell ref="E2:F3"/>
    <mergeCell ref="M2:M4"/>
    <mergeCell ref="Q2:Q4"/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BB44-9230-40C5-B144-E48961844B18}">
  <dimension ref="B1:Q143"/>
  <sheetViews>
    <sheetView workbookViewId="0">
      <selection sqref="A1:Q143"/>
    </sheetView>
  </sheetViews>
  <sheetFormatPr defaultRowHeight="13.8" x14ac:dyDescent="0.25"/>
  <sheetData>
    <row r="1" spans="2:17" ht="22.2" x14ac:dyDescent="0.25">
      <c r="B1" s="50" t="s">
        <v>152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3</v>
      </c>
      <c r="E7" s="25">
        <v>75</v>
      </c>
      <c r="F7" s="25">
        <v>98</v>
      </c>
      <c r="G7" s="25">
        <v>2</v>
      </c>
      <c r="H7" s="25">
        <v>0</v>
      </c>
      <c r="I7" s="25">
        <v>0</v>
      </c>
      <c r="J7" s="25">
        <v>0</v>
      </c>
      <c r="K7" s="25">
        <v>0</v>
      </c>
      <c r="L7" s="28">
        <v>178</v>
      </c>
      <c r="M7" s="11"/>
      <c r="N7" s="11"/>
      <c r="O7" s="11"/>
      <c r="P7" s="11"/>
      <c r="Q7" s="36">
        <v>-178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3</v>
      </c>
      <c r="E25" s="25">
        <v>11</v>
      </c>
      <c r="F25" s="25">
        <v>29</v>
      </c>
      <c r="G25" s="25">
        <v>1</v>
      </c>
      <c r="H25" s="25">
        <v>0</v>
      </c>
      <c r="I25" s="25">
        <v>0</v>
      </c>
      <c r="J25" s="25">
        <v>0</v>
      </c>
      <c r="K25" s="25">
        <v>0</v>
      </c>
      <c r="L25" s="28">
        <v>44</v>
      </c>
      <c r="M25" s="11"/>
      <c r="N25" s="11"/>
      <c r="O25" s="11"/>
      <c r="P25" s="11"/>
      <c r="Q25" s="36">
        <v>-44</v>
      </c>
    </row>
    <row r="26" spans="2:17" ht="22.2" x14ac:dyDescent="0.25">
      <c r="B26" s="11">
        <v>1004055</v>
      </c>
      <c r="C26" s="15" t="s">
        <v>37</v>
      </c>
      <c r="D26" s="25">
        <v>50</v>
      </c>
      <c r="E26" s="25">
        <v>37</v>
      </c>
      <c r="F26" s="25">
        <v>22</v>
      </c>
      <c r="G26" s="25">
        <v>155</v>
      </c>
      <c r="H26" s="25">
        <v>0</v>
      </c>
      <c r="I26" s="25">
        <v>0</v>
      </c>
      <c r="J26" s="25">
        <v>0</v>
      </c>
      <c r="K26" s="25">
        <v>0</v>
      </c>
      <c r="L26" s="28">
        <v>264</v>
      </c>
      <c r="M26" s="11"/>
      <c r="N26" s="11"/>
      <c r="O26" s="11"/>
      <c r="P26" s="11"/>
      <c r="Q26" s="36">
        <v>-264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8</v>
      </c>
      <c r="E40" s="25">
        <v>284</v>
      </c>
      <c r="F40" s="25">
        <v>4</v>
      </c>
      <c r="G40" s="25">
        <v>11</v>
      </c>
      <c r="H40" s="25">
        <v>0</v>
      </c>
      <c r="I40" s="25">
        <v>0</v>
      </c>
      <c r="J40" s="25">
        <v>0</v>
      </c>
      <c r="K40" s="25">
        <v>0</v>
      </c>
      <c r="L40" s="28">
        <v>307</v>
      </c>
      <c r="M40" s="11"/>
      <c r="N40" s="11"/>
      <c r="O40" s="11"/>
      <c r="P40" s="11"/>
      <c r="Q40" s="36">
        <v>-307</v>
      </c>
    </row>
    <row r="41" spans="2:17" ht="22.2" x14ac:dyDescent="0.25">
      <c r="B41" s="11">
        <v>1111058</v>
      </c>
      <c r="C41" s="15" t="s">
        <v>52</v>
      </c>
      <c r="D41" s="25">
        <v>8</v>
      </c>
      <c r="E41" s="25">
        <v>164</v>
      </c>
      <c r="F41" s="25">
        <v>4</v>
      </c>
      <c r="G41" s="25">
        <v>11</v>
      </c>
      <c r="H41" s="25">
        <v>0</v>
      </c>
      <c r="I41" s="25">
        <v>0</v>
      </c>
      <c r="J41" s="25">
        <v>0</v>
      </c>
      <c r="K41" s="25">
        <v>0</v>
      </c>
      <c r="L41" s="28">
        <v>187</v>
      </c>
      <c r="M41" s="11"/>
      <c r="N41" s="11"/>
      <c r="O41" s="11"/>
      <c r="P41" s="11"/>
      <c r="Q41" s="36">
        <v>-187</v>
      </c>
    </row>
    <row r="42" spans="2:17" ht="22.2" x14ac:dyDescent="0.25">
      <c r="B42" s="11">
        <v>1111059</v>
      </c>
      <c r="C42" s="15" t="s">
        <v>53</v>
      </c>
      <c r="D42" s="25">
        <v>9</v>
      </c>
      <c r="E42" s="25">
        <v>164</v>
      </c>
      <c r="F42" s="25">
        <v>4</v>
      </c>
      <c r="G42" s="25">
        <v>11</v>
      </c>
      <c r="H42" s="25">
        <v>0</v>
      </c>
      <c r="I42" s="25">
        <v>0</v>
      </c>
      <c r="J42" s="25">
        <v>0</v>
      </c>
      <c r="K42" s="25">
        <v>0</v>
      </c>
      <c r="L42" s="28">
        <v>188</v>
      </c>
      <c r="M42" s="11"/>
      <c r="N42" s="11"/>
      <c r="O42" s="11"/>
      <c r="P42" s="11"/>
      <c r="Q42" s="36">
        <v>-188</v>
      </c>
    </row>
    <row r="43" spans="2:17" ht="22.2" x14ac:dyDescent="0.25">
      <c r="B43" s="11">
        <v>1111060</v>
      </c>
      <c r="C43" s="15" t="s">
        <v>54</v>
      </c>
      <c r="D43" s="25">
        <v>9</v>
      </c>
      <c r="E43" s="25">
        <v>0</v>
      </c>
      <c r="F43" s="25">
        <v>0</v>
      </c>
      <c r="G43" s="25">
        <v>3</v>
      </c>
      <c r="H43" s="25">
        <v>0</v>
      </c>
      <c r="I43" s="25">
        <v>0</v>
      </c>
      <c r="J43" s="25">
        <v>0</v>
      </c>
      <c r="K43" s="25">
        <v>0</v>
      </c>
      <c r="L43" s="28">
        <v>12</v>
      </c>
      <c r="M43" s="11"/>
      <c r="N43" s="11"/>
      <c r="O43" s="11"/>
      <c r="P43" s="11"/>
      <c r="Q43" s="36">
        <v>-12</v>
      </c>
    </row>
    <row r="44" spans="2:17" ht="22.2" x14ac:dyDescent="0.25">
      <c r="B44" s="11">
        <v>1111061</v>
      </c>
      <c r="C44" s="15" t="s">
        <v>55</v>
      </c>
      <c r="D44" s="25">
        <v>9</v>
      </c>
      <c r="E44" s="25">
        <v>164</v>
      </c>
      <c r="F44" s="25">
        <v>4</v>
      </c>
      <c r="G44" s="25">
        <v>11</v>
      </c>
      <c r="H44" s="25">
        <v>0</v>
      </c>
      <c r="I44" s="25">
        <v>0</v>
      </c>
      <c r="J44" s="25">
        <v>0</v>
      </c>
      <c r="K44" s="25">
        <v>0</v>
      </c>
      <c r="L44" s="28">
        <v>188</v>
      </c>
      <c r="M44" s="11"/>
      <c r="N44" s="11"/>
      <c r="O44" s="11"/>
      <c r="P44" s="11"/>
      <c r="Q44" s="36">
        <v>-188</v>
      </c>
    </row>
    <row r="45" spans="2:17" ht="22.2" x14ac:dyDescent="0.25">
      <c r="B45" s="11">
        <v>1111062</v>
      </c>
      <c r="C45" s="15" t="s">
        <v>56</v>
      </c>
      <c r="D45" s="25">
        <v>9</v>
      </c>
      <c r="E45" s="25">
        <v>120</v>
      </c>
      <c r="F45" s="25">
        <v>0</v>
      </c>
      <c r="G45" s="25">
        <v>2</v>
      </c>
      <c r="H45" s="25">
        <v>0</v>
      </c>
      <c r="I45" s="25">
        <v>0</v>
      </c>
      <c r="J45" s="25">
        <v>0</v>
      </c>
      <c r="K45" s="25">
        <v>0</v>
      </c>
      <c r="L45" s="28">
        <v>131</v>
      </c>
      <c r="M45" s="11"/>
      <c r="N45" s="11"/>
      <c r="O45" s="11"/>
      <c r="P45" s="11"/>
      <c r="Q45" s="36">
        <v>-131</v>
      </c>
    </row>
    <row r="46" spans="2:17" ht="22.2" x14ac:dyDescent="0.25">
      <c r="B46" s="11">
        <v>1111063</v>
      </c>
      <c r="C46" s="15" t="s">
        <v>57</v>
      </c>
      <c r="D46" s="25">
        <v>9</v>
      </c>
      <c r="E46" s="25">
        <v>204</v>
      </c>
      <c r="F46" s="25">
        <v>4</v>
      </c>
      <c r="G46" s="25">
        <v>10</v>
      </c>
      <c r="H46" s="25">
        <v>0</v>
      </c>
      <c r="I46" s="25">
        <v>0</v>
      </c>
      <c r="J46" s="25">
        <v>0</v>
      </c>
      <c r="K46" s="25">
        <v>0</v>
      </c>
      <c r="L46" s="28">
        <v>227</v>
      </c>
      <c r="M46" s="11"/>
      <c r="N46" s="11"/>
      <c r="O46" s="11"/>
      <c r="P46" s="11"/>
      <c r="Q46" s="36">
        <v>-227</v>
      </c>
    </row>
    <row r="47" spans="2:17" ht="22.2" x14ac:dyDescent="0.25">
      <c r="B47" s="11">
        <v>1111064</v>
      </c>
      <c r="C47" s="15" t="s">
        <v>58</v>
      </c>
      <c r="D47" s="25">
        <v>9</v>
      </c>
      <c r="E47" s="25">
        <v>204</v>
      </c>
      <c r="F47" s="25">
        <v>4</v>
      </c>
      <c r="G47" s="25">
        <v>10</v>
      </c>
      <c r="H47" s="25">
        <v>0</v>
      </c>
      <c r="I47" s="25">
        <v>0</v>
      </c>
      <c r="J47" s="25">
        <v>0</v>
      </c>
      <c r="K47" s="25">
        <v>0</v>
      </c>
      <c r="L47" s="28">
        <v>227</v>
      </c>
      <c r="M47" s="11"/>
      <c r="N47" s="11"/>
      <c r="O47" s="11"/>
      <c r="P47" s="11"/>
      <c r="Q47" s="36">
        <v>-227</v>
      </c>
    </row>
    <row r="48" spans="2:17" ht="22.2" x14ac:dyDescent="0.25">
      <c r="B48" s="11">
        <v>1111065</v>
      </c>
      <c r="C48" s="15" t="s">
        <v>59</v>
      </c>
      <c r="D48" s="25">
        <v>9</v>
      </c>
      <c r="E48" s="25">
        <v>160</v>
      </c>
      <c r="F48" s="25">
        <v>0</v>
      </c>
      <c r="G48" s="25">
        <v>2</v>
      </c>
      <c r="H48" s="25">
        <v>0</v>
      </c>
      <c r="I48" s="25">
        <v>0</v>
      </c>
      <c r="J48" s="25">
        <v>0</v>
      </c>
      <c r="K48" s="25">
        <v>0</v>
      </c>
      <c r="L48" s="28">
        <v>171</v>
      </c>
      <c r="M48" s="11"/>
      <c r="N48" s="11"/>
      <c r="O48" s="11"/>
      <c r="P48" s="11"/>
      <c r="Q48" s="36">
        <v>-171</v>
      </c>
    </row>
    <row r="49" spans="2:17" ht="22.2" x14ac:dyDescent="0.25">
      <c r="B49" s="11">
        <v>1111066</v>
      </c>
      <c r="C49" s="15" t="s">
        <v>60</v>
      </c>
      <c r="D49" s="25">
        <v>9</v>
      </c>
      <c r="E49" s="25">
        <v>204</v>
      </c>
      <c r="F49" s="25">
        <v>4</v>
      </c>
      <c r="G49" s="25">
        <v>10</v>
      </c>
      <c r="H49" s="25">
        <v>0</v>
      </c>
      <c r="I49" s="25">
        <v>0</v>
      </c>
      <c r="J49" s="25">
        <v>0</v>
      </c>
      <c r="K49" s="25">
        <v>0</v>
      </c>
      <c r="L49" s="28">
        <v>227</v>
      </c>
      <c r="M49" s="11"/>
      <c r="N49" s="11"/>
      <c r="O49" s="11"/>
      <c r="P49" s="11"/>
      <c r="Q49" s="36">
        <v>-227</v>
      </c>
    </row>
    <row r="50" spans="2:17" ht="22.2" x14ac:dyDescent="0.25">
      <c r="B50" s="11">
        <v>1111067</v>
      </c>
      <c r="C50" s="15" t="s">
        <v>61</v>
      </c>
      <c r="D50" s="25">
        <v>9</v>
      </c>
      <c r="E50" s="25">
        <v>324</v>
      </c>
      <c r="F50" s="25">
        <v>4</v>
      </c>
      <c r="G50" s="25">
        <v>8</v>
      </c>
      <c r="H50" s="25">
        <v>0</v>
      </c>
      <c r="I50" s="25">
        <v>0</v>
      </c>
      <c r="J50" s="25">
        <v>0</v>
      </c>
      <c r="K50" s="25">
        <v>0</v>
      </c>
      <c r="L50" s="28">
        <v>345</v>
      </c>
      <c r="M50" s="11"/>
      <c r="N50" s="11"/>
      <c r="O50" s="11"/>
      <c r="P50" s="11"/>
      <c r="Q50" s="36">
        <v>-345</v>
      </c>
    </row>
    <row r="51" spans="2:17" ht="22.2" x14ac:dyDescent="0.25">
      <c r="B51" s="11">
        <v>1111068</v>
      </c>
      <c r="C51" s="15" t="s">
        <v>62</v>
      </c>
      <c r="D51" s="25">
        <v>9</v>
      </c>
      <c r="E51" s="25">
        <v>244</v>
      </c>
      <c r="F51" s="25">
        <v>4</v>
      </c>
      <c r="G51" s="25">
        <v>8</v>
      </c>
      <c r="H51" s="25">
        <v>0</v>
      </c>
      <c r="I51" s="25">
        <v>0</v>
      </c>
      <c r="J51" s="25">
        <v>0</v>
      </c>
      <c r="K51" s="25">
        <v>0</v>
      </c>
      <c r="L51" s="28">
        <v>265</v>
      </c>
      <c r="M51" s="11"/>
      <c r="N51" s="11"/>
      <c r="O51" s="11"/>
      <c r="P51" s="11"/>
      <c r="Q51" s="36">
        <v>-265</v>
      </c>
    </row>
    <row r="52" spans="2:17" ht="22.2" x14ac:dyDescent="0.25">
      <c r="B52" s="11">
        <v>1111069</v>
      </c>
      <c r="C52" s="15" t="s">
        <v>63</v>
      </c>
      <c r="D52" s="25">
        <v>9</v>
      </c>
      <c r="E52" s="25">
        <v>204</v>
      </c>
      <c r="F52" s="25">
        <v>4</v>
      </c>
      <c r="G52" s="25">
        <v>8</v>
      </c>
      <c r="H52" s="25">
        <v>0</v>
      </c>
      <c r="I52" s="25">
        <v>0</v>
      </c>
      <c r="J52" s="25">
        <v>0</v>
      </c>
      <c r="K52" s="25">
        <v>0</v>
      </c>
      <c r="L52" s="28">
        <v>225</v>
      </c>
      <c r="M52" s="11"/>
      <c r="N52" s="11"/>
      <c r="O52" s="11"/>
      <c r="P52" s="11"/>
      <c r="Q52" s="36">
        <v>-225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8</v>
      </c>
      <c r="E56" s="25">
        <v>0</v>
      </c>
      <c r="F56" s="25">
        <v>7</v>
      </c>
      <c r="G56" s="25">
        <v>15</v>
      </c>
      <c r="H56" s="25">
        <v>0</v>
      </c>
      <c r="I56" s="25">
        <v>0</v>
      </c>
      <c r="J56" s="25">
        <v>0</v>
      </c>
      <c r="K56" s="25">
        <v>0</v>
      </c>
      <c r="L56" s="28">
        <v>30</v>
      </c>
      <c r="M56" s="11"/>
      <c r="N56" s="11"/>
      <c r="O56" s="11"/>
      <c r="P56" s="11"/>
      <c r="Q56" s="36">
        <v>-30</v>
      </c>
    </row>
    <row r="57" spans="2:17" ht="22.2" x14ac:dyDescent="0.25">
      <c r="B57" s="11">
        <v>1111075</v>
      </c>
      <c r="C57" s="15" t="s">
        <v>68</v>
      </c>
      <c r="D57" s="25">
        <v>8</v>
      </c>
      <c r="E57" s="25">
        <v>0</v>
      </c>
      <c r="F57" s="25">
        <v>7</v>
      </c>
      <c r="G57" s="25">
        <v>15</v>
      </c>
      <c r="H57" s="25">
        <v>0</v>
      </c>
      <c r="I57" s="25">
        <v>0</v>
      </c>
      <c r="J57" s="25">
        <v>0</v>
      </c>
      <c r="K57" s="25">
        <v>0</v>
      </c>
      <c r="L57" s="28">
        <v>30</v>
      </c>
      <c r="M57" s="11"/>
      <c r="N57" s="11"/>
      <c r="O57" s="11"/>
      <c r="P57" s="11"/>
      <c r="Q57" s="36">
        <v>-30</v>
      </c>
    </row>
    <row r="58" spans="2:17" ht="22.2" x14ac:dyDescent="0.25">
      <c r="B58" s="11">
        <v>1111076</v>
      </c>
      <c r="C58" s="15" t="s">
        <v>69</v>
      </c>
      <c r="D58" s="25">
        <v>8</v>
      </c>
      <c r="E58" s="25">
        <v>0</v>
      </c>
      <c r="F58" s="25">
        <v>7</v>
      </c>
      <c r="G58" s="25">
        <v>15</v>
      </c>
      <c r="H58" s="25">
        <v>0</v>
      </c>
      <c r="I58" s="25">
        <v>0</v>
      </c>
      <c r="J58" s="25">
        <v>0</v>
      </c>
      <c r="K58" s="25">
        <v>0</v>
      </c>
      <c r="L58" s="28">
        <v>30</v>
      </c>
      <c r="M58" s="11"/>
      <c r="N58" s="11"/>
      <c r="O58" s="11"/>
      <c r="P58" s="11"/>
      <c r="Q58" s="36">
        <v>-30</v>
      </c>
    </row>
    <row r="59" spans="2:17" ht="22.2" x14ac:dyDescent="0.25">
      <c r="B59" s="11">
        <v>1111077</v>
      </c>
      <c r="C59" s="15" t="s">
        <v>70</v>
      </c>
      <c r="D59" s="25">
        <v>8</v>
      </c>
      <c r="E59" s="25">
        <v>0</v>
      </c>
      <c r="F59" s="25">
        <v>8</v>
      </c>
      <c r="G59" s="25">
        <v>15</v>
      </c>
      <c r="H59" s="25">
        <v>0</v>
      </c>
      <c r="I59" s="25">
        <v>0</v>
      </c>
      <c r="J59" s="25">
        <v>0</v>
      </c>
      <c r="K59" s="25">
        <v>0</v>
      </c>
      <c r="L59" s="28">
        <v>31</v>
      </c>
      <c r="M59" s="11"/>
      <c r="N59" s="11"/>
      <c r="O59" s="11"/>
      <c r="P59" s="11"/>
      <c r="Q59" s="36">
        <v>-31</v>
      </c>
    </row>
    <row r="60" spans="2:17" ht="22.2" x14ac:dyDescent="0.25">
      <c r="B60" s="11">
        <v>1111078</v>
      </c>
      <c r="C60" s="15" t="s">
        <v>71</v>
      </c>
      <c r="D60" s="25">
        <v>8</v>
      </c>
      <c r="E60" s="25">
        <v>0</v>
      </c>
      <c r="F60" s="25">
        <v>7</v>
      </c>
      <c r="G60" s="25">
        <v>15</v>
      </c>
      <c r="H60" s="25">
        <v>0</v>
      </c>
      <c r="I60" s="25">
        <v>0</v>
      </c>
      <c r="J60" s="25">
        <v>0</v>
      </c>
      <c r="K60" s="25">
        <v>0</v>
      </c>
      <c r="L60" s="28">
        <v>30</v>
      </c>
      <c r="M60" s="11"/>
      <c r="N60" s="11"/>
      <c r="O60" s="11"/>
      <c r="P60" s="11"/>
      <c r="Q60" s="36">
        <v>-30</v>
      </c>
    </row>
    <row r="61" spans="2:17" ht="22.2" x14ac:dyDescent="0.25">
      <c r="B61" s="11">
        <v>1111079</v>
      </c>
      <c r="C61" s="15" t="s">
        <v>72</v>
      </c>
      <c r="D61" s="25">
        <v>8</v>
      </c>
      <c r="E61" s="25">
        <v>0</v>
      </c>
      <c r="F61" s="25">
        <v>8</v>
      </c>
      <c r="G61" s="25">
        <v>15</v>
      </c>
      <c r="H61" s="25">
        <v>0</v>
      </c>
      <c r="I61" s="25">
        <v>0</v>
      </c>
      <c r="J61" s="25">
        <v>0</v>
      </c>
      <c r="K61" s="25">
        <v>0</v>
      </c>
      <c r="L61" s="28">
        <v>31</v>
      </c>
      <c r="M61" s="11"/>
      <c r="N61" s="11"/>
      <c r="O61" s="11"/>
      <c r="P61" s="11"/>
      <c r="Q61" s="36">
        <v>-31</v>
      </c>
    </row>
    <row r="62" spans="2:17" ht="22.2" x14ac:dyDescent="0.25">
      <c r="B62" s="11">
        <v>1111080</v>
      </c>
      <c r="C62" s="15" t="s">
        <v>73</v>
      </c>
      <c r="D62" s="25">
        <v>8</v>
      </c>
      <c r="E62" s="25">
        <v>0</v>
      </c>
      <c r="F62" s="25">
        <v>8</v>
      </c>
      <c r="G62" s="25">
        <v>14</v>
      </c>
      <c r="H62" s="25">
        <v>0</v>
      </c>
      <c r="I62" s="25">
        <v>0</v>
      </c>
      <c r="J62" s="25">
        <v>0</v>
      </c>
      <c r="K62" s="25">
        <v>0</v>
      </c>
      <c r="L62" s="28">
        <v>30</v>
      </c>
      <c r="M62" s="11"/>
      <c r="N62" s="11"/>
      <c r="O62" s="11"/>
      <c r="P62" s="11"/>
      <c r="Q62" s="36">
        <v>-30</v>
      </c>
    </row>
    <row r="63" spans="2:17" ht="22.2" x14ac:dyDescent="0.25">
      <c r="B63" s="11">
        <v>1111081</v>
      </c>
      <c r="C63" s="15" t="s">
        <v>74</v>
      </c>
      <c r="D63" s="25">
        <v>8</v>
      </c>
      <c r="E63" s="25">
        <v>0</v>
      </c>
      <c r="F63" s="25">
        <v>7</v>
      </c>
      <c r="G63" s="25">
        <v>14</v>
      </c>
      <c r="H63" s="25">
        <v>0</v>
      </c>
      <c r="I63" s="25">
        <v>0</v>
      </c>
      <c r="J63" s="25">
        <v>0</v>
      </c>
      <c r="K63" s="25">
        <v>0</v>
      </c>
      <c r="L63" s="28">
        <v>29</v>
      </c>
      <c r="M63" s="11"/>
      <c r="N63" s="11"/>
      <c r="O63" s="11"/>
      <c r="P63" s="11"/>
      <c r="Q63" s="36">
        <v>-29</v>
      </c>
    </row>
    <row r="64" spans="2:17" ht="22.2" x14ac:dyDescent="0.25">
      <c r="B64" s="11">
        <v>1111082</v>
      </c>
      <c r="C64" s="15" t="s">
        <v>75</v>
      </c>
      <c r="D64" s="25">
        <v>8</v>
      </c>
      <c r="E64" s="25">
        <v>0</v>
      </c>
      <c r="F64" s="25">
        <v>7</v>
      </c>
      <c r="G64" s="25">
        <v>14</v>
      </c>
      <c r="H64" s="25">
        <v>0</v>
      </c>
      <c r="I64" s="25">
        <v>0</v>
      </c>
      <c r="J64" s="25">
        <v>0</v>
      </c>
      <c r="K64" s="25">
        <v>0</v>
      </c>
      <c r="L64" s="28">
        <v>29</v>
      </c>
      <c r="M64" s="11"/>
      <c r="N64" s="11"/>
      <c r="O64" s="11"/>
      <c r="P64" s="11"/>
      <c r="Q64" s="36">
        <v>-29</v>
      </c>
    </row>
    <row r="65" spans="2:17" ht="22.2" x14ac:dyDescent="0.25">
      <c r="B65" s="11">
        <v>1111083</v>
      </c>
      <c r="C65" s="15" t="s">
        <v>76</v>
      </c>
      <c r="D65" s="25">
        <v>8</v>
      </c>
      <c r="E65" s="25">
        <v>0</v>
      </c>
      <c r="F65" s="25">
        <v>4</v>
      </c>
      <c r="G65" s="25">
        <v>14</v>
      </c>
      <c r="H65" s="25">
        <v>0</v>
      </c>
      <c r="I65" s="25">
        <v>0</v>
      </c>
      <c r="J65" s="25">
        <v>0</v>
      </c>
      <c r="K65" s="25">
        <v>0</v>
      </c>
      <c r="L65" s="28">
        <v>26</v>
      </c>
      <c r="M65" s="11"/>
      <c r="N65" s="11"/>
      <c r="O65" s="11"/>
      <c r="P65" s="11"/>
      <c r="Q65" s="36">
        <v>-26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3</v>
      </c>
      <c r="E69" s="25">
        <v>6</v>
      </c>
      <c r="F69" s="25">
        <v>23</v>
      </c>
      <c r="G69" s="25">
        <v>3</v>
      </c>
      <c r="H69" s="25">
        <v>0</v>
      </c>
      <c r="I69" s="25">
        <v>0</v>
      </c>
      <c r="J69" s="25">
        <v>0</v>
      </c>
      <c r="K69" s="25">
        <v>1</v>
      </c>
      <c r="L69" s="28">
        <v>36</v>
      </c>
      <c r="M69" s="11"/>
      <c r="N69" s="11"/>
      <c r="O69" s="11"/>
      <c r="P69" s="11"/>
      <c r="Q69" s="36">
        <v>-36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2</v>
      </c>
      <c r="L76" s="28">
        <v>2</v>
      </c>
      <c r="M76" s="11"/>
      <c r="N76" s="11"/>
      <c r="O76" s="11"/>
      <c r="P76" s="11"/>
      <c r="Q76" s="36">
        <v>-2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20</v>
      </c>
      <c r="E87" s="25">
        <v>24</v>
      </c>
      <c r="F87" s="25">
        <v>2</v>
      </c>
      <c r="G87" s="25">
        <v>178</v>
      </c>
      <c r="H87" s="25">
        <v>0</v>
      </c>
      <c r="I87" s="25">
        <v>0</v>
      </c>
      <c r="J87" s="25">
        <v>0</v>
      </c>
      <c r="K87" s="25">
        <v>5</v>
      </c>
      <c r="L87" s="28">
        <v>229</v>
      </c>
      <c r="M87" s="11"/>
      <c r="N87" s="11"/>
      <c r="O87" s="11"/>
      <c r="P87" s="11"/>
      <c r="Q87" s="36">
        <v>-229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17</v>
      </c>
      <c r="E90" s="25">
        <v>39</v>
      </c>
      <c r="F90" s="25">
        <v>14</v>
      </c>
      <c r="G90" s="25">
        <v>116</v>
      </c>
      <c r="H90" s="25">
        <v>0</v>
      </c>
      <c r="I90" s="25">
        <v>0</v>
      </c>
      <c r="J90" s="25">
        <v>0</v>
      </c>
      <c r="K90" s="25">
        <v>10</v>
      </c>
      <c r="L90" s="28">
        <v>196</v>
      </c>
      <c r="M90" s="11"/>
      <c r="N90" s="11"/>
      <c r="O90" s="11"/>
      <c r="P90" s="11"/>
      <c r="Q90" s="36">
        <v>-196</v>
      </c>
    </row>
    <row r="91" spans="2:17" ht="22.2" x14ac:dyDescent="0.25">
      <c r="B91" s="11">
        <v>1112011</v>
      </c>
      <c r="C91" s="18" t="s">
        <v>99</v>
      </c>
      <c r="D91" s="25">
        <v>60</v>
      </c>
      <c r="E91" s="25">
        <v>30</v>
      </c>
      <c r="F91" s="25">
        <v>15</v>
      </c>
      <c r="G91" s="25">
        <v>115</v>
      </c>
      <c r="H91" s="25">
        <v>0</v>
      </c>
      <c r="I91" s="25">
        <v>0</v>
      </c>
      <c r="J91" s="25">
        <v>0</v>
      </c>
      <c r="K91" s="25">
        <v>10</v>
      </c>
      <c r="L91" s="28">
        <v>230</v>
      </c>
      <c r="M91" s="11"/>
      <c r="N91" s="11"/>
      <c r="O91" s="11"/>
      <c r="P91" s="11"/>
      <c r="Q91" s="36">
        <v>-230</v>
      </c>
    </row>
    <row r="92" spans="2:17" ht="22.2" x14ac:dyDescent="0.25">
      <c r="B92" s="11">
        <v>1112003</v>
      </c>
      <c r="C92" s="18" t="s">
        <v>100</v>
      </c>
      <c r="D92" s="25">
        <v>30</v>
      </c>
      <c r="E92" s="25">
        <v>0</v>
      </c>
      <c r="F92" s="25">
        <v>3</v>
      </c>
      <c r="G92" s="25">
        <v>106</v>
      </c>
      <c r="H92" s="25">
        <v>0</v>
      </c>
      <c r="I92" s="25">
        <v>0</v>
      </c>
      <c r="J92" s="25">
        <v>0</v>
      </c>
      <c r="K92" s="25">
        <v>10</v>
      </c>
      <c r="L92" s="28">
        <v>149</v>
      </c>
      <c r="M92" s="11"/>
      <c r="N92" s="11"/>
      <c r="O92" s="11"/>
      <c r="P92" s="11"/>
      <c r="Q92" s="36">
        <v>-149</v>
      </c>
    </row>
    <row r="93" spans="2:17" ht="22.2" x14ac:dyDescent="0.25">
      <c r="B93" s="11">
        <v>1112005</v>
      </c>
      <c r="C93" s="18" t="s">
        <v>101</v>
      </c>
      <c r="D93" s="25">
        <v>17</v>
      </c>
      <c r="E93" s="25">
        <v>0</v>
      </c>
      <c r="F93" s="25">
        <v>3</v>
      </c>
      <c r="G93" s="25">
        <v>106</v>
      </c>
      <c r="H93" s="25">
        <v>0</v>
      </c>
      <c r="I93" s="25">
        <v>0</v>
      </c>
      <c r="J93" s="25">
        <v>0</v>
      </c>
      <c r="K93" s="25">
        <v>10</v>
      </c>
      <c r="L93" s="28">
        <v>136</v>
      </c>
      <c r="M93" s="11"/>
      <c r="N93" s="11"/>
      <c r="O93" s="11"/>
      <c r="P93" s="11"/>
      <c r="Q93" s="36">
        <v>-136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12</v>
      </c>
      <c r="E97" s="25">
        <v>0</v>
      </c>
      <c r="F97" s="25">
        <v>3</v>
      </c>
      <c r="G97" s="25">
        <v>105</v>
      </c>
      <c r="H97" s="25">
        <v>0</v>
      </c>
      <c r="I97" s="25">
        <v>0</v>
      </c>
      <c r="J97" s="25">
        <v>0</v>
      </c>
      <c r="K97" s="25">
        <v>0</v>
      </c>
      <c r="L97" s="28">
        <v>120</v>
      </c>
      <c r="M97" s="11"/>
      <c r="N97" s="11"/>
      <c r="O97" s="11"/>
      <c r="P97" s="11"/>
      <c r="Q97" s="36">
        <v>-120</v>
      </c>
    </row>
    <row r="98" spans="2:17" ht="22.2" x14ac:dyDescent="0.25">
      <c r="B98" s="11">
        <v>1112013</v>
      </c>
      <c r="C98" s="18" t="s">
        <v>106</v>
      </c>
      <c r="D98" s="25">
        <v>20</v>
      </c>
      <c r="E98" s="25">
        <v>30</v>
      </c>
      <c r="F98" s="25">
        <v>13</v>
      </c>
      <c r="G98" s="25">
        <v>115</v>
      </c>
      <c r="H98" s="25">
        <v>0</v>
      </c>
      <c r="I98" s="25">
        <v>0</v>
      </c>
      <c r="J98" s="25">
        <v>0</v>
      </c>
      <c r="K98" s="25">
        <v>10</v>
      </c>
      <c r="L98" s="28">
        <v>188</v>
      </c>
      <c r="M98" s="11"/>
      <c r="N98" s="11"/>
      <c r="O98" s="11"/>
      <c r="P98" s="11"/>
      <c r="Q98" s="36">
        <v>-188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1019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16</v>
      </c>
      <c r="E114" s="25">
        <v>0</v>
      </c>
      <c r="F114" s="25">
        <v>0</v>
      </c>
      <c r="G114" s="25">
        <v>3</v>
      </c>
      <c r="H114" s="25">
        <v>0</v>
      </c>
      <c r="I114" s="25">
        <v>0</v>
      </c>
      <c r="J114" s="25">
        <v>0</v>
      </c>
      <c r="K114" s="25">
        <v>20</v>
      </c>
      <c r="L114" s="28">
        <v>39</v>
      </c>
      <c r="M114" s="11"/>
      <c r="N114" s="11"/>
      <c r="O114" s="11"/>
      <c r="P114" s="11"/>
      <c r="Q114" s="36">
        <v>-39</v>
      </c>
    </row>
    <row r="115" spans="2:17" ht="22.2" x14ac:dyDescent="0.25">
      <c r="B115" s="11">
        <v>1113171</v>
      </c>
      <c r="C115" s="20" t="s">
        <v>111</v>
      </c>
      <c r="D115" s="25">
        <v>17</v>
      </c>
      <c r="E115" s="25">
        <v>0</v>
      </c>
      <c r="F115" s="25">
        <v>0</v>
      </c>
      <c r="G115" s="25">
        <v>1</v>
      </c>
      <c r="H115" s="25">
        <v>0</v>
      </c>
      <c r="I115" s="25">
        <v>0</v>
      </c>
      <c r="J115" s="25">
        <v>0</v>
      </c>
      <c r="K115" s="25">
        <v>35</v>
      </c>
      <c r="L115" s="28">
        <v>53</v>
      </c>
      <c r="M115" s="11"/>
      <c r="N115" s="11"/>
      <c r="O115" s="11"/>
      <c r="P115" s="11"/>
      <c r="Q115" s="36">
        <v>-53</v>
      </c>
    </row>
    <row r="116" spans="2:17" ht="22.2" x14ac:dyDescent="0.25">
      <c r="B116" s="11">
        <v>1113172</v>
      </c>
      <c r="C116" s="20" t="s">
        <v>112</v>
      </c>
      <c r="D116" s="25">
        <v>12</v>
      </c>
      <c r="E116" s="25">
        <v>0</v>
      </c>
      <c r="F116" s="25">
        <v>0</v>
      </c>
      <c r="G116" s="25">
        <v>3</v>
      </c>
      <c r="H116" s="25">
        <v>0</v>
      </c>
      <c r="I116" s="25">
        <v>0</v>
      </c>
      <c r="J116" s="25">
        <v>0</v>
      </c>
      <c r="K116" s="25">
        <v>25</v>
      </c>
      <c r="L116" s="28">
        <v>40</v>
      </c>
      <c r="M116" s="11"/>
      <c r="N116" s="11"/>
      <c r="O116" s="11"/>
      <c r="P116" s="11"/>
      <c r="Q116" s="36">
        <v>-40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3</v>
      </c>
      <c r="F118" s="25">
        <v>1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4</v>
      </c>
      <c r="M118" s="11"/>
      <c r="N118" s="11"/>
      <c r="O118" s="11"/>
      <c r="P118" s="11"/>
      <c r="Q118" s="36">
        <v>-4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10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10</v>
      </c>
      <c r="M119" s="11"/>
      <c r="N119" s="11"/>
      <c r="O119" s="11"/>
      <c r="P119" s="11"/>
      <c r="Q119" s="36">
        <v>-10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2</v>
      </c>
      <c r="H120" s="25">
        <v>0</v>
      </c>
      <c r="I120" s="25">
        <v>0</v>
      </c>
      <c r="J120" s="25">
        <v>0</v>
      </c>
      <c r="K120" s="25">
        <v>0</v>
      </c>
      <c r="L120" s="28">
        <v>2</v>
      </c>
      <c r="M120" s="11"/>
      <c r="N120" s="11"/>
      <c r="O120" s="11"/>
      <c r="P120" s="11"/>
      <c r="Q120" s="36">
        <v>-2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3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2</v>
      </c>
      <c r="L121" s="28">
        <v>5</v>
      </c>
      <c r="M121" s="11"/>
      <c r="N121" s="11"/>
      <c r="O121" s="11"/>
      <c r="P121" s="11"/>
      <c r="Q121" s="36">
        <v>-5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7</v>
      </c>
      <c r="F122" s="25">
        <v>1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8</v>
      </c>
      <c r="M122" s="11"/>
      <c r="N122" s="11"/>
      <c r="O122" s="11"/>
      <c r="P122" s="11"/>
      <c r="Q122" s="36">
        <v>-8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7</v>
      </c>
      <c r="F123" s="25">
        <v>5</v>
      </c>
      <c r="G123" s="25">
        <v>97</v>
      </c>
      <c r="H123" s="25">
        <v>0</v>
      </c>
      <c r="I123" s="25">
        <v>0</v>
      </c>
      <c r="J123" s="25">
        <v>0</v>
      </c>
      <c r="K123" s="25">
        <v>0</v>
      </c>
      <c r="L123" s="28">
        <v>109</v>
      </c>
      <c r="M123" s="11"/>
      <c r="N123" s="11"/>
      <c r="O123" s="11"/>
      <c r="P123" s="11"/>
      <c r="Q123" s="36">
        <v>-109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7</v>
      </c>
      <c r="F124" s="25">
        <v>5</v>
      </c>
      <c r="G124" s="25">
        <v>96</v>
      </c>
      <c r="H124" s="25">
        <v>0</v>
      </c>
      <c r="I124" s="25">
        <v>0</v>
      </c>
      <c r="J124" s="25">
        <v>0</v>
      </c>
      <c r="K124" s="25">
        <v>0</v>
      </c>
      <c r="L124" s="28">
        <v>108</v>
      </c>
      <c r="M124" s="11"/>
      <c r="N124" s="11"/>
      <c r="O124" s="11"/>
      <c r="P124" s="11"/>
      <c r="Q124" s="36">
        <v>-108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25">
        <v>1</v>
      </c>
      <c r="F125" s="25">
        <v>5</v>
      </c>
      <c r="G125" s="25">
        <v>96</v>
      </c>
      <c r="H125" s="25">
        <v>0</v>
      </c>
      <c r="I125" s="25">
        <v>0</v>
      </c>
      <c r="J125" s="25">
        <v>0</v>
      </c>
      <c r="K125" s="25">
        <v>0</v>
      </c>
      <c r="L125" s="28">
        <v>102</v>
      </c>
      <c r="M125" s="11"/>
      <c r="N125" s="11"/>
      <c r="O125" s="11"/>
      <c r="P125" s="11"/>
      <c r="Q125" s="36">
        <v>-102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21</v>
      </c>
      <c r="F126" s="25">
        <v>48</v>
      </c>
      <c r="G126" s="25">
        <v>21</v>
      </c>
      <c r="H126" s="25">
        <v>0</v>
      </c>
      <c r="I126" s="25">
        <v>0</v>
      </c>
      <c r="J126" s="25">
        <v>0</v>
      </c>
      <c r="K126" s="25">
        <v>0</v>
      </c>
      <c r="L126" s="28">
        <v>90</v>
      </c>
      <c r="M126" s="11"/>
      <c r="N126" s="11"/>
      <c r="O126" s="11"/>
      <c r="P126" s="11"/>
      <c r="Q126" s="36">
        <v>-90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/>
      <c r="O130" s="11"/>
      <c r="P130" s="11"/>
      <c r="Q130" s="36">
        <v>0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3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3</v>
      </c>
      <c r="M135" s="11"/>
      <c r="N135" s="11"/>
      <c r="O135" s="11"/>
      <c r="P135" s="11"/>
      <c r="Q135" s="36">
        <v>-3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3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3</v>
      </c>
      <c r="M136" s="11"/>
      <c r="N136" s="11"/>
      <c r="O136" s="11"/>
      <c r="P136" s="11"/>
      <c r="Q136" s="36">
        <v>-3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475</v>
      </c>
      <c r="E140" s="28">
        <v>2744</v>
      </c>
      <c r="F140" s="28">
        <v>413</v>
      </c>
      <c r="G140" s="28">
        <v>1572</v>
      </c>
      <c r="H140" s="28">
        <v>0</v>
      </c>
      <c r="I140" s="28">
        <v>0</v>
      </c>
      <c r="J140" s="28">
        <v>0</v>
      </c>
      <c r="K140" s="28">
        <v>140</v>
      </c>
      <c r="L140" s="28">
        <v>5344</v>
      </c>
      <c r="M140" s="25">
        <v>0</v>
      </c>
      <c r="N140" s="25">
        <v>0</v>
      </c>
      <c r="O140" s="25"/>
      <c r="P140" s="25"/>
      <c r="Q140" s="36">
        <v>-5344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C9F3-12A4-4D3B-A7A3-E9E9F259D663}">
  <dimension ref="B1:Q143"/>
  <sheetViews>
    <sheetView workbookViewId="0">
      <selection activeCell="U17" sqref="U17"/>
    </sheetView>
  </sheetViews>
  <sheetFormatPr defaultRowHeight="13.8" x14ac:dyDescent="0.25"/>
  <sheetData>
    <row r="1" spans="2:17" ht="22.2" x14ac:dyDescent="0.25">
      <c r="B1" s="50" t="s">
        <v>151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13</v>
      </c>
      <c r="E7" s="25">
        <v>46</v>
      </c>
      <c r="F7" s="25">
        <v>145</v>
      </c>
      <c r="G7" s="25">
        <v>1</v>
      </c>
      <c r="H7" s="25">
        <v>0</v>
      </c>
      <c r="I7" s="25">
        <v>0</v>
      </c>
      <c r="J7" s="25">
        <v>0</v>
      </c>
      <c r="K7" s="25">
        <v>0</v>
      </c>
      <c r="L7" s="28">
        <v>205</v>
      </c>
      <c r="M7" s="11"/>
      <c r="N7" s="11">
        <v>1889</v>
      </c>
      <c r="O7" s="11"/>
      <c r="P7" s="11"/>
      <c r="Q7" s="36">
        <v>1684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3</v>
      </c>
      <c r="E25" s="25">
        <v>5</v>
      </c>
      <c r="F25" s="25">
        <v>28</v>
      </c>
      <c r="G25" s="25">
        <v>10</v>
      </c>
      <c r="H25" s="25">
        <v>0</v>
      </c>
      <c r="I25" s="25">
        <v>0</v>
      </c>
      <c r="J25" s="25">
        <v>0</v>
      </c>
      <c r="K25" s="25">
        <v>0</v>
      </c>
      <c r="L25" s="28">
        <v>46</v>
      </c>
      <c r="M25" s="11">
        <v>80</v>
      </c>
      <c r="N25" s="11">
        <v>83</v>
      </c>
      <c r="O25" s="11"/>
      <c r="P25" s="11"/>
      <c r="Q25" s="36">
        <v>117</v>
      </c>
    </row>
    <row r="26" spans="2:17" ht="22.2" x14ac:dyDescent="0.25">
      <c r="B26" s="11">
        <v>1004055</v>
      </c>
      <c r="C26" s="15" t="s">
        <v>37</v>
      </c>
      <c r="D26" s="25">
        <v>20</v>
      </c>
      <c r="E26" s="25">
        <v>5</v>
      </c>
      <c r="F26" s="25">
        <v>11</v>
      </c>
      <c r="G26" s="25">
        <v>82</v>
      </c>
      <c r="H26" s="25">
        <v>0</v>
      </c>
      <c r="I26" s="25">
        <v>0</v>
      </c>
      <c r="J26" s="25">
        <v>0</v>
      </c>
      <c r="K26" s="25">
        <v>0</v>
      </c>
      <c r="L26" s="28">
        <v>118</v>
      </c>
      <c r="M26" s="11">
        <v>500</v>
      </c>
      <c r="N26" s="11">
        <v>458</v>
      </c>
      <c r="O26" s="11"/>
      <c r="P26" s="11"/>
      <c r="Q26" s="36">
        <v>840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0</v>
      </c>
      <c r="E40" s="25">
        <v>2</v>
      </c>
      <c r="F40" s="25">
        <v>1</v>
      </c>
      <c r="G40" s="25">
        <v>4</v>
      </c>
      <c r="H40" s="25">
        <v>0</v>
      </c>
      <c r="I40" s="25">
        <v>0</v>
      </c>
      <c r="J40" s="25">
        <v>0</v>
      </c>
      <c r="K40" s="25">
        <v>0</v>
      </c>
      <c r="L40" s="28">
        <v>7</v>
      </c>
      <c r="M40" s="11"/>
      <c r="N40" s="11">
        <v>300</v>
      </c>
      <c r="O40" s="11"/>
      <c r="P40" s="11"/>
      <c r="Q40" s="36">
        <v>293</v>
      </c>
    </row>
    <row r="41" spans="2:17" ht="22.2" x14ac:dyDescent="0.25">
      <c r="B41" s="11">
        <v>1111058</v>
      </c>
      <c r="C41" s="15" t="s">
        <v>52</v>
      </c>
      <c r="D41" s="25">
        <v>0</v>
      </c>
      <c r="E41" s="25">
        <v>2</v>
      </c>
      <c r="F41" s="25">
        <v>1</v>
      </c>
      <c r="G41" s="25">
        <v>3</v>
      </c>
      <c r="H41" s="25">
        <v>0</v>
      </c>
      <c r="I41" s="25">
        <v>0</v>
      </c>
      <c r="J41" s="25">
        <v>0</v>
      </c>
      <c r="K41" s="25">
        <v>0</v>
      </c>
      <c r="L41" s="28">
        <v>6</v>
      </c>
      <c r="M41" s="11"/>
      <c r="N41" s="11"/>
      <c r="O41" s="11"/>
      <c r="P41" s="11"/>
      <c r="Q41" s="36">
        <v>-6</v>
      </c>
    </row>
    <row r="42" spans="2:17" ht="22.2" x14ac:dyDescent="0.25">
      <c r="B42" s="11">
        <v>1111059</v>
      </c>
      <c r="C42" s="15" t="s">
        <v>53</v>
      </c>
      <c r="D42" s="25">
        <v>0</v>
      </c>
      <c r="E42" s="25">
        <v>2</v>
      </c>
      <c r="F42" s="25">
        <v>1</v>
      </c>
      <c r="G42" s="25">
        <v>3</v>
      </c>
      <c r="H42" s="25">
        <v>0</v>
      </c>
      <c r="I42" s="25">
        <v>0</v>
      </c>
      <c r="J42" s="25">
        <v>0</v>
      </c>
      <c r="K42" s="25">
        <v>0</v>
      </c>
      <c r="L42" s="28">
        <v>6</v>
      </c>
      <c r="M42" s="11"/>
      <c r="N42" s="11">
        <v>156</v>
      </c>
      <c r="O42" s="11"/>
      <c r="P42" s="11"/>
      <c r="Q42" s="36">
        <v>150</v>
      </c>
    </row>
    <row r="43" spans="2:17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1</v>
      </c>
      <c r="G43" s="25">
        <v>1</v>
      </c>
      <c r="H43" s="25">
        <v>0</v>
      </c>
      <c r="I43" s="25">
        <v>0</v>
      </c>
      <c r="J43" s="25">
        <v>0</v>
      </c>
      <c r="K43" s="25">
        <v>0</v>
      </c>
      <c r="L43" s="28">
        <v>2</v>
      </c>
      <c r="M43" s="11"/>
      <c r="N43" s="11">
        <v>408</v>
      </c>
      <c r="O43" s="11"/>
      <c r="P43" s="11"/>
      <c r="Q43" s="36">
        <v>406</v>
      </c>
    </row>
    <row r="44" spans="2:17" ht="22.2" x14ac:dyDescent="0.25">
      <c r="B44" s="11">
        <v>1111061</v>
      </c>
      <c r="C44" s="15" t="s">
        <v>55</v>
      </c>
      <c r="D44" s="25">
        <v>0</v>
      </c>
      <c r="E44" s="25">
        <v>2</v>
      </c>
      <c r="F44" s="25">
        <v>0</v>
      </c>
      <c r="G44" s="25">
        <v>2</v>
      </c>
      <c r="H44" s="25">
        <v>0</v>
      </c>
      <c r="I44" s="25">
        <v>0</v>
      </c>
      <c r="J44" s="25">
        <v>0</v>
      </c>
      <c r="K44" s="25">
        <v>0</v>
      </c>
      <c r="L44" s="28">
        <v>4</v>
      </c>
      <c r="M44" s="11"/>
      <c r="N44" s="11">
        <v>301</v>
      </c>
      <c r="O44" s="11"/>
      <c r="P44" s="11"/>
      <c r="Q44" s="36">
        <v>297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11"/>
      <c r="P45" s="11"/>
      <c r="Q45" s="36">
        <v>0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2</v>
      </c>
      <c r="F46" s="25">
        <v>1</v>
      </c>
      <c r="G46" s="25">
        <v>2</v>
      </c>
      <c r="H46" s="25">
        <v>0</v>
      </c>
      <c r="I46" s="25">
        <v>0</v>
      </c>
      <c r="J46" s="25">
        <v>0</v>
      </c>
      <c r="K46" s="25">
        <v>0</v>
      </c>
      <c r="L46" s="28">
        <v>5</v>
      </c>
      <c r="M46" s="11"/>
      <c r="N46" s="11">
        <v>91</v>
      </c>
      <c r="O46" s="11"/>
      <c r="P46" s="11"/>
      <c r="Q46" s="36">
        <v>86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2</v>
      </c>
      <c r="F47" s="25">
        <v>0</v>
      </c>
      <c r="G47" s="25">
        <v>2</v>
      </c>
      <c r="H47" s="25">
        <v>0</v>
      </c>
      <c r="I47" s="25">
        <v>0</v>
      </c>
      <c r="J47" s="25">
        <v>0</v>
      </c>
      <c r="K47" s="25">
        <v>0</v>
      </c>
      <c r="L47" s="28">
        <v>4</v>
      </c>
      <c r="M47" s="11"/>
      <c r="N47" s="11"/>
      <c r="O47" s="11"/>
      <c r="P47" s="11"/>
      <c r="Q47" s="36">
        <v>-4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1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1</v>
      </c>
      <c r="M48" s="11"/>
      <c r="N48" s="11"/>
      <c r="O48" s="11"/>
      <c r="P48" s="11"/>
      <c r="Q48" s="36">
        <v>-1</v>
      </c>
    </row>
    <row r="49" spans="2:17" ht="22.2" x14ac:dyDescent="0.25">
      <c r="B49" s="11">
        <v>1111066</v>
      </c>
      <c r="C49" s="15" t="s">
        <v>60</v>
      </c>
      <c r="D49" s="25">
        <v>0</v>
      </c>
      <c r="E49" s="25">
        <v>2</v>
      </c>
      <c r="F49" s="25">
        <v>1</v>
      </c>
      <c r="G49" s="25">
        <v>2</v>
      </c>
      <c r="H49" s="25">
        <v>0</v>
      </c>
      <c r="I49" s="25">
        <v>0</v>
      </c>
      <c r="J49" s="25">
        <v>0</v>
      </c>
      <c r="K49" s="25">
        <v>0</v>
      </c>
      <c r="L49" s="28">
        <v>5</v>
      </c>
      <c r="M49" s="11"/>
      <c r="N49" s="11">
        <v>319</v>
      </c>
      <c r="O49" s="11"/>
      <c r="P49" s="11"/>
      <c r="Q49" s="36">
        <v>314</v>
      </c>
    </row>
    <row r="50" spans="2:17" ht="22.2" x14ac:dyDescent="0.25">
      <c r="B50" s="11">
        <v>1111067</v>
      </c>
      <c r="C50" s="15" t="s">
        <v>61</v>
      </c>
      <c r="D50" s="25">
        <v>0</v>
      </c>
      <c r="E50" s="25">
        <v>2</v>
      </c>
      <c r="F50" s="25">
        <v>1</v>
      </c>
      <c r="G50" s="25">
        <v>12</v>
      </c>
      <c r="H50" s="25">
        <v>0</v>
      </c>
      <c r="I50" s="25">
        <v>0</v>
      </c>
      <c r="J50" s="25">
        <v>0</v>
      </c>
      <c r="K50" s="25">
        <v>0</v>
      </c>
      <c r="L50" s="28">
        <v>15</v>
      </c>
      <c r="M50" s="11"/>
      <c r="N50" s="11">
        <v>135</v>
      </c>
      <c r="O50" s="11"/>
      <c r="P50" s="11"/>
      <c r="Q50" s="36">
        <v>120</v>
      </c>
    </row>
    <row r="51" spans="2:17" ht="22.2" x14ac:dyDescent="0.25">
      <c r="B51" s="11">
        <v>1111068</v>
      </c>
      <c r="C51" s="15" t="s">
        <v>62</v>
      </c>
      <c r="D51" s="25">
        <v>0</v>
      </c>
      <c r="E51" s="25">
        <v>2</v>
      </c>
      <c r="F51" s="25">
        <v>1</v>
      </c>
      <c r="G51" s="25">
        <v>2</v>
      </c>
      <c r="H51" s="25">
        <v>0</v>
      </c>
      <c r="I51" s="25">
        <v>0</v>
      </c>
      <c r="J51" s="25">
        <v>0</v>
      </c>
      <c r="K51" s="25">
        <v>0</v>
      </c>
      <c r="L51" s="28">
        <v>5</v>
      </c>
      <c r="M51" s="11"/>
      <c r="N51" s="11">
        <v>180</v>
      </c>
      <c r="O51" s="11"/>
      <c r="P51" s="11"/>
      <c r="Q51" s="36">
        <v>175</v>
      </c>
    </row>
    <row r="52" spans="2:17" ht="22.2" x14ac:dyDescent="0.25">
      <c r="B52" s="11">
        <v>1111069</v>
      </c>
      <c r="C52" s="15" t="s">
        <v>63</v>
      </c>
      <c r="D52" s="25">
        <v>0</v>
      </c>
      <c r="E52" s="25">
        <v>2</v>
      </c>
      <c r="F52" s="25">
        <v>1</v>
      </c>
      <c r="G52" s="25">
        <v>2</v>
      </c>
      <c r="H52" s="25">
        <v>0</v>
      </c>
      <c r="I52" s="25">
        <v>0</v>
      </c>
      <c r="J52" s="25">
        <v>0</v>
      </c>
      <c r="K52" s="25">
        <v>0</v>
      </c>
      <c r="L52" s="28">
        <v>5</v>
      </c>
      <c r="M52" s="11"/>
      <c r="N52" s="11">
        <v>184</v>
      </c>
      <c r="O52" s="11"/>
      <c r="P52" s="11"/>
      <c r="Q52" s="36">
        <v>179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28</v>
      </c>
      <c r="E56" s="25">
        <v>10</v>
      </c>
      <c r="F56" s="25">
        <v>2</v>
      </c>
      <c r="G56" s="25">
        <v>4</v>
      </c>
      <c r="H56" s="25">
        <v>0</v>
      </c>
      <c r="I56" s="25">
        <v>0</v>
      </c>
      <c r="J56" s="25">
        <v>0</v>
      </c>
      <c r="K56" s="25">
        <v>0</v>
      </c>
      <c r="L56" s="28">
        <v>44</v>
      </c>
      <c r="M56" s="11"/>
      <c r="N56" s="11">
        <v>176</v>
      </c>
      <c r="O56" s="11"/>
      <c r="P56" s="11"/>
      <c r="Q56" s="36">
        <v>132</v>
      </c>
    </row>
    <row r="57" spans="2:17" ht="22.2" x14ac:dyDescent="0.25">
      <c r="B57" s="11">
        <v>1111075</v>
      </c>
      <c r="C57" s="15" t="s">
        <v>68</v>
      </c>
      <c r="D57" s="25">
        <v>28</v>
      </c>
      <c r="E57" s="25">
        <v>10</v>
      </c>
      <c r="F57" s="25">
        <v>2</v>
      </c>
      <c r="G57" s="25">
        <v>3</v>
      </c>
      <c r="H57" s="25">
        <v>0</v>
      </c>
      <c r="I57" s="25">
        <v>0</v>
      </c>
      <c r="J57" s="25">
        <v>0</v>
      </c>
      <c r="K57" s="25">
        <v>0</v>
      </c>
      <c r="L57" s="28">
        <v>43</v>
      </c>
      <c r="M57" s="11"/>
      <c r="N57" s="11">
        <v>169</v>
      </c>
      <c r="O57" s="11"/>
      <c r="P57" s="11"/>
      <c r="Q57" s="36">
        <v>126</v>
      </c>
    </row>
    <row r="58" spans="2:17" ht="22.2" x14ac:dyDescent="0.25">
      <c r="B58" s="11">
        <v>1111076</v>
      </c>
      <c r="C58" s="15" t="s">
        <v>69</v>
      </c>
      <c r="D58" s="25">
        <v>28</v>
      </c>
      <c r="E58" s="25">
        <v>10</v>
      </c>
      <c r="F58" s="25">
        <v>2</v>
      </c>
      <c r="G58" s="25">
        <v>2</v>
      </c>
      <c r="H58" s="25">
        <v>0</v>
      </c>
      <c r="I58" s="25">
        <v>0</v>
      </c>
      <c r="J58" s="25">
        <v>0</v>
      </c>
      <c r="K58" s="25">
        <v>0</v>
      </c>
      <c r="L58" s="28">
        <v>42</v>
      </c>
      <c r="M58" s="11"/>
      <c r="N58" s="11">
        <v>135</v>
      </c>
      <c r="O58" s="11"/>
      <c r="P58" s="11"/>
      <c r="Q58" s="36">
        <v>93</v>
      </c>
    </row>
    <row r="59" spans="2:17" ht="22.2" x14ac:dyDescent="0.25">
      <c r="B59" s="11">
        <v>1111077</v>
      </c>
      <c r="C59" s="15" t="s">
        <v>70</v>
      </c>
      <c r="D59" s="25">
        <v>28</v>
      </c>
      <c r="E59" s="25">
        <v>10</v>
      </c>
      <c r="F59" s="25">
        <v>2</v>
      </c>
      <c r="G59" s="25">
        <v>2</v>
      </c>
      <c r="H59" s="25">
        <v>0</v>
      </c>
      <c r="I59" s="25">
        <v>0</v>
      </c>
      <c r="J59" s="25">
        <v>0</v>
      </c>
      <c r="K59" s="25">
        <v>0</v>
      </c>
      <c r="L59" s="28">
        <v>42</v>
      </c>
      <c r="M59" s="11"/>
      <c r="N59" s="11">
        <v>121</v>
      </c>
      <c r="O59" s="11"/>
      <c r="P59" s="11"/>
      <c r="Q59" s="36">
        <v>79</v>
      </c>
    </row>
    <row r="60" spans="2:17" ht="22.2" x14ac:dyDescent="0.25">
      <c r="B60" s="11">
        <v>1111078</v>
      </c>
      <c r="C60" s="15" t="s">
        <v>71</v>
      </c>
      <c r="D60" s="25">
        <v>28</v>
      </c>
      <c r="E60" s="25">
        <v>10</v>
      </c>
      <c r="F60" s="25">
        <v>2</v>
      </c>
      <c r="G60" s="25">
        <v>2</v>
      </c>
      <c r="H60" s="25">
        <v>0</v>
      </c>
      <c r="I60" s="25">
        <v>0</v>
      </c>
      <c r="J60" s="25">
        <v>0</v>
      </c>
      <c r="K60" s="25">
        <v>0</v>
      </c>
      <c r="L60" s="28">
        <v>42</v>
      </c>
      <c r="M60" s="11">
        <v>200</v>
      </c>
      <c r="N60" s="11"/>
      <c r="O60" s="11"/>
      <c r="P60" s="11"/>
      <c r="Q60" s="36">
        <v>158</v>
      </c>
    </row>
    <row r="61" spans="2:17" ht="22.2" x14ac:dyDescent="0.25">
      <c r="B61" s="11">
        <v>1111079</v>
      </c>
      <c r="C61" s="15" t="s">
        <v>72</v>
      </c>
      <c r="D61" s="25">
        <v>28</v>
      </c>
      <c r="E61" s="25">
        <v>10</v>
      </c>
      <c r="F61" s="25">
        <v>2</v>
      </c>
      <c r="G61" s="25">
        <v>2</v>
      </c>
      <c r="H61" s="25">
        <v>0</v>
      </c>
      <c r="I61" s="25">
        <v>0</v>
      </c>
      <c r="J61" s="25">
        <v>0</v>
      </c>
      <c r="K61" s="25">
        <v>0</v>
      </c>
      <c r="L61" s="28">
        <v>42</v>
      </c>
      <c r="M61" s="11"/>
      <c r="N61" s="11">
        <v>186</v>
      </c>
      <c r="O61" s="11"/>
      <c r="P61" s="11"/>
      <c r="Q61" s="36">
        <v>144</v>
      </c>
    </row>
    <row r="62" spans="2:17" ht="22.2" x14ac:dyDescent="0.25">
      <c r="B62" s="11">
        <v>1111080</v>
      </c>
      <c r="C62" s="15" t="s">
        <v>73</v>
      </c>
      <c r="D62" s="25">
        <v>28</v>
      </c>
      <c r="E62" s="25">
        <v>10</v>
      </c>
      <c r="F62" s="25">
        <v>2</v>
      </c>
      <c r="G62" s="25">
        <v>2</v>
      </c>
      <c r="H62" s="25">
        <v>0</v>
      </c>
      <c r="I62" s="25">
        <v>0</v>
      </c>
      <c r="J62" s="25">
        <v>0</v>
      </c>
      <c r="K62" s="25">
        <v>0</v>
      </c>
      <c r="L62" s="28">
        <v>42</v>
      </c>
      <c r="M62" s="11">
        <v>400</v>
      </c>
      <c r="N62" s="11"/>
      <c r="O62" s="11"/>
      <c r="P62" s="11"/>
      <c r="Q62" s="36">
        <v>358</v>
      </c>
    </row>
    <row r="63" spans="2:17" ht="22.2" x14ac:dyDescent="0.25">
      <c r="B63" s="11">
        <v>1111081</v>
      </c>
      <c r="C63" s="15" t="s">
        <v>74</v>
      </c>
      <c r="D63" s="25">
        <v>28</v>
      </c>
      <c r="E63" s="25">
        <v>0</v>
      </c>
      <c r="F63" s="25">
        <v>2</v>
      </c>
      <c r="G63" s="25">
        <v>2</v>
      </c>
      <c r="H63" s="25">
        <v>0</v>
      </c>
      <c r="I63" s="25">
        <v>0</v>
      </c>
      <c r="J63" s="25">
        <v>0</v>
      </c>
      <c r="K63" s="25">
        <v>0</v>
      </c>
      <c r="L63" s="28">
        <v>32</v>
      </c>
      <c r="M63" s="11">
        <v>200</v>
      </c>
      <c r="N63" s="11"/>
      <c r="O63" s="11"/>
      <c r="P63" s="11"/>
      <c r="Q63" s="36">
        <v>168</v>
      </c>
    </row>
    <row r="64" spans="2:17" ht="22.2" x14ac:dyDescent="0.25">
      <c r="B64" s="11">
        <v>1111082</v>
      </c>
      <c r="C64" s="15" t="s">
        <v>75</v>
      </c>
      <c r="D64" s="25">
        <v>28</v>
      </c>
      <c r="E64" s="25">
        <v>10</v>
      </c>
      <c r="F64" s="25">
        <v>2</v>
      </c>
      <c r="G64" s="25">
        <v>2</v>
      </c>
      <c r="H64" s="25">
        <v>0</v>
      </c>
      <c r="I64" s="25">
        <v>0</v>
      </c>
      <c r="J64" s="25">
        <v>0</v>
      </c>
      <c r="K64" s="25">
        <v>0</v>
      </c>
      <c r="L64" s="28">
        <v>42</v>
      </c>
      <c r="M64" s="11">
        <v>200</v>
      </c>
      <c r="N64" s="11"/>
      <c r="O64" s="11"/>
      <c r="P64" s="11"/>
      <c r="Q64" s="36">
        <v>158</v>
      </c>
    </row>
    <row r="65" spans="2:17" ht="22.2" x14ac:dyDescent="0.25">
      <c r="B65" s="11">
        <v>1111083</v>
      </c>
      <c r="C65" s="15" t="s">
        <v>76</v>
      </c>
      <c r="D65" s="25">
        <v>28</v>
      </c>
      <c r="E65" s="25">
        <v>0</v>
      </c>
      <c r="F65" s="25">
        <v>2</v>
      </c>
      <c r="G65" s="25">
        <v>2</v>
      </c>
      <c r="H65" s="25">
        <v>0</v>
      </c>
      <c r="I65" s="25">
        <v>0</v>
      </c>
      <c r="J65" s="25">
        <v>0</v>
      </c>
      <c r="K65" s="25">
        <v>0</v>
      </c>
      <c r="L65" s="28">
        <v>32</v>
      </c>
      <c r="M65" s="11"/>
      <c r="N65" s="11">
        <v>122</v>
      </c>
      <c r="O65" s="11"/>
      <c r="P65" s="11"/>
      <c r="Q65" s="36">
        <v>90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3</v>
      </c>
      <c r="E69" s="25">
        <v>3</v>
      </c>
      <c r="F69" s="25">
        <v>28</v>
      </c>
      <c r="G69" s="25">
        <v>3</v>
      </c>
      <c r="H69" s="25">
        <v>0</v>
      </c>
      <c r="I69" s="25">
        <v>0</v>
      </c>
      <c r="J69" s="25">
        <v>0</v>
      </c>
      <c r="K69" s="25">
        <v>0</v>
      </c>
      <c r="L69" s="28">
        <v>37</v>
      </c>
      <c r="M69" s="11">
        <v>130</v>
      </c>
      <c r="N69" s="11">
        <v>307</v>
      </c>
      <c r="O69" s="11"/>
      <c r="P69" s="11"/>
      <c r="Q69" s="36">
        <v>400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30</v>
      </c>
      <c r="E87" s="25">
        <v>3</v>
      </c>
      <c r="F87" s="25">
        <v>0</v>
      </c>
      <c r="G87" s="25">
        <v>66</v>
      </c>
      <c r="H87" s="25">
        <v>0</v>
      </c>
      <c r="I87" s="25">
        <v>0</v>
      </c>
      <c r="J87" s="25">
        <v>0</v>
      </c>
      <c r="K87" s="25">
        <v>0</v>
      </c>
      <c r="L87" s="28">
        <v>99</v>
      </c>
      <c r="M87" s="11"/>
      <c r="N87" s="11">
        <v>1142</v>
      </c>
      <c r="O87" s="11"/>
      <c r="P87" s="11"/>
      <c r="Q87" s="36">
        <v>1043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28</v>
      </c>
      <c r="E90" s="25">
        <v>11</v>
      </c>
      <c r="F90" s="25">
        <v>13</v>
      </c>
      <c r="G90" s="25">
        <v>53</v>
      </c>
      <c r="H90" s="25">
        <v>0</v>
      </c>
      <c r="I90" s="25">
        <v>0</v>
      </c>
      <c r="J90" s="25">
        <v>0</v>
      </c>
      <c r="K90" s="25">
        <v>0</v>
      </c>
      <c r="L90" s="28">
        <v>105</v>
      </c>
      <c r="M90" s="11"/>
      <c r="N90" s="11">
        <v>960</v>
      </c>
      <c r="O90" s="11"/>
      <c r="P90" s="11"/>
      <c r="Q90" s="36">
        <v>855</v>
      </c>
    </row>
    <row r="91" spans="2:17" ht="22.2" x14ac:dyDescent="0.25">
      <c r="B91" s="11">
        <v>1112011</v>
      </c>
      <c r="C91" s="18" t="s">
        <v>99</v>
      </c>
      <c r="D91" s="25">
        <v>29</v>
      </c>
      <c r="E91" s="25">
        <v>8</v>
      </c>
      <c r="F91" s="25">
        <v>23</v>
      </c>
      <c r="G91" s="25">
        <v>53</v>
      </c>
      <c r="H91" s="25">
        <v>0</v>
      </c>
      <c r="I91" s="25">
        <v>0</v>
      </c>
      <c r="J91" s="25">
        <v>0</v>
      </c>
      <c r="K91" s="25">
        <v>0</v>
      </c>
      <c r="L91" s="28">
        <v>113</v>
      </c>
      <c r="M91" s="11"/>
      <c r="N91" s="11">
        <v>553</v>
      </c>
      <c r="O91" s="11"/>
      <c r="P91" s="11"/>
      <c r="Q91" s="36">
        <v>440</v>
      </c>
    </row>
    <row r="92" spans="2:17" ht="22.2" x14ac:dyDescent="0.25">
      <c r="B92" s="11">
        <v>1112003</v>
      </c>
      <c r="C92" s="18" t="s">
        <v>100</v>
      </c>
      <c r="D92" s="25">
        <v>14</v>
      </c>
      <c r="E92" s="25">
        <v>0</v>
      </c>
      <c r="F92" s="25">
        <v>1</v>
      </c>
      <c r="G92" s="25">
        <v>48</v>
      </c>
      <c r="H92" s="25">
        <v>0</v>
      </c>
      <c r="I92" s="25">
        <v>0</v>
      </c>
      <c r="J92" s="25">
        <v>0</v>
      </c>
      <c r="K92" s="25">
        <v>0</v>
      </c>
      <c r="L92" s="28">
        <v>63</v>
      </c>
      <c r="M92" s="11">
        <v>22</v>
      </c>
      <c r="N92" s="11">
        <v>1207</v>
      </c>
      <c r="O92" s="11"/>
      <c r="P92" s="11"/>
      <c r="Q92" s="36">
        <v>1166</v>
      </c>
    </row>
    <row r="93" spans="2:17" ht="22.2" x14ac:dyDescent="0.25">
      <c r="B93" s="11">
        <v>1112005</v>
      </c>
      <c r="C93" s="18" t="s">
        <v>101</v>
      </c>
      <c r="D93" s="25">
        <v>22</v>
      </c>
      <c r="E93" s="25">
        <v>0</v>
      </c>
      <c r="F93" s="25">
        <v>1</v>
      </c>
      <c r="G93" s="25">
        <v>45</v>
      </c>
      <c r="H93" s="25">
        <v>0</v>
      </c>
      <c r="I93" s="25">
        <v>0</v>
      </c>
      <c r="J93" s="25">
        <v>0</v>
      </c>
      <c r="K93" s="25">
        <v>0</v>
      </c>
      <c r="L93" s="28">
        <v>68</v>
      </c>
      <c r="M93" s="11"/>
      <c r="N93" s="11">
        <v>1305</v>
      </c>
      <c r="O93" s="11"/>
      <c r="P93" s="11"/>
      <c r="Q93" s="36">
        <v>1237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7</v>
      </c>
      <c r="E97" s="25">
        <v>0</v>
      </c>
      <c r="F97" s="25">
        <v>1</v>
      </c>
      <c r="G97" s="25">
        <v>45</v>
      </c>
      <c r="H97" s="25">
        <v>0</v>
      </c>
      <c r="I97" s="25">
        <v>0</v>
      </c>
      <c r="J97" s="25">
        <v>0</v>
      </c>
      <c r="K97" s="25">
        <v>0</v>
      </c>
      <c r="L97" s="28">
        <v>53</v>
      </c>
      <c r="M97" s="11">
        <v>84</v>
      </c>
      <c r="N97" s="11">
        <v>810</v>
      </c>
      <c r="O97" s="11"/>
      <c r="P97" s="11"/>
      <c r="Q97" s="36">
        <v>841</v>
      </c>
    </row>
    <row r="98" spans="2:17" ht="22.2" x14ac:dyDescent="0.25">
      <c r="B98" s="11">
        <v>1112013</v>
      </c>
      <c r="C98" s="18" t="s">
        <v>106</v>
      </c>
      <c r="D98" s="25">
        <v>26</v>
      </c>
      <c r="E98" s="25">
        <v>8</v>
      </c>
      <c r="F98" s="25">
        <v>13</v>
      </c>
      <c r="G98" s="25">
        <v>50</v>
      </c>
      <c r="H98" s="25">
        <v>0</v>
      </c>
      <c r="I98" s="25">
        <v>0</v>
      </c>
      <c r="J98" s="25">
        <v>0</v>
      </c>
      <c r="K98" s="25">
        <v>0</v>
      </c>
      <c r="L98" s="28">
        <v>97</v>
      </c>
      <c r="M98" s="11"/>
      <c r="N98" s="11">
        <v>908</v>
      </c>
      <c r="O98" s="11"/>
      <c r="P98" s="11"/>
      <c r="Q98" s="36">
        <v>811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499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40</v>
      </c>
      <c r="E114" s="25">
        <v>0</v>
      </c>
      <c r="F114" s="25">
        <v>0</v>
      </c>
      <c r="G114" s="25">
        <v>3</v>
      </c>
      <c r="H114" s="25">
        <v>0</v>
      </c>
      <c r="I114" s="25">
        <v>0</v>
      </c>
      <c r="J114" s="25">
        <v>0</v>
      </c>
      <c r="K114" s="25">
        <v>0</v>
      </c>
      <c r="L114" s="28">
        <v>43</v>
      </c>
      <c r="M114" s="11">
        <v>10</v>
      </c>
      <c r="N114" s="11">
        <v>213</v>
      </c>
      <c r="O114" s="11"/>
      <c r="P114" s="11"/>
      <c r="Q114" s="36">
        <v>180</v>
      </c>
    </row>
    <row r="115" spans="2:17" ht="22.2" x14ac:dyDescent="0.25">
      <c r="B115" s="11">
        <v>1113171</v>
      </c>
      <c r="C115" s="20" t="s">
        <v>111</v>
      </c>
      <c r="D115" s="25">
        <v>54</v>
      </c>
      <c r="E115" s="25">
        <v>0</v>
      </c>
      <c r="F115" s="25">
        <v>0</v>
      </c>
      <c r="G115" s="25">
        <v>3</v>
      </c>
      <c r="H115" s="25">
        <v>0</v>
      </c>
      <c r="I115" s="25">
        <v>0</v>
      </c>
      <c r="J115" s="25">
        <v>0</v>
      </c>
      <c r="K115" s="25">
        <v>0</v>
      </c>
      <c r="L115" s="28">
        <v>57</v>
      </c>
      <c r="M115" s="11"/>
      <c r="N115" s="11">
        <v>268</v>
      </c>
      <c r="O115" s="11"/>
      <c r="P115" s="11"/>
      <c r="Q115" s="36">
        <v>211</v>
      </c>
    </row>
    <row r="116" spans="2:17" ht="22.2" x14ac:dyDescent="0.25">
      <c r="B116" s="11">
        <v>1113172</v>
      </c>
      <c r="C116" s="20" t="s">
        <v>112</v>
      </c>
      <c r="D116" s="25">
        <v>33</v>
      </c>
      <c r="E116" s="25">
        <v>0</v>
      </c>
      <c r="F116" s="25">
        <v>0</v>
      </c>
      <c r="G116" s="25">
        <v>1</v>
      </c>
      <c r="H116" s="25">
        <v>0</v>
      </c>
      <c r="I116" s="25">
        <v>0</v>
      </c>
      <c r="J116" s="25">
        <v>0</v>
      </c>
      <c r="K116" s="25">
        <v>0</v>
      </c>
      <c r="L116" s="28">
        <v>34</v>
      </c>
      <c r="M116" s="11">
        <v>15</v>
      </c>
      <c r="N116" s="11">
        <v>232</v>
      </c>
      <c r="O116" s="11"/>
      <c r="P116" s="11"/>
      <c r="Q116" s="36">
        <v>213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>
        <v>50</v>
      </c>
      <c r="O118" s="11"/>
      <c r="P118" s="11"/>
      <c r="Q118" s="36">
        <v>50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1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1</v>
      </c>
      <c r="M119" s="11"/>
      <c r="N119" s="11">
        <v>374</v>
      </c>
      <c r="O119" s="11"/>
      <c r="P119" s="11"/>
      <c r="Q119" s="36">
        <v>373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0</v>
      </c>
      <c r="M120" s="11">
        <v>55</v>
      </c>
      <c r="N120" s="11">
        <v>131</v>
      </c>
      <c r="O120" s="11"/>
      <c r="P120" s="11"/>
      <c r="Q120" s="36">
        <v>186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>
        <v>100</v>
      </c>
      <c r="N121" s="11">
        <v>15</v>
      </c>
      <c r="O121" s="11"/>
      <c r="P121" s="11"/>
      <c r="Q121" s="36">
        <v>115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11"/>
      <c r="P122" s="11"/>
      <c r="Q122" s="36">
        <v>0</v>
      </c>
    </row>
    <row r="123" spans="2:17" ht="22.2" x14ac:dyDescent="0.25">
      <c r="B123" s="11">
        <v>1114501</v>
      </c>
      <c r="C123" s="20" t="s">
        <v>119</v>
      </c>
      <c r="D123" s="25">
        <v>1</v>
      </c>
      <c r="E123" s="25">
        <v>1</v>
      </c>
      <c r="F123" s="25">
        <v>11</v>
      </c>
      <c r="G123" s="25">
        <v>32</v>
      </c>
      <c r="H123" s="25">
        <v>0</v>
      </c>
      <c r="I123" s="25">
        <v>0</v>
      </c>
      <c r="J123" s="25">
        <v>0</v>
      </c>
      <c r="K123" s="25">
        <v>0</v>
      </c>
      <c r="L123" s="28">
        <v>45</v>
      </c>
      <c r="M123" s="11">
        <v>100</v>
      </c>
      <c r="N123" s="11">
        <v>762</v>
      </c>
      <c r="O123" s="11"/>
      <c r="P123" s="11"/>
      <c r="Q123" s="36">
        <v>817</v>
      </c>
    </row>
    <row r="124" spans="2:17" ht="22.2" x14ac:dyDescent="0.25">
      <c r="B124" s="11">
        <v>1114502</v>
      </c>
      <c r="C124" s="20" t="s">
        <v>120</v>
      </c>
      <c r="D124" s="25">
        <v>1</v>
      </c>
      <c r="E124" s="25">
        <v>4</v>
      </c>
      <c r="F124" s="25">
        <v>11</v>
      </c>
      <c r="G124" s="25">
        <v>32</v>
      </c>
      <c r="H124" s="25">
        <v>0</v>
      </c>
      <c r="I124" s="25">
        <v>0</v>
      </c>
      <c r="J124" s="25">
        <v>0</v>
      </c>
      <c r="K124" s="25">
        <v>0</v>
      </c>
      <c r="L124" s="28">
        <v>48</v>
      </c>
      <c r="M124" s="11">
        <v>100</v>
      </c>
      <c r="N124" s="11">
        <v>568</v>
      </c>
      <c r="O124" s="11"/>
      <c r="P124" s="11"/>
      <c r="Q124" s="36">
        <v>620</v>
      </c>
    </row>
    <row r="125" spans="2:17" ht="22.2" x14ac:dyDescent="0.25">
      <c r="B125" s="11">
        <v>1114503</v>
      </c>
      <c r="C125" s="20" t="s">
        <v>121</v>
      </c>
      <c r="D125" s="25">
        <v>1</v>
      </c>
      <c r="E125" s="25">
        <v>1</v>
      </c>
      <c r="F125" s="25">
        <v>8</v>
      </c>
      <c r="G125" s="25">
        <v>32</v>
      </c>
      <c r="H125" s="25">
        <v>0</v>
      </c>
      <c r="I125" s="25">
        <v>0</v>
      </c>
      <c r="J125" s="25">
        <v>0</v>
      </c>
      <c r="K125" s="25">
        <v>0</v>
      </c>
      <c r="L125" s="28">
        <v>42</v>
      </c>
      <c r="M125" s="11">
        <v>100</v>
      </c>
      <c r="N125" s="11">
        <v>591</v>
      </c>
      <c r="O125" s="11"/>
      <c r="P125" s="11"/>
      <c r="Q125" s="36">
        <v>649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13</v>
      </c>
      <c r="F126" s="25">
        <v>16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8">
        <v>29</v>
      </c>
      <c r="M126" s="11">
        <v>816</v>
      </c>
      <c r="N126" s="11"/>
      <c r="O126" s="11"/>
      <c r="P126" s="11"/>
      <c r="Q126" s="36">
        <v>787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>
        <v>12</v>
      </c>
      <c r="O130" s="11"/>
      <c r="P130" s="11"/>
      <c r="Q130" s="36">
        <v>12</v>
      </c>
    </row>
    <row r="131" spans="2:17" ht="22.2" x14ac:dyDescent="0.25">
      <c r="B131" s="11">
        <v>1200003</v>
      </c>
      <c r="C131" s="20" t="s">
        <v>127</v>
      </c>
      <c r="D131" s="25">
        <v>2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2</v>
      </c>
      <c r="M131" s="11"/>
      <c r="N131" s="11"/>
      <c r="O131" s="11"/>
      <c r="P131" s="11"/>
      <c r="Q131" s="36">
        <v>-2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2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2</v>
      </c>
      <c r="M135" s="11"/>
      <c r="N135" s="11"/>
      <c r="O135" s="11"/>
      <c r="P135" s="11"/>
      <c r="Q135" s="36">
        <v>-2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15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15</v>
      </c>
      <c r="M136" s="11"/>
      <c r="N136" s="11"/>
      <c r="O136" s="11"/>
      <c r="P136" s="11"/>
      <c r="Q136" s="36">
        <v>-15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607</v>
      </c>
      <c r="E140" s="28">
        <v>210</v>
      </c>
      <c r="F140" s="28">
        <v>356</v>
      </c>
      <c r="G140" s="28">
        <v>617</v>
      </c>
      <c r="H140" s="28">
        <v>0</v>
      </c>
      <c r="I140" s="28">
        <v>0</v>
      </c>
      <c r="J140" s="28">
        <v>0</v>
      </c>
      <c r="K140" s="28">
        <v>0</v>
      </c>
      <c r="L140" s="28">
        <v>1790</v>
      </c>
      <c r="M140" s="25">
        <v>3112</v>
      </c>
      <c r="N140" s="25">
        <v>15821</v>
      </c>
      <c r="O140" s="25"/>
      <c r="P140" s="25"/>
      <c r="Q140" s="36">
        <v>17143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D0B8-EB0B-469C-91AD-F96C04808FCB}">
  <dimension ref="B1:Q143"/>
  <sheetViews>
    <sheetView workbookViewId="0">
      <selection activeCell="S19" sqref="S19"/>
    </sheetView>
  </sheetViews>
  <sheetFormatPr defaultRowHeight="13.8" x14ac:dyDescent="0.25"/>
  <sheetData>
    <row r="1" spans="2:17" ht="22.2" x14ac:dyDescent="0.25">
      <c r="B1" s="50" t="s">
        <v>150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2</v>
      </c>
      <c r="E7" s="25">
        <v>22</v>
      </c>
      <c r="F7" s="25">
        <v>102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8">
        <v>126</v>
      </c>
      <c r="M7" s="11"/>
      <c r="N7" s="11">
        <v>1628</v>
      </c>
      <c r="O7" s="11"/>
      <c r="P7" s="11"/>
      <c r="Q7" s="36">
        <v>1502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2</v>
      </c>
      <c r="E25" s="25">
        <v>5</v>
      </c>
      <c r="F25" s="25">
        <v>17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8">
        <v>24</v>
      </c>
      <c r="M25" s="11"/>
      <c r="N25" s="11">
        <v>110</v>
      </c>
      <c r="O25" s="11"/>
      <c r="P25" s="11"/>
      <c r="Q25" s="36">
        <v>86</v>
      </c>
    </row>
    <row r="26" spans="2:17" ht="22.2" x14ac:dyDescent="0.25">
      <c r="B26" s="11">
        <v>1004055</v>
      </c>
      <c r="C26" s="15" t="s">
        <v>37</v>
      </c>
      <c r="D26" s="25">
        <v>0</v>
      </c>
      <c r="E26" s="25">
        <v>0</v>
      </c>
      <c r="F26" s="25">
        <v>0</v>
      </c>
      <c r="G26" s="25">
        <v>69</v>
      </c>
      <c r="H26" s="25">
        <v>0</v>
      </c>
      <c r="I26" s="25">
        <v>0</v>
      </c>
      <c r="J26" s="25">
        <v>0</v>
      </c>
      <c r="K26" s="25">
        <v>0</v>
      </c>
      <c r="L26" s="28">
        <v>69</v>
      </c>
      <c r="M26" s="11"/>
      <c r="N26" s="11">
        <v>328</v>
      </c>
      <c r="O26" s="11"/>
      <c r="P26" s="11"/>
      <c r="Q26" s="36">
        <v>259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0</v>
      </c>
      <c r="E40" s="25">
        <v>16</v>
      </c>
      <c r="F40" s="25">
        <v>3</v>
      </c>
      <c r="G40" s="25">
        <v>3</v>
      </c>
      <c r="H40" s="25">
        <v>0</v>
      </c>
      <c r="I40" s="25">
        <v>0</v>
      </c>
      <c r="J40" s="25">
        <v>0</v>
      </c>
      <c r="K40" s="25">
        <v>0</v>
      </c>
      <c r="L40" s="28">
        <v>22</v>
      </c>
      <c r="M40" s="11"/>
      <c r="N40" s="11"/>
      <c r="O40" s="11"/>
      <c r="P40" s="11"/>
      <c r="Q40" s="36">
        <v>-22</v>
      </c>
    </row>
    <row r="41" spans="2:17" ht="22.2" x14ac:dyDescent="0.25">
      <c r="B41" s="11">
        <v>1111058</v>
      </c>
      <c r="C41" s="15" t="s">
        <v>52</v>
      </c>
      <c r="D41" s="25">
        <v>0</v>
      </c>
      <c r="E41" s="25">
        <v>8</v>
      </c>
      <c r="F41" s="25">
        <v>3</v>
      </c>
      <c r="G41" s="25">
        <v>3</v>
      </c>
      <c r="H41" s="25">
        <v>0</v>
      </c>
      <c r="I41" s="25">
        <v>0</v>
      </c>
      <c r="J41" s="25">
        <v>0</v>
      </c>
      <c r="K41" s="25">
        <v>0</v>
      </c>
      <c r="L41" s="28">
        <v>14</v>
      </c>
      <c r="M41" s="11"/>
      <c r="N41" s="11"/>
      <c r="O41" s="11"/>
      <c r="P41" s="11"/>
      <c r="Q41" s="36">
        <v>-14</v>
      </c>
    </row>
    <row r="42" spans="2:17" ht="22.2" x14ac:dyDescent="0.25">
      <c r="B42" s="11">
        <v>1111059</v>
      </c>
      <c r="C42" s="15" t="s">
        <v>53</v>
      </c>
      <c r="D42" s="25">
        <v>0</v>
      </c>
      <c r="E42" s="25">
        <v>16</v>
      </c>
      <c r="F42" s="25">
        <v>3</v>
      </c>
      <c r="G42" s="25">
        <v>3</v>
      </c>
      <c r="H42" s="25">
        <v>0</v>
      </c>
      <c r="I42" s="25">
        <v>0</v>
      </c>
      <c r="J42" s="25">
        <v>0</v>
      </c>
      <c r="K42" s="25">
        <v>0</v>
      </c>
      <c r="L42" s="28">
        <v>22</v>
      </c>
      <c r="M42" s="11"/>
      <c r="N42" s="11">
        <v>49</v>
      </c>
      <c r="O42" s="11"/>
      <c r="P42" s="11"/>
      <c r="Q42" s="36">
        <v>27</v>
      </c>
    </row>
    <row r="43" spans="2:17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1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1</v>
      </c>
      <c r="M43" s="11"/>
      <c r="N43" s="11">
        <v>55</v>
      </c>
      <c r="O43" s="11"/>
      <c r="P43" s="11"/>
      <c r="Q43" s="36">
        <v>54</v>
      </c>
    </row>
    <row r="44" spans="2:17" ht="22.2" x14ac:dyDescent="0.25">
      <c r="B44" s="11">
        <v>1111061</v>
      </c>
      <c r="C44" s="15" t="s">
        <v>55</v>
      </c>
      <c r="D44" s="25">
        <v>0</v>
      </c>
      <c r="E44" s="25">
        <v>4</v>
      </c>
      <c r="F44" s="25">
        <v>2</v>
      </c>
      <c r="G44" s="25">
        <v>2</v>
      </c>
      <c r="H44" s="25">
        <v>0</v>
      </c>
      <c r="I44" s="25">
        <v>0</v>
      </c>
      <c r="J44" s="25">
        <v>0</v>
      </c>
      <c r="K44" s="25">
        <v>0</v>
      </c>
      <c r="L44" s="28">
        <v>8</v>
      </c>
      <c r="M44" s="11"/>
      <c r="N44" s="11"/>
      <c r="O44" s="11"/>
      <c r="P44" s="11"/>
      <c r="Q44" s="36">
        <v>-8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4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4</v>
      </c>
      <c r="M45" s="11"/>
      <c r="N45" s="11"/>
      <c r="O45" s="11"/>
      <c r="P45" s="11"/>
      <c r="Q45" s="36">
        <v>-4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6</v>
      </c>
      <c r="F46" s="25">
        <v>3</v>
      </c>
      <c r="G46" s="25">
        <v>2</v>
      </c>
      <c r="H46" s="25">
        <v>0</v>
      </c>
      <c r="I46" s="25">
        <v>0</v>
      </c>
      <c r="J46" s="25">
        <v>0</v>
      </c>
      <c r="K46" s="25">
        <v>0</v>
      </c>
      <c r="L46" s="28">
        <v>11</v>
      </c>
      <c r="M46" s="11"/>
      <c r="N46" s="11">
        <v>71</v>
      </c>
      <c r="O46" s="11"/>
      <c r="P46" s="11"/>
      <c r="Q46" s="36">
        <v>60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6</v>
      </c>
      <c r="F47" s="25">
        <v>2</v>
      </c>
      <c r="G47" s="25">
        <v>2</v>
      </c>
      <c r="H47" s="25">
        <v>0</v>
      </c>
      <c r="I47" s="25">
        <v>0</v>
      </c>
      <c r="J47" s="25">
        <v>0</v>
      </c>
      <c r="K47" s="25">
        <v>0</v>
      </c>
      <c r="L47" s="28">
        <v>10</v>
      </c>
      <c r="M47" s="11"/>
      <c r="N47" s="11"/>
      <c r="O47" s="11"/>
      <c r="P47" s="11"/>
      <c r="Q47" s="36">
        <v>-10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1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1</v>
      </c>
      <c r="M48" s="11"/>
      <c r="N48" s="11"/>
      <c r="O48" s="11"/>
      <c r="P48" s="11"/>
      <c r="Q48" s="36">
        <v>-1</v>
      </c>
    </row>
    <row r="49" spans="2:17" ht="22.2" x14ac:dyDescent="0.25">
      <c r="B49" s="11">
        <v>1111066</v>
      </c>
      <c r="C49" s="15" t="s">
        <v>60</v>
      </c>
      <c r="D49" s="25">
        <v>0</v>
      </c>
      <c r="E49" s="25">
        <v>6</v>
      </c>
      <c r="F49" s="25">
        <v>3</v>
      </c>
      <c r="G49" s="25">
        <v>2</v>
      </c>
      <c r="H49" s="25">
        <v>0</v>
      </c>
      <c r="I49" s="25">
        <v>0</v>
      </c>
      <c r="J49" s="25">
        <v>0</v>
      </c>
      <c r="K49" s="25">
        <v>0</v>
      </c>
      <c r="L49" s="28">
        <v>11</v>
      </c>
      <c r="M49" s="11"/>
      <c r="N49" s="11">
        <v>15</v>
      </c>
      <c r="O49" s="11"/>
      <c r="P49" s="11"/>
      <c r="Q49" s="36">
        <v>4</v>
      </c>
    </row>
    <row r="50" spans="2:17" ht="22.2" x14ac:dyDescent="0.25">
      <c r="B50" s="11">
        <v>1111067</v>
      </c>
      <c r="C50" s="15" t="s">
        <v>61</v>
      </c>
      <c r="D50" s="25">
        <v>0</v>
      </c>
      <c r="E50" s="25">
        <v>16</v>
      </c>
      <c r="F50" s="25">
        <v>3</v>
      </c>
      <c r="G50" s="25">
        <v>2</v>
      </c>
      <c r="H50" s="25">
        <v>0</v>
      </c>
      <c r="I50" s="25">
        <v>0</v>
      </c>
      <c r="J50" s="25">
        <v>0</v>
      </c>
      <c r="K50" s="25">
        <v>0</v>
      </c>
      <c r="L50" s="28">
        <v>21</v>
      </c>
      <c r="M50" s="11"/>
      <c r="N50" s="11">
        <v>23</v>
      </c>
      <c r="O50" s="11"/>
      <c r="P50" s="11"/>
      <c r="Q50" s="36">
        <v>2</v>
      </c>
    </row>
    <row r="51" spans="2:17" ht="22.2" x14ac:dyDescent="0.25">
      <c r="B51" s="11">
        <v>1111068</v>
      </c>
      <c r="C51" s="15" t="s">
        <v>62</v>
      </c>
      <c r="D51" s="25">
        <v>0</v>
      </c>
      <c r="E51" s="25">
        <v>12</v>
      </c>
      <c r="F51" s="25">
        <v>3</v>
      </c>
      <c r="G51" s="25">
        <v>2</v>
      </c>
      <c r="H51" s="25">
        <v>0</v>
      </c>
      <c r="I51" s="25">
        <v>0</v>
      </c>
      <c r="J51" s="25">
        <v>0</v>
      </c>
      <c r="K51" s="25">
        <v>0</v>
      </c>
      <c r="L51" s="28">
        <v>17</v>
      </c>
      <c r="M51" s="11"/>
      <c r="N51" s="11">
        <v>66</v>
      </c>
      <c r="O51" s="11"/>
      <c r="P51" s="11"/>
      <c r="Q51" s="36">
        <v>49</v>
      </c>
    </row>
    <row r="52" spans="2:17" ht="22.2" x14ac:dyDescent="0.25">
      <c r="B52" s="11">
        <v>1111069</v>
      </c>
      <c r="C52" s="15" t="s">
        <v>63</v>
      </c>
      <c r="D52" s="25">
        <v>0</v>
      </c>
      <c r="E52" s="25">
        <v>6</v>
      </c>
      <c r="F52" s="25">
        <v>3</v>
      </c>
      <c r="G52" s="25">
        <v>2</v>
      </c>
      <c r="H52" s="25">
        <v>0</v>
      </c>
      <c r="I52" s="25">
        <v>0</v>
      </c>
      <c r="J52" s="25">
        <v>0</v>
      </c>
      <c r="K52" s="25">
        <v>0</v>
      </c>
      <c r="L52" s="28">
        <v>11</v>
      </c>
      <c r="M52" s="11"/>
      <c r="N52" s="11">
        <v>84</v>
      </c>
      <c r="O52" s="11"/>
      <c r="P52" s="11"/>
      <c r="Q52" s="36">
        <v>73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6</v>
      </c>
      <c r="E56" s="25">
        <v>0</v>
      </c>
      <c r="F56" s="25">
        <v>10</v>
      </c>
      <c r="G56" s="25">
        <v>1</v>
      </c>
      <c r="H56" s="25">
        <v>0</v>
      </c>
      <c r="I56" s="25">
        <v>0</v>
      </c>
      <c r="J56" s="25">
        <v>0</v>
      </c>
      <c r="K56" s="25">
        <v>0</v>
      </c>
      <c r="L56" s="28">
        <v>17</v>
      </c>
      <c r="M56" s="11"/>
      <c r="N56" s="11">
        <v>95</v>
      </c>
      <c r="O56" s="11"/>
      <c r="P56" s="11"/>
      <c r="Q56" s="36">
        <v>78</v>
      </c>
    </row>
    <row r="57" spans="2:17" ht="22.2" x14ac:dyDescent="0.25">
      <c r="B57" s="11">
        <v>1111075</v>
      </c>
      <c r="C57" s="15" t="s">
        <v>68</v>
      </c>
      <c r="D57" s="25">
        <v>6</v>
      </c>
      <c r="E57" s="25">
        <v>0</v>
      </c>
      <c r="F57" s="25">
        <v>10</v>
      </c>
      <c r="G57" s="25">
        <v>1</v>
      </c>
      <c r="H57" s="25">
        <v>0</v>
      </c>
      <c r="I57" s="25">
        <v>0</v>
      </c>
      <c r="J57" s="25">
        <v>0</v>
      </c>
      <c r="K57" s="25">
        <v>0</v>
      </c>
      <c r="L57" s="28">
        <v>17</v>
      </c>
      <c r="M57" s="11"/>
      <c r="N57" s="11">
        <v>74</v>
      </c>
      <c r="O57" s="11"/>
      <c r="P57" s="11"/>
      <c r="Q57" s="36">
        <v>57</v>
      </c>
    </row>
    <row r="58" spans="2:17" ht="22.2" x14ac:dyDescent="0.25">
      <c r="B58" s="11">
        <v>1111076</v>
      </c>
      <c r="C58" s="15" t="s">
        <v>69</v>
      </c>
      <c r="D58" s="25">
        <v>6</v>
      </c>
      <c r="E58" s="25">
        <v>0</v>
      </c>
      <c r="F58" s="25">
        <v>10</v>
      </c>
      <c r="G58" s="25">
        <v>1</v>
      </c>
      <c r="H58" s="25">
        <v>0</v>
      </c>
      <c r="I58" s="25">
        <v>0</v>
      </c>
      <c r="J58" s="25">
        <v>0</v>
      </c>
      <c r="K58" s="25">
        <v>0</v>
      </c>
      <c r="L58" s="28">
        <v>17</v>
      </c>
      <c r="M58" s="11"/>
      <c r="N58" s="11">
        <v>97</v>
      </c>
      <c r="O58" s="11"/>
      <c r="P58" s="11"/>
      <c r="Q58" s="36">
        <v>80</v>
      </c>
    </row>
    <row r="59" spans="2:17" ht="22.2" x14ac:dyDescent="0.25">
      <c r="B59" s="11">
        <v>1111077</v>
      </c>
      <c r="C59" s="15" t="s">
        <v>70</v>
      </c>
      <c r="D59" s="25">
        <v>6</v>
      </c>
      <c r="E59" s="25">
        <v>0</v>
      </c>
      <c r="F59" s="25">
        <v>11</v>
      </c>
      <c r="G59" s="25">
        <v>1</v>
      </c>
      <c r="H59" s="25">
        <v>0</v>
      </c>
      <c r="I59" s="25">
        <v>0</v>
      </c>
      <c r="J59" s="25">
        <v>0</v>
      </c>
      <c r="K59" s="25">
        <v>0</v>
      </c>
      <c r="L59" s="28">
        <v>18</v>
      </c>
      <c r="M59" s="11"/>
      <c r="N59" s="11">
        <v>43</v>
      </c>
      <c r="O59" s="11"/>
      <c r="P59" s="11"/>
      <c r="Q59" s="36">
        <v>25</v>
      </c>
    </row>
    <row r="60" spans="2:17" ht="22.2" x14ac:dyDescent="0.25">
      <c r="B60" s="11">
        <v>1111078</v>
      </c>
      <c r="C60" s="15" t="s">
        <v>71</v>
      </c>
      <c r="D60" s="25">
        <v>6</v>
      </c>
      <c r="E60" s="25">
        <v>0</v>
      </c>
      <c r="F60" s="25">
        <v>10</v>
      </c>
      <c r="G60" s="25">
        <v>1</v>
      </c>
      <c r="H60" s="25">
        <v>0</v>
      </c>
      <c r="I60" s="25">
        <v>0</v>
      </c>
      <c r="J60" s="25">
        <v>0</v>
      </c>
      <c r="K60" s="25">
        <v>0</v>
      </c>
      <c r="L60" s="28">
        <v>17</v>
      </c>
      <c r="M60" s="11"/>
      <c r="N60" s="11"/>
      <c r="O60" s="11"/>
      <c r="P60" s="11"/>
      <c r="Q60" s="36">
        <v>-17</v>
      </c>
    </row>
    <row r="61" spans="2:17" ht="22.2" x14ac:dyDescent="0.25">
      <c r="B61" s="11">
        <v>1111079</v>
      </c>
      <c r="C61" s="15" t="s">
        <v>72</v>
      </c>
      <c r="D61" s="25">
        <v>6</v>
      </c>
      <c r="E61" s="25">
        <v>0</v>
      </c>
      <c r="F61" s="25">
        <v>11</v>
      </c>
      <c r="G61" s="25">
        <v>1</v>
      </c>
      <c r="H61" s="25">
        <v>0</v>
      </c>
      <c r="I61" s="25">
        <v>0</v>
      </c>
      <c r="J61" s="25">
        <v>0</v>
      </c>
      <c r="K61" s="25">
        <v>0</v>
      </c>
      <c r="L61" s="28">
        <v>18</v>
      </c>
      <c r="M61" s="11"/>
      <c r="N61" s="11">
        <v>87</v>
      </c>
      <c r="O61" s="11"/>
      <c r="P61" s="11"/>
      <c r="Q61" s="36">
        <v>69</v>
      </c>
    </row>
    <row r="62" spans="2:17" ht="22.2" x14ac:dyDescent="0.25">
      <c r="B62" s="11">
        <v>1111080</v>
      </c>
      <c r="C62" s="15" t="s">
        <v>73</v>
      </c>
      <c r="D62" s="25">
        <v>6</v>
      </c>
      <c r="E62" s="25">
        <v>0</v>
      </c>
      <c r="F62" s="25">
        <v>11</v>
      </c>
      <c r="G62" s="25">
        <v>1</v>
      </c>
      <c r="H62" s="25">
        <v>0</v>
      </c>
      <c r="I62" s="25">
        <v>0</v>
      </c>
      <c r="J62" s="25">
        <v>0</v>
      </c>
      <c r="K62" s="25">
        <v>0</v>
      </c>
      <c r="L62" s="28">
        <v>18</v>
      </c>
      <c r="M62" s="11"/>
      <c r="N62" s="11"/>
      <c r="O62" s="11"/>
      <c r="P62" s="11"/>
      <c r="Q62" s="36">
        <v>-18</v>
      </c>
    </row>
    <row r="63" spans="2:17" ht="22.2" x14ac:dyDescent="0.25">
      <c r="B63" s="11">
        <v>1111081</v>
      </c>
      <c r="C63" s="15" t="s">
        <v>74</v>
      </c>
      <c r="D63" s="25">
        <v>6</v>
      </c>
      <c r="E63" s="25">
        <v>0</v>
      </c>
      <c r="F63" s="25">
        <v>10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8">
        <v>16</v>
      </c>
      <c r="M63" s="11"/>
      <c r="N63" s="11"/>
      <c r="O63" s="11"/>
      <c r="P63" s="11"/>
      <c r="Q63" s="36">
        <v>-16</v>
      </c>
    </row>
    <row r="64" spans="2:17" ht="22.2" x14ac:dyDescent="0.25">
      <c r="B64" s="11">
        <v>1111082</v>
      </c>
      <c r="C64" s="15" t="s">
        <v>75</v>
      </c>
      <c r="D64" s="25">
        <v>6</v>
      </c>
      <c r="E64" s="25">
        <v>0</v>
      </c>
      <c r="F64" s="25">
        <v>10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8">
        <v>16</v>
      </c>
      <c r="M64" s="11"/>
      <c r="N64" s="11"/>
      <c r="O64" s="11"/>
      <c r="P64" s="11"/>
      <c r="Q64" s="36">
        <v>-16</v>
      </c>
    </row>
    <row r="65" spans="2:17" ht="22.2" x14ac:dyDescent="0.25">
      <c r="B65" s="11">
        <v>1111083</v>
      </c>
      <c r="C65" s="15" t="s">
        <v>76</v>
      </c>
      <c r="D65" s="25">
        <v>6</v>
      </c>
      <c r="E65" s="25">
        <v>0</v>
      </c>
      <c r="F65" s="25">
        <v>7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8">
        <v>13</v>
      </c>
      <c r="M65" s="11"/>
      <c r="N65" s="11">
        <v>91</v>
      </c>
      <c r="O65" s="11"/>
      <c r="P65" s="11"/>
      <c r="Q65" s="36">
        <v>78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2</v>
      </c>
      <c r="E69" s="25">
        <v>5</v>
      </c>
      <c r="F69" s="25">
        <v>46</v>
      </c>
      <c r="G69" s="25">
        <v>3</v>
      </c>
      <c r="H69" s="25">
        <v>0</v>
      </c>
      <c r="I69" s="25">
        <v>0</v>
      </c>
      <c r="J69" s="25">
        <v>0</v>
      </c>
      <c r="K69" s="25">
        <v>0</v>
      </c>
      <c r="L69" s="28">
        <v>56</v>
      </c>
      <c r="M69" s="11"/>
      <c r="N69" s="11">
        <v>401</v>
      </c>
      <c r="O69" s="11"/>
      <c r="P69" s="11"/>
      <c r="Q69" s="36">
        <v>345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20</v>
      </c>
      <c r="E87" s="25">
        <v>9</v>
      </c>
      <c r="F87" s="25">
        <v>0</v>
      </c>
      <c r="G87" s="25">
        <v>101</v>
      </c>
      <c r="H87" s="25">
        <v>0</v>
      </c>
      <c r="I87" s="25">
        <v>0</v>
      </c>
      <c r="J87" s="25">
        <v>0</v>
      </c>
      <c r="K87" s="25">
        <v>0</v>
      </c>
      <c r="L87" s="28">
        <v>130</v>
      </c>
      <c r="M87" s="11"/>
      <c r="N87" s="11">
        <v>1033</v>
      </c>
      <c r="O87" s="11"/>
      <c r="P87" s="11"/>
      <c r="Q87" s="36">
        <v>903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7</v>
      </c>
      <c r="E90" s="25">
        <v>11</v>
      </c>
      <c r="F90" s="25">
        <v>39</v>
      </c>
      <c r="G90" s="25">
        <v>110</v>
      </c>
      <c r="H90" s="25">
        <v>0</v>
      </c>
      <c r="I90" s="25">
        <v>0</v>
      </c>
      <c r="J90" s="25">
        <v>0</v>
      </c>
      <c r="K90" s="25">
        <v>0</v>
      </c>
      <c r="L90" s="28">
        <v>167</v>
      </c>
      <c r="M90" s="11"/>
      <c r="N90" s="11">
        <v>649</v>
      </c>
      <c r="O90" s="11"/>
      <c r="P90" s="11"/>
      <c r="Q90" s="36">
        <v>482</v>
      </c>
    </row>
    <row r="91" spans="2:17" ht="22.2" x14ac:dyDescent="0.25">
      <c r="B91" s="11">
        <v>1112011</v>
      </c>
      <c r="C91" s="18" t="s">
        <v>99</v>
      </c>
      <c r="D91" s="25">
        <v>7</v>
      </c>
      <c r="E91" s="25">
        <v>11</v>
      </c>
      <c r="F91" s="25">
        <v>43</v>
      </c>
      <c r="G91" s="25">
        <v>110</v>
      </c>
      <c r="H91" s="25">
        <v>0</v>
      </c>
      <c r="I91" s="25">
        <v>0</v>
      </c>
      <c r="J91" s="25">
        <v>0</v>
      </c>
      <c r="K91" s="25">
        <v>0</v>
      </c>
      <c r="L91" s="28">
        <v>171</v>
      </c>
      <c r="M91" s="11"/>
      <c r="N91" s="11">
        <v>510</v>
      </c>
      <c r="O91" s="11"/>
      <c r="P91" s="11"/>
      <c r="Q91" s="36">
        <v>339</v>
      </c>
    </row>
    <row r="92" spans="2:17" ht="22.2" x14ac:dyDescent="0.25">
      <c r="B92" s="11">
        <v>1112003</v>
      </c>
      <c r="C92" s="18" t="s">
        <v>100</v>
      </c>
      <c r="D92" s="25">
        <v>5</v>
      </c>
      <c r="E92" s="25">
        <v>0</v>
      </c>
      <c r="F92" s="25">
        <v>2</v>
      </c>
      <c r="G92" s="25">
        <v>100</v>
      </c>
      <c r="H92" s="25">
        <v>0</v>
      </c>
      <c r="I92" s="25">
        <v>0</v>
      </c>
      <c r="J92" s="25">
        <v>0</v>
      </c>
      <c r="K92" s="25">
        <v>0</v>
      </c>
      <c r="L92" s="28">
        <v>107</v>
      </c>
      <c r="M92" s="11"/>
      <c r="N92" s="11">
        <v>1134</v>
      </c>
      <c r="O92" s="11"/>
      <c r="P92" s="11"/>
      <c r="Q92" s="36">
        <v>1027</v>
      </c>
    </row>
    <row r="93" spans="2:17" ht="22.2" x14ac:dyDescent="0.25">
      <c r="B93" s="11">
        <v>1112005</v>
      </c>
      <c r="C93" s="18" t="s">
        <v>101</v>
      </c>
      <c r="D93" s="25">
        <v>5</v>
      </c>
      <c r="E93" s="25">
        <v>0</v>
      </c>
      <c r="F93" s="25">
        <v>2</v>
      </c>
      <c r="G93" s="25">
        <v>99</v>
      </c>
      <c r="H93" s="25">
        <v>0</v>
      </c>
      <c r="I93" s="25">
        <v>0</v>
      </c>
      <c r="J93" s="25">
        <v>0</v>
      </c>
      <c r="K93" s="25">
        <v>0</v>
      </c>
      <c r="L93" s="28">
        <v>106</v>
      </c>
      <c r="M93" s="11"/>
      <c r="N93" s="11">
        <v>1275</v>
      </c>
      <c r="O93" s="11"/>
      <c r="P93" s="11"/>
      <c r="Q93" s="36">
        <v>1169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5</v>
      </c>
      <c r="E97" s="25">
        <v>0</v>
      </c>
      <c r="F97" s="25">
        <v>2</v>
      </c>
      <c r="G97" s="25">
        <v>97</v>
      </c>
      <c r="H97" s="25">
        <v>0</v>
      </c>
      <c r="I97" s="25">
        <v>0</v>
      </c>
      <c r="J97" s="25">
        <v>0</v>
      </c>
      <c r="K97" s="25">
        <v>0</v>
      </c>
      <c r="L97" s="28">
        <v>104</v>
      </c>
      <c r="M97" s="11"/>
      <c r="N97" s="11">
        <v>962</v>
      </c>
      <c r="O97" s="11"/>
      <c r="P97" s="11"/>
      <c r="Q97" s="36">
        <v>858</v>
      </c>
    </row>
    <row r="98" spans="2:17" ht="22.2" x14ac:dyDescent="0.25">
      <c r="B98" s="11">
        <v>1112013</v>
      </c>
      <c r="C98" s="18" t="s">
        <v>106</v>
      </c>
      <c r="D98" s="25">
        <v>6</v>
      </c>
      <c r="E98" s="25">
        <v>10</v>
      </c>
      <c r="F98" s="25">
        <v>41</v>
      </c>
      <c r="G98" s="25">
        <v>107</v>
      </c>
      <c r="H98" s="25">
        <v>0</v>
      </c>
      <c r="I98" s="25">
        <v>0</v>
      </c>
      <c r="J98" s="25">
        <v>0</v>
      </c>
      <c r="K98" s="25">
        <v>0</v>
      </c>
      <c r="L98" s="28">
        <v>164</v>
      </c>
      <c r="M98" s="11"/>
      <c r="N98" s="11">
        <v>672</v>
      </c>
      <c r="O98" s="11"/>
      <c r="P98" s="11"/>
      <c r="Q98" s="36">
        <v>508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819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1</v>
      </c>
      <c r="E114" s="25">
        <v>0</v>
      </c>
      <c r="F114" s="25">
        <v>0</v>
      </c>
      <c r="G114" s="25">
        <v>2</v>
      </c>
      <c r="H114" s="25">
        <v>0</v>
      </c>
      <c r="I114" s="25">
        <v>0</v>
      </c>
      <c r="J114" s="25">
        <v>0</v>
      </c>
      <c r="K114" s="25">
        <v>0</v>
      </c>
      <c r="L114" s="28">
        <v>3</v>
      </c>
      <c r="M114" s="11"/>
      <c r="N114" s="11">
        <v>167</v>
      </c>
      <c r="O114" s="11"/>
      <c r="P114" s="11"/>
      <c r="Q114" s="36">
        <v>164</v>
      </c>
    </row>
    <row r="115" spans="2:17" ht="22.2" x14ac:dyDescent="0.25">
      <c r="B115" s="11">
        <v>1113171</v>
      </c>
      <c r="C115" s="20" t="s">
        <v>111</v>
      </c>
      <c r="D115" s="25">
        <v>4</v>
      </c>
      <c r="E115" s="25">
        <v>0</v>
      </c>
      <c r="F115" s="25">
        <v>0</v>
      </c>
      <c r="G115" s="25">
        <v>2</v>
      </c>
      <c r="H115" s="25">
        <v>0</v>
      </c>
      <c r="I115" s="25">
        <v>0</v>
      </c>
      <c r="J115" s="25">
        <v>0</v>
      </c>
      <c r="K115" s="25">
        <v>0</v>
      </c>
      <c r="L115" s="28">
        <v>6</v>
      </c>
      <c r="M115" s="11"/>
      <c r="N115" s="11">
        <v>209</v>
      </c>
      <c r="O115" s="11"/>
      <c r="P115" s="11"/>
      <c r="Q115" s="36">
        <v>203</v>
      </c>
    </row>
    <row r="116" spans="2:17" ht="22.2" x14ac:dyDescent="0.25">
      <c r="B116" s="11">
        <v>1113172</v>
      </c>
      <c r="C116" s="20" t="s">
        <v>112</v>
      </c>
      <c r="D116" s="25">
        <v>1</v>
      </c>
      <c r="E116" s="25">
        <v>0</v>
      </c>
      <c r="F116" s="25">
        <v>0</v>
      </c>
      <c r="G116" s="25">
        <v>6</v>
      </c>
      <c r="H116" s="25">
        <v>0</v>
      </c>
      <c r="I116" s="25">
        <v>0</v>
      </c>
      <c r="J116" s="25">
        <v>0</v>
      </c>
      <c r="K116" s="25">
        <v>0</v>
      </c>
      <c r="L116" s="28">
        <v>7</v>
      </c>
      <c r="M116" s="11"/>
      <c r="N116" s="11">
        <v>167</v>
      </c>
      <c r="O116" s="11"/>
      <c r="P116" s="11"/>
      <c r="Q116" s="36">
        <v>160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>
        <v>49</v>
      </c>
      <c r="O118" s="11"/>
      <c r="P118" s="11"/>
      <c r="Q118" s="36">
        <v>49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1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1</v>
      </c>
      <c r="M119" s="11"/>
      <c r="N119" s="11">
        <v>373</v>
      </c>
      <c r="O119" s="11"/>
      <c r="P119" s="11"/>
      <c r="Q119" s="36">
        <v>372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1</v>
      </c>
      <c r="H120" s="25">
        <v>0</v>
      </c>
      <c r="I120" s="25">
        <v>0</v>
      </c>
      <c r="J120" s="25">
        <v>0</v>
      </c>
      <c r="K120" s="25">
        <v>0</v>
      </c>
      <c r="L120" s="28">
        <v>1</v>
      </c>
      <c r="M120" s="11"/>
      <c r="N120" s="11">
        <v>131</v>
      </c>
      <c r="O120" s="11"/>
      <c r="P120" s="11"/>
      <c r="Q120" s="36">
        <v>130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3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3</v>
      </c>
      <c r="M121" s="11"/>
      <c r="N121" s="11">
        <v>5</v>
      </c>
      <c r="O121" s="11"/>
      <c r="P121" s="11"/>
      <c r="Q121" s="36">
        <v>2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11"/>
      <c r="P122" s="11"/>
      <c r="Q122" s="36">
        <v>0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1</v>
      </c>
      <c r="F123" s="25">
        <v>17</v>
      </c>
      <c r="G123" s="25">
        <v>56</v>
      </c>
      <c r="H123" s="25">
        <v>0</v>
      </c>
      <c r="I123" s="25">
        <v>0</v>
      </c>
      <c r="J123" s="25">
        <v>0</v>
      </c>
      <c r="K123" s="25">
        <v>0</v>
      </c>
      <c r="L123" s="28">
        <v>74</v>
      </c>
      <c r="M123" s="11"/>
      <c r="N123" s="11">
        <v>731</v>
      </c>
      <c r="O123" s="11"/>
      <c r="P123" s="11"/>
      <c r="Q123" s="36">
        <v>657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2</v>
      </c>
      <c r="F124" s="25">
        <v>13</v>
      </c>
      <c r="G124" s="25">
        <v>55</v>
      </c>
      <c r="H124" s="25">
        <v>0</v>
      </c>
      <c r="I124" s="25">
        <v>0</v>
      </c>
      <c r="J124" s="25">
        <v>0</v>
      </c>
      <c r="K124" s="25">
        <v>0</v>
      </c>
      <c r="L124" s="28">
        <v>70</v>
      </c>
      <c r="M124" s="11"/>
      <c r="N124" s="11">
        <v>531</v>
      </c>
      <c r="O124" s="11"/>
      <c r="P124" s="11"/>
      <c r="Q124" s="36">
        <v>461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25">
        <v>0</v>
      </c>
      <c r="F125" s="25">
        <v>11</v>
      </c>
      <c r="G125" s="25">
        <v>56</v>
      </c>
      <c r="H125" s="25">
        <v>0</v>
      </c>
      <c r="I125" s="25">
        <v>0</v>
      </c>
      <c r="J125" s="25">
        <v>0</v>
      </c>
      <c r="K125" s="25">
        <v>0</v>
      </c>
      <c r="L125" s="28">
        <v>67</v>
      </c>
      <c r="M125" s="11"/>
      <c r="N125" s="11">
        <v>552</v>
      </c>
      <c r="O125" s="11"/>
      <c r="P125" s="11"/>
      <c r="Q125" s="36">
        <v>485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59</v>
      </c>
      <c r="F126" s="25">
        <v>106</v>
      </c>
      <c r="G126" s="25">
        <v>27</v>
      </c>
      <c r="H126" s="25">
        <v>0</v>
      </c>
      <c r="I126" s="25">
        <v>0</v>
      </c>
      <c r="J126" s="25">
        <v>0</v>
      </c>
      <c r="K126" s="25">
        <v>0</v>
      </c>
      <c r="L126" s="28">
        <v>192</v>
      </c>
      <c r="M126" s="11"/>
      <c r="N126" s="11">
        <v>755</v>
      </c>
      <c r="O126" s="11"/>
      <c r="P126" s="11"/>
      <c r="Q126" s="36">
        <v>563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>
        <v>12</v>
      </c>
      <c r="O130" s="11"/>
      <c r="P130" s="11"/>
      <c r="Q130" s="36">
        <v>12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11"/>
      <c r="P135" s="11"/>
      <c r="Q135" s="36">
        <v>0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127</v>
      </c>
      <c r="E140" s="28">
        <v>238</v>
      </c>
      <c r="F140" s="28">
        <v>572</v>
      </c>
      <c r="G140" s="28">
        <v>1031</v>
      </c>
      <c r="H140" s="28">
        <v>0</v>
      </c>
      <c r="I140" s="28">
        <v>0</v>
      </c>
      <c r="J140" s="28">
        <v>0</v>
      </c>
      <c r="K140" s="28">
        <v>0</v>
      </c>
      <c r="L140" s="28">
        <v>1968</v>
      </c>
      <c r="M140" s="25">
        <v>0</v>
      </c>
      <c r="N140" s="25">
        <v>13234</v>
      </c>
      <c r="O140" s="25"/>
      <c r="P140" s="25"/>
      <c r="Q140" s="36">
        <v>11266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3DFC-CA27-43DB-AA87-850C0391DF1A}">
  <dimension ref="A1:P143"/>
  <sheetViews>
    <sheetView workbookViewId="0">
      <selection activeCell="T14" sqref="T14"/>
    </sheetView>
  </sheetViews>
  <sheetFormatPr defaultRowHeight="13.8" x14ac:dyDescent="0.25"/>
  <sheetData>
    <row r="1" spans="1:16" ht="22.2" x14ac:dyDescent="0.25">
      <c r="A1" s="50" t="s">
        <v>149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6" ht="22.2" x14ac:dyDescent="0.25">
      <c r="A2" s="51"/>
      <c r="B2" s="52"/>
      <c r="C2" s="1"/>
      <c r="D2" s="53"/>
      <c r="E2" s="53"/>
      <c r="F2" s="2"/>
      <c r="G2" s="2"/>
      <c r="H2" s="2"/>
      <c r="I2" s="2"/>
      <c r="J2" s="2"/>
      <c r="K2" s="3" t="s">
        <v>1</v>
      </c>
      <c r="L2" s="55" t="s">
        <v>2</v>
      </c>
      <c r="M2" s="55" t="s">
        <v>3</v>
      </c>
      <c r="N2" s="55" t="s">
        <v>139</v>
      </c>
      <c r="O2" s="55" t="s">
        <v>140</v>
      </c>
      <c r="P2" s="62" t="s">
        <v>4</v>
      </c>
    </row>
    <row r="3" spans="1:16" ht="22.2" x14ac:dyDescent="0.25">
      <c r="A3" s="51"/>
      <c r="B3" s="52"/>
      <c r="C3" s="4"/>
      <c r="D3" s="54"/>
      <c r="E3" s="54"/>
      <c r="F3" s="5"/>
      <c r="G3" s="5"/>
      <c r="H3" s="5"/>
      <c r="I3" s="33"/>
      <c r="J3" s="33"/>
      <c r="K3" s="6" t="s">
        <v>5</v>
      </c>
      <c r="L3" s="56"/>
      <c r="M3" s="56"/>
      <c r="N3" s="56"/>
      <c r="O3" s="56"/>
      <c r="P3" s="63"/>
    </row>
    <row r="4" spans="1:16" ht="22.2" x14ac:dyDescent="0.25">
      <c r="A4" s="7" t="s">
        <v>6</v>
      </c>
      <c r="B4" s="8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34" t="s">
        <v>14</v>
      </c>
      <c r="J4" s="34" t="s">
        <v>15</v>
      </c>
      <c r="K4" s="10" t="s">
        <v>16</v>
      </c>
      <c r="L4" s="57"/>
      <c r="M4" s="57"/>
      <c r="N4" s="57"/>
      <c r="O4" s="57"/>
      <c r="P4" s="64"/>
    </row>
    <row r="5" spans="1:16" ht="22.2" x14ac:dyDescent="0.25">
      <c r="A5" s="11"/>
      <c r="B5" s="12"/>
      <c r="C5" s="13"/>
      <c r="D5" s="9"/>
      <c r="E5" s="9"/>
      <c r="F5" s="9"/>
      <c r="G5" s="9"/>
      <c r="H5" s="9"/>
      <c r="I5" s="34"/>
      <c r="J5" s="34"/>
      <c r="K5" s="14"/>
      <c r="L5" s="11"/>
      <c r="M5" s="11"/>
      <c r="N5" s="11"/>
      <c r="O5" s="11"/>
      <c r="P5" s="24"/>
    </row>
    <row r="6" spans="1:16" ht="20.399999999999999" x14ac:dyDescent="0.25">
      <c r="A6" s="58" t="s">
        <v>17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</row>
    <row r="7" spans="1:16" ht="22.2" x14ac:dyDescent="0.25">
      <c r="A7" s="11">
        <v>1111002</v>
      </c>
      <c r="B7" s="15" t="s">
        <v>18</v>
      </c>
      <c r="C7" s="25">
        <v>26</v>
      </c>
      <c r="D7" s="25">
        <v>53</v>
      </c>
      <c r="E7" s="25">
        <v>14</v>
      </c>
      <c r="F7" s="25">
        <v>2</v>
      </c>
      <c r="G7" s="25">
        <v>0</v>
      </c>
      <c r="H7" s="25">
        <v>0</v>
      </c>
      <c r="I7" s="25">
        <v>0</v>
      </c>
      <c r="J7" s="25">
        <v>0</v>
      </c>
      <c r="K7" s="28">
        <v>95</v>
      </c>
      <c r="L7" s="11"/>
      <c r="M7" s="11">
        <v>1500</v>
      </c>
      <c r="N7" s="11"/>
      <c r="O7" s="11"/>
      <c r="P7" s="36">
        <v>1405</v>
      </c>
    </row>
    <row r="8" spans="1:16" ht="22.2" x14ac:dyDescent="0.25">
      <c r="A8" s="11"/>
      <c r="B8" s="15" t="s">
        <v>19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8">
        <v>0</v>
      </c>
      <c r="L8" s="11"/>
      <c r="M8" s="11"/>
      <c r="N8" s="11"/>
      <c r="O8" s="11"/>
      <c r="P8" s="36">
        <v>0</v>
      </c>
    </row>
    <row r="9" spans="1:16" ht="22.2" x14ac:dyDescent="0.25">
      <c r="A9" s="11">
        <v>1111084</v>
      </c>
      <c r="B9" s="15" t="s">
        <v>20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8">
        <v>0</v>
      </c>
      <c r="L9" s="11"/>
      <c r="M9" s="11"/>
      <c r="N9" s="11"/>
      <c r="O9" s="11"/>
      <c r="P9" s="36">
        <v>0</v>
      </c>
    </row>
    <row r="10" spans="1:16" ht="22.2" x14ac:dyDescent="0.25">
      <c r="A10" s="11">
        <v>1111085</v>
      </c>
      <c r="B10" s="15" t="s">
        <v>21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8">
        <v>0</v>
      </c>
      <c r="L10" s="11"/>
      <c r="M10" s="11"/>
      <c r="N10" s="11"/>
      <c r="O10" s="11"/>
      <c r="P10" s="36">
        <v>0</v>
      </c>
    </row>
    <row r="11" spans="1:16" ht="22.2" x14ac:dyDescent="0.25">
      <c r="A11" s="11">
        <v>1111086</v>
      </c>
      <c r="B11" s="15" t="s">
        <v>22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8">
        <v>0</v>
      </c>
      <c r="L11" s="11"/>
      <c r="M11" s="11"/>
      <c r="N11" s="11"/>
      <c r="O11" s="11"/>
      <c r="P11" s="36">
        <v>0</v>
      </c>
    </row>
    <row r="12" spans="1:16" ht="22.2" x14ac:dyDescent="0.25">
      <c r="A12" s="11">
        <v>1111087</v>
      </c>
      <c r="B12" s="15" t="s">
        <v>23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8">
        <v>0</v>
      </c>
      <c r="L12" s="11"/>
      <c r="M12" s="11"/>
      <c r="N12" s="11"/>
      <c r="O12" s="11"/>
      <c r="P12" s="36">
        <v>0</v>
      </c>
    </row>
    <row r="13" spans="1:16" ht="22.2" x14ac:dyDescent="0.25">
      <c r="A13" s="11">
        <v>1111088</v>
      </c>
      <c r="B13" s="15" t="s">
        <v>24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8">
        <v>0</v>
      </c>
      <c r="L13" s="11"/>
      <c r="M13" s="11"/>
      <c r="N13" s="11"/>
      <c r="O13" s="11"/>
      <c r="P13" s="36">
        <v>0</v>
      </c>
    </row>
    <row r="14" spans="1:16" ht="22.2" x14ac:dyDescent="0.25">
      <c r="A14" s="11">
        <v>1111089</v>
      </c>
      <c r="B14" s="15" t="s">
        <v>25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8">
        <v>0</v>
      </c>
      <c r="L14" s="11"/>
      <c r="M14" s="11"/>
      <c r="N14" s="11"/>
      <c r="O14" s="11"/>
      <c r="P14" s="36">
        <v>0</v>
      </c>
    </row>
    <row r="15" spans="1:16" ht="22.2" x14ac:dyDescent="0.25">
      <c r="A15" s="11">
        <v>1111090</v>
      </c>
      <c r="B15" s="15" t="s">
        <v>26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8">
        <v>0</v>
      </c>
      <c r="L15" s="11"/>
      <c r="M15" s="11"/>
      <c r="N15" s="11"/>
      <c r="O15" s="11"/>
      <c r="P15" s="36">
        <v>0</v>
      </c>
    </row>
    <row r="16" spans="1:16" ht="22.2" x14ac:dyDescent="0.25">
      <c r="A16" s="11">
        <v>1111091</v>
      </c>
      <c r="B16" s="15" t="s">
        <v>27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8">
        <v>0</v>
      </c>
      <c r="L16" s="11"/>
      <c r="M16" s="11"/>
      <c r="N16" s="11"/>
      <c r="O16" s="11"/>
      <c r="P16" s="36">
        <v>0</v>
      </c>
    </row>
    <row r="17" spans="1:16" ht="22.2" x14ac:dyDescent="0.25">
      <c r="A17" s="11">
        <v>1111092</v>
      </c>
      <c r="B17" s="15" t="s">
        <v>28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8">
        <v>0</v>
      </c>
      <c r="L17" s="11"/>
      <c r="M17" s="11"/>
      <c r="N17" s="11"/>
      <c r="O17" s="11"/>
      <c r="P17" s="36">
        <v>0</v>
      </c>
    </row>
    <row r="18" spans="1:16" ht="22.2" x14ac:dyDescent="0.25">
      <c r="A18" s="11">
        <v>1111093</v>
      </c>
      <c r="B18" s="15" t="s">
        <v>29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8">
        <v>0</v>
      </c>
      <c r="L18" s="11"/>
      <c r="M18" s="11"/>
      <c r="N18" s="11"/>
      <c r="O18" s="11"/>
      <c r="P18" s="36">
        <v>0</v>
      </c>
    </row>
    <row r="19" spans="1:16" ht="22.2" x14ac:dyDescent="0.25">
      <c r="A19" s="11">
        <v>1111094</v>
      </c>
      <c r="B19" s="15" t="s">
        <v>30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8">
        <v>0</v>
      </c>
      <c r="L19" s="11"/>
      <c r="M19" s="11"/>
      <c r="N19" s="11"/>
      <c r="O19" s="11"/>
      <c r="P19" s="36">
        <v>0</v>
      </c>
    </row>
    <row r="20" spans="1:16" ht="22.2" x14ac:dyDescent="0.25">
      <c r="A20" s="11">
        <v>1111095</v>
      </c>
      <c r="B20" s="15" t="s">
        <v>31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8">
        <v>0</v>
      </c>
      <c r="L20" s="11"/>
      <c r="M20" s="11"/>
      <c r="N20" s="11"/>
      <c r="O20" s="11"/>
      <c r="P20" s="36">
        <v>0</v>
      </c>
    </row>
    <row r="21" spans="1:16" ht="22.2" x14ac:dyDescent="0.25">
      <c r="A21" s="11">
        <v>1111096</v>
      </c>
      <c r="B21" s="15" t="s">
        <v>32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8">
        <v>0</v>
      </c>
      <c r="L21" s="11"/>
      <c r="M21" s="11"/>
      <c r="N21" s="11"/>
      <c r="O21" s="11"/>
      <c r="P21" s="36">
        <v>0</v>
      </c>
    </row>
    <row r="22" spans="1:16" ht="22.2" x14ac:dyDescent="0.25">
      <c r="A22" s="11">
        <v>1111097</v>
      </c>
      <c r="B22" s="15" t="s">
        <v>33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8">
        <v>0</v>
      </c>
      <c r="L22" s="11"/>
      <c r="M22" s="11"/>
      <c r="N22" s="11"/>
      <c r="O22" s="11"/>
      <c r="P22" s="36">
        <v>0</v>
      </c>
    </row>
    <row r="23" spans="1:16" ht="22.2" x14ac:dyDescent="0.25">
      <c r="A23" s="11">
        <v>1111098</v>
      </c>
      <c r="B23" s="15" t="s">
        <v>34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8">
        <v>0</v>
      </c>
      <c r="L23" s="11"/>
      <c r="M23" s="11"/>
      <c r="N23" s="11"/>
      <c r="O23" s="11"/>
      <c r="P23" s="36">
        <v>0</v>
      </c>
    </row>
    <row r="24" spans="1:16" ht="22.2" x14ac:dyDescent="0.25">
      <c r="A24" s="11">
        <v>1111043</v>
      </c>
      <c r="B24" s="15" t="s">
        <v>35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8">
        <v>0</v>
      </c>
      <c r="L24" s="11"/>
      <c r="M24" s="11"/>
      <c r="N24" s="11"/>
      <c r="O24" s="11"/>
      <c r="P24" s="36">
        <v>0</v>
      </c>
    </row>
    <row r="25" spans="1:16" ht="22.2" x14ac:dyDescent="0.25">
      <c r="A25" s="11">
        <v>1111056</v>
      </c>
      <c r="B25" s="15" t="s">
        <v>36</v>
      </c>
      <c r="C25" s="25">
        <v>5</v>
      </c>
      <c r="D25" s="25">
        <v>4</v>
      </c>
      <c r="E25" s="25">
        <v>8</v>
      </c>
      <c r="F25" s="25">
        <v>2</v>
      </c>
      <c r="G25" s="25">
        <v>0</v>
      </c>
      <c r="H25" s="25">
        <v>0</v>
      </c>
      <c r="I25" s="25">
        <v>0</v>
      </c>
      <c r="J25" s="25">
        <v>0</v>
      </c>
      <c r="K25" s="28">
        <v>19</v>
      </c>
      <c r="L25" s="11"/>
      <c r="M25" s="11">
        <v>86</v>
      </c>
      <c r="N25" s="11"/>
      <c r="O25" s="11"/>
      <c r="P25" s="36">
        <v>67</v>
      </c>
    </row>
    <row r="26" spans="1:16" ht="22.2" x14ac:dyDescent="0.25">
      <c r="A26" s="11">
        <v>1004055</v>
      </c>
      <c r="B26" s="15" t="s">
        <v>37</v>
      </c>
      <c r="C26" s="25">
        <v>0</v>
      </c>
      <c r="D26" s="25">
        <v>10</v>
      </c>
      <c r="E26" s="25">
        <v>0</v>
      </c>
      <c r="F26" s="25">
        <v>109</v>
      </c>
      <c r="G26" s="25">
        <v>0</v>
      </c>
      <c r="H26" s="25">
        <v>0</v>
      </c>
      <c r="I26" s="25">
        <v>0</v>
      </c>
      <c r="J26" s="25">
        <v>0</v>
      </c>
      <c r="K26" s="28">
        <v>119</v>
      </c>
      <c r="L26" s="11"/>
      <c r="M26" s="11">
        <v>236</v>
      </c>
      <c r="N26" s="11"/>
      <c r="O26" s="11"/>
      <c r="P26" s="36">
        <v>117</v>
      </c>
    </row>
    <row r="27" spans="1:16" ht="22.2" x14ac:dyDescent="0.25">
      <c r="A27" s="11">
        <v>1004055</v>
      </c>
      <c r="B27" s="15" t="s">
        <v>38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8">
        <v>0</v>
      </c>
      <c r="L27" s="11"/>
      <c r="M27" s="11"/>
      <c r="N27" s="11"/>
      <c r="O27" s="11"/>
      <c r="P27" s="36">
        <v>0</v>
      </c>
    </row>
    <row r="28" spans="1:16" ht="22.2" x14ac:dyDescent="0.25">
      <c r="A28" s="11">
        <v>1004055</v>
      </c>
      <c r="B28" s="15" t="s">
        <v>39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8">
        <v>0</v>
      </c>
      <c r="L28" s="11"/>
      <c r="M28" s="11"/>
      <c r="N28" s="11"/>
      <c r="O28" s="11"/>
      <c r="P28" s="36">
        <v>0</v>
      </c>
    </row>
    <row r="29" spans="1:16" ht="22.2" x14ac:dyDescent="0.25">
      <c r="A29" s="11">
        <v>1004055</v>
      </c>
      <c r="B29" s="15" t="s">
        <v>40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8">
        <v>0</v>
      </c>
      <c r="L29" s="11"/>
      <c r="M29" s="11"/>
      <c r="N29" s="11"/>
      <c r="O29" s="11"/>
      <c r="P29" s="36">
        <v>0</v>
      </c>
    </row>
    <row r="30" spans="1:16" ht="22.2" x14ac:dyDescent="0.25">
      <c r="A30" s="11">
        <v>1004055</v>
      </c>
      <c r="B30" s="15" t="s">
        <v>41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8">
        <v>0</v>
      </c>
      <c r="L30" s="11"/>
      <c r="M30" s="11"/>
      <c r="N30" s="11"/>
      <c r="O30" s="11"/>
      <c r="P30" s="36">
        <v>0</v>
      </c>
    </row>
    <row r="31" spans="1:16" ht="22.2" x14ac:dyDescent="0.25">
      <c r="A31" s="11">
        <v>1004055</v>
      </c>
      <c r="B31" s="15" t="s">
        <v>42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8">
        <v>0</v>
      </c>
      <c r="L31" s="11"/>
      <c r="M31" s="11"/>
      <c r="N31" s="11"/>
      <c r="O31" s="11"/>
      <c r="P31" s="36">
        <v>0</v>
      </c>
    </row>
    <row r="32" spans="1:16" ht="22.2" x14ac:dyDescent="0.25">
      <c r="A32" s="11">
        <v>1004055</v>
      </c>
      <c r="B32" s="15" t="s">
        <v>43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8">
        <v>0</v>
      </c>
      <c r="L32" s="11"/>
      <c r="M32" s="11"/>
      <c r="N32" s="11"/>
      <c r="O32" s="11"/>
      <c r="P32" s="36">
        <v>0</v>
      </c>
    </row>
    <row r="33" spans="1:16" ht="22.2" x14ac:dyDescent="0.25">
      <c r="A33" s="11">
        <v>1004055</v>
      </c>
      <c r="B33" s="15" t="s">
        <v>44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8">
        <v>0</v>
      </c>
      <c r="L33" s="11"/>
      <c r="M33" s="11"/>
      <c r="N33" s="11"/>
      <c r="O33" s="11"/>
      <c r="P33" s="36">
        <v>0</v>
      </c>
    </row>
    <row r="34" spans="1:16" ht="22.2" x14ac:dyDescent="0.25">
      <c r="A34" s="11">
        <v>1004055</v>
      </c>
      <c r="B34" s="15" t="s">
        <v>45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8">
        <v>0</v>
      </c>
      <c r="L34" s="11"/>
      <c r="M34" s="11"/>
      <c r="N34" s="11"/>
      <c r="O34" s="11"/>
      <c r="P34" s="36">
        <v>0</v>
      </c>
    </row>
    <row r="35" spans="1:16" ht="22.2" x14ac:dyDescent="0.25">
      <c r="A35" s="11">
        <v>1004055</v>
      </c>
      <c r="B35" s="15" t="s">
        <v>46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8">
        <v>0</v>
      </c>
      <c r="L35" s="11"/>
      <c r="M35" s="11"/>
      <c r="N35" s="11"/>
      <c r="O35" s="11"/>
      <c r="P35" s="36">
        <v>0</v>
      </c>
    </row>
    <row r="36" spans="1:16" ht="22.2" x14ac:dyDescent="0.25">
      <c r="A36" s="11">
        <v>1004055</v>
      </c>
      <c r="B36" s="15" t="s">
        <v>47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8">
        <v>0</v>
      </c>
      <c r="L36" s="11"/>
      <c r="M36" s="11"/>
      <c r="N36" s="11"/>
      <c r="O36" s="11"/>
      <c r="P36" s="36">
        <v>0</v>
      </c>
    </row>
    <row r="37" spans="1:16" ht="22.2" x14ac:dyDescent="0.25">
      <c r="A37" s="11">
        <v>1004055</v>
      </c>
      <c r="B37" s="15" t="s">
        <v>48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8">
        <v>0</v>
      </c>
      <c r="L37" s="11"/>
      <c r="M37" s="11"/>
      <c r="N37" s="11"/>
      <c r="O37" s="11"/>
      <c r="P37" s="36">
        <v>0</v>
      </c>
    </row>
    <row r="38" spans="1:16" ht="22.2" x14ac:dyDescent="0.25">
      <c r="A38" s="11">
        <v>1004055</v>
      </c>
      <c r="B38" s="15" t="s">
        <v>49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8">
        <v>0</v>
      </c>
      <c r="L38" s="11"/>
      <c r="M38" s="11"/>
      <c r="N38" s="11"/>
      <c r="O38" s="11"/>
      <c r="P38" s="36">
        <v>0</v>
      </c>
    </row>
    <row r="39" spans="1:16" ht="22.2" x14ac:dyDescent="0.25">
      <c r="A39" s="11">
        <v>1004055</v>
      </c>
      <c r="B39" s="15" t="s">
        <v>50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8">
        <v>0</v>
      </c>
      <c r="L39" s="11"/>
      <c r="M39" s="11"/>
      <c r="N39" s="11"/>
      <c r="O39" s="11"/>
      <c r="P39" s="36">
        <v>0</v>
      </c>
    </row>
    <row r="40" spans="1:16" ht="22.2" x14ac:dyDescent="0.25">
      <c r="A40" s="11">
        <v>1111057</v>
      </c>
      <c r="B40" s="15" t="s">
        <v>51</v>
      </c>
      <c r="C40" s="25">
        <v>0</v>
      </c>
      <c r="D40" s="25">
        <v>0</v>
      </c>
      <c r="E40" s="25">
        <v>0</v>
      </c>
      <c r="F40" s="25">
        <v>8</v>
      </c>
      <c r="G40" s="25">
        <v>0</v>
      </c>
      <c r="H40" s="25">
        <v>0</v>
      </c>
      <c r="I40" s="25">
        <v>0</v>
      </c>
      <c r="J40" s="25">
        <v>0</v>
      </c>
      <c r="K40" s="28">
        <v>8</v>
      </c>
      <c r="L40" s="11"/>
      <c r="M40" s="11">
        <v>300</v>
      </c>
      <c r="N40" s="11"/>
      <c r="O40" s="11"/>
      <c r="P40" s="36">
        <v>292</v>
      </c>
    </row>
    <row r="41" spans="1:16" ht="22.2" x14ac:dyDescent="0.25">
      <c r="A41" s="11">
        <v>1111058</v>
      </c>
      <c r="B41" s="15" t="s">
        <v>52</v>
      </c>
      <c r="C41" s="25">
        <v>0</v>
      </c>
      <c r="D41" s="25">
        <v>0</v>
      </c>
      <c r="E41" s="25">
        <v>0</v>
      </c>
      <c r="F41" s="25">
        <v>7</v>
      </c>
      <c r="G41" s="25">
        <v>0</v>
      </c>
      <c r="H41" s="25">
        <v>0</v>
      </c>
      <c r="I41" s="25">
        <v>0</v>
      </c>
      <c r="J41" s="25">
        <v>0</v>
      </c>
      <c r="K41" s="28">
        <v>7</v>
      </c>
      <c r="L41" s="11"/>
      <c r="M41" s="11"/>
      <c r="N41" s="11"/>
      <c r="O41" s="11"/>
      <c r="P41" s="36">
        <v>-7</v>
      </c>
    </row>
    <row r="42" spans="1:16" ht="22.2" x14ac:dyDescent="0.25">
      <c r="A42" s="11">
        <v>1111059</v>
      </c>
      <c r="B42" s="15" t="s">
        <v>53</v>
      </c>
      <c r="C42" s="25">
        <v>0</v>
      </c>
      <c r="D42" s="25">
        <v>0</v>
      </c>
      <c r="E42" s="25">
        <v>0</v>
      </c>
      <c r="F42" s="25">
        <v>6</v>
      </c>
      <c r="G42" s="25">
        <v>0</v>
      </c>
      <c r="H42" s="25">
        <v>0</v>
      </c>
      <c r="I42" s="25">
        <v>0</v>
      </c>
      <c r="J42" s="25">
        <v>0</v>
      </c>
      <c r="K42" s="28">
        <v>6</v>
      </c>
      <c r="L42" s="11"/>
      <c r="M42" s="11">
        <v>128</v>
      </c>
      <c r="N42" s="11"/>
      <c r="O42" s="11"/>
      <c r="P42" s="36">
        <v>122</v>
      </c>
    </row>
    <row r="43" spans="1:16" ht="22.2" x14ac:dyDescent="0.25">
      <c r="A43" s="11">
        <v>1111060</v>
      </c>
      <c r="B43" s="15" t="s">
        <v>54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8">
        <v>0</v>
      </c>
      <c r="L43" s="11"/>
      <c r="M43" s="11">
        <v>188</v>
      </c>
      <c r="N43" s="11"/>
      <c r="O43" s="11"/>
      <c r="P43" s="36">
        <v>188</v>
      </c>
    </row>
    <row r="44" spans="1:16" ht="22.2" x14ac:dyDescent="0.25">
      <c r="A44" s="11">
        <v>1111061</v>
      </c>
      <c r="B44" s="15" t="s">
        <v>55</v>
      </c>
      <c r="C44" s="25">
        <v>0</v>
      </c>
      <c r="D44" s="25">
        <v>0</v>
      </c>
      <c r="E44" s="25">
        <v>0</v>
      </c>
      <c r="F44" s="25">
        <v>6</v>
      </c>
      <c r="G44" s="25">
        <v>0</v>
      </c>
      <c r="H44" s="25">
        <v>0</v>
      </c>
      <c r="I44" s="25">
        <v>0</v>
      </c>
      <c r="J44" s="25">
        <v>0</v>
      </c>
      <c r="K44" s="28">
        <v>6</v>
      </c>
      <c r="L44" s="11"/>
      <c r="M44" s="11">
        <v>300</v>
      </c>
      <c r="N44" s="11"/>
      <c r="O44" s="11"/>
      <c r="P44" s="36">
        <v>294</v>
      </c>
    </row>
    <row r="45" spans="1:16" ht="22.2" x14ac:dyDescent="0.25">
      <c r="A45" s="11">
        <v>1111062</v>
      </c>
      <c r="B45" s="15" t="s">
        <v>56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8">
        <v>0</v>
      </c>
      <c r="L45" s="11"/>
      <c r="M45" s="11">
        <v>63</v>
      </c>
      <c r="N45" s="11"/>
      <c r="O45" s="11"/>
      <c r="P45" s="36">
        <v>63</v>
      </c>
    </row>
    <row r="46" spans="1:16" ht="22.2" x14ac:dyDescent="0.25">
      <c r="A46" s="11">
        <v>1111063</v>
      </c>
      <c r="B46" s="15" t="s">
        <v>57</v>
      </c>
      <c r="C46" s="25">
        <v>0</v>
      </c>
      <c r="D46" s="25">
        <v>0</v>
      </c>
      <c r="E46" s="25">
        <v>0</v>
      </c>
      <c r="F46" s="25">
        <v>6</v>
      </c>
      <c r="G46" s="25">
        <v>0</v>
      </c>
      <c r="H46" s="25">
        <v>0</v>
      </c>
      <c r="I46" s="25">
        <v>0</v>
      </c>
      <c r="J46" s="25">
        <v>0</v>
      </c>
      <c r="K46" s="28">
        <v>6</v>
      </c>
      <c r="L46" s="11"/>
      <c r="M46" s="11">
        <v>327</v>
      </c>
      <c r="N46" s="11"/>
      <c r="O46" s="11"/>
      <c r="P46" s="36">
        <v>321</v>
      </c>
    </row>
    <row r="47" spans="1:16" ht="22.2" x14ac:dyDescent="0.25">
      <c r="A47" s="11">
        <v>1111064</v>
      </c>
      <c r="B47" s="15" t="s">
        <v>58</v>
      </c>
      <c r="C47" s="25">
        <v>0</v>
      </c>
      <c r="D47" s="25">
        <v>0</v>
      </c>
      <c r="E47" s="25">
        <v>0</v>
      </c>
      <c r="F47" s="25">
        <v>6</v>
      </c>
      <c r="G47" s="25">
        <v>0</v>
      </c>
      <c r="H47" s="25">
        <v>0</v>
      </c>
      <c r="I47" s="25">
        <v>0</v>
      </c>
      <c r="J47" s="25">
        <v>0</v>
      </c>
      <c r="K47" s="28">
        <v>6</v>
      </c>
      <c r="L47" s="11"/>
      <c r="M47" s="11"/>
      <c r="N47" s="11"/>
      <c r="O47" s="11"/>
      <c r="P47" s="36">
        <v>-6</v>
      </c>
    </row>
    <row r="48" spans="1:16" ht="22.2" x14ac:dyDescent="0.25">
      <c r="A48" s="11">
        <v>1111065</v>
      </c>
      <c r="B48" s="15" t="s">
        <v>59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8">
        <v>0</v>
      </c>
      <c r="L48" s="11"/>
      <c r="M48" s="11"/>
      <c r="N48" s="11"/>
      <c r="O48" s="11"/>
      <c r="P48" s="36">
        <v>0</v>
      </c>
    </row>
    <row r="49" spans="1:16" ht="22.2" x14ac:dyDescent="0.25">
      <c r="A49" s="11">
        <v>1111066</v>
      </c>
      <c r="B49" s="15" t="s">
        <v>60</v>
      </c>
      <c r="C49" s="25">
        <v>0</v>
      </c>
      <c r="D49" s="25">
        <v>0</v>
      </c>
      <c r="E49" s="25">
        <v>0</v>
      </c>
      <c r="F49" s="25">
        <v>6</v>
      </c>
      <c r="G49" s="25">
        <v>0</v>
      </c>
      <c r="H49" s="25">
        <v>0</v>
      </c>
      <c r="I49" s="25">
        <v>0</v>
      </c>
      <c r="J49" s="25">
        <v>0</v>
      </c>
      <c r="K49" s="28">
        <v>6</v>
      </c>
      <c r="L49" s="11"/>
      <c r="M49" s="11">
        <v>300</v>
      </c>
      <c r="N49" s="11"/>
      <c r="O49" s="11"/>
      <c r="P49" s="36">
        <v>294</v>
      </c>
    </row>
    <row r="50" spans="1:16" ht="22.2" x14ac:dyDescent="0.25">
      <c r="A50" s="11">
        <v>1111067</v>
      </c>
      <c r="B50" s="15" t="s">
        <v>61</v>
      </c>
      <c r="C50" s="25">
        <v>0</v>
      </c>
      <c r="D50" s="25">
        <v>0</v>
      </c>
      <c r="E50" s="25">
        <v>0</v>
      </c>
      <c r="F50" s="25">
        <v>6</v>
      </c>
      <c r="G50" s="25">
        <v>0</v>
      </c>
      <c r="H50" s="25">
        <v>0</v>
      </c>
      <c r="I50" s="25">
        <v>0</v>
      </c>
      <c r="J50" s="25">
        <v>0</v>
      </c>
      <c r="K50" s="28">
        <v>6</v>
      </c>
      <c r="L50" s="11"/>
      <c r="M50" s="11">
        <v>106</v>
      </c>
      <c r="N50" s="11"/>
      <c r="O50" s="11"/>
      <c r="P50" s="36">
        <v>100</v>
      </c>
    </row>
    <row r="51" spans="1:16" ht="22.2" x14ac:dyDescent="0.25">
      <c r="A51" s="11">
        <v>1111068</v>
      </c>
      <c r="B51" s="15" t="s">
        <v>62</v>
      </c>
      <c r="C51" s="25">
        <v>0</v>
      </c>
      <c r="D51" s="25">
        <v>0</v>
      </c>
      <c r="E51" s="25">
        <v>0</v>
      </c>
      <c r="F51" s="25">
        <v>6</v>
      </c>
      <c r="G51" s="25">
        <v>0</v>
      </c>
      <c r="H51" s="25">
        <v>0</v>
      </c>
      <c r="I51" s="25">
        <v>0</v>
      </c>
      <c r="J51" s="25">
        <v>0</v>
      </c>
      <c r="K51" s="28">
        <v>6</v>
      </c>
      <c r="L51" s="11"/>
      <c r="M51" s="11">
        <v>102</v>
      </c>
      <c r="N51" s="11"/>
      <c r="O51" s="11"/>
      <c r="P51" s="36">
        <v>96</v>
      </c>
    </row>
    <row r="52" spans="1:16" ht="22.2" x14ac:dyDescent="0.25">
      <c r="A52" s="11">
        <v>1111069</v>
      </c>
      <c r="B52" s="15" t="s">
        <v>63</v>
      </c>
      <c r="C52" s="25">
        <v>0</v>
      </c>
      <c r="D52" s="25">
        <v>0</v>
      </c>
      <c r="E52" s="25">
        <v>0</v>
      </c>
      <c r="F52" s="25">
        <v>6</v>
      </c>
      <c r="G52" s="25">
        <v>0</v>
      </c>
      <c r="H52" s="25">
        <v>0</v>
      </c>
      <c r="I52" s="25">
        <v>0</v>
      </c>
      <c r="J52" s="25">
        <v>0</v>
      </c>
      <c r="K52" s="28">
        <v>6</v>
      </c>
      <c r="L52" s="11"/>
      <c r="M52" s="11">
        <v>163</v>
      </c>
      <c r="N52" s="11"/>
      <c r="O52" s="11"/>
      <c r="P52" s="36">
        <v>157</v>
      </c>
    </row>
    <row r="53" spans="1:16" ht="22.2" x14ac:dyDescent="0.25">
      <c r="A53" s="11">
        <v>1111070</v>
      </c>
      <c r="B53" s="15" t="s">
        <v>64</v>
      </c>
      <c r="C53" s="25">
        <v>0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8">
        <v>0</v>
      </c>
      <c r="L53" s="11"/>
      <c r="M53" s="11"/>
      <c r="N53" s="11"/>
      <c r="O53" s="11"/>
      <c r="P53" s="36">
        <v>0</v>
      </c>
    </row>
    <row r="54" spans="1:16" ht="22.2" x14ac:dyDescent="0.25">
      <c r="A54" s="11">
        <v>1111071</v>
      </c>
      <c r="B54" s="15" t="s">
        <v>65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8">
        <v>0</v>
      </c>
      <c r="L54" s="11"/>
      <c r="M54" s="11"/>
      <c r="N54" s="11"/>
      <c r="O54" s="11"/>
      <c r="P54" s="36">
        <v>0</v>
      </c>
    </row>
    <row r="55" spans="1:16" ht="22.2" x14ac:dyDescent="0.25">
      <c r="A55" s="11">
        <v>1111001</v>
      </c>
      <c r="B55" s="15" t="s">
        <v>66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8">
        <v>0</v>
      </c>
      <c r="L55" s="11"/>
      <c r="M55" s="11"/>
      <c r="N55" s="11"/>
      <c r="O55" s="11"/>
      <c r="P55" s="36">
        <v>0</v>
      </c>
    </row>
    <row r="56" spans="1:16" ht="22.2" x14ac:dyDescent="0.25">
      <c r="A56" s="11">
        <v>1111074</v>
      </c>
      <c r="B56" s="15" t="s">
        <v>67</v>
      </c>
      <c r="C56" s="25">
        <v>15</v>
      </c>
      <c r="D56" s="25">
        <v>4</v>
      </c>
      <c r="E56" s="25">
        <v>1</v>
      </c>
      <c r="F56" s="25">
        <v>4</v>
      </c>
      <c r="G56" s="25">
        <v>0</v>
      </c>
      <c r="H56" s="25">
        <v>0</v>
      </c>
      <c r="I56" s="25">
        <v>0</v>
      </c>
      <c r="J56" s="25">
        <v>0</v>
      </c>
      <c r="K56" s="28">
        <v>24</v>
      </c>
      <c r="L56" s="11"/>
      <c r="M56" s="11">
        <v>81</v>
      </c>
      <c r="N56" s="11"/>
      <c r="O56" s="11"/>
      <c r="P56" s="36">
        <v>57</v>
      </c>
    </row>
    <row r="57" spans="1:16" ht="22.2" x14ac:dyDescent="0.25">
      <c r="A57" s="11">
        <v>1111075</v>
      </c>
      <c r="B57" s="15" t="s">
        <v>68</v>
      </c>
      <c r="C57" s="25">
        <v>15</v>
      </c>
      <c r="D57" s="25">
        <v>4</v>
      </c>
      <c r="E57" s="25">
        <v>1</v>
      </c>
      <c r="F57" s="25">
        <v>4</v>
      </c>
      <c r="G57" s="25">
        <v>0</v>
      </c>
      <c r="H57" s="25">
        <v>0</v>
      </c>
      <c r="I57" s="25">
        <v>0</v>
      </c>
      <c r="J57" s="25">
        <v>0</v>
      </c>
      <c r="K57" s="28">
        <v>24</v>
      </c>
      <c r="L57" s="11"/>
      <c r="M57" s="11">
        <v>46</v>
      </c>
      <c r="N57" s="11"/>
      <c r="O57" s="11"/>
      <c r="P57" s="36">
        <v>22</v>
      </c>
    </row>
    <row r="58" spans="1:16" ht="22.2" x14ac:dyDescent="0.25">
      <c r="A58" s="11">
        <v>1111076</v>
      </c>
      <c r="B58" s="15" t="s">
        <v>69</v>
      </c>
      <c r="C58" s="25">
        <v>15</v>
      </c>
      <c r="D58" s="25">
        <v>4</v>
      </c>
      <c r="E58" s="25">
        <v>1</v>
      </c>
      <c r="F58" s="25">
        <v>3</v>
      </c>
      <c r="G58" s="25">
        <v>0</v>
      </c>
      <c r="H58" s="25">
        <v>0</v>
      </c>
      <c r="I58" s="25">
        <v>0</v>
      </c>
      <c r="J58" s="25">
        <v>0</v>
      </c>
      <c r="K58" s="28">
        <v>23</v>
      </c>
      <c r="L58" s="11"/>
      <c r="M58" s="11">
        <v>62</v>
      </c>
      <c r="N58" s="11"/>
      <c r="O58" s="11"/>
      <c r="P58" s="36">
        <v>39</v>
      </c>
    </row>
    <row r="59" spans="1:16" ht="22.2" x14ac:dyDescent="0.25">
      <c r="A59" s="11">
        <v>1111077</v>
      </c>
      <c r="B59" s="15" t="s">
        <v>70</v>
      </c>
      <c r="C59" s="25">
        <v>15</v>
      </c>
      <c r="D59" s="25">
        <v>4</v>
      </c>
      <c r="E59" s="25">
        <v>1</v>
      </c>
      <c r="F59" s="25">
        <v>2</v>
      </c>
      <c r="G59" s="25">
        <v>0</v>
      </c>
      <c r="H59" s="25">
        <v>0</v>
      </c>
      <c r="I59" s="25">
        <v>0</v>
      </c>
      <c r="J59" s="25">
        <v>0</v>
      </c>
      <c r="K59" s="28">
        <v>22</v>
      </c>
      <c r="L59" s="11"/>
      <c r="M59" s="11">
        <v>14</v>
      </c>
      <c r="N59" s="11"/>
      <c r="O59" s="11"/>
      <c r="P59" s="36">
        <v>-8</v>
      </c>
    </row>
    <row r="60" spans="1:16" ht="22.2" x14ac:dyDescent="0.25">
      <c r="A60" s="11">
        <v>1111078</v>
      </c>
      <c r="B60" s="15" t="s">
        <v>71</v>
      </c>
      <c r="C60" s="25">
        <v>15</v>
      </c>
      <c r="D60" s="25">
        <v>4</v>
      </c>
      <c r="E60" s="25">
        <v>1</v>
      </c>
      <c r="F60" s="25">
        <v>2</v>
      </c>
      <c r="G60" s="25">
        <v>0</v>
      </c>
      <c r="H60" s="25">
        <v>0</v>
      </c>
      <c r="I60" s="25">
        <v>0</v>
      </c>
      <c r="J60" s="25">
        <v>0</v>
      </c>
      <c r="K60" s="28">
        <v>22</v>
      </c>
      <c r="L60" s="11"/>
      <c r="M60" s="11"/>
      <c r="N60" s="11"/>
      <c r="O60" s="11"/>
      <c r="P60" s="36">
        <v>-22</v>
      </c>
    </row>
    <row r="61" spans="1:16" ht="22.2" x14ac:dyDescent="0.25">
      <c r="A61" s="11">
        <v>1111079</v>
      </c>
      <c r="B61" s="15" t="s">
        <v>72</v>
      </c>
      <c r="C61" s="25">
        <v>15</v>
      </c>
      <c r="D61" s="25">
        <v>4</v>
      </c>
      <c r="E61" s="25">
        <v>1</v>
      </c>
      <c r="F61" s="25">
        <v>2</v>
      </c>
      <c r="G61" s="25">
        <v>0</v>
      </c>
      <c r="H61" s="25">
        <v>0</v>
      </c>
      <c r="I61" s="25">
        <v>0</v>
      </c>
      <c r="J61" s="25">
        <v>0</v>
      </c>
      <c r="K61" s="28">
        <v>22</v>
      </c>
      <c r="L61" s="11"/>
      <c r="M61" s="11">
        <v>58</v>
      </c>
      <c r="N61" s="11"/>
      <c r="O61" s="11"/>
      <c r="P61" s="36">
        <v>36</v>
      </c>
    </row>
    <row r="62" spans="1:16" ht="22.2" x14ac:dyDescent="0.25">
      <c r="A62" s="11">
        <v>1111080</v>
      </c>
      <c r="B62" s="15" t="s">
        <v>73</v>
      </c>
      <c r="C62" s="25">
        <v>15</v>
      </c>
      <c r="D62" s="25">
        <v>4</v>
      </c>
      <c r="E62" s="25">
        <v>1</v>
      </c>
      <c r="F62" s="25">
        <v>2</v>
      </c>
      <c r="G62" s="25">
        <v>0</v>
      </c>
      <c r="H62" s="25">
        <v>0</v>
      </c>
      <c r="I62" s="25">
        <v>0</v>
      </c>
      <c r="J62" s="25">
        <v>0</v>
      </c>
      <c r="K62" s="28">
        <v>22</v>
      </c>
      <c r="L62" s="11"/>
      <c r="M62" s="11"/>
      <c r="N62" s="11"/>
      <c r="O62" s="11"/>
      <c r="P62" s="36">
        <v>-22</v>
      </c>
    </row>
    <row r="63" spans="1:16" ht="22.2" x14ac:dyDescent="0.25">
      <c r="A63" s="11">
        <v>1111081</v>
      </c>
      <c r="B63" s="15" t="s">
        <v>74</v>
      </c>
      <c r="C63" s="25">
        <v>15</v>
      </c>
      <c r="D63" s="25">
        <v>4</v>
      </c>
      <c r="E63" s="25">
        <v>1</v>
      </c>
      <c r="F63" s="25">
        <v>2</v>
      </c>
      <c r="G63" s="25">
        <v>0</v>
      </c>
      <c r="H63" s="25">
        <v>0</v>
      </c>
      <c r="I63" s="25">
        <v>0</v>
      </c>
      <c r="J63" s="25">
        <v>0</v>
      </c>
      <c r="K63" s="28">
        <v>22</v>
      </c>
      <c r="L63" s="11"/>
      <c r="M63" s="11"/>
      <c r="N63" s="11"/>
      <c r="O63" s="11"/>
      <c r="P63" s="36">
        <v>-22</v>
      </c>
    </row>
    <row r="64" spans="1:16" ht="22.2" x14ac:dyDescent="0.25">
      <c r="A64" s="11">
        <v>1111082</v>
      </c>
      <c r="B64" s="15" t="s">
        <v>75</v>
      </c>
      <c r="C64" s="25">
        <v>15</v>
      </c>
      <c r="D64" s="25">
        <v>4</v>
      </c>
      <c r="E64" s="25">
        <v>1</v>
      </c>
      <c r="F64" s="25">
        <v>2</v>
      </c>
      <c r="G64" s="25">
        <v>0</v>
      </c>
      <c r="H64" s="25">
        <v>0</v>
      </c>
      <c r="I64" s="25">
        <v>0</v>
      </c>
      <c r="J64" s="25">
        <v>0</v>
      </c>
      <c r="K64" s="28">
        <v>22</v>
      </c>
      <c r="L64" s="11"/>
      <c r="M64" s="11"/>
      <c r="N64" s="11"/>
      <c r="O64" s="11"/>
      <c r="P64" s="36">
        <v>-22</v>
      </c>
    </row>
    <row r="65" spans="1:16" ht="22.2" x14ac:dyDescent="0.25">
      <c r="A65" s="11">
        <v>1111083</v>
      </c>
      <c r="B65" s="15" t="s">
        <v>76</v>
      </c>
      <c r="C65" s="25">
        <v>15</v>
      </c>
      <c r="D65" s="25">
        <v>4</v>
      </c>
      <c r="E65" s="25">
        <v>0</v>
      </c>
      <c r="F65" s="25">
        <v>2</v>
      </c>
      <c r="G65" s="25">
        <v>0</v>
      </c>
      <c r="H65" s="25">
        <v>0</v>
      </c>
      <c r="I65" s="25">
        <v>0</v>
      </c>
      <c r="J65" s="25">
        <v>0</v>
      </c>
      <c r="K65" s="28">
        <v>21</v>
      </c>
      <c r="L65" s="11"/>
      <c r="M65" s="11">
        <v>57</v>
      </c>
      <c r="N65" s="11"/>
      <c r="O65" s="11"/>
      <c r="P65" s="36">
        <v>36</v>
      </c>
    </row>
    <row r="66" spans="1:16" ht="22.2" x14ac:dyDescent="0.25">
      <c r="A66" s="11">
        <v>1111010</v>
      </c>
      <c r="B66" s="15" t="s">
        <v>77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35"/>
      <c r="K66" s="28">
        <v>0</v>
      </c>
      <c r="L66" s="11"/>
      <c r="M66" s="11"/>
      <c r="N66" s="11"/>
      <c r="O66" s="11"/>
      <c r="P66" s="36">
        <v>0</v>
      </c>
    </row>
    <row r="67" spans="1:16" ht="22.2" x14ac:dyDescent="0.25">
      <c r="A67" s="16"/>
      <c r="B67" s="16" t="s">
        <v>4</v>
      </c>
      <c r="C67" s="17"/>
      <c r="D67" s="17"/>
      <c r="E67" s="17"/>
      <c r="F67" s="17"/>
      <c r="G67" s="17"/>
      <c r="H67" s="17"/>
      <c r="I67" s="19"/>
      <c r="J67" s="19"/>
      <c r="K67" s="28">
        <v>0</v>
      </c>
      <c r="L67" s="11"/>
      <c r="M67" s="11"/>
      <c r="N67" s="11"/>
      <c r="O67" s="11"/>
      <c r="P67" s="36">
        <v>0</v>
      </c>
    </row>
    <row r="68" spans="1:16" ht="20.399999999999999" x14ac:dyDescent="0.25">
      <c r="A68" s="58" t="s">
        <v>78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60"/>
    </row>
    <row r="69" spans="1:16" ht="22.2" x14ac:dyDescent="0.25">
      <c r="A69" s="11">
        <v>1111009</v>
      </c>
      <c r="B69" s="18" t="s">
        <v>79</v>
      </c>
      <c r="C69" s="25">
        <v>8</v>
      </c>
      <c r="D69" s="25">
        <v>4</v>
      </c>
      <c r="E69" s="25">
        <v>2</v>
      </c>
      <c r="F69" s="25">
        <v>2</v>
      </c>
      <c r="G69" s="25">
        <v>0</v>
      </c>
      <c r="H69" s="25">
        <v>0</v>
      </c>
      <c r="I69" s="25">
        <v>0</v>
      </c>
      <c r="J69" s="25">
        <v>0</v>
      </c>
      <c r="K69" s="28">
        <v>16</v>
      </c>
      <c r="L69" s="11"/>
      <c r="M69" s="11">
        <v>345</v>
      </c>
      <c r="N69" s="11"/>
      <c r="O69" s="11"/>
      <c r="P69" s="36">
        <v>329</v>
      </c>
    </row>
    <row r="70" spans="1:16" ht="22.2" x14ac:dyDescent="0.25">
      <c r="A70" s="11">
        <v>1111023</v>
      </c>
      <c r="B70" s="18" t="s">
        <v>80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8">
        <v>0</v>
      </c>
      <c r="L70" s="11"/>
      <c r="M70" s="11"/>
      <c r="N70" s="11"/>
      <c r="O70" s="11"/>
      <c r="P70" s="36">
        <v>0</v>
      </c>
    </row>
    <row r="71" spans="1:16" ht="22.2" x14ac:dyDescent="0.25">
      <c r="A71" s="11">
        <v>1111016</v>
      </c>
      <c r="B71" s="18" t="s">
        <v>81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8">
        <v>0</v>
      </c>
      <c r="L71" s="11"/>
      <c r="M71" s="11"/>
      <c r="N71" s="11"/>
      <c r="O71" s="11"/>
      <c r="P71" s="36">
        <v>0</v>
      </c>
    </row>
    <row r="72" spans="1:16" ht="22.2" x14ac:dyDescent="0.25">
      <c r="A72" s="11">
        <v>1111014</v>
      </c>
      <c r="B72" s="18" t="s">
        <v>82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8">
        <v>0</v>
      </c>
      <c r="L72" s="11"/>
      <c r="M72" s="11"/>
      <c r="N72" s="11"/>
      <c r="O72" s="11"/>
      <c r="P72" s="36">
        <v>0</v>
      </c>
    </row>
    <row r="73" spans="1:16" ht="22.2" x14ac:dyDescent="0.25">
      <c r="A73" s="11">
        <v>1111025</v>
      </c>
      <c r="B73" s="18" t="s">
        <v>83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8">
        <v>0</v>
      </c>
      <c r="L73" s="11"/>
      <c r="M73" s="11"/>
      <c r="N73" s="11"/>
      <c r="O73" s="11"/>
      <c r="P73" s="36">
        <v>0</v>
      </c>
    </row>
    <row r="74" spans="1:16" ht="22.2" x14ac:dyDescent="0.25">
      <c r="A74" s="11">
        <v>1111018</v>
      </c>
      <c r="B74" s="18" t="s">
        <v>84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8">
        <v>0</v>
      </c>
      <c r="L74" s="11"/>
      <c r="M74" s="11"/>
      <c r="N74" s="11"/>
      <c r="O74" s="11"/>
      <c r="P74" s="36">
        <v>0</v>
      </c>
    </row>
    <row r="75" spans="1:16" ht="22.2" x14ac:dyDescent="0.25">
      <c r="A75" s="11">
        <v>1111012</v>
      </c>
      <c r="B75" s="18" t="s">
        <v>85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8">
        <v>0</v>
      </c>
      <c r="L75" s="11"/>
      <c r="M75" s="11"/>
      <c r="N75" s="11"/>
      <c r="O75" s="11"/>
      <c r="P75" s="36">
        <v>0</v>
      </c>
    </row>
    <row r="76" spans="1:16" ht="22.2" x14ac:dyDescent="0.25">
      <c r="A76" s="11">
        <v>1111020</v>
      </c>
      <c r="B76" s="18" t="s">
        <v>86</v>
      </c>
      <c r="C76" s="25">
        <v>0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8">
        <v>0</v>
      </c>
      <c r="L76" s="11"/>
      <c r="M76" s="11"/>
      <c r="N76" s="11"/>
      <c r="O76" s="11"/>
      <c r="P76" s="36">
        <v>0</v>
      </c>
    </row>
    <row r="77" spans="1:16" ht="22.2" x14ac:dyDescent="0.25">
      <c r="A77" s="17"/>
      <c r="B77" s="19" t="s">
        <v>4</v>
      </c>
      <c r="C77" s="19"/>
      <c r="D77" s="17"/>
      <c r="E77" s="17"/>
      <c r="F77" s="17"/>
      <c r="G77" s="17"/>
      <c r="H77" s="17"/>
      <c r="I77" s="19"/>
      <c r="J77" s="19"/>
      <c r="K77" s="28"/>
      <c r="L77" s="11"/>
      <c r="M77" s="11"/>
      <c r="N77" s="11"/>
      <c r="O77" s="11"/>
      <c r="P77" s="36">
        <v>0</v>
      </c>
    </row>
    <row r="78" spans="1:16" ht="20.399999999999999" x14ac:dyDescent="0.25">
      <c r="A78" s="58" t="s">
        <v>87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60"/>
    </row>
    <row r="79" spans="1:16" ht="22.2" x14ac:dyDescent="0.25">
      <c r="A79" s="11">
        <v>1111022</v>
      </c>
      <c r="B79" s="18" t="s">
        <v>88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8">
        <v>0</v>
      </c>
      <c r="L79" s="11"/>
      <c r="M79" s="11"/>
      <c r="N79" s="11"/>
      <c r="O79" s="11"/>
      <c r="P79" s="36">
        <v>0</v>
      </c>
    </row>
    <row r="80" spans="1:16" ht="22.2" x14ac:dyDescent="0.25">
      <c r="A80" s="11">
        <v>1111015</v>
      </c>
      <c r="B80" s="18" t="s">
        <v>89</v>
      </c>
      <c r="C80" s="25">
        <v>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8">
        <v>0</v>
      </c>
      <c r="L80" s="11"/>
      <c r="M80" s="11"/>
      <c r="N80" s="11"/>
      <c r="O80" s="11"/>
      <c r="P80" s="36">
        <v>0</v>
      </c>
    </row>
    <row r="81" spans="1:16" ht="22.2" x14ac:dyDescent="0.25">
      <c r="A81" s="11">
        <v>1111013</v>
      </c>
      <c r="B81" s="18" t="s">
        <v>90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8">
        <v>0</v>
      </c>
      <c r="L81" s="11"/>
      <c r="M81" s="11"/>
      <c r="N81" s="11"/>
      <c r="O81" s="11"/>
      <c r="P81" s="36">
        <v>0</v>
      </c>
    </row>
    <row r="82" spans="1:16" ht="22.2" x14ac:dyDescent="0.25">
      <c r="A82" s="11">
        <v>1111024</v>
      </c>
      <c r="B82" s="18" t="s">
        <v>91</v>
      </c>
      <c r="C82" s="25">
        <v>0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8">
        <v>0</v>
      </c>
      <c r="L82" s="11"/>
      <c r="M82" s="11"/>
      <c r="N82" s="11"/>
      <c r="O82" s="11"/>
      <c r="P82" s="36">
        <v>0</v>
      </c>
    </row>
    <row r="83" spans="1:16" ht="22.2" x14ac:dyDescent="0.25">
      <c r="A83" s="11">
        <v>1111017</v>
      </c>
      <c r="B83" s="18" t="s">
        <v>92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8">
        <v>0</v>
      </c>
      <c r="L83" s="11"/>
      <c r="M83" s="11"/>
      <c r="N83" s="11"/>
      <c r="O83" s="11"/>
      <c r="P83" s="36">
        <v>0</v>
      </c>
    </row>
    <row r="84" spans="1:16" ht="22.2" x14ac:dyDescent="0.25">
      <c r="A84" s="11">
        <v>1111011</v>
      </c>
      <c r="B84" s="18" t="s">
        <v>93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8">
        <v>0</v>
      </c>
      <c r="L84" s="11"/>
      <c r="M84" s="11"/>
      <c r="N84" s="11"/>
      <c r="O84" s="11"/>
      <c r="P84" s="36">
        <v>0</v>
      </c>
    </row>
    <row r="85" spans="1:16" ht="22.2" x14ac:dyDescent="0.25">
      <c r="A85" s="11">
        <v>1111019</v>
      </c>
      <c r="B85" s="18" t="s">
        <v>94</v>
      </c>
      <c r="C85" s="25">
        <v>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8">
        <v>0</v>
      </c>
      <c r="L85" s="11"/>
      <c r="M85" s="11"/>
      <c r="N85" s="11"/>
      <c r="O85" s="11"/>
      <c r="P85" s="36">
        <v>0</v>
      </c>
    </row>
    <row r="86" spans="1:16" ht="22.2" x14ac:dyDescent="0.25">
      <c r="A86" s="11">
        <v>1113081</v>
      </c>
      <c r="B86" s="18" t="s">
        <v>95</v>
      </c>
      <c r="C86" s="25">
        <v>0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8">
        <v>0</v>
      </c>
      <c r="L86" s="11"/>
      <c r="M86" s="11"/>
      <c r="N86" s="11"/>
      <c r="O86" s="11"/>
      <c r="P86" s="36">
        <v>0</v>
      </c>
    </row>
    <row r="87" spans="1:16" ht="22.2" x14ac:dyDescent="0.25">
      <c r="A87" s="11">
        <v>1111008</v>
      </c>
      <c r="B87" s="18" t="s">
        <v>96</v>
      </c>
      <c r="C87" s="25">
        <v>0</v>
      </c>
      <c r="D87" s="25">
        <v>9</v>
      </c>
      <c r="E87" s="25">
        <v>0</v>
      </c>
      <c r="F87" s="25">
        <v>115</v>
      </c>
      <c r="G87" s="25">
        <v>0</v>
      </c>
      <c r="H87" s="25">
        <v>0</v>
      </c>
      <c r="I87" s="25">
        <v>0</v>
      </c>
      <c r="J87" s="25">
        <v>0</v>
      </c>
      <c r="K87" s="28">
        <v>124</v>
      </c>
      <c r="L87" s="11"/>
      <c r="M87" s="11">
        <v>906</v>
      </c>
      <c r="N87" s="11"/>
      <c r="O87" s="11"/>
      <c r="P87" s="36">
        <v>782</v>
      </c>
    </row>
    <row r="88" spans="1:16" ht="22.2" x14ac:dyDescent="0.25">
      <c r="A88" s="17"/>
      <c r="B88" s="17" t="s">
        <v>4</v>
      </c>
      <c r="C88" s="17"/>
      <c r="D88" s="17"/>
      <c r="E88" s="17"/>
      <c r="F88" s="17"/>
      <c r="G88" s="17"/>
      <c r="H88" s="17"/>
      <c r="I88" s="19"/>
      <c r="J88" s="19"/>
      <c r="K88" s="28">
        <v>0</v>
      </c>
      <c r="L88" s="11"/>
      <c r="M88" s="11"/>
      <c r="N88" s="11"/>
      <c r="O88" s="11"/>
      <c r="P88" s="36">
        <v>0</v>
      </c>
    </row>
    <row r="89" spans="1:16" ht="20.399999999999999" x14ac:dyDescent="0.25">
      <c r="A89" s="58" t="s">
        <v>97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60"/>
    </row>
    <row r="90" spans="1:16" ht="22.2" x14ac:dyDescent="0.25">
      <c r="A90" s="11">
        <v>1112009</v>
      </c>
      <c r="B90" s="18" t="s">
        <v>98</v>
      </c>
      <c r="C90" s="25">
        <v>4</v>
      </c>
      <c r="D90" s="25">
        <v>18</v>
      </c>
      <c r="E90" s="25">
        <v>7</v>
      </c>
      <c r="F90" s="25">
        <v>62</v>
      </c>
      <c r="G90" s="25">
        <v>0</v>
      </c>
      <c r="H90" s="25">
        <v>0</v>
      </c>
      <c r="I90" s="25">
        <v>0</v>
      </c>
      <c r="J90" s="25">
        <v>0</v>
      </c>
      <c r="K90" s="28">
        <v>91</v>
      </c>
      <c r="L90" s="11"/>
      <c r="M90" s="11">
        <v>672</v>
      </c>
      <c r="N90" s="11"/>
      <c r="O90" s="11"/>
      <c r="P90" s="36">
        <v>581</v>
      </c>
    </row>
    <row r="91" spans="1:16" ht="22.2" x14ac:dyDescent="0.25">
      <c r="A91" s="11">
        <v>1112011</v>
      </c>
      <c r="B91" s="18" t="s">
        <v>99</v>
      </c>
      <c r="C91" s="25">
        <v>4</v>
      </c>
      <c r="D91" s="25">
        <v>24</v>
      </c>
      <c r="E91" s="25">
        <v>7</v>
      </c>
      <c r="F91" s="25">
        <v>62</v>
      </c>
      <c r="G91" s="25">
        <v>0</v>
      </c>
      <c r="H91" s="25">
        <v>0</v>
      </c>
      <c r="I91" s="25">
        <v>0</v>
      </c>
      <c r="J91" s="25">
        <v>0</v>
      </c>
      <c r="K91" s="28">
        <v>97</v>
      </c>
      <c r="L91" s="11"/>
      <c r="M91" s="11">
        <v>559</v>
      </c>
      <c r="N91" s="11"/>
      <c r="O91" s="11"/>
      <c r="P91" s="36">
        <v>462</v>
      </c>
    </row>
    <row r="92" spans="1:16" ht="22.2" x14ac:dyDescent="0.25">
      <c r="A92" s="11">
        <v>1112003</v>
      </c>
      <c r="B92" s="18" t="s">
        <v>100</v>
      </c>
      <c r="C92" s="25">
        <v>0</v>
      </c>
      <c r="D92" s="25">
        <v>0</v>
      </c>
      <c r="E92" s="25">
        <v>2</v>
      </c>
      <c r="F92" s="25">
        <v>75</v>
      </c>
      <c r="G92" s="25">
        <v>0</v>
      </c>
      <c r="H92" s="25">
        <v>0</v>
      </c>
      <c r="I92" s="25">
        <v>0</v>
      </c>
      <c r="J92" s="25">
        <v>0</v>
      </c>
      <c r="K92" s="28">
        <v>77</v>
      </c>
      <c r="L92" s="11"/>
      <c r="M92" s="11">
        <v>1035</v>
      </c>
      <c r="N92" s="11"/>
      <c r="O92" s="11"/>
      <c r="P92" s="36">
        <v>958</v>
      </c>
    </row>
    <row r="93" spans="1:16" ht="22.2" x14ac:dyDescent="0.25">
      <c r="A93" s="11">
        <v>1112005</v>
      </c>
      <c r="B93" s="18" t="s">
        <v>101</v>
      </c>
      <c r="C93" s="25">
        <v>3</v>
      </c>
      <c r="D93" s="25">
        <v>0</v>
      </c>
      <c r="E93" s="25">
        <v>2</v>
      </c>
      <c r="F93" s="25">
        <v>74</v>
      </c>
      <c r="G93" s="25">
        <v>0</v>
      </c>
      <c r="H93" s="25">
        <v>0</v>
      </c>
      <c r="I93" s="25">
        <v>0</v>
      </c>
      <c r="J93" s="25">
        <v>0</v>
      </c>
      <c r="K93" s="28">
        <v>79</v>
      </c>
      <c r="L93" s="11"/>
      <c r="M93" s="11">
        <v>1170</v>
      </c>
      <c r="N93" s="11"/>
      <c r="O93" s="11"/>
      <c r="P93" s="36">
        <v>1091</v>
      </c>
    </row>
    <row r="94" spans="1:16" ht="22.2" x14ac:dyDescent="0.25">
      <c r="A94" s="11">
        <v>1112007</v>
      </c>
      <c r="B94" s="18" t="s">
        <v>102</v>
      </c>
      <c r="C94" s="25">
        <v>0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8">
        <v>0</v>
      </c>
      <c r="L94" s="11"/>
      <c r="M94" s="11"/>
      <c r="N94" s="11"/>
      <c r="O94" s="11"/>
      <c r="P94" s="36">
        <v>0</v>
      </c>
    </row>
    <row r="95" spans="1:16" ht="22.2" x14ac:dyDescent="0.25">
      <c r="A95" s="11">
        <v>1112019</v>
      </c>
      <c r="B95" s="18" t="s">
        <v>103</v>
      </c>
      <c r="C95" s="25">
        <v>0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8">
        <v>0</v>
      </c>
      <c r="L95" s="11"/>
      <c r="M95" s="11"/>
      <c r="N95" s="11"/>
      <c r="O95" s="11"/>
      <c r="P95" s="36">
        <v>0</v>
      </c>
    </row>
    <row r="96" spans="1:16" ht="22.2" x14ac:dyDescent="0.25">
      <c r="A96" s="11">
        <v>1112017</v>
      </c>
      <c r="B96" s="18" t="s">
        <v>104</v>
      </c>
      <c r="C96" s="25">
        <v>0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8">
        <v>0</v>
      </c>
      <c r="L96" s="11"/>
      <c r="M96" s="11"/>
      <c r="N96" s="11"/>
      <c r="O96" s="11"/>
      <c r="P96" s="36">
        <v>0</v>
      </c>
    </row>
    <row r="97" spans="1:16" ht="22.2" x14ac:dyDescent="0.25">
      <c r="A97" s="11">
        <v>1112015</v>
      </c>
      <c r="B97" s="18" t="s">
        <v>105</v>
      </c>
      <c r="C97" s="25">
        <v>2</v>
      </c>
      <c r="D97" s="25">
        <v>0</v>
      </c>
      <c r="E97" s="25">
        <v>2</v>
      </c>
      <c r="F97" s="25">
        <v>38</v>
      </c>
      <c r="G97" s="25">
        <v>0</v>
      </c>
      <c r="H97" s="25">
        <v>0</v>
      </c>
      <c r="I97" s="25">
        <v>0</v>
      </c>
      <c r="J97" s="25">
        <v>0</v>
      </c>
      <c r="K97" s="28">
        <v>42</v>
      </c>
      <c r="L97" s="11"/>
      <c r="M97" s="11">
        <v>294</v>
      </c>
      <c r="N97" s="11"/>
      <c r="O97" s="11"/>
      <c r="P97" s="36">
        <v>252</v>
      </c>
    </row>
    <row r="98" spans="1:16" ht="22.2" x14ac:dyDescent="0.25">
      <c r="A98" s="11">
        <v>1112013</v>
      </c>
      <c r="B98" s="18" t="s">
        <v>106</v>
      </c>
      <c r="C98" s="25">
        <v>8</v>
      </c>
      <c r="D98" s="25">
        <v>20</v>
      </c>
      <c r="E98" s="25">
        <v>7</v>
      </c>
      <c r="F98" s="25">
        <v>58</v>
      </c>
      <c r="G98" s="25">
        <v>0</v>
      </c>
      <c r="H98" s="25">
        <v>0</v>
      </c>
      <c r="I98" s="25">
        <v>0</v>
      </c>
      <c r="J98" s="25">
        <v>0</v>
      </c>
      <c r="K98" s="28">
        <v>93</v>
      </c>
      <c r="L98" s="11"/>
      <c r="M98" s="11">
        <v>795</v>
      </c>
      <c r="N98" s="11"/>
      <c r="O98" s="11"/>
      <c r="P98" s="36">
        <v>702</v>
      </c>
    </row>
    <row r="99" spans="1:16" ht="22.2" x14ac:dyDescent="0.25">
      <c r="A99" s="11">
        <v>1124043</v>
      </c>
      <c r="B99" s="18" t="s">
        <v>107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35"/>
      <c r="K99" s="28">
        <v>0</v>
      </c>
      <c r="L99" s="11"/>
      <c r="M99" s="11"/>
      <c r="N99" s="11"/>
      <c r="O99" s="11"/>
      <c r="P99" s="36">
        <v>0</v>
      </c>
    </row>
    <row r="100" spans="1:16" ht="22.2" x14ac:dyDescent="0.25">
      <c r="A100" s="17"/>
      <c r="B100" s="17" t="s">
        <v>4</v>
      </c>
      <c r="C100" s="17"/>
      <c r="D100" s="17"/>
      <c r="E100" s="17"/>
      <c r="F100" s="17"/>
      <c r="G100" s="17"/>
      <c r="H100" s="17"/>
      <c r="I100" s="19"/>
      <c r="J100" s="19"/>
      <c r="K100" s="28">
        <v>479</v>
      </c>
      <c r="L100" s="11"/>
      <c r="M100" s="11"/>
      <c r="N100" s="11"/>
      <c r="O100" s="11"/>
      <c r="P100" s="36"/>
    </row>
    <row r="101" spans="1:16" ht="20.399999999999999" x14ac:dyDescent="0.25">
      <c r="A101" s="58" t="s">
        <v>108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60"/>
    </row>
    <row r="102" spans="1:16" ht="22.2" x14ac:dyDescent="0.25">
      <c r="A102" s="11">
        <v>1112008</v>
      </c>
      <c r="B102" s="18" t="s">
        <v>98</v>
      </c>
      <c r="C102" s="25">
        <v>0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35"/>
      <c r="K102" s="28">
        <v>0</v>
      </c>
      <c r="L102" s="11"/>
      <c r="M102" s="11"/>
      <c r="N102" s="11"/>
      <c r="O102" s="11"/>
      <c r="P102" s="36">
        <v>0</v>
      </c>
    </row>
    <row r="103" spans="1:16" ht="22.2" x14ac:dyDescent="0.25">
      <c r="A103" s="11">
        <v>1112010</v>
      </c>
      <c r="B103" s="18" t="s">
        <v>99</v>
      </c>
      <c r="C103" s="25">
        <v>0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35"/>
      <c r="K103" s="28">
        <v>0</v>
      </c>
      <c r="L103" s="11"/>
      <c r="M103" s="11"/>
      <c r="N103" s="11"/>
      <c r="O103" s="11"/>
      <c r="P103" s="36">
        <v>0</v>
      </c>
    </row>
    <row r="104" spans="1:16" ht="22.2" x14ac:dyDescent="0.25">
      <c r="A104" s="11">
        <v>1112002</v>
      </c>
      <c r="B104" s="18" t="s">
        <v>100</v>
      </c>
      <c r="C104" s="25">
        <v>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35"/>
      <c r="K104" s="28">
        <v>0</v>
      </c>
      <c r="L104" s="11"/>
      <c r="M104" s="11"/>
      <c r="N104" s="11"/>
      <c r="O104" s="11"/>
      <c r="P104" s="36">
        <v>0</v>
      </c>
    </row>
    <row r="105" spans="1:16" ht="22.2" x14ac:dyDescent="0.25">
      <c r="A105" s="11">
        <v>1112004</v>
      </c>
      <c r="B105" s="18" t="s">
        <v>101</v>
      </c>
      <c r="C105" s="25">
        <v>0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35"/>
      <c r="K105" s="28">
        <v>0</v>
      </c>
      <c r="L105" s="11"/>
      <c r="M105" s="11"/>
      <c r="N105" s="11"/>
      <c r="O105" s="11"/>
      <c r="P105" s="36">
        <v>0</v>
      </c>
    </row>
    <row r="106" spans="1:16" ht="22.2" x14ac:dyDescent="0.25">
      <c r="A106" s="11">
        <v>1112006</v>
      </c>
      <c r="B106" s="18" t="s">
        <v>102</v>
      </c>
      <c r="C106" s="25">
        <v>0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35"/>
      <c r="K106" s="28">
        <v>0</v>
      </c>
      <c r="L106" s="11"/>
      <c r="M106" s="11"/>
      <c r="N106" s="11"/>
      <c r="O106" s="11"/>
      <c r="P106" s="36">
        <v>0</v>
      </c>
    </row>
    <row r="107" spans="1:16" ht="22.2" x14ac:dyDescent="0.25">
      <c r="A107" s="11">
        <v>1112018</v>
      </c>
      <c r="B107" s="18" t="s">
        <v>103</v>
      </c>
      <c r="C107" s="25">
        <v>0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35"/>
      <c r="K107" s="28">
        <v>0</v>
      </c>
      <c r="L107" s="11"/>
      <c r="M107" s="11"/>
      <c r="N107" s="11"/>
      <c r="O107" s="11"/>
      <c r="P107" s="36">
        <v>0</v>
      </c>
    </row>
    <row r="108" spans="1:16" ht="22.2" x14ac:dyDescent="0.25">
      <c r="A108" s="11">
        <v>1112016</v>
      </c>
      <c r="B108" s="18" t="s">
        <v>104</v>
      </c>
      <c r="C108" s="25">
        <v>0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35"/>
      <c r="K108" s="28">
        <v>0</v>
      </c>
      <c r="L108" s="11"/>
      <c r="M108" s="11"/>
      <c r="N108" s="11"/>
      <c r="O108" s="11"/>
      <c r="P108" s="36">
        <v>0</v>
      </c>
    </row>
    <row r="109" spans="1:16" ht="22.2" x14ac:dyDescent="0.25">
      <c r="A109" s="11">
        <v>1112014</v>
      </c>
      <c r="B109" s="18" t="s">
        <v>105</v>
      </c>
      <c r="C109" s="25">
        <v>0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35"/>
      <c r="K109" s="28">
        <v>0</v>
      </c>
      <c r="L109" s="11"/>
      <c r="M109" s="11"/>
      <c r="N109" s="11"/>
      <c r="O109" s="11"/>
      <c r="P109" s="36">
        <v>0</v>
      </c>
    </row>
    <row r="110" spans="1:16" ht="22.2" x14ac:dyDescent="0.25">
      <c r="A110" s="11">
        <v>1112012</v>
      </c>
      <c r="B110" s="18" t="s">
        <v>106</v>
      </c>
      <c r="C110" s="25">
        <v>0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35"/>
      <c r="K110" s="28">
        <v>0</v>
      </c>
      <c r="L110" s="11"/>
      <c r="M110" s="11"/>
      <c r="N110" s="11"/>
      <c r="O110" s="11"/>
      <c r="P110" s="36">
        <v>0</v>
      </c>
    </row>
    <row r="111" spans="1:16" ht="22.2" x14ac:dyDescent="0.25">
      <c r="A111" s="11"/>
      <c r="B111" s="18" t="s">
        <v>107</v>
      </c>
      <c r="C111" s="25">
        <v>0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35"/>
      <c r="K111" s="28">
        <v>0</v>
      </c>
      <c r="L111" s="11"/>
      <c r="M111" s="11"/>
      <c r="N111" s="11"/>
      <c r="O111" s="11"/>
      <c r="P111" s="36">
        <v>0</v>
      </c>
    </row>
    <row r="112" spans="1:16" ht="22.2" x14ac:dyDescent="0.25">
      <c r="A112" s="17"/>
      <c r="B112" s="17" t="s">
        <v>4</v>
      </c>
      <c r="C112" s="17"/>
      <c r="D112" s="17"/>
      <c r="E112" s="17"/>
      <c r="F112" s="17"/>
      <c r="G112" s="17"/>
      <c r="H112" s="17"/>
      <c r="I112" s="19"/>
      <c r="J112" s="19"/>
      <c r="K112" s="28">
        <v>0</v>
      </c>
      <c r="L112" s="11"/>
      <c r="M112" s="11"/>
      <c r="N112" s="11"/>
      <c r="O112" s="11"/>
      <c r="P112" s="36">
        <v>0</v>
      </c>
    </row>
    <row r="113" spans="1:16" ht="20.399999999999999" x14ac:dyDescent="0.25">
      <c r="A113" s="58" t="s">
        <v>109</v>
      </c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60"/>
    </row>
    <row r="114" spans="1:16" ht="22.2" x14ac:dyDescent="0.25">
      <c r="A114" s="11">
        <v>1113170</v>
      </c>
      <c r="B114" s="20" t="s">
        <v>110</v>
      </c>
      <c r="C114" s="25">
        <v>17</v>
      </c>
      <c r="D114" s="25">
        <v>0</v>
      </c>
      <c r="E114" s="25">
        <v>0</v>
      </c>
      <c r="F114" s="25">
        <v>4</v>
      </c>
      <c r="G114" s="25">
        <v>0</v>
      </c>
      <c r="H114" s="25">
        <v>0</v>
      </c>
      <c r="I114" s="25">
        <v>0</v>
      </c>
      <c r="J114" s="25">
        <v>0</v>
      </c>
      <c r="K114" s="28">
        <v>21</v>
      </c>
      <c r="L114" s="11"/>
      <c r="M114" s="11">
        <v>185</v>
      </c>
      <c r="N114" s="11"/>
      <c r="O114" s="11"/>
      <c r="P114" s="36">
        <v>164</v>
      </c>
    </row>
    <row r="115" spans="1:16" ht="22.2" x14ac:dyDescent="0.25">
      <c r="A115" s="11">
        <v>1113171</v>
      </c>
      <c r="B115" s="20" t="s">
        <v>111</v>
      </c>
      <c r="C115" s="25">
        <v>4</v>
      </c>
      <c r="D115" s="25">
        <v>0</v>
      </c>
      <c r="E115" s="25">
        <v>0</v>
      </c>
      <c r="F115" s="25">
        <v>3</v>
      </c>
      <c r="G115" s="25">
        <v>0</v>
      </c>
      <c r="H115" s="25">
        <v>0</v>
      </c>
      <c r="I115" s="25">
        <v>0</v>
      </c>
      <c r="J115" s="25">
        <v>0</v>
      </c>
      <c r="K115" s="28">
        <v>7</v>
      </c>
      <c r="L115" s="11"/>
      <c r="M115" s="11">
        <v>205</v>
      </c>
      <c r="N115" s="11"/>
      <c r="O115" s="11"/>
      <c r="P115" s="36">
        <v>198</v>
      </c>
    </row>
    <row r="116" spans="1:16" ht="22.2" x14ac:dyDescent="0.25">
      <c r="A116" s="11">
        <v>1113172</v>
      </c>
      <c r="B116" s="20" t="s">
        <v>112</v>
      </c>
      <c r="C116" s="25">
        <v>12</v>
      </c>
      <c r="D116" s="25">
        <v>0</v>
      </c>
      <c r="E116" s="25">
        <v>0</v>
      </c>
      <c r="F116" s="25">
        <v>4</v>
      </c>
      <c r="G116" s="25">
        <v>0</v>
      </c>
      <c r="H116" s="25">
        <v>0</v>
      </c>
      <c r="I116" s="25">
        <v>0</v>
      </c>
      <c r="J116" s="25">
        <v>0</v>
      </c>
      <c r="K116" s="28">
        <v>16</v>
      </c>
      <c r="L116" s="11"/>
      <c r="M116" s="11">
        <v>162</v>
      </c>
      <c r="N116" s="11"/>
      <c r="O116" s="11"/>
      <c r="P116" s="36">
        <v>146</v>
      </c>
    </row>
    <row r="117" spans="1:16" ht="22.2" x14ac:dyDescent="0.25">
      <c r="A117" s="11">
        <v>1113173</v>
      </c>
      <c r="B117" s="20" t="s">
        <v>113</v>
      </c>
      <c r="C117" s="25">
        <v>0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8">
        <v>0</v>
      </c>
      <c r="L117" s="11"/>
      <c r="M117" s="11"/>
      <c r="N117" s="11"/>
      <c r="O117" s="11"/>
      <c r="P117" s="36">
        <v>0</v>
      </c>
    </row>
    <row r="118" spans="1:16" ht="22.2" x14ac:dyDescent="0.25">
      <c r="A118" s="11">
        <v>1100003</v>
      </c>
      <c r="B118" s="20" t="s">
        <v>114</v>
      </c>
      <c r="C118" s="25">
        <v>0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8">
        <v>0</v>
      </c>
      <c r="L118" s="11"/>
      <c r="M118" s="11">
        <v>49</v>
      </c>
      <c r="N118" s="11"/>
      <c r="O118" s="11"/>
      <c r="P118" s="36">
        <v>49</v>
      </c>
    </row>
    <row r="119" spans="1:16" ht="22.2" x14ac:dyDescent="0.25">
      <c r="A119" s="11">
        <v>1100001</v>
      </c>
      <c r="B119" s="20" t="s">
        <v>115</v>
      </c>
      <c r="C119" s="25">
        <v>0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8">
        <v>0</v>
      </c>
      <c r="L119" s="11"/>
      <c r="M119" s="11">
        <v>372</v>
      </c>
      <c r="N119" s="11"/>
      <c r="O119" s="11"/>
      <c r="P119" s="36">
        <v>372</v>
      </c>
    </row>
    <row r="120" spans="1:16" ht="22.2" x14ac:dyDescent="0.25">
      <c r="A120" s="11">
        <v>1100002</v>
      </c>
      <c r="B120" s="20" t="s">
        <v>116</v>
      </c>
      <c r="C120" s="25">
        <v>0</v>
      </c>
      <c r="D120" s="25">
        <v>2</v>
      </c>
      <c r="E120" s="25">
        <v>0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8">
        <v>2</v>
      </c>
      <c r="L120" s="11"/>
      <c r="M120" s="11">
        <v>130</v>
      </c>
      <c r="N120" s="11"/>
      <c r="O120" s="11"/>
      <c r="P120" s="36">
        <v>128</v>
      </c>
    </row>
    <row r="121" spans="1:16" ht="22.2" x14ac:dyDescent="0.25">
      <c r="A121" s="11">
        <v>1200001</v>
      </c>
      <c r="B121" s="20" t="s">
        <v>117</v>
      </c>
      <c r="C121" s="25">
        <v>0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8">
        <v>0</v>
      </c>
      <c r="L121" s="11"/>
      <c r="M121" s="11">
        <v>2</v>
      </c>
      <c r="N121" s="11"/>
      <c r="O121" s="11"/>
      <c r="P121" s="36">
        <v>2</v>
      </c>
    </row>
    <row r="122" spans="1:16" ht="22.2" x14ac:dyDescent="0.25">
      <c r="A122" s="11">
        <v>1005761</v>
      </c>
      <c r="B122" s="20" t="s">
        <v>118</v>
      </c>
      <c r="C122" s="25">
        <v>0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8">
        <v>0</v>
      </c>
      <c r="L122" s="11"/>
      <c r="M122" s="11"/>
      <c r="N122" s="11"/>
      <c r="O122" s="11"/>
      <c r="P122" s="36">
        <v>0</v>
      </c>
    </row>
    <row r="123" spans="1:16" ht="22.2" x14ac:dyDescent="0.25">
      <c r="A123" s="11">
        <v>1114501</v>
      </c>
      <c r="B123" s="20" t="s">
        <v>119</v>
      </c>
      <c r="C123" s="25">
        <v>3</v>
      </c>
      <c r="D123" s="25">
        <v>9</v>
      </c>
      <c r="E123" s="25">
        <v>5</v>
      </c>
      <c r="F123" s="25">
        <v>136</v>
      </c>
      <c r="G123" s="25">
        <v>0</v>
      </c>
      <c r="H123" s="25">
        <v>0</v>
      </c>
      <c r="I123" s="25">
        <v>0</v>
      </c>
      <c r="J123" s="25">
        <v>0</v>
      </c>
      <c r="K123" s="28">
        <v>153</v>
      </c>
      <c r="L123" s="11"/>
      <c r="M123" s="11">
        <v>661</v>
      </c>
      <c r="N123" s="11"/>
      <c r="O123" s="11"/>
      <c r="P123" s="36">
        <v>508</v>
      </c>
    </row>
    <row r="124" spans="1:16" ht="22.2" x14ac:dyDescent="0.25">
      <c r="A124" s="11">
        <v>1114502</v>
      </c>
      <c r="B124" s="20" t="s">
        <v>120</v>
      </c>
      <c r="C124" s="25">
        <v>2</v>
      </c>
      <c r="D124" s="25">
        <v>7</v>
      </c>
      <c r="E124" s="25">
        <v>5</v>
      </c>
      <c r="F124" s="25">
        <v>124</v>
      </c>
      <c r="G124" s="25">
        <v>0</v>
      </c>
      <c r="H124" s="25">
        <v>0</v>
      </c>
      <c r="I124" s="25">
        <v>0</v>
      </c>
      <c r="J124" s="25">
        <v>0</v>
      </c>
      <c r="K124" s="28">
        <v>138</v>
      </c>
      <c r="L124" s="11"/>
      <c r="M124" s="11">
        <v>465</v>
      </c>
      <c r="N124" s="11"/>
      <c r="O124" s="11"/>
      <c r="P124" s="36">
        <v>327</v>
      </c>
    </row>
    <row r="125" spans="1:16" ht="22.2" x14ac:dyDescent="0.25">
      <c r="A125" s="11">
        <v>1114503</v>
      </c>
      <c r="B125" s="20" t="s">
        <v>121</v>
      </c>
      <c r="C125" s="25">
        <v>1</v>
      </c>
      <c r="D125" s="25">
        <v>6</v>
      </c>
      <c r="E125" s="25">
        <v>2</v>
      </c>
      <c r="F125" s="25">
        <v>105</v>
      </c>
      <c r="G125" s="25">
        <v>0</v>
      </c>
      <c r="H125" s="25">
        <v>0</v>
      </c>
      <c r="I125" s="25">
        <v>0</v>
      </c>
      <c r="J125" s="25">
        <v>0</v>
      </c>
      <c r="K125" s="28">
        <v>114</v>
      </c>
      <c r="L125" s="11"/>
      <c r="M125" s="11">
        <v>489</v>
      </c>
      <c r="N125" s="11"/>
      <c r="O125" s="11"/>
      <c r="P125" s="36">
        <v>375</v>
      </c>
    </row>
    <row r="126" spans="1:16" ht="22.2" x14ac:dyDescent="0.25">
      <c r="A126" s="11">
        <v>1124021</v>
      </c>
      <c r="B126" s="20" t="s">
        <v>122</v>
      </c>
      <c r="C126" s="25">
        <v>24</v>
      </c>
      <c r="D126" s="25">
        <v>36</v>
      </c>
      <c r="E126" s="25">
        <v>63</v>
      </c>
      <c r="F126" s="25">
        <v>72</v>
      </c>
      <c r="G126" s="25">
        <v>0</v>
      </c>
      <c r="H126" s="25">
        <v>0</v>
      </c>
      <c r="I126" s="25">
        <v>0</v>
      </c>
      <c r="J126" s="25">
        <v>0</v>
      </c>
      <c r="K126" s="28">
        <v>195</v>
      </c>
      <c r="L126" s="11"/>
      <c r="M126" s="11">
        <v>564</v>
      </c>
      <c r="N126" s="11"/>
      <c r="O126" s="11"/>
      <c r="P126" s="36">
        <v>369</v>
      </c>
    </row>
    <row r="127" spans="1:16" ht="22.2" x14ac:dyDescent="0.25">
      <c r="A127" s="11">
        <v>1113084</v>
      </c>
      <c r="B127" s="20" t="s">
        <v>123</v>
      </c>
      <c r="C127" s="25">
        <v>0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8">
        <v>0</v>
      </c>
      <c r="L127" s="11"/>
      <c r="M127" s="11"/>
      <c r="N127" s="11"/>
      <c r="O127" s="11"/>
      <c r="P127" s="36">
        <v>0</v>
      </c>
    </row>
    <row r="128" spans="1:16" ht="22.2" x14ac:dyDescent="0.25">
      <c r="A128" s="11">
        <v>900003</v>
      </c>
      <c r="B128" s="20" t="s">
        <v>124</v>
      </c>
      <c r="C128" s="25">
        <v>0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8">
        <v>0</v>
      </c>
      <c r="L128" s="11"/>
      <c r="M128" s="11"/>
      <c r="N128" s="11"/>
      <c r="O128" s="11"/>
      <c r="P128" s="36">
        <v>0</v>
      </c>
    </row>
    <row r="129" spans="1:16" ht="22.2" x14ac:dyDescent="0.25">
      <c r="A129" s="11">
        <v>900004</v>
      </c>
      <c r="B129" s="20" t="s">
        <v>125</v>
      </c>
      <c r="C129" s="25">
        <v>0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8">
        <v>0</v>
      </c>
      <c r="L129" s="11"/>
      <c r="M129" s="11"/>
      <c r="N129" s="11"/>
      <c r="O129" s="11"/>
      <c r="P129" s="36">
        <v>0</v>
      </c>
    </row>
    <row r="130" spans="1:16" ht="22.2" x14ac:dyDescent="0.25">
      <c r="A130" s="11">
        <v>1200002</v>
      </c>
      <c r="B130" s="20" t="s">
        <v>126</v>
      </c>
      <c r="C130" s="25">
        <v>0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8">
        <v>0</v>
      </c>
      <c r="L130" s="11"/>
      <c r="M130" s="11">
        <v>12</v>
      </c>
      <c r="N130" s="11"/>
      <c r="O130" s="11"/>
      <c r="P130" s="36">
        <v>12</v>
      </c>
    </row>
    <row r="131" spans="1:16" ht="22.2" x14ac:dyDescent="0.25">
      <c r="A131" s="11">
        <v>1200003</v>
      </c>
      <c r="B131" s="20" t="s">
        <v>127</v>
      </c>
      <c r="C131" s="25">
        <v>0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8">
        <v>0</v>
      </c>
      <c r="L131" s="11"/>
      <c r="M131" s="11"/>
      <c r="N131" s="11"/>
      <c r="O131" s="11"/>
      <c r="P131" s="36">
        <v>0</v>
      </c>
    </row>
    <row r="132" spans="1:16" ht="22.2" x14ac:dyDescent="0.25">
      <c r="A132" s="11">
        <v>1200004</v>
      </c>
      <c r="B132" s="20" t="s">
        <v>128</v>
      </c>
      <c r="C132" s="25">
        <v>0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8">
        <v>0</v>
      </c>
      <c r="L132" s="11"/>
      <c r="M132" s="11"/>
      <c r="N132" s="11"/>
      <c r="O132" s="11"/>
      <c r="P132" s="36">
        <v>0</v>
      </c>
    </row>
    <row r="133" spans="1:16" ht="22.2" x14ac:dyDescent="0.25">
      <c r="A133" s="11">
        <v>1200093</v>
      </c>
      <c r="B133" s="20" t="s">
        <v>129</v>
      </c>
      <c r="C133" s="25">
        <v>0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8">
        <v>0</v>
      </c>
      <c r="L133" s="11"/>
      <c r="M133" s="11"/>
      <c r="N133" s="11"/>
      <c r="O133" s="11"/>
      <c r="P133" s="36">
        <v>0</v>
      </c>
    </row>
    <row r="134" spans="1:16" ht="22.2" x14ac:dyDescent="0.25">
      <c r="A134" s="11">
        <v>1200092</v>
      </c>
      <c r="B134" s="18" t="s">
        <v>130</v>
      </c>
      <c r="C134" s="25">
        <v>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8">
        <v>0</v>
      </c>
      <c r="L134" s="11"/>
      <c r="M134" s="11"/>
      <c r="N134" s="11"/>
      <c r="O134" s="11"/>
      <c r="P134" s="36">
        <v>0</v>
      </c>
    </row>
    <row r="135" spans="1:16" ht="22.2" x14ac:dyDescent="0.25">
      <c r="A135" s="21"/>
      <c r="B135" s="20" t="s">
        <v>131</v>
      </c>
      <c r="C135" s="25">
        <v>0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8">
        <v>0</v>
      </c>
      <c r="L135" s="11"/>
      <c r="M135" s="11"/>
      <c r="N135" s="11"/>
      <c r="O135" s="11"/>
      <c r="P135" s="36">
        <v>0</v>
      </c>
    </row>
    <row r="136" spans="1:16" ht="22.2" x14ac:dyDescent="0.25">
      <c r="A136" s="21"/>
      <c r="B136" s="20" t="s">
        <v>132</v>
      </c>
      <c r="C136" s="25">
        <v>0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8">
        <v>0</v>
      </c>
      <c r="L136" s="11"/>
      <c r="M136" s="11"/>
      <c r="N136" s="11"/>
      <c r="O136" s="11"/>
      <c r="P136" s="36">
        <v>0</v>
      </c>
    </row>
    <row r="137" spans="1:16" ht="22.2" x14ac:dyDescent="0.25">
      <c r="A137" s="41"/>
      <c r="B137" s="40" t="s">
        <v>133</v>
      </c>
      <c r="C137" s="25">
        <v>0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8">
        <v>0</v>
      </c>
      <c r="L137" s="11"/>
      <c r="M137" s="11"/>
      <c r="N137" s="11"/>
      <c r="O137" s="11"/>
      <c r="P137" s="36">
        <v>0</v>
      </c>
    </row>
    <row r="138" spans="1:16" ht="22.2" x14ac:dyDescent="0.25">
      <c r="A138" s="41"/>
      <c r="B138" s="40" t="s">
        <v>134</v>
      </c>
      <c r="C138" s="25">
        <v>0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8">
        <v>0</v>
      </c>
      <c r="L138" s="11"/>
      <c r="M138" s="11"/>
      <c r="N138" s="11"/>
      <c r="O138" s="11"/>
      <c r="P138" s="36">
        <v>0</v>
      </c>
    </row>
    <row r="139" spans="1:16" ht="22.2" x14ac:dyDescent="0.25">
      <c r="A139" s="41"/>
      <c r="B139" s="40" t="s">
        <v>135</v>
      </c>
      <c r="C139" s="25">
        <v>0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8">
        <v>0</v>
      </c>
      <c r="L139" s="11"/>
      <c r="M139" s="11"/>
      <c r="N139" s="11"/>
      <c r="O139" s="11"/>
      <c r="P139" s="36">
        <v>0</v>
      </c>
    </row>
    <row r="140" spans="1:16" ht="22.2" x14ac:dyDescent="0.25">
      <c r="B140" s="27"/>
      <c r="C140" s="28">
        <v>273</v>
      </c>
      <c r="D140" s="28">
        <v>242</v>
      </c>
      <c r="E140" s="28">
        <v>135</v>
      </c>
      <c r="F140" s="28">
        <v>1135</v>
      </c>
      <c r="G140" s="28">
        <v>0</v>
      </c>
      <c r="H140" s="28">
        <v>0</v>
      </c>
      <c r="I140" s="28">
        <v>0</v>
      </c>
      <c r="J140" s="28">
        <v>0</v>
      </c>
      <c r="K140" s="28">
        <v>1785</v>
      </c>
      <c r="L140" s="25">
        <v>0</v>
      </c>
      <c r="M140" s="25">
        <v>13189</v>
      </c>
      <c r="N140" s="25"/>
      <c r="O140" s="25"/>
      <c r="P140" s="36">
        <v>11404</v>
      </c>
    </row>
    <row r="141" spans="1:16" ht="22.2" x14ac:dyDescent="0.25">
      <c r="A141" s="29"/>
      <c r="B141" s="27"/>
      <c r="C141" s="30"/>
      <c r="D141" s="30"/>
      <c r="E141" s="30"/>
      <c r="F141" s="30"/>
      <c r="G141" s="30"/>
      <c r="H141" s="30"/>
      <c r="I141" s="30"/>
      <c r="J141" s="30"/>
      <c r="K141" s="31"/>
    </row>
    <row r="142" spans="1:16" ht="22.2" x14ac:dyDescent="0.25">
      <c r="A142" s="29"/>
      <c r="B142" s="27"/>
      <c r="C142" s="30"/>
      <c r="D142" s="30"/>
      <c r="E142" s="30"/>
      <c r="F142" s="30"/>
      <c r="G142" s="30"/>
      <c r="H142" s="30"/>
      <c r="I142" s="30"/>
      <c r="J142" s="30"/>
      <c r="K142" s="31"/>
    </row>
    <row r="143" spans="1:16" ht="22.2" x14ac:dyDescent="0.25">
      <c r="B143" s="22"/>
      <c r="C143" s="26"/>
      <c r="D143" s="61"/>
      <c r="E143" s="61"/>
      <c r="F143" s="23"/>
      <c r="K143" s="32"/>
    </row>
  </sheetData>
  <mergeCells count="15">
    <mergeCell ref="A1:K1"/>
    <mergeCell ref="A2:B3"/>
    <mergeCell ref="D2:E3"/>
    <mergeCell ref="L2:L4"/>
    <mergeCell ref="P2:P4"/>
    <mergeCell ref="A101:P101"/>
    <mergeCell ref="A113:P113"/>
    <mergeCell ref="D143:E143"/>
    <mergeCell ref="A89:P89"/>
    <mergeCell ref="M2:M4"/>
    <mergeCell ref="N2:N4"/>
    <mergeCell ref="O2:O4"/>
    <mergeCell ref="A6:P6"/>
    <mergeCell ref="A68:P68"/>
    <mergeCell ref="A78:P7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A19B-8CFA-46C7-B309-CC477070D71C}">
  <dimension ref="B1:Q143"/>
  <sheetViews>
    <sheetView workbookViewId="0">
      <selection activeCell="R15" sqref="R15"/>
    </sheetView>
  </sheetViews>
  <sheetFormatPr defaultRowHeight="13.8" x14ac:dyDescent="0.25"/>
  <sheetData>
    <row r="1" spans="2:17" ht="22.2" x14ac:dyDescent="0.25">
      <c r="B1" s="50" t="s">
        <v>148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7</v>
      </c>
      <c r="E7" s="25">
        <v>41</v>
      </c>
      <c r="F7" s="25">
        <v>20</v>
      </c>
      <c r="G7" s="25">
        <v>42</v>
      </c>
      <c r="H7" s="25">
        <v>16</v>
      </c>
      <c r="I7" s="25">
        <v>0</v>
      </c>
      <c r="J7" s="25">
        <v>0</v>
      </c>
      <c r="K7" s="25">
        <v>0</v>
      </c>
      <c r="L7" s="28">
        <v>126</v>
      </c>
      <c r="M7" s="11"/>
      <c r="N7" s="11">
        <v>1460</v>
      </c>
      <c r="O7" s="11"/>
      <c r="P7" s="11"/>
      <c r="Q7" s="36">
        <v>1334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7</v>
      </c>
      <c r="E25" s="25">
        <v>21</v>
      </c>
      <c r="F25" s="25">
        <v>4</v>
      </c>
      <c r="G25" s="25">
        <v>3</v>
      </c>
      <c r="H25" s="25">
        <v>1</v>
      </c>
      <c r="I25" s="25">
        <v>0</v>
      </c>
      <c r="J25" s="25">
        <v>0</v>
      </c>
      <c r="K25" s="25">
        <v>0</v>
      </c>
      <c r="L25" s="28">
        <v>36</v>
      </c>
      <c r="M25" s="11"/>
      <c r="N25" s="11">
        <v>67</v>
      </c>
      <c r="O25" s="11"/>
      <c r="P25" s="11"/>
      <c r="Q25" s="36">
        <v>31</v>
      </c>
    </row>
    <row r="26" spans="2:17" ht="22.2" x14ac:dyDescent="0.25">
      <c r="B26" s="11">
        <v>1004055</v>
      </c>
      <c r="C26" s="15" t="s">
        <v>37</v>
      </c>
      <c r="D26" s="25">
        <v>15</v>
      </c>
      <c r="E26" s="25">
        <v>31</v>
      </c>
      <c r="F26" s="25">
        <v>6</v>
      </c>
      <c r="G26" s="25">
        <v>109</v>
      </c>
      <c r="H26" s="25">
        <v>48</v>
      </c>
      <c r="I26" s="25">
        <v>0</v>
      </c>
      <c r="J26" s="25">
        <v>0</v>
      </c>
      <c r="K26" s="25">
        <v>0</v>
      </c>
      <c r="L26" s="28">
        <v>209</v>
      </c>
      <c r="M26" s="11"/>
      <c r="N26" s="11">
        <v>117</v>
      </c>
      <c r="O26" s="11"/>
      <c r="P26" s="11"/>
      <c r="Q26" s="36">
        <v>-92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0</v>
      </c>
      <c r="E40" s="25">
        <v>0</v>
      </c>
      <c r="F40" s="25">
        <v>0</v>
      </c>
      <c r="G40" s="25">
        <v>1</v>
      </c>
      <c r="H40" s="25">
        <v>6</v>
      </c>
      <c r="I40" s="25">
        <v>0</v>
      </c>
      <c r="J40" s="25">
        <v>0</v>
      </c>
      <c r="K40" s="25">
        <v>0</v>
      </c>
      <c r="L40" s="28">
        <v>7</v>
      </c>
      <c r="M40" s="11"/>
      <c r="N40" s="11">
        <v>229</v>
      </c>
      <c r="O40" s="11"/>
      <c r="P40" s="11"/>
      <c r="Q40" s="36">
        <v>222</v>
      </c>
    </row>
    <row r="41" spans="2:17" ht="22.2" x14ac:dyDescent="0.25">
      <c r="B41" s="11">
        <v>1111058</v>
      </c>
      <c r="C41" s="15" t="s">
        <v>52</v>
      </c>
      <c r="D41" s="25">
        <v>0</v>
      </c>
      <c r="E41" s="25">
        <v>0</v>
      </c>
      <c r="F41" s="25">
        <v>0</v>
      </c>
      <c r="G41" s="25">
        <v>1</v>
      </c>
      <c r="H41" s="25">
        <v>6</v>
      </c>
      <c r="I41" s="25">
        <v>0</v>
      </c>
      <c r="J41" s="25">
        <v>0</v>
      </c>
      <c r="K41" s="25">
        <v>0</v>
      </c>
      <c r="L41" s="28">
        <v>7</v>
      </c>
      <c r="M41" s="11"/>
      <c r="N41" s="11"/>
      <c r="O41" s="11"/>
      <c r="P41" s="11"/>
      <c r="Q41" s="36">
        <v>-7</v>
      </c>
    </row>
    <row r="42" spans="2:17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25">
        <v>0</v>
      </c>
      <c r="G42" s="25">
        <v>1</v>
      </c>
      <c r="H42" s="25">
        <v>15</v>
      </c>
      <c r="I42" s="25">
        <v>0</v>
      </c>
      <c r="J42" s="25">
        <v>0</v>
      </c>
      <c r="K42" s="25">
        <v>0</v>
      </c>
      <c r="L42" s="28">
        <v>16</v>
      </c>
      <c r="M42" s="11"/>
      <c r="N42" s="11"/>
      <c r="O42" s="11"/>
      <c r="P42" s="11"/>
      <c r="Q42" s="36">
        <v>-16</v>
      </c>
    </row>
    <row r="43" spans="2:17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1</v>
      </c>
      <c r="H43" s="25">
        <v>1</v>
      </c>
      <c r="I43" s="25">
        <v>0</v>
      </c>
      <c r="J43" s="25">
        <v>0</v>
      </c>
      <c r="K43" s="25">
        <v>0</v>
      </c>
      <c r="L43" s="28">
        <v>2</v>
      </c>
      <c r="M43" s="11"/>
      <c r="N43" s="11"/>
      <c r="O43" s="11"/>
      <c r="P43" s="11"/>
      <c r="Q43" s="36">
        <v>-2</v>
      </c>
    </row>
    <row r="44" spans="2:17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25">
        <v>0</v>
      </c>
      <c r="G44" s="25">
        <v>1</v>
      </c>
      <c r="H44" s="25">
        <v>4</v>
      </c>
      <c r="I44" s="25">
        <v>0</v>
      </c>
      <c r="J44" s="25">
        <v>0</v>
      </c>
      <c r="K44" s="25">
        <v>0</v>
      </c>
      <c r="L44" s="28">
        <v>5</v>
      </c>
      <c r="M44" s="11"/>
      <c r="N44" s="11">
        <v>40</v>
      </c>
      <c r="O44" s="11"/>
      <c r="P44" s="11"/>
      <c r="Q44" s="36">
        <v>35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11"/>
      <c r="P45" s="11"/>
      <c r="Q45" s="36">
        <v>0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25">
        <v>0</v>
      </c>
      <c r="G46" s="25">
        <v>0</v>
      </c>
      <c r="H46" s="25">
        <v>5</v>
      </c>
      <c r="I46" s="25">
        <v>0</v>
      </c>
      <c r="J46" s="25">
        <v>0</v>
      </c>
      <c r="K46" s="25">
        <v>0</v>
      </c>
      <c r="L46" s="28">
        <v>5</v>
      </c>
      <c r="M46" s="11"/>
      <c r="N46" s="11">
        <v>153</v>
      </c>
      <c r="O46" s="11"/>
      <c r="P46" s="11"/>
      <c r="Q46" s="36">
        <v>148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25">
        <v>0</v>
      </c>
      <c r="G47" s="25">
        <v>0</v>
      </c>
      <c r="H47" s="25">
        <v>4</v>
      </c>
      <c r="I47" s="25">
        <v>0</v>
      </c>
      <c r="J47" s="25">
        <v>0</v>
      </c>
      <c r="K47" s="25">
        <v>0</v>
      </c>
      <c r="L47" s="28">
        <v>4</v>
      </c>
      <c r="M47" s="11"/>
      <c r="N47" s="11"/>
      <c r="O47" s="11"/>
      <c r="P47" s="11"/>
      <c r="Q47" s="36">
        <v>-4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1</v>
      </c>
      <c r="I48" s="25">
        <v>0</v>
      </c>
      <c r="J48" s="25">
        <v>0</v>
      </c>
      <c r="K48" s="25">
        <v>0</v>
      </c>
      <c r="L48" s="28">
        <v>1</v>
      </c>
      <c r="M48" s="11"/>
      <c r="N48" s="11"/>
      <c r="O48" s="11"/>
      <c r="P48" s="11"/>
      <c r="Q48" s="36">
        <v>-1</v>
      </c>
    </row>
    <row r="49" spans="2:17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25">
        <v>0</v>
      </c>
      <c r="G49" s="25">
        <v>0</v>
      </c>
      <c r="H49" s="25">
        <v>5</v>
      </c>
      <c r="I49" s="25">
        <v>0</v>
      </c>
      <c r="J49" s="25">
        <v>0</v>
      </c>
      <c r="K49" s="25">
        <v>0</v>
      </c>
      <c r="L49" s="28">
        <v>5</v>
      </c>
      <c r="M49" s="11"/>
      <c r="N49" s="11">
        <v>228</v>
      </c>
      <c r="O49" s="11"/>
      <c r="P49" s="11"/>
      <c r="Q49" s="36">
        <v>223</v>
      </c>
    </row>
    <row r="50" spans="2:17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25">
        <v>0</v>
      </c>
      <c r="G50" s="25">
        <v>0</v>
      </c>
      <c r="H50" s="25">
        <v>15</v>
      </c>
      <c r="I50" s="25">
        <v>0</v>
      </c>
      <c r="J50" s="25">
        <v>0</v>
      </c>
      <c r="K50" s="25">
        <v>0</v>
      </c>
      <c r="L50" s="28">
        <v>15</v>
      </c>
      <c r="M50" s="11"/>
      <c r="N50" s="11"/>
      <c r="O50" s="11"/>
      <c r="P50" s="11"/>
      <c r="Q50" s="36">
        <v>-15</v>
      </c>
    </row>
    <row r="51" spans="2:17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25">
        <v>0</v>
      </c>
      <c r="G51" s="25">
        <v>0</v>
      </c>
      <c r="H51" s="25">
        <v>5</v>
      </c>
      <c r="I51" s="25">
        <v>0</v>
      </c>
      <c r="J51" s="25">
        <v>0</v>
      </c>
      <c r="K51" s="25">
        <v>0</v>
      </c>
      <c r="L51" s="28">
        <v>5</v>
      </c>
      <c r="M51" s="11"/>
      <c r="N51" s="11">
        <v>82</v>
      </c>
      <c r="O51" s="11"/>
      <c r="P51" s="11"/>
      <c r="Q51" s="36">
        <v>77</v>
      </c>
    </row>
    <row r="52" spans="2:17" ht="22.2" x14ac:dyDescent="0.25">
      <c r="B52" s="11">
        <v>1111069</v>
      </c>
      <c r="C52" s="15" t="s">
        <v>63</v>
      </c>
      <c r="D52" s="25">
        <v>0</v>
      </c>
      <c r="E52" s="25">
        <v>0</v>
      </c>
      <c r="F52" s="25">
        <v>0</v>
      </c>
      <c r="G52" s="25">
        <v>0</v>
      </c>
      <c r="H52" s="25">
        <v>5</v>
      </c>
      <c r="I52" s="25">
        <v>0</v>
      </c>
      <c r="J52" s="25">
        <v>0</v>
      </c>
      <c r="K52" s="25">
        <v>0</v>
      </c>
      <c r="L52" s="28">
        <v>5</v>
      </c>
      <c r="M52" s="11"/>
      <c r="N52" s="11">
        <v>75</v>
      </c>
      <c r="O52" s="11"/>
      <c r="P52" s="11"/>
      <c r="Q52" s="36">
        <v>70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0</v>
      </c>
      <c r="E56" s="25">
        <v>0</v>
      </c>
      <c r="F56" s="25">
        <v>8</v>
      </c>
      <c r="G56" s="25">
        <v>0</v>
      </c>
      <c r="H56" s="25">
        <v>2</v>
      </c>
      <c r="I56" s="25">
        <v>0</v>
      </c>
      <c r="J56" s="25">
        <v>0</v>
      </c>
      <c r="K56" s="25">
        <v>0</v>
      </c>
      <c r="L56" s="28">
        <v>10</v>
      </c>
      <c r="M56" s="11"/>
      <c r="N56" s="11">
        <v>62</v>
      </c>
      <c r="O56" s="11"/>
      <c r="P56" s="11"/>
      <c r="Q56" s="36">
        <v>52</v>
      </c>
    </row>
    <row r="57" spans="2:17" ht="22.2" x14ac:dyDescent="0.25">
      <c r="B57" s="11">
        <v>1111075</v>
      </c>
      <c r="C57" s="15" t="s">
        <v>68</v>
      </c>
      <c r="D57" s="25">
        <v>0</v>
      </c>
      <c r="E57" s="25">
        <v>0</v>
      </c>
      <c r="F57" s="25">
        <v>8</v>
      </c>
      <c r="G57" s="25">
        <v>0</v>
      </c>
      <c r="H57" s="25">
        <v>2</v>
      </c>
      <c r="I57" s="25">
        <v>0</v>
      </c>
      <c r="J57" s="25">
        <v>0</v>
      </c>
      <c r="K57" s="25">
        <v>0</v>
      </c>
      <c r="L57" s="28">
        <v>10</v>
      </c>
      <c r="M57" s="11"/>
      <c r="N57" s="11">
        <v>36</v>
      </c>
      <c r="O57" s="11"/>
      <c r="P57" s="11"/>
      <c r="Q57" s="36">
        <v>26</v>
      </c>
    </row>
    <row r="58" spans="2:17" ht="22.2" x14ac:dyDescent="0.25">
      <c r="B58" s="11">
        <v>1111076</v>
      </c>
      <c r="C58" s="15" t="s">
        <v>69</v>
      </c>
      <c r="D58" s="25">
        <v>0</v>
      </c>
      <c r="E58" s="25">
        <v>0</v>
      </c>
      <c r="F58" s="25">
        <v>8</v>
      </c>
      <c r="G58" s="25">
        <v>0</v>
      </c>
      <c r="H58" s="25">
        <v>2</v>
      </c>
      <c r="I58" s="25">
        <v>0</v>
      </c>
      <c r="J58" s="25">
        <v>0</v>
      </c>
      <c r="K58" s="25">
        <v>0</v>
      </c>
      <c r="L58" s="28">
        <v>10</v>
      </c>
      <c r="M58" s="11"/>
      <c r="N58" s="11">
        <v>41</v>
      </c>
      <c r="O58" s="11"/>
      <c r="P58" s="11"/>
      <c r="Q58" s="36">
        <v>31</v>
      </c>
    </row>
    <row r="59" spans="2:17" ht="22.2" x14ac:dyDescent="0.25">
      <c r="B59" s="11">
        <v>1111077</v>
      </c>
      <c r="C59" s="15" t="s">
        <v>70</v>
      </c>
      <c r="D59" s="25">
        <v>0</v>
      </c>
      <c r="E59" s="25">
        <v>0</v>
      </c>
      <c r="F59" s="25">
        <v>8</v>
      </c>
      <c r="G59" s="25">
        <v>0</v>
      </c>
      <c r="H59" s="25">
        <v>2</v>
      </c>
      <c r="I59" s="25">
        <v>0</v>
      </c>
      <c r="J59" s="25">
        <v>0</v>
      </c>
      <c r="K59" s="25">
        <v>0</v>
      </c>
      <c r="L59" s="28">
        <v>10</v>
      </c>
      <c r="M59" s="11"/>
      <c r="N59" s="11"/>
      <c r="O59" s="11"/>
      <c r="P59" s="11"/>
      <c r="Q59" s="36">
        <v>-10</v>
      </c>
    </row>
    <row r="60" spans="2:17" ht="22.2" x14ac:dyDescent="0.25">
      <c r="B60" s="11">
        <v>1111078</v>
      </c>
      <c r="C60" s="15" t="s">
        <v>71</v>
      </c>
      <c r="D60" s="25">
        <v>0</v>
      </c>
      <c r="E60" s="25">
        <v>0</v>
      </c>
      <c r="F60" s="25">
        <v>8</v>
      </c>
      <c r="G60" s="25">
        <v>0</v>
      </c>
      <c r="H60" s="25">
        <v>2</v>
      </c>
      <c r="I60" s="25">
        <v>0</v>
      </c>
      <c r="J60" s="25">
        <v>0</v>
      </c>
      <c r="K60" s="25">
        <v>0</v>
      </c>
      <c r="L60" s="28">
        <v>10</v>
      </c>
      <c r="M60" s="11"/>
      <c r="N60" s="11"/>
      <c r="O60" s="11"/>
      <c r="P60" s="11"/>
      <c r="Q60" s="36">
        <v>-10</v>
      </c>
    </row>
    <row r="61" spans="2:17" ht="22.2" x14ac:dyDescent="0.25">
      <c r="B61" s="11">
        <v>1111079</v>
      </c>
      <c r="C61" s="15" t="s">
        <v>72</v>
      </c>
      <c r="D61" s="25">
        <v>0</v>
      </c>
      <c r="E61" s="25">
        <v>0</v>
      </c>
      <c r="F61" s="25">
        <v>8</v>
      </c>
      <c r="G61" s="25">
        <v>0</v>
      </c>
      <c r="H61" s="25">
        <v>2</v>
      </c>
      <c r="I61" s="25">
        <v>0</v>
      </c>
      <c r="J61" s="25">
        <v>0</v>
      </c>
      <c r="K61" s="25">
        <v>0</v>
      </c>
      <c r="L61" s="28">
        <v>10</v>
      </c>
      <c r="M61" s="11"/>
      <c r="N61" s="11">
        <v>38</v>
      </c>
      <c r="O61" s="11"/>
      <c r="P61" s="11"/>
      <c r="Q61" s="36">
        <v>28</v>
      </c>
    </row>
    <row r="62" spans="2:17" ht="22.2" x14ac:dyDescent="0.25">
      <c r="B62" s="11">
        <v>1111080</v>
      </c>
      <c r="C62" s="15" t="s">
        <v>73</v>
      </c>
      <c r="D62" s="25">
        <v>0</v>
      </c>
      <c r="E62" s="25">
        <v>0</v>
      </c>
      <c r="F62" s="25">
        <v>8</v>
      </c>
      <c r="G62" s="25">
        <v>0</v>
      </c>
      <c r="H62" s="25">
        <v>2</v>
      </c>
      <c r="I62" s="25">
        <v>0</v>
      </c>
      <c r="J62" s="25">
        <v>0</v>
      </c>
      <c r="K62" s="25">
        <v>0</v>
      </c>
      <c r="L62" s="28">
        <v>10</v>
      </c>
      <c r="M62" s="11"/>
      <c r="N62" s="11"/>
      <c r="O62" s="11"/>
      <c r="P62" s="11"/>
      <c r="Q62" s="36">
        <v>-10</v>
      </c>
    </row>
    <row r="63" spans="2:17" ht="22.2" x14ac:dyDescent="0.25">
      <c r="B63" s="11">
        <v>1111081</v>
      </c>
      <c r="C63" s="15" t="s">
        <v>74</v>
      </c>
      <c r="D63" s="25">
        <v>0</v>
      </c>
      <c r="E63" s="25">
        <v>0</v>
      </c>
      <c r="F63" s="25">
        <v>8</v>
      </c>
      <c r="G63" s="25">
        <v>0</v>
      </c>
      <c r="H63" s="25">
        <v>2</v>
      </c>
      <c r="I63" s="25">
        <v>0</v>
      </c>
      <c r="J63" s="25">
        <v>0</v>
      </c>
      <c r="K63" s="25">
        <v>0</v>
      </c>
      <c r="L63" s="28">
        <v>10</v>
      </c>
      <c r="M63" s="11"/>
      <c r="N63" s="11"/>
      <c r="O63" s="11"/>
      <c r="P63" s="11"/>
      <c r="Q63" s="36">
        <v>-10</v>
      </c>
    </row>
    <row r="64" spans="2:17" ht="22.2" x14ac:dyDescent="0.25">
      <c r="B64" s="11">
        <v>1111082</v>
      </c>
      <c r="C64" s="15" t="s">
        <v>75</v>
      </c>
      <c r="D64" s="25">
        <v>0</v>
      </c>
      <c r="E64" s="25">
        <v>0</v>
      </c>
      <c r="F64" s="25">
        <v>8</v>
      </c>
      <c r="G64" s="25">
        <v>0</v>
      </c>
      <c r="H64" s="25">
        <v>2</v>
      </c>
      <c r="I64" s="25">
        <v>0</v>
      </c>
      <c r="J64" s="25">
        <v>0</v>
      </c>
      <c r="K64" s="25">
        <v>0</v>
      </c>
      <c r="L64" s="28">
        <v>10</v>
      </c>
      <c r="M64" s="11"/>
      <c r="N64" s="11"/>
      <c r="O64" s="11"/>
      <c r="P64" s="11"/>
      <c r="Q64" s="36">
        <v>-10</v>
      </c>
    </row>
    <row r="65" spans="2:17" ht="22.2" x14ac:dyDescent="0.25">
      <c r="B65" s="11">
        <v>1111083</v>
      </c>
      <c r="C65" s="15" t="s">
        <v>76</v>
      </c>
      <c r="D65" s="25">
        <v>0</v>
      </c>
      <c r="E65" s="25">
        <v>0</v>
      </c>
      <c r="F65" s="25">
        <v>8</v>
      </c>
      <c r="G65" s="25">
        <v>0</v>
      </c>
      <c r="H65" s="25">
        <v>2</v>
      </c>
      <c r="I65" s="25">
        <v>0</v>
      </c>
      <c r="J65" s="25">
        <v>0</v>
      </c>
      <c r="K65" s="25">
        <v>0</v>
      </c>
      <c r="L65" s="28">
        <v>10</v>
      </c>
      <c r="M65" s="11"/>
      <c r="N65" s="11">
        <v>44</v>
      </c>
      <c r="O65" s="11"/>
      <c r="P65" s="11"/>
      <c r="Q65" s="36">
        <v>34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7</v>
      </c>
      <c r="E69" s="25">
        <v>0</v>
      </c>
      <c r="F69" s="25">
        <v>4</v>
      </c>
      <c r="G69" s="25">
        <v>8</v>
      </c>
      <c r="H69" s="25">
        <v>7</v>
      </c>
      <c r="I69" s="25">
        <v>0</v>
      </c>
      <c r="J69" s="25">
        <v>0</v>
      </c>
      <c r="K69" s="25">
        <v>0</v>
      </c>
      <c r="L69" s="28">
        <v>26</v>
      </c>
      <c r="M69" s="11"/>
      <c r="N69" s="11">
        <v>330</v>
      </c>
      <c r="O69" s="11"/>
      <c r="P69" s="11"/>
      <c r="Q69" s="36">
        <v>304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25</v>
      </c>
      <c r="E87" s="25">
        <v>12</v>
      </c>
      <c r="F87" s="25">
        <v>3</v>
      </c>
      <c r="G87" s="25">
        <v>115</v>
      </c>
      <c r="H87" s="25">
        <v>64</v>
      </c>
      <c r="I87" s="25">
        <v>0</v>
      </c>
      <c r="J87" s="25">
        <v>0</v>
      </c>
      <c r="K87" s="25">
        <v>0</v>
      </c>
      <c r="L87" s="28">
        <v>219</v>
      </c>
      <c r="M87" s="11"/>
      <c r="N87" s="11">
        <v>783</v>
      </c>
      <c r="O87" s="11"/>
      <c r="P87" s="11"/>
      <c r="Q87" s="36">
        <v>564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0</v>
      </c>
      <c r="E90" s="25">
        <v>15</v>
      </c>
      <c r="F90" s="25">
        <v>24</v>
      </c>
      <c r="G90" s="25">
        <v>72</v>
      </c>
      <c r="H90" s="25">
        <v>32</v>
      </c>
      <c r="I90" s="25">
        <v>0</v>
      </c>
      <c r="J90" s="25">
        <v>0</v>
      </c>
      <c r="K90" s="25">
        <v>0</v>
      </c>
      <c r="L90" s="28">
        <v>143</v>
      </c>
      <c r="M90" s="11"/>
      <c r="N90" s="11">
        <v>724</v>
      </c>
      <c r="O90" s="11"/>
      <c r="P90" s="11"/>
      <c r="Q90" s="36">
        <v>581</v>
      </c>
    </row>
    <row r="91" spans="2:17" ht="22.2" x14ac:dyDescent="0.25">
      <c r="B91" s="11">
        <v>1112011</v>
      </c>
      <c r="C91" s="18" t="s">
        <v>99</v>
      </c>
      <c r="D91" s="25">
        <v>0</v>
      </c>
      <c r="E91" s="25">
        <v>15</v>
      </c>
      <c r="F91" s="25">
        <v>28</v>
      </c>
      <c r="G91" s="25">
        <v>72</v>
      </c>
      <c r="H91" s="25">
        <v>32</v>
      </c>
      <c r="I91" s="25">
        <v>0</v>
      </c>
      <c r="J91" s="25">
        <v>0</v>
      </c>
      <c r="K91" s="25">
        <v>0</v>
      </c>
      <c r="L91" s="28">
        <v>147</v>
      </c>
      <c r="M91" s="11"/>
      <c r="N91" s="11">
        <v>641</v>
      </c>
      <c r="O91" s="11"/>
      <c r="P91" s="11"/>
      <c r="Q91" s="36">
        <v>494</v>
      </c>
    </row>
    <row r="92" spans="2:17" ht="22.2" x14ac:dyDescent="0.25">
      <c r="B92" s="11">
        <v>1112003</v>
      </c>
      <c r="C92" s="18" t="s">
        <v>100</v>
      </c>
      <c r="D92" s="25">
        <v>0</v>
      </c>
      <c r="E92" s="25">
        <v>0</v>
      </c>
      <c r="F92" s="25">
        <v>2</v>
      </c>
      <c r="G92" s="25">
        <v>66</v>
      </c>
      <c r="H92" s="25">
        <v>26</v>
      </c>
      <c r="I92" s="25">
        <v>0</v>
      </c>
      <c r="J92" s="25">
        <v>0</v>
      </c>
      <c r="K92" s="25">
        <v>0</v>
      </c>
      <c r="L92" s="28">
        <v>94</v>
      </c>
      <c r="M92" s="11"/>
      <c r="N92" s="11">
        <v>895</v>
      </c>
      <c r="O92" s="11"/>
      <c r="P92" s="11"/>
      <c r="Q92" s="36">
        <v>801</v>
      </c>
    </row>
    <row r="93" spans="2:17" ht="22.2" x14ac:dyDescent="0.25">
      <c r="B93" s="11">
        <v>1112005</v>
      </c>
      <c r="C93" s="18" t="s">
        <v>101</v>
      </c>
      <c r="D93" s="25">
        <v>0</v>
      </c>
      <c r="E93" s="25">
        <v>0</v>
      </c>
      <c r="F93" s="25">
        <v>2</v>
      </c>
      <c r="G93" s="25">
        <v>69</v>
      </c>
      <c r="H93" s="25">
        <v>25</v>
      </c>
      <c r="I93" s="25">
        <v>0</v>
      </c>
      <c r="J93" s="25">
        <v>0</v>
      </c>
      <c r="K93" s="25">
        <v>0</v>
      </c>
      <c r="L93" s="28">
        <v>96</v>
      </c>
      <c r="M93" s="11"/>
      <c r="N93" s="11">
        <v>1289</v>
      </c>
      <c r="O93" s="11"/>
      <c r="P93" s="11"/>
      <c r="Q93" s="36">
        <v>1193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0</v>
      </c>
      <c r="E97" s="25">
        <v>0</v>
      </c>
      <c r="F97" s="25">
        <v>2</v>
      </c>
      <c r="G97" s="25">
        <v>54</v>
      </c>
      <c r="H97" s="25">
        <v>25</v>
      </c>
      <c r="I97" s="25">
        <v>0</v>
      </c>
      <c r="J97" s="25">
        <v>0</v>
      </c>
      <c r="K97" s="25">
        <v>0</v>
      </c>
      <c r="L97" s="28">
        <v>81</v>
      </c>
      <c r="M97" s="11"/>
      <c r="N97" s="11">
        <v>963</v>
      </c>
      <c r="O97" s="11"/>
      <c r="P97" s="11"/>
      <c r="Q97" s="36">
        <v>882</v>
      </c>
    </row>
    <row r="98" spans="2:17" ht="22.2" x14ac:dyDescent="0.25">
      <c r="B98" s="11">
        <v>1112013</v>
      </c>
      <c r="C98" s="18" t="s">
        <v>106</v>
      </c>
      <c r="D98" s="25">
        <v>0</v>
      </c>
      <c r="E98" s="25">
        <v>15</v>
      </c>
      <c r="F98" s="25">
        <v>24</v>
      </c>
      <c r="G98" s="25">
        <v>73</v>
      </c>
      <c r="H98" s="25">
        <v>33</v>
      </c>
      <c r="I98" s="25">
        <v>0</v>
      </c>
      <c r="J98" s="25">
        <v>0</v>
      </c>
      <c r="K98" s="25">
        <v>0</v>
      </c>
      <c r="L98" s="28">
        <v>145</v>
      </c>
      <c r="M98" s="11"/>
      <c r="N98" s="11">
        <v>991</v>
      </c>
      <c r="O98" s="11"/>
      <c r="P98" s="11"/>
      <c r="Q98" s="36">
        <v>846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706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1</v>
      </c>
      <c r="E114" s="25">
        <v>0</v>
      </c>
      <c r="F114" s="25">
        <v>0</v>
      </c>
      <c r="G114" s="25">
        <v>6</v>
      </c>
      <c r="H114" s="25">
        <v>10</v>
      </c>
      <c r="I114" s="25">
        <v>0</v>
      </c>
      <c r="J114" s="25">
        <v>0</v>
      </c>
      <c r="K114" s="25">
        <v>0</v>
      </c>
      <c r="L114" s="28">
        <v>17</v>
      </c>
      <c r="M114" s="11"/>
      <c r="N114" s="11">
        <v>174</v>
      </c>
      <c r="O114" s="11"/>
      <c r="P114" s="11"/>
      <c r="Q114" s="36">
        <v>157</v>
      </c>
    </row>
    <row r="115" spans="2:17" ht="22.2" x14ac:dyDescent="0.25">
      <c r="B115" s="11">
        <v>1113171</v>
      </c>
      <c r="C115" s="20" t="s">
        <v>111</v>
      </c>
      <c r="D115" s="25">
        <v>1</v>
      </c>
      <c r="E115" s="25">
        <v>0</v>
      </c>
      <c r="F115" s="25">
        <v>0</v>
      </c>
      <c r="G115" s="25">
        <v>6</v>
      </c>
      <c r="H115" s="25">
        <v>14</v>
      </c>
      <c r="I115" s="25">
        <v>0</v>
      </c>
      <c r="J115" s="25">
        <v>0</v>
      </c>
      <c r="K115" s="25">
        <v>0</v>
      </c>
      <c r="L115" s="28">
        <v>21</v>
      </c>
      <c r="M115" s="11"/>
      <c r="N115" s="11">
        <v>201</v>
      </c>
      <c r="O115" s="11"/>
      <c r="P115" s="11"/>
      <c r="Q115" s="36">
        <v>180</v>
      </c>
    </row>
    <row r="116" spans="2:17" ht="22.2" x14ac:dyDescent="0.25">
      <c r="B116" s="11">
        <v>1113172</v>
      </c>
      <c r="C116" s="20" t="s">
        <v>112</v>
      </c>
      <c r="D116" s="25">
        <v>1</v>
      </c>
      <c r="E116" s="25">
        <v>0</v>
      </c>
      <c r="F116" s="25">
        <v>0</v>
      </c>
      <c r="G116" s="25">
        <v>5</v>
      </c>
      <c r="H116" s="25">
        <v>9</v>
      </c>
      <c r="I116" s="25">
        <v>0</v>
      </c>
      <c r="J116" s="25">
        <v>0</v>
      </c>
      <c r="K116" s="25">
        <v>0</v>
      </c>
      <c r="L116" s="28">
        <v>15</v>
      </c>
      <c r="M116" s="11"/>
      <c r="N116" s="11">
        <v>153</v>
      </c>
      <c r="O116" s="11"/>
      <c r="P116" s="11"/>
      <c r="Q116" s="36">
        <v>138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>
        <v>49</v>
      </c>
      <c r="O118" s="11"/>
      <c r="P118" s="11"/>
      <c r="Q118" s="36">
        <v>49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1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1</v>
      </c>
      <c r="M119" s="11"/>
      <c r="N119" s="11">
        <v>372</v>
      </c>
      <c r="O119" s="11"/>
      <c r="P119" s="11"/>
      <c r="Q119" s="36">
        <v>371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4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4</v>
      </c>
      <c r="M120" s="11"/>
      <c r="N120" s="11"/>
      <c r="O120" s="11"/>
      <c r="P120" s="11"/>
      <c r="Q120" s="36">
        <v>-4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>
        <v>2</v>
      </c>
      <c r="O121" s="11"/>
      <c r="P121" s="11"/>
      <c r="Q121" s="36">
        <v>2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11"/>
      <c r="P122" s="11"/>
      <c r="Q122" s="36">
        <v>0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8</v>
      </c>
      <c r="F123" s="25">
        <v>1</v>
      </c>
      <c r="G123" s="25">
        <v>350</v>
      </c>
      <c r="H123" s="25">
        <v>52</v>
      </c>
      <c r="I123" s="25">
        <v>0</v>
      </c>
      <c r="J123" s="25">
        <v>0</v>
      </c>
      <c r="K123" s="25">
        <v>0</v>
      </c>
      <c r="L123" s="28">
        <v>411</v>
      </c>
      <c r="M123" s="11"/>
      <c r="N123" s="11">
        <v>396</v>
      </c>
      <c r="O123" s="11"/>
      <c r="P123" s="11"/>
      <c r="Q123" s="36">
        <v>-15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4</v>
      </c>
      <c r="F124" s="25">
        <v>4</v>
      </c>
      <c r="G124" s="25">
        <v>257</v>
      </c>
      <c r="H124" s="25">
        <v>49</v>
      </c>
      <c r="I124" s="25">
        <v>0</v>
      </c>
      <c r="J124" s="25">
        <v>0</v>
      </c>
      <c r="K124" s="25">
        <v>0</v>
      </c>
      <c r="L124" s="28">
        <v>314</v>
      </c>
      <c r="M124" s="11"/>
      <c r="N124" s="11">
        <v>302</v>
      </c>
      <c r="O124" s="11"/>
      <c r="P124" s="11"/>
      <c r="Q124" s="36">
        <v>-12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25">
        <v>2</v>
      </c>
      <c r="F125" s="25">
        <v>4</v>
      </c>
      <c r="G125" s="25">
        <v>323</v>
      </c>
      <c r="H125" s="25">
        <v>54</v>
      </c>
      <c r="I125" s="25">
        <v>0</v>
      </c>
      <c r="J125" s="25">
        <v>0</v>
      </c>
      <c r="K125" s="25">
        <v>0</v>
      </c>
      <c r="L125" s="28">
        <v>383</v>
      </c>
      <c r="M125" s="11"/>
      <c r="N125" s="11">
        <v>414</v>
      </c>
      <c r="O125" s="11"/>
      <c r="P125" s="11"/>
      <c r="Q125" s="36">
        <v>31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38</v>
      </c>
      <c r="F126" s="25">
        <v>114</v>
      </c>
      <c r="G126" s="25">
        <v>565</v>
      </c>
      <c r="H126" s="25">
        <v>48</v>
      </c>
      <c r="I126" s="25">
        <v>0</v>
      </c>
      <c r="J126" s="25">
        <v>0</v>
      </c>
      <c r="K126" s="25">
        <v>0</v>
      </c>
      <c r="L126" s="28">
        <v>765</v>
      </c>
      <c r="M126" s="11"/>
      <c r="N126" s="11">
        <v>831</v>
      </c>
      <c r="O126" s="11"/>
      <c r="P126" s="11"/>
      <c r="Q126" s="36">
        <v>66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>
        <v>12</v>
      </c>
      <c r="O130" s="11"/>
      <c r="P130" s="11"/>
      <c r="Q130" s="36">
        <v>12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11"/>
      <c r="P135" s="11"/>
      <c r="Q135" s="36">
        <v>0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64</v>
      </c>
      <c r="E140" s="28">
        <v>206</v>
      </c>
      <c r="F140" s="28">
        <v>323</v>
      </c>
      <c r="G140" s="28">
        <v>2200</v>
      </c>
      <c r="H140" s="28">
        <v>637</v>
      </c>
      <c r="I140" s="28">
        <v>0</v>
      </c>
      <c r="J140" s="28">
        <v>0</v>
      </c>
      <c r="K140" s="28">
        <v>0</v>
      </c>
      <c r="L140" s="28">
        <v>3430</v>
      </c>
      <c r="M140" s="25">
        <v>0</v>
      </c>
      <c r="N140" s="25">
        <v>12194</v>
      </c>
      <c r="O140" s="25"/>
      <c r="P140" s="25"/>
      <c r="Q140" s="36">
        <v>8764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0C34-3DFB-42AA-9E92-F60A86B3BD27}">
  <dimension ref="B1:Q143"/>
  <sheetViews>
    <sheetView workbookViewId="0">
      <selection activeCell="S10" sqref="S10"/>
    </sheetView>
  </sheetViews>
  <sheetFormatPr defaultRowHeight="13.8" x14ac:dyDescent="0.25"/>
  <sheetData>
    <row r="1" spans="2:17" ht="22.2" x14ac:dyDescent="0.25">
      <c r="B1" s="50" t="s">
        <v>147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2</v>
      </c>
      <c r="E7" s="25">
        <v>68</v>
      </c>
      <c r="F7" s="25">
        <v>25</v>
      </c>
      <c r="G7" s="25">
        <v>3</v>
      </c>
      <c r="H7" s="25">
        <v>0</v>
      </c>
      <c r="I7" s="25">
        <v>0</v>
      </c>
      <c r="J7" s="25">
        <v>0</v>
      </c>
      <c r="K7" s="25">
        <v>15</v>
      </c>
      <c r="L7" s="28">
        <v>113</v>
      </c>
      <c r="M7" s="11"/>
      <c r="N7" s="11">
        <v>1157</v>
      </c>
      <c r="O7" s="11"/>
      <c r="P7" s="11"/>
      <c r="Q7" s="36">
        <v>1044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2</v>
      </c>
      <c r="E25" s="25">
        <v>4</v>
      </c>
      <c r="F25" s="25">
        <v>4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8">
        <v>10</v>
      </c>
      <c r="M25" s="11"/>
      <c r="N25" s="11">
        <v>30</v>
      </c>
      <c r="O25" s="11"/>
      <c r="P25" s="11"/>
      <c r="Q25" s="36">
        <v>20</v>
      </c>
    </row>
    <row r="26" spans="2:17" ht="22.2" x14ac:dyDescent="0.25">
      <c r="B26" s="11">
        <v>1004055</v>
      </c>
      <c r="C26" s="15" t="s">
        <v>37</v>
      </c>
      <c r="D26" s="25">
        <v>0</v>
      </c>
      <c r="E26" s="25">
        <v>17</v>
      </c>
      <c r="F26" s="25">
        <v>5</v>
      </c>
      <c r="G26" s="25">
        <v>203</v>
      </c>
      <c r="H26" s="25">
        <v>0</v>
      </c>
      <c r="I26" s="25">
        <v>0</v>
      </c>
      <c r="J26" s="25">
        <v>0</v>
      </c>
      <c r="K26" s="25">
        <v>10</v>
      </c>
      <c r="L26" s="28">
        <v>235</v>
      </c>
      <c r="M26" s="11"/>
      <c r="N26" s="11">
        <v>29</v>
      </c>
      <c r="O26" s="11"/>
      <c r="P26" s="11"/>
      <c r="Q26" s="36">
        <v>-206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0</v>
      </c>
      <c r="E40" s="25">
        <v>2</v>
      </c>
      <c r="F40" s="25">
        <v>0</v>
      </c>
      <c r="G40" s="25">
        <v>12</v>
      </c>
      <c r="H40" s="25">
        <v>0</v>
      </c>
      <c r="I40" s="25">
        <v>0</v>
      </c>
      <c r="J40" s="25">
        <v>0</v>
      </c>
      <c r="K40" s="25">
        <v>0</v>
      </c>
      <c r="L40" s="28">
        <v>14</v>
      </c>
      <c r="M40" s="11"/>
      <c r="N40" s="11">
        <v>144</v>
      </c>
      <c r="O40" s="11"/>
      <c r="P40" s="11"/>
      <c r="Q40" s="36">
        <v>130</v>
      </c>
    </row>
    <row r="41" spans="2:17" ht="22.2" x14ac:dyDescent="0.25">
      <c r="B41" s="11">
        <v>1111058</v>
      </c>
      <c r="C41" s="15" t="s">
        <v>52</v>
      </c>
      <c r="D41" s="25">
        <v>0</v>
      </c>
      <c r="E41" s="25">
        <v>2</v>
      </c>
      <c r="F41" s="25">
        <v>0</v>
      </c>
      <c r="G41" s="25">
        <v>8</v>
      </c>
      <c r="H41" s="25">
        <v>0</v>
      </c>
      <c r="I41" s="25">
        <v>0</v>
      </c>
      <c r="J41" s="25">
        <v>0</v>
      </c>
      <c r="K41" s="25">
        <v>0</v>
      </c>
      <c r="L41" s="28">
        <v>10</v>
      </c>
      <c r="M41" s="11"/>
      <c r="N41" s="11"/>
      <c r="O41" s="11"/>
      <c r="P41" s="11"/>
      <c r="Q41" s="36">
        <v>-10</v>
      </c>
    </row>
    <row r="42" spans="2:17" ht="22.2" x14ac:dyDescent="0.25">
      <c r="B42" s="11">
        <v>1111059</v>
      </c>
      <c r="C42" s="15" t="s">
        <v>53</v>
      </c>
      <c r="D42" s="25">
        <v>0</v>
      </c>
      <c r="E42" s="25">
        <v>2</v>
      </c>
      <c r="F42" s="25">
        <v>0</v>
      </c>
      <c r="G42" s="25">
        <v>12</v>
      </c>
      <c r="H42" s="25">
        <v>0</v>
      </c>
      <c r="I42" s="25">
        <v>0</v>
      </c>
      <c r="J42" s="25">
        <v>0</v>
      </c>
      <c r="K42" s="25">
        <v>0</v>
      </c>
      <c r="L42" s="28">
        <v>14</v>
      </c>
      <c r="M42" s="11"/>
      <c r="N42" s="11"/>
      <c r="O42" s="11"/>
      <c r="P42" s="11"/>
      <c r="Q42" s="36">
        <v>-14</v>
      </c>
    </row>
    <row r="43" spans="2:17" ht="22.2" x14ac:dyDescent="0.25">
      <c r="B43" s="11">
        <v>1111060</v>
      </c>
      <c r="C43" s="15" t="s">
        <v>54</v>
      </c>
      <c r="D43" s="25">
        <v>0</v>
      </c>
      <c r="E43" s="25">
        <v>2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2</v>
      </c>
      <c r="M43" s="11"/>
      <c r="N43" s="11"/>
      <c r="O43" s="11"/>
      <c r="P43" s="11"/>
      <c r="Q43" s="36">
        <v>-2</v>
      </c>
    </row>
    <row r="44" spans="2:17" ht="22.2" x14ac:dyDescent="0.25">
      <c r="B44" s="11">
        <v>1111061</v>
      </c>
      <c r="C44" s="15" t="s">
        <v>55</v>
      </c>
      <c r="D44" s="25">
        <v>0</v>
      </c>
      <c r="E44" s="25">
        <v>2</v>
      </c>
      <c r="F44" s="25">
        <v>0</v>
      </c>
      <c r="G44" s="25">
        <v>6</v>
      </c>
      <c r="H44" s="25">
        <v>0</v>
      </c>
      <c r="I44" s="25">
        <v>0</v>
      </c>
      <c r="J44" s="25">
        <v>0</v>
      </c>
      <c r="K44" s="25">
        <v>0</v>
      </c>
      <c r="L44" s="28">
        <v>8</v>
      </c>
      <c r="M44" s="11"/>
      <c r="N44" s="11"/>
      <c r="O44" s="11"/>
      <c r="P44" s="11"/>
      <c r="Q44" s="36">
        <v>-8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2</v>
      </c>
      <c r="F45" s="25">
        <v>0</v>
      </c>
      <c r="G45" s="25">
        <v>2</v>
      </c>
      <c r="H45" s="25">
        <v>0</v>
      </c>
      <c r="I45" s="25">
        <v>0</v>
      </c>
      <c r="J45" s="25">
        <v>0</v>
      </c>
      <c r="K45" s="25">
        <v>0</v>
      </c>
      <c r="L45" s="28">
        <v>4</v>
      </c>
      <c r="M45" s="11"/>
      <c r="N45" s="11"/>
      <c r="O45" s="11"/>
      <c r="P45" s="11"/>
      <c r="Q45" s="36">
        <v>-4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2</v>
      </c>
      <c r="F46" s="25">
        <v>0</v>
      </c>
      <c r="G46" s="25">
        <v>7</v>
      </c>
      <c r="H46" s="25">
        <v>0</v>
      </c>
      <c r="I46" s="25">
        <v>0</v>
      </c>
      <c r="J46" s="25">
        <v>0</v>
      </c>
      <c r="K46" s="25">
        <v>0</v>
      </c>
      <c r="L46" s="28">
        <v>9</v>
      </c>
      <c r="M46" s="11"/>
      <c r="N46" s="11">
        <v>28</v>
      </c>
      <c r="O46" s="11"/>
      <c r="P46" s="11"/>
      <c r="Q46" s="36">
        <v>19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2</v>
      </c>
      <c r="F47" s="25">
        <v>0</v>
      </c>
      <c r="G47" s="25">
        <v>7</v>
      </c>
      <c r="H47" s="25">
        <v>0</v>
      </c>
      <c r="I47" s="25">
        <v>0</v>
      </c>
      <c r="J47" s="25">
        <v>0</v>
      </c>
      <c r="K47" s="25">
        <v>0</v>
      </c>
      <c r="L47" s="28">
        <v>9</v>
      </c>
      <c r="M47" s="11"/>
      <c r="N47" s="11"/>
      <c r="O47" s="11"/>
      <c r="P47" s="11"/>
      <c r="Q47" s="36">
        <v>-9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2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2</v>
      </c>
      <c r="M48" s="11"/>
      <c r="N48" s="11"/>
      <c r="O48" s="11"/>
      <c r="P48" s="11"/>
      <c r="Q48" s="36">
        <v>-2</v>
      </c>
    </row>
    <row r="49" spans="2:17" ht="22.2" x14ac:dyDescent="0.25">
      <c r="B49" s="11">
        <v>1111066</v>
      </c>
      <c r="C49" s="15" t="s">
        <v>60</v>
      </c>
      <c r="D49" s="25">
        <v>0</v>
      </c>
      <c r="E49" s="25">
        <v>2</v>
      </c>
      <c r="F49" s="25">
        <v>0</v>
      </c>
      <c r="G49" s="25">
        <v>7</v>
      </c>
      <c r="H49" s="25">
        <v>0</v>
      </c>
      <c r="I49" s="25">
        <v>0</v>
      </c>
      <c r="J49" s="25">
        <v>0</v>
      </c>
      <c r="K49" s="25">
        <v>0</v>
      </c>
      <c r="L49" s="28">
        <v>9</v>
      </c>
      <c r="M49" s="11"/>
      <c r="N49" s="11">
        <v>83</v>
      </c>
      <c r="O49" s="11"/>
      <c r="P49" s="11"/>
      <c r="Q49" s="36">
        <v>74</v>
      </c>
    </row>
    <row r="50" spans="2:17" ht="22.2" x14ac:dyDescent="0.25">
      <c r="B50" s="11">
        <v>1111067</v>
      </c>
      <c r="C50" s="15" t="s">
        <v>61</v>
      </c>
      <c r="D50" s="25">
        <v>0</v>
      </c>
      <c r="E50" s="25">
        <v>2</v>
      </c>
      <c r="F50" s="25">
        <v>0</v>
      </c>
      <c r="G50" s="25">
        <v>12</v>
      </c>
      <c r="H50" s="25">
        <v>0</v>
      </c>
      <c r="I50" s="25">
        <v>0</v>
      </c>
      <c r="J50" s="25">
        <v>0</v>
      </c>
      <c r="K50" s="25">
        <v>0</v>
      </c>
      <c r="L50" s="28">
        <v>14</v>
      </c>
      <c r="M50" s="11"/>
      <c r="N50" s="11"/>
      <c r="O50" s="11"/>
      <c r="P50" s="11"/>
      <c r="Q50" s="36">
        <v>-14</v>
      </c>
    </row>
    <row r="51" spans="2:17" ht="22.2" x14ac:dyDescent="0.25">
      <c r="B51" s="11">
        <v>1111068</v>
      </c>
      <c r="C51" s="15" t="s">
        <v>62</v>
      </c>
      <c r="D51" s="25">
        <v>0</v>
      </c>
      <c r="E51" s="25">
        <v>2</v>
      </c>
      <c r="F51" s="25">
        <v>0</v>
      </c>
      <c r="G51" s="25">
        <v>10</v>
      </c>
      <c r="H51" s="25">
        <v>0</v>
      </c>
      <c r="I51" s="25">
        <v>0</v>
      </c>
      <c r="J51" s="25">
        <v>0</v>
      </c>
      <c r="K51" s="25">
        <v>0</v>
      </c>
      <c r="L51" s="28">
        <v>12</v>
      </c>
      <c r="M51" s="11"/>
      <c r="N51" s="11"/>
      <c r="O51" s="11"/>
      <c r="P51" s="11"/>
      <c r="Q51" s="36">
        <v>-12</v>
      </c>
    </row>
    <row r="52" spans="2:17" ht="22.2" x14ac:dyDescent="0.25">
      <c r="B52" s="11">
        <v>1111069</v>
      </c>
      <c r="C52" s="15" t="s">
        <v>63</v>
      </c>
      <c r="D52" s="25">
        <v>0</v>
      </c>
      <c r="E52" s="25">
        <v>2</v>
      </c>
      <c r="F52" s="25">
        <v>0</v>
      </c>
      <c r="G52" s="25">
        <v>7</v>
      </c>
      <c r="H52" s="25">
        <v>0</v>
      </c>
      <c r="I52" s="25">
        <v>0</v>
      </c>
      <c r="J52" s="25">
        <v>0</v>
      </c>
      <c r="K52" s="25">
        <v>0</v>
      </c>
      <c r="L52" s="28">
        <v>9</v>
      </c>
      <c r="M52" s="11"/>
      <c r="N52" s="11"/>
      <c r="O52" s="11"/>
      <c r="P52" s="11"/>
      <c r="Q52" s="36">
        <v>-9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2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2</v>
      </c>
      <c r="M53" s="11"/>
      <c r="N53" s="11"/>
      <c r="O53" s="11"/>
      <c r="P53" s="11"/>
      <c r="Q53" s="36">
        <v>-2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2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2</v>
      </c>
      <c r="M54" s="11"/>
      <c r="N54" s="11"/>
      <c r="O54" s="11"/>
      <c r="P54" s="11"/>
      <c r="Q54" s="36">
        <v>-2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2</v>
      </c>
      <c r="E56" s="25">
        <v>10</v>
      </c>
      <c r="F56" s="25">
        <v>3</v>
      </c>
      <c r="G56" s="25">
        <v>4</v>
      </c>
      <c r="H56" s="25">
        <v>0</v>
      </c>
      <c r="I56" s="25">
        <v>0</v>
      </c>
      <c r="J56" s="25">
        <v>0</v>
      </c>
      <c r="K56" s="25">
        <v>0</v>
      </c>
      <c r="L56" s="28">
        <v>19</v>
      </c>
      <c r="M56" s="11"/>
      <c r="N56" s="11"/>
      <c r="O56" s="11"/>
      <c r="P56" s="11"/>
      <c r="Q56" s="36">
        <v>-19</v>
      </c>
    </row>
    <row r="57" spans="2:17" ht="22.2" x14ac:dyDescent="0.25">
      <c r="B57" s="11">
        <v>1111075</v>
      </c>
      <c r="C57" s="15" t="s">
        <v>68</v>
      </c>
      <c r="D57" s="25">
        <v>2</v>
      </c>
      <c r="E57" s="25">
        <v>10</v>
      </c>
      <c r="F57" s="25">
        <v>3</v>
      </c>
      <c r="G57" s="25">
        <v>4</v>
      </c>
      <c r="H57" s="25">
        <v>0</v>
      </c>
      <c r="I57" s="25">
        <v>0</v>
      </c>
      <c r="J57" s="25">
        <v>0</v>
      </c>
      <c r="K57" s="25">
        <v>0</v>
      </c>
      <c r="L57" s="28">
        <v>19</v>
      </c>
      <c r="M57" s="11"/>
      <c r="N57" s="11"/>
      <c r="O57" s="11"/>
      <c r="P57" s="11"/>
      <c r="Q57" s="36">
        <v>-19</v>
      </c>
    </row>
    <row r="58" spans="2:17" ht="22.2" x14ac:dyDescent="0.25">
      <c r="B58" s="11">
        <v>1111076</v>
      </c>
      <c r="C58" s="15" t="s">
        <v>69</v>
      </c>
      <c r="D58" s="25">
        <v>2</v>
      </c>
      <c r="E58" s="25">
        <v>10</v>
      </c>
      <c r="F58" s="25">
        <v>3</v>
      </c>
      <c r="G58" s="25">
        <v>3</v>
      </c>
      <c r="H58" s="25">
        <v>0</v>
      </c>
      <c r="I58" s="25">
        <v>0</v>
      </c>
      <c r="J58" s="25">
        <v>0</v>
      </c>
      <c r="K58" s="25">
        <v>0</v>
      </c>
      <c r="L58" s="28">
        <v>18</v>
      </c>
      <c r="M58" s="11"/>
      <c r="N58" s="11"/>
      <c r="O58" s="11"/>
      <c r="P58" s="11"/>
      <c r="Q58" s="36">
        <v>-18</v>
      </c>
    </row>
    <row r="59" spans="2:17" ht="22.2" x14ac:dyDescent="0.25">
      <c r="B59" s="11">
        <v>1111077</v>
      </c>
      <c r="C59" s="15" t="s">
        <v>70</v>
      </c>
      <c r="D59" s="25">
        <v>2</v>
      </c>
      <c r="E59" s="25">
        <v>10</v>
      </c>
      <c r="F59" s="25">
        <v>3</v>
      </c>
      <c r="G59" s="25">
        <v>3</v>
      </c>
      <c r="H59" s="25">
        <v>0</v>
      </c>
      <c r="I59" s="25">
        <v>0</v>
      </c>
      <c r="J59" s="25">
        <v>0</v>
      </c>
      <c r="K59" s="25">
        <v>0</v>
      </c>
      <c r="L59" s="28">
        <v>18</v>
      </c>
      <c r="M59" s="11"/>
      <c r="N59" s="11"/>
      <c r="O59" s="11"/>
      <c r="P59" s="11"/>
      <c r="Q59" s="36">
        <v>-18</v>
      </c>
    </row>
    <row r="60" spans="2:17" ht="22.2" x14ac:dyDescent="0.25">
      <c r="B60" s="11">
        <v>1111078</v>
      </c>
      <c r="C60" s="15" t="s">
        <v>71</v>
      </c>
      <c r="D60" s="25">
        <v>2</v>
      </c>
      <c r="E60" s="25">
        <v>10</v>
      </c>
      <c r="F60" s="25">
        <v>2</v>
      </c>
      <c r="G60" s="25">
        <v>3</v>
      </c>
      <c r="H60" s="25">
        <v>0</v>
      </c>
      <c r="I60" s="25">
        <v>0</v>
      </c>
      <c r="J60" s="25">
        <v>0</v>
      </c>
      <c r="K60" s="25">
        <v>0</v>
      </c>
      <c r="L60" s="28">
        <v>17</v>
      </c>
      <c r="M60" s="11"/>
      <c r="N60" s="11"/>
      <c r="O60" s="11"/>
      <c r="P60" s="11"/>
      <c r="Q60" s="36">
        <v>-17</v>
      </c>
    </row>
    <row r="61" spans="2:17" ht="22.2" x14ac:dyDescent="0.25">
      <c r="B61" s="11">
        <v>1111079</v>
      </c>
      <c r="C61" s="15" t="s">
        <v>72</v>
      </c>
      <c r="D61" s="25">
        <v>1</v>
      </c>
      <c r="E61" s="25">
        <v>10</v>
      </c>
      <c r="F61" s="25">
        <v>2</v>
      </c>
      <c r="G61" s="25">
        <v>2</v>
      </c>
      <c r="H61" s="25">
        <v>0</v>
      </c>
      <c r="I61" s="25">
        <v>0</v>
      </c>
      <c r="J61" s="25">
        <v>0</v>
      </c>
      <c r="K61" s="25">
        <v>0</v>
      </c>
      <c r="L61" s="28">
        <v>15</v>
      </c>
      <c r="M61" s="11"/>
      <c r="N61" s="11"/>
      <c r="O61" s="11"/>
      <c r="P61" s="11"/>
      <c r="Q61" s="36">
        <v>-15</v>
      </c>
    </row>
    <row r="62" spans="2:17" ht="22.2" x14ac:dyDescent="0.25">
      <c r="B62" s="11">
        <v>1111080</v>
      </c>
      <c r="C62" s="15" t="s">
        <v>73</v>
      </c>
      <c r="D62" s="25">
        <v>1</v>
      </c>
      <c r="E62" s="25">
        <v>10</v>
      </c>
      <c r="F62" s="25">
        <v>2</v>
      </c>
      <c r="G62" s="25">
        <v>2</v>
      </c>
      <c r="H62" s="25">
        <v>0</v>
      </c>
      <c r="I62" s="25">
        <v>0</v>
      </c>
      <c r="J62" s="25">
        <v>0</v>
      </c>
      <c r="K62" s="25">
        <v>0</v>
      </c>
      <c r="L62" s="28">
        <v>15</v>
      </c>
      <c r="M62" s="11"/>
      <c r="N62" s="11">
        <v>8</v>
      </c>
      <c r="O62" s="11"/>
      <c r="P62" s="11"/>
      <c r="Q62" s="36">
        <v>-7</v>
      </c>
    </row>
    <row r="63" spans="2:17" ht="22.2" x14ac:dyDescent="0.25">
      <c r="B63" s="11">
        <v>1111081</v>
      </c>
      <c r="C63" s="15" t="s">
        <v>74</v>
      </c>
      <c r="D63" s="25">
        <v>1</v>
      </c>
      <c r="E63" s="25">
        <v>10</v>
      </c>
      <c r="F63" s="25">
        <v>2</v>
      </c>
      <c r="G63" s="25">
        <v>2</v>
      </c>
      <c r="H63" s="25">
        <v>0</v>
      </c>
      <c r="I63" s="25">
        <v>0</v>
      </c>
      <c r="J63" s="25">
        <v>0</v>
      </c>
      <c r="K63" s="25">
        <v>0</v>
      </c>
      <c r="L63" s="28">
        <v>15</v>
      </c>
      <c r="M63" s="11"/>
      <c r="N63" s="11"/>
      <c r="O63" s="11"/>
      <c r="P63" s="11"/>
      <c r="Q63" s="36">
        <v>-15</v>
      </c>
    </row>
    <row r="64" spans="2:17" ht="22.2" x14ac:dyDescent="0.25">
      <c r="B64" s="11">
        <v>1111082</v>
      </c>
      <c r="C64" s="15" t="s">
        <v>75</v>
      </c>
      <c r="D64" s="25">
        <v>1</v>
      </c>
      <c r="E64" s="25">
        <v>10</v>
      </c>
      <c r="F64" s="25">
        <v>2</v>
      </c>
      <c r="G64" s="25">
        <v>2</v>
      </c>
      <c r="H64" s="25">
        <v>0</v>
      </c>
      <c r="I64" s="25">
        <v>0</v>
      </c>
      <c r="J64" s="25">
        <v>0</v>
      </c>
      <c r="K64" s="25">
        <v>0</v>
      </c>
      <c r="L64" s="28">
        <v>15</v>
      </c>
      <c r="M64" s="11"/>
      <c r="N64" s="11"/>
      <c r="O64" s="11"/>
      <c r="P64" s="11"/>
      <c r="Q64" s="36">
        <v>-15</v>
      </c>
    </row>
    <row r="65" spans="2:17" ht="22.2" x14ac:dyDescent="0.25">
      <c r="B65" s="11">
        <v>1111083</v>
      </c>
      <c r="C65" s="15" t="s">
        <v>76</v>
      </c>
      <c r="D65" s="25">
        <v>1</v>
      </c>
      <c r="E65" s="25">
        <v>10</v>
      </c>
      <c r="F65" s="25">
        <v>2</v>
      </c>
      <c r="G65" s="25">
        <v>2</v>
      </c>
      <c r="H65" s="25">
        <v>0</v>
      </c>
      <c r="I65" s="25">
        <v>0</v>
      </c>
      <c r="J65" s="25">
        <v>0</v>
      </c>
      <c r="K65" s="25">
        <v>0</v>
      </c>
      <c r="L65" s="28">
        <v>15</v>
      </c>
      <c r="M65" s="11"/>
      <c r="N65" s="11"/>
      <c r="O65" s="11"/>
      <c r="P65" s="11"/>
      <c r="Q65" s="36">
        <v>-15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2</v>
      </c>
      <c r="E69" s="25">
        <v>2</v>
      </c>
      <c r="F69" s="25">
        <v>3</v>
      </c>
      <c r="G69" s="25">
        <v>3</v>
      </c>
      <c r="H69" s="25">
        <v>0</v>
      </c>
      <c r="I69" s="25">
        <v>0</v>
      </c>
      <c r="J69" s="25">
        <v>0</v>
      </c>
      <c r="K69" s="25">
        <v>0</v>
      </c>
      <c r="L69" s="28">
        <v>10</v>
      </c>
      <c r="M69" s="11"/>
      <c r="N69" s="11">
        <v>300</v>
      </c>
      <c r="O69" s="11"/>
      <c r="P69" s="11"/>
      <c r="Q69" s="36">
        <v>290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0</v>
      </c>
      <c r="E87" s="25">
        <v>11</v>
      </c>
      <c r="F87" s="25">
        <v>0</v>
      </c>
      <c r="G87" s="25">
        <v>241</v>
      </c>
      <c r="H87" s="25">
        <v>0</v>
      </c>
      <c r="I87" s="25">
        <v>0</v>
      </c>
      <c r="J87" s="25">
        <v>0</v>
      </c>
      <c r="K87" s="25">
        <v>0</v>
      </c>
      <c r="L87" s="28">
        <v>252</v>
      </c>
      <c r="M87" s="11"/>
      <c r="N87" s="11">
        <v>562</v>
      </c>
      <c r="O87" s="11"/>
      <c r="P87" s="11"/>
      <c r="Q87" s="36">
        <v>310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25</v>
      </c>
      <c r="E90" s="25">
        <v>138</v>
      </c>
      <c r="F90" s="25">
        <v>11</v>
      </c>
      <c r="G90" s="25">
        <v>150</v>
      </c>
      <c r="H90" s="25">
        <v>0</v>
      </c>
      <c r="I90" s="25">
        <v>0</v>
      </c>
      <c r="J90" s="25">
        <v>0</v>
      </c>
      <c r="K90" s="25">
        <v>10</v>
      </c>
      <c r="L90" s="28">
        <v>334</v>
      </c>
      <c r="M90" s="11"/>
      <c r="N90" s="11">
        <v>500</v>
      </c>
      <c r="O90" s="11"/>
      <c r="P90" s="11"/>
      <c r="Q90" s="36">
        <v>166</v>
      </c>
    </row>
    <row r="91" spans="2:17" ht="22.2" x14ac:dyDescent="0.25">
      <c r="B91" s="11">
        <v>1112011</v>
      </c>
      <c r="C91" s="18" t="s">
        <v>99</v>
      </c>
      <c r="D91" s="25">
        <v>13</v>
      </c>
      <c r="E91" s="25">
        <v>139</v>
      </c>
      <c r="F91" s="25">
        <v>21</v>
      </c>
      <c r="G91" s="25">
        <v>139</v>
      </c>
      <c r="H91" s="25">
        <v>0</v>
      </c>
      <c r="I91" s="25">
        <v>0</v>
      </c>
      <c r="J91" s="25">
        <v>0</v>
      </c>
      <c r="K91" s="25">
        <v>10</v>
      </c>
      <c r="L91" s="28">
        <v>322</v>
      </c>
      <c r="M91" s="11"/>
      <c r="N91" s="11">
        <v>621</v>
      </c>
      <c r="O91" s="11"/>
      <c r="P91" s="11"/>
      <c r="Q91" s="36">
        <v>299</v>
      </c>
    </row>
    <row r="92" spans="2:17" ht="22.2" x14ac:dyDescent="0.25">
      <c r="B92" s="11">
        <v>1112003</v>
      </c>
      <c r="C92" s="18" t="s">
        <v>100</v>
      </c>
      <c r="D92" s="25">
        <v>20</v>
      </c>
      <c r="E92" s="25">
        <v>0</v>
      </c>
      <c r="F92" s="25">
        <v>0</v>
      </c>
      <c r="G92" s="25">
        <v>157</v>
      </c>
      <c r="H92" s="25">
        <v>0</v>
      </c>
      <c r="I92" s="25">
        <v>0</v>
      </c>
      <c r="J92" s="25">
        <v>0</v>
      </c>
      <c r="K92" s="25">
        <v>0</v>
      </c>
      <c r="L92" s="28">
        <v>177</v>
      </c>
      <c r="M92" s="11"/>
      <c r="N92" s="11">
        <v>730</v>
      </c>
      <c r="O92" s="11"/>
      <c r="P92" s="11"/>
      <c r="Q92" s="36">
        <v>553</v>
      </c>
    </row>
    <row r="93" spans="2:17" ht="22.2" x14ac:dyDescent="0.25">
      <c r="B93" s="11">
        <v>1112005</v>
      </c>
      <c r="C93" s="18" t="s">
        <v>101</v>
      </c>
      <c r="D93" s="25">
        <v>19</v>
      </c>
      <c r="E93" s="25">
        <v>0</v>
      </c>
      <c r="F93" s="25">
        <v>0</v>
      </c>
      <c r="G93" s="25">
        <v>156</v>
      </c>
      <c r="H93" s="25">
        <v>0</v>
      </c>
      <c r="I93" s="25">
        <v>0</v>
      </c>
      <c r="J93" s="25">
        <v>0</v>
      </c>
      <c r="K93" s="25">
        <v>5</v>
      </c>
      <c r="L93" s="28">
        <v>180</v>
      </c>
      <c r="M93" s="11"/>
      <c r="N93" s="11">
        <v>1078</v>
      </c>
      <c r="O93" s="11"/>
      <c r="P93" s="11"/>
      <c r="Q93" s="36">
        <v>898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1</v>
      </c>
      <c r="E97" s="25">
        <v>0</v>
      </c>
      <c r="F97" s="25">
        <v>0</v>
      </c>
      <c r="G97" s="25">
        <v>153</v>
      </c>
      <c r="H97" s="25">
        <v>0</v>
      </c>
      <c r="I97" s="25">
        <v>0</v>
      </c>
      <c r="J97" s="25">
        <v>0</v>
      </c>
      <c r="K97" s="25">
        <v>0</v>
      </c>
      <c r="L97" s="28">
        <v>154</v>
      </c>
      <c r="M97" s="11"/>
      <c r="N97" s="11">
        <v>790</v>
      </c>
      <c r="O97" s="11"/>
      <c r="P97" s="11"/>
      <c r="Q97" s="36">
        <v>636</v>
      </c>
    </row>
    <row r="98" spans="2:17" ht="22.2" x14ac:dyDescent="0.25">
      <c r="B98" s="11">
        <v>1112013</v>
      </c>
      <c r="C98" s="18" t="s">
        <v>106</v>
      </c>
      <c r="D98" s="25">
        <v>4</v>
      </c>
      <c r="E98" s="25">
        <v>139</v>
      </c>
      <c r="F98" s="25">
        <v>9</v>
      </c>
      <c r="G98" s="25">
        <v>153</v>
      </c>
      <c r="H98" s="25">
        <v>0</v>
      </c>
      <c r="I98" s="25">
        <v>0</v>
      </c>
      <c r="J98" s="25">
        <v>0</v>
      </c>
      <c r="K98" s="25">
        <v>10</v>
      </c>
      <c r="L98" s="28">
        <v>315</v>
      </c>
      <c r="M98" s="11"/>
      <c r="N98" s="11">
        <v>1236</v>
      </c>
      <c r="O98" s="11"/>
      <c r="P98" s="11"/>
      <c r="Q98" s="36">
        <v>921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1482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22</v>
      </c>
      <c r="E114" s="25">
        <v>1</v>
      </c>
      <c r="F114" s="25">
        <v>2</v>
      </c>
      <c r="G114" s="25">
        <v>15</v>
      </c>
      <c r="H114" s="25">
        <v>0</v>
      </c>
      <c r="I114" s="25">
        <v>0</v>
      </c>
      <c r="J114" s="25">
        <v>0</v>
      </c>
      <c r="K114" s="25">
        <v>0</v>
      </c>
      <c r="L114" s="28">
        <v>40</v>
      </c>
      <c r="M114" s="11"/>
      <c r="N114" s="11">
        <v>50</v>
      </c>
      <c r="O114" s="11">
        <v>80</v>
      </c>
      <c r="P114" s="11"/>
      <c r="Q114" s="36">
        <v>90</v>
      </c>
    </row>
    <row r="115" spans="2:17" ht="22.2" x14ac:dyDescent="0.25">
      <c r="B115" s="11">
        <v>1113171</v>
      </c>
      <c r="C115" s="20" t="s">
        <v>111</v>
      </c>
      <c r="D115" s="25">
        <v>11</v>
      </c>
      <c r="E115" s="25">
        <v>0</v>
      </c>
      <c r="F115" s="25">
        <v>2</v>
      </c>
      <c r="G115" s="25">
        <v>15</v>
      </c>
      <c r="H115" s="25">
        <v>0</v>
      </c>
      <c r="I115" s="25">
        <v>0</v>
      </c>
      <c r="J115" s="25">
        <v>0</v>
      </c>
      <c r="K115" s="25">
        <v>0</v>
      </c>
      <c r="L115" s="28">
        <v>28</v>
      </c>
      <c r="M115" s="11"/>
      <c r="N115" s="11">
        <v>93</v>
      </c>
      <c r="O115" s="11">
        <v>70</v>
      </c>
      <c r="P115" s="11"/>
      <c r="Q115" s="36">
        <v>135</v>
      </c>
    </row>
    <row r="116" spans="2:17" ht="22.2" x14ac:dyDescent="0.25">
      <c r="B116" s="11">
        <v>1113172</v>
      </c>
      <c r="C116" s="20" t="s">
        <v>112</v>
      </c>
      <c r="D116" s="25">
        <v>9</v>
      </c>
      <c r="E116" s="25">
        <v>1</v>
      </c>
      <c r="F116" s="25">
        <v>2</v>
      </c>
      <c r="G116" s="25">
        <v>7</v>
      </c>
      <c r="H116" s="25">
        <v>0</v>
      </c>
      <c r="I116" s="25">
        <v>0</v>
      </c>
      <c r="J116" s="25">
        <v>0</v>
      </c>
      <c r="K116" s="25">
        <v>0</v>
      </c>
      <c r="L116" s="28">
        <v>19</v>
      </c>
      <c r="M116" s="11"/>
      <c r="N116" s="11">
        <v>72</v>
      </c>
      <c r="O116" s="11">
        <v>50</v>
      </c>
      <c r="P116" s="11"/>
      <c r="Q116" s="36">
        <v>103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>
        <v>49</v>
      </c>
      <c r="O118" s="11"/>
      <c r="P118" s="11"/>
      <c r="Q118" s="36">
        <v>49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0</v>
      </c>
      <c r="M119" s="11"/>
      <c r="N119" s="11">
        <v>370</v>
      </c>
      <c r="O119" s="11"/>
      <c r="P119" s="11"/>
      <c r="Q119" s="36">
        <v>370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4</v>
      </c>
      <c r="H120" s="25">
        <v>0</v>
      </c>
      <c r="I120" s="25">
        <v>0</v>
      </c>
      <c r="J120" s="25">
        <v>0</v>
      </c>
      <c r="K120" s="25">
        <v>0</v>
      </c>
      <c r="L120" s="28">
        <v>4</v>
      </c>
      <c r="M120" s="11"/>
      <c r="N120" s="11">
        <v>124</v>
      </c>
      <c r="O120" s="11"/>
      <c r="P120" s="11"/>
      <c r="Q120" s="36">
        <v>120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>
        <v>2</v>
      </c>
      <c r="O121" s="11"/>
      <c r="P121" s="11"/>
      <c r="Q121" s="36">
        <v>2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3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3</v>
      </c>
      <c r="M122" s="11"/>
      <c r="N122" s="11"/>
      <c r="O122" s="11"/>
      <c r="P122" s="11"/>
      <c r="Q122" s="36">
        <v>-3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1</v>
      </c>
      <c r="F123" s="25">
        <v>9</v>
      </c>
      <c r="G123" s="25">
        <v>9</v>
      </c>
      <c r="H123" s="25">
        <v>0</v>
      </c>
      <c r="I123" s="25">
        <v>0</v>
      </c>
      <c r="J123" s="25">
        <v>0</v>
      </c>
      <c r="K123" s="25">
        <v>0</v>
      </c>
      <c r="L123" s="28">
        <v>19</v>
      </c>
      <c r="M123" s="11"/>
      <c r="N123" s="11"/>
      <c r="O123" s="11"/>
      <c r="P123" s="11"/>
      <c r="Q123" s="36">
        <v>-19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3</v>
      </c>
      <c r="F124" s="25">
        <v>7</v>
      </c>
      <c r="G124" s="25">
        <v>9</v>
      </c>
      <c r="H124" s="25">
        <v>0</v>
      </c>
      <c r="I124" s="25">
        <v>0</v>
      </c>
      <c r="J124" s="25">
        <v>0</v>
      </c>
      <c r="K124" s="25">
        <v>0</v>
      </c>
      <c r="L124" s="28">
        <v>19</v>
      </c>
      <c r="M124" s="11"/>
      <c r="N124" s="11">
        <v>1</v>
      </c>
      <c r="O124" s="11"/>
      <c r="P124" s="11"/>
      <c r="Q124" s="36">
        <v>-18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25">
        <v>1</v>
      </c>
      <c r="F125" s="25">
        <v>9</v>
      </c>
      <c r="G125" s="25">
        <v>37</v>
      </c>
      <c r="H125" s="25">
        <v>0</v>
      </c>
      <c r="I125" s="25">
        <v>0</v>
      </c>
      <c r="J125" s="25">
        <v>0</v>
      </c>
      <c r="K125" s="25">
        <v>0</v>
      </c>
      <c r="L125" s="28">
        <v>47</v>
      </c>
      <c r="M125" s="11"/>
      <c r="N125" s="11">
        <v>44</v>
      </c>
      <c r="O125" s="11"/>
      <c r="P125" s="11"/>
      <c r="Q125" s="36">
        <v>-3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42</v>
      </c>
      <c r="F126" s="25">
        <v>44</v>
      </c>
      <c r="G126" s="25">
        <v>104</v>
      </c>
      <c r="H126" s="25">
        <v>0</v>
      </c>
      <c r="I126" s="25">
        <v>0</v>
      </c>
      <c r="J126" s="25">
        <v>0</v>
      </c>
      <c r="K126" s="25">
        <v>0</v>
      </c>
      <c r="L126" s="28">
        <v>190</v>
      </c>
      <c r="M126" s="11"/>
      <c r="N126" s="11">
        <v>401</v>
      </c>
      <c r="O126" s="11"/>
      <c r="P126" s="11"/>
      <c r="Q126" s="36">
        <v>211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>
        <v>12</v>
      </c>
      <c r="O130" s="11"/>
      <c r="P130" s="11"/>
      <c r="Q130" s="36">
        <v>12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3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3</v>
      </c>
      <c r="M135" s="11"/>
      <c r="N135" s="11"/>
      <c r="O135" s="11"/>
      <c r="P135" s="11"/>
      <c r="Q135" s="36">
        <v>-3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145</v>
      </c>
      <c r="E140" s="28">
        <v>703</v>
      </c>
      <c r="F140" s="28">
        <v>177</v>
      </c>
      <c r="G140" s="28">
        <v>1675</v>
      </c>
      <c r="H140" s="28">
        <v>0</v>
      </c>
      <c r="I140" s="28">
        <v>0</v>
      </c>
      <c r="J140" s="28">
        <v>0</v>
      </c>
      <c r="K140" s="28">
        <v>60</v>
      </c>
      <c r="L140" s="28">
        <v>2760</v>
      </c>
      <c r="M140" s="25">
        <v>0</v>
      </c>
      <c r="N140" s="25">
        <v>8514</v>
      </c>
      <c r="O140" s="25"/>
      <c r="P140" s="25"/>
      <c r="Q140" s="36">
        <v>5754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9DBF-22EF-4678-A1F1-8E61EB55ACC9}">
  <dimension ref="A1:P143"/>
  <sheetViews>
    <sheetView workbookViewId="0">
      <selection activeCell="S21" sqref="S21"/>
    </sheetView>
  </sheetViews>
  <sheetFormatPr defaultRowHeight="13.8" x14ac:dyDescent="0.25"/>
  <sheetData>
    <row r="1" spans="1:16" ht="22.2" x14ac:dyDescent="0.25">
      <c r="A1" s="50" t="s">
        <v>146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6" ht="22.2" x14ac:dyDescent="0.25">
      <c r="A2" s="51"/>
      <c r="B2" s="52"/>
      <c r="C2" s="1"/>
      <c r="D2" s="53"/>
      <c r="E2" s="53"/>
      <c r="F2" s="2"/>
      <c r="G2" s="2"/>
      <c r="H2" s="2"/>
      <c r="I2" s="2"/>
      <c r="J2" s="2"/>
      <c r="K2" s="3" t="s">
        <v>1</v>
      </c>
      <c r="L2" s="55" t="s">
        <v>2</v>
      </c>
      <c r="M2" s="55" t="s">
        <v>3</v>
      </c>
      <c r="N2" s="55" t="s">
        <v>139</v>
      </c>
      <c r="O2" s="55" t="s">
        <v>140</v>
      </c>
      <c r="P2" s="62" t="s">
        <v>4</v>
      </c>
    </row>
    <row r="3" spans="1:16" ht="22.2" x14ac:dyDescent="0.25">
      <c r="A3" s="51"/>
      <c r="B3" s="52"/>
      <c r="C3" s="4"/>
      <c r="D3" s="54"/>
      <c r="E3" s="54"/>
      <c r="F3" s="5"/>
      <c r="G3" s="5"/>
      <c r="H3" s="5"/>
      <c r="I3" s="33"/>
      <c r="J3" s="33"/>
      <c r="K3" s="6" t="s">
        <v>5</v>
      </c>
      <c r="L3" s="56"/>
      <c r="M3" s="56"/>
      <c r="N3" s="56"/>
      <c r="O3" s="56"/>
      <c r="P3" s="63"/>
    </row>
    <row r="4" spans="1:16" ht="22.2" x14ac:dyDescent="0.25">
      <c r="A4" s="7" t="s">
        <v>6</v>
      </c>
      <c r="B4" s="8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34" t="s">
        <v>14</v>
      </c>
      <c r="J4" s="34" t="s">
        <v>15</v>
      </c>
      <c r="K4" s="10" t="s">
        <v>16</v>
      </c>
      <c r="L4" s="57"/>
      <c r="M4" s="57"/>
      <c r="N4" s="57"/>
      <c r="O4" s="57"/>
      <c r="P4" s="64"/>
    </row>
    <row r="5" spans="1:16" ht="22.2" x14ac:dyDescent="0.25">
      <c r="A5" s="11"/>
      <c r="B5" s="12"/>
      <c r="C5" s="13"/>
      <c r="D5" s="9"/>
      <c r="E5" s="9"/>
      <c r="F5" s="9"/>
      <c r="G5" s="9"/>
      <c r="H5" s="9"/>
      <c r="I5" s="34"/>
      <c r="J5" s="34"/>
      <c r="K5" s="14"/>
      <c r="L5" s="11"/>
      <c r="M5" s="11"/>
      <c r="N5" s="11"/>
      <c r="O5" s="11"/>
      <c r="P5" s="24"/>
    </row>
    <row r="6" spans="1:16" ht="20.399999999999999" x14ac:dyDescent="0.25">
      <c r="A6" s="58" t="s">
        <v>17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</row>
    <row r="7" spans="1:16" ht="22.2" x14ac:dyDescent="0.25">
      <c r="A7" s="11">
        <v>1111002</v>
      </c>
      <c r="B7" s="15" t="s">
        <v>18</v>
      </c>
      <c r="C7" s="25">
        <v>9</v>
      </c>
      <c r="D7" s="25">
        <v>42</v>
      </c>
      <c r="E7" s="25">
        <v>67</v>
      </c>
      <c r="F7" s="25">
        <v>1</v>
      </c>
      <c r="G7" s="25">
        <v>3</v>
      </c>
      <c r="H7" s="25">
        <v>0</v>
      </c>
      <c r="I7" s="25">
        <v>0</v>
      </c>
      <c r="J7" s="25">
        <v>70</v>
      </c>
      <c r="K7" s="28">
        <v>192</v>
      </c>
      <c r="L7" s="11"/>
      <c r="M7" s="11"/>
      <c r="N7" s="11"/>
      <c r="O7" s="11"/>
      <c r="P7" s="36">
        <v>-192</v>
      </c>
    </row>
    <row r="8" spans="1:16" ht="22.2" x14ac:dyDescent="0.25">
      <c r="A8" s="11"/>
      <c r="B8" s="15" t="s">
        <v>19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8">
        <v>0</v>
      </c>
      <c r="L8" s="11"/>
      <c r="M8" s="11"/>
      <c r="N8" s="11"/>
      <c r="O8" s="11"/>
      <c r="P8" s="36">
        <v>0</v>
      </c>
    </row>
    <row r="9" spans="1:16" ht="22.2" x14ac:dyDescent="0.25">
      <c r="A9" s="11">
        <v>1111084</v>
      </c>
      <c r="B9" s="15" t="s">
        <v>20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8">
        <v>0</v>
      </c>
      <c r="L9" s="11"/>
      <c r="M9" s="11"/>
      <c r="N9" s="11"/>
      <c r="O9" s="11"/>
      <c r="P9" s="36">
        <v>0</v>
      </c>
    </row>
    <row r="10" spans="1:16" ht="22.2" x14ac:dyDescent="0.25">
      <c r="A10" s="11">
        <v>1111085</v>
      </c>
      <c r="B10" s="15" t="s">
        <v>21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8">
        <v>0</v>
      </c>
      <c r="L10" s="11"/>
      <c r="M10" s="11"/>
      <c r="N10" s="11"/>
      <c r="O10" s="11"/>
      <c r="P10" s="36">
        <v>0</v>
      </c>
    </row>
    <row r="11" spans="1:16" ht="22.2" x14ac:dyDescent="0.25">
      <c r="A11" s="11">
        <v>1111086</v>
      </c>
      <c r="B11" s="15" t="s">
        <v>22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8">
        <v>0</v>
      </c>
      <c r="L11" s="11"/>
      <c r="M11" s="11"/>
      <c r="N11" s="11"/>
      <c r="O11" s="11"/>
      <c r="P11" s="36">
        <v>0</v>
      </c>
    </row>
    <row r="12" spans="1:16" ht="22.2" x14ac:dyDescent="0.25">
      <c r="A12" s="11">
        <v>1111087</v>
      </c>
      <c r="B12" s="15" t="s">
        <v>23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8">
        <v>0</v>
      </c>
      <c r="L12" s="11"/>
      <c r="M12" s="11"/>
      <c r="N12" s="11"/>
      <c r="O12" s="11"/>
      <c r="P12" s="36">
        <v>0</v>
      </c>
    </row>
    <row r="13" spans="1:16" ht="22.2" x14ac:dyDescent="0.25">
      <c r="A13" s="11">
        <v>1111088</v>
      </c>
      <c r="B13" s="15" t="s">
        <v>24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8">
        <v>0</v>
      </c>
      <c r="L13" s="11"/>
      <c r="M13" s="11"/>
      <c r="N13" s="11"/>
      <c r="O13" s="11"/>
      <c r="P13" s="36">
        <v>0</v>
      </c>
    </row>
    <row r="14" spans="1:16" ht="22.2" x14ac:dyDescent="0.25">
      <c r="A14" s="11">
        <v>1111089</v>
      </c>
      <c r="B14" s="15" t="s">
        <v>25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8">
        <v>0</v>
      </c>
      <c r="L14" s="11"/>
      <c r="M14" s="11"/>
      <c r="N14" s="11"/>
      <c r="O14" s="11"/>
      <c r="P14" s="36">
        <v>0</v>
      </c>
    </row>
    <row r="15" spans="1:16" ht="22.2" x14ac:dyDescent="0.25">
      <c r="A15" s="11">
        <v>1111090</v>
      </c>
      <c r="B15" s="15" t="s">
        <v>26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8">
        <v>0</v>
      </c>
      <c r="L15" s="11"/>
      <c r="M15" s="11"/>
      <c r="N15" s="11"/>
      <c r="O15" s="11"/>
      <c r="P15" s="36">
        <v>0</v>
      </c>
    </row>
    <row r="16" spans="1:16" ht="22.2" x14ac:dyDescent="0.25">
      <c r="A16" s="11">
        <v>1111091</v>
      </c>
      <c r="B16" s="15" t="s">
        <v>27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8">
        <v>0</v>
      </c>
      <c r="L16" s="11"/>
      <c r="M16" s="11"/>
      <c r="N16" s="11"/>
      <c r="O16" s="11"/>
      <c r="P16" s="36">
        <v>0</v>
      </c>
    </row>
    <row r="17" spans="1:16" ht="22.2" x14ac:dyDescent="0.25">
      <c r="A17" s="11">
        <v>1111092</v>
      </c>
      <c r="B17" s="15" t="s">
        <v>28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8">
        <v>0</v>
      </c>
      <c r="L17" s="11"/>
      <c r="M17" s="11"/>
      <c r="N17" s="11"/>
      <c r="O17" s="11"/>
      <c r="P17" s="36">
        <v>0</v>
      </c>
    </row>
    <row r="18" spans="1:16" ht="22.2" x14ac:dyDescent="0.25">
      <c r="A18" s="11">
        <v>1111093</v>
      </c>
      <c r="B18" s="15" t="s">
        <v>29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8">
        <v>0</v>
      </c>
      <c r="L18" s="11"/>
      <c r="M18" s="11"/>
      <c r="N18" s="11"/>
      <c r="O18" s="11"/>
      <c r="P18" s="36">
        <v>0</v>
      </c>
    </row>
    <row r="19" spans="1:16" ht="22.2" x14ac:dyDescent="0.25">
      <c r="A19" s="11">
        <v>1111094</v>
      </c>
      <c r="B19" s="15" t="s">
        <v>30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8">
        <v>0</v>
      </c>
      <c r="L19" s="11"/>
      <c r="M19" s="11"/>
      <c r="N19" s="11"/>
      <c r="O19" s="11"/>
      <c r="P19" s="36">
        <v>0</v>
      </c>
    </row>
    <row r="20" spans="1:16" ht="22.2" x14ac:dyDescent="0.25">
      <c r="A20" s="11">
        <v>1111095</v>
      </c>
      <c r="B20" s="15" t="s">
        <v>31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8">
        <v>0</v>
      </c>
      <c r="L20" s="11"/>
      <c r="M20" s="11"/>
      <c r="N20" s="11"/>
      <c r="O20" s="11"/>
      <c r="P20" s="36">
        <v>0</v>
      </c>
    </row>
    <row r="21" spans="1:16" ht="22.2" x14ac:dyDescent="0.25">
      <c r="A21" s="11">
        <v>1111096</v>
      </c>
      <c r="B21" s="15" t="s">
        <v>32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8">
        <v>0</v>
      </c>
      <c r="L21" s="11"/>
      <c r="M21" s="11"/>
      <c r="N21" s="11"/>
      <c r="O21" s="11"/>
      <c r="P21" s="36">
        <v>0</v>
      </c>
    </row>
    <row r="22" spans="1:16" ht="22.2" x14ac:dyDescent="0.25">
      <c r="A22" s="11">
        <v>1111097</v>
      </c>
      <c r="B22" s="15" t="s">
        <v>33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8">
        <v>0</v>
      </c>
      <c r="L22" s="11"/>
      <c r="M22" s="11"/>
      <c r="N22" s="11"/>
      <c r="O22" s="11"/>
      <c r="P22" s="36">
        <v>0</v>
      </c>
    </row>
    <row r="23" spans="1:16" ht="22.2" x14ac:dyDescent="0.25">
      <c r="A23" s="11">
        <v>1111098</v>
      </c>
      <c r="B23" s="15" t="s">
        <v>34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8">
        <v>0</v>
      </c>
      <c r="L23" s="11"/>
      <c r="M23" s="11"/>
      <c r="N23" s="11"/>
      <c r="O23" s="11"/>
      <c r="P23" s="36">
        <v>0</v>
      </c>
    </row>
    <row r="24" spans="1:16" ht="22.2" x14ac:dyDescent="0.25">
      <c r="A24" s="11">
        <v>1111043</v>
      </c>
      <c r="B24" s="15" t="s">
        <v>35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8">
        <v>0</v>
      </c>
      <c r="L24" s="11"/>
      <c r="M24" s="11"/>
      <c r="N24" s="11"/>
      <c r="O24" s="11"/>
      <c r="P24" s="36">
        <v>0</v>
      </c>
    </row>
    <row r="25" spans="1:16" ht="22.2" x14ac:dyDescent="0.25">
      <c r="A25" s="11">
        <v>1111056</v>
      </c>
      <c r="B25" s="15" t="s">
        <v>36</v>
      </c>
      <c r="C25" s="25">
        <v>3</v>
      </c>
      <c r="D25" s="25">
        <v>2</v>
      </c>
      <c r="E25" s="25">
        <v>3</v>
      </c>
      <c r="F25" s="25">
        <v>2</v>
      </c>
      <c r="G25" s="25">
        <v>3</v>
      </c>
      <c r="H25" s="25">
        <v>0</v>
      </c>
      <c r="I25" s="25">
        <v>0</v>
      </c>
      <c r="J25" s="25">
        <v>0</v>
      </c>
      <c r="K25" s="28">
        <v>13</v>
      </c>
      <c r="L25" s="11"/>
      <c r="M25" s="11"/>
      <c r="N25" s="11"/>
      <c r="O25" s="11"/>
      <c r="P25" s="36">
        <v>-13</v>
      </c>
    </row>
    <row r="26" spans="1:16" ht="22.2" x14ac:dyDescent="0.25">
      <c r="A26" s="11">
        <v>1004055</v>
      </c>
      <c r="B26" s="15" t="s">
        <v>37</v>
      </c>
      <c r="C26" s="25">
        <v>20</v>
      </c>
      <c r="D26" s="25">
        <v>5</v>
      </c>
      <c r="E26" s="25">
        <v>0</v>
      </c>
      <c r="F26" s="25">
        <v>97</v>
      </c>
      <c r="G26" s="25">
        <v>33</v>
      </c>
      <c r="H26" s="25">
        <v>0</v>
      </c>
      <c r="I26" s="25">
        <v>0</v>
      </c>
      <c r="J26" s="25">
        <v>5</v>
      </c>
      <c r="K26" s="28">
        <v>160</v>
      </c>
      <c r="L26" s="11"/>
      <c r="M26" s="11"/>
      <c r="N26" s="11"/>
      <c r="O26" s="11"/>
      <c r="P26" s="36">
        <v>-160</v>
      </c>
    </row>
    <row r="27" spans="1:16" ht="22.2" x14ac:dyDescent="0.25">
      <c r="A27" s="11">
        <v>1004055</v>
      </c>
      <c r="B27" s="15" t="s">
        <v>38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8">
        <v>0</v>
      </c>
      <c r="L27" s="11"/>
      <c r="M27" s="11"/>
      <c r="N27" s="11"/>
      <c r="O27" s="11"/>
      <c r="P27" s="36">
        <v>0</v>
      </c>
    </row>
    <row r="28" spans="1:16" ht="22.2" x14ac:dyDescent="0.25">
      <c r="A28" s="11">
        <v>1004055</v>
      </c>
      <c r="B28" s="15" t="s">
        <v>39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8">
        <v>0</v>
      </c>
      <c r="L28" s="11"/>
      <c r="M28" s="11"/>
      <c r="N28" s="11"/>
      <c r="O28" s="11"/>
      <c r="P28" s="36">
        <v>0</v>
      </c>
    </row>
    <row r="29" spans="1:16" ht="22.2" x14ac:dyDescent="0.25">
      <c r="A29" s="11">
        <v>1004055</v>
      </c>
      <c r="B29" s="15" t="s">
        <v>40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8">
        <v>0</v>
      </c>
      <c r="L29" s="11"/>
      <c r="M29" s="11"/>
      <c r="N29" s="11"/>
      <c r="O29" s="11"/>
      <c r="P29" s="36">
        <v>0</v>
      </c>
    </row>
    <row r="30" spans="1:16" ht="22.2" x14ac:dyDescent="0.25">
      <c r="A30" s="11">
        <v>1004055</v>
      </c>
      <c r="B30" s="15" t="s">
        <v>41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8">
        <v>0</v>
      </c>
      <c r="L30" s="11"/>
      <c r="M30" s="11"/>
      <c r="N30" s="11"/>
      <c r="O30" s="11"/>
      <c r="P30" s="36">
        <v>0</v>
      </c>
    </row>
    <row r="31" spans="1:16" ht="22.2" x14ac:dyDescent="0.25">
      <c r="A31" s="11">
        <v>1004055</v>
      </c>
      <c r="B31" s="15" t="s">
        <v>42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8">
        <v>0</v>
      </c>
      <c r="L31" s="11"/>
      <c r="M31" s="11"/>
      <c r="N31" s="11"/>
      <c r="O31" s="11"/>
      <c r="P31" s="36">
        <v>0</v>
      </c>
    </row>
    <row r="32" spans="1:16" ht="22.2" x14ac:dyDescent="0.25">
      <c r="A32" s="11">
        <v>1004055</v>
      </c>
      <c r="B32" s="15" t="s">
        <v>43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8">
        <v>0</v>
      </c>
      <c r="L32" s="11"/>
      <c r="M32" s="11"/>
      <c r="N32" s="11"/>
      <c r="O32" s="11"/>
      <c r="P32" s="36">
        <v>0</v>
      </c>
    </row>
    <row r="33" spans="1:16" ht="22.2" x14ac:dyDescent="0.25">
      <c r="A33" s="11">
        <v>1004055</v>
      </c>
      <c r="B33" s="15" t="s">
        <v>44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8">
        <v>0</v>
      </c>
      <c r="L33" s="11"/>
      <c r="M33" s="11"/>
      <c r="N33" s="11"/>
      <c r="O33" s="11"/>
      <c r="P33" s="36">
        <v>0</v>
      </c>
    </row>
    <row r="34" spans="1:16" ht="22.2" x14ac:dyDescent="0.25">
      <c r="A34" s="11">
        <v>1004055</v>
      </c>
      <c r="B34" s="15" t="s">
        <v>45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8">
        <v>0</v>
      </c>
      <c r="L34" s="11"/>
      <c r="M34" s="11"/>
      <c r="N34" s="11"/>
      <c r="O34" s="11"/>
      <c r="P34" s="36">
        <v>0</v>
      </c>
    </row>
    <row r="35" spans="1:16" ht="22.2" x14ac:dyDescent="0.25">
      <c r="A35" s="11">
        <v>1004055</v>
      </c>
      <c r="B35" s="15" t="s">
        <v>46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8">
        <v>0</v>
      </c>
      <c r="L35" s="11"/>
      <c r="M35" s="11"/>
      <c r="N35" s="11"/>
      <c r="O35" s="11"/>
      <c r="P35" s="36">
        <v>0</v>
      </c>
    </row>
    <row r="36" spans="1:16" ht="22.2" x14ac:dyDescent="0.25">
      <c r="A36" s="11">
        <v>1004055</v>
      </c>
      <c r="B36" s="15" t="s">
        <v>47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8">
        <v>0</v>
      </c>
      <c r="L36" s="11"/>
      <c r="M36" s="11"/>
      <c r="N36" s="11"/>
      <c r="O36" s="11"/>
      <c r="P36" s="36">
        <v>0</v>
      </c>
    </row>
    <row r="37" spans="1:16" ht="22.2" x14ac:dyDescent="0.25">
      <c r="A37" s="11">
        <v>1004055</v>
      </c>
      <c r="B37" s="15" t="s">
        <v>48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8">
        <v>0</v>
      </c>
      <c r="L37" s="11"/>
      <c r="M37" s="11"/>
      <c r="N37" s="11"/>
      <c r="O37" s="11"/>
      <c r="P37" s="36">
        <v>0</v>
      </c>
    </row>
    <row r="38" spans="1:16" ht="22.2" x14ac:dyDescent="0.25">
      <c r="A38" s="11">
        <v>1004055</v>
      </c>
      <c r="B38" s="15" t="s">
        <v>49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8">
        <v>0</v>
      </c>
      <c r="L38" s="11"/>
      <c r="M38" s="11"/>
      <c r="N38" s="11"/>
      <c r="O38" s="11"/>
      <c r="P38" s="36">
        <v>0</v>
      </c>
    </row>
    <row r="39" spans="1:16" ht="22.2" x14ac:dyDescent="0.25">
      <c r="A39" s="11">
        <v>1004055</v>
      </c>
      <c r="B39" s="15" t="s">
        <v>50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8">
        <v>0</v>
      </c>
      <c r="L39" s="11"/>
      <c r="M39" s="11"/>
      <c r="N39" s="11"/>
      <c r="O39" s="11"/>
      <c r="P39" s="36">
        <v>0</v>
      </c>
    </row>
    <row r="40" spans="1:16" ht="22.2" x14ac:dyDescent="0.25">
      <c r="A40" s="11">
        <v>1111057</v>
      </c>
      <c r="B40" s="15" t="s">
        <v>51</v>
      </c>
      <c r="C40" s="25">
        <v>5</v>
      </c>
      <c r="D40" s="25">
        <v>14</v>
      </c>
      <c r="E40" s="25">
        <v>1</v>
      </c>
      <c r="F40" s="25">
        <v>1</v>
      </c>
      <c r="G40" s="25">
        <v>0</v>
      </c>
      <c r="H40" s="25">
        <v>0</v>
      </c>
      <c r="I40" s="25">
        <v>0</v>
      </c>
      <c r="J40" s="25">
        <v>0</v>
      </c>
      <c r="K40" s="28">
        <v>21</v>
      </c>
      <c r="L40" s="11"/>
      <c r="M40" s="11"/>
      <c r="N40" s="11"/>
      <c r="O40" s="11"/>
      <c r="P40" s="36">
        <v>-21</v>
      </c>
    </row>
    <row r="41" spans="1:16" ht="22.2" x14ac:dyDescent="0.25">
      <c r="A41" s="11">
        <v>1111058</v>
      </c>
      <c r="B41" s="15" t="s">
        <v>52</v>
      </c>
      <c r="C41" s="25">
        <v>0</v>
      </c>
      <c r="D41" s="25">
        <v>9</v>
      </c>
      <c r="E41" s="25">
        <v>1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8">
        <v>10</v>
      </c>
      <c r="L41" s="11"/>
      <c r="M41" s="11"/>
      <c r="N41" s="11"/>
      <c r="O41" s="11"/>
      <c r="P41" s="36">
        <v>-10</v>
      </c>
    </row>
    <row r="42" spans="1:16" ht="22.2" x14ac:dyDescent="0.25">
      <c r="A42" s="11">
        <v>1111059</v>
      </c>
      <c r="B42" s="15" t="s">
        <v>53</v>
      </c>
      <c r="C42" s="25">
        <v>5</v>
      </c>
      <c r="D42" s="25">
        <v>14</v>
      </c>
      <c r="E42" s="25">
        <v>1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8">
        <v>20</v>
      </c>
      <c r="L42" s="11"/>
      <c r="M42" s="11"/>
      <c r="N42" s="11"/>
      <c r="O42" s="11"/>
      <c r="P42" s="36">
        <v>-20</v>
      </c>
    </row>
    <row r="43" spans="1:16" ht="22.2" x14ac:dyDescent="0.25">
      <c r="A43" s="11">
        <v>1111060</v>
      </c>
      <c r="B43" s="15" t="s">
        <v>54</v>
      </c>
      <c r="C43" s="25">
        <v>0</v>
      </c>
      <c r="D43" s="25">
        <v>2</v>
      </c>
      <c r="E43" s="25">
        <v>1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8">
        <v>3</v>
      </c>
      <c r="L43" s="11"/>
      <c r="M43" s="11"/>
      <c r="N43" s="11"/>
      <c r="O43" s="11"/>
      <c r="P43" s="36">
        <v>-3</v>
      </c>
    </row>
    <row r="44" spans="1:16" ht="22.2" x14ac:dyDescent="0.25">
      <c r="A44" s="11">
        <v>1111061</v>
      </c>
      <c r="B44" s="15" t="s">
        <v>55</v>
      </c>
      <c r="C44" s="25">
        <v>0</v>
      </c>
      <c r="D44" s="25">
        <v>9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8">
        <v>9</v>
      </c>
      <c r="L44" s="11"/>
      <c r="M44" s="11"/>
      <c r="N44" s="11"/>
      <c r="O44" s="11"/>
      <c r="P44" s="36">
        <v>-9</v>
      </c>
    </row>
    <row r="45" spans="1:16" ht="22.2" x14ac:dyDescent="0.25">
      <c r="A45" s="11">
        <v>1111062</v>
      </c>
      <c r="B45" s="15" t="s">
        <v>56</v>
      </c>
      <c r="C45" s="25">
        <v>0</v>
      </c>
      <c r="D45" s="25">
        <v>12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8">
        <v>12</v>
      </c>
      <c r="L45" s="11"/>
      <c r="M45" s="11"/>
      <c r="N45" s="11"/>
      <c r="O45" s="11"/>
      <c r="P45" s="36">
        <v>-12</v>
      </c>
    </row>
    <row r="46" spans="1:16" ht="22.2" x14ac:dyDescent="0.25">
      <c r="A46" s="11">
        <v>1111063</v>
      </c>
      <c r="B46" s="15" t="s">
        <v>57</v>
      </c>
      <c r="C46" s="25">
        <v>0</v>
      </c>
      <c r="D46" s="25">
        <v>14</v>
      </c>
      <c r="E46" s="25">
        <v>1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8">
        <v>15</v>
      </c>
      <c r="L46" s="11"/>
      <c r="M46" s="11"/>
      <c r="N46" s="11"/>
      <c r="O46" s="11"/>
      <c r="P46" s="36">
        <v>-15</v>
      </c>
    </row>
    <row r="47" spans="1:16" ht="22.2" x14ac:dyDescent="0.25">
      <c r="A47" s="11">
        <v>1111064</v>
      </c>
      <c r="B47" s="15" t="s">
        <v>58</v>
      </c>
      <c r="C47" s="25">
        <v>0</v>
      </c>
      <c r="D47" s="25">
        <v>14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8">
        <v>14</v>
      </c>
      <c r="L47" s="11"/>
      <c r="M47" s="11"/>
      <c r="N47" s="11"/>
      <c r="O47" s="11"/>
      <c r="P47" s="36">
        <v>-14</v>
      </c>
    </row>
    <row r="48" spans="1:16" ht="22.2" x14ac:dyDescent="0.25">
      <c r="A48" s="11">
        <v>1111065</v>
      </c>
      <c r="B48" s="15" t="s">
        <v>59</v>
      </c>
      <c r="C48" s="25">
        <v>5</v>
      </c>
      <c r="D48" s="25">
        <v>2</v>
      </c>
      <c r="E48" s="25">
        <v>1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8">
        <v>8</v>
      </c>
      <c r="L48" s="11"/>
      <c r="M48" s="11"/>
      <c r="N48" s="11"/>
      <c r="O48" s="11"/>
      <c r="P48" s="36">
        <v>-8</v>
      </c>
    </row>
    <row r="49" spans="1:16" ht="22.2" x14ac:dyDescent="0.25">
      <c r="A49" s="11">
        <v>1111066</v>
      </c>
      <c r="B49" s="15" t="s">
        <v>60</v>
      </c>
      <c r="C49" s="25">
        <v>0</v>
      </c>
      <c r="D49" s="25">
        <v>14</v>
      </c>
      <c r="E49" s="25">
        <v>1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8">
        <v>15</v>
      </c>
      <c r="L49" s="11"/>
      <c r="M49" s="11"/>
      <c r="N49" s="11"/>
      <c r="O49" s="11"/>
      <c r="P49" s="36">
        <v>-15</v>
      </c>
    </row>
    <row r="50" spans="1:16" ht="22.2" x14ac:dyDescent="0.25">
      <c r="A50" s="11">
        <v>1111067</v>
      </c>
      <c r="B50" s="15" t="s">
        <v>61</v>
      </c>
      <c r="C50" s="25">
        <v>5</v>
      </c>
      <c r="D50" s="25">
        <v>14</v>
      </c>
      <c r="E50" s="25">
        <v>1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8">
        <v>20</v>
      </c>
      <c r="L50" s="11"/>
      <c r="M50" s="11"/>
      <c r="N50" s="11"/>
      <c r="O50" s="11"/>
      <c r="P50" s="36">
        <v>-20</v>
      </c>
    </row>
    <row r="51" spans="1:16" ht="22.2" x14ac:dyDescent="0.25">
      <c r="A51" s="11">
        <v>1111068</v>
      </c>
      <c r="B51" s="15" t="s">
        <v>62</v>
      </c>
      <c r="C51" s="25">
        <v>5</v>
      </c>
      <c r="D51" s="25">
        <v>14</v>
      </c>
      <c r="E51" s="25">
        <v>1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8">
        <v>20</v>
      </c>
      <c r="L51" s="11"/>
      <c r="M51" s="11"/>
      <c r="N51" s="11"/>
      <c r="O51" s="11"/>
      <c r="P51" s="36">
        <v>-20</v>
      </c>
    </row>
    <row r="52" spans="1:16" ht="22.2" x14ac:dyDescent="0.25">
      <c r="A52" s="11">
        <v>1111069</v>
      </c>
      <c r="B52" s="15" t="s">
        <v>63</v>
      </c>
      <c r="C52" s="25">
        <v>0</v>
      </c>
      <c r="D52" s="25">
        <v>14</v>
      </c>
      <c r="E52" s="25">
        <v>1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8">
        <v>15</v>
      </c>
      <c r="L52" s="11"/>
      <c r="M52" s="11"/>
      <c r="N52" s="11"/>
      <c r="O52" s="11"/>
      <c r="P52" s="36">
        <v>-15</v>
      </c>
    </row>
    <row r="53" spans="1:16" ht="22.2" x14ac:dyDescent="0.25">
      <c r="A53" s="11">
        <v>1111070</v>
      </c>
      <c r="B53" s="15" t="s">
        <v>64</v>
      </c>
      <c r="C53" s="25">
        <v>0</v>
      </c>
      <c r="D53" s="25">
        <v>2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8">
        <v>2</v>
      </c>
      <c r="L53" s="11"/>
      <c r="M53" s="11"/>
      <c r="N53" s="11"/>
      <c r="O53" s="11"/>
      <c r="P53" s="36">
        <v>-2</v>
      </c>
    </row>
    <row r="54" spans="1:16" ht="22.2" x14ac:dyDescent="0.25">
      <c r="A54" s="11">
        <v>1111071</v>
      </c>
      <c r="B54" s="15" t="s">
        <v>65</v>
      </c>
      <c r="C54" s="25">
        <v>0</v>
      </c>
      <c r="D54" s="25">
        <v>2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8">
        <v>2</v>
      </c>
      <c r="L54" s="11"/>
      <c r="M54" s="11"/>
      <c r="N54" s="11"/>
      <c r="O54" s="11"/>
      <c r="P54" s="36">
        <v>-2</v>
      </c>
    </row>
    <row r="55" spans="1:16" ht="22.2" x14ac:dyDescent="0.25">
      <c r="A55" s="11">
        <v>1111001</v>
      </c>
      <c r="B55" s="15" t="s">
        <v>66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8">
        <v>0</v>
      </c>
      <c r="L55" s="11"/>
      <c r="M55" s="11"/>
      <c r="N55" s="11"/>
      <c r="O55" s="11"/>
      <c r="P55" s="36">
        <v>0</v>
      </c>
    </row>
    <row r="56" spans="1:16" ht="22.2" x14ac:dyDescent="0.25">
      <c r="A56" s="11">
        <v>1111074</v>
      </c>
      <c r="B56" s="15" t="s">
        <v>67</v>
      </c>
      <c r="C56" s="25">
        <v>27</v>
      </c>
      <c r="D56" s="25">
        <v>0</v>
      </c>
      <c r="E56" s="25">
        <v>2</v>
      </c>
      <c r="F56" s="25">
        <v>2</v>
      </c>
      <c r="G56" s="25">
        <v>0</v>
      </c>
      <c r="H56" s="25">
        <v>0</v>
      </c>
      <c r="I56" s="25">
        <v>0</v>
      </c>
      <c r="J56" s="25">
        <v>0</v>
      </c>
      <c r="K56" s="28">
        <v>31</v>
      </c>
      <c r="L56" s="11"/>
      <c r="M56" s="11"/>
      <c r="N56" s="11"/>
      <c r="O56" s="11"/>
      <c r="P56" s="36">
        <v>-31</v>
      </c>
    </row>
    <row r="57" spans="1:16" ht="22.2" x14ac:dyDescent="0.25">
      <c r="A57" s="11">
        <v>1111075</v>
      </c>
      <c r="B57" s="15" t="s">
        <v>68</v>
      </c>
      <c r="C57" s="25">
        <v>27</v>
      </c>
      <c r="D57" s="25">
        <v>0</v>
      </c>
      <c r="E57" s="25">
        <v>2</v>
      </c>
      <c r="F57" s="25">
        <v>1</v>
      </c>
      <c r="G57" s="25">
        <v>0</v>
      </c>
      <c r="H57" s="25">
        <v>0</v>
      </c>
      <c r="I57" s="25">
        <v>0</v>
      </c>
      <c r="J57" s="25">
        <v>0</v>
      </c>
      <c r="K57" s="28">
        <v>30</v>
      </c>
      <c r="L57" s="11"/>
      <c r="M57" s="11"/>
      <c r="N57" s="11"/>
      <c r="O57" s="11"/>
      <c r="P57" s="36">
        <v>-30</v>
      </c>
    </row>
    <row r="58" spans="1:16" ht="22.2" x14ac:dyDescent="0.25">
      <c r="A58" s="11">
        <v>1111076</v>
      </c>
      <c r="B58" s="15" t="s">
        <v>69</v>
      </c>
      <c r="C58" s="25">
        <v>22</v>
      </c>
      <c r="D58" s="25">
        <v>0</v>
      </c>
      <c r="E58" s="25">
        <v>2</v>
      </c>
      <c r="F58" s="25">
        <v>1</v>
      </c>
      <c r="G58" s="25">
        <v>0</v>
      </c>
      <c r="H58" s="25">
        <v>0</v>
      </c>
      <c r="I58" s="25">
        <v>0</v>
      </c>
      <c r="J58" s="25">
        <v>0</v>
      </c>
      <c r="K58" s="28">
        <v>25</v>
      </c>
      <c r="L58" s="11"/>
      <c r="M58" s="11"/>
      <c r="N58" s="11"/>
      <c r="O58" s="11"/>
      <c r="P58" s="36">
        <v>-25</v>
      </c>
    </row>
    <row r="59" spans="1:16" ht="22.2" x14ac:dyDescent="0.25">
      <c r="A59" s="11">
        <v>1111077</v>
      </c>
      <c r="B59" s="15" t="s">
        <v>70</v>
      </c>
      <c r="C59" s="25">
        <v>27</v>
      </c>
      <c r="D59" s="25">
        <v>0</v>
      </c>
      <c r="E59" s="25">
        <v>2</v>
      </c>
      <c r="F59" s="25">
        <v>1</v>
      </c>
      <c r="G59" s="25">
        <v>0</v>
      </c>
      <c r="H59" s="25">
        <v>0</v>
      </c>
      <c r="I59" s="25">
        <v>0</v>
      </c>
      <c r="J59" s="25">
        <v>0</v>
      </c>
      <c r="K59" s="28">
        <v>30</v>
      </c>
      <c r="L59" s="11"/>
      <c r="M59" s="11"/>
      <c r="N59" s="11"/>
      <c r="O59" s="11"/>
      <c r="P59" s="36">
        <v>-30</v>
      </c>
    </row>
    <row r="60" spans="1:16" ht="22.2" x14ac:dyDescent="0.25">
      <c r="A60" s="11">
        <v>1111078</v>
      </c>
      <c r="B60" s="15" t="s">
        <v>71</v>
      </c>
      <c r="C60" s="25">
        <v>27</v>
      </c>
      <c r="D60" s="25">
        <v>0</v>
      </c>
      <c r="E60" s="25">
        <v>2</v>
      </c>
      <c r="F60" s="25">
        <v>1</v>
      </c>
      <c r="G60" s="25">
        <v>0</v>
      </c>
      <c r="H60" s="25">
        <v>0</v>
      </c>
      <c r="I60" s="25">
        <v>0</v>
      </c>
      <c r="J60" s="25">
        <v>0</v>
      </c>
      <c r="K60" s="28">
        <v>30</v>
      </c>
      <c r="L60" s="11"/>
      <c r="M60" s="11"/>
      <c r="N60" s="11"/>
      <c r="O60" s="11"/>
      <c r="P60" s="36">
        <v>-30</v>
      </c>
    </row>
    <row r="61" spans="1:16" ht="22.2" x14ac:dyDescent="0.25">
      <c r="A61" s="11">
        <v>1111079</v>
      </c>
      <c r="B61" s="15" t="s">
        <v>72</v>
      </c>
      <c r="C61" s="25">
        <v>27</v>
      </c>
      <c r="D61" s="25">
        <v>0</v>
      </c>
      <c r="E61" s="25">
        <v>2</v>
      </c>
      <c r="F61" s="25">
        <v>1</v>
      </c>
      <c r="G61" s="25">
        <v>0</v>
      </c>
      <c r="H61" s="25">
        <v>0</v>
      </c>
      <c r="I61" s="25">
        <v>0</v>
      </c>
      <c r="J61" s="25">
        <v>0</v>
      </c>
      <c r="K61" s="28">
        <v>30</v>
      </c>
      <c r="L61" s="11"/>
      <c r="M61" s="11"/>
      <c r="N61" s="11"/>
      <c r="O61" s="11"/>
      <c r="P61" s="36">
        <v>-30</v>
      </c>
    </row>
    <row r="62" spans="1:16" ht="22.2" x14ac:dyDescent="0.25">
      <c r="A62" s="11">
        <v>1111080</v>
      </c>
      <c r="B62" s="15" t="s">
        <v>73</v>
      </c>
      <c r="C62" s="25">
        <v>22</v>
      </c>
      <c r="D62" s="25">
        <v>0</v>
      </c>
      <c r="E62" s="25">
        <v>2</v>
      </c>
      <c r="F62" s="25">
        <v>1</v>
      </c>
      <c r="G62" s="25">
        <v>0</v>
      </c>
      <c r="H62" s="25">
        <v>0</v>
      </c>
      <c r="I62" s="25">
        <v>0</v>
      </c>
      <c r="J62" s="25">
        <v>0</v>
      </c>
      <c r="K62" s="28">
        <v>25</v>
      </c>
      <c r="L62" s="11"/>
      <c r="M62" s="11"/>
      <c r="N62" s="11"/>
      <c r="O62" s="11"/>
      <c r="P62" s="36">
        <v>-25</v>
      </c>
    </row>
    <row r="63" spans="1:16" ht="22.2" x14ac:dyDescent="0.25">
      <c r="A63" s="11">
        <v>1111081</v>
      </c>
      <c r="B63" s="15" t="s">
        <v>74</v>
      </c>
      <c r="C63" s="25">
        <v>22</v>
      </c>
      <c r="D63" s="25">
        <v>0</v>
      </c>
      <c r="E63" s="25">
        <v>2</v>
      </c>
      <c r="F63" s="25">
        <v>1</v>
      </c>
      <c r="G63" s="25">
        <v>0</v>
      </c>
      <c r="H63" s="25">
        <v>0</v>
      </c>
      <c r="I63" s="25">
        <v>0</v>
      </c>
      <c r="J63" s="25">
        <v>0</v>
      </c>
      <c r="K63" s="28">
        <v>25</v>
      </c>
      <c r="L63" s="11"/>
      <c r="M63" s="11"/>
      <c r="N63" s="11"/>
      <c r="O63" s="11"/>
      <c r="P63" s="36">
        <v>-25</v>
      </c>
    </row>
    <row r="64" spans="1:16" ht="22.2" x14ac:dyDescent="0.25">
      <c r="A64" s="11">
        <v>1111082</v>
      </c>
      <c r="B64" s="15" t="s">
        <v>75</v>
      </c>
      <c r="C64" s="25">
        <v>22</v>
      </c>
      <c r="D64" s="25">
        <v>0</v>
      </c>
      <c r="E64" s="25">
        <v>2</v>
      </c>
      <c r="F64" s="25">
        <v>1</v>
      </c>
      <c r="G64" s="25">
        <v>0</v>
      </c>
      <c r="H64" s="25">
        <v>0</v>
      </c>
      <c r="I64" s="25">
        <v>0</v>
      </c>
      <c r="J64" s="25">
        <v>0</v>
      </c>
      <c r="K64" s="28">
        <v>25</v>
      </c>
      <c r="L64" s="11"/>
      <c r="M64" s="11"/>
      <c r="N64" s="11"/>
      <c r="O64" s="11"/>
      <c r="P64" s="36">
        <v>-25</v>
      </c>
    </row>
    <row r="65" spans="1:16" ht="22.2" x14ac:dyDescent="0.25">
      <c r="A65" s="11">
        <v>1111083</v>
      </c>
      <c r="B65" s="15" t="s">
        <v>76</v>
      </c>
      <c r="C65" s="25">
        <v>22</v>
      </c>
      <c r="D65" s="25">
        <v>0</v>
      </c>
      <c r="E65" s="25">
        <v>2</v>
      </c>
      <c r="F65" s="25">
        <v>1</v>
      </c>
      <c r="G65" s="25">
        <v>0</v>
      </c>
      <c r="H65" s="25">
        <v>0</v>
      </c>
      <c r="I65" s="25">
        <v>0</v>
      </c>
      <c r="J65" s="25">
        <v>0</v>
      </c>
      <c r="K65" s="28">
        <v>25</v>
      </c>
      <c r="L65" s="11"/>
      <c r="M65" s="11"/>
      <c r="N65" s="11"/>
      <c r="O65" s="11"/>
      <c r="P65" s="36">
        <v>-25</v>
      </c>
    </row>
    <row r="66" spans="1:16" ht="22.2" x14ac:dyDescent="0.25">
      <c r="A66" s="11">
        <v>1111010</v>
      </c>
      <c r="B66" s="15" t="s">
        <v>77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35"/>
      <c r="K66" s="28">
        <v>0</v>
      </c>
      <c r="L66" s="11"/>
      <c r="M66" s="11"/>
      <c r="N66" s="11"/>
      <c r="O66" s="11"/>
      <c r="P66" s="36">
        <v>0</v>
      </c>
    </row>
    <row r="67" spans="1:16" ht="22.2" x14ac:dyDescent="0.25">
      <c r="A67" s="16"/>
      <c r="B67" s="16" t="s">
        <v>4</v>
      </c>
      <c r="C67" s="17"/>
      <c r="D67" s="17"/>
      <c r="E67" s="17"/>
      <c r="F67" s="17"/>
      <c r="G67" s="17"/>
      <c r="H67" s="17"/>
      <c r="I67" s="19"/>
      <c r="J67" s="19"/>
      <c r="K67" s="28">
        <v>0</v>
      </c>
      <c r="L67" s="11"/>
      <c r="M67" s="11"/>
      <c r="N67" s="11"/>
      <c r="O67" s="11"/>
      <c r="P67" s="36">
        <v>0</v>
      </c>
    </row>
    <row r="68" spans="1:16" ht="20.399999999999999" x14ac:dyDescent="0.25">
      <c r="A68" s="58" t="s">
        <v>78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60"/>
    </row>
    <row r="69" spans="1:16" ht="22.2" x14ac:dyDescent="0.25">
      <c r="A69" s="11">
        <v>1111009</v>
      </c>
      <c r="B69" s="18" t="s">
        <v>79</v>
      </c>
      <c r="C69" s="25">
        <v>8</v>
      </c>
      <c r="D69" s="25">
        <v>4</v>
      </c>
      <c r="E69" s="25">
        <v>3</v>
      </c>
      <c r="F69" s="25">
        <v>0</v>
      </c>
      <c r="G69" s="25">
        <v>2</v>
      </c>
      <c r="H69" s="25">
        <v>0</v>
      </c>
      <c r="I69" s="25">
        <v>0</v>
      </c>
      <c r="J69" s="25">
        <v>0</v>
      </c>
      <c r="K69" s="28">
        <v>17</v>
      </c>
      <c r="L69" s="11"/>
      <c r="M69" s="11"/>
      <c r="N69" s="11"/>
      <c r="O69" s="11"/>
      <c r="P69" s="36">
        <v>-17</v>
      </c>
    </row>
    <row r="70" spans="1:16" ht="22.2" x14ac:dyDescent="0.25">
      <c r="A70" s="11">
        <v>1111023</v>
      </c>
      <c r="B70" s="18" t="s">
        <v>80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8">
        <v>0</v>
      </c>
      <c r="L70" s="11"/>
      <c r="M70" s="11"/>
      <c r="N70" s="11"/>
      <c r="O70" s="11"/>
      <c r="P70" s="36">
        <v>0</v>
      </c>
    </row>
    <row r="71" spans="1:16" ht="22.2" x14ac:dyDescent="0.25">
      <c r="A71" s="11">
        <v>1111016</v>
      </c>
      <c r="B71" s="18" t="s">
        <v>81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8">
        <v>0</v>
      </c>
      <c r="L71" s="11"/>
      <c r="M71" s="11"/>
      <c r="N71" s="11"/>
      <c r="O71" s="11"/>
      <c r="P71" s="36">
        <v>0</v>
      </c>
    </row>
    <row r="72" spans="1:16" ht="22.2" x14ac:dyDescent="0.25">
      <c r="A72" s="11">
        <v>1111014</v>
      </c>
      <c r="B72" s="18" t="s">
        <v>82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8">
        <v>0</v>
      </c>
      <c r="L72" s="11"/>
      <c r="M72" s="11"/>
      <c r="N72" s="11"/>
      <c r="O72" s="11"/>
      <c r="P72" s="36">
        <v>0</v>
      </c>
    </row>
    <row r="73" spans="1:16" ht="22.2" x14ac:dyDescent="0.25">
      <c r="A73" s="11">
        <v>1111025</v>
      </c>
      <c r="B73" s="18" t="s">
        <v>83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8">
        <v>0</v>
      </c>
      <c r="L73" s="11"/>
      <c r="M73" s="11"/>
      <c r="N73" s="11"/>
      <c r="O73" s="11"/>
      <c r="P73" s="36">
        <v>0</v>
      </c>
    </row>
    <row r="74" spans="1:16" ht="22.2" x14ac:dyDescent="0.25">
      <c r="A74" s="11">
        <v>1111018</v>
      </c>
      <c r="B74" s="18" t="s">
        <v>84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8">
        <v>0</v>
      </c>
      <c r="L74" s="11"/>
      <c r="M74" s="11"/>
      <c r="N74" s="11"/>
      <c r="O74" s="11"/>
      <c r="P74" s="36">
        <v>0</v>
      </c>
    </row>
    <row r="75" spans="1:16" ht="22.2" x14ac:dyDescent="0.25">
      <c r="A75" s="11">
        <v>1111012</v>
      </c>
      <c r="B75" s="18" t="s">
        <v>85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8">
        <v>0</v>
      </c>
      <c r="L75" s="11"/>
      <c r="M75" s="11"/>
      <c r="N75" s="11"/>
      <c r="O75" s="11"/>
      <c r="P75" s="36">
        <v>0</v>
      </c>
    </row>
    <row r="76" spans="1:16" ht="22.2" x14ac:dyDescent="0.25">
      <c r="A76" s="11">
        <v>1111020</v>
      </c>
      <c r="B76" s="18" t="s">
        <v>86</v>
      </c>
      <c r="C76" s="25">
        <v>0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8">
        <v>0</v>
      </c>
      <c r="L76" s="11"/>
      <c r="M76" s="11"/>
      <c r="N76" s="11"/>
      <c r="O76" s="11"/>
      <c r="P76" s="36">
        <v>0</v>
      </c>
    </row>
    <row r="77" spans="1:16" ht="22.2" x14ac:dyDescent="0.25">
      <c r="A77" s="17"/>
      <c r="B77" s="19" t="s">
        <v>4</v>
      </c>
      <c r="C77" s="19"/>
      <c r="D77" s="17"/>
      <c r="E77" s="17"/>
      <c r="F77" s="17"/>
      <c r="G77" s="17"/>
      <c r="H77" s="17"/>
      <c r="I77" s="19"/>
      <c r="J77" s="19"/>
      <c r="K77" s="28"/>
      <c r="L77" s="11"/>
      <c r="M77" s="11"/>
      <c r="N77" s="11"/>
      <c r="O77" s="11"/>
      <c r="P77" s="36">
        <v>0</v>
      </c>
    </row>
    <row r="78" spans="1:16" ht="20.399999999999999" x14ac:dyDescent="0.25">
      <c r="A78" s="58" t="s">
        <v>87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60"/>
    </row>
    <row r="79" spans="1:16" ht="22.2" x14ac:dyDescent="0.25">
      <c r="A79" s="11">
        <v>1111022</v>
      </c>
      <c r="B79" s="18" t="s">
        <v>88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8">
        <v>0</v>
      </c>
      <c r="L79" s="11"/>
      <c r="M79" s="11"/>
      <c r="N79" s="11"/>
      <c r="O79" s="11"/>
      <c r="P79" s="36">
        <v>0</v>
      </c>
    </row>
    <row r="80" spans="1:16" ht="22.2" x14ac:dyDescent="0.25">
      <c r="A80" s="11">
        <v>1111015</v>
      </c>
      <c r="B80" s="18" t="s">
        <v>89</v>
      </c>
      <c r="C80" s="25">
        <v>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8">
        <v>0</v>
      </c>
      <c r="L80" s="11"/>
      <c r="M80" s="11"/>
      <c r="N80" s="11"/>
      <c r="O80" s="11"/>
      <c r="P80" s="36">
        <v>0</v>
      </c>
    </row>
    <row r="81" spans="1:16" ht="22.2" x14ac:dyDescent="0.25">
      <c r="A81" s="11">
        <v>1111013</v>
      </c>
      <c r="B81" s="18" t="s">
        <v>90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8">
        <v>0</v>
      </c>
      <c r="L81" s="11"/>
      <c r="M81" s="11"/>
      <c r="N81" s="11"/>
      <c r="O81" s="11"/>
      <c r="P81" s="36">
        <v>0</v>
      </c>
    </row>
    <row r="82" spans="1:16" ht="22.2" x14ac:dyDescent="0.25">
      <c r="A82" s="11">
        <v>1111024</v>
      </c>
      <c r="B82" s="18" t="s">
        <v>91</v>
      </c>
      <c r="C82" s="25">
        <v>0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8">
        <v>0</v>
      </c>
      <c r="L82" s="11"/>
      <c r="M82" s="11"/>
      <c r="N82" s="11"/>
      <c r="O82" s="11"/>
      <c r="P82" s="36">
        <v>0</v>
      </c>
    </row>
    <row r="83" spans="1:16" ht="22.2" x14ac:dyDescent="0.25">
      <c r="A83" s="11">
        <v>1111017</v>
      </c>
      <c r="B83" s="18" t="s">
        <v>92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8">
        <v>0</v>
      </c>
      <c r="L83" s="11"/>
      <c r="M83" s="11"/>
      <c r="N83" s="11"/>
      <c r="O83" s="11"/>
      <c r="P83" s="36">
        <v>0</v>
      </c>
    </row>
    <row r="84" spans="1:16" ht="22.2" x14ac:dyDescent="0.25">
      <c r="A84" s="11">
        <v>1111011</v>
      </c>
      <c r="B84" s="18" t="s">
        <v>93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8">
        <v>0</v>
      </c>
      <c r="L84" s="11"/>
      <c r="M84" s="11"/>
      <c r="N84" s="11"/>
      <c r="O84" s="11"/>
      <c r="P84" s="36">
        <v>0</v>
      </c>
    </row>
    <row r="85" spans="1:16" ht="22.2" x14ac:dyDescent="0.25">
      <c r="A85" s="11">
        <v>1111019</v>
      </c>
      <c r="B85" s="18" t="s">
        <v>94</v>
      </c>
      <c r="C85" s="25">
        <v>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8">
        <v>0</v>
      </c>
      <c r="L85" s="11"/>
      <c r="M85" s="11"/>
      <c r="N85" s="11"/>
      <c r="O85" s="11"/>
      <c r="P85" s="36">
        <v>0</v>
      </c>
    </row>
    <row r="86" spans="1:16" ht="22.2" x14ac:dyDescent="0.25">
      <c r="A86" s="11">
        <v>1113081</v>
      </c>
      <c r="B86" s="18" t="s">
        <v>95</v>
      </c>
      <c r="C86" s="25">
        <v>0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8">
        <v>0</v>
      </c>
      <c r="L86" s="11"/>
      <c r="M86" s="11"/>
      <c r="N86" s="11"/>
      <c r="O86" s="11"/>
      <c r="P86" s="36">
        <v>0</v>
      </c>
    </row>
    <row r="87" spans="1:16" ht="22.2" x14ac:dyDescent="0.25">
      <c r="A87" s="11">
        <v>1111008</v>
      </c>
      <c r="B87" s="18" t="s">
        <v>96</v>
      </c>
      <c r="C87" s="25">
        <v>15</v>
      </c>
      <c r="D87" s="25">
        <v>3</v>
      </c>
      <c r="E87" s="25">
        <v>0</v>
      </c>
      <c r="F87" s="25">
        <v>93</v>
      </c>
      <c r="G87" s="25">
        <v>69</v>
      </c>
      <c r="H87" s="25">
        <v>0</v>
      </c>
      <c r="I87" s="25">
        <v>0</v>
      </c>
      <c r="J87" s="25">
        <v>0</v>
      </c>
      <c r="K87" s="28">
        <v>180</v>
      </c>
      <c r="L87" s="11"/>
      <c r="M87" s="11"/>
      <c r="N87" s="11"/>
      <c r="O87" s="11"/>
      <c r="P87" s="36">
        <v>-180</v>
      </c>
    </row>
    <row r="88" spans="1:16" ht="22.2" x14ac:dyDescent="0.25">
      <c r="A88" s="17"/>
      <c r="B88" s="17" t="s">
        <v>4</v>
      </c>
      <c r="C88" s="17"/>
      <c r="D88" s="17"/>
      <c r="E88" s="17"/>
      <c r="F88" s="17"/>
      <c r="G88" s="17"/>
      <c r="H88" s="17"/>
      <c r="I88" s="19"/>
      <c r="J88" s="19"/>
      <c r="K88" s="28">
        <v>0</v>
      </c>
      <c r="L88" s="11"/>
      <c r="M88" s="11"/>
      <c r="N88" s="11"/>
      <c r="O88" s="11"/>
      <c r="P88" s="36">
        <v>0</v>
      </c>
    </row>
    <row r="89" spans="1:16" ht="20.399999999999999" x14ac:dyDescent="0.25">
      <c r="A89" s="58" t="s">
        <v>97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60"/>
    </row>
    <row r="90" spans="1:16" ht="22.2" x14ac:dyDescent="0.25">
      <c r="A90" s="11">
        <v>1112009</v>
      </c>
      <c r="B90" s="18" t="s">
        <v>98</v>
      </c>
      <c r="C90" s="25">
        <v>30</v>
      </c>
      <c r="D90" s="25">
        <v>229</v>
      </c>
      <c r="E90" s="25">
        <v>15</v>
      </c>
      <c r="F90" s="25">
        <v>136</v>
      </c>
      <c r="G90" s="25">
        <v>57</v>
      </c>
      <c r="H90" s="25">
        <v>0</v>
      </c>
      <c r="I90" s="25">
        <v>0</v>
      </c>
      <c r="J90" s="25">
        <v>0</v>
      </c>
      <c r="K90" s="28">
        <v>467</v>
      </c>
      <c r="L90" s="11"/>
      <c r="M90" s="11"/>
      <c r="N90" s="11"/>
      <c r="O90" s="11"/>
      <c r="P90" s="36">
        <v>-467</v>
      </c>
    </row>
    <row r="91" spans="1:16" ht="22.2" x14ac:dyDescent="0.25">
      <c r="A91" s="11">
        <v>1112011</v>
      </c>
      <c r="B91" s="18" t="s">
        <v>99</v>
      </c>
      <c r="C91" s="25">
        <v>62</v>
      </c>
      <c r="D91" s="25">
        <v>229</v>
      </c>
      <c r="E91" s="25">
        <v>25</v>
      </c>
      <c r="F91" s="25">
        <v>136</v>
      </c>
      <c r="G91" s="25">
        <v>57</v>
      </c>
      <c r="H91" s="25">
        <v>0</v>
      </c>
      <c r="I91" s="25">
        <v>0</v>
      </c>
      <c r="J91" s="25">
        <v>0</v>
      </c>
      <c r="K91" s="28">
        <v>509</v>
      </c>
      <c r="L91" s="11"/>
      <c r="M91" s="11"/>
      <c r="N91" s="11"/>
      <c r="O91" s="11"/>
      <c r="P91" s="36">
        <v>-509</v>
      </c>
    </row>
    <row r="92" spans="1:16" ht="22.2" x14ac:dyDescent="0.25">
      <c r="A92" s="11">
        <v>1112003</v>
      </c>
      <c r="B92" s="18" t="s">
        <v>100</v>
      </c>
      <c r="C92" s="25">
        <v>30</v>
      </c>
      <c r="D92" s="25">
        <v>0</v>
      </c>
      <c r="E92" s="25">
        <v>0</v>
      </c>
      <c r="F92" s="25">
        <v>178</v>
      </c>
      <c r="G92" s="25">
        <v>67</v>
      </c>
      <c r="H92" s="25">
        <v>0</v>
      </c>
      <c r="I92" s="25">
        <v>0</v>
      </c>
      <c r="J92" s="25">
        <v>0</v>
      </c>
      <c r="K92" s="28">
        <v>275</v>
      </c>
      <c r="L92" s="11"/>
      <c r="M92" s="11"/>
      <c r="N92" s="11"/>
      <c r="O92" s="11"/>
      <c r="P92" s="36">
        <v>-275</v>
      </c>
    </row>
    <row r="93" spans="1:16" ht="22.2" x14ac:dyDescent="0.25">
      <c r="A93" s="11">
        <v>1112005</v>
      </c>
      <c r="B93" s="18" t="s">
        <v>101</v>
      </c>
      <c r="C93" s="25">
        <v>37</v>
      </c>
      <c r="D93" s="25">
        <v>0</v>
      </c>
      <c r="E93" s="25">
        <v>0</v>
      </c>
      <c r="F93" s="25">
        <v>205</v>
      </c>
      <c r="G93" s="25">
        <v>78</v>
      </c>
      <c r="H93" s="25">
        <v>0</v>
      </c>
      <c r="I93" s="25">
        <v>0</v>
      </c>
      <c r="J93" s="25">
        <v>0</v>
      </c>
      <c r="K93" s="28">
        <v>320</v>
      </c>
      <c r="L93" s="11"/>
      <c r="M93" s="11"/>
      <c r="N93" s="11"/>
      <c r="O93" s="11"/>
      <c r="P93" s="36">
        <v>-320</v>
      </c>
    </row>
    <row r="94" spans="1:16" ht="22.2" x14ac:dyDescent="0.25">
      <c r="A94" s="11">
        <v>1112007</v>
      </c>
      <c r="B94" s="18" t="s">
        <v>102</v>
      </c>
      <c r="C94" s="25">
        <v>0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8">
        <v>0</v>
      </c>
      <c r="L94" s="11"/>
      <c r="M94" s="11"/>
      <c r="N94" s="11"/>
      <c r="O94" s="11"/>
      <c r="P94" s="36">
        <v>0</v>
      </c>
    </row>
    <row r="95" spans="1:16" ht="22.2" x14ac:dyDescent="0.25">
      <c r="A95" s="11">
        <v>1112019</v>
      </c>
      <c r="B95" s="18" t="s">
        <v>103</v>
      </c>
      <c r="C95" s="25">
        <v>0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8">
        <v>0</v>
      </c>
      <c r="L95" s="11"/>
      <c r="M95" s="11"/>
      <c r="N95" s="11"/>
      <c r="O95" s="11"/>
      <c r="P95" s="36">
        <v>0</v>
      </c>
    </row>
    <row r="96" spans="1:16" ht="22.2" x14ac:dyDescent="0.25">
      <c r="A96" s="11">
        <v>1112017</v>
      </c>
      <c r="B96" s="18" t="s">
        <v>104</v>
      </c>
      <c r="C96" s="25">
        <v>0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8">
        <v>0</v>
      </c>
      <c r="L96" s="11"/>
      <c r="M96" s="11"/>
      <c r="N96" s="11"/>
      <c r="O96" s="11"/>
      <c r="P96" s="36">
        <v>0</v>
      </c>
    </row>
    <row r="97" spans="1:16" ht="22.2" x14ac:dyDescent="0.25">
      <c r="A97" s="11">
        <v>1112015</v>
      </c>
      <c r="B97" s="18" t="s">
        <v>105</v>
      </c>
      <c r="C97" s="25">
        <v>13</v>
      </c>
      <c r="D97" s="25">
        <v>0</v>
      </c>
      <c r="E97" s="25">
        <v>0</v>
      </c>
      <c r="F97" s="25">
        <v>160</v>
      </c>
      <c r="G97" s="25">
        <v>70</v>
      </c>
      <c r="H97" s="25">
        <v>0</v>
      </c>
      <c r="I97" s="25">
        <v>0</v>
      </c>
      <c r="J97" s="25">
        <v>0</v>
      </c>
      <c r="K97" s="28">
        <v>243</v>
      </c>
      <c r="L97" s="11"/>
      <c r="M97" s="11"/>
      <c r="N97" s="11"/>
      <c r="O97" s="11"/>
      <c r="P97" s="36">
        <v>-243</v>
      </c>
    </row>
    <row r="98" spans="1:16" ht="22.2" x14ac:dyDescent="0.25">
      <c r="A98" s="11">
        <v>1112013</v>
      </c>
      <c r="B98" s="18" t="s">
        <v>106</v>
      </c>
      <c r="C98" s="25">
        <v>33</v>
      </c>
      <c r="D98" s="25">
        <v>235</v>
      </c>
      <c r="E98" s="25">
        <v>15</v>
      </c>
      <c r="F98" s="25">
        <v>181</v>
      </c>
      <c r="G98" s="25">
        <v>71</v>
      </c>
      <c r="H98" s="25">
        <v>0</v>
      </c>
      <c r="I98" s="25">
        <v>0</v>
      </c>
      <c r="J98" s="25">
        <v>0</v>
      </c>
      <c r="K98" s="28">
        <v>535</v>
      </c>
      <c r="L98" s="11"/>
      <c r="M98" s="11"/>
      <c r="N98" s="11"/>
      <c r="O98" s="11"/>
      <c r="P98" s="36">
        <v>-535</v>
      </c>
    </row>
    <row r="99" spans="1:16" ht="22.2" x14ac:dyDescent="0.25">
      <c r="A99" s="11">
        <v>1124043</v>
      </c>
      <c r="B99" s="18" t="s">
        <v>107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35"/>
      <c r="K99" s="28">
        <v>0</v>
      </c>
      <c r="L99" s="11"/>
      <c r="M99" s="11"/>
      <c r="N99" s="11"/>
      <c r="O99" s="11"/>
      <c r="P99" s="36">
        <v>0</v>
      </c>
    </row>
    <row r="100" spans="1:16" ht="22.2" x14ac:dyDescent="0.25">
      <c r="A100" s="17"/>
      <c r="B100" s="17" t="s">
        <v>4</v>
      </c>
      <c r="C100" s="17"/>
      <c r="D100" s="17"/>
      <c r="E100" s="17"/>
      <c r="F100" s="17"/>
      <c r="G100" s="17"/>
      <c r="H100" s="17"/>
      <c r="I100" s="19"/>
      <c r="J100" s="19"/>
      <c r="K100" s="28">
        <v>2349</v>
      </c>
      <c r="L100" s="11"/>
      <c r="M100" s="11"/>
      <c r="N100" s="11"/>
      <c r="O100" s="11"/>
      <c r="P100" s="36"/>
    </row>
    <row r="101" spans="1:16" ht="20.399999999999999" x14ac:dyDescent="0.25">
      <c r="A101" s="58" t="s">
        <v>108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60"/>
    </row>
    <row r="102" spans="1:16" ht="22.2" x14ac:dyDescent="0.25">
      <c r="A102" s="11">
        <v>1112008</v>
      </c>
      <c r="B102" s="18" t="s">
        <v>98</v>
      </c>
      <c r="C102" s="25">
        <v>0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35"/>
      <c r="K102" s="28">
        <v>0</v>
      </c>
      <c r="L102" s="11"/>
      <c r="M102" s="11"/>
      <c r="N102" s="11"/>
      <c r="O102" s="11"/>
      <c r="P102" s="36">
        <v>0</v>
      </c>
    </row>
    <row r="103" spans="1:16" ht="22.2" x14ac:dyDescent="0.25">
      <c r="A103" s="11">
        <v>1112010</v>
      </c>
      <c r="B103" s="18" t="s">
        <v>99</v>
      </c>
      <c r="C103" s="25">
        <v>0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35"/>
      <c r="K103" s="28">
        <v>0</v>
      </c>
      <c r="L103" s="11"/>
      <c r="M103" s="11"/>
      <c r="N103" s="11"/>
      <c r="O103" s="11"/>
      <c r="P103" s="36">
        <v>0</v>
      </c>
    </row>
    <row r="104" spans="1:16" ht="22.2" x14ac:dyDescent="0.25">
      <c r="A104" s="11">
        <v>1112002</v>
      </c>
      <c r="B104" s="18" t="s">
        <v>100</v>
      </c>
      <c r="C104" s="25">
        <v>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35"/>
      <c r="K104" s="28">
        <v>0</v>
      </c>
      <c r="L104" s="11"/>
      <c r="M104" s="11"/>
      <c r="N104" s="11"/>
      <c r="O104" s="11"/>
      <c r="P104" s="36">
        <v>0</v>
      </c>
    </row>
    <row r="105" spans="1:16" ht="22.2" x14ac:dyDescent="0.25">
      <c r="A105" s="11">
        <v>1112004</v>
      </c>
      <c r="B105" s="18" t="s">
        <v>101</v>
      </c>
      <c r="C105" s="25">
        <v>0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35"/>
      <c r="K105" s="28">
        <v>0</v>
      </c>
      <c r="L105" s="11"/>
      <c r="M105" s="11"/>
      <c r="N105" s="11"/>
      <c r="O105" s="11"/>
      <c r="P105" s="36">
        <v>0</v>
      </c>
    </row>
    <row r="106" spans="1:16" ht="22.2" x14ac:dyDescent="0.25">
      <c r="A106" s="11">
        <v>1112006</v>
      </c>
      <c r="B106" s="18" t="s">
        <v>102</v>
      </c>
      <c r="C106" s="25">
        <v>0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35"/>
      <c r="K106" s="28">
        <v>0</v>
      </c>
      <c r="L106" s="11"/>
      <c r="M106" s="11"/>
      <c r="N106" s="11"/>
      <c r="O106" s="11"/>
      <c r="P106" s="36">
        <v>0</v>
      </c>
    </row>
    <row r="107" spans="1:16" ht="22.2" x14ac:dyDescent="0.25">
      <c r="A107" s="11">
        <v>1112018</v>
      </c>
      <c r="B107" s="18" t="s">
        <v>103</v>
      </c>
      <c r="C107" s="25">
        <v>0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35"/>
      <c r="K107" s="28">
        <v>0</v>
      </c>
      <c r="L107" s="11"/>
      <c r="M107" s="11"/>
      <c r="N107" s="11"/>
      <c r="O107" s="11"/>
      <c r="P107" s="36">
        <v>0</v>
      </c>
    </row>
    <row r="108" spans="1:16" ht="22.2" x14ac:dyDescent="0.25">
      <c r="A108" s="11">
        <v>1112016</v>
      </c>
      <c r="B108" s="18" t="s">
        <v>104</v>
      </c>
      <c r="C108" s="25">
        <v>0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35"/>
      <c r="K108" s="28">
        <v>0</v>
      </c>
      <c r="L108" s="11"/>
      <c r="M108" s="11"/>
      <c r="N108" s="11"/>
      <c r="O108" s="11"/>
      <c r="P108" s="36">
        <v>0</v>
      </c>
    </row>
    <row r="109" spans="1:16" ht="22.2" x14ac:dyDescent="0.25">
      <c r="A109" s="11">
        <v>1112014</v>
      </c>
      <c r="B109" s="18" t="s">
        <v>105</v>
      </c>
      <c r="C109" s="25">
        <v>0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35"/>
      <c r="K109" s="28">
        <v>0</v>
      </c>
      <c r="L109" s="11"/>
      <c r="M109" s="11"/>
      <c r="N109" s="11"/>
      <c r="O109" s="11"/>
      <c r="P109" s="36">
        <v>0</v>
      </c>
    </row>
    <row r="110" spans="1:16" ht="22.2" x14ac:dyDescent="0.25">
      <c r="A110" s="11">
        <v>1112012</v>
      </c>
      <c r="B110" s="18" t="s">
        <v>106</v>
      </c>
      <c r="C110" s="25">
        <v>0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35"/>
      <c r="K110" s="28">
        <v>0</v>
      </c>
      <c r="L110" s="11"/>
      <c r="M110" s="11"/>
      <c r="N110" s="11"/>
      <c r="O110" s="11"/>
      <c r="P110" s="36">
        <v>0</v>
      </c>
    </row>
    <row r="111" spans="1:16" ht="22.2" x14ac:dyDescent="0.25">
      <c r="A111" s="11"/>
      <c r="B111" s="18" t="s">
        <v>107</v>
      </c>
      <c r="C111" s="25">
        <v>0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35"/>
      <c r="K111" s="28">
        <v>0</v>
      </c>
      <c r="L111" s="11"/>
      <c r="M111" s="11"/>
      <c r="N111" s="11"/>
      <c r="O111" s="11"/>
      <c r="P111" s="36">
        <v>0</v>
      </c>
    </row>
    <row r="112" spans="1:16" ht="22.2" x14ac:dyDescent="0.25">
      <c r="A112" s="17"/>
      <c r="B112" s="17" t="s">
        <v>4</v>
      </c>
      <c r="C112" s="17"/>
      <c r="D112" s="17"/>
      <c r="E112" s="17"/>
      <c r="F112" s="17"/>
      <c r="G112" s="17"/>
      <c r="H112" s="17"/>
      <c r="I112" s="19"/>
      <c r="J112" s="19"/>
      <c r="K112" s="28">
        <v>0</v>
      </c>
      <c r="L112" s="11"/>
      <c r="M112" s="11"/>
      <c r="N112" s="11"/>
      <c r="O112" s="11"/>
      <c r="P112" s="36">
        <v>0</v>
      </c>
    </row>
    <row r="113" spans="1:16" ht="20.399999999999999" x14ac:dyDescent="0.25">
      <c r="A113" s="58" t="s">
        <v>109</v>
      </c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60"/>
    </row>
    <row r="114" spans="1:16" ht="22.2" x14ac:dyDescent="0.25">
      <c r="A114" s="11">
        <v>1113170</v>
      </c>
      <c r="B114" s="20" t="s">
        <v>110</v>
      </c>
      <c r="C114" s="25">
        <v>19</v>
      </c>
      <c r="D114" s="25">
        <v>1</v>
      </c>
      <c r="E114" s="25">
        <v>0</v>
      </c>
      <c r="F114" s="25">
        <v>4</v>
      </c>
      <c r="G114" s="25">
        <v>3</v>
      </c>
      <c r="H114" s="25">
        <v>0</v>
      </c>
      <c r="I114" s="25">
        <v>0</v>
      </c>
      <c r="J114" s="25">
        <v>0</v>
      </c>
      <c r="K114" s="28">
        <v>27</v>
      </c>
      <c r="L114" s="11"/>
      <c r="M114" s="11"/>
      <c r="N114" s="11"/>
      <c r="O114" s="11"/>
      <c r="P114" s="36">
        <v>-27</v>
      </c>
    </row>
    <row r="115" spans="1:16" ht="22.2" x14ac:dyDescent="0.25">
      <c r="A115" s="11">
        <v>1113171</v>
      </c>
      <c r="B115" s="20" t="s">
        <v>111</v>
      </c>
      <c r="C115" s="25">
        <v>33</v>
      </c>
      <c r="D115" s="25">
        <v>1</v>
      </c>
      <c r="E115" s="25">
        <v>0</v>
      </c>
      <c r="F115" s="25">
        <v>10</v>
      </c>
      <c r="G115" s="25">
        <v>0</v>
      </c>
      <c r="H115" s="25">
        <v>0</v>
      </c>
      <c r="I115" s="25">
        <v>0</v>
      </c>
      <c r="J115" s="25">
        <v>0</v>
      </c>
      <c r="K115" s="28">
        <v>44</v>
      </c>
      <c r="L115" s="11"/>
      <c r="M115" s="11"/>
      <c r="N115" s="11"/>
      <c r="O115" s="11"/>
      <c r="P115" s="36">
        <v>-44</v>
      </c>
    </row>
    <row r="116" spans="1:16" ht="22.2" x14ac:dyDescent="0.25">
      <c r="A116" s="11">
        <v>1113172</v>
      </c>
      <c r="B116" s="20" t="s">
        <v>112</v>
      </c>
      <c r="C116" s="25">
        <v>24</v>
      </c>
      <c r="D116" s="25">
        <v>1</v>
      </c>
      <c r="E116" s="25">
        <v>0</v>
      </c>
      <c r="F116" s="25">
        <v>11</v>
      </c>
      <c r="G116" s="25">
        <v>2</v>
      </c>
      <c r="H116" s="25">
        <v>0</v>
      </c>
      <c r="I116" s="25">
        <v>0</v>
      </c>
      <c r="J116" s="25">
        <v>0</v>
      </c>
      <c r="K116" s="28">
        <v>38</v>
      </c>
      <c r="L116" s="11"/>
      <c r="M116" s="11"/>
      <c r="N116" s="11"/>
      <c r="O116" s="11"/>
      <c r="P116" s="36">
        <v>-38</v>
      </c>
    </row>
    <row r="117" spans="1:16" ht="22.2" x14ac:dyDescent="0.25">
      <c r="A117" s="11">
        <v>1113173</v>
      </c>
      <c r="B117" s="20" t="s">
        <v>113</v>
      </c>
      <c r="C117" s="25">
        <v>0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8">
        <v>0</v>
      </c>
      <c r="L117" s="11"/>
      <c r="M117" s="11"/>
      <c r="N117" s="11"/>
      <c r="O117" s="11"/>
      <c r="P117" s="36">
        <v>0</v>
      </c>
    </row>
    <row r="118" spans="1:16" ht="22.2" x14ac:dyDescent="0.25">
      <c r="A118" s="11">
        <v>1100003</v>
      </c>
      <c r="B118" s="20" t="s">
        <v>114</v>
      </c>
      <c r="C118" s="25">
        <v>0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8">
        <v>0</v>
      </c>
      <c r="L118" s="11"/>
      <c r="M118" s="11"/>
      <c r="N118" s="11"/>
      <c r="O118" s="11"/>
      <c r="P118" s="36">
        <v>0</v>
      </c>
    </row>
    <row r="119" spans="1:16" ht="22.2" x14ac:dyDescent="0.25">
      <c r="A119" s="11">
        <v>1100001</v>
      </c>
      <c r="B119" s="20" t="s">
        <v>115</v>
      </c>
      <c r="C119" s="25">
        <v>0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8">
        <v>0</v>
      </c>
      <c r="L119" s="11"/>
      <c r="M119" s="11"/>
      <c r="N119" s="11"/>
      <c r="O119" s="11"/>
      <c r="P119" s="36">
        <v>0</v>
      </c>
    </row>
    <row r="120" spans="1:16" ht="22.2" x14ac:dyDescent="0.25">
      <c r="A120" s="11">
        <v>1100002</v>
      </c>
      <c r="B120" s="20" t="s">
        <v>116</v>
      </c>
      <c r="C120" s="25">
        <v>0</v>
      </c>
      <c r="D120" s="25">
        <v>0</v>
      </c>
      <c r="E120" s="25">
        <v>0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8">
        <v>0</v>
      </c>
      <c r="L120" s="11"/>
      <c r="M120" s="11"/>
      <c r="N120" s="11"/>
      <c r="O120" s="11"/>
      <c r="P120" s="36">
        <v>0</v>
      </c>
    </row>
    <row r="121" spans="1:16" ht="22.2" x14ac:dyDescent="0.25">
      <c r="A121" s="11">
        <v>1200001</v>
      </c>
      <c r="B121" s="20" t="s">
        <v>117</v>
      </c>
      <c r="C121" s="25">
        <v>0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8">
        <v>0</v>
      </c>
      <c r="L121" s="11"/>
      <c r="M121" s="11"/>
      <c r="N121" s="11"/>
      <c r="O121" s="11"/>
      <c r="P121" s="36">
        <v>0</v>
      </c>
    </row>
    <row r="122" spans="1:16" ht="22.2" x14ac:dyDescent="0.25">
      <c r="A122" s="11">
        <v>1005761</v>
      </c>
      <c r="B122" s="20" t="s">
        <v>118</v>
      </c>
      <c r="C122" s="25">
        <v>0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8">
        <v>0</v>
      </c>
      <c r="L122" s="11"/>
      <c r="M122" s="11"/>
      <c r="N122" s="11"/>
      <c r="O122" s="11"/>
      <c r="P122" s="36">
        <v>0</v>
      </c>
    </row>
    <row r="123" spans="1:16" ht="22.2" x14ac:dyDescent="0.25">
      <c r="A123" s="11">
        <v>1114501</v>
      </c>
      <c r="B123" s="20" t="s">
        <v>119</v>
      </c>
      <c r="C123" s="25">
        <v>0</v>
      </c>
      <c r="D123" s="25">
        <v>4</v>
      </c>
      <c r="E123" s="25">
        <v>0</v>
      </c>
      <c r="F123" s="25">
        <v>5</v>
      </c>
      <c r="G123" s="25">
        <v>3</v>
      </c>
      <c r="H123" s="25">
        <v>0</v>
      </c>
      <c r="I123" s="25">
        <v>0</v>
      </c>
      <c r="J123" s="25">
        <v>0</v>
      </c>
      <c r="K123" s="28">
        <v>12</v>
      </c>
      <c r="L123" s="11"/>
      <c r="M123" s="11"/>
      <c r="N123" s="11"/>
      <c r="O123" s="11"/>
      <c r="P123" s="36">
        <v>-12</v>
      </c>
    </row>
    <row r="124" spans="1:16" ht="22.2" x14ac:dyDescent="0.25">
      <c r="A124" s="11">
        <v>1114502</v>
      </c>
      <c r="B124" s="20" t="s">
        <v>120</v>
      </c>
      <c r="C124" s="25">
        <v>0</v>
      </c>
      <c r="D124" s="25">
        <v>1</v>
      </c>
      <c r="E124" s="25">
        <v>0</v>
      </c>
      <c r="F124" s="25">
        <v>5</v>
      </c>
      <c r="G124" s="25">
        <v>3</v>
      </c>
      <c r="H124" s="25">
        <v>0</v>
      </c>
      <c r="I124" s="25">
        <v>0</v>
      </c>
      <c r="J124" s="25">
        <v>0</v>
      </c>
      <c r="K124" s="28">
        <v>9</v>
      </c>
      <c r="L124" s="11"/>
      <c r="M124" s="11"/>
      <c r="N124" s="11"/>
      <c r="O124" s="11"/>
      <c r="P124" s="36">
        <v>-9</v>
      </c>
    </row>
    <row r="125" spans="1:16" ht="22.2" x14ac:dyDescent="0.25">
      <c r="A125" s="11">
        <v>1114503</v>
      </c>
      <c r="B125" s="20" t="s">
        <v>121</v>
      </c>
      <c r="C125" s="25">
        <v>0</v>
      </c>
      <c r="D125" s="25">
        <v>3</v>
      </c>
      <c r="E125" s="25">
        <v>0</v>
      </c>
      <c r="F125" s="25">
        <v>40</v>
      </c>
      <c r="G125" s="25">
        <v>7</v>
      </c>
      <c r="H125" s="25">
        <v>0</v>
      </c>
      <c r="I125" s="25">
        <v>0</v>
      </c>
      <c r="J125" s="25">
        <v>0</v>
      </c>
      <c r="K125" s="28">
        <v>50</v>
      </c>
      <c r="L125" s="11"/>
      <c r="M125" s="11"/>
      <c r="N125" s="11"/>
      <c r="O125" s="11"/>
      <c r="P125" s="36">
        <v>-50</v>
      </c>
    </row>
    <row r="126" spans="1:16" ht="22.2" x14ac:dyDescent="0.25">
      <c r="A126" s="11">
        <v>1124021</v>
      </c>
      <c r="B126" s="20" t="s">
        <v>122</v>
      </c>
      <c r="C126" s="25">
        <v>0</v>
      </c>
      <c r="D126" s="25">
        <v>0</v>
      </c>
      <c r="E126" s="25">
        <v>4</v>
      </c>
      <c r="F126" s="25">
        <v>4</v>
      </c>
      <c r="G126" s="25">
        <v>0</v>
      </c>
      <c r="H126" s="25">
        <v>0</v>
      </c>
      <c r="I126" s="25">
        <v>0</v>
      </c>
      <c r="J126" s="25">
        <v>0</v>
      </c>
      <c r="K126" s="28">
        <v>8</v>
      </c>
      <c r="L126" s="11"/>
      <c r="M126" s="11"/>
      <c r="N126" s="11"/>
      <c r="O126" s="11"/>
      <c r="P126" s="36">
        <v>-8</v>
      </c>
    </row>
    <row r="127" spans="1:16" ht="22.2" x14ac:dyDescent="0.25">
      <c r="A127" s="11">
        <v>1113084</v>
      </c>
      <c r="B127" s="20" t="s">
        <v>123</v>
      </c>
      <c r="C127" s="25">
        <v>0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8">
        <v>0</v>
      </c>
      <c r="L127" s="11"/>
      <c r="M127" s="11"/>
      <c r="N127" s="11"/>
      <c r="O127" s="11"/>
      <c r="P127" s="36">
        <v>0</v>
      </c>
    </row>
    <row r="128" spans="1:16" ht="22.2" x14ac:dyDescent="0.25">
      <c r="A128" s="11">
        <v>900003</v>
      </c>
      <c r="B128" s="20" t="s">
        <v>124</v>
      </c>
      <c r="C128" s="25">
        <v>0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8">
        <v>0</v>
      </c>
      <c r="L128" s="11"/>
      <c r="M128" s="11"/>
      <c r="N128" s="11"/>
      <c r="O128" s="11"/>
      <c r="P128" s="36">
        <v>0</v>
      </c>
    </row>
    <row r="129" spans="1:16" ht="22.2" x14ac:dyDescent="0.25">
      <c r="A129" s="11">
        <v>900004</v>
      </c>
      <c r="B129" s="20" t="s">
        <v>125</v>
      </c>
      <c r="C129" s="25">
        <v>0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8">
        <v>0</v>
      </c>
      <c r="L129" s="11"/>
      <c r="M129" s="11"/>
      <c r="N129" s="11"/>
      <c r="O129" s="11"/>
      <c r="P129" s="36">
        <v>0</v>
      </c>
    </row>
    <row r="130" spans="1:16" ht="22.2" x14ac:dyDescent="0.25">
      <c r="A130" s="11">
        <v>1200002</v>
      </c>
      <c r="B130" s="20" t="s">
        <v>126</v>
      </c>
      <c r="C130" s="25">
        <v>0</v>
      </c>
      <c r="D130" s="25">
        <v>1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8">
        <v>1</v>
      </c>
      <c r="L130" s="11"/>
      <c r="M130" s="11"/>
      <c r="N130" s="11"/>
      <c r="O130" s="11"/>
      <c r="P130" s="36">
        <v>-1</v>
      </c>
    </row>
    <row r="131" spans="1:16" ht="22.2" x14ac:dyDescent="0.25">
      <c r="A131" s="11">
        <v>1200003</v>
      </c>
      <c r="B131" s="20" t="s">
        <v>127</v>
      </c>
      <c r="C131" s="25">
        <v>0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8">
        <v>0</v>
      </c>
      <c r="L131" s="11"/>
      <c r="M131" s="11"/>
      <c r="N131" s="11"/>
      <c r="O131" s="11"/>
      <c r="P131" s="36">
        <v>0</v>
      </c>
    </row>
    <row r="132" spans="1:16" ht="22.2" x14ac:dyDescent="0.25">
      <c r="A132" s="11">
        <v>1200004</v>
      </c>
      <c r="B132" s="20" t="s">
        <v>128</v>
      </c>
      <c r="C132" s="25">
        <v>0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8">
        <v>0</v>
      </c>
      <c r="L132" s="11"/>
      <c r="M132" s="11"/>
      <c r="N132" s="11"/>
      <c r="O132" s="11"/>
      <c r="P132" s="36">
        <v>0</v>
      </c>
    </row>
    <row r="133" spans="1:16" ht="22.2" x14ac:dyDescent="0.25">
      <c r="A133" s="11">
        <v>1200093</v>
      </c>
      <c r="B133" s="20" t="s">
        <v>129</v>
      </c>
      <c r="C133" s="25">
        <v>0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8">
        <v>0</v>
      </c>
      <c r="L133" s="11"/>
      <c r="M133" s="11"/>
      <c r="N133" s="11"/>
      <c r="O133" s="11"/>
      <c r="P133" s="36">
        <v>0</v>
      </c>
    </row>
    <row r="134" spans="1:16" ht="22.2" x14ac:dyDescent="0.25">
      <c r="A134" s="11">
        <v>1200092</v>
      </c>
      <c r="B134" s="18" t="s">
        <v>130</v>
      </c>
      <c r="C134" s="25">
        <v>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8">
        <v>0</v>
      </c>
      <c r="L134" s="11"/>
      <c r="M134" s="11"/>
      <c r="N134" s="11"/>
      <c r="O134" s="11"/>
      <c r="P134" s="36">
        <v>0</v>
      </c>
    </row>
    <row r="135" spans="1:16" ht="22.2" x14ac:dyDescent="0.25">
      <c r="A135" s="21"/>
      <c r="B135" s="20" t="s">
        <v>131</v>
      </c>
      <c r="C135" s="25">
        <v>0</v>
      </c>
      <c r="D135" s="25">
        <v>2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8">
        <v>2</v>
      </c>
      <c r="L135" s="11"/>
      <c r="M135" s="11"/>
      <c r="N135" s="11"/>
      <c r="O135" s="11"/>
      <c r="P135" s="36">
        <v>-2</v>
      </c>
    </row>
    <row r="136" spans="1:16" ht="22.2" x14ac:dyDescent="0.25">
      <c r="A136" s="21"/>
      <c r="B136" s="20" t="s">
        <v>132</v>
      </c>
      <c r="C136" s="25">
        <v>0</v>
      </c>
      <c r="D136" s="25">
        <v>0</v>
      </c>
      <c r="E136" s="25">
        <v>3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8">
        <v>3</v>
      </c>
      <c r="L136" s="11"/>
      <c r="M136" s="11"/>
      <c r="N136" s="11"/>
      <c r="O136" s="11"/>
      <c r="P136" s="36">
        <v>-3</v>
      </c>
    </row>
    <row r="137" spans="1:16" ht="22.2" x14ac:dyDescent="0.25">
      <c r="A137" s="41"/>
      <c r="B137" s="40" t="s">
        <v>133</v>
      </c>
      <c r="C137" s="25">
        <v>0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8">
        <v>0</v>
      </c>
      <c r="L137" s="11"/>
      <c r="M137" s="11"/>
      <c r="N137" s="11"/>
      <c r="O137" s="11"/>
      <c r="P137" s="36">
        <v>0</v>
      </c>
    </row>
    <row r="138" spans="1:16" ht="22.2" x14ac:dyDescent="0.25">
      <c r="A138" s="41"/>
      <c r="B138" s="40" t="s">
        <v>134</v>
      </c>
      <c r="C138" s="25">
        <v>0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8">
        <v>0</v>
      </c>
      <c r="L138" s="11"/>
      <c r="M138" s="11"/>
      <c r="N138" s="11"/>
      <c r="O138" s="11"/>
      <c r="P138" s="36">
        <v>0</v>
      </c>
    </row>
    <row r="139" spans="1:16" ht="22.2" x14ac:dyDescent="0.25">
      <c r="A139" s="41"/>
      <c r="B139" s="40" t="s">
        <v>135</v>
      </c>
      <c r="C139" s="25">
        <v>0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8">
        <v>0</v>
      </c>
      <c r="L139" s="11"/>
      <c r="M139" s="11"/>
      <c r="N139" s="11"/>
      <c r="O139" s="11"/>
      <c r="P139" s="36">
        <v>0</v>
      </c>
    </row>
    <row r="140" spans="1:16" ht="22.2" x14ac:dyDescent="0.25">
      <c r="B140" s="27"/>
      <c r="C140" s="28">
        <v>606</v>
      </c>
      <c r="D140" s="28">
        <v>913</v>
      </c>
      <c r="E140" s="28">
        <v>165</v>
      </c>
      <c r="F140" s="28">
        <v>1280</v>
      </c>
      <c r="G140" s="28">
        <v>528</v>
      </c>
      <c r="H140" s="28">
        <v>0</v>
      </c>
      <c r="I140" s="28">
        <v>0</v>
      </c>
      <c r="J140" s="28">
        <v>75</v>
      </c>
      <c r="K140" s="28">
        <v>3567</v>
      </c>
      <c r="L140" s="25">
        <v>0</v>
      </c>
      <c r="M140" s="25">
        <v>0</v>
      </c>
      <c r="N140" s="25"/>
      <c r="O140" s="25"/>
      <c r="P140" s="36">
        <v>-3567</v>
      </c>
    </row>
    <row r="141" spans="1:16" ht="22.2" x14ac:dyDescent="0.25">
      <c r="A141" s="29"/>
      <c r="B141" s="27"/>
      <c r="C141" s="30"/>
      <c r="D141" s="30"/>
      <c r="E141" s="30"/>
      <c r="F141" s="30"/>
      <c r="G141" s="30"/>
      <c r="H141" s="30"/>
      <c r="I141" s="30"/>
      <c r="J141" s="30"/>
      <c r="K141" s="31"/>
    </row>
    <row r="142" spans="1:16" ht="22.2" x14ac:dyDescent="0.25">
      <c r="A142" s="29"/>
      <c r="B142" s="27"/>
      <c r="C142" s="30"/>
      <c r="D142" s="30"/>
      <c r="E142" s="30"/>
      <c r="F142" s="30"/>
      <c r="G142" s="30"/>
      <c r="H142" s="30"/>
      <c r="I142" s="30"/>
      <c r="J142" s="30"/>
      <c r="K142" s="31"/>
    </row>
    <row r="143" spans="1:16" ht="22.2" x14ac:dyDescent="0.25">
      <c r="B143" s="22"/>
      <c r="C143" s="26"/>
      <c r="D143" s="61"/>
      <c r="E143" s="61"/>
      <c r="F143" s="23"/>
      <c r="K143" s="32"/>
    </row>
  </sheetData>
  <mergeCells count="15">
    <mergeCell ref="A101:P101"/>
    <mergeCell ref="A113:P113"/>
    <mergeCell ref="D143:E143"/>
    <mergeCell ref="A89:P89"/>
    <mergeCell ref="M2:M4"/>
    <mergeCell ref="N2:N4"/>
    <mergeCell ref="O2:O4"/>
    <mergeCell ref="A6:P6"/>
    <mergeCell ref="A68:P68"/>
    <mergeCell ref="A78:P78"/>
    <mergeCell ref="A1:K1"/>
    <mergeCell ref="A2:B3"/>
    <mergeCell ref="D2:E3"/>
    <mergeCell ref="L2:L4"/>
    <mergeCell ref="P2:P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BE2E-8BF1-4731-9E22-B7FEE0AB17F8}">
  <dimension ref="B1:Q143"/>
  <sheetViews>
    <sheetView workbookViewId="0">
      <selection activeCell="X16" sqref="X16"/>
    </sheetView>
  </sheetViews>
  <sheetFormatPr defaultRowHeight="13.8" x14ac:dyDescent="0.25"/>
  <sheetData>
    <row r="1" spans="2:17" ht="22.2" x14ac:dyDescent="0.25">
      <c r="B1" s="50" t="s">
        <v>145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14</v>
      </c>
      <c r="E7" s="25">
        <v>74</v>
      </c>
      <c r="F7" s="25">
        <v>16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8">
        <v>104</v>
      </c>
      <c r="M7" s="11"/>
      <c r="N7" s="11"/>
      <c r="O7" s="11"/>
      <c r="P7" s="11"/>
      <c r="Q7" s="36">
        <v>-104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3</v>
      </c>
      <c r="E25" s="25">
        <v>5</v>
      </c>
      <c r="F25" s="25">
        <v>7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8">
        <v>15</v>
      </c>
      <c r="M25" s="11"/>
      <c r="N25" s="11"/>
      <c r="O25" s="11"/>
      <c r="P25" s="11"/>
      <c r="Q25" s="36">
        <v>-15</v>
      </c>
    </row>
    <row r="26" spans="2:17" ht="22.2" x14ac:dyDescent="0.25">
      <c r="B26" s="11">
        <v>1004055</v>
      </c>
      <c r="C26" s="15" t="s">
        <v>37</v>
      </c>
      <c r="D26" s="25">
        <v>8</v>
      </c>
      <c r="E26" s="25">
        <v>0</v>
      </c>
      <c r="F26" s="25">
        <v>21</v>
      </c>
      <c r="G26" s="25">
        <v>172</v>
      </c>
      <c r="H26" s="25">
        <v>0</v>
      </c>
      <c r="I26" s="25">
        <v>0</v>
      </c>
      <c r="J26" s="25">
        <v>0</v>
      </c>
      <c r="K26" s="25">
        <v>20</v>
      </c>
      <c r="L26" s="28">
        <v>221</v>
      </c>
      <c r="M26" s="11"/>
      <c r="N26" s="11"/>
      <c r="O26" s="11"/>
      <c r="P26" s="11"/>
      <c r="Q26" s="36">
        <v>-221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0</v>
      </c>
      <c r="E40" s="25">
        <v>2</v>
      </c>
      <c r="F40" s="25">
        <v>0</v>
      </c>
      <c r="G40" s="25">
        <v>4</v>
      </c>
      <c r="H40" s="25">
        <v>0</v>
      </c>
      <c r="I40" s="25">
        <v>0</v>
      </c>
      <c r="J40" s="25">
        <v>0</v>
      </c>
      <c r="K40" s="25">
        <v>0</v>
      </c>
      <c r="L40" s="28">
        <v>6</v>
      </c>
      <c r="M40" s="11"/>
      <c r="N40" s="11"/>
      <c r="O40" s="11"/>
      <c r="P40" s="11"/>
      <c r="Q40" s="36">
        <v>-6</v>
      </c>
    </row>
    <row r="41" spans="2:17" ht="22.2" x14ac:dyDescent="0.25">
      <c r="B41" s="11">
        <v>1111058</v>
      </c>
      <c r="C41" s="15" t="s">
        <v>52</v>
      </c>
      <c r="D41" s="25">
        <v>0</v>
      </c>
      <c r="E41" s="25">
        <v>2</v>
      </c>
      <c r="F41" s="25">
        <v>0</v>
      </c>
      <c r="G41" s="25">
        <v>4</v>
      </c>
      <c r="H41" s="25">
        <v>0</v>
      </c>
      <c r="I41" s="25">
        <v>0</v>
      </c>
      <c r="J41" s="25">
        <v>0</v>
      </c>
      <c r="K41" s="25">
        <v>0</v>
      </c>
      <c r="L41" s="28">
        <v>6</v>
      </c>
      <c r="M41" s="11"/>
      <c r="N41" s="11"/>
      <c r="O41" s="11"/>
      <c r="P41" s="11"/>
      <c r="Q41" s="36">
        <v>-6</v>
      </c>
    </row>
    <row r="42" spans="2:17" ht="22.2" x14ac:dyDescent="0.25">
      <c r="B42" s="11">
        <v>1111059</v>
      </c>
      <c r="C42" s="15" t="s">
        <v>53</v>
      </c>
      <c r="D42" s="25">
        <v>0</v>
      </c>
      <c r="E42" s="25">
        <v>2</v>
      </c>
      <c r="F42" s="25">
        <v>0</v>
      </c>
      <c r="G42" s="25">
        <v>9</v>
      </c>
      <c r="H42" s="25">
        <v>0</v>
      </c>
      <c r="I42" s="25">
        <v>0</v>
      </c>
      <c r="J42" s="25">
        <v>0</v>
      </c>
      <c r="K42" s="25">
        <v>0</v>
      </c>
      <c r="L42" s="28">
        <v>11</v>
      </c>
      <c r="M42" s="11"/>
      <c r="N42" s="11"/>
      <c r="O42" s="11"/>
      <c r="P42" s="11"/>
      <c r="Q42" s="36">
        <v>-11</v>
      </c>
    </row>
    <row r="43" spans="2:17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/>
      <c r="N43" s="11"/>
      <c r="O43" s="11"/>
      <c r="P43" s="11"/>
      <c r="Q43" s="36">
        <v>0</v>
      </c>
    </row>
    <row r="44" spans="2:17" ht="22.2" x14ac:dyDescent="0.25">
      <c r="B44" s="11">
        <v>1111061</v>
      </c>
      <c r="C44" s="15" t="s">
        <v>55</v>
      </c>
      <c r="D44" s="25">
        <v>0</v>
      </c>
      <c r="E44" s="25">
        <v>2</v>
      </c>
      <c r="F44" s="25">
        <v>0</v>
      </c>
      <c r="G44" s="25">
        <v>4</v>
      </c>
      <c r="H44" s="25">
        <v>0</v>
      </c>
      <c r="I44" s="25">
        <v>0</v>
      </c>
      <c r="J44" s="25">
        <v>0</v>
      </c>
      <c r="K44" s="25">
        <v>0</v>
      </c>
      <c r="L44" s="28">
        <v>6</v>
      </c>
      <c r="M44" s="11"/>
      <c r="N44" s="11"/>
      <c r="O44" s="11"/>
      <c r="P44" s="11"/>
      <c r="Q44" s="36">
        <v>-6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11"/>
      <c r="P45" s="11"/>
      <c r="Q45" s="36">
        <v>0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2</v>
      </c>
      <c r="F46" s="25">
        <v>0</v>
      </c>
      <c r="G46" s="25">
        <v>4</v>
      </c>
      <c r="H46" s="25">
        <v>0</v>
      </c>
      <c r="I46" s="25">
        <v>0</v>
      </c>
      <c r="J46" s="25">
        <v>0</v>
      </c>
      <c r="K46" s="25">
        <v>0</v>
      </c>
      <c r="L46" s="28">
        <v>6</v>
      </c>
      <c r="M46" s="11"/>
      <c r="N46" s="11"/>
      <c r="O46" s="11"/>
      <c r="P46" s="11"/>
      <c r="Q46" s="36">
        <v>-6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2</v>
      </c>
      <c r="F47" s="25">
        <v>0</v>
      </c>
      <c r="G47" s="25">
        <v>4</v>
      </c>
      <c r="H47" s="25">
        <v>0</v>
      </c>
      <c r="I47" s="25">
        <v>0</v>
      </c>
      <c r="J47" s="25">
        <v>0</v>
      </c>
      <c r="K47" s="25">
        <v>0</v>
      </c>
      <c r="L47" s="28">
        <v>6</v>
      </c>
      <c r="M47" s="11"/>
      <c r="N47" s="11"/>
      <c r="O47" s="11"/>
      <c r="P47" s="11"/>
      <c r="Q47" s="36">
        <v>-6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/>
      <c r="N48" s="11"/>
      <c r="O48" s="11"/>
      <c r="P48" s="11"/>
      <c r="Q48" s="36">
        <v>0</v>
      </c>
    </row>
    <row r="49" spans="2:17" ht="22.2" x14ac:dyDescent="0.25">
      <c r="B49" s="11">
        <v>1111066</v>
      </c>
      <c r="C49" s="15" t="s">
        <v>60</v>
      </c>
      <c r="D49" s="25">
        <v>0</v>
      </c>
      <c r="E49" s="25">
        <v>2</v>
      </c>
      <c r="F49" s="25">
        <v>0</v>
      </c>
      <c r="G49" s="25">
        <v>4</v>
      </c>
      <c r="H49" s="25">
        <v>0</v>
      </c>
      <c r="I49" s="25">
        <v>0</v>
      </c>
      <c r="J49" s="25">
        <v>0</v>
      </c>
      <c r="K49" s="25">
        <v>0</v>
      </c>
      <c r="L49" s="28">
        <v>6</v>
      </c>
      <c r="M49" s="11"/>
      <c r="N49" s="11"/>
      <c r="O49" s="11"/>
      <c r="P49" s="11"/>
      <c r="Q49" s="36">
        <v>-6</v>
      </c>
    </row>
    <row r="50" spans="2:17" ht="22.2" x14ac:dyDescent="0.25">
      <c r="B50" s="11">
        <v>1111067</v>
      </c>
      <c r="C50" s="15" t="s">
        <v>61</v>
      </c>
      <c r="D50" s="25">
        <v>0</v>
      </c>
      <c r="E50" s="25">
        <v>2</v>
      </c>
      <c r="F50" s="25">
        <v>0</v>
      </c>
      <c r="G50" s="25">
        <v>9</v>
      </c>
      <c r="H50" s="25">
        <v>0</v>
      </c>
      <c r="I50" s="25">
        <v>0</v>
      </c>
      <c r="J50" s="25">
        <v>0</v>
      </c>
      <c r="K50" s="25">
        <v>0</v>
      </c>
      <c r="L50" s="28">
        <v>11</v>
      </c>
      <c r="M50" s="11"/>
      <c r="N50" s="11"/>
      <c r="O50" s="11"/>
      <c r="P50" s="11"/>
      <c r="Q50" s="36">
        <v>-11</v>
      </c>
    </row>
    <row r="51" spans="2:17" ht="22.2" x14ac:dyDescent="0.25">
      <c r="B51" s="11">
        <v>1111068</v>
      </c>
      <c r="C51" s="15" t="s">
        <v>62</v>
      </c>
      <c r="D51" s="25">
        <v>0</v>
      </c>
      <c r="E51" s="25">
        <v>2</v>
      </c>
      <c r="F51" s="25">
        <v>0</v>
      </c>
      <c r="G51" s="25">
        <v>4</v>
      </c>
      <c r="H51" s="25">
        <v>0</v>
      </c>
      <c r="I51" s="25">
        <v>0</v>
      </c>
      <c r="J51" s="25">
        <v>0</v>
      </c>
      <c r="K51" s="25">
        <v>0</v>
      </c>
      <c r="L51" s="28">
        <v>6</v>
      </c>
      <c r="M51" s="11"/>
      <c r="N51" s="11"/>
      <c r="O51" s="11"/>
      <c r="P51" s="11"/>
      <c r="Q51" s="36">
        <v>-6</v>
      </c>
    </row>
    <row r="52" spans="2:17" ht="22.2" x14ac:dyDescent="0.25">
      <c r="B52" s="11">
        <v>1111069</v>
      </c>
      <c r="C52" s="15" t="s">
        <v>63</v>
      </c>
      <c r="D52" s="25">
        <v>0</v>
      </c>
      <c r="E52" s="25">
        <v>2</v>
      </c>
      <c r="F52" s="25">
        <v>0</v>
      </c>
      <c r="G52" s="25">
        <v>4</v>
      </c>
      <c r="H52" s="25">
        <v>0</v>
      </c>
      <c r="I52" s="25">
        <v>0</v>
      </c>
      <c r="J52" s="25">
        <v>0</v>
      </c>
      <c r="K52" s="25">
        <v>0</v>
      </c>
      <c r="L52" s="28">
        <v>6</v>
      </c>
      <c r="M52" s="11"/>
      <c r="N52" s="11"/>
      <c r="O52" s="11"/>
      <c r="P52" s="11"/>
      <c r="Q52" s="36">
        <v>-6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0</v>
      </c>
      <c r="E56" s="25">
        <v>0</v>
      </c>
      <c r="F56" s="25">
        <v>4</v>
      </c>
      <c r="G56" s="25">
        <v>61</v>
      </c>
      <c r="H56" s="25">
        <v>0</v>
      </c>
      <c r="I56" s="25">
        <v>0</v>
      </c>
      <c r="J56" s="25">
        <v>0</v>
      </c>
      <c r="K56" s="25">
        <v>0</v>
      </c>
      <c r="L56" s="28">
        <v>65</v>
      </c>
      <c r="M56" s="11"/>
      <c r="N56" s="11"/>
      <c r="O56" s="11"/>
      <c r="P56" s="11"/>
      <c r="Q56" s="36">
        <v>-65</v>
      </c>
    </row>
    <row r="57" spans="2:17" ht="22.2" x14ac:dyDescent="0.25">
      <c r="B57" s="11">
        <v>1111075</v>
      </c>
      <c r="C57" s="15" t="s">
        <v>68</v>
      </c>
      <c r="D57" s="25">
        <v>0</v>
      </c>
      <c r="E57" s="25">
        <v>0</v>
      </c>
      <c r="F57" s="25">
        <v>4</v>
      </c>
      <c r="G57" s="25">
        <v>61</v>
      </c>
      <c r="H57" s="25">
        <v>0</v>
      </c>
      <c r="I57" s="25">
        <v>0</v>
      </c>
      <c r="J57" s="25">
        <v>0</v>
      </c>
      <c r="K57" s="25">
        <v>0</v>
      </c>
      <c r="L57" s="28">
        <v>65</v>
      </c>
      <c r="M57" s="11"/>
      <c r="N57" s="11"/>
      <c r="O57" s="11"/>
      <c r="P57" s="11"/>
      <c r="Q57" s="36">
        <v>-65</v>
      </c>
    </row>
    <row r="58" spans="2:17" ht="22.2" x14ac:dyDescent="0.25">
      <c r="B58" s="11">
        <v>1111076</v>
      </c>
      <c r="C58" s="15" t="s">
        <v>69</v>
      </c>
      <c r="D58" s="25">
        <v>0</v>
      </c>
      <c r="E58" s="25">
        <v>0</v>
      </c>
      <c r="F58" s="25">
        <v>4</v>
      </c>
      <c r="G58" s="25">
        <v>61</v>
      </c>
      <c r="H58" s="25">
        <v>0</v>
      </c>
      <c r="I58" s="25">
        <v>0</v>
      </c>
      <c r="J58" s="25">
        <v>0</v>
      </c>
      <c r="K58" s="25">
        <v>0</v>
      </c>
      <c r="L58" s="28">
        <v>65</v>
      </c>
      <c r="M58" s="11"/>
      <c r="N58" s="11"/>
      <c r="O58" s="11"/>
      <c r="P58" s="11"/>
      <c r="Q58" s="36">
        <v>-65</v>
      </c>
    </row>
    <row r="59" spans="2:17" ht="22.2" x14ac:dyDescent="0.25">
      <c r="B59" s="11">
        <v>1111077</v>
      </c>
      <c r="C59" s="15" t="s">
        <v>70</v>
      </c>
      <c r="D59" s="25">
        <v>0</v>
      </c>
      <c r="E59" s="25">
        <v>0</v>
      </c>
      <c r="F59" s="25">
        <v>5</v>
      </c>
      <c r="G59" s="25">
        <v>61</v>
      </c>
      <c r="H59" s="25">
        <v>0</v>
      </c>
      <c r="I59" s="25">
        <v>0</v>
      </c>
      <c r="J59" s="25">
        <v>0</v>
      </c>
      <c r="K59" s="25">
        <v>0</v>
      </c>
      <c r="L59" s="28">
        <v>66</v>
      </c>
      <c r="M59" s="11"/>
      <c r="N59" s="11"/>
      <c r="O59" s="11"/>
      <c r="P59" s="11"/>
      <c r="Q59" s="36">
        <v>-66</v>
      </c>
    </row>
    <row r="60" spans="2:17" ht="22.2" x14ac:dyDescent="0.25">
      <c r="B60" s="11">
        <v>1111078</v>
      </c>
      <c r="C60" s="15" t="s">
        <v>71</v>
      </c>
      <c r="D60" s="25">
        <v>0</v>
      </c>
      <c r="E60" s="25">
        <v>0</v>
      </c>
      <c r="F60" s="25">
        <v>4</v>
      </c>
      <c r="G60" s="25">
        <v>61</v>
      </c>
      <c r="H60" s="25">
        <v>0</v>
      </c>
      <c r="I60" s="25">
        <v>0</v>
      </c>
      <c r="J60" s="25">
        <v>0</v>
      </c>
      <c r="K60" s="25">
        <v>0</v>
      </c>
      <c r="L60" s="28">
        <v>65</v>
      </c>
      <c r="M60" s="11"/>
      <c r="N60" s="11"/>
      <c r="O60" s="11"/>
      <c r="P60" s="11"/>
      <c r="Q60" s="36">
        <v>-65</v>
      </c>
    </row>
    <row r="61" spans="2:17" ht="22.2" x14ac:dyDescent="0.25">
      <c r="B61" s="11">
        <v>1111079</v>
      </c>
      <c r="C61" s="15" t="s">
        <v>72</v>
      </c>
      <c r="D61" s="25">
        <v>0</v>
      </c>
      <c r="E61" s="25">
        <v>0</v>
      </c>
      <c r="F61" s="25">
        <v>5</v>
      </c>
      <c r="G61" s="25">
        <v>60</v>
      </c>
      <c r="H61" s="25">
        <v>0</v>
      </c>
      <c r="I61" s="25">
        <v>0</v>
      </c>
      <c r="J61" s="25">
        <v>0</v>
      </c>
      <c r="K61" s="25">
        <v>0</v>
      </c>
      <c r="L61" s="28">
        <v>65</v>
      </c>
      <c r="M61" s="11"/>
      <c r="N61" s="11"/>
      <c r="O61" s="11"/>
      <c r="P61" s="11"/>
      <c r="Q61" s="36">
        <v>-65</v>
      </c>
    </row>
    <row r="62" spans="2:17" ht="22.2" x14ac:dyDescent="0.25">
      <c r="B62" s="11">
        <v>1111080</v>
      </c>
      <c r="C62" s="15" t="s">
        <v>73</v>
      </c>
      <c r="D62" s="25">
        <v>0</v>
      </c>
      <c r="E62" s="25">
        <v>0</v>
      </c>
      <c r="F62" s="25">
        <v>5</v>
      </c>
      <c r="G62" s="25">
        <v>60</v>
      </c>
      <c r="H62" s="25">
        <v>0</v>
      </c>
      <c r="I62" s="25">
        <v>0</v>
      </c>
      <c r="J62" s="25">
        <v>0</v>
      </c>
      <c r="K62" s="25">
        <v>0</v>
      </c>
      <c r="L62" s="28">
        <v>65</v>
      </c>
      <c r="M62" s="11"/>
      <c r="N62" s="11"/>
      <c r="O62" s="11"/>
      <c r="P62" s="11"/>
      <c r="Q62" s="36">
        <v>-65</v>
      </c>
    </row>
    <row r="63" spans="2:17" ht="22.2" x14ac:dyDescent="0.25">
      <c r="B63" s="11">
        <v>1111081</v>
      </c>
      <c r="C63" s="15" t="s">
        <v>74</v>
      </c>
      <c r="D63" s="25">
        <v>0</v>
      </c>
      <c r="E63" s="25">
        <v>0</v>
      </c>
      <c r="F63" s="25">
        <v>4</v>
      </c>
      <c r="G63" s="25">
        <v>60</v>
      </c>
      <c r="H63" s="25">
        <v>0</v>
      </c>
      <c r="I63" s="25">
        <v>0</v>
      </c>
      <c r="J63" s="25">
        <v>0</v>
      </c>
      <c r="K63" s="25">
        <v>0</v>
      </c>
      <c r="L63" s="28">
        <v>64</v>
      </c>
      <c r="M63" s="11"/>
      <c r="N63" s="11"/>
      <c r="O63" s="11"/>
      <c r="P63" s="11"/>
      <c r="Q63" s="36">
        <v>-64</v>
      </c>
    </row>
    <row r="64" spans="2:17" ht="22.2" x14ac:dyDescent="0.25">
      <c r="B64" s="11">
        <v>1111082</v>
      </c>
      <c r="C64" s="15" t="s">
        <v>75</v>
      </c>
      <c r="D64" s="25">
        <v>0</v>
      </c>
      <c r="E64" s="25">
        <v>0</v>
      </c>
      <c r="F64" s="25">
        <v>4</v>
      </c>
      <c r="G64" s="25">
        <v>60</v>
      </c>
      <c r="H64" s="25">
        <v>0</v>
      </c>
      <c r="I64" s="25">
        <v>0</v>
      </c>
      <c r="J64" s="25">
        <v>0</v>
      </c>
      <c r="K64" s="25">
        <v>0</v>
      </c>
      <c r="L64" s="28">
        <v>64</v>
      </c>
      <c r="M64" s="11"/>
      <c r="N64" s="11"/>
      <c r="O64" s="11"/>
      <c r="P64" s="11"/>
      <c r="Q64" s="36">
        <v>-64</v>
      </c>
    </row>
    <row r="65" spans="2:17" ht="22.2" x14ac:dyDescent="0.25">
      <c r="B65" s="11">
        <v>1111083</v>
      </c>
      <c r="C65" s="15" t="s">
        <v>76</v>
      </c>
      <c r="D65" s="25">
        <v>0</v>
      </c>
      <c r="E65" s="25">
        <v>0</v>
      </c>
      <c r="F65" s="25">
        <v>1</v>
      </c>
      <c r="G65" s="25">
        <v>60</v>
      </c>
      <c r="H65" s="25">
        <v>0</v>
      </c>
      <c r="I65" s="25">
        <v>0</v>
      </c>
      <c r="J65" s="25">
        <v>0</v>
      </c>
      <c r="K65" s="25">
        <v>0</v>
      </c>
      <c r="L65" s="28">
        <v>61</v>
      </c>
      <c r="M65" s="11"/>
      <c r="N65" s="11"/>
      <c r="O65" s="11"/>
      <c r="P65" s="11"/>
      <c r="Q65" s="36">
        <v>-61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14</v>
      </c>
      <c r="E69" s="25">
        <v>4</v>
      </c>
      <c r="F69" s="25">
        <v>7</v>
      </c>
      <c r="G69" s="25">
        <v>2</v>
      </c>
      <c r="H69" s="25">
        <v>0</v>
      </c>
      <c r="I69" s="25">
        <v>0</v>
      </c>
      <c r="J69" s="25">
        <v>0</v>
      </c>
      <c r="K69" s="25">
        <v>0</v>
      </c>
      <c r="L69" s="28">
        <v>27</v>
      </c>
      <c r="M69" s="11"/>
      <c r="N69" s="11"/>
      <c r="O69" s="11"/>
      <c r="P69" s="11"/>
      <c r="Q69" s="36">
        <v>-27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0</v>
      </c>
      <c r="E87" s="25">
        <v>4</v>
      </c>
      <c r="F87" s="25">
        <v>0</v>
      </c>
      <c r="G87" s="25">
        <v>193</v>
      </c>
      <c r="H87" s="25">
        <v>0</v>
      </c>
      <c r="I87" s="25">
        <v>0</v>
      </c>
      <c r="J87" s="25">
        <v>0</v>
      </c>
      <c r="K87" s="25">
        <v>0</v>
      </c>
      <c r="L87" s="28">
        <v>197</v>
      </c>
      <c r="M87" s="11"/>
      <c r="N87" s="11"/>
      <c r="O87" s="11"/>
      <c r="P87" s="11"/>
      <c r="Q87" s="36">
        <v>-197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7</v>
      </c>
      <c r="E90" s="25">
        <v>78</v>
      </c>
      <c r="F90" s="25">
        <v>13</v>
      </c>
      <c r="G90" s="25">
        <v>67</v>
      </c>
      <c r="H90" s="25">
        <v>0</v>
      </c>
      <c r="I90" s="25">
        <v>0</v>
      </c>
      <c r="J90" s="25">
        <v>0</v>
      </c>
      <c r="K90" s="25">
        <v>10</v>
      </c>
      <c r="L90" s="28">
        <v>175</v>
      </c>
      <c r="M90" s="11"/>
      <c r="N90" s="11"/>
      <c r="O90" s="11"/>
      <c r="P90" s="11"/>
      <c r="Q90" s="36">
        <v>-175</v>
      </c>
    </row>
    <row r="91" spans="2:17" ht="22.2" x14ac:dyDescent="0.25">
      <c r="B91" s="11">
        <v>1112011</v>
      </c>
      <c r="C91" s="18" t="s">
        <v>99</v>
      </c>
      <c r="D91" s="25">
        <v>7</v>
      </c>
      <c r="E91" s="25">
        <v>78</v>
      </c>
      <c r="F91" s="25">
        <v>21</v>
      </c>
      <c r="G91" s="25">
        <v>66</v>
      </c>
      <c r="H91" s="25">
        <v>0</v>
      </c>
      <c r="I91" s="25">
        <v>0</v>
      </c>
      <c r="J91" s="25">
        <v>0</v>
      </c>
      <c r="K91" s="25">
        <v>30</v>
      </c>
      <c r="L91" s="28">
        <v>202</v>
      </c>
      <c r="M91" s="11"/>
      <c r="N91" s="11"/>
      <c r="O91" s="11"/>
      <c r="P91" s="11"/>
      <c r="Q91" s="36">
        <v>-202</v>
      </c>
    </row>
    <row r="92" spans="2:17" ht="22.2" x14ac:dyDescent="0.25">
      <c r="B92" s="11">
        <v>1112003</v>
      </c>
      <c r="C92" s="18" t="s">
        <v>100</v>
      </c>
      <c r="D92" s="25">
        <v>18</v>
      </c>
      <c r="E92" s="25">
        <v>46</v>
      </c>
      <c r="F92" s="25">
        <v>8</v>
      </c>
      <c r="G92" s="25">
        <v>79</v>
      </c>
      <c r="H92" s="25">
        <v>0</v>
      </c>
      <c r="I92" s="25">
        <v>0</v>
      </c>
      <c r="J92" s="25">
        <v>0</v>
      </c>
      <c r="K92" s="25">
        <v>5</v>
      </c>
      <c r="L92" s="28">
        <v>156</v>
      </c>
      <c r="M92" s="11"/>
      <c r="N92" s="11"/>
      <c r="O92" s="11"/>
      <c r="P92" s="11"/>
      <c r="Q92" s="36">
        <v>-156</v>
      </c>
    </row>
    <row r="93" spans="2:17" ht="22.2" x14ac:dyDescent="0.25">
      <c r="B93" s="11">
        <v>1112005</v>
      </c>
      <c r="C93" s="18" t="s">
        <v>101</v>
      </c>
      <c r="D93" s="25">
        <v>13</v>
      </c>
      <c r="E93" s="25">
        <v>45</v>
      </c>
      <c r="F93" s="25">
        <v>8</v>
      </c>
      <c r="G93" s="25">
        <v>77</v>
      </c>
      <c r="H93" s="25">
        <v>0</v>
      </c>
      <c r="I93" s="25">
        <v>0</v>
      </c>
      <c r="J93" s="25">
        <v>0</v>
      </c>
      <c r="K93" s="25">
        <v>12</v>
      </c>
      <c r="L93" s="28">
        <v>155</v>
      </c>
      <c r="M93" s="11"/>
      <c r="N93" s="11"/>
      <c r="O93" s="11"/>
      <c r="P93" s="11"/>
      <c r="Q93" s="36">
        <v>-155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8</v>
      </c>
      <c r="E97" s="25">
        <v>45</v>
      </c>
      <c r="F97" s="25">
        <v>8</v>
      </c>
      <c r="G97" s="25">
        <v>76</v>
      </c>
      <c r="H97" s="25">
        <v>0</v>
      </c>
      <c r="I97" s="25">
        <v>0</v>
      </c>
      <c r="J97" s="25">
        <v>0</v>
      </c>
      <c r="K97" s="25">
        <v>11</v>
      </c>
      <c r="L97" s="28">
        <v>148</v>
      </c>
      <c r="M97" s="11"/>
      <c r="N97" s="11"/>
      <c r="O97" s="11"/>
      <c r="P97" s="11"/>
      <c r="Q97" s="36">
        <v>-148</v>
      </c>
    </row>
    <row r="98" spans="2:17" ht="22.2" x14ac:dyDescent="0.25">
      <c r="B98" s="11">
        <v>1112013</v>
      </c>
      <c r="C98" s="18" t="s">
        <v>106</v>
      </c>
      <c r="D98" s="25">
        <v>10</v>
      </c>
      <c r="E98" s="25">
        <v>77</v>
      </c>
      <c r="F98" s="25">
        <v>14</v>
      </c>
      <c r="G98" s="25">
        <v>79</v>
      </c>
      <c r="H98" s="25">
        <v>0</v>
      </c>
      <c r="I98" s="25">
        <v>0</v>
      </c>
      <c r="J98" s="25">
        <v>0</v>
      </c>
      <c r="K98" s="25">
        <v>13</v>
      </c>
      <c r="L98" s="28">
        <v>193</v>
      </c>
      <c r="M98" s="11"/>
      <c r="N98" s="11"/>
      <c r="O98" s="11"/>
      <c r="P98" s="11"/>
      <c r="Q98" s="36">
        <v>-193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1029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72</v>
      </c>
      <c r="E114" s="25">
        <v>3</v>
      </c>
      <c r="F114" s="25">
        <v>5</v>
      </c>
      <c r="G114" s="25">
        <v>39</v>
      </c>
      <c r="H114" s="25">
        <v>0</v>
      </c>
      <c r="I114" s="25">
        <v>0</v>
      </c>
      <c r="J114" s="25">
        <v>0</v>
      </c>
      <c r="K114" s="25">
        <v>0</v>
      </c>
      <c r="L114" s="28">
        <v>119</v>
      </c>
      <c r="M114" s="11"/>
      <c r="N114" s="11"/>
      <c r="O114" s="11"/>
      <c r="P114" s="11"/>
      <c r="Q114" s="36">
        <v>-119</v>
      </c>
    </row>
    <row r="115" spans="2:17" ht="22.2" x14ac:dyDescent="0.25">
      <c r="B115" s="11">
        <v>1113171</v>
      </c>
      <c r="C115" s="20" t="s">
        <v>111</v>
      </c>
      <c r="D115" s="25">
        <v>29</v>
      </c>
      <c r="E115" s="25">
        <v>8</v>
      </c>
      <c r="F115" s="25">
        <v>6</v>
      </c>
      <c r="G115" s="25">
        <v>22</v>
      </c>
      <c r="H115" s="25">
        <v>0</v>
      </c>
      <c r="I115" s="25">
        <v>0</v>
      </c>
      <c r="J115" s="25">
        <v>0</v>
      </c>
      <c r="K115" s="25">
        <v>0</v>
      </c>
      <c r="L115" s="28">
        <v>65</v>
      </c>
      <c r="M115" s="11"/>
      <c r="N115" s="11"/>
      <c r="O115" s="11"/>
      <c r="P115" s="11"/>
      <c r="Q115" s="36">
        <v>-65</v>
      </c>
    </row>
    <row r="116" spans="2:17" ht="22.2" x14ac:dyDescent="0.25">
      <c r="B116" s="11">
        <v>1113172</v>
      </c>
      <c r="C116" s="20" t="s">
        <v>112</v>
      </c>
      <c r="D116" s="25">
        <v>42</v>
      </c>
      <c r="E116" s="25">
        <v>6</v>
      </c>
      <c r="F116" s="25">
        <v>5</v>
      </c>
      <c r="G116" s="25">
        <v>26</v>
      </c>
      <c r="H116" s="25">
        <v>0</v>
      </c>
      <c r="I116" s="25">
        <v>0</v>
      </c>
      <c r="J116" s="25">
        <v>0</v>
      </c>
      <c r="K116" s="25">
        <v>0</v>
      </c>
      <c r="L116" s="28">
        <v>79</v>
      </c>
      <c r="M116" s="11"/>
      <c r="N116" s="11"/>
      <c r="O116" s="11"/>
      <c r="P116" s="11"/>
      <c r="Q116" s="36">
        <v>-79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3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3</v>
      </c>
      <c r="M118" s="11"/>
      <c r="N118" s="11"/>
      <c r="O118" s="11"/>
      <c r="P118" s="11"/>
      <c r="Q118" s="36">
        <v>-3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0</v>
      </c>
      <c r="M119" s="11"/>
      <c r="N119" s="11"/>
      <c r="O119" s="11"/>
      <c r="P119" s="11"/>
      <c r="Q119" s="36">
        <v>0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3</v>
      </c>
      <c r="H120" s="25">
        <v>0</v>
      </c>
      <c r="I120" s="25">
        <v>0</v>
      </c>
      <c r="J120" s="25">
        <v>0</v>
      </c>
      <c r="K120" s="25">
        <v>0</v>
      </c>
      <c r="L120" s="28">
        <v>3</v>
      </c>
      <c r="M120" s="11"/>
      <c r="N120" s="11"/>
      <c r="O120" s="11"/>
      <c r="P120" s="11"/>
      <c r="Q120" s="36">
        <v>-3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/>
      <c r="O121" s="11"/>
      <c r="P121" s="11"/>
      <c r="Q121" s="36">
        <v>0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1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1</v>
      </c>
      <c r="M122" s="11"/>
      <c r="N122" s="11"/>
      <c r="O122" s="11"/>
      <c r="P122" s="11"/>
      <c r="Q122" s="36">
        <v>-1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0</v>
      </c>
      <c r="F123" s="25">
        <v>2</v>
      </c>
      <c r="G123" s="25">
        <v>2</v>
      </c>
      <c r="H123" s="25">
        <v>0</v>
      </c>
      <c r="I123" s="25">
        <v>0</v>
      </c>
      <c r="J123" s="25">
        <v>0</v>
      </c>
      <c r="K123" s="25">
        <v>0</v>
      </c>
      <c r="L123" s="28">
        <v>4</v>
      </c>
      <c r="M123" s="11"/>
      <c r="N123" s="11"/>
      <c r="O123" s="11"/>
      <c r="P123" s="11"/>
      <c r="Q123" s="36">
        <v>-4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1</v>
      </c>
      <c r="F124" s="25">
        <v>1</v>
      </c>
      <c r="G124" s="25">
        <v>2</v>
      </c>
      <c r="H124" s="25">
        <v>0</v>
      </c>
      <c r="I124" s="25">
        <v>0</v>
      </c>
      <c r="J124" s="25">
        <v>0</v>
      </c>
      <c r="K124" s="25">
        <v>0</v>
      </c>
      <c r="L124" s="28">
        <v>4</v>
      </c>
      <c r="M124" s="11"/>
      <c r="N124" s="11"/>
      <c r="O124" s="11"/>
      <c r="P124" s="11"/>
      <c r="Q124" s="36">
        <v>-4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25">
        <v>0</v>
      </c>
      <c r="F125" s="25">
        <v>2</v>
      </c>
      <c r="G125" s="25">
        <v>3</v>
      </c>
      <c r="H125" s="25">
        <v>0</v>
      </c>
      <c r="I125" s="25">
        <v>0</v>
      </c>
      <c r="J125" s="25">
        <v>0</v>
      </c>
      <c r="K125" s="25">
        <v>0</v>
      </c>
      <c r="L125" s="28">
        <v>5</v>
      </c>
      <c r="M125" s="11"/>
      <c r="N125" s="11"/>
      <c r="O125" s="11"/>
      <c r="P125" s="11"/>
      <c r="Q125" s="36">
        <v>-5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79</v>
      </c>
      <c r="F126" s="25">
        <v>65</v>
      </c>
      <c r="G126" s="25">
        <v>36</v>
      </c>
      <c r="H126" s="25">
        <v>0</v>
      </c>
      <c r="I126" s="25">
        <v>0</v>
      </c>
      <c r="J126" s="25">
        <v>0</v>
      </c>
      <c r="K126" s="25">
        <v>0</v>
      </c>
      <c r="L126" s="28">
        <v>180</v>
      </c>
      <c r="M126" s="11"/>
      <c r="N126" s="11"/>
      <c r="O126" s="11"/>
      <c r="P126" s="11"/>
      <c r="Q126" s="36">
        <v>-180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/>
      <c r="O130" s="11"/>
      <c r="P130" s="11"/>
      <c r="Q130" s="36">
        <v>0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4</v>
      </c>
      <c r="F135" s="25">
        <v>6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10</v>
      </c>
      <c r="M135" s="11"/>
      <c r="N135" s="11"/>
      <c r="O135" s="11"/>
      <c r="P135" s="11"/>
      <c r="Q135" s="36">
        <v>-10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1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1</v>
      </c>
      <c r="M136" s="11"/>
      <c r="N136" s="11"/>
      <c r="O136" s="11"/>
      <c r="P136" s="11"/>
      <c r="Q136" s="36">
        <v>-1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245</v>
      </c>
      <c r="E140" s="28">
        <v>580</v>
      </c>
      <c r="F140" s="28">
        <v>257</v>
      </c>
      <c r="G140" s="28">
        <v>1599</v>
      </c>
      <c r="H140" s="28">
        <v>0</v>
      </c>
      <c r="I140" s="28">
        <v>0</v>
      </c>
      <c r="J140" s="28">
        <v>0</v>
      </c>
      <c r="K140" s="28">
        <v>101</v>
      </c>
      <c r="L140" s="28">
        <v>2782</v>
      </c>
      <c r="M140" s="25">
        <v>0</v>
      </c>
      <c r="N140" s="25">
        <v>0</v>
      </c>
      <c r="O140" s="25"/>
      <c r="P140" s="25"/>
      <c r="Q140" s="36">
        <v>-2782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:L1"/>
    <mergeCell ref="E143:F143"/>
    <mergeCell ref="B89:Q89"/>
    <mergeCell ref="N2:N4"/>
    <mergeCell ref="O2:O4"/>
    <mergeCell ref="P2:P4"/>
    <mergeCell ref="B2:C3"/>
    <mergeCell ref="E2:F3"/>
    <mergeCell ref="M2:M4"/>
    <mergeCell ref="Q2:Q4"/>
    <mergeCell ref="B6:Q6"/>
    <mergeCell ref="B68:Q68"/>
    <mergeCell ref="B78:Q78"/>
    <mergeCell ref="B101:Q101"/>
    <mergeCell ref="B113:Q1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AA7E-6629-47FD-8FC8-06B3B102EDE0}">
  <dimension ref="B1:Q143"/>
  <sheetViews>
    <sheetView workbookViewId="0">
      <selection activeCell="S13" sqref="S13"/>
    </sheetView>
  </sheetViews>
  <sheetFormatPr defaultRowHeight="13.8" x14ac:dyDescent="0.25"/>
  <sheetData>
    <row r="1" spans="2:17" ht="22.2" x14ac:dyDescent="0.25">
      <c r="B1" s="50" t="s">
        <v>144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2</v>
      </c>
      <c r="E7" s="25">
        <v>58</v>
      </c>
      <c r="F7" s="25">
        <v>91</v>
      </c>
      <c r="G7" s="25">
        <v>25</v>
      </c>
      <c r="H7" s="25">
        <v>0</v>
      </c>
      <c r="I7" s="25">
        <v>0</v>
      </c>
      <c r="J7" s="25">
        <v>0</v>
      </c>
      <c r="K7" s="25">
        <v>0</v>
      </c>
      <c r="L7" s="28">
        <v>176</v>
      </c>
      <c r="M7" s="11"/>
      <c r="N7" s="11">
        <v>328</v>
      </c>
      <c r="O7" s="11"/>
      <c r="P7" s="11"/>
      <c r="Q7" s="36">
        <v>152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1</v>
      </c>
      <c r="E25" s="25">
        <v>5</v>
      </c>
      <c r="F25" s="25">
        <v>12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8">
        <v>18</v>
      </c>
      <c r="M25" s="11"/>
      <c r="N25" s="11"/>
      <c r="O25" s="11"/>
      <c r="P25" s="11"/>
      <c r="Q25" s="36">
        <v>-18</v>
      </c>
    </row>
    <row r="26" spans="2:17" ht="22.2" x14ac:dyDescent="0.25">
      <c r="B26" s="11">
        <v>1004055</v>
      </c>
      <c r="C26" s="15" t="s">
        <v>37</v>
      </c>
      <c r="D26" s="25">
        <v>6</v>
      </c>
      <c r="E26" s="25">
        <v>16</v>
      </c>
      <c r="F26" s="25">
        <v>25</v>
      </c>
      <c r="G26" s="25">
        <v>221</v>
      </c>
      <c r="H26" s="25">
        <v>0</v>
      </c>
      <c r="I26" s="25">
        <v>0</v>
      </c>
      <c r="J26" s="25">
        <v>0</v>
      </c>
      <c r="K26" s="25">
        <v>0</v>
      </c>
      <c r="L26" s="28">
        <v>268</v>
      </c>
      <c r="M26" s="11"/>
      <c r="N26" s="11">
        <v>227</v>
      </c>
      <c r="O26" s="11"/>
      <c r="P26" s="11"/>
      <c r="Q26" s="36">
        <v>-41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3</v>
      </c>
      <c r="E40" s="25">
        <v>2</v>
      </c>
      <c r="F40" s="25">
        <v>0</v>
      </c>
      <c r="G40" s="25">
        <v>6</v>
      </c>
      <c r="H40" s="25">
        <v>0</v>
      </c>
      <c r="I40" s="25">
        <v>0</v>
      </c>
      <c r="J40" s="25">
        <v>0</v>
      </c>
      <c r="K40" s="25">
        <v>0</v>
      </c>
      <c r="L40" s="28">
        <v>11</v>
      </c>
      <c r="M40" s="11"/>
      <c r="N40" s="11">
        <v>3</v>
      </c>
      <c r="O40" s="11"/>
      <c r="P40" s="11"/>
      <c r="Q40" s="36">
        <v>-8</v>
      </c>
    </row>
    <row r="41" spans="2:17" ht="22.2" x14ac:dyDescent="0.25">
      <c r="B41" s="11">
        <v>1111058</v>
      </c>
      <c r="C41" s="15" t="s">
        <v>52</v>
      </c>
      <c r="D41" s="25">
        <v>3</v>
      </c>
      <c r="E41" s="25">
        <v>2</v>
      </c>
      <c r="F41" s="25">
        <v>0</v>
      </c>
      <c r="G41" s="25">
        <v>6</v>
      </c>
      <c r="H41" s="25">
        <v>0</v>
      </c>
      <c r="I41" s="25">
        <v>0</v>
      </c>
      <c r="J41" s="25">
        <v>0</v>
      </c>
      <c r="K41" s="25">
        <v>0</v>
      </c>
      <c r="L41" s="28">
        <v>11</v>
      </c>
      <c r="M41" s="11"/>
      <c r="N41" s="11"/>
      <c r="O41" s="11"/>
      <c r="P41" s="11"/>
      <c r="Q41" s="36">
        <v>-11</v>
      </c>
    </row>
    <row r="42" spans="2:17" ht="22.2" x14ac:dyDescent="0.25">
      <c r="B42" s="11">
        <v>1111059</v>
      </c>
      <c r="C42" s="15" t="s">
        <v>53</v>
      </c>
      <c r="D42" s="25">
        <v>3</v>
      </c>
      <c r="E42" s="25">
        <v>2</v>
      </c>
      <c r="F42" s="25">
        <v>0</v>
      </c>
      <c r="G42" s="25">
        <v>6</v>
      </c>
      <c r="H42" s="25">
        <v>0</v>
      </c>
      <c r="I42" s="25">
        <v>0</v>
      </c>
      <c r="J42" s="25">
        <v>0</v>
      </c>
      <c r="K42" s="25">
        <v>0</v>
      </c>
      <c r="L42" s="28">
        <v>11</v>
      </c>
      <c r="M42" s="11"/>
      <c r="N42" s="11"/>
      <c r="O42" s="11"/>
      <c r="P42" s="11"/>
      <c r="Q42" s="36">
        <v>-11</v>
      </c>
    </row>
    <row r="43" spans="2:17" ht="22.2" x14ac:dyDescent="0.25">
      <c r="B43" s="11">
        <v>1111060</v>
      </c>
      <c r="C43" s="15" t="s">
        <v>54</v>
      </c>
      <c r="D43" s="25">
        <v>3</v>
      </c>
      <c r="E43" s="25">
        <v>2</v>
      </c>
      <c r="F43" s="25">
        <v>0</v>
      </c>
      <c r="G43" s="25">
        <v>2</v>
      </c>
      <c r="H43" s="25">
        <v>0</v>
      </c>
      <c r="I43" s="25">
        <v>0</v>
      </c>
      <c r="J43" s="25">
        <v>0</v>
      </c>
      <c r="K43" s="25">
        <v>0</v>
      </c>
      <c r="L43" s="28">
        <v>7</v>
      </c>
      <c r="M43" s="11"/>
      <c r="N43" s="11"/>
      <c r="O43" s="11"/>
      <c r="P43" s="11"/>
      <c r="Q43" s="36">
        <v>-7</v>
      </c>
    </row>
    <row r="44" spans="2:17" ht="22.2" x14ac:dyDescent="0.25">
      <c r="B44" s="11">
        <v>1111061</v>
      </c>
      <c r="C44" s="15" t="s">
        <v>55</v>
      </c>
      <c r="D44" s="25">
        <v>3</v>
      </c>
      <c r="E44" s="25">
        <v>2</v>
      </c>
      <c r="F44" s="25">
        <v>0</v>
      </c>
      <c r="G44" s="25">
        <v>6</v>
      </c>
      <c r="H44" s="25">
        <v>0</v>
      </c>
      <c r="I44" s="25">
        <v>0</v>
      </c>
      <c r="J44" s="25">
        <v>0</v>
      </c>
      <c r="K44" s="25">
        <v>0</v>
      </c>
      <c r="L44" s="28">
        <v>11</v>
      </c>
      <c r="M44" s="11"/>
      <c r="N44" s="11">
        <v>3</v>
      </c>
      <c r="O44" s="11"/>
      <c r="P44" s="11"/>
      <c r="Q44" s="36">
        <v>-8</v>
      </c>
    </row>
    <row r="45" spans="2:17" ht="22.2" x14ac:dyDescent="0.25">
      <c r="B45" s="11">
        <v>1111062</v>
      </c>
      <c r="C45" s="15" t="s">
        <v>56</v>
      </c>
      <c r="D45" s="25">
        <v>3</v>
      </c>
      <c r="E45" s="25">
        <v>2</v>
      </c>
      <c r="F45" s="25">
        <v>0</v>
      </c>
      <c r="G45" s="25">
        <v>2</v>
      </c>
      <c r="H45" s="25">
        <v>0</v>
      </c>
      <c r="I45" s="25">
        <v>0</v>
      </c>
      <c r="J45" s="25">
        <v>0</v>
      </c>
      <c r="K45" s="25">
        <v>0</v>
      </c>
      <c r="L45" s="28">
        <v>7</v>
      </c>
      <c r="M45" s="11"/>
      <c r="N45" s="11"/>
      <c r="O45" s="11"/>
      <c r="P45" s="11"/>
      <c r="Q45" s="36">
        <v>-7</v>
      </c>
    </row>
    <row r="46" spans="2:17" ht="22.2" x14ac:dyDescent="0.25">
      <c r="B46" s="11">
        <v>1111063</v>
      </c>
      <c r="C46" s="15" t="s">
        <v>57</v>
      </c>
      <c r="D46" s="25">
        <v>3</v>
      </c>
      <c r="E46" s="25">
        <v>2</v>
      </c>
      <c r="F46" s="25">
        <v>0</v>
      </c>
      <c r="G46" s="25">
        <v>6</v>
      </c>
      <c r="H46" s="25">
        <v>0</v>
      </c>
      <c r="I46" s="25">
        <v>0</v>
      </c>
      <c r="J46" s="25">
        <v>0</v>
      </c>
      <c r="K46" s="25">
        <v>0</v>
      </c>
      <c r="L46" s="28">
        <v>11</v>
      </c>
      <c r="M46" s="11"/>
      <c r="N46" s="11">
        <v>1</v>
      </c>
      <c r="O46" s="11"/>
      <c r="P46" s="11"/>
      <c r="Q46" s="36">
        <v>-10</v>
      </c>
    </row>
    <row r="47" spans="2:17" ht="22.2" x14ac:dyDescent="0.25">
      <c r="B47" s="11">
        <v>1111064</v>
      </c>
      <c r="C47" s="15" t="s">
        <v>58</v>
      </c>
      <c r="D47" s="25">
        <v>3</v>
      </c>
      <c r="E47" s="25">
        <v>2</v>
      </c>
      <c r="F47" s="25">
        <v>0</v>
      </c>
      <c r="G47" s="25">
        <v>6</v>
      </c>
      <c r="H47" s="25">
        <v>0</v>
      </c>
      <c r="I47" s="25">
        <v>0</v>
      </c>
      <c r="J47" s="25">
        <v>0</v>
      </c>
      <c r="K47" s="25">
        <v>0</v>
      </c>
      <c r="L47" s="28">
        <v>11</v>
      </c>
      <c r="M47" s="11"/>
      <c r="N47" s="11"/>
      <c r="O47" s="11"/>
      <c r="P47" s="11"/>
      <c r="Q47" s="36">
        <v>-11</v>
      </c>
    </row>
    <row r="48" spans="2:17" ht="22.2" x14ac:dyDescent="0.25">
      <c r="B48" s="11">
        <v>1111065</v>
      </c>
      <c r="C48" s="15" t="s">
        <v>59</v>
      </c>
      <c r="D48" s="25">
        <v>3</v>
      </c>
      <c r="E48" s="25">
        <v>2</v>
      </c>
      <c r="F48" s="25">
        <v>0</v>
      </c>
      <c r="G48" s="25">
        <v>2</v>
      </c>
      <c r="H48" s="25">
        <v>0</v>
      </c>
      <c r="I48" s="25">
        <v>0</v>
      </c>
      <c r="J48" s="25">
        <v>0</v>
      </c>
      <c r="K48" s="25">
        <v>0</v>
      </c>
      <c r="L48" s="28">
        <v>7</v>
      </c>
      <c r="M48" s="11"/>
      <c r="N48" s="11"/>
      <c r="O48" s="11"/>
      <c r="P48" s="11"/>
      <c r="Q48" s="36">
        <v>-7</v>
      </c>
    </row>
    <row r="49" spans="2:17" ht="22.2" x14ac:dyDescent="0.25">
      <c r="B49" s="11">
        <v>1111066</v>
      </c>
      <c r="C49" s="15" t="s">
        <v>60</v>
      </c>
      <c r="D49" s="25">
        <v>3</v>
      </c>
      <c r="E49" s="25">
        <v>2</v>
      </c>
      <c r="F49" s="25">
        <v>0</v>
      </c>
      <c r="G49" s="25">
        <v>6</v>
      </c>
      <c r="H49" s="25">
        <v>0</v>
      </c>
      <c r="I49" s="25">
        <v>0</v>
      </c>
      <c r="J49" s="25">
        <v>0</v>
      </c>
      <c r="K49" s="25">
        <v>0</v>
      </c>
      <c r="L49" s="28">
        <v>11</v>
      </c>
      <c r="M49" s="11"/>
      <c r="N49" s="11">
        <v>20</v>
      </c>
      <c r="O49" s="11"/>
      <c r="P49" s="11"/>
      <c r="Q49" s="36">
        <v>9</v>
      </c>
    </row>
    <row r="50" spans="2:17" ht="22.2" x14ac:dyDescent="0.25">
      <c r="B50" s="11">
        <v>1111067</v>
      </c>
      <c r="C50" s="15" t="s">
        <v>61</v>
      </c>
      <c r="D50" s="25">
        <v>3</v>
      </c>
      <c r="E50" s="25">
        <v>2</v>
      </c>
      <c r="F50" s="25">
        <v>0</v>
      </c>
      <c r="G50" s="25">
        <v>6</v>
      </c>
      <c r="H50" s="25">
        <v>0</v>
      </c>
      <c r="I50" s="25">
        <v>0</v>
      </c>
      <c r="J50" s="25">
        <v>0</v>
      </c>
      <c r="K50" s="25">
        <v>0</v>
      </c>
      <c r="L50" s="28">
        <v>11</v>
      </c>
      <c r="M50" s="11"/>
      <c r="N50" s="11"/>
      <c r="O50" s="11"/>
      <c r="P50" s="11"/>
      <c r="Q50" s="36">
        <v>-11</v>
      </c>
    </row>
    <row r="51" spans="2:17" ht="22.2" x14ac:dyDescent="0.25">
      <c r="B51" s="11">
        <v>1111068</v>
      </c>
      <c r="C51" s="15" t="s">
        <v>62</v>
      </c>
      <c r="D51" s="25">
        <v>3</v>
      </c>
      <c r="E51" s="25">
        <v>2</v>
      </c>
      <c r="F51" s="25">
        <v>0</v>
      </c>
      <c r="G51" s="25">
        <v>4</v>
      </c>
      <c r="H51" s="25">
        <v>0</v>
      </c>
      <c r="I51" s="25">
        <v>0</v>
      </c>
      <c r="J51" s="25">
        <v>0</v>
      </c>
      <c r="K51" s="25">
        <v>0</v>
      </c>
      <c r="L51" s="28">
        <v>9</v>
      </c>
      <c r="M51" s="11"/>
      <c r="N51" s="11"/>
      <c r="O51" s="11"/>
      <c r="P51" s="11"/>
      <c r="Q51" s="36">
        <v>-9</v>
      </c>
    </row>
    <row r="52" spans="2:17" ht="22.2" x14ac:dyDescent="0.25">
      <c r="B52" s="11">
        <v>1111069</v>
      </c>
      <c r="C52" s="15" t="s">
        <v>63</v>
      </c>
      <c r="D52" s="25">
        <v>3</v>
      </c>
      <c r="E52" s="25">
        <v>2</v>
      </c>
      <c r="F52" s="25">
        <v>0</v>
      </c>
      <c r="G52" s="25">
        <v>4</v>
      </c>
      <c r="H52" s="25">
        <v>0</v>
      </c>
      <c r="I52" s="25">
        <v>0</v>
      </c>
      <c r="J52" s="25">
        <v>0</v>
      </c>
      <c r="K52" s="25">
        <v>0</v>
      </c>
      <c r="L52" s="28">
        <v>9</v>
      </c>
      <c r="M52" s="11"/>
      <c r="N52" s="11"/>
      <c r="O52" s="11"/>
      <c r="P52" s="11"/>
      <c r="Q52" s="36">
        <v>-9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2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2</v>
      </c>
      <c r="M53" s="11"/>
      <c r="N53" s="11"/>
      <c r="O53" s="11"/>
      <c r="P53" s="11"/>
      <c r="Q53" s="36">
        <v>-2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2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2</v>
      </c>
      <c r="M54" s="11"/>
      <c r="N54" s="11"/>
      <c r="O54" s="11"/>
      <c r="P54" s="11"/>
      <c r="Q54" s="36">
        <v>-2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0</v>
      </c>
      <c r="E56" s="25">
        <v>8</v>
      </c>
      <c r="F56" s="25">
        <v>1</v>
      </c>
      <c r="G56" s="25">
        <v>15</v>
      </c>
      <c r="H56" s="25">
        <v>0</v>
      </c>
      <c r="I56" s="25">
        <v>0</v>
      </c>
      <c r="J56" s="25">
        <v>0</v>
      </c>
      <c r="K56" s="25">
        <v>0</v>
      </c>
      <c r="L56" s="28">
        <v>24</v>
      </c>
      <c r="M56" s="11"/>
      <c r="N56" s="11">
        <v>4</v>
      </c>
      <c r="O56" s="11"/>
      <c r="P56" s="11"/>
      <c r="Q56" s="36">
        <v>-20</v>
      </c>
    </row>
    <row r="57" spans="2:17" ht="22.2" x14ac:dyDescent="0.25">
      <c r="B57" s="11">
        <v>1111075</v>
      </c>
      <c r="C57" s="15" t="s">
        <v>68</v>
      </c>
      <c r="D57" s="25">
        <v>0</v>
      </c>
      <c r="E57" s="25">
        <v>8</v>
      </c>
      <c r="F57" s="25">
        <v>0</v>
      </c>
      <c r="G57" s="25">
        <v>15</v>
      </c>
      <c r="H57" s="25">
        <v>0</v>
      </c>
      <c r="I57" s="25">
        <v>0</v>
      </c>
      <c r="J57" s="25">
        <v>0</v>
      </c>
      <c r="K57" s="25">
        <v>0</v>
      </c>
      <c r="L57" s="28">
        <v>23</v>
      </c>
      <c r="M57" s="11"/>
      <c r="N57" s="11">
        <v>3</v>
      </c>
      <c r="O57" s="11"/>
      <c r="P57" s="11"/>
      <c r="Q57" s="36">
        <v>-20</v>
      </c>
    </row>
    <row r="58" spans="2:17" ht="22.2" x14ac:dyDescent="0.25">
      <c r="B58" s="11">
        <v>1111076</v>
      </c>
      <c r="C58" s="15" t="s">
        <v>69</v>
      </c>
      <c r="D58" s="25">
        <v>0</v>
      </c>
      <c r="E58" s="25">
        <v>8</v>
      </c>
      <c r="F58" s="25">
        <v>0</v>
      </c>
      <c r="G58" s="25">
        <v>15</v>
      </c>
      <c r="H58" s="25">
        <v>0</v>
      </c>
      <c r="I58" s="25">
        <v>0</v>
      </c>
      <c r="J58" s="25">
        <v>0</v>
      </c>
      <c r="K58" s="25">
        <v>0</v>
      </c>
      <c r="L58" s="28">
        <v>23</v>
      </c>
      <c r="M58" s="11"/>
      <c r="N58" s="11">
        <v>3</v>
      </c>
      <c r="O58" s="11"/>
      <c r="P58" s="11"/>
      <c r="Q58" s="36">
        <v>-20</v>
      </c>
    </row>
    <row r="59" spans="2:17" ht="22.2" x14ac:dyDescent="0.25">
      <c r="B59" s="11">
        <v>1111077</v>
      </c>
      <c r="C59" s="15" t="s">
        <v>70</v>
      </c>
      <c r="D59" s="25">
        <v>0</v>
      </c>
      <c r="E59" s="25">
        <v>8</v>
      </c>
      <c r="F59" s="25">
        <v>0</v>
      </c>
      <c r="G59" s="25">
        <v>15</v>
      </c>
      <c r="H59" s="25">
        <v>0</v>
      </c>
      <c r="I59" s="25">
        <v>0</v>
      </c>
      <c r="J59" s="25">
        <v>0</v>
      </c>
      <c r="K59" s="25">
        <v>0</v>
      </c>
      <c r="L59" s="28">
        <v>23</v>
      </c>
      <c r="M59" s="11"/>
      <c r="N59" s="11">
        <v>6</v>
      </c>
      <c r="O59" s="11"/>
      <c r="P59" s="11"/>
      <c r="Q59" s="36">
        <v>-17</v>
      </c>
    </row>
    <row r="60" spans="2:17" ht="22.2" x14ac:dyDescent="0.25">
      <c r="B60" s="11">
        <v>1111078</v>
      </c>
      <c r="C60" s="15" t="s">
        <v>71</v>
      </c>
      <c r="D60" s="25">
        <v>0</v>
      </c>
      <c r="E60" s="25">
        <v>8</v>
      </c>
      <c r="F60" s="25">
        <v>0</v>
      </c>
      <c r="G60" s="25">
        <v>15</v>
      </c>
      <c r="H60" s="25">
        <v>0</v>
      </c>
      <c r="I60" s="25">
        <v>0</v>
      </c>
      <c r="J60" s="25">
        <v>0</v>
      </c>
      <c r="K60" s="25">
        <v>0</v>
      </c>
      <c r="L60" s="28">
        <v>23</v>
      </c>
      <c r="M60" s="11"/>
      <c r="N60" s="11">
        <v>5</v>
      </c>
      <c r="O60" s="11"/>
      <c r="P60" s="11"/>
      <c r="Q60" s="36">
        <v>-18</v>
      </c>
    </row>
    <row r="61" spans="2:17" ht="22.2" x14ac:dyDescent="0.25">
      <c r="B61" s="11">
        <v>1111079</v>
      </c>
      <c r="C61" s="15" t="s">
        <v>72</v>
      </c>
      <c r="D61" s="25">
        <v>0</v>
      </c>
      <c r="E61" s="25">
        <v>8</v>
      </c>
      <c r="F61" s="25">
        <v>0</v>
      </c>
      <c r="G61" s="25">
        <v>14</v>
      </c>
      <c r="H61" s="25">
        <v>0</v>
      </c>
      <c r="I61" s="25">
        <v>0</v>
      </c>
      <c r="J61" s="25">
        <v>0</v>
      </c>
      <c r="K61" s="25">
        <v>0</v>
      </c>
      <c r="L61" s="28">
        <v>22</v>
      </c>
      <c r="M61" s="11"/>
      <c r="N61" s="11">
        <v>5</v>
      </c>
      <c r="O61" s="11"/>
      <c r="P61" s="11"/>
      <c r="Q61" s="36">
        <v>-17</v>
      </c>
    </row>
    <row r="62" spans="2:17" ht="22.2" x14ac:dyDescent="0.25">
      <c r="B62" s="11">
        <v>1111080</v>
      </c>
      <c r="C62" s="15" t="s">
        <v>73</v>
      </c>
      <c r="D62" s="25">
        <v>0</v>
      </c>
      <c r="E62" s="25">
        <v>8</v>
      </c>
      <c r="F62" s="25">
        <v>0</v>
      </c>
      <c r="G62" s="25">
        <v>14</v>
      </c>
      <c r="H62" s="25">
        <v>0</v>
      </c>
      <c r="I62" s="25">
        <v>0</v>
      </c>
      <c r="J62" s="25">
        <v>0</v>
      </c>
      <c r="K62" s="25">
        <v>0</v>
      </c>
      <c r="L62" s="28">
        <v>22</v>
      </c>
      <c r="M62" s="11"/>
      <c r="N62" s="11"/>
      <c r="O62" s="11"/>
      <c r="P62" s="11"/>
      <c r="Q62" s="36">
        <v>-22</v>
      </c>
    </row>
    <row r="63" spans="2:17" ht="22.2" x14ac:dyDescent="0.25">
      <c r="B63" s="11">
        <v>1111081</v>
      </c>
      <c r="C63" s="15" t="s">
        <v>74</v>
      </c>
      <c r="D63" s="25">
        <v>0</v>
      </c>
      <c r="E63" s="25">
        <v>8</v>
      </c>
      <c r="F63" s="25">
        <v>0</v>
      </c>
      <c r="G63" s="25">
        <v>14</v>
      </c>
      <c r="H63" s="25">
        <v>0</v>
      </c>
      <c r="I63" s="25">
        <v>0</v>
      </c>
      <c r="J63" s="25">
        <v>0</v>
      </c>
      <c r="K63" s="25">
        <v>0</v>
      </c>
      <c r="L63" s="28">
        <v>22</v>
      </c>
      <c r="M63" s="11"/>
      <c r="N63" s="11"/>
      <c r="O63" s="11"/>
      <c r="P63" s="11"/>
      <c r="Q63" s="36">
        <v>-22</v>
      </c>
    </row>
    <row r="64" spans="2:17" ht="22.2" x14ac:dyDescent="0.25">
      <c r="B64" s="11">
        <v>1111082</v>
      </c>
      <c r="C64" s="15" t="s">
        <v>75</v>
      </c>
      <c r="D64" s="25">
        <v>0</v>
      </c>
      <c r="E64" s="25">
        <v>8</v>
      </c>
      <c r="F64" s="25">
        <v>0</v>
      </c>
      <c r="G64" s="25">
        <v>13</v>
      </c>
      <c r="H64" s="25">
        <v>0</v>
      </c>
      <c r="I64" s="25">
        <v>0</v>
      </c>
      <c r="J64" s="25">
        <v>0</v>
      </c>
      <c r="K64" s="25">
        <v>0</v>
      </c>
      <c r="L64" s="28">
        <v>21</v>
      </c>
      <c r="M64" s="11"/>
      <c r="N64" s="11">
        <v>1</v>
      </c>
      <c r="O64" s="11"/>
      <c r="P64" s="11"/>
      <c r="Q64" s="36">
        <v>-20</v>
      </c>
    </row>
    <row r="65" spans="2:17" ht="22.2" x14ac:dyDescent="0.25">
      <c r="B65" s="11">
        <v>1111083</v>
      </c>
      <c r="C65" s="15" t="s">
        <v>76</v>
      </c>
      <c r="D65" s="25">
        <v>0</v>
      </c>
      <c r="E65" s="25">
        <v>8</v>
      </c>
      <c r="F65" s="25">
        <v>0</v>
      </c>
      <c r="G65" s="25">
        <v>13</v>
      </c>
      <c r="H65" s="25">
        <v>0</v>
      </c>
      <c r="I65" s="25">
        <v>0</v>
      </c>
      <c r="J65" s="25">
        <v>0</v>
      </c>
      <c r="K65" s="25">
        <v>0</v>
      </c>
      <c r="L65" s="28">
        <v>21</v>
      </c>
      <c r="M65" s="11"/>
      <c r="N65" s="11"/>
      <c r="O65" s="11"/>
      <c r="P65" s="11"/>
      <c r="Q65" s="36">
        <v>-21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3</v>
      </c>
      <c r="E69" s="25">
        <v>19</v>
      </c>
      <c r="F69" s="25">
        <v>7</v>
      </c>
      <c r="G69" s="25">
        <v>9</v>
      </c>
      <c r="H69" s="25">
        <v>0</v>
      </c>
      <c r="I69" s="25">
        <v>0</v>
      </c>
      <c r="J69" s="25">
        <v>0</v>
      </c>
      <c r="K69" s="25">
        <v>0</v>
      </c>
      <c r="L69" s="28">
        <v>38</v>
      </c>
      <c r="M69" s="11"/>
      <c r="N69" s="11">
        <v>31</v>
      </c>
      <c r="O69" s="11"/>
      <c r="P69" s="11"/>
      <c r="Q69" s="36">
        <v>-7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22</v>
      </c>
      <c r="E87" s="25">
        <v>12</v>
      </c>
      <c r="F87" s="25">
        <v>3</v>
      </c>
      <c r="G87" s="25">
        <v>177</v>
      </c>
      <c r="H87" s="25">
        <v>0</v>
      </c>
      <c r="I87" s="25">
        <v>0</v>
      </c>
      <c r="J87" s="25">
        <v>0</v>
      </c>
      <c r="K87" s="25">
        <v>0</v>
      </c>
      <c r="L87" s="28">
        <v>214</v>
      </c>
      <c r="M87" s="11"/>
      <c r="N87" s="11">
        <v>5</v>
      </c>
      <c r="O87" s="11"/>
      <c r="P87" s="11"/>
      <c r="Q87" s="36">
        <v>-209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0</v>
      </c>
      <c r="E90" s="25">
        <v>20</v>
      </c>
      <c r="F90" s="25">
        <v>6</v>
      </c>
      <c r="G90" s="25">
        <v>112</v>
      </c>
      <c r="H90" s="25">
        <v>0</v>
      </c>
      <c r="I90" s="25">
        <v>0</v>
      </c>
      <c r="J90" s="25">
        <v>0</v>
      </c>
      <c r="K90" s="25">
        <v>0</v>
      </c>
      <c r="L90" s="28">
        <v>138</v>
      </c>
      <c r="M90" s="11"/>
      <c r="N90" s="11"/>
      <c r="O90" s="11">
        <v>98</v>
      </c>
      <c r="P90" s="11"/>
      <c r="Q90" s="36">
        <v>-40</v>
      </c>
    </row>
    <row r="91" spans="2:17" ht="22.2" x14ac:dyDescent="0.25">
      <c r="B91" s="11">
        <v>1112011</v>
      </c>
      <c r="C91" s="18" t="s">
        <v>99</v>
      </c>
      <c r="D91" s="25">
        <v>0</v>
      </c>
      <c r="E91" s="25">
        <v>20</v>
      </c>
      <c r="F91" s="25">
        <v>8</v>
      </c>
      <c r="G91" s="25">
        <v>112</v>
      </c>
      <c r="H91" s="25">
        <v>0</v>
      </c>
      <c r="I91" s="25">
        <v>0</v>
      </c>
      <c r="J91" s="25">
        <v>0</v>
      </c>
      <c r="K91" s="25">
        <v>0</v>
      </c>
      <c r="L91" s="28">
        <v>140</v>
      </c>
      <c r="M91" s="11"/>
      <c r="N91" s="11"/>
      <c r="O91" s="11"/>
      <c r="P91" s="11"/>
      <c r="Q91" s="36">
        <v>-140</v>
      </c>
    </row>
    <row r="92" spans="2:17" ht="22.2" x14ac:dyDescent="0.25">
      <c r="B92" s="11">
        <v>1112003</v>
      </c>
      <c r="C92" s="18" t="s">
        <v>100</v>
      </c>
      <c r="D92" s="25">
        <v>5</v>
      </c>
      <c r="E92" s="25">
        <v>112</v>
      </c>
      <c r="F92" s="25">
        <v>7</v>
      </c>
      <c r="G92" s="25">
        <v>115</v>
      </c>
      <c r="H92" s="25">
        <v>0</v>
      </c>
      <c r="I92" s="25">
        <v>0</v>
      </c>
      <c r="J92" s="25">
        <v>0</v>
      </c>
      <c r="K92" s="25">
        <v>0</v>
      </c>
      <c r="L92" s="28">
        <v>239</v>
      </c>
      <c r="M92" s="11"/>
      <c r="N92" s="11"/>
      <c r="O92" s="11"/>
      <c r="P92" s="11"/>
      <c r="Q92" s="36">
        <v>-239</v>
      </c>
    </row>
    <row r="93" spans="2:17" ht="22.2" x14ac:dyDescent="0.25">
      <c r="B93" s="11">
        <v>1112005</v>
      </c>
      <c r="C93" s="18" t="s">
        <v>101</v>
      </c>
      <c r="D93" s="25">
        <v>5</v>
      </c>
      <c r="E93" s="25">
        <v>111</v>
      </c>
      <c r="F93" s="25">
        <v>6</v>
      </c>
      <c r="G93" s="25">
        <v>114</v>
      </c>
      <c r="H93" s="25">
        <v>0</v>
      </c>
      <c r="I93" s="25">
        <v>0</v>
      </c>
      <c r="J93" s="25">
        <v>0</v>
      </c>
      <c r="K93" s="25">
        <v>0</v>
      </c>
      <c r="L93" s="28">
        <v>236</v>
      </c>
      <c r="M93" s="11"/>
      <c r="N93" s="11">
        <v>102</v>
      </c>
      <c r="O93" s="11"/>
      <c r="P93" s="11"/>
      <c r="Q93" s="36">
        <v>-134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0</v>
      </c>
      <c r="E97" s="25">
        <v>110</v>
      </c>
      <c r="F97" s="25">
        <v>6</v>
      </c>
      <c r="G97" s="25">
        <v>115</v>
      </c>
      <c r="H97" s="25">
        <v>0</v>
      </c>
      <c r="I97" s="25">
        <v>0</v>
      </c>
      <c r="J97" s="25">
        <v>0</v>
      </c>
      <c r="K97" s="25">
        <v>0</v>
      </c>
      <c r="L97" s="28">
        <v>231</v>
      </c>
      <c r="M97" s="11"/>
      <c r="N97" s="11"/>
      <c r="O97" s="11"/>
      <c r="P97" s="11"/>
      <c r="Q97" s="36">
        <v>-231</v>
      </c>
    </row>
    <row r="98" spans="2:17" ht="22.2" x14ac:dyDescent="0.25">
      <c r="B98" s="11">
        <v>1112013</v>
      </c>
      <c r="C98" s="18" t="s">
        <v>106</v>
      </c>
      <c r="D98" s="25">
        <v>0</v>
      </c>
      <c r="E98" s="25">
        <v>111</v>
      </c>
      <c r="F98" s="25">
        <v>5</v>
      </c>
      <c r="G98" s="25">
        <v>116</v>
      </c>
      <c r="H98" s="25">
        <v>0</v>
      </c>
      <c r="I98" s="25">
        <v>0</v>
      </c>
      <c r="J98" s="25">
        <v>0</v>
      </c>
      <c r="K98" s="25">
        <v>0</v>
      </c>
      <c r="L98" s="28">
        <v>232</v>
      </c>
      <c r="M98" s="11"/>
      <c r="N98" s="11">
        <v>56</v>
      </c>
      <c r="O98" s="11"/>
      <c r="P98" s="11"/>
      <c r="Q98" s="36">
        <v>-176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1216</v>
      </c>
      <c r="M100" s="11"/>
      <c r="N100" s="11"/>
      <c r="O100" s="11"/>
      <c r="P100" s="11"/>
      <c r="Q100" s="36"/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0</v>
      </c>
      <c r="E114" s="25">
        <v>1</v>
      </c>
      <c r="F114" s="25">
        <v>0</v>
      </c>
      <c r="G114" s="25">
        <v>4</v>
      </c>
      <c r="H114" s="25">
        <v>0</v>
      </c>
      <c r="I114" s="25">
        <v>0</v>
      </c>
      <c r="J114" s="25">
        <v>0</v>
      </c>
      <c r="K114" s="25">
        <v>0</v>
      </c>
      <c r="L114" s="28">
        <v>5</v>
      </c>
      <c r="M114" s="11"/>
      <c r="N114" s="11">
        <v>1</v>
      </c>
      <c r="O114" s="11"/>
      <c r="P114" s="11"/>
      <c r="Q114" s="36">
        <v>-4</v>
      </c>
    </row>
    <row r="115" spans="2:17" ht="22.2" x14ac:dyDescent="0.25">
      <c r="B115" s="11">
        <v>1113171</v>
      </c>
      <c r="C115" s="20" t="s">
        <v>111</v>
      </c>
      <c r="D115" s="25">
        <v>14</v>
      </c>
      <c r="E115" s="25">
        <v>0</v>
      </c>
      <c r="F115" s="25">
        <v>0</v>
      </c>
      <c r="G115" s="25">
        <v>16</v>
      </c>
      <c r="H115" s="25">
        <v>0</v>
      </c>
      <c r="I115" s="25">
        <v>0</v>
      </c>
      <c r="J115" s="25">
        <v>0</v>
      </c>
      <c r="K115" s="25">
        <v>0</v>
      </c>
      <c r="L115" s="28">
        <v>30</v>
      </c>
      <c r="M115" s="11"/>
      <c r="N115" s="11">
        <v>36</v>
      </c>
      <c r="O115" s="11"/>
      <c r="P115" s="11"/>
      <c r="Q115" s="36">
        <v>6</v>
      </c>
    </row>
    <row r="116" spans="2:17" ht="22.2" x14ac:dyDescent="0.25">
      <c r="B116" s="11">
        <v>1113172</v>
      </c>
      <c r="C116" s="20" t="s">
        <v>112</v>
      </c>
      <c r="D116" s="25">
        <v>1</v>
      </c>
      <c r="E116" s="25">
        <v>1</v>
      </c>
      <c r="F116" s="25">
        <v>0</v>
      </c>
      <c r="G116" s="25">
        <v>6</v>
      </c>
      <c r="H116" s="25">
        <v>0</v>
      </c>
      <c r="I116" s="25">
        <v>0</v>
      </c>
      <c r="J116" s="25">
        <v>0</v>
      </c>
      <c r="K116" s="25">
        <v>0</v>
      </c>
      <c r="L116" s="28">
        <v>8</v>
      </c>
      <c r="M116" s="11"/>
      <c r="N116" s="11">
        <v>9</v>
      </c>
      <c r="O116" s="11"/>
      <c r="P116" s="11"/>
      <c r="Q116" s="36">
        <v>1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4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4</v>
      </c>
      <c r="M118" s="11"/>
      <c r="N118" s="11">
        <v>46</v>
      </c>
      <c r="O118" s="11"/>
      <c r="P118" s="11"/>
      <c r="Q118" s="36">
        <v>42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4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4</v>
      </c>
      <c r="M119" s="11"/>
      <c r="N119" s="11"/>
      <c r="O119" s="11"/>
      <c r="P119" s="11"/>
      <c r="Q119" s="36">
        <v>-4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0</v>
      </c>
      <c r="M120" s="11"/>
      <c r="N120" s="11"/>
      <c r="O120" s="11"/>
      <c r="P120" s="11"/>
      <c r="Q120" s="36">
        <v>0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>
        <v>2</v>
      </c>
      <c r="O121" s="11"/>
      <c r="P121" s="11"/>
      <c r="Q121" s="36">
        <v>2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11"/>
      <c r="P122" s="11"/>
      <c r="Q122" s="36">
        <v>0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0</v>
      </c>
      <c r="F123" s="25">
        <v>0</v>
      </c>
      <c r="G123" s="25">
        <v>13</v>
      </c>
      <c r="H123" s="25">
        <v>0</v>
      </c>
      <c r="I123" s="25">
        <v>0</v>
      </c>
      <c r="J123" s="25">
        <v>0</v>
      </c>
      <c r="K123" s="25">
        <v>0</v>
      </c>
      <c r="L123" s="28">
        <v>13</v>
      </c>
      <c r="M123" s="11"/>
      <c r="N123" s="11">
        <v>30</v>
      </c>
      <c r="O123" s="11"/>
      <c r="P123" s="11"/>
      <c r="Q123" s="36">
        <v>17</v>
      </c>
    </row>
    <row r="124" spans="2:17" ht="22.2" x14ac:dyDescent="0.25">
      <c r="B124" s="11">
        <v>1114502</v>
      </c>
      <c r="C124" s="20" t="s">
        <v>120</v>
      </c>
      <c r="D124" s="25">
        <v>1</v>
      </c>
      <c r="E124" s="25">
        <v>0</v>
      </c>
      <c r="F124" s="25">
        <v>0</v>
      </c>
      <c r="G124" s="25">
        <v>13</v>
      </c>
      <c r="H124" s="25">
        <v>0</v>
      </c>
      <c r="I124" s="25">
        <v>0</v>
      </c>
      <c r="J124" s="25">
        <v>0</v>
      </c>
      <c r="K124" s="25">
        <v>0</v>
      </c>
      <c r="L124" s="28">
        <v>14</v>
      </c>
      <c r="M124" s="11"/>
      <c r="N124" s="11">
        <v>14</v>
      </c>
      <c r="O124" s="11"/>
      <c r="P124" s="11"/>
      <c r="Q124" s="36">
        <v>0</v>
      </c>
    </row>
    <row r="125" spans="2:17" ht="22.2" x14ac:dyDescent="0.25">
      <c r="B125" s="11">
        <v>1114503</v>
      </c>
      <c r="C125" s="20" t="s">
        <v>121</v>
      </c>
      <c r="D125" s="25">
        <v>1</v>
      </c>
      <c r="E125" s="25">
        <v>0</v>
      </c>
      <c r="F125" s="25">
        <v>0</v>
      </c>
      <c r="G125" s="25">
        <v>13</v>
      </c>
      <c r="H125" s="25">
        <v>0</v>
      </c>
      <c r="I125" s="25">
        <v>0</v>
      </c>
      <c r="J125" s="25">
        <v>0</v>
      </c>
      <c r="K125" s="25">
        <v>0</v>
      </c>
      <c r="L125" s="28">
        <v>14</v>
      </c>
      <c r="M125" s="11"/>
      <c r="N125" s="11">
        <v>5</v>
      </c>
      <c r="O125" s="11"/>
      <c r="P125" s="11"/>
      <c r="Q125" s="36">
        <v>-9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58</v>
      </c>
      <c r="F126" s="25">
        <v>117</v>
      </c>
      <c r="G126" s="25">
        <v>99</v>
      </c>
      <c r="H126" s="25">
        <v>0</v>
      </c>
      <c r="I126" s="25">
        <v>0</v>
      </c>
      <c r="J126" s="25">
        <v>0</v>
      </c>
      <c r="K126" s="25">
        <v>0</v>
      </c>
      <c r="L126" s="28">
        <v>274</v>
      </c>
      <c r="M126" s="11"/>
      <c r="N126" s="11">
        <v>149</v>
      </c>
      <c r="O126" s="11"/>
      <c r="P126" s="11"/>
      <c r="Q126" s="36">
        <v>-125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1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1</v>
      </c>
      <c r="M130" s="11"/>
      <c r="N130" s="11">
        <v>11</v>
      </c>
      <c r="O130" s="11"/>
      <c r="P130" s="11"/>
      <c r="Q130" s="36">
        <v>10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6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6</v>
      </c>
      <c r="M135" s="11"/>
      <c r="N135" s="11"/>
      <c r="O135" s="11"/>
      <c r="P135" s="11"/>
      <c r="Q135" s="36">
        <v>-6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100</v>
      </c>
      <c r="E140" s="28">
        <v>774</v>
      </c>
      <c r="F140" s="28">
        <v>299</v>
      </c>
      <c r="G140" s="28">
        <v>1485</v>
      </c>
      <c r="H140" s="28">
        <v>0</v>
      </c>
      <c r="I140" s="28">
        <v>0</v>
      </c>
      <c r="J140" s="28">
        <v>0</v>
      </c>
      <c r="K140" s="28">
        <v>0</v>
      </c>
      <c r="L140" s="28">
        <v>2658</v>
      </c>
      <c r="M140" s="25">
        <v>0</v>
      </c>
      <c r="N140" s="25">
        <v>1106</v>
      </c>
      <c r="O140" s="25"/>
      <c r="P140" s="25"/>
      <c r="Q140" s="36">
        <v>-1552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E7DB-6F81-4469-AAA0-251D4DFD8221}">
  <dimension ref="B1:Q143"/>
  <sheetViews>
    <sheetView workbookViewId="0">
      <selection activeCell="S13" sqref="S13"/>
    </sheetView>
  </sheetViews>
  <sheetFormatPr defaultRowHeight="13.8" x14ac:dyDescent="0.25"/>
  <sheetData>
    <row r="1" spans="2:17" ht="22.2" x14ac:dyDescent="0.25">
      <c r="B1" s="50" t="s">
        <v>143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37</v>
      </c>
      <c r="E7" s="25">
        <v>6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8">
        <v>43</v>
      </c>
      <c r="M7" s="11"/>
      <c r="N7" s="11">
        <v>84</v>
      </c>
      <c r="O7" s="11"/>
      <c r="P7" s="11"/>
      <c r="Q7" s="36">
        <v>41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2</v>
      </c>
      <c r="E25" s="25">
        <v>5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8">
        <v>7</v>
      </c>
      <c r="M25" s="11"/>
      <c r="N25" s="11"/>
      <c r="O25" s="11"/>
      <c r="P25" s="11"/>
      <c r="Q25" s="36">
        <v>-7</v>
      </c>
    </row>
    <row r="26" spans="2:17" ht="22.2" x14ac:dyDescent="0.25">
      <c r="B26" s="11">
        <v>1004055</v>
      </c>
      <c r="C26" s="15" t="s">
        <v>37</v>
      </c>
      <c r="D26" s="25">
        <v>50</v>
      </c>
      <c r="E26" s="25">
        <v>10</v>
      </c>
      <c r="F26" s="25">
        <v>2</v>
      </c>
      <c r="G26" s="25">
        <v>60</v>
      </c>
      <c r="H26" s="25">
        <v>0</v>
      </c>
      <c r="I26" s="25">
        <v>0</v>
      </c>
      <c r="J26" s="25">
        <v>0</v>
      </c>
      <c r="K26" s="25">
        <v>0</v>
      </c>
      <c r="L26" s="28">
        <v>122</v>
      </c>
      <c r="M26" s="11"/>
      <c r="N26" s="11"/>
      <c r="O26" s="11"/>
      <c r="P26" s="11"/>
      <c r="Q26" s="36">
        <v>-122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8">
        <v>0</v>
      </c>
      <c r="M40" s="11"/>
      <c r="N40" s="11">
        <v>1</v>
      </c>
      <c r="O40" s="11"/>
      <c r="P40" s="11"/>
      <c r="Q40" s="36">
        <v>1</v>
      </c>
    </row>
    <row r="41" spans="2:17" ht="22.2" x14ac:dyDescent="0.25">
      <c r="B41" s="11">
        <v>1111058</v>
      </c>
      <c r="C41" s="15" t="s">
        <v>52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8">
        <v>0</v>
      </c>
      <c r="M41" s="11"/>
      <c r="N41" s="11"/>
      <c r="O41" s="11"/>
      <c r="P41" s="11"/>
      <c r="Q41" s="36">
        <v>0</v>
      </c>
    </row>
    <row r="42" spans="2:17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8">
        <v>0</v>
      </c>
      <c r="M42" s="11"/>
      <c r="N42" s="11">
        <v>1</v>
      </c>
      <c r="O42" s="11"/>
      <c r="P42" s="11"/>
      <c r="Q42" s="36">
        <v>1</v>
      </c>
    </row>
    <row r="43" spans="2:17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/>
      <c r="N43" s="11"/>
      <c r="O43" s="11"/>
      <c r="P43" s="11"/>
      <c r="Q43" s="36">
        <v>0</v>
      </c>
    </row>
    <row r="44" spans="2:17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8">
        <v>0</v>
      </c>
      <c r="M44" s="11"/>
      <c r="N44" s="11">
        <v>2</v>
      </c>
      <c r="O44" s="11"/>
      <c r="P44" s="11"/>
      <c r="Q44" s="36">
        <v>2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11"/>
      <c r="P45" s="11"/>
      <c r="Q45" s="36">
        <v>0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8">
        <v>0</v>
      </c>
      <c r="M46" s="11"/>
      <c r="N46" s="11"/>
      <c r="O46" s="11"/>
      <c r="P46" s="11"/>
      <c r="Q46" s="36">
        <v>0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8">
        <v>0</v>
      </c>
      <c r="M47" s="11"/>
      <c r="N47" s="11"/>
      <c r="O47" s="11"/>
      <c r="P47" s="11"/>
      <c r="Q47" s="36">
        <v>0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/>
      <c r="N48" s="11"/>
      <c r="O48" s="11"/>
      <c r="P48" s="11"/>
      <c r="Q48" s="36">
        <v>0</v>
      </c>
    </row>
    <row r="49" spans="2:17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8">
        <v>0</v>
      </c>
      <c r="M49" s="11"/>
      <c r="N49" s="11"/>
      <c r="O49" s="11"/>
      <c r="P49" s="11"/>
      <c r="Q49" s="36">
        <v>0</v>
      </c>
    </row>
    <row r="50" spans="2:17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8">
        <v>0</v>
      </c>
      <c r="M50" s="11"/>
      <c r="N50" s="11">
        <v>1</v>
      </c>
      <c r="O50" s="11"/>
      <c r="P50" s="11"/>
      <c r="Q50" s="36">
        <v>1</v>
      </c>
    </row>
    <row r="51" spans="2:17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8">
        <v>0</v>
      </c>
      <c r="M51" s="11"/>
      <c r="N51" s="11"/>
      <c r="O51" s="11"/>
      <c r="P51" s="11"/>
      <c r="Q51" s="36">
        <v>0</v>
      </c>
    </row>
    <row r="52" spans="2:17" ht="22.2" x14ac:dyDescent="0.25">
      <c r="B52" s="11">
        <v>1111069</v>
      </c>
      <c r="C52" s="15" t="s">
        <v>63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8">
        <v>0</v>
      </c>
      <c r="M52" s="11"/>
      <c r="N52" s="11">
        <v>1</v>
      </c>
      <c r="O52" s="11"/>
      <c r="P52" s="11"/>
      <c r="Q52" s="36">
        <v>1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2</v>
      </c>
      <c r="E56" s="25">
        <v>0</v>
      </c>
      <c r="F56" s="25">
        <v>2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8">
        <v>4</v>
      </c>
      <c r="M56" s="11"/>
      <c r="N56" s="11">
        <v>9</v>
      </c>
      <c r="O56" s="11"/>
      <c r="P56" s="11"/>
      <c r="Q56" s="36">
        <v>5</v>
      </c>
    </row>
    <row r="57" spans="2:17" ht="22.2" x14ac:dyDescent="0.25">
      <c r="B57" s="11">
        <v>1111075</v>
      </c>
      <c r="C57" s="15" t="s">
        <v>68</v>
      </c>
      <c r="D57" s="25">
        <v>2</v>
      </c>
      <c r="E57" s="25">
        <v>0</v>
      </c>
      <c r="F57" s="25">
        <v>2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8">
        <v>4</v>
      </c>
      <c r="M57" s="11"/>
      <c r="N57" s="11"/>
      <c r="O57" s="11"/>
      <c r="P57" s="11"/>
      <c r="Q57" s="36">
        <v>-4</v>
      </c>
    </row>
    <row r="58" spans="2:17" ht="22.2" x14ac:dyDescent="0.25">
      <c r="B58" s="11">
        <v>1111076</v>
      </c>
      <c r="C58" s="15" t="s">
        <v>69</v>
      </c>
      <c r="D58" s="25">
        <v>2</v>
      </c>
      <c r="E58" s="25">
        <v>0</v>
      </c>
      <c r="F58" s="25">
        <v>2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8">
        <v>4</v>
      </c>
      <c r="M58" s="11"/>
      <c r="N58" s="11"/>
      <c r="O58" s="11"/>
      <c r="P58" s="11"/>
      <c r="Q58" s="36">
        <v>-4</v>
      </c>
    </row>
    <row r="59" spans="2:17" ht="22.2" x14ac:dyDescent="0.25">
      <c r="B59" s="11">
        <v>1111077</v>
      </c>
      <c r="C59" s="15" t="s">
        <v>70</v>
      </c>
      <c r="D59" s="25">
        <v>2</v>
      </c>
      <c r="E59" s="25">
        <v>0</v>
      </c>
      <c r="F59" s="25">
        <v>2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8">
        <v>4</v>
      </c>
      <c r="M59" s="11"/>
      <c r="N59" s="11">
        <v>22</v>
      </c>
      <c r="O59" s="11"/>
      <c r="P59" s="11"/>
      <c r="Q59" s="36">
        <v>18</v>
      </c>
    </row>
    <row r="60" spans="2:17" ht="22.2" x14ac:dyDescent="0.25">
      <c r="B60" s="11">
        <v>1111078</v>
      </c>
      <c r="C60" s="15" t="s">
        <v>71</v>
      </c>
      <c r="D60" s="25">
        <v>2</v>
      </c>
      <c r="E60" s="25">
        <v>0</v>
      </c>
      <c r="F60" s="25">
        <v>2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8">
        <v>4</v>
      </c>
      <c r="M60" s="11"/>
      <c r="N60" s="11"/>
      <c r="O60" s="11"/>
      <c r="P60" s="11"/>
      <c r="Q60" s="36">
        <v>-4</v>
      </c>
    </row>
    <row r="61" spans="2:17" ht="22.2" x14ac:dyDescent="0.25">
      <c r="B61" s="11">
        <v>1111079</v>
      </c>
      <c r="C61" s="15" t="s">
        <v>72</v>
      </c>
      <c r="D61" s="25">
        <v>2</v>
      </c>
      <c r="E61" s="25">
        <v>0</v>
      </c>
      <c r="F61" s="25">
        <v>2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8">
        <v>4</v>
      </c>
      <c r="M61" s="11"/>
      <c r="N61" s="11"/>
      <c r="O61" s="11"/>
      <c r="P61" s="11"/>
      <c r="Q61" s="36">
        <v>-4</v>
      </c>
    </row>
    <row r="62" spans="2:17" ht="22.2" x14ac:dyDescent="0.25">
      <c r="B62" s="11">
        <v>1111080</v>
      </c>
      <c r="C62" s="15" t="s">
        <v>73</v>
      </c>
      <c r="D62" s="25">
        <v>2</v>
      </c>
      <c r="E62" s="25">
        <v>0</v>
      </c>
      <c r="F62" s="25">
        <v>2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8">
        <v>4</v>
      </c>
      <c r="M62" s="11"/>
      <c r="N62" s="11">
        <v>13</v>
      </c>
      <c r="O62" s="11"/>
      <c r="P62" s="11"/>
      <c r="Q62" s="36">
        <v>9</v>
      </c>
    </row>
    <row r="63" spans="2:17" ht="22.2" x14ac:dyDescent="0.25">
      <c r="B63" s="11">
        <v>1111081</v>
      </c>
      <c r="C63" s="15" t="s">
        <v>74</v>
      </c>
      <c r="D63" s="25">
        <v>2</v>
      </c>
      <c r="E63" s="25">
        <v>0</v>
      </c>
      <c r="F63" s="25">
        <v>2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8">
        <v>4</v>
      </c>
      <c r="M63" s="11"/>
      <c r="N63" s="11">
        <v>13</v>
      </c>
      <c r="O63" s="11"/>
      <c r="P63" s="11"/>
      <c r="Q63" s="36">
        <v>9</v>
      </c>
    </row>
    <row r="64" spans="2:17" ht="22.2" x14ac:dyDescent="0.25">
      <c r="B64" s="11">
        <v>1111082</v>
      </c>
      <c r="C64" s="15" t="s">
        <v>75</v>
      </c>
      <c r="D64" s="25">
        <v>2</v>
      </c>
      <c r="E64" s="25">
        <v>0</v>
      </c>
      <c r="F64" s="25">
        <v>2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8">
        <v>4</v>
      </c>
      <c r="M64" s="11"/>
      <c r="N64" s="11"/>
      <c r="O64" s="11"/>
      <c r="P64" s="11"/>
      <c r="Q64" s="36">
        <v>-4</v>
      </c>
    </row>
    <row r="65" spans="2:17" ht="22.2" x14ac:dyDescent="0.25">
      <c r="B65" s="11">
        <v>1111083</v>
      </c>
      <c r="C65" s="15" t="s">
        <v>76</v>
      </c>
      <c r="D65" s="25">
        <v>2</v>
      </c>
      <c r="E65" s="25">
        <v>0</v>
      </c>
      <c r="F65" s="25">
        <v>2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8">
        <v>4</v>
      </c>
      <c r="M65" s="11"/>
      <c r="N65" s="11"/>
      <c r="O65" s="11"/>
      <c r="P65" s="11"/>
      <c r="Q65" s="36">
        <v>-4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1</v>
      </c>
      <c r="E69" s="25">
        <v>3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8">
        <v>4</v>
      </c>
      <c r="M69" s="11"/>
      <c r="N69" s="11">
        <v>2</v>
      </c>
      <c r="O69" s="11"/>
      <c r="P69" s="11"/>
      <c r="Q69" s="36">
        <v>-2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0</v>
      </c>
      <c r="E87" s="25">
        <v>0</v>
      </c>
      <c r="F87" s="25">
        <v>0</v>
      </c>
      <c r="G87" s="25">
        <v>6</v>
      </c>
      <c r="H87" s="25">
        <v>0</v>
      </c>
      <c r="I87" s="25">
        <v>0</v>
      </c>
      <c r="J87" s="25">
        <v>0</v>
      </c>
      <c r="K87" s="25">
        <v>0</v>
      </c>
      <c r="L87" s="28">
        <v>6</v>
      </c>
      <c r="M87" s="11"/>
      <c r="N87" s="11">
        <v>34</v>
      </c>
      <c r="O87" s="11"/>
      <c r="P87" s="11"/>
      <c r="Q87" s="36">
        <v>28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0</v>
      </c>
      <c r="E90" s="25">
        <v>11</v>
      </c>
      <c r="F90" s="25">
        <v>0</v>
      </c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8">
        <v>11</v>
      </c>
      <c r="M90" s="11"/>
      <c r="N90" s="11">
        <v>40</v>
      </c>
      <c r="O90" s="11"/>
      <c r="P90" s="11"/>
      <c r="Q90" s="36">
        <v>29</v>
      </c>
    </row>
    <row r="91" spans="2:17" ht="22.2" x14ac:dyDescent="0.25">
      <c r="B91" s="11">
        <v>1112011</v>
      </c>
      <c r="C91" s="18" t="s">
        <v>99</v>
      </c>
      <c r="D91" s="25">
        <v>0</v>
      </c>
      <c r="E91" s="25">
        <v>11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8">
        <v>11</v>
      </c>
      <c r="M91" s="11"/>
      <c r="N91" s="11"/>
      <c r="O91" s="11"/>
      <c r="P91" s="11"/>
      <c r="Q91" s="36">
        <v>-11</v>
      </c>
    </row>
    <row r="92" spans="2:17" ht="22.2" x14ac:dyDescent="0.25">
      <c r="B92" s="11">
        <v>1112003</v>
      </c>
      <c r="C92" s="18" t="s">
        <v>100</v>
      </c>
      <c r="D92" s="25">
        <v>0</v>
      </c>
      <c r="E92" s="25">
        <v>11</v>
      </c>
      <c r="F92" s="25">
        <v>1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8">
        <v>12</v>
      </c>
      <c r="M92" s="11"/>
      <c r="N92" s="11"/>
      <c r="O92" s="11"/>
      <c r="P92" s="11"/>
      <c r="Q92" s="36">
        <v>-12</v>
      </c>
    </row>
    <row r="93" spans="2:17" ht="22.2" x14ac:dyDescent="0.25">
      <c r="B93" s="11">
        <v>1112005</v>
      </c>
      <c r="C93" s="18" t="s">
        <v>101</v>
      </c>
      <c r="D93" s="25">
        <v>0</v>
      </c>
      <c r="E93" s="25">
        <v>11</v>
      </c>
      <c r="F93" s="25">
        <v>1</v>
      </c>
      <c r="G93" s="25">
        <v>0</v>
      </c>
      <c r="H93" s="25">
        <v>0</v>
      </c>
      <c r="I93" s="25">
        <v>0</v>
      </c>
      <c r="J93" s="25">
        <v>0</v>
      </c>
      <c r="K93" s="25">
        <v>0</v>
      </c>
      <c r="L93" s="28">
        <v>12</v>
      </c>
      <c r="M93" s="11"/>
      <c r="N93" s="11">
        <v>13</v>
      </c>
      <c r="O93" s="11"/>
      <c r="P93" s="11"/>
      <c r="Q93" s="36">
        <v>1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0</v>
      </c>
      <c r="E97" s="25">
        <v>11</v>
      </c>
      <c r="F97" s="25">
        <v>1</v>
      </c>
      <c r="G97" s="25">
        <v>0</v>
      </c>
      <c r="H97" s="25">
        <v>0</v>
      </c>
      <c r="I97" s="25">
        <v>0</v>
      </c>
      <c r="J97" s="25">
        <v>0</v>
      </c>
      <c r="K97" s="25">
        <v>0</v>
      </c>
      <c r="L97" s="28">
        <v>12</v>
      </c>
      <c r="M97" s="11"/>
      <c r="N97" s="11">
        <v>1</v>
      </c>
      <c r="O97" s="11"/>
      <c r="P97" s="11"/>
      <c r="Q97" s="36">
        <v>-11</v>
      </c>
    </row>
    <row r="98" spans="2:17" ht="22.2" x14ac:dyDescent="0.25">
      <c r="B98" s="11">
        <v>1112013</v>
      </c>
      <c r="C98" s="18" t="s">
        <v>106</v>
      </c>
      <c r="D98" s="25">
        <v>0</v>
      </c>
      <c r="E98" s="25">
        <v>11</v>
      </c>
      <c r="F98" s="25">
        <v>0</v>
      </c>
      <c r="G98" s="25">
        <v>0</v>
      </c>
      <c r="H98" s="25">
        <v>0</v>
      </c>
      <c r="I98" s="25">
        <v>0</v>
      </c>
      <c r="J98" s="25">
        <v>0</v>
      </c>
      <c r="K98" s="25">
        <v>0</v>
      </c>
      <c r="L98" s="28">
        <v>11</v>
      </c>
      <c r="M98" s="11"/>
      <c r="N98" s="11"/>
      <c r="O98" s="11"/>
      <c r="P98" s="11"/>
      <c r="Q98" s="36">
        <v>-11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69</v>
      </c>
      <c r="M100" s="11"/>
      <c r="N100" s="11"/>
      <c r="O100" s="11"/>
      <c r="P100" s="11"/>
      <c r="Q100" s="36">
        <v>-15</v>
      </c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0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8">
        <v>0</v>
      </c>
      <c r="M114" s="11"/>
      <c r="N114" s="11"/>
      <c r="O114" s="11"/>
      <c r="P114" s="11"/>
      <c r="Q114" s="36">
        <v>0</v>
      </c>
    </row>
    <row r="115" spans="2:17" ht="22.2" x14ac:dyDescent="0.25">
      <c r="B115" s="11">
        <v>1113171</v>
      </c>
      <c r="C115" s="20" t="s">
        <v>111</v>
      </c>
      <c r="D115" s="25">
        <v>0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0</v>
      </c>
      <c r="M115" s="11"/>
      <c r="N115" s="11">
        <v>6</v>
      </c>
      <c r="O115" s="11"/>
      <c r="P115" s="11"/>
      <c r="Q115" s="36">
        <v>6</v>
      </c>
    </row>
    <row r="116" spans="2:17" ht="22.2" x14ac:dyDescent="0.25">
      <c r="B116" s="11">
        <v>1113172</v>
      </c>
      <c r="C116" s="20" t="s">
        <v>112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8">
        <v>0</v>
      </c>
      <c r="M116" s="11"/>
      <c r="N116" s="11"/>
      <c r="O116" s="11"/>
      <c r="P116" s="11"/>
      <c r="Q116" s="36">
        <v>0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2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2</v>
      </c>
      <c r="M118" s="11"/>
      <c r="N118" s="11">
        <v>43</v>
      </c>
      <c r="O118" s="11"/>
      <c r="P118" s="11"/>
      <c r="Q118" s="36">
        <v>41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0</v>
      </c>
      <c r="M119" s="11"/>
      <c r="N119" s="11">
        <v>336</v>
      </c>
      <c r="O119" s="11"/>
      <c r="P119" s="11"/>
      <c r="Q119" s="36">
        <v>336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1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1</v>
      </c>
      <c r="M120" s="11"/>
      <c r="N120" s="11">
        <v>120</v>
      </c>
      <c r="O120" s="11"/>
      <c r="P120" s="11"/>
      <c r="Q120" s="36">
        <v>119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>
        <v>100</v>
      </c>
      <c r="O121" s="11"/>
      <c r="P121" s="11"/>
      <c r="Q121" s="36">
        <v>100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>
        <v>6</v>
      </c>
      <c r="O122" s="11"/>
      <c r="P122" s="11"/>
      <c r="Q122" s="36">
        <v>6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0</v>
      </c>
      <c r="F123" s="25">
        <v>4</v>
      </c>
      <c r="G123" s="25">
        <v>0</v>
      </c>
      <c r="H123" s="25">
        <v>0</v>
      </c>
      <c r="I123" s="25">
        <v>0</v>
      </c>
      <c r="J123" s="25">
        <v>0</v>
      </c>
      <c r="K123" s="25">
        <v>0</v>
      </c>
      <c r="L123" s="28">
        <v>4</v>
      </c>
      <c r="M123" s="11"/>
      <c r="N123" s="11">
        <v>17</v>
      </c>
      <c r="O123" s="11"/>
      <c r="P123" s="11"/>
      <c r="Q123" s="36">
        <v>13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0</v>
      </c>
      <c r="F124" s="25">
        <v>4</v>
      </c>
      <c r="G124" s="25">
        <v>0</v>
      </c>
      <c r="H124" s="25">
        <v>0</v>
      </c>
      <c r="I124" s="25">
        <v>0</v>
      </c>
      <c r="J124" s="25">
        <v>0</v>
      </c>
      <c r="K124" s="25">
        <v>0</v>
      </c>
      <c r="L124" s="28">
        <v>4</v>
      </c>
      <c r="M124" s="11"/>
      <c r="N124" s="11">
        <v>14</v>
      </c>
      <c r="O124" s="11"/>
      <c r="P124" s="11"/>
      <c r="Q124" s="36">
        <v>10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25">
        <v>0</v>
      </c>
      <c r="F125" s="25">
        <v>0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8">
        <v>0</v>
      </c>
      <c r="M125" s="11"/>
      <c r="N125" s="11"/>
      <c r="O125" s="11"/>
      <c r="P125" s="11"/>
      <c r="Q125" s="36">
        <v>0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8">
        <v>0</v>
      </c>
      <c r="M126" s="11"/>
      <c r="N126" s="11"/>
      <c r="O126" s="11"/>
      <c r="P126" s="11"/>
      <c r="Q126" s="36">
        <v>0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>
        <v>10</v>
      </c>
      <c r="O130" s="11"/>
      <c r="P130" s="11"/>
      <c r="Q130" s="36">
        <v>10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0</v>
      </c>
      <c r="M135" s="11"/>
      <c r="N135" s="11"/>
      <c r="O135" s="11"/>
      <c r="P135" s="11"/>
      <c r="Q135" s="36">
        <v>0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110</v>
      </c>
      <c r="E140" s="28">
        <v>91</v>
      </c>
      <c r="F140" s="28">
        <v>35</v>
      </c>
      <c r="G140" s="28">
        <v>66</v>
      </c>
      <c r="H140" s="28">
        <v>0</v>
      </c>
      <c r="I140" s="28">
        <v>0</v>
      </c>
      <c r="J140" s="28">
        <v>0</v>
      </c>
      <c r="K140" s="28">
        <v>0</v>
      </c>
      <c r="L140" s="28">
        <v>302</v>
      </c>
      <c r="M140" s="25">
        <v>0</v>
      </c>
      <c r="N140" s="25">
        <v>889</v>
      </c>
      <c r="O140" s="25"/>
      <c r="P140" s="25"/>
      <c r="Q140" s="36">
        <v>587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7FED-E72C-4170-BB5D-8CC22B70FA0C}">
  <dimension ref="A1:P143"/>
  <sheetViews>
    <sheetView workbookViewId="0">
      <selection activeCell="S15" sqref="S15"/>
    </sheetView>
  </sheetViews>
  <sheetFormatPr defaultRowHeight="13.8" x14ac:dyDescent="0.25"/>
  <sheetData>
    <row r="1" spans="1:16" ht="22.2" x14ac:dyDescent="0.25">
      <c r="A1" s="50" t="s">
        <v>142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6" ht="22.2" x14ac:dyDescent="0.25">
      <c r="A2" s="51"/>
      <c r="B2" s="52"/>
      <c r="C2" s="1"/>
      <c r="D2" s="53"/>
      <c r="E2" s="53"/>
      <c r="F2" s="2"/>
      <c r="G2" s="2"/>
      <c r="H2" s="2"/>
      <c r="I2" s="2"/>
      <c r="J2" s="2"/>
      <c r="K2" s="3" t="s">
        <v>1</v>
      </c>
      <c r="L2" s="55" t="s">
        <v>2</v>
      </c>
      <c r="M2" s="55" t="s">
        <v>3</v>
      </c>
      <c r="N2" s="55" t="s">
        <v>139</v>
      </c>
      <c r="O2" s="55" t="s">
        <v>140</v>
      </c>
      <c r="P2" s="62" t="s">
        <v>4</v>
      </c>
    </row>
    <row r="3" spans="1:16" ht="22.2" x14ac:dyDescent="0.25">
      <c r="A3" s="51"/>
      <c r="B3" s="52"/>
      <c r="C3" s="4"/>
      <c r="D3" s="54"/>
      <c r="E3" s="54"/>
      <c r="F3" s="5"/>
      <c r="G3" s="5"/>
      <c r="H3" s="5"/>
      <c r="I3" s="33"/>
      <c r="J3" s="33"/>
      <c r="K3" s="6" t="s">
        <v>5</v>
      </c>
      <c r="L3" s="56"/>
      <c r="M3" s="56"/>
      <c r="N3" s="56"/>
      <c r="O3" s="56"/>
      <c r="P3" s="63"/>
    </row>
    <row r="4" spans="1:16" ht="22.2" x14ac:dyDescent="0.25">
      <c r="A4" s="7" t="s">
        <v>6</v>
      </c>
      <c r="B4" s="8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34" t="s">
        <v>14</v>
      </c>
      <c r="J4" s="34" t="s">
        <v>15</v>
      </c>
      <c r="K4" s="10" t="s">
        <v>16</v>
      </c>
      <c r="L4" s="57"/>
      <c r="M4" s="57"/>
      <c r="N4" s="57"/>
      <c r="O4" s="57"/>
      <c r="P4" s="64"/>
    </row>
    <row r="5" spans="1:16" ht="22.2" x14ac:dyDescent="0.25">
      <c r="A5" s="11"/>
      <c r="B5" s="12"/>
      <c r="C5" s="13"/>
      <c r="D5" s="9"/>
      <c r="E5" s="9"/>
      <c r="F5" s="9"/>
      <c r="G5" s="9"/>
      <c r="H5" s="9"/>
      <c r="I5" s="34"/>
      <c r="J5" s="34"/>
      <c r="K5" s="14"/>
      <c r="L5" s="11"/>
      <c r="M5" s="11"/>
      <c r="N5" s="11"/>
      <c r="O5" s="11"/>
      <c r="P5" s="24"/>
    </row>
    <row r="6" spans="1:16" ht="20.399999999999999" x14ac:dyDescent="0.25">
      <c r="A6" s="58" t="s">
        <v>17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</row>
    <row r="7" spans="1:16" ht="22.2" x14ac:dyDescent="0.25">
      <c r="A7" s="11">
        <v>1111002</v>
      </c>
      <c r="B7" s="15" t="s">
        <v>18</v>
      </c>
      <c r="C7" s="25">
        <v>0</v>
      </c>
      <c r="D7" s="25">
        <v>8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8">
        <v>8</v>
      </c>
      <c r="L7" s="11"/>
      <c r="M7" s="11"/>
      <c r="N7" s="11"/>
      <c r="O7" s="11"/>
      <c r="P7" s="36">
        <v>-8</v>
      </c>
    </row>
    <row r="8" spans="1:16" ht="22.2" x14ac:dyDescent="0.25">
      <c r="A8" s="11"/>
      <c r="B8" s="15" t="s">
        <v>19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8">
        <v>0</v>
      </c>
      <c r="L8" s="11"/>
      <c r="M8" s="11"/>
      <c r="N8" s="11"/>
      <c r="O8" s="11"/>
      <c r="P8" s="36">
        <v>0</v>
      </c>
    </row>
    <row r="9" spans="1:16" ht="22.2" x14ac:dyDescent="0.25">
      <c r="A9" s="11">
        <v>1111084</v>
      </c>
      <c r="B9" s="15" t="s">
        <v>20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8">
        <v>0</v>
      </c>
      <c r="L9" s="11"/>
      <c r="M9" s="11"/>
      <c r="N9" s="11"/>
      <c r="O9" s="11"/>
      <c r="P9" s="36">
        <v>0</v>
      </c>
    </row>
    <row r="10" spans="1:16" ht="22.2" x14ac:dyDescent="0.25">
      <c r="A10" s="11">
        <v>1111085</v>
      </c>
      <c r="B10" s="15" t="s">
        <v>21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8">
        <v>0</v>
      </c>
      <c r="L10" s="11"/>
      <c r="M10" s="11"/>
      <c r="N10" s="11"/>
      <c r="O10" s="11"/>
      <c r="P10" s="36">
        <v>0</v>
      </c>
    </row>
    <row r="11" spans="1:16" ht="22.2" x14ac:dyDescent="0.25">
      <c r="A11" s="11">
        <v>1111086</v>
      </c>
      <c r="B11" s="15" t="s">
        <v>22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8">
        <v>0</v>
      </c>
      <c r="L11" s="11"/>
      <c r="M11" s="11"/>
      <c r="N11" s="11"/>
      <c r="O11" s="11"/>
      <c r="P11" s="36">
        <v>0</v>
      </c>
    </row>
    <row r="12" spans="1:16" ht="22.2" x14ac:dyDescent="0.25">
      <c r="A12" s="11">
        <v>1111087</v>
      </c>
      <c r="B12" s="15" t="s">
        <v>23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8">
        <v>0</v>
      </c>
      <c r="L12" s="11"/>
      <c r="M12" s="11"/>
      <c r="N12" s="11"/>
      <c r="O12" s="11"/>
      <c r="P12" s="36">
        <v>0</v>
      </c>
    </row>
    <row r="13" spans="1:16" ht="22.2" x14ac:dyDescent="0.25">
      <c r="A13" s="11">
        <v>1111088</v>
      </c>
      <c r="B13" s="15" t="s">
        <v>24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8">
        <v>0</v>
      </c>
      <c r="L13" s="11"/>
      <c r="M13" s="11"/>
      <c r="N13" s="11"/>
      <c r="O13" s="11"/>
      <c r="P13" s="36">
        <v>0</v>
      </c>
    </row>
    <row r="14" spans="1:16" ht="22.2" x14ac:dyDescent="0.25">
      <c r="A14" s="11">
        <v>1111089</v>
      </c>
      <c r="B14" s="15" t="s">
        <v>25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8">
        <v>0</v>
      </c>
      <c r="L14" s="11"/>
      <c r="M14" s="11"/>
      <c r="N14" s="11"/>
      <c r="O14" s="11"/>
      <c r="P14" s="36">
        <v>0</v>
      </c>
    </row>
    <row r="15" spans="1:16" ht="22.2" x14ac:dyDescent="0.25">
      <c r="A15" s="11">
        <v>1111090</v>
      </c>
      <c r="B15" s="15" t="s">
        <v>26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8">
        <v>0</v>
      </c>
      <c r="L15" s="11"/>
      <c r="M15" s="11"/>
      <c r="N15" s="11"/>
      <c r="O15" s="11"/>
      <c r="P15" s="36">
        <v>0</v>
      </c>
    </row>
    <row r="16" spans="1:16" ht="22.2" x14ac:dyDescent="0.25">
      <c r="A16" s="11">
        <v>1111091</v>
      </c>
      <c r="B16" s="15" t="s">
        <v>27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8">
        <v>0</v>
      </c>
      <c r="L16" s="11"/>
      <c r="M16" s="11"/>
      <c r="N16" s="11"/>
      <c r="O16" s="11"/>
      <c r="P16" s="36">
        <v>0</v>
      </c>
    </row>
    <row r="17" spans="1:16" ht="22.2" x14ac:dyDescent="0.25">
      <c r="A17" s="11">
        <v>1111092</v>
      </c>
      <c r="B17" s="15" t="s">
        <v>28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8">
        <v>0</v>
      </c>
      <c r="L17" s="11"/>
      <c r="M17" s="11"/>
      <c r="N17" s="11"/>
      <c r="O17" s="11"/>
      <c r="P17" s="36">
        <v>0</v>
      </c>
    </row>
    <row r="18" spans="1:16" ht="22.2" x14ac:dyDescent="0.25">
      <c r="A18" s="11">
        <v>1111093</v>
      </c>
      <c r="B18" s="15" t="s">
        <v>29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8">
        <v>0</v>
      </c>
      <c r="L18" s="11"/>
      <c r="M18" s="11"/>
      <c r="N18" s="11"/>
      <c r="O18" s="11"/>
      <c r="P18" s="36">
        <v>0</v>
      </c>
    </row>
    <row r="19" spans="1:16" ht="22.2" x14ac:dyDescent="0.25">
      <c r="A19" s="11">
        <v>1111094</v>
      </c>
      <c r="B19" s="15" t="s">
        <v>30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8">
        <v>0</v>
      </c>
      <c r="L19" s="11"/>
      <c r="M19" s="11"/>
      <c r="N19" s="11"/>
      <c r="O19" s="11"/>
      <c r="P19" s="36">
        <v>0</v>
      </c>
    </row>
    <row r="20" spans="1:16" ht="22.2" x14ac:dyDescent="0.25">
      <c r="A20" s="11">
        <v>1111095</v>
      </c>
      <c r="B20" s="15" t="s">
        <v>31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8">
        <v>0</v>
      </c>
      <c r="L20" s="11"/>
      <c r="M20" s="11"/>
      <c r="N20" s="11"/>
      <c r="O20" s="11"/>
      <c r="P20" s="36">
        <v>0</v>
      </c>
    </row>
    <row r="21" spans="1:16" ht="22.2" x14ac:dyDescent="0.25">
      <c r="A21" s="11">
        <v>1111096</v>
      </c>
      <c r="B21" s="15" t="s">
        <v>32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8">
        <v>0</v>
      </c>
      <c r="L21" s="11"/>
      <c r="M21" s="11"/>
      <c r="N21" s="11"/>
      <c r="O21" s="11"/>
      <c r="P21" s="36">
        <v>0</v>
      </c>
    </row>
    <row r="22" spans="1:16" ht="22.2" x14ac:dyDescent="0.25">
      <c r="A22" s="11">
        <v>1111097</v>
      </c>
      <c r="B22" s="15" t="s">
        <v>33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8">
        <v>0</v>
      </c>
      <c r="L22" s="11"/>
      <c r="M22" s="11"/>
      <c r="N22" s="11"/>
      <c r="O22" s="11"/>
      <c r="P22" s="36">
        <v>0</v>
      </c>
    </row>
    <row r="23" spans="1:16" ht="22.2" x14ac:dyDescent="0.25">
      <c r="A23" s="11">
        <v>1111098</v>
      </c>
      <c r="B23" s="15" t="s">
        <v>34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8">
        <v>0</v>
      </c>
      <c r="L23" s="11"/>
      <c r="M23" s="11"/>
      <c r="N23" s="11"/>
      <c r="O23" s="11"/>
      <c r="P23" s="36">
        <v>0</v>
      </c>
    </row>
    <row r="24" spans="1:16" ht="22.2" x14ac:dyDescent="0.25">
      <c r="A24" s="11">
        <v>1111043</v>
      </c>
      <c r="B24" s="15" t="s">
        <v>35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8">
        <v>0</v>
      </c>
      <c r="L24" s="11"/>
      <c r="M24" s="11"/>
      <c r="N24" s="11"/>
      <c r="O24" s="11"/>
      <c r="P24" s="36">
        <v>0</v>
      </c>
    </row>
    <row r="25" spans="1:16" ht="22.2" x14ac:dyDescent="0.25">
      <c r="A25" s="11">
        <v>1111056</v>
      </c>
      <c r="B25" s="15" t="s">
        <v>36</v>
      </c>
      <c r="C25" s="25">
        <v>1</v>
      </c>
      <c r="D25" s="25">
        <v>3</v>
      </c>
      <c r="E25" s="25">
        <v>12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8">
        <v>16</v>
      </c>
      <c r="L25" s="11"/>
      <c r="M25" s="11"/>
      <c r="N25" s="11"/>
      <c r="O25" s="11"/>
      <c r="P25" s="36">
        <v>-16</v>
      </c>
    </row>
    <row r="26" spans="1:16" ht="22.2" x14ac:dyDescent="0.25">
      <c r="A26" s="11">
        <v>1004055</v>
      </c>
      <c r="B26" s="15" t="s">
        <v>37</v>
      </c>
      <c r="C26" s="25">
        <v>0</v>
      </c>
      <c r="D26" s="25">
        <v>0</v>
      </c>
      <c r="E26" s="25">
        <v>0</v>
      </c>
      <c r="F26" s="25">
        <v>3</v>
      </c>
      <c r="G26" s="25">
        <v>0</v>
      </c>
      <c r="H26" s="25">
        <v>0</v>
      </c>
      <c r="I26" s="25">
        <v>0</v>
      </c>
      <c r="J26" s="25">
        <v>0</v>
      </c>
      <c r="K26" s="28">
        <v>3</v>
      </c>
      <c r="L26" s="11"/>
      <c r="M26" s="11"/>
      <c r="N26" s="11"/>
      <c r="O26" s="11"/>
      <c r="P26" s="36">
        <v>-3</v>
      </c>
    </row>
    <row r="27" spans="1:16" ht="22.2" x14ac:dyDescent="0.25">
      <c r="A27" s="11">
        <v>1004055</v>
      </c>
      <c r="B27" s="15" t="s">
        <v>38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8">
        <v>0</v>
      </c>
      <c r="L27" s="11"/>
      <c r="M27" s="11"/>
      <c r="N27" s="11"/>
      <c r="O27" s="11"/>
      <c r="P27" s="36">
        <v>0</v>
      </c>
    </row>
    <row r="28" spans="1:16" ht="22.2" x14ac:dyDescent="0.25">
      <c r="A28" s="11">
        <v>1004055</v>
      </c>
      <c r="B28" s="15" t="s">
        <v>39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8">
        <v>0</v>
      </c>
      <c r="L28" s="11"/>
      <c r="M28" s="11"/>
      <c r="N28" s="11"/>
      <c r="O28" s="11"/>
      <c r="P28" s="36">
        <v>0</v>
      </c>
    </row>
    <row r="29" spans="1:16" ht="22.2" x14ac:dyDescent="0.25">
      <c r="A29" s="11">
        <v>1004055</v>
      </c>
      <c r="B29" s="15" t="s">
        <v>40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8">
        <v>0</v>
      </c>
      <c r="L29" s="11"/>
      <c r="M29" s="11"/>
      <c r="N29" s="11"/>
      <c r="O29" s="11"/>
      <c r="P29" s="36">
        <v>0</v>
      </c>
    </row>
    <row r="30" spans="1:16" ht="22.2" x14ac:dyDescent="0.25">
      <c r="A30" s="11">
        <v>1004055</v>
      </c>
      <c r="B30" s="15" t="s">
        <v>41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8">
        <v>0</v>
      </c>
      <c r="L30" s="11"/>
      <c r="M30" s="11"/>
      <c r="N30" s="11"/>
      <c r="O30" s="11"/>
      <c r="P30" s="36">
        <v>0</v>
      </c>
    </row>
    <row r="31" spans="1:16" ht="22.2" x14ac:dyDescent="0.25">
      <c r="A31" s="11">
        <v>1004055</v>
      </c>
      <c r="B31" s="15" t="s">
        <v>42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8">
        <v>0</v>
      </c>
      <c r="L31" s="11"/>
      <c r="M31" s="11"/>
      <c r="N31" s="11"/>
      <c r="O31" s="11"/>
      <c r="P31" s="36">
        <v>0</v>
      </c>
    </row>
    <row r="32" spans="1:16" ht="22.2" x14ac:dyDescent="0.25">
      <c r="A32" s="11">
        <v>1004055</v>
      </c>
      <c r="B32" s="15" t="s">
        <v>43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8">
        <v>0</v>
      </c>
      <c r="L32" s="11"/>
      <c r="M32" s="11"/>
      <c r="N32" s="11"/>
      <c r="O32" s="11"/>
      <c r="P32" s="36">
        <v>0</v>
      </c>
    </row>
    <row r="33" spans="1:16" ht="22.2" x14ac:dyDescent="0.25">
      <c r="A33" s="11">
        <v>1004055</v>
      </c>
      <c r="B33" s="15" t="s">
        <v>44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8">
        <v>0</v>
      </c>
      <c r="L33" s="11"/>
      <c r="M33" s="11"/>
      <c r="N33" s="11"/>
      <c r="O33" s="11"/>
      <c r="P33" s="36">
        <v>0</v>
      </c>
    </row>
    <row r="34" spans="1:16" ht="22.2" x14ac:dyDescent="0.25">
      <c r="A34" s="11">
        <v>1004055</v>
      </c>
      <c r="B34" s="15" t="s">
        <v>45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8">
        <v>0</v>
      </c>
      <c r="L34" s="11"/>
      <c r="M34" s="11"/>
      <c r="N34" s="11"/>
      <c r="O34" s="11"/>
      <c r="P34" s="36">
        <v>0</v>
      </c>
    </row>
    <row r="35" spans="1:16" ht="22.2" x14ac:dyDescent="0.25">
      <c r="A35" s="11">
        <v>1004055</v>
      </c>
      <c r="B35" s="15" t="s">
        <v>46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8">
        <v>0</v>
      </c>
      <c r="L35" s="11"/>
      <c r="M35" s="11"/>
      <c r="N35" s="11"/>
      <c r="O35" s="11"/>
      <c r="P35" s="36">
        <v>0</v>
      </c>
    </row>
    <row r="36" spans="1:16" ht="22.2" x14ac:dyDescent="0.25">
      <c r="A36" s="11">
        <v>1004055</v>
      </c>
      <c r="B36" s="15" t="s">
        <v>47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8">
        <v>0</v>
      </c>
      <c r="L36" s="11"/>
      <c r="M36" s="11"/>
      <c r="N36" s="11"/>
      <c r="O36" s="11"/>
      <c r="P36" s="36">
        <v>0</v>
      </c>
    </row>
    <row r="37" spans="1:16" ht="22.2" x14ac:dyDescent="0.25">
      <c r="A37" s="11">
        <v>1004055</v>
      </c>
      <c r="B37" s="15" t="s">
        <v>48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8">
        <v>0</v>
      </c>
      <c r="L37" s="11"/>
      <c r="M37" s="11"/>
      <c r="N37" s="11"/>
      <c r="O37" s="11"/>
      <c r="P37" s="36">
        <v>0</v>
      </c>
    </row>
    <row r="38" spans="1:16" ht="22.2" x14ac:dyDescent="0.25">
      <c r="A38" s="11">
        <v>1004055</v>
      </c>
      <c r="B38" s="15" t="s">
        <v>49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8">
        <v>0</v>
      </c>
      <c r="L38" s="11"/>
      <c r="M38" s="11"/>
      <c r="N38" s="11"/>
      <c r="O38" s="11"/>
      <c r="P38" s="36">
        <v>0</v>
      </c>
    </row>
    <row r="39" spans="1:16" ht="22.2" x14ac:dyDescent="0.25">
      <c r="A39" s="11">
        <v>1004055</v>
      </c>
      <c r="B39" s="15" t="s">
        <v>50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8">
        <v>0</v>
      </c>
      <c r="L39" s="11"/>
      <c r="M39" s="11"/>
      <c r="N39" s="11"/>
      <c r="O39" s="11"/>
      <c r="P39" s="36">
        <v>0</v>
      </c>
    </row>
    <row r="40" spans="1:16" ht="22.2" x14ac:dyDescent="0.25">
      <c r="A40" s="11">
        <v>1111057</v>
      </c>
      <c r="B40" s="15" t="s">
        <v>51</v>
      </c>
      <c r="C40" s="25">
        <v>0</v>
      </c>
      <c r="D40" s="25">
        <v>0</v>
      </c>
      <c r="E40" s="25">
        <v>3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8">
        <v>3</v>
      </c>
      <c r="L40" s="11"/>
      <c r="M40" s="11"/>
      <c r="N40" s="11"/>
      <c r="O40" s="11"/>
      <c r="P40" s="36">
        <v>-3</v>
      </c>
    </row>
    <row r="41" spans="1:16" ht="22.2" x14ac:dyDescent="0.25">
      <c r="A41" s="11">
        <v>1111058</v>
      </c>
      <c r="B41" s="15" t="s">
        <v>52</v>
      </c>
      <c r="C41" s="25">
        <v>0</v>
      </c>
      <c r="D41" s="25">
        <v>0</v>
      </c>
      <c r="E41" s="25">
        <v>3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8">
        <v>3</v>
      </c>
      <c r="L41" s="11"/>
      <c r="M41" s="11"/>
      <c r="N41" s="11"/>
      <c r="O41" s="11"/>
      <c r="P41" s="36">
        <v>-3</v>
      </c>
    </row>
    <row r="42" spans="1:16" ht="22.2" x14ac:dyDescent="0.25">
      <c r="A42" s="11">
        <v>1111059</v>
      </c>
      <c r="B42" s="15" t="s">
        <v>53</v>
      </c>
      <c r="C42" s="25">
        <v>0</v>
      </c>
      <c r="D42" s="25">
        <v>0</v>
      </c>
      <c r="E42" s="25">
        <v>3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8">
        <v>3</v>
      </c>
      <c r="L42" s="11"/>
      <c r="M42" s="11"/>
      <c r="N42" s="11"/>
      <c r="O42" s="11"/>
      <c r="P42" s="36">
        <v>-3</v>
      </c>
    </row>
    <row r="43" spans="1:16" ht="22.2" x14ac:dyDescent="0.25">
      <c r="A43" s="11">
        <v>1111060</v>
      </c>
      <c r="B43" s="15" t="s">
        <v>54</v>
      </c>
      <c r="C43" s="25">
        <v>0</v>
      </c>
      <c r="D43" s="25">
        <v>0</v>
      </c>
      <c r="E43" s="25">
        <v>3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8">
        <v>3</v>
      </c>
      <c r="L43" s="11"/>
      <c r="M43" s="11"/>
      <c r="N43" s="11"/>
      <c r="O43" s="11"/>
      <c r="P43" s="36">
        <v>-3</v>
      </c>
    </row>
    <row r="44" spans="1:16" ht="22.2" x14ac:dyDescent="0.25">
      <c r="A44" s="11">
        <v>1111061</v>
      </c>
      <c r="B44" s="15" t="s">
        <v>55</v>
      </c>
      <c r="C44" s="25">
        <v>0</v>
      </c>
      <c r="D44" s="25">
        <v>0</v>
      </c>
      <c r="E44" s="25">
        <v>3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8">
        <v>3</v>
      </c>
      <c r="L44" s="11"/>
      <c r="M44" s="11"/>
      <c r="N44" s="11"/>
      <c r="O44" s="11"/>
      <c r="P44" s="36">
        <v>-3</v>
      </c>
    </row>
    <row r="45" spans="1:16" ht="22.2" x14ac:dyDescent="0.25">
      <c r="A45" s="11">
        <v>1111062</v>
      </c>
      <c r="B45" s="15" t="s">
        <v>56</v>
      </c>
      <c r="C45" s="25">
        <v>0</v>
      </c>
      <c r="D45" s="25">
        <v>0</v>
      </c>
      <c r="E45" s="25">
        <v>3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8">
        <v>3</v>
      </c>
      <c r="L45" s="11"/>
      <c r="M45" s="11"/>
      <c r="N45" s="11"/>
      <c r="O45" s="11"/>
      <c r="P45" s="36">
        <v>-3</v>
      </c>
    </row>
    <row r="46" spans="1:16" ht="22.2" x14ac:dyDescent="0.25">
      <c r="A46" s="11">
        <v>1111063</v>
      </c>
      <c r="B46" s="15" t="s">
        <v>57</v>
      </c>
      <c r="C46" s="25">
        <v>0</v>
      </c>
      <c r="D46" s="25">
        <v>0</v>
      </c>
      <c r="E46" s="25">
        <v>3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8">
        <v>3</v>
      </c>
      <c r="L46" s="11"/>
      <c r="M46" s="11"/>
      <c r="N46" s="11"/>
      <c r="O46" s="11"/>
      <c r="P46" s="36">
        <v>-3</v>
      </c>
    </row>
    <row r="47" spans="1:16" ht="22.2" x14ac:dyDescent="0.25">
      <c r="A47" s="11">
        <v>1111064</v>
      </c>
      <c r="B47" s="15" t="s">
        <v>58</v>
      </c>
      <c r="C47" s="25">
        <v>0</v>
      </c>
      <c r="D47" s="25">
        <v>0</v>
      </c>
      <c r="E47" s="25">
        <v>3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8">
        <v>3</v>
      </c>
      <c r="L47" s="11"/>
      <c r="M47" s="11"/>
      <c r="N47" s="11"/>
      <c r="O47" s="11"/>
      <c r="P47" s="36">
        <v>-3</v>
      </c>
    </row>
    <row r="48" spans="1:16" ht="22.2" x14ac:dyDescent="0.25">
      <c r="A48" s="11">
        <v>1111065</v>
      </c>
      <c r="B48" s="15" t="s">
        <v>59</v>
      </c>
      <c r="C48" s="25">
        <v>0</v>
      </c>
      <c r="D48" s="25">
        <v>0</v>
      </c>
      <c r="E48" s="25">
        <v>3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8">
        <v>3</v>
      </c>
      <c r="L48" s="11"/>
      <c r="M48" s="11"/>
      <c r="N48" s="11"/>
      <c r="O48" s="11"/>
      <c r="P48" s="36">
        <v>-3</v>
      </c>
    </row>
    <row r="49" spans="1:16" ht="22.2" x14ac:dyDescent="0.25">
      <c r="A49" s="11">
        <v>1111066</v>
      </c>
      <c r="B49" s="15" t="s">
        <v>60</v>
      </c>
      <c r="C49" s="25">
        <v>0</v>
      </c>
      <c r="D49" s="25">
        <v>0</v>
      </c>
      <c r="E49" s="25">
        <v>3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8">
        <v>3</v>
      </c>
      <c r="L49" s="11"/>
      <c r="M49" s="11"/>
      <c r="N49" s="11"/>
      <c r="O49" s="11"/>
      <c r="P49" s="36">
        <v>-3</v>
      </c>
    </row>
    <row r="50" spans="1:16" ht="22.2" x14ac:dyDescent="0.25">
      <c r="A50" s="11">
        <v>1111067</v>
      </c>
      <c r="B50" s="15" t="s">
        <v>61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8">
        <v>0</v>
      </c>
      <c r="L50" s="11"/>
      <c r="M50" s="11"/>
      <c r="N50" s="11"/>
      <c r="O50" s="11"/>
      <c r="P50" s="36">
        <v>0</v>
      </c>
    </row>
    <row r="51" spans="1:16" ht="22.2" x14ac:dyDescent="0.25">
      <c r="A51" s="11">
        <v>1111068</v>
      </c>
      <c r="B51" s="15" t="s">
        <v>62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8">
        <v>0</v>
      </c>
      <c r="L51" s="11"/>
      <c r="M51" s="11"/>
      <c r="N51" s="11"/>
      <c r="O51" s="11"/>
      <c r="P51" s="36">
        <v>0</v>
      </c>
    </row>
    <row r="52" spans="1:16" ht="22.2" x14ac:dyDescent="0.25">
      <c r="A52" s="11">
        <v>1111069</v>
      </c>
      <c r="B52" s="15" t="s">
        <v>63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8">
        <v>0</v>
      </c>
      <c r="L52" s="11"/>
      <c r="M52" s="11"/>
      <c r="N52" s="11"/>
      <c r="O52" s="11"/>
      <c r="P52" s="36">
        <v>0</v>
      </c>
    </row>
    <row r="53" spans="1:16" ht="22.2" x14ac:dyDescent="0.25">
      <c r="A53" s="11">
        <v>1111070</v>
      </c>
      <c r="B53" s="15" t="s">
        <v>64</v>
      </c>
      <c r="C53" s="25">
        <v>0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8">
        <v>0</v>
      </c>
      <c r="L53" s="11"/>
      <c r="M53" s="11"/>
      <c r="N53" s="11"/>
      <c r="O53" s="11"/>
      <c r="P53" s="36">
        <v>0</v>
      </c>
    </row>
    <row r="54" spans="1:16" ht="22.2" x14ac:dyDescent="0.25">
      <c r="A54" s="11">
        <v>1111071</v>
      </c>
      <c r="B54" s="15" t="s">
        <v>65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8">
        <v>0</v>
      </c>
      <c r="L54" s="11"/>
      <c r="M54" s="11"/>
      <c r="N54" s="11"/>
      <c r="O54" s="11"/>
      <c r="P54" s="36">
        <v>0</v>
      </c>
    </row>
    <row r="55" spans="1:16" ht="22.2" x14ac:dyDescent="0.25">
      <c r="A55" s="11">
        <v>1111001</v>
      </c>
      <c r="B55" s="15" t="s">
        <v>66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8">
        <v>0</v>
      </c>
      <c r="L55" s="11"/>
      <c r="M55" s="11"/>
      <c r="N55" s="11"/>
      <c r="O55" s="11"/>
      <c r="P55" s="36">
        <v>0</v>
      </c>
    </row>
    <row r="56" spans="1:16" ht="22.2" x14ac:dyDescent="0.25">
      <c r="A56" s="11">
        <v>1111074</v>
      </c>
      <c r="B56" s="15" t="s">
        <v>67</v>
      </c>
      <c r="C56" s="25">
        <v>1</v>
      </c>
      <c r="D56" s="25">
        <v>0</v>
      </c>
      <c r="E56" s="25">
        <v>3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8">
        <v>4</v>
      </c>
      <c r="L56" s="11"/>
      <c r="M56" s="11"/>
      <c r="N56" s="11"/>
      <c r="O56" s="11"/>
      <c r="P56" s="36">
        <v>-4</v>
      </c>
    </row>
    <row r="57" spans="1:16" ht="22.2" x14ac:dyDescent="0.25">
      <c r="A57" s="11">
        <v>1111075</v>
      </c>
      <c r="B57" s="15" t="s">
        <v>68</v>
      </c>
      <c r="C57" s="25">
        <v>1</v>
      </c>
      <c r="D57" s="25">
        <v>0</v>
      </c>
      <c r="E57" s="25">
        <v>3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8">
        <v>4</v>
      </c>
      <c r="L57" s="11"/>
      <c r="M57" s="11"/>
      <c r="N57" s="11"/>
      <c r="O57" s="11"/>
      <c r="P57" s="36">
        <v>-4</v>
      </c>
    </row>
    <row r="58" spans="1:16" ht="22.2" x14ac:dyDescent="0.25">
      <c r="A58" s="11">
        <v>1111076</v>
      </c>
      <c r="B58" s="15" t="s">
        <v>69</v>
      </c>
      <c r="C58" s="25">
        <v>1</v>
      </c>
      <c r="D58" s="25">
        <v>0</v>
      </c>
      <c r="E58" s="25">
        <v>3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8">
        <v>4</v>
      </c>
      <c r="L58" s="11"/>
      <c r="M58" s="11"/>
      <c r="N58" s="11"/>
      <c r="O58" s="11"/>
      <c r="P58" s="36">
        <v>-4</v>
      </c>
    </row>
    <row r="59" spans="1:16" ht="22.2" x14ac:dyDescent="0.25">
      <c r="A59" s="11">
        <v>1111077</v>
      </c>
      <c r="B59" s="15" t="s">
        <v>70</v>
      </c>
      <c r="C59" s="25">
        <v>1</v>
      </c>
      <c r="D59" s="25">
        <v>0</v>
      </c>
      <c r="E59" s="25">
        <v>3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8">
        <v>4</v>
      </c>
      <c r="L59" s="11"/>
      <c r="M59" s="11">
        <v>10</v>
      </c>
      <c r="N59" s="11"/>
      <c r="O59" s="11"/>
      <c r="P59" s="36">
        <v>6</v>
      </c>
    </row>
    <row r="60" spans="1:16" ht="22.2" x14ac:dyDescent="0.25">
      <c r="A60" s="11">
        <v>1111078</v>
      </c>
      <c r="B60" s="15" t="s">
        <v>71</v>
      </c>
      <c r="C60" s="25">
        <v>1</v>
      </c>
      <c r="D60" s="25">
        <v>0</v>
      </c>
      <c r="E60" s="25">
        <v>3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8">
        <v>4</v>
      </c>
      <c r="L60" s="11"/>
      <c r="M60" s="11"/>
      <c r="N60" s="11"/>
      <c r="O60" s="11"/>
      <c r="P60" s="36">
        <v>-4</v>
      </c>
    </row>
    <row r="61" spans="1:16" ht="22.2" x14ac:dyDescent="0.25">
      <c r="A61" s="11">
        <v>1111079</v>
      </c>
      <c r="B61" s="15" t="s">
        <v>72</v>
      </c>
      <c r="C61" s="25">
        <v>1</v>
      </c>
      <c r="D61" s="25">
        <v>0</v>
      </c>
      <c r="E61" s="25">
        <v>3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8">
        <v>4</v>
      </c>
      <c r="L61" s="11"/>
      <c r="M61" s="11"/>
      <c r="N61" s="11"/>
      <c r="O61" s="11"/>
      <c r="P61" s="36">
        <v>-4</v>
      </c>
    </row>
    <row r="62" spans="1:16" ht="22.2" x14ac:dyDescent="0.25">
      <c r="A62" s="11">
        <v>1111080</v>
      </c>
      <c r="B62" s="15" t="s">
        <v>73</v>
      </c>
      <c r="C62" s="25">
        <v>1</v>
      </c>
      <c r="D62" s="25">
        <v>0</v>
      </c>
      <c r="E62" s="25">
        <v>3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8">
        <v>4</v>
      </c>
      <c r="L62" s="11"/>
      <c r="M62" s="11"/>
      <c r="N62" s="11"/>
      <c r="O62" s="11"/>
      <c r="P62" s="36">
        <v>-4</v>
      </c>
    </row>
    <row r="63" spans="1:16" ht="22.2" x14ac:dyDescent="0.25">
      <c r="A63" s="11">
        <v>1111081</v>
      </c>
      <c r="B63" s="15" t="s">
        <v>74</v>
      </c>
      <c r="C63" s="25">
        <v>1</v>
      </c>
      <c r="D63" s="25">
        <v>0</v>
      </c>
      <c r="E63" s="25">
        <v>3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8">
        <v>4</v>
      </c>
      <c r="L63" s="11"/>
      <c r="M63" s="11">
        <v>1</v>
      </c>
      <c r="N63" s="11"/>
      <c r="O63" s="11"/>
      <c r="P63" s="36">
        <v>-3</v>
      </c>
    </row>
    <row r="64" spans="1:16" ht="22.2" x14ac:dyDescent="0.25">
      <c r="A64" s="11">
        <v>1111082</v>
      </c>
      <c r="B64" s="15" t="s">
        <v>75</v>
      </c>
      <c r="C64" s="25">
        <v>1</v>
      </c>
      <c r="D64" s="25">
        <v>0</v>
      </c>
      <c r="E64" s="25">
        <v>3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8">
        <v>4</v>
      </c>
      <c r="L64" s="11"/>
      <c r="M64" s="11"/>
      <c r="N64" s="11"/>
      <c r="O64" s="11"/>
      <c r="P64" s="36">
        <v>-4</v>
      </c>
    </row>
    <row r="65" spans="1:16" ht="22.2" x14ac:dyDescent="0.25">
      <c r="A65" s="11">
        <v>1111083</v>
      </c>
      <c r="B65" s="15" t="s">
        <v>76</v>
      </c>
      <c r="C65" s="25">
        <v>1</v>
      </c>
      <c r="D65" s="25">
        <v>0</v>
      </c>
      <c r="E65" s="25">
        <v>3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8">
        <v>4</v>
      </c>
      <c r="L65" s="11"/>
      <c r="M65" s="11"/>
      <c r="N65" s="11"/>
      <c r="O65" s="11"/>
      <c r="P65" s="36">
        <v>-4</v>
      </c>
    </row>
    <row r="66" spans="1:16" ht="22.2" x14ac:dyDescent="0.25">
      <c r="A66" s="11">
        <v>1111010</v>
      </c>
      <c r="B66" s="15" t="s">
        <v>77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35"/>
      <c r="K66" s="28">
        <v>0</v>
      </c>
      <c r="L66" s="11"/>
      <c r="M66" s="11"/>
      <c r="N66" s="11"/>
      <c r="O66" s="11"/>
      <c r="P66" s="36">
        <v>0</v>
      </c>
    </row>
    <row r="67" spans="1:16" ht="22.2" x14ac:dyDescent="0.25">
      <c r="A67" s="16"/>
      <c r="B67" s="16" t="s">
        <v>4</v>
      </c>
      <c r="C67" s="17"/>
      <c r="D67" s="17"/>
      <c r="E67" s="17"/>
      <c r="F67" s="17"/>
      <c r="G67" s="17"/>
      <c r="H67" s="17"/>
      <c r="I67" s="19"/>
      <c r="J67" s="19"/>
      <c r="K67" s="28">
        <v>0</v>
      </c>
      <c r="L67" s="11"/>
      <c r="M67" s="11"/>
      <c r="N67" s="11"/>
      <c r="O67" s="11"/>
      <c r="P67" s="36">
        <v>0</v>
      </c>
    </row>
    <row r="68" spans="1:16" ht="20.399999999999999" x14ac:dyDescent="0.25">
      <c r="A68" s="58" t="s">
        <v>78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60"/>
    </row>
    <row r="69" spans="1:16" ht="22.2" x14ac:dyDescent="0.25">
      <c r="A69" s="11">
        <v>1111009</v>
      </c>
      <c r="B69" s="18" t="s">
        <v>79</v>
      </c>
      <c r="C69" s="25">
        <v>1</v>
      </c>
      <c r="D69" s="25">
        <v>2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8">
        <v>3</v>
      </c>
      <c r="L69" s="11"/>
      <c r="M69" s="11">
        <v>3</v>
      </c>
      <c r="N69" s="11"/>
      <c r="O69" s="11"/>
      <c r="P69" s="36">
        <v>0</v>
      </c>
    </row>
    <row r="70" spans="1:16" ht="22.2" x14ac:dyDescent="0.25">
      <c r="A70" s="11">
        <v>1111023</v>
      </c>
      <c r="B70" s="18" t="s">
        <v>80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8">
        <v>0</v>
      </c>
      <c r="L70" s="11"/>
      <c r="M70" s="11"/>
      <c r="N70" s="11"/>
      <c r="O70" s="11"/>
      <c r="P70" s="36">
        <v>0</v>
      </c>
    </row>
    <row r="71" spans="1:16" ht="22.2" x14ac:dyDescent="0.25">
      <c r="A71" s="11">
        <v>1111016</v>
      </c>
      <c r="B71" s="18" t="s">
        <v>81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8">
        <v>0</v>
      </c>
      <c r="L71" s="11"/>
      <c r="M71" s="11"/>
      <c r="N71" s="11"/>
      <c r="O71" s="11"/>
      <c r="P71" s="36">
        <v>0</v>
      </c>
    </row>
    <row r="72" spans="1:16" ht="22.2" x14ac:dyDescent="0.25">
      <c r="A72" s="11">
        <v>1111014</v>
      </c>
      <c r="B72" s="18" t="s">
        <v>82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8">
        <v>0</v>
      </c>
      <c r="L72" s="11"/>
      <c r="M72" s="11"/>
      <c r="N72" s="11"/>
      <c r="O72" s="11"/>
      <c r="P72" s="36">
        <v>0</v>
      </c>
    </row>
    <row r="73" spans="1:16" ht="22.2" x14ac:dyDescent="0.25">
      <c r="A73" s="11">
        <v>1111025</v>
      </c>
      <c r="B73" s="18" t="s">
        <v>83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8">
        <v>0</v>
      </c>
      <c r="L73" s="11"/>
      <c r="M73" s="11"/>
      <c r="N73" s="11"/>
      <c r="O73" s="11"/>
      <c r="P73" s="36">
        <v>0</v>
      </c>
    </row>
    <row r="74" spans="1:16" ht="22.2" x14ac:dyDescent="0.25">
      <c r="A74" s="11">
        <v>1111018</v>
      </c>
      <c r="B74" s="18" t="s">
        <v>84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8">
        <v>0</v>
      </c>
      <c r="L74" s="11"/>
      <c r="M74" s="11"/>
      <c r="N74" s="11"/>
      <c r="O74" s="11"/>
      <c r="P74" s="36">
        <v>0</v>
      </c>
    </row>
    <row r="75" spans="1:16" ht="22.2" x14ac:dyDescent="0.25">
      <c r="A75" s="11">
        <v>1111012</v>
      </c>
      <c r="B75" s="18" t="s">
        <v>85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8">
        <v>0</v>
      </c>
      <c r="L75" s="11"/>
      <c r="M75" s="11"/>
      <c r="N75" s="11"/>
      <c r="O75" s="11"/>
      <c r="P75" s="36">
        <v>0</v>
      </c>
    </row>
    <row r="76" spans="1:16" ht="22.2" x14ac:dyDescent="0.25">
      <c r="A76" s="11">
        <v>1111020</v>
      </c>
      <c r="B76" s="18" t="s">
        <v>86</v>
      </c>
      <c r="C76" s="25">
        <v>0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8">
        <v>0</v>
      </c>
      <c r="L76" s="11"/>
      <c r="M76" s="11"/>
      <c r="N76" s="11"/>
      <c r="O76" s="11"/>
      <c r="P76" s="36">
        <v>0</v>
      </c>
    </row>
    <row r="77" spans="1:16" ht="22.2" x14ac:dyDescent="0.25">
      <c r="A77" s="17"/>
      <c r="B77" s="19" t="s">
        <v>4</v>
      </c>
      <c r="C77" s="19"/>
      <c r="D77" s="17"/>
      <c r="E77" s="17"/>
      <c r="F77" s="17"/>
      <c r="G77" s="17"/>
      <c r="H77" s="17"/>
      <c r="I77" s="19"/>
      <c r="J77" s="19"/>
      <c r="K77" s="28"/>
      <c r="L77" s="11"/>
      <c r="M77" s="11"/>
      <c r="N77" s="11"/>
      <c r="O77" s="11"/>
      <c r="P77" s="36">
        <v>0</v>
      </c>
    </row>
    <row r="78" spans="1:16" ht="20.399999999999999" x14ac:dyDescent="0.25">
      <c r="A78" s="58" t="s">
        <v>87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60"/>
    </row>
    <row r="79" spans="1:16" ht="22.2" x14ac:dyDescent="0.25">
      <c r="A79" s="11">
        <v>1111022</v>
      </c>
      <c r="B79" s="18" t="s">
        <v>88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8">
        <v>0</v>
      </c>
      <c r="L79" s="11"/>
      <c r="M79" s="11"/>
      <c r="N79" s="11"/>
      <c r="O79" s="11"/>
      <c r="P79" s="36">
        <v>0</v>
      </c>
    </row>
    <row r="80" spans="1:16" ht="22.2" x14ac:dyDescent="0.25">
      <c r="A80" s="11">
        <v>1111015</v>
      </c>
      <c r="B80" s="18" t="s">
        <v>89</v>
      </c>
      <c r="C80" s="25">
        <v>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8">
        <v>0</v>
      </c>
      <c r="L80" s="11"/>
      <c r="M80" s="11"/>
      <c r="N80" s="11"/>
      <c r="O80" s="11"/>
      <c r="P80" s="36">
        <v>0</v>
      </c>
    </row>
    <row r="81" spans="1:16" ht="22.2" x14ac:dyDescent="0.25">
      <c r="A81" s="11">
        <v>1111013</v>
      </c>
      <c r="B81" s="18" t="s">
        <v>90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8">
        <v>0</v>
      </c>
      <c r="L81" s="11"/>
      <c r="M81" s="11"/>
      <c r="N81" s="11"/>
      <c r="O81" s="11"/>
      <c r="P81" s="36">
        <v>0</v>
      </c>
    </row>
    <row r="82" spans="1:16" ht="22.2" x14ac:dyDescent="0.25">
      <c r="A82" s="11">
        <v>1111024</v>
      </c>
      <c r="B82" s="18" t="s">
        <v>91</v>
      </c>
      <c r="C82" s="25">
        <v>0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8">
        <v>0</v>
      </c>
      <c r="L82" s="11"/>
      <c r="M82" s="11"/>
      <c r="N82" s="11"/>
      <c r="O82" s="11"/>
      <c r="P82" s="36">
        <v>0</v>
      </c>
    </row>
    <row r="83" spans="1:16" ht="22.2" x14ac:dyDescent="0.25">
      <c r="A83" s="11">
        <v>1111017</v>
      </c>
      <c r="B83" s="18" t="s">
        <v>92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8">
        <v>0</v>
      </c>
      <c r="L83" s="11"/>
      <c r="M83" s="11"/>
      <c r="N83" s="11"/>
      <c r="O83" s="11"/>
      <c r="P83" s="36">
        <v>0</v>
      </c>
    </row>
    <row r="84" spans="1:16" ht="22.2" x14ac:dyDescent="0.25">
      <c r="A84" s="11">
        <v>1111011</v>
      </c>
      <c r="B84" s="18" t="s">
        <v>93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8">
        <v>0</v>
      </c>
      <c r="L84" s="11"/>
      <c r="M84" s="11"/>
      <c r="N84" s="11"/>
      <c r="O84" s="11"/>
      <c r="P84" s="36">
        <v>0</v>
      </c>
    </row>
    <row r="85" spans="1:16" ht="22.2" x14ac:dyDescent="0.25">
      <c r="A85" s="11">
        <v>1111019</v>
      </c>
      <c r="B85" s="18" t="s">
        <v>94</v>
      </c>
      <c r="C85" s="25">
        <v>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8">
        <v>0</v>
      </c>
      <c r="L85" s="11"/>
      <c r="M85" s="11"/>
      <c r="N85" s="11"/>
      <c r="O85" s="11"/>
      <c r="P85" s="36">
        <v>0</v>
      </c>
    </row>
    <row r="86" spans="1:16" ht="22.2" x14ac:dyDescent="0.25">
      <c r="A86" s="11">
        <v>1113081</v>
      </c>
      <c r="B86" s="18" t="s">
        <v>95</v>
      </c>
      <c r="C86" s="25">
        <v>0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8">
        <v>0</v>
      </c>
      <c r="L86" s="11"/>
      <c r="M86" s="11"/>
      <c r="N86" s="11"/>
      <c r="O86" s="11"/>
      <c r="P86" s="36">
        <v>0</v>
      </c>
    </row>
    <row r="87" spans="1:16" ht="22.2" x14ac:dyDescent="0.25">
      <c r="A87" s="11">
        <v>1111008</v>
      </c>
      <c r="B87" s="18" t="s">
        <v>96</v>
      </c>
      <c r="C87" s="25">
        <v>30</v>
      </c>
      <c r="D87" s="25">
        <v>6</v>
      </c>
      <c r="E87" s="25">
        <v>0</v>
      </c>
      <c r="F87" s="25">
        <v>6</v>
      </c>
      <c r="G87" s="25">
        <v>0</v>
      </c>
      <c r="H87" s="25">
        <v>0</v>
      </c>
      <c r="I87" s="25">
        <v>0</v>
      </c>
      <c r="J87" s="25">
        <v>0</v>
      </c>
      <c r="K87" s="28">
        <v>42</v>
      </c>
      <c r="L87" s="11"/>
      <c r="M87" s="11">
        <v>117</v>
      </c>
      <c r="N87" s="11"/>
      <c r="O87" s="11"/>
      <c r="P87" s="36">
        <v>75</v>
      </c>
    </row>
    <row r="88" spans="1:16" ht="22.2" x14ac:dyDescent="0.25">
      <c r="A88" s="17"/>
      <c r="B88" s="17" t="s">
        <v>4</v>
      </c>
      <c r="C88" s="17"/>
      <c r="D88" s="17"/>
      <c r="E88" s="17"/>
      <c r="F88" s="17"/>
      <c r="G88" s="17"/>
      <c r="H88" s="17"/>
      <c r="I88" s="19"/>
      <c r="J88" s="19"/>
      <c r="K88" s="28">
        <v>0</v>
      </c>
      <c r="L88" s="11"/>
      <c r="M88" s="11"/>
      <c r="N88" s="11"/>
      <c r="O88" s="11"/>
      <c r="P88" s="36">
        <v>0</v>
      </c>
    </row>
    <row r="89" spans="1:16" ht="20.399999999999999" x14ac:dyDescent="0.25">
      <c r="A89" s="58" t="s">
        <v>97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60"/>
    </row>
    <row r="90" spans="1:16" ht="22.2" x14ac:dyDescent="0.25">
      <c r="A90" s="11">
        <v>1112009</v>
      </c>
      <c r="B90" s="18" t="s">
        <v>98</v>
      </c>
      <c r="C90" s="25">
        <v>0</v>
      </c>
      <c r="D90" s="25">
        <v>3</v>
      </c>
      <c r="E90" s="25">
        <v>0</v>
      </c>
      <c r="F90" s="25">
        <v>0</v>
      </c>
      <c r="G90" s="25">
        <v>0</v>
      </c>
      <c r="H90" s="25">
        <v>0</v>
      </c>
      <c r="I90" s="25">
        <v>0</v>
      </c>
      <c r="J90" s="25">
        <v>0</v>
      </c>
      <c r="K90" s="28">
        <v>3</v>
      </c>
      <c r="L90" s="11"/>
      <c r="M90" s="11">
        <v>7</v>
      </c>
      <c r="N90" s="11"/>
      <c r="O90" s="11"/>
      <c r="P90" s="36">
        <v>4</v>
      </c>
    </row>
    <row r="91" spans="1:16" ht="22.2" x14ac:dyDescent="0.25">
      <c r="A91" s="11">
        <v>1112011</v>
      </c>
      <c r="B91" s="18" t="s">
        <v>99</v>
      </c>
      <c r="C91" s="25">
        <v>0</v>
      </c>
      <c r="D91" s="25">
        <v>3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8">
        <v>3</v>
      </c>
      <c r="L91" s="11"/>
      <c r="M91" s="11">
        <v>1</v>
      </c>
      <c r="N91" s="11"/>
      <c r="O91" s="11"/>
      <c r="P91" s="36">
        <v>-2</v>
      </c>
    </row>
    <row r="92" spans="1:16" ht="22.2" x14ac:dyDescent="0.25">
      <c r="A92" s="11">
        <v>1112003</v>
      </c>
      <c r="B92" s="18" t="s">
        <v>100</v>
      </c>
      <c r="C92" s="25">
        <v>0</v>
      </c>
      <c r="D92" s="25">
        <v>2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8">
        <v>2</v>
      </c>
      <c r="L92" s="11"/>
      <c r="M92" s="11"/>
      <c r="N92" s="11"/>
      <c r="O92" s="11"/>
      <c r="P92" s="36">
        <v>-2</v>
      </c>
    </row>
    <row r="93" spans="1:16" ht="22.2" x14ac:dyDescent="0.25">
      <c r="A93" s="11">
        <v>1112005</v>
      </c>
      <c r="B93" s="18" t="s">
        <v>101</v>
      </c>
      <c r="C93" s="25">
        <v>4</v>
      </c>
      <c r="D93" s="25">
        <v>2</v>
      </c>
      <c r="E93" s="25">
        <v>0</v>
      </c>
      <c r="F93" s="25">
        <v>0</v>
      </c>
      <c r="G93" s="25">
        <v>0</v>
      </c>
      <c r="H93" s="25">
        <v>0</v>
      </c>
      <c r="I93" s="25">
        <v>0</v>
      </c>
      <c r="J93" s="25">
        <v>0</v>
      </c>
      <c r="K93" s="28">
        <v>6</v>
      </c>
      <c r="L93" s="11"/>
      <c r="M93" s="11">
        <v>49</v>
      </c>
      <c r="N93" s="11"/>
      <c r="O93" s="11"/>
      <c r="P93" s="36">
        <v>43</v>
      </c>
    </row>
    <row r="94" spans="1:16" ht="22.2" x14ac:dyDescent="0.25">
      <c r="A94" s="11">
        <v>1112007</v>
      </c>
      <c r="B94" s="18" t="s">
        <v>102</v>
      </c>
      <c r="C94" s="25">
        <v>0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8">
        <v>0</v>
      </c>
      <c r="L94" s="11"/>
      <c r="M94" s="11"/>
      <c r="N94" s="11"/>
      <c r="O94" s="11"/>
      <c r="P94" s="36">
        <v>0</v>
      </c>
    </row>
    <row r="95" spans="1:16" ht="22.2" x14ac:dyDescent="0.25">
      <c r="A95" s="11">
        <v>1112019</v>
      </c>
      <c r="B95" s="18" t="s">
        <v>103</v>
      </c>
      <c r="C95" s="25">
        <v>0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8">
        <v>0</v>
      </c>
      <c r="L95" s="11"/>
      <c r="M95" s="11"/>
      <c r="N95" s="11"/>
      <c r="O95" s="11"/>
      <c r="P95" s="36">
        <v>0</v>
      </c>
    </row>
    <row r="96" spans="1:16" ht="22.2" x14ac:dyDescent="0.25">
      <c r="A96" s="11">
        <v>1112017</v>
      </c>
      <c r="B96" s="18" t="s">
        <v>104</v>
      </c>
      <c r="C96" s="25">
        <v>0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8">
        <v>0</v>
      </c>
      <c r="L96" s="11"/>
      <c r="M96" s="11"/>
      <c r="N96" s="11"/>
      <c r="O96" s="11"/>
      <c r="P96" s="36">
        <v>0</v>
      </c>
    </row>
    <row r="97" spans="1:16" ht="22.2" x14ac:dyDescent="0.25">
      <c r="A97" s="11">
        <v>1112015</v>
      </c>
      <c r="B97" s="18" t="s">
        <v>105</v>
      </c>
      <c r="C97" s="25">
        <v>0</v>
      </c>
      <c r="D97" s="25">
        <v>0</v>
      </c>
      <c r="E97" s="25">
        <v>0</v>
      </c>
      <c r="F97" s="25">
        <v>0</v>
      </c>
      <c r="G97" s="25">
        <v>0</v>
      </c>
      <c r="H97" s="25">
        <v>0</v>
      </c>
      <c r="I97" s="25">
        <v>0</v>
      </c>
      <c r="J97" s="25">
        <v>0</v>
      </c>
      <c r="K97" s="28">
        <v>0</v>
      </c>
      <c r="L97" s="11"/>
      <c r="M97" s="11"/>
      <c r="N97" s="11"/>
      <c r="O97" s="11"/>
      <c r="P97" s="36">
        <v>0</v>
      </c>
    </row>
    <row r="98" spans="1:16" ht="22.2" x14ac:dyDescent="0.25">
      <c r="A98" s="11">
        <v>1112013</v>
      </c>
      <c r="B98" s="18" t="s">
        <v>106</v>
      </c>
      <c r="C98" s="25">
        <v>0</v>
      </c>
      <c r="D98" s="25">
        <v>2</v>
      </c>
      <c r="E98" s="25">
        <v>0</v>
      </c>
      <c r="F98" s="25">
        <v>0</v>
      </c>
      <c r="G98" s="25">
        <v>0</v>
      </c>
      <c r="H98" s="25">
        <v>0</v>
      </c>
      <c r="I98" s="25">
        <v>0</v>
      </c>
      <c r="J98" s="25">
        <v>0</v>
      </c>
      <c r="K98" s="28">
        <v>2</v>
      </c>
      <c r="L98" s="11"/>
      <c r="M98" s="11"/>
      <c r="N98" s="11"/>
      <c r="O98" s="11"/>
      <c r="P98" s="36">
        <v>-2</v>
      </c>
    </row>
    <row r="99" spans="1:16" ht="22.2" x14ac:dyDescent="0.25">
      <c r="A99" s="11">
        <v>1124043</v>
      </c>
      <c r="B99" s="18" t="s">
        <v>107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35"/>
      <c r="K99" s="28">
        <v>0</v>
      </c>
      <c r="L99" s="11"/>
      <c r="M99" s="11"/>
      <c r="N99" s="11"/>
      <c r="O99" s="11"/>
      <c r="P99" s="36">
        <v>0</v>
      </c>
    </row>
    <row r="100" spans="1:16" ht="22.2" x14ac:dyDescent="0.25">
      <c r="A100" s="17"/>
      <c r="B100" s="17" t="s">
        <v>4</v>
      </c>
      <c r="C100" s="17"/>
      <c r="D100" s="17"/>
      <c r="E100" s="17"/>
      <c r="F100" s="17"/>
      <c r="G100" s="17"/>
      <c r="H100" s="17"/>
      <c r="I100" s="19"/>
      <c r="J100" s="19"/>
      <c r="K100" s="28">
        <v>16</v>
      </c>
      <c r="L100" s="11"/>
      <c r="M100" s="11"/>
      <c r="N100" s="11"/>
      <c r="O100" s="11"/>
      <c r="P100" s="36"/>
    </row>
    <row r="101" spans="1:16" ht="20.399999999999999" x14ac:dyDescent="0.25">
      <c r="A101" s="58" t="s">
        <v>108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60"/>
    </row>
    <row r="102" spans="1:16" ht="22.2" x14ac:dyDescent="0.25">
      <c r="A102" s="11">
        <v>1112008</v>
      </c>
      <c r="B102" s="18" t="s">
        <v>98</v>
      </c>
      <c r="C102" s="25">
        <v>0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35"/>
      <c r="K102" s="28">
        <v>0</v>
      </c>
      <c r="L102" s="11"/>
      <c r="M102" s="11"/>
      <c r="N102" s="11"/>
      <c r="O102" s="11"/>
      <c r="P102" s="36">
        <v>0</v>
      </c>
    </row>
    <row r="103" spans="1:16" ht="22.2" x14ac:dyDescent="0.25">
      <c r="A103" s="11">
        <v>1112010</v>
      </c>
      <c r="B103" s="18" t="s">
        <v>99</v>
      </c>
      <c r="C103" s="25">
        <v>0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35"/>
      <c r="K103" s="28">
        <v>0</v>
      </c>
      <c r="L103" s="11"/>
      <c r="M103" s="11"/>
      <c r="N103" s="11"/>
      <c r="O103" s="11"/>
      <c r="P103" s="36">
        <v>0</v>
      </c>
    </row>
    <row r="104" spans="1:16" ht="22.2" x14ac:dyDescent="0.25">
      <c r="A104" s="11">
        <v>1112002</v>
      </c>
      <c r="B104" s="18" t="s">
        <v>100</v>
      </c>
      <c r="C104" s="25">
        <v>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35"/>
      <c r="K104" s="28">
        <v>0</v>
      </c>
      <c r="L104" s="11"/>
      <c r="M104" s="11"/>
      <c r="N104" s="11"/>
      <c r="O104" s="11"/>
      <c r="P104" s="36">
        <v>0</v>
      </c>
    </row>
    <row r="105" spans="1:16" ht="22.2" x14ac:dyDescent="0.25">
      <c r="A105" s="11">
        <v>1112004</v>
      </c>
      <c r="B105" s="18" t="s">
        <v>101</v>
      </c>
      <c r="C105" s="25">
        <v>0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35"/>
      <c r="K105" s="28">
        <v>0</v>
      </c>
      <c r="L105" s="11"/>
      <c r="M105" s="11"/>
      <c r="N105" s="11"/>
      <c r="O105" s="11"/>
      <c r="P105" s="36">
        <v>0</v>
      </c>
    </row>
    <row r="106" spans="1:16" ht="22.2" x14ac:dyDescent="0.25">
      <c r="A106" s="11">
        <v>1112006</v>
      </c>
      <c r="B106" s="18" t="s">
        <v>102</v>
      </c>
      <c r="C106" s="25">
        <v>0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35"/>
      <c r="K106" s="28">
        <v>0</v>
      </c>
      <c r="L106" s="11"/>
      <c r="M106" s="11"/>
      <c r="N106" s="11"/>
      <c r="O106" s="11"/>
      <c r="P106" s="36">
        <v>0</v>
      </c>
    </row>
    <row r="107" spans="1:16" ht="22.2" x14ac:dyDescent="0.25">
      <c r="A107" s="11">
        <v>1112018</v>
      </c>
      <c r="B107" s="18" t="s">
        <v>103</v>
      </c>
      <c r="C107" s="25">
        <v>0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35"/>
      <c r="K107" s="28">
        <v>0</v>
      </c>
      <c r="L107" s="11"/>
      <c r="M107" s="11"/>
      <c r="N107" s="11"/>
      <c r="O107" s="11"/>
      <c r="P107" s="36">
        <v>0</v>
      </c>
    </row>
    <row r="108" spans="1:16" ht="22.2" x14ac:dyDescent="0.25">
      <c r="A108" s="11">
        <v>1112016</v>
      </c>
      <c r="B108" s="18" t="s">
        <v>104</v>
      </c>
      <c r="C108" s="25">
        <v>0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35"/>
      <c r="K108" s="28">
        <v>0</v>
      </c>
      <c r="L108" s="11"/>
      <c r="M108" s="11"/>
      <c r="N108" s="11"/>
      <c r="O108" s="11"/>
      <c r="P108" s="36">
        <v>0</v>
      </c>
    </row>
    <row r="109" spans="1:16" ht="22.2" x14ac:dyDescent="0.25">
      <c r="A109" s="11">
        <v>1112014</v>
      </c>
      <c r="B109" s="18" t="s">
        <v>105</v>
      </c>
      <c r="C109" s="25">
        <v>0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35"/>
      <c r="K109" s="28">
        <v>0</v>
      </c>
      <c r="L109" s="11"/>
      <c r="M109" s="11"/>
      <c r="N109" s="11"/>
      <c r="O109" s="11"/>
      <c r="P109" s="36">
        <v>0</v>
      </c>
    </row>
    <row r="110" spans="1:16" ht="22.2" x14ac:dyDescent="0.25">
      <c r="A110" s="11">
        <v>1112012</v>
      </c>
      <c r="B110" s="18" t="s">
        <v>106</v>
      </c>
      <c r="C110" s="25">
        <v>0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35"/>
      <c r="K110" s="28">
        <v>0</v>
      </c>
      <c r="L110" s="11"/>
      <c r="M110" s="11"/>
      <c r="N110" s="11"/>
      <c r="O110" s="11"/>
      <c r="P110" s="36">
        <v>0</v>
      </c>
    </row>
    <row r="111" spans="1:16" ht="22.2" x14ac:dyDescent="0.25">
      <c r="A111" s="11"/>
      <c r="B111" s="18" t="s">
        <v>107</v>
      </c>
      <c r="C111" s="25">
        <v>0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35"/>
      <c r="K111" s="28">
        <v>0</v>
      </c>
      <c r="L111" s="11"/>
      <c r="M111" s="11"/>
      <c r="N111" s="11"/>
      <c r="O111" s="11"/>
      <c r="P111" s="36">
        <v>0</v>
      </c>
    </row>
    <row r="112" spans="1:16" ht="22.2" x14ac:dyDescent="0.25">
      <c r="A112" s="17"/>
      <c r="B112" s="17" t="s">
        <v>4</v>
      </c>
      <c r="C112" s="17"/>
      <c r="D112" s="17"/>
      <c r="E112" s="17"/>
      <c r="F112" s="17"/>
      <c r="G112" s="17"/>
      <c r="H112" s="17"/>
      <c r="I112" s="19"/>
      <c r="J112" s="19"/>
      <c r="K112" s="28">
        <v>0</v>
      </c>
      <c r="L112" s="11"/>
      <c r="M112" s="11"/>
      <c r="N112" s="11"/>
      <c r="O112" s="11"/>
      <c r="P112" s="36">
        <v>0</v>
      </c>
    </row>
    <row r="113" spans="1:16" ht="20.399999999999999" x14ac:dyDescent="0.25">
      <c r="A113" s="58" t="s">
        <v>109</v>
      </c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60"/>
    </row>
    <row r="114" spans="1:16" ht="22.2" x14ac:dyDescent="0.25">
      <c r="A114" s="11">
        <v>1113170</v>
      </c>
      <c r="B114" s="20" t="s">
        <v>110</v>
      </c>
      <c r="C114" s="25">
        <v>3</v>
      </c>
      <c r="D114" s="25">
        <v>1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/>
      <c r="K114" s="28">
        <v>4</v>
      </c>
      <c r="L114" s="11"/>
      <c r="M114" s="11">
        <v>12</v>
      </c>
      <c r="N114" s="11"/>
      <c r="O114" s="11"/>
      <c r="P114" s="36">
        <v>8</v>
      </c>
    </row>
    <row r="115" spans="1:16" ht="22.2" x14ac:dyDescent="0.25">
      <c r="A115" s="11">
        <v>1113171</v>
      </c>
      <c r="B115" s="20" t="s">
        <v>111</v>
      </c>
      <c r="C115" s="25">
        <v>0</v>
      </c>
      <c r="D115" s="25">
        <v>0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/>
      <c r="K115" s="28">
        <v>0</v>
      </c>
      <c r="L115" s="11"/>
      <c r="M115" s="11">
        <v>5</v>
      </c>
      <c r="N115" s="11"/>
      <c r="O115" s="11"/>
      <c r="P115" s="36">
        <v>5</v>
      </c>
    </row>
    <row r="116" spans="1:16" ht="22.2" x14ac:dyDescent="0.25">
      <c r="A116" s="11">
        <v>1113172</v>
      </c>
      <c r="B116" s="20" t="s">
        <v>112</v>
      </c>
      <c r="C116" s="25">
        <v>0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/>
      <c r="K116" s="28">
        <v>0</v>
      </c>
      <c r="L116" s="11"/>
      <c r="M116" s="11"/>
      <c r="N116" s="11"/>
      <c r="O116" s="11"/>
      <c r="P116" s="36">
        <v>0</v>
      </c>
    </row>
    <row r="117" spans="1:16" ht="22.2" x14ac:dyDescent="0.25">
      <c r="A117" s="11">
        <v>1113173</v>
      </c>
      <c r="B117" s="20" t="s">
        <v>113</v>
      </c>
      <c r="C117" s="25">
        <v>0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/>
      <c r="K117" s="28">
        <v>0</v>
      </c>
      <c r="L117" s="11"/>
      <c r="M117" s="11"/>
      <c r="N117" s="11"/>
      <c r="O117" s="11"/>
      <c r="P117" s="36">
        <v>0</v>
      </c>
    </row>
    <row r="118" spans="1:16" ht="22.2" x14ac:dyDescent="0.25">
      <c r="A118" s="11">
        <v>1100003</v>
      </c>
      <c r="B118" s="20" t="s">
        <v>114</v>
      </c>
      <c r="C118" s="25">
        <v>0</v>
      </c>
      <c r="D118" s="25">
        <v>1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8">
        <v>1</v>
      </c>
      <c r="L118" s="11"/>
      <c r="M118" s="11">
        <v>40</v>
      </c>
      <c r="N118" s="11"/>
      <c r="O118" s="11"/>
      <c r="P118" s="36">
        <v>39</v>
      </c>
    </row>
    <row r="119" spans="1:16" ht="22.2" x14ac:dyDescent="0.25">
      <c r="A119" s="11">
        <v>1100001</v>
      </c>
      <c r="B119" s="20" t="s">
        <v>115</v>
      </c>
      <c r="C119" s="25">
        <v>0</v>
      </c>
      <c r="D119" s="25">
        <v>0</v>
      </c>
      <c r="E119" s="25">
        <v>0</v>
      </c>
      <c r="F119" s="25">
        <v>114</v>
      </c>
      <c r="G119" s="25">
        <v>0</v>
      </c>
      <c r="H119" s="25">
        <v>0</v>
      </c>
      <c r="I119" s="25">
        <v>0</v>
      </c>
      <c r="J119" s="25">
        <v>0</v>
      </c>
      <c r="K119" s="28">
        <v>114</v>
      </c>
      <c r="L119" s="11"/>
      <c r="M119" s="11">
        <v>316</v>
      </c>
      <c r="N119" s="11"/>
      <c r="O119" s="11"/>
      <c r="P119" s="36">
        <v>202</v>
      </c>
    </row>
    <row r="120" spans="1:16" ht="22.2" x14ac:dyDescent="0.25">
      <c r="A120" s="11">
        <v>1100002</v>
      </c>
      <c r="B120" s="20" t="s">
        <v>116</v>
      </c>
      <c r="C120" s="25">
        <v>0</v>
      </c>
      <c r="D120" s="25">
        <v>2</v>
      </c>
      <c r="E120" s="25">
        <v>0</v>
      </c>
      <c r="F120" s="25">
        <v>5</v>
      </c>
      <c r="G120" s="25">
        <v>0</v>
      </c>
      <c r="H120" s="25">
        <v>0</v>
      </c>
      <c r="I120" s="25">
        <v>0</v>
      </c>
      <c r="J120" s="25">
        <v>0</v>
      </c>
      <c r="K120" s="28">
        <v>7</v>
      </c>
      <c r="L120" s="11"/>
      <c r="M120" s="11">
        <v>114</v>
      </c>
      <c r="N120" s="11"/>
      <c r="O120" s="11"/>
      <c r="P120" s="36">
        <v>107</v>
      </c>
    </row>
    <row r="121" spans="1:16" ht="22.2" x14ac:dyDescent="0.25">
      <c r="A121" s="11">
        <v>1200001</v>
      </c>
      <c r="B121" s="20" t="s">
        <v>117</v>
      </c>
      <c r="C121" s="25">
        <v>0</v>
      </c>
      <c r="D121" s="25">
        <v>5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8">
        <v>5</v>
      </c>
      <c r="L121" s="11"/>
      <c r="M121" s="11">
        <v>100</v>
      </c>
      <c r="N121" s="11"/>
      <c r="O121" s="11"/>
      <c r="P121" s="36">
        <v>95</v>
      </c>
    </row>
    <row r="122" spans="1:16" ht="22.2" x14ac:dyDescent="0.25">
      <c r="A122" s="11">
        <v>1005761</v>
      </c>
      <c r="B122" s="20" t="s">
        <v>118</v>
      </c>
      <c r="C122" s="25">
        <v>0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8">
        <v>0</v>
      </c>
      <c r="L122" s="11"/>
      <c r="M122" s="11">
        <v>6</v>
      </c>
      <c r="N122" s="11"/>
      <c r="O122" s="11"/>
      <c r="P122" s="36">
        <v>6</v>
      </c>
    </row>
    <row r="123" spans="1:16" ht="22.2" x14ac:dyDescent="0.25">
      <c r="A123" s="11">
        <v>1114501</v>
      </c>
      <c r="B123" s="20" t="s">
        <v>119</v>
      </c>
      <c r="C123" s="25">
        <v>0</v>
      </c>
      <c r="D123" s="25">
        <v>0</v>
      </c>
      <c r="E123" s="25">
        <v>0</v>
      </c>
      <c r="F123" s="25">
        <v>32</v>
      </c>
      <c r="G123" s="25">
        <v>0</v>
      </c>
      <c r="H123" s="25">
        <v>0</v>
      </c>
      <c r="I123" s="25">
        <v>0</v>
      </c>
      <c r="J123" s="25">
        <v>0</v>
      </c>
      <c r="K123" s="28">
        <v>32</v>
      </c>
      <c r="L123" s="11"/>
      <c r="M123" s="11">
        <v>13</v>
      </c>
      <c r="N123" s="11">
        <v>50</v>
      </c>
      <c r="O123" s="11"/>
      <c r="P123" s="36">
        <v>31</v>
      </c>
    </row>
    <row r="124" spans="1:16" ht="22.2" x14ac:dyDescent="0.25">
      <c r="A124" s="11">
        <v>1114502</v>
      </c>
      <c r="B124" s="20" t="s">
        <v>120</v>
      </c>
      <c r="C124" s="25">
        <v>0</v>
      </c>
      <c r="D124" s="25">
        <v>0</v>
      </c>
      <c r="E124" s="25">
        <v>0</v>
      </c>
      <c r="F124" s="25">
        <v>31</v>
      </c>
      <c r="G124" s="25">
        <v>0</v>
      </c>
      <c r="H124" s="25">
        <v>0</v>
      </c>
      <c r="I124" s="25">
        <v>0</v>
      </c>
      <c r="J124" s="25">
        <v>0</v>
      </c>
      <c r="K124" s="28">
        <v>31</v>
      </c>
      <c r="L124" s="11"/>
      <c r="M124" s="11">
        <v>10</v>
      </c>
      <c r="N124" s="11">
        <v>50</v>
      </c>
      <c r="O124" s="11"/>
      <c r="P124" s="36">
        <v>29</v>
      </c>
    </row>
    <row r="125" spans="1:16" ht="22.2" x14ac:dyDescent="0.25">
      <c r="A125" s="11">
        <v>1114503</v>
      </c>
      <c r="B125" s="20" t="s">
        <v>121</v>
      </c>
      <c r="C125" s="25">
        <v>1</v>
      </c>
      <c r="D125" s="25">
        <v>0</v>
      </c>
      <c r="E125" s="25">
        <v>0</v>
      </c>
      <c r="F125" s="25">
        <v>29</v>
      </c>
      <c r="G125" s="25">
        <v>0</v>
      </c>
      <c r="H125" s="25">
        <v>0</v>
      </c>
      <c r="I125" s="25">
        <v>0</v>
      </c>
      <c r="J125" s="25">
        <v>0</v>
      </c>
      <c r="K125" s="28">
        <v>30</v>
      </c>
      <c r="L125" s="11"/>
      <c r="M125" s="11"/>
      <c r="N125" s="11">
        <v>50</v>
      </c>
      <c r="O125" s="11"/>
      <c r="P125" s="36">
        <v>20</v>
      </c>
    </row>
    <row r="126" spans="1:16" ht="22.2" x14ac:dyDescent="0.25">
      <c r="A126" s="11">
        <v>1124021</v>
      </c>
      <c r="B126" s="20" t="s">
        <v>122</v>
      </c>
      <c r="C126" s="25">
        <v>0</v>
      </c>
      <c r="D126" s="25">
        <v>6</v>
      </c>
      <c r="E126" s="25">
        <v>16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8">
        <v>22</v>
      </c>
      <c r="L126" s="11"/>
      <c r="M126" s="11"/>
      <c r="N126" s="11"/>
      <c r="O126" s="11"/>
      <c r="P126" s="36">
        <v>-22</v>
      </c>
    </row>
    <row r="127" spans="1:16" ht="22.2" x14ac:dyDescent="0.25">
      <c r="A127" s="11">
        <v>1113084</v>
      </c>
      <c r="B127" s="20" t="s">
        <v>123</v>
      </c>
      <c r="C127" s="25">
        <v>0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8">
        <v>0</v>
      </c>
      <c r="L127" s="11"/>
      <c r="M127" s="11"/>
      <c r="N127" s="11"/>
      <c r="O127" s="11"/>
      <c r="P127" s="36">
        <v>0</v>
      </c>
    </row>
    <row r="128" spans="1:16" ht="22.2" x14ac:dyDescent="0.25">
      <c r="A128" s="11">
        <v>900003</v>
      </c>
      <c r="B128" s="20" t="s">
        <v>124</v>
      </c>
      <c r="C128" s="25">
        <v>0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8">
        <v>0</v>
      </c>
      <c r="L128" s="11"/>
      <c r="M128" s="11"/>
      <c r="N128" s="11"/>
      <c r="O128" s="11"/>
      <c r="P128" s="36">
        <v>0</v>
      </c>
    </row>
    <row r="129" spans="1:16" ht="22.2" x14ac:dyDescent="0.25">
      <c r="A129" s="11">
        <v>900004</v>
      </c>
      <c r="B129" s="20" t="s">
        <v>125</v>
      </c>
      <c r="C129" s="25">
        <v>0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8">
        <v>0</v>
      </c>
      <c r="L129" s="11"/>
      <c r="M129" s="11"/>
      <c r="N129" s="11"/>
      <c r="O129" s="11"/>
      <c r="P129" s="36">
        <v>0</v>
      </c>
    </row>
    <row r="130" spans="1:16" ht="22.2" x14ac:dyDescent="0.25">
      <c r="A130" s="11">
        <v>1200002</v>
      </c>
      <c r="B130" s="20" t="s">
        <v>126</v>
      </c>
      <c r="C130" s="25">
        <v>0</v>
      </c>
      <c r="D130" s="25">
        <v>1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8">
        <v>1</v>
      </c>
      <c r="L130" s="11"/>
      <c r="M130" s="11"/>
      <c r="N130" s="11"/>
      <c r="O130" s="11"/>
      <c r="P130" s="36">
        <v>-1</v>
      </c>
    </row>
    <row r="131" spans="1:16" ht="22.2" x14ac:dyDescent="0.25">
      <c r="A131" s="11">
        <v>1200003</v>
      </c>
      <c r="B131" s="20" t="s">
        <v>127</v>
      </c>
      <c r="C131" s="25">
        <v>0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8">
        <v>0</v>
      </c>
      <c r="L131" s="11"/>
      <c r="M131" s="11"/>
      <c r="N131" s="11"/>
      <c r="O131" s="11"/>
      <c r="P131" s="36">
        <v>0</v>
      </c>
    </row>
    <row r="132" spans="1:16" ht="22.2" x14ac:dyDescent="0.25">
      <c r="A132" s="11">
        <v>1200004</v>
      </c>
      <c r="B132" s="20" t="s">
        <v>128</v>
      </c>
      <c r="C132" s="25">
        <v>0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8">
        <v>0</v>
      </c>
      <c r="L132" s="11"/>
      <c r="M132" s="11"/>
      <c r="N132" s="11"/>
      <c r="O132" s="11"/>
      <c r="P132" s="36">
        <v>0</v>
      </c>
    </row>
    <row r="133" spans="1:16" ht="22.2" x14ac:dyDescent="0.25">
      <c r="A133" s="11">
        <v>1200093</v>
      </c>
      <c r="B133" s="20" t="s">
        <v>129</v>
      </c>
      <c r="C133" s="25">
        <v>0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8">
        <v>0</v>
      </c>
      <c r="L133" s="11"/>
      <c r="M133" s="11"/>
      <c r="N133" s="11"/>
      <c r="O133" s="11"/>
      <c r="P133" s="36">
        <v>0</v>
      </c>
    </row>
    <row r="134" spans="1:16" ht="22.2" x14ac:dyDescent="0.25">
      <c r="A134" s="11">
        <v>1200092</v>
      </c>
      <c r="B134" s="18" t="s">
        <v>130</v>
      </c>
      <c r="C134" s="25">
        <v>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8">
        <v>0</v>
      </c>
      <c r="L134" s="11"/>
      <c r="M134" s="11"/>
      <c r="N134" s="11"/>
      <c r="O134" s="11"/>
      <c r="P134" s="36">
        <v>0</v>
      </c>
    </row>
    <row r="135" spans="1:16" ht="22.2" x14ac:dyDescent="0.25">
      <c r="A135" s="21"/>
      <c r="B135" s="20" t="s">
        <v>131</v>
      </c>
      <c r="C135" s="25">
        <v>0</v>
      </c>
      <c r="D135" s="25">
        <v>3</v>
      </c>
      <c r="E135" s="25">
        <v>3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8">
        <v>6</v>
      </c>
      <c r="L135" s="11"/>
      <c r="M135" s="11"/>
      <c r="N135" s="11"/>
      <c r="O135" s="11"/>
      <c r="P135" s="36">
        <v>-6</v>
      </c>
    </row>
    <row r="136" spans="1:16" ht="22.2" x14ac:dyDescent="0.25">
      <c r="A136" s="21"/>
      <c r="B136" s="20" t="s">
        <v>132</v>
      </c>
      <c r="C136" s="25">
        <v>0</v>
      </c>
      <c r="D136" s="25">
        <v>0</v>
      </c>
      <c r="E136" s="25">
        <v>4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8">
        <v>4</v>
      </c>
      <c r="L136" s="11"/>
      <c r="M136" s="11"/>
      <c r="N136" s="11"/>
      <c r="O136" s="11"/>
      <c r="P136" s="36">
        <v>-4</v>
      </c>
    </row>
    <row r="137" spans="1:16" ht="22.2" x14ac:dyDescent="0.25">
      <c r="A137" s="41"/>
      <c r="B137" s="40" t="s">
        <v>133</v>
      </c>
      <c r="C137" s="25">
        <v>0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8">
        <v>0</v>
      </c>
      <c r="L137" s="11"/>
      <c r="M137" s="11"/>
      <c r="N137" s="11"/>
      <c r="O137" s="11"/>
      <c r="P137" s="36">
        <v>0</v>
      </c>
    </row>
    <row r="138" spans="1:16" ht="22.2" x14ac:dyDescent="0.25">
      <c r="A138" s="41"/>
      <c r="B138" s="40" t="s">
        <v>134</v>
      </c>
      <c r="C138" s="25">
        <v>0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8">
        <v>0</v>
      </c>
      <c r="L138" s="11"/>
      <c r="M138" s="11"/>
      <c r="N138" s="11"/>
      <c r="O138" s="11"/>
      <c r="P138" s="36">
        <v>0</v>
      </c>
    </row>
    <row r="139" spans="1:16" ht="22.2" x14ac:dyDescent="0.25">
      <c r="A139" s="41"/>
      <c r="B139" s="40" t="s">
        <v>135</v>
      </c>
      <c r="C139" s="25">
        <v>0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8">
        <v>0</v>
      </c>
      <c r="L139" s="11"/>
      <c r="M139" s="11"/>
      <c r="N139" s="11"/>
      <c r="O139" s="11"/>
      <c r="P139" s="36">
        <v>0</v>
      </c>
    </row>
    <row r="140" spans="1:16" ht="22.2" x14ac:dyDescent="0.25">
      <c r="B140" s="27"/>
      <c r="C140" s="28">
        <v>50</v>
      </c>
      <c r="D140" s="28">
        <v>50</v>
      </c>
      <c r="E140" s="28">
        <v>95</v>
      </c>
      <c r="F140" s="28">
        <v>220</v>
      </c>
      <c r="G140" s="28">
        <v>0</v>
      </c>
      <c r="H140" s="28">
        <v>0</v>
      </c>
      <c r="I140" s="28">
        <v>0</v>
      </c>
      <c r="J140" s="28">
        <v>0</v>
      </c>
      <c r="K140" s="28">
        <v>415</v>
      </c>
      <c r="L140" s="25">
        <v>0</v>
      </c>
      <c r="M140" s="25">
        <v>804</v>
      </c>
      <c r="N140" s="25"/>
      <c r="O140" s="25"/>
      <c r="P140" s="36">
        <v>389</v>
      </c>
    </row>
    <row r="141" spans="1:16" ht="22.2" x14ac:dyDescent="0.25">
      <c r="A141" s="29"/>
      <c r="B141" s="27"/>
      <c r="C141" s="30"/>
      <c r="D141" s="30"/>
      <c r="E141" s="30"/>
      <c r="F141" s="30"/>
      <c r="G141" s="30"/>
      <c r="H141" s="30"/>
      <c r="I141" s="30"/>
      <c r="J141" s="30"/>
      <c r="K141" s="31"/>
    </row>
    <row r="142" spans="1:16" ht="22.2" x14ac:dyDescent="0.25">
      <c r="A142" s="29"/>
      <c r="B142" s="27"/>
      <c r="C142" s="30"/>
      <c r="D142" s="30"/>
      <c r="E142" s="30"/>
      <c r="F142" s="30"/>
      <c r="G142" s="30"/>
      <c r="H142" s="30"/>
      <c r="I142" s="30"/>
      <c r="J142" s="30"/>
      <c r="K142" s="31"/>
    </row>
    <row r="143" spans="1:16" ht="22.2" x14ac:dyDescent="0.25">
      <c r="B143" s="22"/>
      <c r="C143" s="26"/>
      <c r="D143" s="61"/>
      <c r="E143" s="61"/>
      <c r="F143" s="23"/>
      <c r="K143" s="32"/>
    </row>
  </sheetData>
  <mergeCells count="15">
    <mergeCell ref="A1:K1"/>
    <mergeCell ref="A2:B3"/>
    <mergeCell ref="D2:E3"/>
    <mergeCell ref="L2:L4"/>
    <mergeCell ref="P2:P4"/>
    <mergeCell ref="A101:P101"/>
    <mergeCell ref="A113:P113"/>
    <mergeCell ref="D143:E143"/>
    <mergeCell ref="A89:P89"/>
    <mergeCell ref="M2:M4"/>
    <mergeCell ref="N2:N4"/>
    <mergeCell ref="O2:O4"/>
    <mergeCell ref="A6:P6"/>
    <mergeCell ref="A68:P68"/>
    <mergeCell ref="A78:P7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BD4F-56B0-477D-9761-AEB69CDA12E4}">
  <dimension ref="B1:Q143"/>
  <sheetViews>
    <sheetView workbookViewId="0">
      <selection activeCell="T15" sqref="T15"/>
    </sheetView>
  </sheetViews>
  <sheetFormatPr defaultRowHeight="13.8" x14ac:dyDescent="0.25"/>
  <sheetData>
    <row r="1" spans="2:17" ht="22.2" x14ac:dyDescent="0.25">
      <c r="B1" s="50" t="s">
        <v>141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0</v>
      </c>
      <c r="E7" s="25">
        <v>3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8">
        <v>3</v>
      </c>
      <c r="M7" s="11"/>
      <c r="N7" s="11"/>
      <c r="O7" s="11"/>
      <c r="P7" s="11"/>
      <c r="Q7" s="36">
        <v>-3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1</v>
      </c>
      <c r="E25" s="25">
        <v>3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8">
        <v>4</v>
      </c>
      <c r="M25" s="11"/>
      <c r="N25" s="11"/>
      <c r="O25" s="11"/>
      <c r="P25" s="11"/>
      <c r="Q25" s="36">
        <v>-4</v>
      </c>
    </row>
    <row r="26" spans="2:17" ht="22.2" x14ac:dyDescent="0.25">
      <c r="B26" s="11">
        <v>1004055</v>
      </c>
      <c r="C26" s="15" t="s">
        <v>37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8">
        <v>0</v>
      </c>
      <c r="M26" s="11"/>
      <c r="N26" s="11"/>
      <c r="O26" s="11"/>
      <c r="P26" s="11"/>
      <c r="Q26" s="36">
        <v>0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8">
        <v>0</v>
      </c>
      <c r="M40" s="11"/>
      <c r="N40" s="11"/>
      <c r="O40" s="11"/>
      <c r="P40" s="11"/>
      <c r="Q40" s="36">
        <v>0</v>
      </c>
    </row>
    <row r="41" spans="2:17" ht="22.2" x14ac:dyDescent="0.25">
      <c r="B41" s="11">
        <v>1111058</v>
      </c>
      <c r="C41" s="15" t="s">
        <v>52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8">
        <v>0</v>
      </c>
      <c r="M41" s="11"/>
      <c r="N41" s="11"/>
      <c r="O41" s="11"/>
      <c r="P41" s="11"/>
      <c r="Q41" s="36">
        <v>0</v>
      </c>
    </row>
    <row r="42" spans="2:17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8">
        <v>0</v>
      </c>
      <c r="M42" s="11"/>
      <c r="N42" s="11"/>
      <c r="O42" s="11"/>
      <c r="P42" s="11"/>
      <c r="Q42" s="36">
        <v>0</v>
      </c>
    </row>
    <row r="43" spans="2:17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/>
      <c r="N43" s="11"/>
      <c r="O43" s="11"/>
      <c r="P43" s="11"/>
      <c r="Q43" s="36">
        <v>0</v>
      </c>
    </row>
    <row r="44" spans="2:17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8">
        <v>0</v>
      </c>
      <c r="M44" s="11"/>
      <c r="N44" s="11"/>
      <c r="O44" s="11"/>
      <c r="P44" s="11"/>
      <c r="Q44" s="36">
        <v>0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11"/>
      <c r="P45" s="11"/>
      <c r="Q45" s="36">
        <v>0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8">
        <v>0</v>
      </c>
      <c r="M46" s="11"/>
      <c r="N46" s="11"/>
      <c r="O46" s="11"/>
      <c r="P46" s="11"/>
      <c r="Q46" s="36">
        <v>0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8">
        <v>0</v>
      </c>
      <c r="M47" s="11"/>
      <c r="N47" s="11"/>
      <c r="O47" s="11"/>
      <c r="P47" s="11"/>
      <c r="Q47" s="36">
        <v>0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/>
      <c r="N48" s="11"/>
      <c r="O48" s="11"/>
      <c r="P48" s="11"/>
      <c r="Q48" s="36">
        <v>0</v>
      </c>
    </row>
    <row r="49" spans="2:17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8">
        <v>0</v>
      </c>
      <c r="M49" s="11"/>
      <c r="N49" s="11"/>
      <c r="O49" s="11"/>
      <c r="P49" s="11"/>
      <c r="Q49" s="36">
        <v>0</v>
      </c>
    </row>
    <row r="50" spans="2:17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8">
        <v>0</v>
      </c>
      <c r="M50" s="11"/>
      <c r="N50" s="11"/>
      <c r="O50" s="11"/>
      <c r="P50" s="11"/>
      <c r="Q50" s="36">
        <v>0</v>
      </c>
    </row>
    <row r="51" spans="2:17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8">
        <v>0</v>
      </c>
      <c r="M51" s="11"/>
      <c r="N51" s="11"/>
      <c r="O51" s="11"/>
      <c r="P51" s="11"/>
      <c r="Q51" s="36">
        <v>0</v>
      </c>
    </row>
    <row r="52" spans="2:17" ht="22.2" x14ac:dyDescent="0.25">
      <c r="B52" s="11">
        <v>1111069</v>
      </c>
      <c r="C52" s="15" t="s">
        <v>63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8">
        <v>0</v>
      </c>
      <c r="M52" s="11"/>
      <c r="N52" s="11"/>
      <c r="O52" s="11"/>
      <c r="P52" s="11"/>
      <c r="Q52" s="36">
        <v>0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1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8">
        <v>1</v>
      </c>
      <c r="M56" s="11"/>
      <c r="N56" s="11"/>
      <c r="O56" s="11"/>
      <c r="P56" s="11"/>
      <c r="Q56" s="36">
        <v>-1</v>
      </c>
    </row>
    <row r="57" spans="2:17" ht="22.2" x14ac:dyDescent="0.25">
      <c r="B57" s="11">
        <v>1111075</v>
      </c>
      <c r="C57" s="15" t="s">
        <v>68</v>
      </c>
      <c r="D57" s="25">
        <v>1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8">
        <v>1</v>
      </c>
      <c r="M57" s="11"/>
      <c r="N57" s="11"/>
      <c r="O57" s="11"/>
      <c r="P57" s="11"/>
      <c r="Q57" s="36">
        <v>-1</v>
      </c>
    </row>
    <row r="58" spans="2:17" ht="22.2" x14ac:dyDescent="0.25">
      <c r="B58" s="11">
        <v>1111076</v>
      </c>
      <c r="C58" s="15" t="s">
        <v>69</v>
      </c>
      <c r="D58" s="25">
        <v>1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8">
        <v>1</v>
      </c>
      <c r="M58" s="11"/>
      <c r="N58" s="11"/>
      <c r="O58" s="11"/>
      <c r="P58" s="11"/>
      <c r="Q58" s="36">
        <v>-1</v>
      </c>
    </row>
    <row r="59" spans="2:17" ht="22.2" x14ac:dyDescent="0.25">
      <c r="B59" s="11">
        <v>1111077</v>
      </c>
      <c r="C59" s="15" t="s">
        <v>70</v>
      </c>
      <c r="D59" s="25">
        <v>1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8">
        <v>1</v>
      </c>
      <c r="M59" s="11"/>
      <c r="N59" s="11"/>
      <c r="O59" s="11"/>
      <c r="P59" s="11"/>
      <c r="Q59" s="36">
        <v>-1</v>
      </c>
    </row>
    <row r="60" spans="2:17" ht="22.2" x14ac:dyDescent="0.25">
      <c r="B60" s="11">
        <v>1111078</v>
      </c>
      <c r="C60" s="15" t="s">
        <v>71</v>
      </c>
      <c r="D60" s="25">
        <v>1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8">
        <v>1</v>
      </c>
      <c r="M60" s="11"/>
      <c r="N60" s="11"/>
      <c r="O60" s="11"/>
      <c r="P60" s="11"/>
      <c r="Q60" s="36">
        <v>-1</v>
      </c>
    </row>
    <row r="61" spans="2:17" ht="22.2" x14ac:dyDescent="0.25">
      <c r="B61" s="11">
        <v>1111079</v>
      </c>
      <c r="C61" s="15" t="s">
        <v>72</v>
      </c>
      <c r="D61" s="25">
        <v>1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8">
        <v>1</v>
      </c>
      <c r="M61" s="11"/>
      <c r="N61" s="11"/>
      <c r="O61" s="11"/>
      <c r="P61" s="11"/>
      <c r="Q61" s="36">
        <v>-1</v>
      </c>
    </row>
    <row r="62" spans="2:17" ht="22.2" x14ac:dyDescent="0.25">
      <c r="B62" s="11">
        <v>1111080</v>
      </c>
      <c r="C62" s="15" t="s">
        <v>73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8">
        <v>0</v>
      </c>
      <c r="M62" s="11"/>
      <c r="N62" s="11"/>
      <c r="O62" s="11"/>
      <c r="P62" s="11"/>
      <c r="Q62" s="36">
        <v>0</v>
      </c>
    </row>
    <row r="63" spans="2:17" ht="22.2" x14ac:dyDescent="0.25">
      <c r="B63" s="11">
        <v>1111081</v>
      </c>
      <c r="C63" s="15" t="s">
        <v>74</v>
      </c>
      <c r="D63" s="25">
        <v>0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8">
        <v>0</v>
      </c>
      <c r="M63" s="11"/>
      <c r="N63" s="11"/>
      <c r="O63" s="11"/>
      <c r="P63" s="11"/>
      <c r="Q63" s="36">
        <v>0</v>
      </c>
    </row>
    <row r="64" spans="2:17" ht="22.2" x14ac:dyDescent="0.25">
      <c r="B64" s="11">
        <v>1111082</v>
      </c>
      <c r="C64" s="15" t="s">
        <v>75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8">
        <v>0</v>
      </c>
      <c r="M64" s="11"/>
      <c r="N64" s="11"/>
      <c r="O64" s="11"/>
      <c r="P64" s="11"/>
      <c r="Q64" s="36">
        <v>0</v>
      </c>
    </row>
    <row r="65" spans="2:17" ht="22.2" x14ac:dyDescent="0.25">
      <c r="B65" s="11">
        <v>1111083</v>
      </c>
      <c r="C65" s="15" t="s">
        <v>76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8">
        <v>0</v>
      </c>
      <c r="M65" s="11"/>
      <c r="N65" s="11"/>
      <c r="O65" s="11"/>
      <c r="P65" s="11"/>
      <c r="Q65" s="36">
        <v>0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8">
        <v>0</v>
      </c>
      <c r="M69" s="11"/>
      <c r="N69" s="11"/>
      <c r="O69" s="11"/>
      <c r="P69" s="11"/>
      <c r="Q69" s="36">
        <v>0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21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8">
        <v>21</v>
      </c>
      <c r="M87" s="11"/>
      <c r="N87" s="11"/>
      <c r="O87" s="11"/>
      <c r="P87" s="11"/>
      <c r="Q87" s="36">
        <v>-21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0</v>
      </c>
      <c r="E90" s="25">
        <v>0</v>
      </c>
      <c r="F90" s="25">
        <v>0</v>
      </c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8">
        <v>0</v>
      </c>
      <c r="M90" s="11"/>
      <c r="N90" s="11"/>
      <c r="O90" s="11"/>
      <c r="P90" s="11"/>
      <c r="Q90" s="36">
        <v>0</v>
      </c>
    </row>
    <row r="91" spans="2:17" ht="22.2" x14ac:dyDescent="0.25">
      <c r="B91" s="11">
        <v>1112011</v>
      </c>
      <c r="C91" s="18" t="s">
        <v>99</v>
      </c>
      <c r="D91" s="25">
        <v>0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8">
        <v>0</v>
      </c>
      <c r="M91" s="11"/>
      <c r="N91" s="11"/>
      <c r="O91" s="11"/>
      <c r="P91" s="11"/>
      <c r="Q91" s="36">
        <v>0</v>
      </c>
    </row>
    <row r="92" spans="2:17" ht="22.2" x14ac:dyDescent="0.25">
      <c r="B92" s="11">
        <v>1112003</v>
      </c>
      <c r="C92" s="18" t="s">
        <v>100</v>
      </c>
      <c r="D92" s="25">
        <v>0</v>
      </c>
      <c r="E92" s="25">
        <v>4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8">
        <v>4</v>
      </c>
      <c r="M92" s="11"/>
      <c r="N92" s="11"/>
      <c r="O92" s="11"/>
      <c r="P92" s="11"/>
      <c r="Q92" s="36">
        <v>-4</v>
      </c>
    </row>
    <row r="93" spans="2:17" ht="22.2" x14ac:dyDescent="0.25">
      <c r="B93" s="11">
        <v>1112005</v>
      </c>
      <c r="C93" s="18" t="s">
        <v>101</v>
      </c>
      <c r="D93" s="25">
        <v>0</v>
      </c>
      <c r="E93" s="25">
        <v>4</v>
      </c>
      <c r="F93" s="25">
        <v>0</v>
      </c>
      <c r="G93" s="25">
        <v>0</v>
      </c>
      <c r="H93" s="25">
        <v>0</v>
      </c>
      <c r="I93" s="25">
        <v>0</v>
      </c>
      <c r="J93" s="25">
        <v>0</v>
      </c>
      <c r="K93" s="25">
        <v>0</v>
      </c>
      <c r="L93" s="28">
        <v>4</v>
      </c>
      <c r="M93" s="11"/>
      <c r="N93" s="11"/>
      <c r="O93" s="11"/>
      <c r="P93" s="11"/>
      <c r="Q93" s="36">
        <v>-4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0</v>
      </c>
      <c r="E97" s="25">
        <v>4</v>
      </c>
      <c r="F97" s="25">
        <v>0</v>
      </c>
      <c r="G97" s="25">
        <v>0</v>
      </c>
      <c r="H97" s="25">
        <v>0</v>
      </c>
      <c r="I97" s="25">
        <v>0</v>
      </c>
      <c r="J97" s="25">
        <v>0</v>
      </c>
      <c r="K97" s="25">
        <v>0</v>
      </c>
      <c r="L97" s="28">
        <v>4</v>
      </c>
      <c r="M97" s="11"/>
      <c r="N97" s="11"/>
      <c r="O97" s="11"/>
      <c r="P97" s="11"/>
      <c r="Q97" s="36">
        <v>-4</v>
      </c>
    </row>
    <row r="98" spans="2:17" ht="22.2" x14ac:dyDescent="0.25">
      <c r="B98" s="11">
        <v>1112013</v>
      </c>
      <c r="C98" s="18" t="s">
        <v>106</v>
      </c>
      <c r="D98" s="25">
        <v>0</v>
      </c>
      <c r="E98" s="25">
        <v>0</v>
      </c>
      <c r="F98" s="25">
        <v>0</v>
      </c>
      <c r="G98" s="25">
        <v>0</v>
      </c>
      <c r="H98" s="25">
        <v>0</v>
      </c>
      <c r="I98" s="25">
        <v>0</v>
      </c>
      <c r="J98" s="25">
        <v>0</v>
      </c>
      <c r="K98" s="25">
        <v>0</v>
      </c>
      <c r="L98" s="28">
        <v>0</v>
      </c>
      <c r="M98" s="11"/>
      <c r="N98" s="11"/>
      <c r="O98" s="11"/>
      <c r="P98" s="11"/>
      <c r="Q98" s="36">
        <v>0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12</v>
      </c>
      <c r="M100" s="11"/>
      <c r="N100" s="11"/>
      <c r="O100" s="11"/>
      <c r="P100" s="11"/>
      <c r="Q100" s="36">
        <v>-12</v>
      </c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0</v>
      </c>
      <c r="E114" s="25">
        <v>1</v>
      </c>
      <c r="F114" s="25">
        <v>0</v>
      </c>
      <c r="G114" s="25">
        <v>1</v>
      </c>
      <c r="H114" s="25">
        <v>0</v>
      </c>
      <c r="I114" s="25">
        <v>0</v>
      </c>
      <c r="J114" s="25">
        <v>0</v>
      </c>
      <c r="K114" s="25">
        <v>0</v>
      </c>
      <c r="L114" s="28">
        <v>2</v>
      </c>
      <c r="M114" s="11"/>
      <c r="N114" s="11"/>
      <c r="O114" s="11"/>
      <c r="P114" s="11"/>
      <c r="Q114" s="36">
        <v>-2</v>
      </c>
    </row>
    <row r="115" spans="2:17" ht="22.2" x14ac:dyDescent="0.25">
      <c r="B115" s="11">
        <v>1113171</v>
      </c>
      <c r="C115" s="20" t="s">
        <v>111</v>
      </c>
      <c r="D115" s="25">
        <v>0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0</v>
      </c>
      <c r="M115" s="11"/>
      <c r="N115" s="11"/>
      <c r="O115" s="11"/>
      <c r="P115" s="11"/>
      <c r="Q115" s="36">
        <v>0</v>
      </c>
    </row>
    <row r="116" spans="2:17" ht="22.2" x14ac:dyDescent="0.25">
      <c r="B116" s="11">
        <v>1113172</v>
      </c>
      <c r="C116" s="20" t="s">
        <v>112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8">
        <v>0</v>
      </c>
      <c r="M116" s="11"/>
      <c r="N116" s="11"/>
      <c r="O116" s="11"/>
      <c r="P116" s="11"/>
      <c r="Q116" s="36">
        <v>0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/>
      <c r="O118" s="11"/>
      <c r="P118" s="11"/>
      <c r="Q118" s="36">
        <v>0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0</v>
      </c>
      <c r="G119" s="25">
        <v>10</v>
      </c>
      <c r="H119" s="25">
        <v>0</v>
      </c>
      <c r="I119" s="25">
        <v>0</v>
      </c>
      <c r="J119" s="25">
        <v>0</v>
      </c>
      <c r="K119" s="25">
        <v>0</v>
      </c>
      <c r="L119" s="28">
        <v>10</v>
      </c>
      <c r="M119" s="11"/>
      <c r="N119" s="11"/>
      <c r="O119" s="11"/>
      <c r="P119" s="11"/>
      <c r="Q119" s="36">
        <v>-10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0</v>
      </c>
      <c r="M120" s="11"/>
      <c r="N120" s="11"/>
      <c r="O120" s="11"/>
      <c r="P120" s="11"/>
      <c r="Q120" s="36">
        <v>0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/>
      <c r="O121" s="11"/>
      <c r="P121" s="11"/>
      <c r="Q121" s="36">
        <v>0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11"/>
      <c r="P122" s="11"/>
      <c r="Q122" s="36">
        <v>0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0</v>
      </c>
      <c r="F123" s="25">
        <v>0</v>
      </c>
      <c r="G123" s="25">
        <v>4</v>
      </c>
      <c r="H123" s="25">
        <v>0</v>
      </c>
      <c r="I123" s="25">
        <v>0</v>
      </c>
      <c r="J123" s="25">
        <v>0</v>
      </c>
      <c r="K123" s="25">
        <v>0</v>
      </c>
      <c r="L123" s="28">
        <v>4</v>
      </c>
      <c r="M123" s="11"/>
      <c r="N123" s="11"/>
      <c r="O123" s="11"/>
      <c r="P123" s="11"/>
      <c r="Q123" s="36">
        <v>-4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0</v>
      </c>
      <c r="F124" s="25">
        <v>0</v>
      </c>
      <c r="G124" s="25">
        <v>4</v>
      </c>
      <c r="H124" s="25">
        <v>0</v>
      </c>
      <c r="I124" s="25">
        <v>0</v>
      </c>
      <c r="J124" s="25">
        <v>0</v>
      </c>
      <c r="K124" s="25">
        <v>0</v>
      </c>
      <c r="L124" s="28">
        <v>4</v>
      </c>
      <c r="M124" s="11"/>
      <c r="N124" s="11"/>
      <c r="O124" s="11"/>
      <c r="P124" s="11"/>
      <c r="Q124" s="36">
        <v>-4</v>
      </c>
    </row>
    <row r="125" spans="2:17" ht="22.2" x14ac:dyDescent="0.25">
      <c r="B125" s="11">
        <v>1114503</v>
      </c>
      <c r="C125" s="20" t="s">
        <v>121</v>
      </c>
      <c r="D125" s="25">
        <v>1</v>
      </c>
      <c r="E125" s="25">
        <v>0</v>
      </c>
      <c r="F125" s="25">
        <v>0</v>
      </c>
      <c r="G125" s="25">
        <v>4</v>
      </c>
      <c r="H125" s="25">
        <v>0</v>
      </c>
      <c r="I125" s="25">
        <v>0</v>
      </c>
      <c r="J125" s="25">
        <v>0</v>
      </c>
      <c r="K125" s="25">
        <v>0</v>
      </c>
      <c r="L125" s="28">
        <v>5</v>
      </c>
      <c r="M125" s="11"/>
      <c r="N125" s="11"/>
      <c r="O125" s="11"/>
      <c r="P125" s="11"/>
      <c r="Q125" s="36">
        <v>-5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8">
        <v>0</v>
      </c>
      <c r="M126" s="11"/>
      <c r="N126" s="11"/>
      <c r="O126" s="11"/>
      <c r="P126" s="11"/>
      <c r="Q126" s="36">
        <v>0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/>
      <c r="O130" s="11"/>
      <c r="P130" s="11"/>
      <c r="Q130" s="36">
        <v>0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3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3</v>
      </c>
      <c r="M135" s="11"/>
      <c r="N135" s="11"/>
      <c r="O135" s="11"/>
      <c r="P135" s="11"/>
      <c r="Q135" s="36">
        <v>-3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29</v>
      </c>
      <c r="E140" s="28">
        <v>22</v>
      </c>
      <c r="F140" s="28">
        <v>0</v>
      </c>
      <c r="G140" s="28">
        <v>23</v>
      </c>
      <c r="H140" s="28">
        <v>0</v>
      </c>
      <c r="I140" s="28">
        <v>0</v>
      </c>
      <c r="J140" s="28">
        <v>0</v>
      </c>
      <c r="K140" s="28">
        <v>0</v>
      </c>
      <c r="L140" s="28">
        <v>74</v>
      </c>
      <c r="M140" s="25">
        <v>0</v>
      </c>
      <c r="N140" s="25">
        <v>0</v>
      </c>
      <c r="O140" s="25"/>
      <c r="P140" s="25"/>
      <c r="Q140" s="36">
        <v>-74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:L1"/>
    <mergeCell ref="B2:C3"/>
    <mergeCell ref="E2:F3"/>
    <mergeCell ref="M2:M4"/>
    <mergeCell ref="Q2:Q4"/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BB2F-AA53-4FFE-960E-F265618079C6}">
  <dimension ref="B1:Q143"/>
  <sheetViews>
    <sheetView workbookViewId="0">
      <selection activeCell="S16" sqref="S16"/>
    </sheetView>
  </sheetViews>
  <sheetFormatPr defaultRowHeight="13.8" x14ac:dyDescent="0.25"/>
  <sheetData>
    <row r="1" spans="2:17" ht="22.2" x14ac:dyDescent="0.25">
      <c r="B1" s="50" t="s">
        <v>141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8">
        <v>0</v>
      </c>
      <c r="M7" s="11"/>
      <c r="N7" s="11"/>
      <c r="O7" s="11"/>
      <c r="P7" s="11"/>
      <c r="Q7" s="36">
        <v>0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8">
        <v>0</v>
      </c>
      <c r="M25" s="11"/>
      <c r="N25" s="11"/>
      <c r="O25" s="11"/>
      <c r="P25" s="11"/>
      <c r="Q25" s="36">
        <v>0</v>
      </c>
    </row>
    <row r="26" spans="2:17" ht="22.2" x14ac:dyDescent="0.25">
      <c r="B26" s="11">
        <v>1004055</v>
      </c>
      <c r="C26" s="15" t="s">
        <v>37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8">
        <v>0</v>
      </c>
      <c r="M26" s="11"/>
      <c r="N26" s="11"/>
      <c r="O26" s="11"/>
      <c r="P26" s="11"/>
      <c r="Q26" s="36">
        <v>0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8">
        <v>0</v>
      </c>
      <c r="M40" s="11"/>
      <c r="N40" s="11"/>
      <c r="O40" s="11"/>
      <c r="P40" s="11"/>
      <c r="Q40" s="36">
        <v>0</v>
      </c>
    </row>
    <row r="41" spans="2:17" ht="22.2" x14ac:dyDescent="0.25">
      <c r="B41" s="11">
        <v>1111058</v>
      </c>
      <c r="C41" s="15" t="s">
        <v>52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8">
        <v>0</v>
      </c>
      <c r="M41" s="11"/>
      <c r="N41" s="11"/>
      <c r="O41" s="11"/>
      <c r="P41" s="11"/>
      <c r="Q41" s="36">
        <v>0</v>
      </c>
    </row>
    <row r="42" spans="2:17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8">
        <v>0</v>
      </c>
      <c r="M42" s="11"/>
      <c r="N42" s="11"/>
      <c r="O42" s="11"/>
      <c r="P42" s="11"/>
      <c r="Q42" s="36">
        <v>0</v>
      </c>
    </row>
    <row r="43" spans="2:17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/>
      <c r="N43" s="11"/>
      <c r="O43" s="11"/>
      <c r="P43" s="11"/>
      <c r="Q43" s="36">
        <v>0</v>
      </c>
    </row>
    <row r="44" spans="2:17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8">
        <v>0</v>
      </c>
      <c r="M44" s="11"/>
      <c r="N44" s="11"/>
      <c r="O44" s="11"/>
      <c r="P44" s="11"/>
      <c r="Q44" s="36">
        <v>0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11"/>
      <c r="P45" s="11"/>
      <c r="Q45" s="36">
        <v>0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8">
        <v>0</v>
      </c>
      <c r="M46" s="11"/>
      <c r="N46" s="11"/>
      <c r="O46" s="11"/>
      <c r="P46" s="11"/>
      <c r="Q46" s="36">
        <v>0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8">
        <v>0</v>
      </c>
      <c r="M47" s="11"/>
      <c r="N47" s="11"/>
      <c r="O47" s="11"/>
      <c r="P47" s="11"/>
      <c r="Q47" s="36">
        <v>0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/>
      <c r="N48" s="11"/>
      <c r="O48" s="11"/>
      <c r="P48" s="11"/>
      <c r="Q48" s="36">
        <v>0</v>
      </c>
    </row>
    <row r="49" spans="2:17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8">
        <v>0</v>
      </c>
      <c r="M49" s="11"/>
      <c r="N49" s="11"/>
      <c r="O49" s="11"/>
      <c r="P49" s="11"/>
      <c r="Q49" s="36">
        <v>0</v>
      </c>
    </row>
    <row r="50" spans="2:17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8">
        <v>0</v>
      </c>
      <c r="M50" s="11"/>
      <c r="N50" s="11"/>
      <c r="O50" s="11"/>
      <c r="P50" s="11"/>
      <c r="Q50" s="36">
        <v>0</v>
      </c>
    </row>
    <row r="51" spans="2:17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8">
        <v>0</v>
      </c>
      <c r="M51" s="11"/>
      <c r="N51" s="11"/>
      <c r="O51" s="11"/>
      <c r="P51" s="11"/>
      <c r="Q51" s="36">
        <v>0</v>
      </c>
    </row>
    <row r="52" spans="2:17" ht="22.2" x14ac:dyDescent="0.25">
      <c r="B52" s="11">
        <v>1111069</v>
      </c>
      <c r="C52" s="15" t="s">
        <v>63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8">
        <v>0</v>
      </c>
      <c r="M52" s="11"/>
      <c r="N52" s="11"/>
      <c r="O52" s="11"/>
      <c r="P52" s="11"/>
      <c r="Q52" s="36">
        <v>0</v>
      </c>
    </row>
    <row r="53" spans="2:17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17" ht="22.2" x14ac:dyDescent="0.2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</row>
    <row r="55" spans="2:17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17" ht="22.2" x14ac:dyDescent="0.25">
      <c r="B56" s="11">
        <v>1111074</v>
      </c>
      <c r="C56" s="15" t="s">
        <v>67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8">
        <v>0</v>
      </c>
      <c r="M56" s="11"/>
      <c r="N56" s="11"/>
      <c r="O56" s="11"/>
      <c r="P56" s="11"/>
      <c r="Q56" s="36">
        <v>0</v>
      </c>
    </row>
    <row r="57" spans="2:17" ht="22.2" x14ac:dyDescent="0.25">
      <c r="B57" s="11">
        <v>1111075</v>
      </c>
      <c r="C57" s="15" t="s">
        <v>68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8">
        <v>0</v>
      </c>
      <c r="M57" s="11"/>
      <c r="N57" s="11">
        <v>1</v>
      </c>
      <c r="O57" s="11"/>
      <c r="P57" s="11"/>
      <c r="Q57" s="36">
        <v>1</v>
      </c>
    </row>
    <row r="58" spans="2:17" ht="22.2" x14ac:dyDescent="0.25">
      <c r="B58" s="11">
        <v>1111076</v>
      </c>
      <c r="C58" s="15" t="s">
        <v>69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8">
        <v>0</v>
      </c>
      <c r="M58" s="11"/>
      <c r="N58" s="11"/>
      <c r="O58" s="11"/>
      <c r="P58" s="11"/>
      <c r="Q58" s="36">
        <v>0</v>
      </c>
    </row>
    <row r="59" spans="2:17" ht="22.2" x14ac:dyDescent="0.25">
      <c r="B59" s="11">
        <v>1111077</v>
      </c>
      <c r="C59" s="15" t="s">
        <v>70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8">
        <v>0</v>
      </c>
      <c r="M59" s="11"/>
      <c r="N59" s="11">
        <v>1</v>
      </c>
      <c r="O59" s="11"/>
      <c r="P59" s="11"/>
      <c r="Q59" s="36">
        <v>1</v>
      </c>
    </row>
    <row r="60" spans="2:17" ht="22.2" x14ac:dyDescent="0.25">
      <c r="B60" s="11">
        <v>1111078</v>
      </c>
      <c r="C60" s="15" t="s">
        <v>71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8">
        <v>0</v>
      </c>
      <c r="M60" s="11"/>
      <c r="N60" s="11"/>
      <c r="O60" s="11"/>
      <c r="P60" s="11"/>
      <c r="Q60" s="36">
        <v>0</v>
      </c>
    </row>
    <row r="61" spans="2:17" ht="22.2" x14ac:dyDescent="0.25">
      <c r="B61" s="11">
        <v>1111079</v>
      </c>
      <c r="C61" s="15" t="s">
        <v>72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8">
        <v>0</v>
      </c>
      <c r="M61" s="11"/>
      <c r="N61" s="11"/>
      <c r="O61" s="11"/>
      <c r="P61" s="11"/>
      <c r="Q61" s="36">
        <v>0</v>
      </c>
    </row>
    <row r="62" spans="2:17" ht="22.2" x14ac:dyDescent="0.25">
      <c r="B62" s="11">
        <v>1111080</v>
      </c>
      <c r="C62" s="15" t="s">
        <v>73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8">
        <v>0</v>
      </c>
      <c r="M62" s="11"/>
      <c r="N62" s="11"/>
      <c r="O62" s="11"/>
      <c r="P62" s="11"/>
      <c r="Q62" s="36">
        <v>0</v>
      </c>
    </row>
    <row r="63" spans="2:17" ht="22.2" x14ac:dyDescent="0.25">
      <c r="B63" s="11">
        <v>1111081</v>
      </c>
      <c r="C63" s="15" t="s">
        <v>74</v>
      </c>
      <c r="D63" s="25">
        <v>0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8">
        <v>0</v>
      </c>
      <c r="M63" s="11"/>
      <c r="N63" s="11"/>
      <c r="O63" s="11"/>
      <c r="P63" s="11"/>
      <c r="Q63" s="36">
        <v>0</v>
      </c>
    </row>
    <row r="64" spans="2:17" ht="22.2" x14ac:dyDescent="0.25">
      <c r="B64" s="11">
        <v>1111082</v>
      </c>
      <c r="C64" s="15" t="s">
        <v>75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8">
        <v>0</v>
      </c>
      <c r="M64" s="11"/>
      <c r="N64" s="11"/>
      <c r="O64" s="11"/>
      <c r="P64" s="11"/>
      <c r="Q64" s="36">
        <v>0</v>
      </c>
    </row>
    <row r="65" spans="2:17" ht="22.2" x14ac:dyDescent="0.25">
      <c r="B65" s="11">
        <v>1111083</v>
      </c>
      <c r="C65" s="15" t="s">
        <v>76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8">
        <v>0</v>
      </c>
      <c r="M65" s="11"/>
      <c r="N65" s="11"/>
      <c r="O65" s="11"/>
      <c r="P65" s="11"/>
      <c r="Q65" s="36">
        <v>0</v>
      </c>
    </row>
    <row r="66" spans="2:17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17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17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17" ht="22.2" x14ac:dyDescent="0.25">
      <c r="B69" s="11">
        <v>1111009</v>
      </c>
      <c r="C69" s="18" t="s">
        <v>79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8">
        <v>0</v>
      </c>
      <c r="M69" s="11"/>
      <c r="N69" s="11"/>
      <c r="O69" s="11"/>
      <c r="P69" s="11"/>
      <c r="Q69" s="36">
        <v>0</v>
      </c>
    </row>
    <row r="70" spans="2:17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17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17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17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17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17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17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17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17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17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17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17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17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17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17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17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17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17" ht="22.2" x14ac:dyDescent="0.25">
      <c r="B87" s="11">
        <v>1111008</v>
      </c>
      <c r="C87" s="18" t="s">
        <v>96</v>
      </c>
      <c r="D87" s="25">
        <v>0</v>
      </c>
      <c r="E87" s="25">
        <v>9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8">
        <v>9</v>
      </c>
      <c r="M87" s="11"/>
      <c r="N87" s="11">
        <v>27</v>
      </c>
      <c r="O87" s="11"/>
      <c r="P87" s="11"/>
      <c r="Q87" s="36">
        <v>18</v>
      </c>
    </row>
    <row r="88" spans="2:17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17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17" ht="22.2" x14ac:dyDescent="0.25">
      <c r="B90" s="11">
        <v>1112009</v>
      </c>
      <c r="C90" s="18" t="s">
        <v>98</v>
      </c>
      <c r="D90" s="25">
        <v>0</v>
      </c>
      <c r="E90" s="25">
        <v>0</v>
      </c>
      <c r="F90" s="25">
        <v>0</v>
      </c>
      <c r="G90" s="25">
        <v>4</v>
      </c>
      <c r="H90" s="25">
        <v>0</v>
      </c>
      <c r="I90" s="25">
        <v>0</v>
      </c>
      <c r="J90" s="25">
        <v>0</v>
      </c>
      <c r="K90" s="25">
        <v>0</v>
      </c>
      <c r="L90" s="28">
        <v>4</v>
      </c>
      <c r="M90" s="11"/>
      <c r="N90" s="11">
        <v>4</v>
      </c>
      <c r="O90" s="11"/>
      <c r="P90" s="11"/>
      <c r="Q90" s="36">
        <v>0</v>
      </c>
    </row>
    <row r="91" spans="2:17" ht="22.2" x14ac:dyDescent="0.25">
      <c r="B91" s="11">
        <v>1112011</v>
      </c>
      <c r="C91" s="18" t="s">
        <v>99</v>
      </c>
      <c r="D91" s="25">
        <v>0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8">
        <v>0</v>
      </c>
      <c r="M91" s="11"/>
      <c r="N91" s="11"/>
      <c r="O91" s="11"/>
      <c r="P91" s="11"/>
      <c r="Q91" s="36">
        <v>0</v>
      </c>
    </row>
    <row r="92" spans="2:17" ht="22.2" x14ac:dyDescent="0.25">
      <c r="B92" s="11">
        <v>1112003</v>
      </c>
      <c r="C92" s="18" t="s">
        <v>100</v>
      </c>
      <c r="D92" s="25">
        <v>0</v>
      </c>
      <c r="E92" s="25">
        <v>0</v>
      </c>
      <c r="F92" s="25">
        <v>0</v>
      </c>
      <c r="G92" s="25">
        <v>8</v>
      </c>
      <c r="H92" s="25">
        <v>0</v>
      </c>
      <c r="I92" s="25">
        <v>0</v>
      </c>
      <c r="J92" s="25">
        <v>0</v>
      </c>
      <c r="K92" s="25">
        <v>0</v>
      </c>
      <c r="L92" s="28">
        <v>8</v>
      </c>
      <c r="M92" s="11"/>
      <c r="N92" s="11">
        <v>17</v>
      </c>
      <c r="O92" s="11"/>
      <c r="P92" s="11"/>
      <c r="Q92" s="36">
        <v>9</v>
      </c>
    </row>
    <row r="93" spans="2:17" ht="22.2" x14ac:dyDescent="0.25">
      <c r="B93" s="11">
        <v>1112005</v>
      </c>
      <c r="C93" s="18" t="s">
        <v>101</v>
      </c>
      <c r="D93" s="25">
        <v>0</v>
      </c>
      <c r="E93" s="25">
        <v>0</v>
      </c>
      <c r="F93" s="25">
        <v>0</v>
      </c>
      <c r="G93" s="25">
        <v>13</v>
      </c>
      <c r="H93" s="25">
        <v>0</v>
      </c>
      <c r="I93" s="25">
        <v>0</v>
      </c>
      <c r="J93" s="25">
        <v>0</v>
      </c>
      <c r="K93" s="25">
        <v>0</v>
      </c>
      <c r="L93" s="28">
        <v>13</v>
      </c>
      <c r="M93" s="11"/>
      <c r="N93" s="11">
        <v>14</v>
      </c>
      <c r="O93" s="11"/>
      <c r="P93" s="11"/>
      <c r="Q93" s="36">
        <v>1</v>
      </c>
    </row>
    <row r="94" spans="2:17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17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17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5</v>
      </c>
      <c r="H96" s="25">
        <v>0</v>
      </c>
      <c r="I96" s="25">
        <v>0</v>
      </c>
      <c r="J96" s="25">
        <v>0</v>
      </c>
      <c r="K96" s="25">
        <v>0</v>
      </c>
      <c r="L96" s="28">
        <v>5</v>
      </c>
      <c r="M96" s="11"/>
      <c r="N96" s="11">
        <v>5</v>
      </c>
      <c r="O96" s="11"/>
      <c r="P96" s="11"/>
      <c r="Q96" s="36">
        <v>0</v>
      </c>
    </row>
    <row r="97" spans="2:17" ht="22.2" x14ac:dyDescent="0.25">
      <c r="B97" s="11">
        <v>1112015</v>
      </c>
      <c r="C97" s="18" t="s">
        <v>105</v>
      </c>
      <c r="D97" s="25">
        <v>0</v>
      </c>
      <c r="E97" s="25">
        <v>0</v>
      </c>
      <c r="F97" s="25">
        <v>0</v>
      </c>
      <c r="G97" s="25">
        <v>0</v>
      </c>
      <c r="H97" s="25">
        <v>0</v>
      </c>
      <c r="I97" s="25">
        <v>0</v>
      </c>
      <c r="J97" s="25">
        <v>0</v>
      </c>
      <c r="K97" s="25">
        <v>0</v>
      </c>
      <c r="L97" s="28">
        <v>0</v>
      </c>
      <c r="M97" s="11"/>
      <c r="N97" s="11"/>
      <c r="O97" s="11"/>
      <c r="P97" s="11"/>
      <c r="Q97" s="36">
        <v>0</v>
      </c>
    </row>
    <row r="98" spans="2:17" ht="22.2" x14ac:dyDescent="0.25">
      <c r="B98" s="11">
        <v>1112013</v>
      </c>
      <c r="C98" s="18" t="s">
        <v>106</v>
      </c>
      <c r="D98" s="25">
        <v>0</v>
      </c>
      <c r="E98" s="25">
        <v>0</v>
      </c>
      <c r="F98" s="25">
        <v>0</v>
      </c>
      <c r="G98" s="25">
        <v>0</v>
      </c>
      <c r="H98" s="25">
        <v>0</v>
      </c>
      <c r="I98" s="25">
        <v>0</v>
      </c>
      <c r="J98" s="25">
        <v>0</v>
      </c>
      <c r="K98" s="25">
        <v>0</v>
      </c>
      <c r="L98" s="28">
        <v>0</v>
      </c>
      <c r="M98" s="11"/>
      <c r="N98" s="11"/>
      <c r="O98" s="11"/>
      <c r="P98" s="11"/>
      <c r="Q98" s="36">
        <v>0</v>
      </c>
    </row>
    <row r="99" spans="2:17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17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30</v>
      </c>
      <c r="M100" s="11"/>
      <c r="N100" s="11"/>
      <c r="O100" s="11"/>
      <c r="P100" s="11"/>
      <c r="Q100" s="36">
        <v>10</v>
      </c>
    </row>
    <row r="101" spans="2:17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17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17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17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17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17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17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17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17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17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17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17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0</v>
      </c>
      <c r="E114" s="25">
        <v>1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8">
        <v>1</v>
      </c>
      <c r="M114" s="11"/>
      <c r="N114" s="11"/>
      <c r="O114" s="11"/>
      <c r="P114" s="11"/>
      <c r="Q114" s="36">
        <v>-1</v>
      </c>
    </row>
    <row r="115" spans="2:17" ht="22.2" x14ac:dyDescent="0.25">
      <c r="B115" s="11">
        <v>1113171</v>
      </c>
      <c r="C115" s="20" t="s">
        <v>111</v>
      </c>
      <c r="D115" s="25">
        <v>0</v>
      </c>
      <c r="E115" s="25">
        <v>1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1</v>
      </c>
      <c r="M115" s="11"/>
      <c r="N115" s="11"/>
      <c r="O115" s="11"/>
      <c r="P115" s="11"/>
      <c r="Q115" s="36">
        <v>-1</v>
      </c>
    </row>
    <row r="116" spans="2:17" ht="22.2" x14ac:dyDescent="0.25">
      <c r="B116" s="11">
        <v>1113172</v>
      </c>
      <c r="C116" s="20" t="s">
        <v>112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8">
        <v>0</v>
      </c>
      <c r="M116" s="11"/>
      <c r="N116" s="11"/>
      <c r="O116" s="11"/>
      <c r="P116" s="11"/>
      <c r="Q116" s="36">
        <v>0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/>
      <c r="O118" s="11"/>
      <c r="P118" s="11"/>
      <c r="Q118" s="36">
        <v>0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0</v>
      </c>
      <c r="M119" s="11"/>
      <c r="N119" s="11"/>
      <c r="O119" s="11"/>
      <c r="P119" s="11"/>
      <c r="Q119" s="36">
        <v>0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0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0</v>
      </c>
      <c r="M120" s="11"/>
      <c r="N120" s="11"/>
      <c r="O120" s="11"/>
      <c r="P120" s="11"/>
      <c r="Q120" s="36">
        <v>0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/>
      <c r="O121" s="11"/>
      <c r="P121" s="11"/>
      <c r="Q121" s="36">
        <v>0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3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3</v>
      </c>
      <c r="M122" s="11"/>
      <c r="N122" s="11"/>
      <c r="O122" s="11"/>
      <c r="P122" s="11"/>
      <c r="Q122" s="36">
        <v>-3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0</v>
      </c>
      <c r="F123" s="25">
        <v>0</v>
      </c>
      <c r="G123" s="25">
        <v>20</v>
      </c>
      <c r="H123" s="25">
        <v>0</v>
      </c>
      <c r="I123" s="25">
        <v>0</v>
      </c>
      <c r="J123" s="25">
        <v>0</v>
      </c>
      <c r="K123" s="25">
        <v>0</v>
      </c>
      <c r="L123" s="28">
        <v>20</v>
      </c>
      <c r="M123" s="11"/>
      <c r="N123" s="11"/>
      <c r="O123" s="11"/>
      <c r="P123" s="11"/>
      <c r="Q123" s="36">
        <v>-20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0</v>
      </c>
      <c r="F124" s="25">
        <v>0</v>
      </c>
      <c r="G124" s="25">
        <v>20</v>
      </c>
      <c r="H124" s="25">
        <v>0</v>
      </c>
      <c r="I124" s="25">
        <v>0</v>
      </c>
      <c r="J124" s="25">
        <v>0</v>
      </c>
      <c r="K124" s="25">
        <v>0</v>
      </c>
      <c r="L124" s="28">
        <v>20</v>
      </c>
      <c r="M124" s="11"/>
      <c r="N124" s="11"/>
      <c r="O124" s="11"/>
      <c r="P124" s="11"/>
      <c r="Q124" s="36">
        <v>-20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25">
        <v>0</v>
      </c>
      <c r="F125" s="25">
        <v>0</v>
      </c>
      <c r="G125" s="25">
        <v>20</v>
      </c>
      <c r="H125" s="25">
        <v>0</v>
      </c>
      <c r="I125" s="25">
        <v>0</v>
      </c>
      <c r="J125" s="25">
        <v>0</v>
      </c>
      <c r="K125" s="25">
        <v>0</v>
      </c>
      <c r="L125" s="28">
        <v>20</v>
      </c>
      <c r="M125" s="11"/>
      <c r="N125" s="11"/>
      <c r="O125" s="11"/>
      <c r="P125" s="11"/>
      <c r="Q125" s="36">
        <v>-20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8">
        <v>0</v>
      </c>
      <c r="M126" s="11"/>
      <c r="N126" s="11"/>
      <c r="O126" s="11"/>
      <c r="P126" s="11"/>
      <c r="Q126" s="36">
        <v>0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/>
      <c r="O130" s="11"/>
      <c r="P130" s="11"/>
      <c r="Q130" s="36">
        <v>0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3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3</v>
      </c>
      <c r="M135" s="11"/>
      <c r="N135" s="11"/>
      <c r="O135" s="11"/>
      <c r="P135" s="11"/>
      <c r="Q135" s="36">
        <v>-3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0</v>
      </c>
      <c r="E140" s="28">
        <v>14</v>
      </c>
      <c r="F140" s="28">
        <v>3</v>
      </c>
      <c r="G140" s="28">
        <v>90</v>
      </c>
      <c r="H140" s="28">
        <v>0</v>
      </c>
      <c r="I140" s="28">
        <v>0</v>
      </c>
      <c r="J140" s="28">
        <v>0</v>
      </c>
      <c r="K140" s="28">
        <v>0</v>
      </c>
      <c r="L140" s="28">
        <v>107</v>
      </c>
      <c r="M140" s="25">
        <v>0</v>
      </c>
      <c r="N140" s="25">
        <v>69</v>
      </c>
      <c r="O140" s="25"/>
      <c r="P140" s="25"/>
      <c r="Q140" s="36">
        <v>-38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  <mergeCell ref="B1:L1"/>
    <mergeCell ref="B2:C3"/>
    <mergeCell ref="E2:F3"/>
    <mergeCell ref="M2:M4"/>
    <mergeCell ref="Q2:Q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46C1-FE57-4007-80D4-1A3B20B98B18}">
  <dimension ref="B1:V143"/>
  <sheetViews>
    <sheetView workbookViewId="0">
      <selection sqref="A1:XFD1048576"/>
    </sheetView>
  </sheetViews>
  <sheetFormatPr defaultRowHeight="13.8" x14ac:dyDescent="0.25"/>
  <sheetData>
    <row r="1" spans="2:17" ht="22.2" x14ac:dyDescent="0.25">
      <c r="B1" s="50" t="s">
        <v>138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7" ht="22.2" x14ac:dyDescent="0.25">
      <c r="B2" s="51"/>
      <c r="C2" s="52"/>
      <c r="D2" s="1"/>
      <c r="E2" s="53"/>
      <c r="F2" s="53"/>
      <c r="G2" s="2"/>
      <c r="H2" s="2"/>
      <c r="I2" s="2"/>
      <c r="J2" s="2"/>
      <c r="K2" s="2"/>
      <c r="L2" s="3" t="s">
        <v>1</v>
      </c>
      <c r="M2" s="55" t="s">
        <v>2</v>
      </c>
      <c r="N2" s="55" t="s">
        <v>3</v>
      </c>
      <c r="O2" s="55" t="s">
        <v>139</v>
      </c>
      <c r="P2" s="55" t="s">
        <v>140</v>
      </c>
      <c r="Q2" s="62" t="s">
        <v>4</v>
      </c>
    </row>
    <row r="3" spans="2:17" ht="22.2" x14ac:dyDescent="0.25">
      <c r="B3" s="51"/>
      <c r="C3" s="52"/>
      <c r="D3" s="4"/>
      <c r="E3" s="54"/>
      <c r="F3" s="54"/>
      <c r="G3" s="5"/>
      <c r="H3" s="5"/>
      <c r="I3" s="5"/>
      <c r="J3" s="33"/>
      <c r="K3" s="33"/>
      <c r="L3" s="6" t="s">
        <v>5</v>
      </c>
      <c r="M3" s="56"/>
      <c r="N3" s="56"/>
      <c r="O3" s="56"/>
      <c r="P3" s="56"/>
      <c r="Q3" s="63"/>
    </row>
    <row r="4" spans="2:17" ht="22.2" x14ac:dyDescent="0.25"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34" t="s">
        <v>14</v>
      </c>
      <c r="K4" s="34" t="s">
        <v>15</v>
      </c>
      <c r="L4" s="10" t="s">
        <v>16</v>
      </c>
      <c r="M4" s="57"/>
      <c r="N4" s="57"/>
      <c r="O4" s="57"/>
      <c r="P4" s="57"/>
      <c r="Q4" s="64"/>
    </row>
    <row r="5" spans="2:17" ht="22.2" x14ac:dyDescent="0.25">
      <c r="B5" s="11"/>
      <c r="C5" s="12"/>
      <c r="D5" s="13"/>
      <c r="E5" s="9"/>
      <c r="F5" s="9"/>
      <c r="G5" s="9"/>
      <c r="H5" s="9"/>
      <c r="I5" s="9"/>
      <c r="J5" s="34"/>
      <c r="K5" s="34"/>
      <c r="L5" s="14"/>
      <c r="M5" s="11"/>
      <c r="N5" s="11"/>
      <c r="O5" s="11"/>
      <c r="P5" s="11"/>
      <c r="Q5" s="24"/>
    </row>
    <row r="6" spans="2:17" ht="20.399999999999999" x14ac:dyDescent="0.25">
      <c r="B6" s="58" t="s">
        <v>17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2:17" ht="22.2" x14ac:dyDescent="0.25">
      <c r="B7" s="11">
        <v>1111002</v>
      </c>
      <c r="C7" s="15" t="s">
        <v>18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8">
        <v>0</v>
      </c>
      <c r="M7" s="11"/>
      <c r="N7" s="11"/>
      <c r="O7" s="11"/>
      <c r="P7" s="11"/>
      <c r="Q7" s="36">
        <v>0</v>
      </c>
    </row>
    <row r="8" spans="2:17" ht="22.2" x14ac:dyDescent="0.25">
      <c r="B8" s="11"/>
      <c r="C8" s="15" t="s">
        <v>19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8">
        <v>0</v>
      </c>
      <c r="M8" s="11"/>
      <c r="N8" s="11"/>
      <c r="O8" s="11"/>
      <c r="P8" s="11"/>
      <c r="Q8" s="36">
        <v>0</v>
      </c>
    </row>
    <row r="9" spans="2:17" ht="22.2" x14ac:dyDescent="0.25">
      <c r="B9" s="11">
        <v>1111084</v>
      </c>
      <c r="C9" s="15" t="s">
        <v>20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8">
        <v>0</v>
      </c>
      <c r="M9" s="11"/>
      <c r="N9" s="11"/>
      <c r="O9" s="11"/>
      <c r="P9" s="11"/>
      <c r="Q9" s="36">
        <v>0</v>
      </c>
    </row>
    <row r="10" spans="2:17" ht="22.2" x14ac:dyDescent="0.25">
      <c r="B10" s="11">
        <v>1111085</v>
      </c>
      <c r="C10" s="15" t="s">
        <v>21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8">
        <v>0</v>
      </c>
      <c r="M10" s="11"/>
      <c r="N10" s="11"/>
      <c r="O10" s="11"/>
      <c r="P10" s="11"/>
      <c r="Q10" s="36">
        <v>0</v>
      </c>
    </row>
    <row r="11" spans="2:17" ht="22.2" x14ac:dyDescent="0.25">
      <c r="B11" s="11">
        <v>1111086</v>
      </c>
      <c r="C11" s="15" t="s">
        <v>22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8">
        <v>0</v>
      </c>
      <c r="M11" s="11"/>
      <c r="N11" s="11"/>
      <c r="O11" s="11"/>
      <c r="P11" s="11"/>
      <c r="Q11" s="36">
        <v>0</v>
      </c>
    </row>
    <row r="12" spans="2:17" ht="22.2" x14ac:dyDescent="0.25">
      <c r="B12" s="11">
        <v>1111087</v>
      </c>
      <c r="C12" s="15" t="s">
        <v>23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8">
        <v>0</v>
      </c>
      <c r="M12" s="11"/>
      <c r="N12" s="11"/>
      <c r="O12" s="11"/>
      <c r="P12" s="11"/>
      <c r="Q12" s="36">
        <v>0</v>
      </c>
    </row>
    <row r="13" spans="2:17" ht="22.2" x14ac:dyDescent="0.25">
      <c r="B13" s="11">
        <v>1111088</v>
      </c>
      <c r="C13" s="15" t="s">
        <v>24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8">
        <v>0</v>
      </c>
      <c r="M13" s="11"/>
      <c r="N13" s="11"/>
      <c r="O13" s="11"/>
      <c r="P13" s="11"/>
      <c r="Q13" s="36">
        <v>0</v>
      </c>
    </row>
    <row r="14" spans="2:17" ht="22.2" x14ac:dyDescent="0.25">
      <c r="B14" s="11">
        <v>1111089</v>
      </c>
      <c r="C14" s="15" t="s">
        <v>25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8">
        <v>0</v>
      </c>
      <c r="M14" s="11"/>
      <c r="N14" s="11"/>
      <c r="O14" s="11"/>
      <c r="P14" s="11"/>
      <c r="Q14" s="36">
        <v>0</v>
      </c>
    </row>
    <row r="15" spans="2:17" ht="22.2" x14ac:dyDescent="0.25">
      <c r="B15" s="11">
        <v>1111090</v>
      </c>
      <c r="C15" s="15" t="s">
        <v>26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8">
        <v>0</v>
      </c>
      <c r="M15" s="11"/>
      <c r="N15" s="11"/>
      <c r="O15" s="11"/>
      <c r="P15" s="11"/>
      <c r="Q15" s="36">
        <v>0</v>
      </c>
    </row>
    <row r="16" spans="2:17" ht="22.2" x14ac:dyDescent="0.25">
      <c r="B16" s="11">
        <v>1111091</v>
      </c>
      <c r="C16" s="15" t="s">
        <v>27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8">
        <v>0</v>
      </c>
      <c r="M16" s="11"/>
      <c r="N16" s="11"/>
      <c r="O16" s="11"/>
      <c r="P16" s="11"/>
      <c r="Q16" s="36">
        <v>0</v>
      </c>
    </row>
    <row r="17" spans="2:17" ht="22.2" x14ac:dyDescent="0.25">
      <c r="B17" s="11">
        <v>1111092</v>
      </c>
      <c r="C17" s="15" t="s">
        <v>28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8">
        <v>0</v>
      </c>
      <c r="M17" s="11"/>
      <c r="N17" s="11"/>
      <c r="O17" s="11"/>
      <c r="P17" s="11"/>
      <c r="Q17" s="36">
        <v>0</v>
      </c>
    </row>
    <row r="18" spans="2:17" ht="22.2" x14ac:dyDescent="0.25">
      <c r="B18" s="11">
        <v>1111093</v>
      </c>
      <c r="C18" s="15" t="s">
        <v>29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8">
        <v>0</v>
      </c>
      <c r="M18" s="11"/>
      <c r="N18" s="11"/>
      <c r="O18" s="11"/>
      <c r="P18" s="11"/>
      <c r="Q18" s="36">
        <v>0</v>
      </c>
    </row>
    <row r="19" spans="2:17" ht="22.2" x14ac:dyDescent="0.25">
      <c r="B19" s="11">
        <v>1111094</v>
      </c>
      <c r="C19" s="15" t="s">
        <v>30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8">
        <v>0</v>
      </c>
      <c r="M19" s="11"/>
      <c r="N19" s="11"/>
      <c r="O19" s="11"/>
      <c r="P19" s="11"/>
      <c r="Q19" s="36">
        <v>0</v>
      </c>
    </row>
    <row r="20" spans="2:17" ht="22.2" x14ac:dyDescent="0.25">
      <c r="B20" s="11">
        <v>1111095</v>
      </c>
      <c r="C20" s="15" t="s">
        <v>31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8">
        <v>0</v>
      </c>
      <c r="M20" s="11"/>
      <c r="N20" s="11"/>
      <c r="O20" s="11"/>
      <c r="P20" s="11"/>
      <c r="Q20" s="36">
        <v>0</v>
      </c>
    </row>
    <row r="21" spans="2:17" ht="22.2" x14ac:dyDescent="0.25">
      <c r="B21" s="11">
        <v>1111096</v>
      </c>
      <c r="C21" s="15" t="s">
        <v>32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8">
        <v>0</v>
      </c>
      <c r="M21" s="11"/>
      <c r="N21" s="11"/>
      <c r="O21" s="11"/>
      <c r="P21" s="11"/>
      <c r="Q21" s="36">
        <v>0</v>
      </c>
    </row>
    <row r="22" spans="2:17" ht="22.2" x14ac:dyDescent="0.25">
      <c r="B22" s="11">
        <v>1111097</v>
      </c>
      <c r="C22" s="15" t="s">
        <v>33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8">
        <v>0</v>
      </c>
      <c r="M22" s="11"/>
      <c r="N22" s="11"/>
      <c r="O22" s="11"/>
      <c r="P22" s="11"/>
      <c r="Q22" s="36">
        <v>0</v>
      </c>
    </row>
    <row r="23" spans="2:17" ht="22.2" x14ac:dyDescent="0.25">
      <c r="B23" s="11">
        <v>1111098</v>
      </c>
      <c r="C23" s="15" t="s">
        <v>34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8">
        <v>0</v>
      </c>
      <c r="M23" s="11"/>
      <c r="N23" s="11"/>
      <c r="O23" s="11"/>
      <c r="P23" s="11"/>
      <c r="Q23" s="36">
        <v>0</v>
      </c>
    </row>
    <row r="24" spans="2:17" ht="22.2" x14ac:dyDescent="0.25">
      <c r="B24" s="11">
        <v>1111043</v>
      </c>
      <c r="C24" s="15" t="s">
        <v>35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8">
        <v>0</v>
      </c>
      <c r="M24" s="11"/>
      <c r="N24" s="11"/>
      <c r="O24" s="11"/>
      <c r="P24" s="11"/>
      <c r="Q24" s="36">
        <v>0</v>
      </c>
    </row>
    <row r="25" spans="2:17" ht="22.2" x14ac:dyDescent="0.25">
      <c r="B25" s="11">
        <v>1111056</v>
      </c>
      <c r="C25" s="15" t="s">
        <v>36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8">
        <v>0</v>
      </c>
      <c r="M25" s="11"/>
      <c r="N25" s="11"/>
      <c r="O25" s="11"/>
      <c r="P25" s="11"/>
      <c r="Q25" s="36">
        <v>0</v>
      </c>
    </row>
    <row r="26" spans="2:17" ht="22.2" x14ac:dyDescent="0.25">
      <c r="B26" s="11">
        <v>1004055</v>
      </c>
      <c r="C26" s="15" t="s">
        <v>37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8">
        <v>0</v>
      </c>
      <c r="M26" s="11"/>
      <c r="N26" s="11"/>
      <c r="O26" s="11"/>
      <c r="P26" s="11"/>
      <c r="Q26" s="36">
        <v>0</v>
      </c>
    </row>
    <row r="27" spans="2:17" ht="22.2" x14ac:dyDescent="0.25">
      <c r="B27" s="11">
        <v>1004055</v>
      </c>
      <c r="C27" s="15" t="s">
        <v>38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8">
        <v>0</v>
      </c>
      <c r="M27" s="11"/>
      <c r="N27" s="11"/>
      <c r="O27" s="11"/>
      <c r="P27" s="11"/>
      <c r="Q27" s="36">
        <v>0</v>
      </c>
    </row>
    <row r="28" spans="2:17" ht="22.2" x14ac:dyDescent="0.25">
      <c r="B28" s="11">
        <v>1004055</v>
      </c>
      <c r="C28" s="15" t="s">
        <v>39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8">
        <v>0</v>
      </c>
      <c r="M28" s="11"/>
      <c r="N28" s="11"/>
      <c r="O28" s="11"/>
      <c r="P28" s="11"/>
      <c r="Q28" s="36">
        <v>0</v>
      </c>
    </row>
    <row r="29" spans="2:17" ht="22.2" x14ac:dyDescent="0.25">
      <c r="B29" s="11">
        <v>1004055</v>
      </c>
      <c r="C29" s="15" t="s">
        <v>40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8">
        <v>0</v>
      </c>
      <c r="M29" s="11"/>
      <c r="N29" s="11"/>
      <c r="O29" s="11"/>
      <c r="P29" s="11"/>
      <c r="Q29" s="36">
        <v>0</v>
      </c>
    </row>
    <row r="30" spans="2:17" ht="22.2" x14ac:dyDescent="0.25">
      <c r="B30" s="11">
        <v>1004055</v>
      </c>
      <c r="C30" s="15" t="s">
        <v>41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8">
        <v>0</v>
      </c>
      <c r="M30" s="11"/>
      <c r="N30" s="11"/>
      <c r="O30" s="11"/>
      <c r="P30" s="11"/>
      <c r="Q30" s="36">
        <v>0</v>
      </c>
    </row>
    <row r="31" spans="2:17" ht="22.2" x14ac:dyDescent="0.25">
      <c r="B31" s="11">
        <v>1004055</v>
      </c>
      <c r="C31" s="15" t="s">
        <v>42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8">
        <v>0</v>
      </c>
      <c r="M31" s="11"/>
      <c r="N31" s="11"/>
      <c r="O31" s="11"/>
      <c r="P31" s="11"/>
      <c r="Q31" s="36">
        <v>0</v>
      </c>
    </row>
    <row r="32" spans="2:17" ht="22.2" x14ac:dyDescent="0.25">
      <c r="B32" s="11">
        <v>1004055</v>
      </c>
      <c r="C32" s="15" t="s">
        <v>43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8">
        <v>0</v>
      </c>
      <c r="M32" s="11"/>
      <c r="N32" s="11"/>
      <c r="O32" s="11"/>
      <c r="P32" s="11"/>
      <c r="Q32" s="36">
        <v>0</v>
      </c>
    </row>
    <row r="33" spans="2:17" ht="22.2" x14ac:dyDescent="0.25">
      <c r="B33" s="11">
        <v>1004055</v>
      </c>
      <c r="C33" s="15" t="s">
        <v>44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8">
        <v>0</v>
      </c>
      <c r="M33" s="11"/>
      <c r="N33" s="11"/>
      <c r="O33" s="11"/>
      <c r="P33" s="11"/>
      <c r="Q33" s="36">
        <v>0</v>
      </c>
    </row>
    <row r="34" spans="2:17" ht="22.2" x14ac:dyDescent="0.25">
      <c r="B34" s="11">
        <v>1004055</v>
      </c>
      <c r="C34" s="15" t="s">
        <v>45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8">
        <v>0</v>
      </c>
      <c r="M34" s="11"/>
      <c r="N34" s="11"/>
      <c r="O34" s="11"/>
      <c r="P34" s="11"/>
      <c r="Q34" s="36">
        <v>0</v>
      </c>
    </row>
    <row r="35" spans="2:17" ht="22.2" x14ac:dyDescent="0.25">
      <c r="B35" s="11">
        <v>1004055</v>
      </c>
      <c r="C35" s="15" t="s">
        <v>46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8">
        <v>0</v>
      </c>
      <c r="M35" s="11"/>
      <c r="N35" s="11"/>
      <c r="O35" s="11"/>
      <c r="P35" s="11"/>
      <c r="Q35" s="36">
        <v>0</v>
      </c>
    </row>
    <row r="36" spans="2:17" ht="22.2" x14ac:dyDescent="0.25">
      <c r="B36" s="11">
        <v>1004055</v>
      </c>
      <c r="C36" s="15" t="s">
        <v>47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8">
        <v>0</v>
      </c>
      <c r="M36" s="11"/>
      <c r="N36" s="11"/>
      <c r="O36" s="11"/>
      <c r="P36" s="11"/>
      <c r="Q36" s="36">
        <v>0</v>
      </c>
    </row>
    <row r="37" spans="2:17" ht="22.2" x14ac:dyDescent="0.25">
      <c r="B37" s="11">
        <v>1004055</v>
      </c>
      <c r="C37" s="15" t="s">
        <v>48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8">
        <v>0</v>
      </c>
      <c r="M37" s="11"/>
      <c r="N37" s="11"/>
      <c r="O37" s="11"/>
      <c r="P37" s="11"/>
      <c r="Q37" s="36">
        <v>0</v>
      </c>
    </row>
    <row r="38" spans="2:17" ht="22.2" x14ac:dyDescent="0.25">
      <c r="B38" s="11">
        <v>1004055</v>
      </c>
      <c r="C38" s="15" t="s">
        <v>49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8">
        <v>0</v>
      </c>
      <c r="M38" s="11"/>
      <c r="N38" s="11"/>
      <c r="O38" s="11"/>
      <c r="P38" s="11"/>
      <c r="Q38" s="36">
        <v>0</v>
      </c>
    </row>
    <row r="39" spans="2:17" ht="22.2" x14ac:dyDescent="0.25">
      <c r="B39" s="11">
        <v>1004055</v>
      </c>
      <c r="C39" s="15" t="s">
        <v>50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8">
        <v>0</v>
      </c>
      <c r="M39" s="11"/>
      <c r="N39" s="11"/>
      <c r="O39" s="11"/>
      <c r="P39" s="11"/>
      <c r="Q39" s="36">
        <v>0</v>
      </c>
    </row>
    <row r="40" spans="2:17" ht="22.2" x14ac:dyDescent="0.25">
      <c r="B40" s="11">
        <v>1111057</v>
      </c>
      <c r="C40" s="15" t="s">
        <v>51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8">
        <v>0</v>
      </c>
      <c r="M40" s="11"/>
      <c r="N40" s="11"/>
      <c r="O40" s="11"/>
      <c r="P40" s="11"/>
      <c r="Q40" s="36">
        <v>0</v>
      </c>
    </row>
    <row r="41" spans="2:17" ht="22.2" x14ac:dyDescent="0.25">
      <c r="B41" s="11">
        <v>1111058</v>
      </c>
      <c r="C41" s="15" t="s">
        <v>52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8">
        <v>0</v>
      </c>
      <c r="M41" s="11"/>
      <c r="N41" s="11"/>
      <c r="O41" s="11"/>
      <c r="P41" s="11"/>
      <c r="Q41" s="36">
        <v>0</v>
      </c>
    </row>
    <row r="42" spans="2:17" ht="22.2" x14ac:dyDescent="0.25">
      <c r="B42" s="11">
        <v>1111059</v>
      </c>
      <c r="C42" s="15" t="s">
        <v>53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8">
        <v>0</v>
      </c>
      <c r="M42" s="11"/>
      <c r="N42" s="11"/>
      <c r="O42" s="11"/>
      <c r="P42" s="11"/>
      <c r="Q42" s="36">
        <v>0</v>
      </c>
    </row>
    <row r="43" spans="2:17" ht="22.2" x14ac:dyDescent="0.25">
      <c r="B43" s="11">
        <v>1111060</v>
      </c>
      <c r="C43" s="15" t="s">
        <v>54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8">
        <v>0</v>
      </c>
      <c r="M43" s="11"/>
      <c r="N43" s="11"/>
      <c r="O43" s="11"/>
      <c r="P43" s="11"/>
      <c r="Q43" s="36">
        <v>0</v>
      </c>
    </row>
    <row r="44" spans="2:17" ht="22.2" x14ac:dyDescent="0.25">
      <c r="B44" s="11">
        <v>1111061</v>
      </c>
      <c r="C44" s="15" t="s">
        <v>55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8">
        <v>0</v>
      </c>
      <c r="M44" s="11"/>
      <c r="N44" s="11"/>
      <c r="O44" s="11"/>
      <c r="P44" s="11"/>
      <c r="Q44" s="36">
        <v>0</v>
      </c>
    </row>
    <row r="45" spans="2:17" ht="22.2" x14ac:dyDescent="0.25">
      <c r="B45" s="11">
        <v>1111062</v>
      </c>
      <c r="C45" s="15" t="s">
        <v>56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8">
        <v>0</v>
      </c>
      <c r="M45" s="11"/>
      <c r="N45" s="11"/>
      <c r="O45" s="11"/>
      <c r="P45" s="11"/>
      <c r="Q45" s="36">
        <v>0</v>
      </c>
    </row>
    <row r="46" spans="2:17" ht="22.2" x14ac:dyDescent="0.25">
      <c r="B46" s="11">
        <v>1111063</v>
      </c>
      <c r="C46" s="15" t="s">
        <v>57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8">
        <v>0</v>
      </c>
      <c r="M46" s="11"/>
      <c r="N46" s="11"/>
      <c r="O46" s="11"/>
      <c r="P46" s="11"/>
      <c r="Q46" s="36">
        <v>0</v>
      </c>
    </row>
    <row r="47" spans="2:17" ht="22.2" x14ac:dyDescent="0.25">
      <c r="B47" s="11">
        <v>1111064</v>
      </c>
      <c r="C47" s="15" t="s">
        <v>58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8">
        <v>0</v>
      </c>
      <c r="M47" s="11"/>
      <c r="N47" s="11"/>
      <c r="O47" s="11"/>
      <c r="P47" s="11"/>
      <c r="Q47" s="36">
        <v>0</v>
      </c>
    </row>
    <row r="48" spans="2:17" ht="22.2" x14ac:dyDescent="0.25">
      <c r="B48" s="11">
        <v>1111065</v>
      </c>
      <c r="C48" s="15" t="s">
        <v>59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8">
        <v>0</v>
      </c>
      <c r="M48" s="11"/>
      <c r="N48" s="11"/>
      <c r="O48" s="11"/>
      <c r="P48" s="11"/>
      <c r="Q48" s="36">
        <v>0</v>
      </c>
    </row>
    <row r="49" spans="2:22" ht="22.2" x14ac:dyDescent="0.25">
      <c r="B49" s="11">
        <v>1111066</v>
      </c>
      <c r="C49" s="15" t="s">
        <v>60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8">
        <v>0</v>
      </c>
      <c r="M49" s="11"/>
      <c r="N49" s="11"/>
      <c r="O49" s="11"/>
      <c r="P49" s="11"/>
      <c r="Q49" s="36">
        <v>0</v>
      </c>
    </row>
    <row r="50" spans="2:22" ht="22.2" x14ac:dyDescent="0.25">
      <c r="B50" s="11">
        <v>1111067</v>
      </c>
      <c r="C50" s="15" t="s">
        <v>61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8">
        <v>0</v>
      </c>
      <c r="M50" s="11"/>
      <c r="N50" s="11"/>
      <c r="O50" s="11"/>
      <c r="P50" s="11"/>
      <c r="Q50" s="36">
        <v>0</v>
      </c>
    </row>
    <row r="51" spans="2:22" ht="22.2" x14ac:dyDescent="0.25">
      <c r="B51" s="11">
        <v>1111068</v>
      </c>
      <c r="C51" s="15" t="s">
        <v>62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8">
        <v>0</v>
      </c>
      <c r="M51" s="11"/>
      <c r="N51" s="11"/>
      <c r="O51" s="11"/>
      <c r="P51" s="11"/>
      <c r="Q51" s="36">
        <v>0</v>
      </c>
    </row>
    <row r="52" spans="2:22" ht="22.2" x14ac:dyDescent="0.35">
      <c r="B52" s="11">
        <v>1111069</v>
      </c>
      <c r="C52" s="15" t="s">
        <v>63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8">
        <v>0</v>
      </c>
      <c r="M52" s="11"/>
      <c r="N52" s="11"/>
      <c r="O52" s="11"/>
      <c r="P52" s="11"/>
      <c r="Q52" s="36">
        <v>0</v>
      </c>
      <c r="S52" s="38"/>
    </row>
    <row r="53" spans="2:22" ht="22.2" x14ac:dyDescent="0.25">
      <c r="B53" s="11">
        <v>1111070</v>
      </c>
      <c r="C53" s="15" t="s">
        <v>64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8">
        <v>0</v>
      </c>
      <c r="M53" s="11"/>
      <c r="N53" s="11"/>
      <c r="O53" s="11"/>
      <c r="P53" s="11"/>
      <c r="Q53" s="36">
        <v>0</v>
      </c>
    </row>
    <row r="54" spans="2:22" ht="22.2" x14ac:dyDescent="0.35">
      <c r="B54" s="11">
        <v>1111071</v>
      </c>
      <c r="C54" s="15" t="s">
        <v>65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8">
        <v>0</v>
      </c>
      <c r="M54" s="11"/>
      <c r="N54" s="11"/>
      <c r="O54" s="11"/>
      <c r="P54" s="11"/>
      <c r="Q54" s="36">
        <v>0</v>
      </c>
      <c r="T54" s="38"/>
      <c r="V54" s="38"/>
    </row>
    <row r="55" spans="2:22" ht="22.2" x14ac:dyDescent="0.25">
      <c r="B55" s="11">
        <v>1111001</v>
      </c>
      <c r="C55" s="15" t="s">
        <v>66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8">
        <v>0</v>
      </c>
      <c r="M55" s="11"/>
      <c r="N55" s="11"/>
      <c r="O55" s="11"/>
      <c r="P55" s="11"/>
      <c r="Q55" s="36">
        <v>0</v>
      </c>
    </row>
    <row r="56" spans="2:22" ht="22.2" x14ac:dyDescent="0.25">
      <c r="B56" s="11">
        <v>1111074</v>
      </c>
      <c r="C56" s="15" t="s">
        <v>67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8">
        <v>0</v>
      </c>
      <c r="M56" s="11"/>
      <c r="N56" s="11"/>
      <c r="O56" s="11"/>
      <c r="P56" s="11"/>
      <c r="Q56" s="36">
        <v>0</v>
      </c>
    </row>
    <row r="57" spans="2:22" ht="22.2" x14ac:dyDescent="0.25">
      <c r="B57" s="11">
        <v>1111075</v>
      </c>
      <c r="C57" s="15" t="s">
        <v>68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8">
        <v>0</v>
      </c>
      <c r="M57" s="11"/>
      <c r="N57" s="11">
        <v>1</v>
      </c>
      <c r="O57" s="11"/>
      <c r="P57" s="11"/>
      <c r="Q57" s="36">
        <v>1</v>
      </c>
    </row>
    <row r="58" spans="2:22" ht="22.2" x14ac:dyDescent="0.25">
      <c r="B58" s="11">
        <v>1111076</v>
      </c>
      <c r="C58" s="15" t="s">
        <v>69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8">
        <v>0</v>
      </c>
      <c r="M58" s="11"/>
      <c r="N58" s="11">
        <v>1</v>
      </c>
      <c r="O58" s="11"/>
      <c r="P58" s="11"/>
      <c r="Q58" s="36">
        <v>1</v>
      </c>
    </row>
    <row r="59" spans="2:22" ht="22.2" x14ac:dyDescent="0.25">
      <c r="B59" s="11">
        <v>1111077</v>
      </c>
      <c r="C59" s="15" t="s">
        <v>70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8">
        <v>0</v>
      </c>
      <c r="M59" s="11"/>
      <c r="N59" s="11">
        <v>1</v>
      </c>
      <c r="O59" s="11"/>
      <c r="P59" s="11"/>
      <c r="Q59" s="36">
        <v>1</v>
      </c>
    </row>
    <row r="60" spans="2:22" ht="22.2" x14ac:dyDescent="0.25">
      <c r="B60" s="11">
        <v>1111078</v>
      </c>
      <c r="C60" s="15" t="s">
        <v>71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8">
        <v>0</v>
      </c>
      <c r="M60" s="11"/>
      <c r="N60" s="11"/>
      <c r="O60" s="11"/>
      <c r="P60" s="11"/>
      <c r="Q60" s="36">
        <v>0</v>
      </c>
    </row>
    <row r="61" spans="2:22" ht="22.2" x14ac:dyDescent="0.25">
      <c r="B61" s="11">
        <v>1111079</v>
      </c>
      <c r="C61" s="15" t="s">
        <v>72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8">
        <v>0</v>
      </c>
      <c r="M61" s="11"/>
      <c r="N61" s="11"/>
      <c r="O61" s="11"/>
      <c r="P61" s="11"/>
      <c r="Q61" s="36">
        <v>0</v>
      </c>
    </row>
    <row r="62" spans="2:22" ht="22.2" x14ac:dyDescent="0.25">
      <c r="B62" s="11">
        <v>1111080</v>
      </c>
      <c r="C62" s="15" t="s">
        <v>73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8">
        <v>0</v>
      </c>
      <c r="M62" s="11"/>
      <c r="N62" s="11"/>
      <c r="O62" s="11"/>
      <c r="P62" s="11"/>
      <c r="Q62" s="36">
        <v>0</v>
      </c>
    </row>
    <row r="63" spans="2:22" ht="22.2" x14ac:dyDescent="0.25">
      <c r="B63" s="11">
        <v>1111081</v>
      </c>
      <c r="C63" s="15" t="s">
        <v>74</v>
      </c>
      <c r="D63" s="25">
        <v>0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8">
        <v>0</v>
      </c>
      <c r="M63" s="11"/>
      <c r="N63" s="11"/>
      <c r="O63" s="11"/>
      <c r="P63" s="11"/>
      <c r="Q63" s="36">
        <v>0</v>
      </c>
    </row>
    <row r="64" spans="2:22" ht="22.2" x14ac:dyDescent="0.25">
      <c r="B64" s="11">
        <v>1111082</v>
      </c>
      <c r="C64" s="15" t="s">
        <v>75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8">
        <v>0</v>
      </c>
      <c r="M64" s="11"/>
      <c r="N64" s="11"/>
      <c r="O64" s="11"/>
      <c r="P64" s="11"/>
      <c r="Q64" s="36">
        <v>0</v>
      </c>
    </row>
    <row r="65" spans="2:20" ht="22.2" x14ac:dyDescent="0.35">
      <c r="B65" s="11">
        <v>1111083</v>
      </c>
      <c r="C65" s="15" t="s">
        <v>76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8">
        <v>0</v>
      </c>
      <c r="M65" s="11"/>
      <c r="N65" s="11"/>
      <c r="O65" s="11"/>
      <c r="P65" s="11"/>
      <c r="Q65" s="36">
        <v>0</v>
      </c>
      <c r="S65" s="39"/>
      <c r="T65" s="38"/>
    </row>
    <row r="66" spans="2:20" ht="22.2" x14ac:dyDescent="0.25">
      <c r="B66" s="11">
        <v>1111010</v>
      </c>
      <c r="C66" s="15" t="s">
        <v>77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35"/>
      <c r="L66" s="28">
        <v>0</v>
      </c>
      <c r="M66" s="11"/>
      <c r="N66" s="11"/>
      <c r="O66" s="11"/>
      <c r="P66" s="11"/>
      <c r="Q66" s="36">
        <v>0</v>
      </c>
    </row>
    <row r="67" spans="2:20" ht="22.2" x14ac:dyDescent="0.25">
      <c r="B67" s="16"/>
      <c r="C67" s="16" t="s">
        <v>4</v>
      </c>
      <c r="D67" s="17"/>
      <c r="E67" s="17"/>
      <c r="F67" s="17"/>
      <c r="G67" s="17"/>
      <c r="H67" s="17"/>
      <c r="I67" s="17"/>
      <c r="J67" s="19"/>
      <c r="K67" s="19"/>
      <c r="L67" s="28">
        <v>0</v>
      </c>
      <c r="M67" s="11"/>
      <c r="N67" s="11"/>
      <c r="O67" s="11"/>
      <c r="P67" s="11"/>
      <c r="Q67" s="36">
        <v>0</v>
      </c>
    </row>
    <row r="68" spans="2:20" ht="20.399999999999999" x14ac:dyDescent="0.25">
      <c r="B68" s="58" t="s">
        <v>78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</row>
    <row r="69" spans="2:20" ht="22.2" x14ac:dyDescent="0.35">
      <c r="B69" s="11">
        <v>1111009</v>
      </c>
      <c r="C69" s="18" t="s">
        <v>79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8">
        <v>0</v>
      </c>
      <c r="M69" s="11"/>
      <c r="N69" s="11"/>
      <c r="O69" s="11"/>
      <c r="P69" s="11"/>
      <c r="Q69" s="36">
        <v>0</v>
      </c>
      <c r="T69" s="38"/>
    </row>
    <row r="70" spans="2:20" ht="22.2" x14ac:dyDescent="0.25">
      <c r="B70" s="11">
        <v>1111023</v>
      </c>
      <c r="C70" s="18" t="s">
        <v>80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8">
        <v>0</v>
      </c>
      <c r="M70" s="11"/>
      <c r="N70" s="11"/>
      <c r="O70" s="11"/>
      <c r="P70" s="11"/>
      <c r="Q70" s="36">
        <v>0</v>
      </c>
    </row>
    <row r="71" spans="2:20" ht="22.2" x14ac:dyDescent="0.25">
      <c r="B71" s="11">
        <v>1111016</v>
      </c>
      <c r="C71" s="18" t="s">
        <v>81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8">
        <v>0</v>
      </c>
      <c r="M71" s="11"/>
      <c r="N71" s="11"/>
      <c r="O71" s="11"/>
      <c r="P71" s="11"/>
      <c r="Q71" s="36">
        <v>0</v>
      </c>
    </row>
    <row r="72" spans="2:20" ht="22.2" x14ac:dyDescent="0.25">
      <c r="B72" s="11">
        <v>1111014</v>
      </c>
      <c r="C72" s="18" t="s">
        <v>82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8">
        <v>0</v>
      </c>
      <c r="M72" s="11"/>
      <c r="N72" s="11"/>
      <c r="O72" s="11"/>
      <c r="P72" s="11"/>
      <c r="Q72" s="36">
        <v>0</v>
      </c>
    </row>
    <row r="73" spans="2:20" ht="22.2" x14ac:dyDescent="0.25">
      <c r="B73" s="11">
        <v>1111025</v>
      </c>
      <c r="C73" s="18" t="s">
        <v>83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8">
        <v>0</v>
      </c>
      <c r="M73" s="11"/>
      <c r="N73" s="11"/>
      <c r="O73" s="11"/>
      <c r="P73" s="11"/>
      <c r="Q73" s="36">
        <v>0</v>
      </c>
    </row>
    <row r="74" spans="2:20" ht="22.2" x14ac:dyDescent="0.25">
      <c r="B74" s="11">
        <v>1111018</v>
      </c>
      <c r="C74" s="18" t="s">
        <v>84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8">
        <v>0</v>
      </c>
      <c r="M74" s="11"/>
      <c r="N74" s="11"/>
      <c r="O74" s="11"/>
      <c r="P74" s="11"/>
      <c r="Q74" s="36">
        <v>0</v>
      </c>
    </row>
    <row r="75" spans="2:20" ht="22.2" x14ac:dyDescent="0.25">
      <c r="B75" s="11">
        <v>1111012</v>
      </c>
      <c r="C75" s="18" t="s">
        <v>85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8">
        <v>0</v>
      </c>
      <c r="M75" s="11"/>
      <c r="N75" s="11"/>
      <c r="O75" s="11"/>
      <c r="P75" s="11"/>
      <c r="Q75" s="36">
        <v>0</v>
      </c>
    </row>
    <row r="76" spans="2:20" ht="22.2" x14ac:dyDescent="0.25">
      <c r="B76" s="11">
        <v>1111020</v>
      </c>
      <c r="C76" s="18" t="s">
        <v>86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8">
        <v>0</v>
      </c>
      <c r="M76" s="11"/>
      <c r="N76" s="11"/>
      <c r="O76" s="11"/>
      <c r="P76" s="11"/>
      <c r="Q76" s="36">
        <v>0</v>
      </c>
    </row>
    <row r="77" spans="2:20" ht="22.2" x14ac:dyDescent="0.25">
      <c r="B77" s="17"/>
      <c r="C77" s="19" t="s">
        <v>4</v>
      </c>
      <c r="D77" s="19"/>
      <c r="E77" s="17"/>
      <c r="F77" s="17"/>
      <c r="G77" s="17"/>
      <c r="H77" s="17"/>
      <c r="I77" s="17"/>
      <c r="J77" s="19"/>
      <c r="K77" s="19"/>
      <c r="L77" s="28"/>
      <c r="M77" s="11"/>
      <c r="N77" s="11"/>
      <c r="O77" s="11"/>
      <c r="P77" s="11"/>
      <c r="Q77" s="36">
        <v>0</v>
      </c>
    </row>
    <row r="78" spans="2:20" ht="20.399999999999999" x14ac:dyDescent="0.25">
      <c r="B78" s="58" t="s">
        <v>87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</row>
    <row r="79" spans="2:20" ht="22.2" x14ac:dyDescent="0.25">
      <c r="B79" s="11">
        <v>1111022</v>
      </c>
      <c r="C79" s="18" t="s">
        <v>88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8">
        <v>0</v>
      </c>
      <c r="M79" s="11"/>
      <c r="N79" s="11"/>
      <c r="O79" s="11"/>
      <c r="P79" s="11"/>
      <c r="Q79" s="36">
        <v>0</v>
      </c>
    </row>
    <row r="80" spans="2:20" ht="22.2" x14ac:dyDescent="0.25">
      <c r="B80" s="11">
        <v>1111015</v>
      </c>
      <c r="C80" s="18" t="s">
        <v>89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8">
        <v>0</v>
      </c>
      <c r="M80" s="11"/>
      <c r="N80" s="11"/>
      <c r="O80" s="11"/>
      <c r="P80" s="11"/>
      <c r="Q80" s="36">
        <v>0</v>
      </c>
    </row>
    <row r="81" spans="2:20" ht="22.2" x14ac:dyDescent="0.25">
      <c r="B81" s="11">
        <v>1111013</v>
      </c>
      <c r="C81" s="18" t="s">
        <v>90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8">
        <v>0</v>
      </c>
      <c r="M81" s="11"/>
      <c r="N81" s="11"/>
      <c r="O81" s="11"/>
      <c r="P81" s="11"/>
      <c r="Q81" s="36">
        <v>0</v>
      </c>
    </row>
    <row r="82" spans="2:20" ht="22.2" x14ac:dyDescent="0.25">
      <c r="B82" s="11">
        <v>1111024</v>
      </c>
      <c r="C82" s="18" t="s">
        <v>91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8">
        <v>0</v>
      </c>
      <c r="M82" s="11"/>
      <c r="N82" s="11"/>
      <c r="O82" s="11"/>
      <c r="P82" s="11"/>
      <c r="Q82" s="36">
        <v>0</v>
      </c>
    </row>
    <row r="83" spans="2:20" ht="22.2" x14ac:dyDescent="0.25">
      <c r="B83" s="11">
        <v>1111017</v>
      </c>
      <c r="C83" s="18" t="s">
        <v>92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8">
        <v>0</v>
      </c>
      <c r="M83" s="11"/>
      <c r="N83" s="11"/>
      <c r="O83" s="11"/>
      <c r="P83" s="11"/>
      <c r="Q83" s="36">
        <v>0</v>
      </c>
    </row>
    <row r="84" spans="2:20" ht="22.2" x14ac:dyDescent="0.25">
      <c r="B84" s="11">
        <v>1111011</v>
      </c>
      <c r="C84" s="18" t="s">
        <v>93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8">
        <v>0</v>
      </c>
      <c r="M84" s="11"/>
      <c r="N84" s="11"/>
      <c r="O84" s="11"/>
      <c r="P84" s="11"/>
      <c r="Q84" s="36">
        <v>0</v>
      </c>
    </row>
    <row r="85" spans="2:20" ht="22.2" x14ac:dyDescent="0.25">
      <c r="B85" s="11">
        <v>1111019</v>
      </c>
      <c r="C85" s="18" t="s">
        <v>94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8">
        <v>0</v>
      </c>
      <c r="M85" s="11"/>
      <c r="N85" s="11"/>
      <c r="O85" s="11"/>
      <c r="P85" s="11"/>
      <c r="Q85" s="36">
        <v>0</v>
      </c>
    </row>
    <row r="86" spans="2:20" ht="22.2" x14ac:dyDescent="0.25">
      <c r="B86" s="11">
        <v>1113081</v>
      </c>
      <c r="C86" s="18" t="s">
        <v>95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8">
        <v>0</v>
      </c>
      <c r="M86" s="11"/>
      <c r="N86" s="11"/>
      <c r="O86" s="11"/>
      <c r="P86" s="11"/>
      <c r="Q86" s="36">
        <v>0</v>
      </c>
    </row>
    <row r="87" spans="2:20" ht="22.2" x14ac:dyDescent="0.35">
      <c r="B87" s="11">
        <v>1111008</v>
      </c>
      <c r="C87" s="18" t="s">
        <v>96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8">
        <v>0</v>
      </c>
      <c r="M87" s="11"/>
      <c r="N87" s="11">
        <v>6</v>
      </c>
      <c r="O87" s="11"/>
      <c r="P87" s="11"/>
      <c r="Q87" s="36">
        <v>6</v>
      </c>
      <c r="T87" s="38"/>
    </row>
    <row r="88" spans="2:20" ht="22.2" x14ac:dyDescent="0.25">
      <c r="B88" s="17"/>
      <c r="C88" s="17" t="s">
        <v>4</v>
      </c>
      <c r="D88" s="17"/>
      <c r="E88" s="17"/>
      <c r="F88" s="17"/>
      <c r="G88" s="17"/>
      <c r="H88" s="17"/>
      <c r="I88" s="17"/>
      <c r="J88" s="19"/>
      <c r="K88" s="19"/>
      <c r="L88" s="28">
        <v>0</v>
      </c>
      <c r="M88" s="11"/>
      <c r="N88" s="11"/>
      <c r="O88" s="11"/>
      <c r="P88" s="11"/>
      <c r="Q88" s="36">
        <v>0</v>
      </c>
    </row>
    <row r="89" spans="2:20" ht="20.399999999999999" x14ac:dyDescent="0.25">
      <c r="B89" s="58" t="s">
        <v>97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</row>
    <row r="90" spans="2:20" ht="22.2" x14ac:dyDescent="0.25">
      <c r="B90" s="11">
        <v>1112009</v>
      </c>
      <c r="C90" s="18" t="s">
        <v>98</v>
      </c>
      <c r="D90" s="25">
        <v>0</v>
      </c>
      <c r="E90" s="25">
        <v>0</v>
      </c>
      <c r="F90" s="25">
        <v>0</v>
      </c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8">
        <v>0</v>
      </c>
      <c r="M90" s="11"/>
      <c r="N90" s="11"/>
      <c r="O90" s="11"/>
      <c r="P90" s="11"/>
      <c r="Q90" s="36">
        <v>0</v>
      </c>
    </row>
    <row r="91" spans="2:20" ht="22.2" x14ac:dyDescent="0.25">
      <c r="B91" s="11">
        <v>1112011</v>
      </c>
      <c r="C91" s="18" t="s">
        <v>99</v>
      </c>
      <c r="D91" s="25">
        <v>0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8">
        <v>0</v>
      </c>
      <c r="M91" s="11"/>
      <c r="N91" s="11"/>
      <c r="O91" s="11"/>
      <c r="P91" s="11"/>
      <c r="Q91" s="36">
        <v>0</v>
      </c>
    </row>
    <row r="92" spans="2:20" ht="22.2" x14ac:dyDescent="0.25">
      <c r="B92" s="11">
        <v>1112003</v>
      </c>
      <c r="C92" s="18" t="s">
        <v>100</v>
      </c>
      <c r="D92" s="25">
        <v>0</v>
      </c>
      <c r="E92" s="25">
        <v>0</v>
      </c>
      <c r="F92" s="25">
        <v>5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8">
        <v>5</v>
      </c>
      <c r="M92" s="11"/>
      <c r="N92" s="11">
        <v>5</v>
      </c>
      <c r="O92" s="11"/>
      <c r="P92" s="11"/>
      <c r="Q92" s="36">
        <v>0</v>
      </c>
    </row>
    <row r="93" spans="2:20" ht="22.2" x14ac:dyDescent="0.25">
      <c r="B93" s="11">
        <v>1112005</v>
      </c>
      <c r="C93" s="18" t="s">
        <v>101</v>
      </c>
      <c r="D93" s="25">
        <v>0</v>
      </c>
      <c r="E93" s="25">
        <v>0</v>
      </c>
      <c r="F93" s="25">
        <v>4</v>
      </c>
      <c r="G93" s="25">
        <v>0</v>
      </c>
      <c r="H93" s="25">
        <v>0</v>
      </c>
      <c r="I93" s="25">
        <v>0</v>
      </c>
      <c r="J93" s="25">
        <v>0</v>
      </c>
      <c r="K93" s="25">
        <v>0</v>
      </c>
      <c r="L93" s="28">
        <v>4</v>
      </c>
      <c r="M93" s="11"/>
      <c r="N93" s="11">
        <v>2</v>
      </c>
      <c r="O93" s="11"/>
      <c r="P93" s="11"/>
      <c r="Q93" s="36">
        <v>-2</v>
      </c>
    </row>
    <row r="94" spans="2:20" ht="22.2" x14ac:dyDescent="0.25">
      <c r="B94" s="11">
        <v>1112007</v>
      </c>
      <c r="C94" s="18" t="s">
        <v>102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8">
        <v>0</v>
      </c>
      <c r="M94" s="11"/>
      <c r="N94" s="11"/>
      <c r="O94" s="11"/>
      <c r="P94" s="11"/>
      <c r="Q94" s="36">
        <v>0</v>
      </c>
    </row>
    <row r="95" spans="2:20" ht="22.2" x14ac:dyDescent="0.25">
      <c r="B95" s="11">
        <v>1112019</v>
      </c>
      <c r="C95" s="18" t="s">
        <v>103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8">
        <v>0</v>
      </c>
      <c r="M95" s="11"/>
      <c r="N95" s="11"/>
      <c r="O95" s="11"/>
      <c r="P95" s="11"/>
      <c r="Q95" s="36">
        <v>0</v>
      </c>
    </row>
    <row r="96" spans="2:20" ht="22.2" x14ac:dyDescent="0.25">
      <c r="B96" s="11">
        <v>1112017</v>
      </c>
      <c r="C96" s="18" t="s">
        <v>104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8">
        <v>0</v>
      </c>
      <c r="M96" s="11"/>
      <c r="N96" s="11"/>
      <c r="O96" s="11"/>
      <c r="P96" s="11"/>
      <c r="Q96" s="36">
        <v>0</v>
      </c>
    </row>
    <row r="97" spans="2:20" ht="22.2" x14ac:dyDescent="0.25">
      <c r="B97" s="11">
        <v>1112015</v>
      </c>
      <c r="C97" s="18" t="s">
        <v>105</v>
      </c>
      <c r="D97" s="25">
        <v>0</v>
      </c>
      <c r="E97" s="25">
        <v>0</v>
      </c>
      <c r="F97" s="25">
        <v>0</v>
      </c>
      <c r="G97" s="25">
        <v>0</v>
      </c>
      <c r="H97" s="25">
        <v>0</v>
      </c>
      <c r="I97" s="25">
        <v>0</v>
      </c>
      <c r="J97" s="25">
        <v>0</v>
      </c>
      <c r="K97" s="25">
        <v>0</v>
      </c>
      <c r="L97" s="28">
        <v>0</v>
      </c>
      <c r="M97" s="11"/>
      <c r="N97" s="11"/>
      <c r="O97" s="11"/>
      <c r="P97" s="11"/>
      <c r="Q97" s="36">
        <v>0</v>
      </c>
    </row>
    <row r="98" spans="2:20" ht="22.2" x14ac:dyDescent="0.35">
      <c r="B98" s="11">
        <v>1112013</v>
      </c>
      <c r="C98" s="18" t="s">
        <v>106</v>
      </c>
      <c r="D98" s="25">
        <v>0</v>
      </c>
      <c r="E98" s="25">
        <v>0</v>
      </c>
      <c r="F98" s="25">
        <v>0</v>
      </c>
      <c r="G98" s="25">
        <v>0</v>
      </c>
      <c r="H98" s="25">
        <v>0</v>
      </c>
      <c r="I98" s="25">
        <v>0</v>
      </c>
      <c r="J98" s="25">
        <v>0</v>
      </c>
      <c r="K98" s="25">
        <v>0</v>
      </c>
      <c r="L98" s="28">
        <v>0</v>
      </c>
      <c r="M98" s="11"/>
      <c r="N98" s="11"/>
      <c r="O98" s="11"/>
      <c r="P98" s="11"/>
      <c r="Q98" s="36">
        <v>0</v>
      </c>
      <c r="T98" s="38"/>
    </row>
    <row r="99" spans="2:20" ht="22.2" x14ac:dyDescent="0.25">
      <c r="B99" s="11">
        <v>1124043</v>
      </c>
      <c r="C99" s="18" t="s">
        <v>107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35"/>
      <c r="L99" s="28">
        <v>0</v>
      </c>
      <c r="M99" s="11"/>
      <c r="N99" s="11"/>
      <c r="O99" s="11"/>
      <c r="P99" s="11"/>
      <c r="Q99" s="36">
        <v>0</v>
      </c>
    </row>
    <row r="100" spans="2:20" ht="22.2" x14ac:dyDescent="0.25">
      <c r="B100" s="17"/>
      <c r="C100" s="17" t="s">
        <v>4</v>
      </c>
      <c r="D100" s="17"/>
      <c r="E100" s="17"/>
      <c r="F100" s="17"/>
      <c r="G100" s="17"/>
      <c r="H100" s="17"/>
      <c r="I100" s="17"/>
      <c r="J100" s="19"/>
      <c r="K100" s="19"/>
      <c r="L100" s="28">
        <v>9</v>
      </c>
      <c r="M100" s="11"/>
      <c r="N100" s="11"/>
      <c r="O100" s="11"/>
      <c r="P100" s="11"/>
      <c r="Q100" s="36">
        <v>-2</v>
      </c>
    </row>
    <row r="101" spans="2:20" ht="20.399999999999999" x14ac:dyDescent="0.25">
      <c r="B101" s="58" t="s">
        <v>108</v>
      </c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</row>
    <row r="102" spans="2:20" ht="22.2" x14ac:dyDescent="0.25">
      <c r="B102" s="11">
        <v>1112008</v>
      </c>
      <c r="C102" s="18" t="s">
        <v>98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35"/>
      <c r="L102" s="28">
        <v>0</v>
      </c>
      <c r="M102" s="11"/>
      <c r="N102" s="11"/>
      <c r="O102" s="11"/>
      <c r="P102" s="11"/>
      <c r="Q102" s="36">
        <v>0</v>
      </c>
    </row>
    <row r="103" spans="2:20" ht="22.2" x14ac:dyDescent="0.25">
      <c r="B103" s="11">
        <v>1112010</v>
      </c>
      <c r="C103" s="18" t="s">
        <v>99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35"/>
      <c r="L103" s="28">
        <v>0</v>
      </c>
      <c r="M103" s="11"/>
      <c r="N103" s="11"/>
      <c r="O103" s="11"/>
      <c r="P103" s="11"/>
      <c r="Q103" s="36">
        <v>0</v>
      </c>
    </row>
    <row r="104" spans="2:20" ht="22.2" x14ac:dyDescent="0.25">
      <c r="B104" s="11">
        <v>1112002</v>
      </c>
      <c r="C104" s="18" t="s">
        <v>100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35"/>
      <c r="L104" s="28">
        <v>0</v>
      </c>
      <c r="M104" s="11"/>
      <c r="N104" s="11"/>
      <c r="O104" s="11"/>
      <c r="P104" s="11"/>
      <c r="Q104" s="36">
        <v>0</v>
      </c>
    </row>
    <row r="105" spans="2:20" ht="22.2" x14ac:dyDescent="0.25">
      <c r="B105" s="11">
        <v>1112004</v>
      </c>
      <c r="C105" s="18" t="s">
        <v>101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35"/>
      <c r="L105" s="28">
        <v>0</v>
      </c>
      <c r="M105" s="11"/>
      <c r="N105" s="11"/>
      <c r="O105" s="11"/>
      <c r="P105" s="11"/>
      <c r="Q105" s="36">
        <v>0</v>
      </c>
    </row>
    <row r="106" spans="2:20" ht="22.2" x14ac:dyDescent="0.25">
      <c r="B106" s="11">
        <v>1112006</v>
      </c>
      <c r="C106" s="18" t="s">
        <v>102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35"/>
      <c r="L106" s="28">
        <v>0</v>
      </c>
      <c r="M106" s="11"/>
      <c r="N106" s="11"/>
      <c r="O106" s="11"/>
      <c r="P106" s="11"/>
      <c r="Q106" s="36">
        <v>0</v>
      </c>
    </row>
    <row r="107" spans="2:20" ht="22.2" x14ac:dyDescent="0.25">
      <c r="B107" s="11">
        <v>1112018</v>
      </c>
      <c r="C107" s="18" t="s">
        <v>103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35"/>
      <c r="L107" s="28">
        <v>0</v>
      </c>
      <c r="M107" s="11"/>
      <c r="N107" s="11"/>
      <c r="O107" s="11"/>
      <c r="P107" s="11"/>
      <c r="Q107" s="36">
        <v>0</v>
      </c>
    </row>
    <row r="108" spans="2:20" ht="22.2" x14ac:dyDescent="0.25">
      <c r="B108" s="11">
        <v>1112016</v>
      </c>
      <c r="C108" s="18" t="s">
        <v>104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  <c r="I108" s="25">
        <v>0</v>
      </c>
      <c r="J108" s="25">
        <v>0</v>
      </c>
      <c r="K108" s="35"/>
      <c r="L108" s="28">
        <v>0</v>
      </c>
      <c r="M108" s="11"/>
      <c r="N108" s="11"/>
      <c r="O108" s="11"/>
      <c r="P108" s="11"/>
      <c r="Q108" s="36">
        <v>0</v>
      </c>
    </row>
    <row r="109" spans="2:20" ht="22.2" x14ac:dyDescent="0.25">
      <c r="B109" s="11">
        <v>1112014</v>
      </c>
      <c r="C109" s="18" t="s">
        <v>105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35"/>
      <c r="L109" s="28">
        <v>0</v>
      </c>
      <c r="M109" s="11"/>
      <c r="N109" s="11"/>
      <c r="O109" s="11"/>
      <c r="P109" s="11"/>
      <c r="Q109" s="36">
        <v>0</v>
      </c>
    </row>
    <row r="110" spans="2:20" ht="22.2" x14ac:dyDescent="0.25">
      <c r="B110" s="11">
        <v>1112012</v>
      </c>
      <c r="C110" s="18" t="s">
        <v>106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35"/>
      <c r="L110" s="28">
        <v>0</v>
      </c>
      <c r="M110" s="11"/>
      <c r="N110" s="11"/>
      <c r="O110" s="11"/>
      <c r="P110" s="11"/>
      <c r="Q110" s="36">
        <v>0</v>
      </c>
    </row>
    <row r="111" spans="2:20" ht="22.2" x14ac:dyDescent="0.25">
      <c r="B111" s="11"/>
      <c r="C111" s="18" t="s">
        <v>107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35"/>
      <c r="L111" s="28">
        <v>0</v>
      </c>
      <c r="M111" s="11"/>
      <c r="N111" s="11"/>
      <c r="O111" s="11"/>
      <c r="P111" s="11"/>
      <c r="Q111" s="36">
        <v>0</v>
      </c>
    </row>
    <row r="112" spans="2:20" ht="22.2" x14ac:dyDescent="0.25">
      <c r="B112" s="17"/>
      <c r="C112" s="17" t="s">
        <v>4</v>
      </c>
      <c r="D112" s="17"/>
      <c r="E112" s="17"/>
      <c r="F112" s="17"/>
      <c r="G112" s="17"/>
      <c r="H112" s="17"/>
      <c r="I112" s="17"/>
      <c r="J112" s="19"/>
      <c r="K112" s="19"/>
      <c r="L112" s="28">
        <v>0</v>
      </c>
      <c r="M112" s="11"/>
      <c r="N112" s="11"/>
      <c r="O112" s="11"/>
      <c r="P112" s="11"/>
      <c r="Q112" s="36">
        <v>0</v>
      </c>
    </row>
    <row r="113" spans="2:17" ht="20.399999999999999" x14ac:dyDescent="0.25">
      <c r="B113" s="58" t="s">
        <v>109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</row>
    <row r="114" spans="2:17" ht="22.2" x14ac:dyDescent="0.25">
      <c r="B114" s="11">
        <v>1113170</v>
      </c>
      <c r="C114" s="20" t="s">
        <v>110</v>
      </c>
      <c r="D114" s="25">
        <v>0</v>
      </c>
      <c r="E114" s="25">
        <v>1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8">
        <v>1</v>
      </c>
      <c r="M114" s="11"/>
      <c r="N114" s="11">
        <v>2</v>
      </c>
      <c r="O114" s="11"/>
      <c r="P114" s="11"/>
      <c r="Q114" s="36">
        <v>1</v>
      </c>
    </row>
    <row r="115" spans="2:17" ht="22.2" x14ac:dyDescent="0.25">
      <c r="B115" s="11">
        <v>1113171</v>
      </c>
      <c r="C115" s="20" t="s">
        <v>111</v>
      </c>
      <c r="D115" s="25">
        <v>0</v>
      </c>
      <c r="E115" s="25">
        <v>1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8">
        <v>1</v>
      </c>
      <c r="M115" s="11"/>
      <c r="N115" s="11"/>
      <c r="O115" s="11"/>
      <c r="P115" s="11"/>
      <c r="Q115" s="36">
        <v>-1</v>
      </c>
    </row>
    <row r="116" spans="2:17" ht="22.2" x14ac:dyDescent="0.25">
      <c r="B116" s="11">
        <v>1113172</v>
      </c>
      <c r="C116" s="20" t="s">
        <v>112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8">
        <v>0</v>
      </c>
      <c r="M116" s="11"/>
      <c r="N116" s="11"/>
      <c r="O116" s="11"/>
      <c r="P116" s="11"/>
      <c r="Q116" s="36">
        <v>0</v>
      </c>
    </row>
    <row r="117" spans="2:17" ht="22.2" x14ac:dyDescent="0.25">
      <c r="B117" s="11">
        <v>1113173</v>
      </c>
      <c r="C117" s="20" t="s">
        <v>113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8">
        <v>0</v>
      </c>
      <c r="M117" s="11"/>
      <c r="N117" s="11"/>
      <c r="O117" s="11"/>
      <c r="P117" s="11"/>
      <c r="Q117" s="36">
        <v>0</v>
      </c>
    </row>
    <row r="118" spans="2:17" ht="22.2" x14ac:dyDescent="0.25">
      <c r="B118" s="11">
        <v>1100003</v>
      </c>
      <c r="C118" s="20" t="s">
        <v>114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8">
        <v>0</v>
      </c>
      <c r="M118" s="11"/>
      <c r="N118" s="11">
        <v>24</v>
      </c>
      <c r="O118" s="11"/>
      <c r="P118" s="11"/>
      <c r="Q118" s="36">
        <v>24</v>
      </c>
    </row>
    <row r="119" spans="2:17" ht="22.2" x14ac:dyDescent="0.25">
      <c r="B119" s="11">
        <v>1100001</v>
      </c>
      <c r="C119" s="20" t="s">
        <v>115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8">
        <v>0</v>
      </c>
      <c r="M119" s="11"/>
      <c r="N119" s="11"/>
      <c r="O119" s="11"/>
      <c r="P119" s="11"/>
      <c r="Q119" s="36">
        <v>0</v>
      </c>
    </row>
    <row r="120" spans="2:17" ht="22.2" x14ac:dyDescent="0.25">
      <c r="B120" s="11">
        <v>1100002</v>
      </c>
      <c r="C120" s="20" t="s">
        <v>116</v>
      </c>
      <c r="D120" s="25">
        <v>0</v>
      </c>
      <c r="E120" s="25">
        <v>4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8">
        <v>4</v>
      </c>
      <c r="M120" s="11"/>
      <c r="N120" s="11"/>
      <c r="O120" s="11"/>
      <c r="P120" s="11"/>
      <c r="Q120" s="36">
        <v>-4</v>
      </c>
    </row>
    <row r="121" spans="2:17" ht="22.2" x14ac:dyDescent="0.25">
      <c r="B121" s="11">
        <v>1200001</v>
      </c>
      <c r="C121" s="20" t="s">
        <v>117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8">
        <v>0</v>
      </c>
      <c r="M121" s="11"/>
      <c r="N121" s="11">
        <v>45</v>
      </c>
      <c r="O121" s="11"/>
      <c r="P121" s="11"/>
      <c r="Q121" s="36">
        <v>45</v>
      </c>
    </row>
    <row r="122" spans="2:17" ht="22.2" x14ac:dyDescent="0.25">
      <c r="B122" s="11">
        <v>1005761</v>
      </c>
      <c r="C122" s="20" t="s">
        <v>118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8">
        <v>0</v>
      </c>
      <c r="M122" s="11"/>
      <c r="N122" s="11"/>
      <c r="O122" s="11"/>
      <c r="P122" s="11"/>
      <c r="Q122" s="36">
        <v>0</v>
      </c>
    </row>
    <row r="123" spans="2:17" ht="22.2" x14ac:dyDescent="0.25">
      <c r="B123" s="11">
        <v>1114501</v>
      </c>
      <c r="C123" s="20" t="s">
        <v>119</v>
      </c>
      <c r="D123" s="25">
        <v>0</v>
      </c>
      <c r="E123" s="25">
        <v>0</v>
      </c>
      <c r="F123" s="25">
        <v>0</v>
      </c>
      <c r="G123" s="25">
        <v>0</v>
      </c>
      <c r="H123" s="25">
        <v>0</v>
      </c>
      <c r="I123" s="25">
        <v>0</v>
      </c>
      <c r="J123" s="25">
        <v>0</v>
      </c>
      <c r="K123" s="25">
        <v>0</v>
      </c>
      <c r="L123" s="28">
        <v>0</v>
      </c>
      <c r="M123" s="11"/>
      <c r="N123" s="11">
        <v>12</v>
      </c>
      <c r="O123" s="11"/>
      <c r="P123" s="11"/>
      <c r="Q123" s="36">
        <v>12</v>
      </c>
    </row>
    <row r="124" spans="2:17" ht="22.2" x14ac:dyDescent="0.25">
      <c r="B124" s="11">
        <v>1114502</v>
      </c>
      <c r="C124" s="20" t="s">
        <v>120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0</v>
      </c>
      <c r="J124" s="25">
        <v>0</v>
      </c>
      <c r="K124" s="25">
        <v>0</v>
      </c>
      <c r="L124" s="28">
        <v>0</v>
      </c>
      <c r="M124" s="11"/>
      <c r="N124" s="11">
        <v>3</v>
      </c>
      <c r="O124" s="11"/>
      <c r="P124" s="11"/>
      <c r="Q124" s="36">
        <v>3</v>
      </c>
    </row>
    <row r="125" spans="2:17" ht="22.2" x14ac:dyDescent="0.25">
      <c r="B125" s="11">
        <v>1114503</v>
      </c>
      <c r="C125" s="20" t="s">
        <v>121</v>
      </c>
      <c r="D125" s="25">
        <v>0</v>
      </c>
      <c r="E125" s="25">
        <v>0</v>
      </c>
      <c r="F125" s="25">
        <v>0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8">
        <v>0</v>
      </c>
      <c r="M125" s="11"/>
      <c r="N125" s="11">
        <v>3</v>
      </c>
      <c r="O125" s="11"/>
      <c r="P125" s="11"/>
      <c r="Q125" s="36">
        <v>3</v>
      </c>
    </row>
    <row r="126" spans="2:17" ht="22.2" x14ac:dyDescent="0.25">
      <c r="B126" s="11">
        <v>1124021</v>
      </c>
      <c r="C126" s="20" t="s">
        <v>122</v>
      </c>
      <c r="D126" s="25">
        <v>0</v>
      </c>
      <c r="E126" s="25">
        <v>0</v>
      </c>
      <c r="F126" s="25">
        <v>3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8">
        <v>3</v>
      </c>
      <c r="M126" s="11"/>
      <c r="N126" s="11"/>
      <c r="O126" s="11"/>
      <c r="P126" s="11"/>
      <c r="Q126" s="36">
        <v>-3</v>
      </c>
    </row>
    <row r="127" spans="2:17" ht="22.2" x14ac:dyDescent="0.25">
      <c r="B127" s="11">
        <v>1113084</v>
      </c>
      <c r="C127" s="20" t="s">
        <v>123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8">
        <v>0</v>
      </c>
      <c r="M127" s="11"/>
      <c r="N127" s="11"/>
      <c r="O127" s="11"/>
      <c r="P127" s="11"/>
      <c r="Q127" s="36">
        <v>0</v>
      </c>
    </row>
    <row r="128" spans="2:17" ht="22.2" x14ac:dyDescent="0.25">
      <c r="B128" s="11">
        <v>900003</v>
      </c>
      <c r="C128" s="20" t="s">
        <v>124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8">
        <v>0</v>
      </c>
      <c r="M128" s="11"/>
      <c r="N128" s="11"/>
      <c r="O128" s="11"/>
      <c r="P128" s="11"/>
      <c r="Q128" s="36">
        <v>0</v>
      </c>
    </row>
    <row r="129" spans="2:17" ht="22.2" x14ac:dyDescent="0.25">
      <c r="B129" s="11">
        <v>900004</v>
      </c>
      <c r="C129" s="20" t="s">
        <v>125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8">
        <v>0</v>
      </c>
      <c r="M129" s="11"/>
      <c r="N129" s="11"/>
      <c r="O129" s="11"/>
      <c r="P129" s="11"/>
      <c r="Q129" s="36">
        <v>0</v>
      </c>
    </row>
    <row r="130" spans="2:17" ht="22.2" x14ac:dyDescent="0.25">
      <c r="B130" s="11">
        <v>1200002</v>
      </c>
      <c r="C130" s="20" t="s">
        <v>126</v>
      </c>
      <c r="D130" s="25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8">
        <v>0</v>
      </c>
      <c r="M130" s="11"/>
      <c r="N130" s="11"/>
      <c r="O130" s="11"/>
      <c r="P130" s="11"/>
      <c r="Q130" s="36">
        <v>0</v>
      </c>
    </row>
    <row r="131" spans="2:17" ht="22.2" x14ac:dyDescent="0.25">
      <c r="B131" s="11">
        <v>1200003</v>
      </c>
      <c r="C131" s="20" t="s">
        <v>127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8">
        <v>0</v>
      </c>
      <c r="M131" s="11"/>
      <c r="N131" s="11"/>
      <c r="O131" s="11"/>
      <c r="P131" s="11"/>
      <c r="Q131" s="36">
        <v>0</v>
      </c>
    </row>
    <row r="132" spans="2:17" ht="22.2" x14ac:dyDescent="0.25">
      <c r="B132" s="11">
        <v>1200004</v>
      </c>
      <c r="C132" s="20" t="s">
        <v>128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8">
        <v>0</v>
      </c>
      <c r="M132" s="11"/>
      <c r="N132" s="11"/>
      <c r="O132" s="11"/>
      <c r="P132" s="11"/>
      <c r="Q132" s="36">
        <v>0</v>
      </c>
    </row>
    <row r="133" spans="2:17" ht="22.2" x14ac:dyDescent="0.25">
      <c r="B133" s="11">
        <v>1200093</v>
      </c>
      <c r="C133" s="20" t="s">
        <v>129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8">
        <v>0</v>
      </c>
      <c r="M133" s="11"/>
      <c r="N133" s="11"/>
      <c r="O133" s="11"/>
      <c r="P133" s="11"/>
      <c r="Q133" s="36">
        <v>0</v>
      </c>
    </row>
    <row r="134" spans="2:17" ht="22.2" x14ac:dyDescent="0.25">
      <c r="B134" s="11">
        <v>1200092</v>
      </c>
      <c r="C134" s="18" t="s">
        <v>130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8">
        <v>0</v>
      </c>
      <c r="M134" s="11"/>
      <c r="N134" s="11"/>
      <c r="O134" s="11"/>
      <c r="P134" s="11"/>
      <c r="Q134" s="36">
        <v>0</v>
      </c>
    </row>
    <row r="135" spans="2:17" ht="22.2" x14ac:dyDescent="0.25">
      <c r="B135" s="21"/>
      <c r="C135" s="20" t="s">
        <v>131</v>
      </c>
      <c r="D135" s="25">
        <v>0</v>
      </c>
      <c r="E135" s="25">
        <v>1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8">
        <v>1</v>
      </c>
      <c r="M135" s="11"/>
      <c r="N135" s="11"/>
      <c r="O135" s="11"/>
      <c r="P135" s="11"/>
      <c r="Q135" s="36">
        <v>-1</v>
      </c>
    </row>
    <row r="136" spans="2:17" ht="22.2" x14ac:dyDescent="0.25">
      <c r="B136" s="21"/>
      <c r="C136" s="20" t="s">
        <v>132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8">
        <v>0</v>
      </c>
      <c r="M136" s="11"/>
      <c r="N136" s="11"/>
      <c r="O136" s="11"/>
      <c r="P136" s="11"/>
      <c r="Q136" s="36">
        <v>0</v>
      </c>
    </row>
    <row r="137" spans="2:17" ht="22.2" x14ac:dyDescent="0.25">
      <c r="B137" s="41"/>
      <c r="C137" s="40" t="s">
        <v>133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8">
        <v>0</v>
      </c>
      <c r="M137" s="11"/>
      <c r="N137" s="11"/>
      <c r="O137" s="11"/>
      <c r="P137" s="11"/>
      <c r="Q137" s="36">
        <v>0</v>
      </c>
    </row>
    <row r="138" spans="2:17" ht="22.2" x14ac:dyDescent="0.25">
      <c r="B138" s="41"/>
      <c r="C138" s="40" t="s">
        <v>134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8">
        <v>0</v>
      </c>
      <c r="M138" s="11"/>
      <c r="N138" s="11"/>
      <c r="O138" s="11"/>
      <c r="P138" s="11"/>
      <c r="Q138" s="36">
        <v>0</v>
      </c>
    </row>
    <row r="139" spans="2:17" ht="22.2" x14ac:dyDescent="0.25">
      <c r="B139" s="41"/>
      <c r="C139" s="40" t="s">
        <v>135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8">
        <v>0</v>
      </c>
      <c r="M139" s="11"/>
      <c r="N139" s="11"/>
      <c r="O139" s="11"/>
      <c r="P139" s="11"/>
      <c r="Q139" s="36">
        <v>0</v>
      </c>
    </row>
    <row r="140" spans="2:17" ht="22.2" x14ac:dyDescent="0.25">
      <c r="C140" s="27"/>
      <c r="D140" s="28">
        <v>0</v>
      </c>
      <c r="E140" s="28">
        <v>7</v>
      </c>
      <c r="F140" s="28">
        <v>12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19</v>
      </c>
      <c r="M140" s="25">
        <v>0</v>
      </c>
      <c r="N140" s="25">
        <v>105</v>
      </c>
      <c r="O140" s="25"/>
      <c r="P140" s="25"/>
      <c r="Q140" s="36">
        <v>86</v>
      </c>
    </row>
    <row r="141" spans="2:17" ht="22.2" x14ac:dyDescent="0.25">
      <c r="B141" s="29"/>
      <c r="C141" s="27"/>
      <c r="D141" s="30"/>
      <c r="E141" s="30"/>
      <c r="F141" s="30"/>
      <c r="G141" s="30"/>
      <c r="H141" s="30"/>
      <c r="I141" s="30"/>
      <c r="J141" s="30"/>
      <c r="K141" s="30"/>
      <c r="L141" s="31"/>
    </row>
    <row r="142" spans="2:17" ht="22.2" x14ac:dyDescent="0.25">
      <c r="B142" s="29"/>
      <c r="C142" s="27"/>
      <c r="D142" s="30"/>
      <c r="E142" s="30"/>
      <c r="F142" s="30"/>
      <c r="G142" s="30"/>
      <c r="H142" s="30"/>
      <c r="I142" s="30"/>
      <c r="J142" s="30"/>
      <c r="K142" s="30"/>
      <c r="L142" s="31"/>
    </row>
    <row r="143" spans="2:17" ht="22.2" x14ac:dyDescent="0.25">
      <c r="C143" s="22"/>
      <c r="D143" s="26"/>
      <c r="E143" s="61"/>
      <c r="F143" s="61"/>
      <c r="G143" s="23"/>
      <c r="L143" s="32"/>
    </row>
  </sheetData>
  <mergeCells count="15">
    <mergeCell ref="B1:L1"/>
    <mergeCell ref="B2:C3"/>
    <mergeCell ref="E2:F3"/>
    <mergeCell ref="M2:M4"/>
    <mergeCell ref="Q2:Q4"/>
    <mergeCell ref="B101:Q101"/>
    <mergeCell ref="B113:Q113"/>
    <mergeCell ref="E143:F143"/>
    <mergeCell ref="B89:Q89"/>
    <mergeCell ref="N2:N4"/>
    <mergeCell ref="O2:O4"/>
    <mergeCell ref="P2:P4"/>
    <mergeCell ref="B6:Q6"/>
    <mergeCell ref="B68:Q68"/>
    <mergeCell ref="B78:Q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30</vt:i4>
      </vt:variant>
    </vt:vector>
  </HeadingPairs>
  <TitlesOfParts>
    <vt:vector size="30" baseType="lpstr">
      <vt:lpstr>รวม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Kanokon plam</cp:lastModifiedBy>
  <dcterms:created xsi:type="dcterms:W3CDTF">2025-02-05T10:25:59Z</dcterms:created>
  <dcterms:modified xsi:type="dcterms:W3CDTF">2025-02-07T06:46:43Z</dcterms:modified>
</cp:coreProperties>
</file>