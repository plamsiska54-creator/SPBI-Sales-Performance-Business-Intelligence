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3E884ACF-4220-4203-A8C8-6E55DEC07E05}" xr6:coauthVersionLast="47" xr6:coauthVersionMax="47" xr10:uidLastSave="{00000000-0000-0000-0000-000000000000}"/>
  <bookViews>
    <workbookView xWindow="-108" yWindow="-108" windowWidth="23256" windowHeight="12456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  <sheet name="รวม (2)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0" i="7" l="1"/>
  <c r="M140" i="7"/>
  <c r="K139" i="7"/>
  <c r="J139" i="7"/>
  <c r="I139" i="7"/>
  <c r="H139" i="7"/>
  <c r="G139" i="7"/>
  <c r="F139" i="7"/>
  <c r="E139" i="7"/>
  <c r="D139" i="7"/>
  <c r="L139" i="7" s="1"/>
  <c r="Q139" i="7" s="1"/>
  <c r="K138" i="7"/>
  <c r="J138" i="7"/>
  <c r="I138" i="7"/>
  <c r="H138" i="7"/>
  <c r="G138" i="7"/>
  <c r="F138" i="7"/>
  <c r="E138" i="7"/>
  <c r="D138" i="7"/>
  <c r="L138" i="7" s="1"/>
  <c r="Q138" i="7" s="1"/>
  <c r="K137" i="7"/>
  <c r="J137" i="7"/>
  <c r="I137" i="7"/>
  <c r="H137" i="7"/>
  <c r="G137" i="7"/>
  <c r="F137" i="7"/>
  <c r="E137" i="7"/>
  <c r="D137" i="7"/>
  <c r="L137" i="7" s="1"/>
  <c r="Q137" i="7" s="1"/>
  <c r="K136" i="7"/>
  <c r="J136" i="7"/>
  <c r="I136" i="7"/>
  <c r="H136" i="7"/>
  <c r="G136" i="7"/>
  <c r="F136" i="7"/>
  <c r="E136" i="7"/>
  <c r="D136" i="7"/>
  <c r="L136" i="7" s="1"/>
  <c r="Q136" i="7" s="1"/>
  <c r="K135" i="7"/>
  <c r="J135" i="7"/>
  <c r="I135" i="7"/>
  <c r="H135" i="7"/>
  <c r="G135" i="7"/>
  <c r="F135" i="7"/>
  <c r="E135" i="7"/>
  <c r="D135" i="7"/>
  <c r="L135" i="7" s="1"/>
  <c r="Q135" i="7" s="1"/>
  <c r="K134" i="7"/>
  <c r="J134" i="7"/>
  <c r="I134" i="7"/>
  <c r="H134" i="7"/>
  <c r="G134" i="7"/>
  <c r="F134" i="7"/>
  <c r="E134" i="7"/>
  <c r="D134" i="7"/>
  <c r="L134" i="7" s="1"/>
  <c r="Q134" i="7" s="1"/>
  <c r="K133" i="7"/>
  <c r="J133" i="7"/>
  <c r="I133" i="7"/>
  <c r="H133" i="7"/>
  <c r="G133" i="7"/>
  <c r="F133" i="7"/>
  <c r="E133" i="7"/>
  <c r="D133" i="7"/>
  <c r="L133" i="7" s="1"/>
  <c r="Q133" i="7" s="1"/>
  <c r="K132" i="7"/>
  <c r="J132" i="7"/>
  <c r="I132" i="7"/>
  <c r="H132" i="7"/>
  <c r="G132" i="7"/>
  <c r="F132" i="7"/>
  <c r="E132" i="7"/>
  <c r="D132" i="7"/>
  <c r="L132" i="7" s="1"/>
  <c r="Q132" i="7" s="1"/>
  <c r="K131" i="7"/>
  <c r="J131" i="7"/>
  <c r="I131" i="7"/>
  <c r="H131" i="7"/>
  <c r="G131" i="7"/>
  <c r="F131" i="7"/>
  <c r="E131" i="7"/>
  <c r="D131" i="7"/>
  <c r="L131" i="7" s="1"/>
  <c r="Q131" i="7" s="1"/>
  <c r="K130" i="7"/>
  <c r="J130" i="7"/>
  <c r="I130" i="7"/>
  <c r="H130" i="7"/>
  <c r="G130" i="7"/>
  <c r="F130" i="7"/>
  <c r="E130" i="7"/>
  <c r="D130" i="7"/>
  <c r="L130" i="7" s="1"/>
  <c r="Q130" i="7" s="1"/>
  <c r="K129" i="7"/>
  <c r="J129" i="7"/>
  <c r="I129" i="7"/>
  <c r="H129" i="7"/>
  <c r="G129" i="7"/>
  <c r="F129" i="7"/>
  <c r="E129" i="7"/>
  <c r="D129" i="7"/>
  <c r="L129" i="7" s="1"/>
  <c r="Q129" i="7" s="1"/>
  <c r="K128" i="7"/>
  <c r="J128" i="7"/>
  <c r="I128" i="7"/>
  <c r="H128" i="7"/>
  <c r="G128" i="7"/>
  <c r="F128" i="7"/>
  <c r="E128" i="7"/>
  <c r="D128" i="7"/>
  <c r="L128" i="7" s="1"/>
  <c r="Q128" i="7" s="1"/>
  <c r="K127" i="7"/>
  <c r="J127" i="7"/>
  <c r="I127" i="7"/>
  <c r="H127" i="7"/>
  <c r="G127" i="7"/>
  <c r="F127" i="7"/>
  <c r="E127" i="7"/>
  <c r="D127" i="7"/>
  <c r="L127" i="7" s="1"/>
  <c r="Q127" i="7" s="1"/>
  <c r="K126" i="7"/>
  <c r="J126" i="7"/>
  <c r="I126" i="7"/>
  <c r="H126" i="7"/>
  <c r="G126" i="7"/>
  <c r="F126" i="7"/>
  <c r="E126" i="7"/>
  <c r="D126" i="7"/>
  <c r="L126" i="7" s="1"/>
  <c r="Q126" i="7" s="1"/>
  <c r="K125" i="7"/>
  <c r="J125" i="7"/>
  <c r="I125" i="7"/>
  <c r="H125" i="7"/>
  <c r="G125" i="7"/>
  <c r="F125" i="7"/>
  <c r="E125" i="7"/>
  <c r="D125" i="7"/>
  <c r="L125" i="7" s="1"/>
  <c r="Q125" i="7" s="1"/>
  <c r="K124" i="7"/>
  <c r="J124" i="7"/>
  <c r="I124" i="7"/>
  <c r="H124" i="7"/>
  <c r="G124" i="7"/>
  <c r="F124" i="7"/>
  <c r="E124" i="7"/>
  <c r="D124" i="7"/>
  <c r="L124" i="7" s="1"/>
  <c r="Q124" i="7" s="1"/>
  <c r="K123" i="7"/>
  <c r="J123" i="7"/>
  <c r="I123" i="7"/>
  <c r="H123" i="7"/>
  <c r="G123" i="7"/>
  <c r="F123" i="7"/>
  <c r="E123" i="7"/>
  <c r="D123" i="7"/>
  <c r="L123" i="7" s="1"/>
  <c r="Q123" i="7" s="1"/>
  <c r="K122" i="7"/>
  <c r="J122" i="7"/>
  <c r="I122" i="7"/>
  <c r="H122" i="7"/>
  <c r="G122" i="7"/>
  <c r="F122" i="7"/>
  <c r="E122" i="7"/>
  <c r="D122" i="7"/>
  <c r="L122" i="7" s="1"/>
  <c r="Q122" i="7" s="1"/>
  <c r="K121" i="7"/>
  <c r="J121" i="7"/>
  <c r="I121" i="7"/>
  <c r="H121" i="7"/>
  <c r="G121" i="7"/>
  <c r="F121" i="7"/>
  <c r="E121" i="7"/>
  <c r="D121" i="7"/>
  <c r="L121" i="7" s="1"/>
  <c r="Q121" i="7" s="1"/>
  <c r="K120" i="7"/>
  <c r="J120" i="7"/>
  <c r="I120" i="7"/>
  <c r="H120" i="7"/>
  <c r="G120" i="7"/>
  <c r="F120" i="7"/>
  <c r="E120" i="7"/>
  <c r="D120" i="7"/>
  <c r="L120" i="7" s="1"/>
  <c r="Q120" i="7" s="1"/>
  <c r="K119" i="7"/>
  <c r="J119" i="7"/>
  <c r="I119" i="7"/>
  <c r="H119" i="7"/>
  <c r="G119" i="7"/>
  <c r="F119" i="7"/>
  <c r="E119" i="7"/>
  <c r="D119" i="7"/>
  <c r="L119" i="7" s="1"/>
  <c r="Q119" i="7" s="1"/>
  <c r="K118" i="7"/>
  <c r="J118" i="7"/>
  <c r="I118" i="7"/>
  <c r="H118" i="7"/>
  <c r="G118" i="7"/>
  <c r="F118" i="7"/>
  <c r="E118" i="7"/>
  <c r="D118" i="7"/>
  <c r="L118" i="7" s="1"/>
  <c r="Q118" i="7" s="1"/>
  <c r="K117" i="7"/>
  <c r="J117" i="7"/>
  <c r="I117" i="7"/>
  <c r="H117" i="7"/>
  <c r="G117" i="7"/>
  <c r="F117" i="7"/>
  <c r="E117" i="7"/>
  <c r="D117" i="7"/>
  <c r="L117" i="7" s="1"/>
  <c r="Q117" i="7" s="1"/>
  <c r="K116" i="7"/>
  <c r="J116" i="7"/>
  <c r="I116" i="7"/>
  <c r="H116" i="7"/>
  <c r="H140" i="7" s="1"/>
  <c r="G116" i="7"/>
  <c r="F116" i="7"/>
  <c r="E116" i="7"/>
  <c r="D116" i="7"/>
  <c r="L116" i="7" s="1"/>
  <c r="Q116" i="7" s="1"/>
  <c r="K115" i="7"/>
  <c r="J115" i="7"/>
  <c r="I115" i="7"/>
  <c r="H115" i="7"/>
  <c r="G115" i="7"/>
  <c r="F115" i="7"/>
  <c r="E115" i="7"/>
  <c r="D115" i="7"/>
  <c r="L115" i="7" s="1"/>
  <c r="Q115" i="7" s="1"/>
  <c r="K114" i="7"/>
  <c r="K140" i="7" s="1"/>
  <c r="J114" i="7"/>
  <c r="J140" i="7" s="1"/>
  <c r="I114" i="7"/>
  <c r="I140" i="7" s="1"/>
  <c r="H114" i="7"/>
  <c r="G114" i="7"/>
  <c r="G140" i="7" s="1"/>
  <c r="F114" i="7"/>
  <c r="F140" i="7" s="1"/>
  <c r="E114" i="7"/>
  <c r="E140" i="7" s="1"/>
  <c r="D114" i="7"/>
  <c r="L114" i="7" s="1"/>
  <c r="Q112" i="7"/>
  <c r="L112" i="7"/>
  <c r="J111" i="7"/>
  <c r="I111" i="7"/>
  <c r="H111" i="7"/>
  <c r="G111" i="7"/>
  <c r="F111" i="7"/>
  <c r="E111" i="7"/>
  <c r="D111" i="7"/>
  <c r="L111" i="7" s="1"/>
  <c r="Q111" i="7" s="1"/>
  <c r="J110" i="7"/>
  <c r="I110" i="7"/>
  <c r="H110" i="7"/>
  <c r="G110" i="7"/>
  <c r="L110" i="7" s="1"/>
  <c r="Q110" i="7" s="1"/>
  <c r="F110" i="7"/>
  <c r="E110" i="7"/>
  <c r="D110" i="7"/>
  <c r="J109" i="7"/>
  <c r="I109" i="7"/>
  <c r="H109" i="7"/>
  <c r="G109" i="7"/>
  <c r="F109" i="7"/>
  <c r="E109" i="7"/>
  <c r="D109" i="7"/>
  <c r="L109" i="7" s="1"/>
  <c r="Q109" i="7" s="1"/>
  <c r="J108" i="7"/>
  <c r="I108" i="7"/>
  <c r="H108" i="7"/>
  <c r="G108" i="7"/>
  <c r="F108" i="7"/>
  <c r="E108" i="7"/>
  <c r="D108" i="7"/>
  <c r="L108" i="7" s="1"/>
  <c r="Q108" i="7" s="1"/>
  <c r="L107" i="7"/>
  <c r="Q107" i="7" s="1"/>
  <c r="J107" i="7"/>
  <c r="I107" i="7"/>
  <c r="H107" i="7"/>
  <c r="G107" i="7"/>
  <c r="F107" i="7"/>
  <c r="E107" i="7"/>
  <c r="D107" i="7"/>
  <c r="J106" i="7"/>
  <c r="I106" i="7"/>
  <c r="H106" i="7"/>
  <c r="G106" i="7"/>
  <c r="F106" i="7"/>
  <c r="E106" i="7"/>
  <c r="D106" i="7"/>
  <c r="L106" i="7" s="1"/>
  <c r="Q106" i="7" s="1"/>
  <c r="J105" i="7"/>
  <c r="I105" i="7"/>
  <c r="H105" i="7"/>
  <c r="G105" i="7"/>
  <c r="F105" i="7"/>
  <c r="E105" i="7"/>
  <c r="D105" i="7"/>
  <c r="L105" i="7" s="1"/>
  <c r="Q105" i="7" s="1"/>
  <c r="J104" i="7"/>
  <c r="I104" i="7"/>
  <c r="H104" i="7"/>
  <c r="G104" i="7"/>
  <c r="F104" i="7"/>
  <c r="E104" i="7"/>
  <c r="D104" i="7"/>
  <c r="L104" i="7" s="1"/>
  <c r="Q104" i="7" s="1"/>
  <c r="J103" i="7"/>
  <c r="I103" i="7"/>
  <c r="H103" i="7"/>
  <c r="G103" i="7"/>
  <c r="F103" i="7"/>
  <c r="E103" i="7"/>
  <c r="D103" i="7"/>
  <c r="L103" i="7" s="1"/>
  <c r="Q103" i="7" s="1"/>
  <c r="J102" i="7"/>
  <c r="I102" i="7"/>
  <c r="H102" i="7"/>
  <c r="G102" i="7"/>
  <c r="L102" i="7" s="1"/>
  <c r="Q102" i="7" s="1"/>
  <c r="F102" i="7"/>
  <c r="E102" i="7"/>
  <c r="D102" i="7"/>
  <c r="J99" i="7"/>
  <c r="I99" i="7"/>
  <c r="H99" i="7"/>
  <c r="G99" i="7"/>
  <c r="F99" i="7"/>
  <c r="E99" i="7"/>
  <c r="D99" i="7"/>
  <c r="L99" i="7" s="1"/>
  <c r="Q99" i="7" s="1"/>
  <c r="K98" i="7"/>
  <c r="J98" i="7"/>
  <c r="I98" i="7"/>
  <c r="H98" i="7"/>
  <c r="G98" i="7"/>
  <c r="F98" i="7"/>
  <c r="E98" i="7"/>
  <c r="D98" i="7"/>
  <c r="L98" i="7" s="1"/>
  <c r="Q98" i="7" s="1"/>
  <c r="K97" i="7"/>
  <c r="J97" i="7"/>
  <c r="I97" i="7"/>
  <c r="H97" i="7"/>
  <c r="G97" i="7"/>
  <c r="F97" i="7"/>
  <c r="E97" i="7"/>
  <c r="D97" i="7"/>
  <c r="L97" i="7" s="1"/>
  <c r="Q97" i="7" s="1"/>
  <c r="K96" i="7"/>
  <c r="J96" i="7"/>
  <c r="I96" i="7"/>
  <c r="H96" i="7"/>
  <c r="G96" i="7"/>
  <c r="F96" i="7"/>
  <c r="E96" i="7"/>
  <c r="D96" i="7"/>
  <c r="L96" i="7" s="1"/>
  <c r="Q96" i="7" s="1"/>
  <c r="K95" i="7"/>
  <c r="J95" i="7"/>
  <c r="I95" i="7"/>
  <c r="H95" i="7"/>
  <c r="G95" i="7"/>
  <c r="F95" i="7"/>
  <c r="E95" i="7"/>
  <c r="D95" i="7"/>
  <c r="L95" i="7" s="1"/>
  <c r="Q95" i="7" s="1"/>
  <c r="K94" i="7"/>
  <c r="J94" i="7"/>
  <c r="I94" i="7"/>
  <c r="H94" i="7"/>
  <c r="G94" i="7"/>
  <c r="F94" i="7"/>
  <c r="E94" i="7"/>
  <c r="D94" i="7"/>
  <c r="L94" i="7" s="1"/>
  <c r="Q94" i="7" s="1"/>
  <c r="K93" i="7"/>
  <c r="J93" i="7"/>
  <c r="I93" i="7"/>
  <c r="H93" i="7"/>
  <c r="G93" i="7"/>
  <c r="F93" i="7"/>
  <c r="E93" i="7"/>
  <c r="D93" i="7"/>
  <c r="L93" i="7" s="1"/>
  <c r="Q93" i="7" s="1"/>
  <c r="K92" i="7"/>
  <c r="J92" i="7"/>
  <c r="I92" i="7"/>
  <c r="H92" i="7"/>
  <c r="G92" i="7"/>
  <c r="F92" i="7"/>
  <c r="E92" i="7"/>
  <c r="D92" i="7"/>
  <c r="L92" i="7" s="1"/>
  <c r="Q92" i="7" s="1"/>
  <c r="K91" i="7"/>
  <c r="J91" i="7"/>
  <c r="I91" i="7"/>
  <c r="H91" i="7"/>
  <c r="G91" i="7"/>
  <c r="F91" i="7"/>
  <c r="E91" i="7"/>
  <c r="D91" i="7"/>
  <c r="L91" i="7" s="1"/>
  <c r="Q91" i="7" s="1"/>
  <c r="K90" i="7"/>
  <c r="J90" i="7"/>
  <c r="I90" i="7"/>
  <c r="H90" i="7"/>
  <c r="G90" i="7"/>
  <c r="F90" i="7"/>
  <c r="E90" i="7"/>
  <c r="D90" i="7"/>
  <c r="L90" i="7" s="1"/>
  <c r="Q88" i="7"/>
  <c r="L88" i="7"/>
  <c r="K87" i="7"/>
  <c r="J87" i="7"/>
  <c r="I87" i="7"/>
  <c r="H87" i="7"/>
  <c r="G87" i="7"/>
  <c r="F87" i="7"/>
  <c r="E87" i="7"/>
  <c r="D87" i="7"/>
  <c r="L87" i="7" s="1"/>
  <c r="Q87" i="7" s="1"/>
  <c r="K86" i="7"/>
  <c r="J86" i="7"/>
  <c r="I86" i="7"/>
  <c r="H86" i="7"/>
  <c r="G86" i="7"/>
  <c r="F86" i="7"/>
  <c r="E86" i="7"/>
  <c r="D86" i="7"/>
  <c r="L86" i="7" s="1"/>
  <c r="Q86" i="7" s="1"/>
  <c r="L85" i="7"/>
  <c r="Q85" i="7" s="1"/>
  <c r="K85" i="7"/>
  <c r="J85" i="7"/>
  <c r="I85" i="7"/>
  <c r="H85" i="7"/>
  <c r="G85" i="7"/>
  <c r="F85" i="7"/>
  <c r="E85" i="7"/>
  <c r="D85" i="7"/>
  <c r="K84" i="7"/>
  <c r="J84" i="7"/>
  <c r="I84" i="7"/>
  <c r="H84" i="7"/>
  <c r="G84" i="7"/>
  <c r="F84" i="7"/>
  <c r="E84" i="7"/>
  <c r="D84" i="7"/>
  <c r="L84" i="7" s="1"/>
  <c r="Q84" i="7" s="1"/>
  <c r="K83" i="7"/>
  <c r="J83" i="7"/>
  <c r="I83" i="7"/>
  <c r="H83" i="7"/>
  <c r="G83" i="7"/>
  <c r="F83" i="7"/>
  <c r="E83" i="7"/>
  <c r="D83" i="7"/>
  <c r="L83" i="7" s="1"/>
  <c r="Q83" i="7" s="1"/>
  <c r="K82" i="7"/>
  <c r="J82" i="7"/>
  <c r="I82" i="7"/>
  <c r="H82" i="7"/>
  <c r="G82" i="7"/>
  <c r="F82" i="7"/>
  <c r="E82" i="7"/>
  <c r="D82" i="7"/>
  <c r="L82" i="7" s="1"/>
  <c r="Q82" i="7" s="1"/>
  <c r="K81" i="7"/>
  <c r="J81" i="7"/>
  <c r="I81" i="7"/>
  <c r="H81" i="7"/>
  <c r="G81" i="7"/>
  <c r="F81" i="7"/>
  <c r="E81" i="7"/>
  <c r="D81" i="7"/>
  <c r="L81" i="7" s="1"/>
  <c r="Q81" i="7" s="1"/>
  <c r="K80" i="7"/>
  <c r="J80" i="7"/>
  <c r="I80" i="7"/>
  <c r="H80" i="7"/>
  <c r="G80" i="7"/>
  <c r="F80" i="7"/>
  <c r="E80" i="7"/>
  <c r="D80" i="7"/>
  <c r="L80" i="7" s="1"/>
  <c r="Q80" i="7" s="1"/>
  <c r="K79" i="7"/>
  <c r="J79" i="7"/>
  <c r="I79" i="7"/>
  <c r="H79" i="7"/>
  <c r="G79" i="7"/>
  <c r="F79" i="7"/>
  <c r="E79" i="7"/>
  <c r="D79" i="7"/>
  <c r="L79" i="7" s="1"/>
  <c r="Q79" i="7" s="1"/>
  <c r="Q77" i="7"/>
  <c r="K76" i="7"/>
  <c r="J76" i="7"/>
  <c r="I76" i="7"/>
  <c r="H76" i="7"/>
  <c r="G76" i="7"/>
  <c r="F76" i="7"/>
  <c r="E76" i="7"/>
  <c r="D76" i="7"/>
  <c r="L76" i="7" s="1"/>
  <c r="Q76" i="7" s="1"/>
  <c r="K75" i="7"/>
  <c r="J75" i="7"/>
  <c r="I75" i="7"/>
  <c r="H75" i="7"/>
  <c r="G75" i="7"/>
  <c r="F75" i="7"/>
  <c r="E75" i="7"/>
  <c r="D75" i="7"/>
  <c r="L75" i="7" s="1"/>
  <c r="Q75" i="7" s="1"/>
  <c r="K74" i="7"/>
  <c r="J74" i="7"/>
  <c r="I74" i="7"/>
  <c r="H74" i="7"/>
  <c r="G74" i="7"/>
  <c r="F74" i="7"/>
  <c r="E74" i="7"/>
  <c r="D74" i="7"/>
  <c r="L74" i="7" s="1"/>
  <c r="Q74" i="7" s="1"/>
  <c r="K73" i="7"/>
  <c r="J73" i="7"/>
  <c r="I73" i="7"/>
  <c r="H73" i="7"/>
  <c r="G73" i="7"/>
  <c r="F73" i="7"/>
  <c r="E73" i="7"/>
  <c r="D73" i="7"/>
  <c r="L73" i="7" s="1"/>
  <c r="Q73" i="7" s="1"/>
  <c r="K72" i="7"/>
  <c r="J72" i="7"/>
  <c r="I72" i="7"/>
  <c r="H72" i="7"/>
  <c r="G72" i="7"/>
  <c r="F72" i="7"/>
  <c r="E72" i="7"/>
  <c r="D72" i="7"/>
  <c r="L72" i="7" s="1"/>
  <c r="Q72" i="7" s="1"/>
  <c r="K71" i="7"/>
  <c r="J71" i="7"/>
  <c r="I71" i="7"/>
  <c r="H71" i="7"/>
  <c r="G71" i="7"/>
  <c r="F71" i="7"/>
  <c r="E71" i="7"/>
  <c r="D71" i="7"/>
  <c r="L71" i="7" s="1"/>
  <c r="Q71" i="7" s="1"/>
  <c r="K70" i="7"/>
  <c r="J70" i="7"/>
  <c r="I70" i="7"/>
  <c r="H70" i="7"/>
  <c r="G70" i="7"/>
  <c r="F70" i="7"/>
  <c r="E70" i="7"/>
  <c r="D70" i="7"/>
  <c r="L70" i="7" s="1"/>
  <c r="Q70" i="7" s="1"/>
  <c r="K69" i="7"/>
  <c r="J69" i="7"/>
  <c r="I69" i="7"/>
  <c r="H69" i="7"/>
  <c r="G69" i="7"/>
  <c r="F69" i="7"/>
  <c r="E69" i="7"/>
  <c r="D69" i="7"/>
  <c r="L69" i="7" s="1"/>
  <c r="Q69" i="7" s="1"/>
  <c r="L67" i="7"/>
  <c r="Q67" i="7" s="1"/>
  <c r="J66" i="7"/>
  <c r="I66" i="7"/>
  <c r="H66" i="7"/>
  <c r="G66" i="7"/>
  <c r="F66" i="7"/>
  <c r="E66" i="7"/>
  <c r="D66" i="7"/>
  <c r="L66" i="7" s="1"/>
  <c r="Q66" i="7" s="1"/>
  <c r="K65" i="7"/>
  <c r="J65" i="7"/>
  <c r="I65" i="7"/>
  <c r="H65" i="7"/>
  <c r="G65" i="7"/>
  <c r="F65" i="7"/>
  <c r="E65" i="7"/>
  <c r="D65" i="7"/>
  <c r="L65" i="7" s="1"/>
  <c r="Q65" i="7" s="1"/>
  <c r="K64" i="7"/>
  <c r="J64" i="7"/>
  <c r="I64" i="7"/>
  <c r="H64" i="7"/>
  <c r="G64" i="7"/>
  <c r="F64" i="7"/>
  <c r="E64" i="7"/>
  <c r="D64" i="7"/>
  <c r="L64" i="7" s="1"/>
  <c r="Q64" i="7" s="1"/>
  <c r="K63" i="7"/>
  <c r="J63" i="7"/>
  <c r="I63" i="7"/>
  <c r="H63" i="7"/>
  <c r="G63" i="7"/>
  <c r="F63" i="7"/>
  <c r="E63" i="7"/>
  <c r="D63" i="7"/>
  <c r="L63" i="7" s="1"/>
  <c r="Q63" i="7" s="1"/>
  <c r="K62" i="7"/>
  <c r="J62" i="7"/>
  <c r="I62" i="7"/>
  <c r="H62" i="7"/>
  <c r="G62" i="7"/>
  <c r="F62" i="7"/>
  <c r="E62" i="7"/>
  <c r="D62" i="7"/>
  <c r="L62" i="7" s="1"/>
  <c r="Q62" i="7" s="1"/>
  <c r="K61" i="7"/>
  <c r="J61" i="7"/>
  <c r="I61" i="7"/>
  <c r="H61" i="7"/>
  <c r="G61" i="7"/>
  <c r="F61" i="7"/>
  <c r="E61" i="7"/>
  <c r="D61" i="7"/>
  <c r="L61" i="7" s="1"/>
  <c r="Q61" i="7" s="1"/>
  <c r="K60" i="7"/>
  <c r="J60" i="7"/>
  <c r="I60" i="7"/>
  <c r="H60" i="7"/>
  <c r="G60" i="7"/>
  <c r="F60" i="7"/>
  <c r="E60" i="7"/>
  <c r="D60" i="7"/>
  <c r="L60" i="7" s="1"/>
  <c r="Q60" i="7" s="1"/>
  <c r="K59" i="7"/>
  <c r="J59" i="7"/>
  <c r="I59" i="7"/>
  <c r="H59" i="7"/>
  <c r="G59" i="7"/>
  <c r="F59" i="7"/>
  <c r="E59" i="7"/>
  <c r="D59" i="7"/>
  <c r="L59" i="7" s="1"/>
  <c r="Q59" i="7" s="1"/>
  <c r="K58" i="7"/>
  <c r="J58" i="7"/>
  <c r="I58" i="7"/>
  <c r="H58" i="7"/>
  <c r="G58" i="7"/>
  <c r="F58" i="7"/>
  <c r="E58" i="7"/>
  <c r="D58" i="7"/>
  <c r="L58" i="7" s="1"/>
  <c r="Q58" i="7" s="1"/>
  <c r="K57" i="7"/>
  <c r="J57" i="7"/>
  <c r="I57" i="7"/>
  <c r="H57" i="7"/>
  <c r="G57" i="7"/>
  <c r="F57" i="7"/>
  <c r="E57" i="7"/>
  <c r="D57" i="7"/>
  <c r="L57" i="7" s="1"/>
  <c r="Q57" i="7" s="1"/>
  <c r="K56" i="7"/>
  <c r="J56" i="7"/>
  <c r="I56" i="7"/>
  <c r="H56" i="7"/>
  <c r="G56" i="7"/>
  <c r="F56" i="7"/>
  <c r="E56" i="7"/>
  <c r="D56" i="7"/>
  <c r="L56" i="7" s="1"/>
  <c r="Q56" i="7" s="1"/>
  <c r="K55" i="7"/>
  <c r="J55" i="7"/>
  <c r="I55" i="7"/>
  <c r="H55" i="7"/>
  <c r="G55" i="7"/>
  <c r="F55" i="7"/>
  <c r="E55" i="7"/>
  <c r="D55" i="7"/>
  <c r="L55" i="7" s="1"/>
  <c r="Q55" i="7" s="1"/>
  <c r="K54" i="7"/>
  <c r="J54" i="7"/>
  <c r="I54" i="7"/>
  <c r="H54" i="7"/>
  <c r="G54" i="7"/>
  <c r="F54" i="7"/>
  <c r="E54" i="7"/>
  <c r="D54" i="7"/>
  <c r="L54" i="7" s="1"/>
  <c r="Q54" i="7" s="1"/>
  <c r="K53" i="7"/>
  <c r="J53" i="7"/>
  <c r="I53" i="7"/>
  <c r="H53" i="7"/>
  <c r="G53" i="7"/>
  <c r="F53" i="7"/>
  <c r="E53" i="7"/>
  <c r="D53" i="7"/>
  <c r="L53" i="7" s="1"/>
  <c r="Q53" i="7" s="1"/>
  <c r="K52" i="7"/>
  <c r="J52" i="7"/>
  <c r="I52" i="7"/>
  <c r="H52" i="7"/>
  <c r="G52" i="7"/>
  <c r="F52" i="7"/>
  <c r="E52" i="7"/>
  <c r="D52" i="7"/>
  <c r="L52" i="7" s="1"/>
  <c r="Q52" i="7" s="1"/>
  <c r="K51" i="7"/>
  <c r="J51" i="7"/>
  <c r="I51" i="7"/>
  <c r="H51" i="7"/>
  <c r="G51" i="7"/>
  <c r="F51" i="7"/>
  <c r="E51" i="7"/>
  <c r="D51" i="7"/>
  <c r="L51" i="7" s="1"/>
  <c r="Q51" i="7" s="1"/>
  <c r="K50" i="7"/>
  <c r="J50" i="7"/>
  <c r="I50" i="7"/>
  <c r="H50" i="7"/>
  <c r="G50" i="7"/>
  <c r="F50" i="7"/>
  <c r="E50" i="7"/>
  <c r="D50" i="7"/>
  <c r="L50" i="7" s="1"/>
  <c r="Q50" i="7" s="1"/>
  <c r="K49" i="7"/>
  <c r="J49" i="7"/>
  <c r="I49" i="7"/>
  <c r="H49" i="7"/>
  <c r="G49" i="7"/>
  <c r="F49" i="7"/>
  <c r="E49" i="7"/>
  <c r="D49" i="7"/>
  <c r="L49" i="7" s="1"/>
  <c r="Q49" i="7" s="1"/>
  <c r="K48" i="7"/>
  <c r="J48" i="7"/>
  <c r="I48" i="7"/>
  <c r="H48" i="7"/>
  <c r="G48" i="7"/>
  <c r="F48" i="7"/>
  <c r="E48" i="7"/>
  <c r="D48" i="7"/>
  <c r="L48" i="7" s="1"/>
  <c r="Q48" i="7" s="1"/>
  <c r="K47" i="7"/>
  <c r="J47" i="7"/>
  <c r="I47" i="7"/>
  <c r="H47" i="7"/>
  <c r="G47" i="7"/>
  <c r="F47" i="7"/>
  <c r="E47" i="7"/>
  <c r="D47" i="7"/>
  <c r="L47" i="7" s="1"/>
  <c r="Q47" i="7" s="1"/>
  <c r="K46" i="7"/>
  <c r="J46" i="7"/>
  <c r="I46" i="7"/>
  <c r="H46" i="7"/>
  <c r="G46" i="7"/>
  <c r="F46" i="7"/>
  <c r="E46" i="7"/>
  <c r="D46" i="7"/>
  <c r="L46" i="7" s="1"/>
  <c r="Q46" i="7" s="1"/>
  <c r="K45" i="7"/>
  <c r="J45" i="7"/>
  <c r="I45" i="7"/>
  <c r="H45" i="7"/>
  <c r="G45" i="7"/>
  <c r="F45" i="7"/>
  <c r="E45" i="7"/>
  <c r="D45" i="7"/>
  <c r="L45" i="7" s="1"/>
  <c r="Q45" i="7" s="1"/>
  <c r="K44" i="7"/>
  <c r="J44" i="7"/>
  <c r="I44" i="7"/>
  <c r="H44" i="7"/>
  <c r="G44" i="7"/>
  <c r="F44" i="7"/>
  <c r="E44" i="7"/>
  <c r="D44" i="7"/>
  <c r="L44" i="7" s="1"/>
  <c r="Q44" i="7" s="1"/>
  <c r="K43" i="7"/>
  <c r="J43" i="7"/>
  <c r="I43" i="7"/>
  <c r="H43" i="7"/>
  <c r="G43" i="7"/>
  <c r="F43" i="7"/>
  <c r="E43" i="7"/>
  <c r="D43" i="7"/>
  <c r="L43" i="7" s="1"/>
  <c r="Q43" i="7" s="1"/>
  <c r="K42" i="7"/>
  <c r="J42" i="7"/>
  <c r="I42" i="7"/>
  <c r="H42" i="7"/>
  <c r="G42" i="7"/>
  <c r="F42" i="7"/>
  <c r="E42" i="7"/>
  <c r="D42" i="7"/>
  <c r="L42" i="7" s="1"/>
  <c r="Q42" i="7" s="1"/>
  <c r="K41" i="7"/>
  <c r="J41" i="7"/>
  <c r="I41" i="7"/>
  <c r="H41" i="7"/>
  <c r="G41" i="7"/>
  <c r="F41" i="7"/>
  <c r="E41" i="7"/>
  <c r="D41" i="7"/>
  <c r="L41" i="7" s="1"/>
  <c r="Q41" i="7" s="1"/>
  <c r="K40" i="7"/>
  <c r="J40" i="7"/>
  <c r="I40" i="7"/>
  <c r="H40" i="7"/>
  <c r="G40" i="7"/>
  <c r="F40" i="7"/>
  <c r="E40" i="7"/>
  <c r="D40" i="7"/>
  <c r="L40" i="7" s="1"/>
  <c r="Q40" i="7" s="1"/>
  <c r="K39" i="7"/>
  <c r="J39" i="7"/>
  <c r="I39" i="7"/>
  <c r="H39" i="7"/>
  <c r="G39" i="7"/>
  <c r="F39" i="7"/>
  <c r="E39" i="7"/>
  <c r="D39" i="7"/>
  <c r="L39" i="7" s="1"/>
  <c r="Q39" i="7" s="1"/>
  <c r="K38" i="7"/>
  <c r="J38" i="7"/>
  <c r="I38" i="7"/>
  <c r="H38" i="7"/>
  <c r="G38" i="7"/>
  <c r="F38" i="7"/>
  <c r="E38" i="7"/>
  <c r="D38" i="7"/>
  <c r="L38" i="7" s="1"/>
  <c r="Q38" i="7" s="1"/>
  <c r="K37" i="7"/>
  <c r="J37" i="7"/>
  <c r="I37" i="7"/>
  <c r="H37" i="7"/>
  <c r="G37" i="7"/>
  <c r="F37" i="7"/>
  <c r="E37" i="7"/>
  <c r="D37" i="7"/>
  <c r="L37" i="7" s="1"/>
  <c r="Q37" i="7" s="1"/>
  <c r="K36" i="7"/>
  <c r="J36" i="7"/>
  <c r="I36" i="7"/>
  <c r="H36" i="7"/>
  <c r="G36" i="7"/>
  <c r="F36" i="7"/>
  <c r="E36" i="7"/>
  <c r="D36" i="7"/>
  <c r="L36" i="7" s="1"/>
  <c r="Q36" i="7" s="1"/>
  <c r="K35" i="7"/>
  <c r="J35" i="7"/>
  <c r="I35" i="7"/>
  <c r="H35" i="7"/>
  <c r="G35" i="7"/>
  <c r="F35" i="7"/>
  <c r="E35" i="7"/>
  <c r="D35" i="7"/>
  <c r="L35" i="7" s="1"/>
  <c r="Q35" i="7" s="1"/>
  <c r="K34" i="7"/>
  <c r="J34" i="7"/>
  <c r="I34" i="7"/>
  <c r="H34" i="7"/>
  <c r="G34" i="7"/>
  <c r="F34" i="7"/>
  <c r="E34" i="7"/>
  <c r="D34" i="7"/>
  <c r="L34" i="7" s="1"/>
  <c r="Q34" i="7" s="1"/>
  <c r="K33" i="7"/>
  <c r="J33" i="7"/>
  <c r="I33" i="7"/>
  <c r="H33" i="7"/>
  <c r="G33" i="7"/>
  <c r="F33" i="7"/>
  <c r="E33" i="7"/>
  <c r="D33" i="7"/>
  <c r="L33" i="7" s="1"/>
  <c r="Q33" i="7" s="1"/>
  <c r="K32" i="7"/>
  <c r="J32" i="7"/>
  <c r="I32" i="7"/>
  <c r="H32" i="7"/>
  <c r="G32" i="7"/>
  <c r="F32" i="7"/>
  <c r="E32" i="7"/>
  <c r="D32" i="7"/>
  <c r="L32" i="7" s="1"/>
  <c r="Q32" i="7" s="1"/>
  <c r="K31" i="7"/>
  <c r="J31" i="7"/>
  <c r="I31" i="7"/>
  <c r="H31" i="7"/>
  <c r="G31" i="7"/>
  <c r="F31" i="7"/>
  <c r="E31" i="7"/>
  <c r="D31" i="7"/>
  <c r="L31" i="7" s="1"/>
  <c r="Q31" i="7" s="1"/>
  <c r="K30" i="7"/>
  <c r="J30" i="7"/>
  <c r="I30" i="7"/>
  <c r="H30" i="7"/>
  <c r="G30" i="7"/>
  <c r="F30" i="7"/>
  <c r="E30" i="7"/>
  <c r="D30" i="7"/>
  <c r="L30" i="7" s="1"/>
  <c r="Q30" i="7" s="1"/>
  <c r="K29" i="7"/>
  <c r="J29" i="7"/>
  <c r="I29" i="7"/>
  <c r="H29" i="7"/>
  <c r="G29" i="7"/>
  <c r="F29" i="7"/>
  <c r="E29" i="7"/>
  <c r="D29" i="7"/>
  <c r="L29" i="7" s="1"/>
  <c r="Q29" i="7" s="1"/>
  <c r="K28" i="7"/>
  <c r="J28" i="7"/>
  <c r="I28" i="7"/>
  <c r="H28" i="7"/>
  <c r="G28" i="7"/>
  <c r="F28" i="7"/>
  <c r="E28" i="7"/>
  <c r="D28" i="7"/>
  <c r="L28" i="7" s="1"/>
  <c r="Q28" i="7" s="1"/>
  <c r="K27" i="7"/>
  <c r="J27" i="7"/>
  <c r="I27" i="7"/>
  <c r="H27" i="7"/>
  <c r="G27" i="7"/>
  <c r="F27" i="7"/>
  <c r="E27" i="7"/>
  <c r="D27" i="7"/>
  <c r="L27" i="7" s="1"/>
  <c r="Q27" i="7" s="1"/>
  <c r="K26" i="7"/>
  <c r="J26" i="7"/>
  <c r="I26" i="7"/>
  <c r="H26" i="7"/>
  <c r="G26" i="7"/>
  <c r="F26" i="7"/>
  <c r="E26" i="7"/>
  <c r="D26" i="7"/>
  <c r="L26" i="7" s="1"/>
  <c r="Q26" i="7" s="1"/>
  <c r="K25" i="7"/>
  <c r="J25" i="7"/>
  <c r="I25" i="7"/>
  <c r="H25" i="7"/>
  <c r="G25" i="7"/>
  <c r="F25" i="7"/>
  <c r="E25" i="7"/>
  <c r="D25" i="7"/>
  <c r="L25" i="7" s="1"/>
  <c r="Q25" i="7" s="1"/>
  <c r="K24" i="7"/>
  <c r="J24" i="7"/>
  <c r="I24" i="7"/>
  <c r="H24" i="7"/>
  <c r="G24" i="7"/>
  <c r="F24" i="7"/>
  <c r="E24" i="7"/>
  <c r="D24" i="7"/>
  <c r="L24" i="7" s="1"/>
  <c r="Q24" i="7" s="1"/>
  <c r="K23" i="7"/>
  <c r="J23" i="7"/>
  <c r="I23" i="7"/>
  <c r="H23" i="7"/>
  <c r="G23" i="7"/>
  <c r="F23" i="7"/>
  <c r="E23" i="7"/>
  <c r="D23" i="7"/>
  <c r="L23" i="7" s="1"/>
  <c r="Q23" i="7" s="1"/>
  <c r="K22" i="7"/>
  <c r="J22" i="7"/>
  <c r="I22" i="7"/>
  <c r="H22" i="7"/>
  <c r="G22" i="7"/>
  <c r="F22" i="7"/>
  <c r="E22" i="7"/>
  <c r="D22" i="7"/>
  <c r="L22" i="7" s="1"/>
  <c r="Q22" i="7" s="1"/>
  <c r="K21" i="7"/>
  <c r="J21" i="7"/>
  <c r="I21" i="7"/>
  <c r="H21" i="7"/>
  <c r="G21" i="7"/>
  <c r="F21" i="7"/>
  <c r="E21" i="7"/>
  <c r="D21" i="7"/>
  <c r="L21" i="7" s="1"/>
  <c r="Q21" i="7" s="1"/>
  <c r="K20" i="7"/>
  <c r="J20" i="7"/>
  <c r="I20" i="7"/>
  <c r="H20" i="7"/>
  <c r="G20" i="7"/>
  <c r="F20" i="7"/>
  <c r="E20" i="7"/>
  <c r="D20" i="7"/>
  <c r="L20" i="7" s="1"/>
  <c r="Q20" i="7" s="1"/>
  <c r="K19" i="7"/>
  <c r="J19" i="7"/>
  <c r="I19" i="7"/>
  <c r="H19" i="7"/>
  <c r="G19" i="7"/>
  <c r="F19" i="7"/>
  <c r="E19" i="7"/>
  <c r="D19" i="7"/>
  <c r="L19" i="7" s="1"/>
  <c r="Q19" i="7" s="1"/>
  <c r="K18" i="7"/>
  <c r="J18" i="7"/>
  <c r="I18" i="7"/>
  <c r="H18" i="7"/>
  <c r="G18" i="7"/>
  <c r="F18" i="7"/>
  <c r="E18" i="7"/>
  <c r="D18" i="7"/>
  <c r="L18" i="7" s="1"/>
  <c r="Q18" i="7" s="1"/>
  <c r="K17" i="7"/>
  <c r="J17" i="7"/>
  <c r="I17" i="7"/>
  <c r="H17" i="7"/>
  <c r="G17" i="7"/>
  <c r="F17" i="7"/>
  <c r="E17" i="7"/>
  <c r="D17" i="7"/>
  <c r="L17" i="7" s="1"/>
  <c r="Q17" i="7" s="1"/>
  <c r="K16" i="7"/>
  <c r="J16" i="7"/>
  <c r="I16" i="7"/>
  <c r="H16" i="7"/>
  <c r="G16" i="7"/>
  <c r="F16" i="7"/>
  <c r="E16" i="7"/>
  <c r="D16" i="7"/>
  <c r="L16" i="7" s="1"/>
  <c r="Q16" i="7" s="1"/>
  <c r="K15" i="7"/>
  <c r="J15" i="7"/>
  <c r="I15" i="7"/>
  <c r="H15" i="7"/>
  <c r="G15" i="7"/>
  <c r="F15" i="7"/>
  <c r="E15" i="7"/>
  <c r="D15" i="7"/>
  <c r="L15" i="7" s="1"/>
  <c r="Q15" i="7" s="1"/>
  <c r="K14" i="7"/>
  <c r="J14" i="7"/>
  <c r="I14" i="7"/>
  <c r="H14" i="7"/>
  <c r="G14" i="7"/>
  <c r="F14" i="7"/>
  <c r="E14" i="7"/>
  <c r="D14" i="7"/>
  <c r="L14" i="7" s="1"/>
  <c r="Q14" i="7" s="1"/>
  <c r="K13" i="7"/>
  <c r="J13" i="7"/>
  <c r="I13" i="7"/>
  <c r="H13" i="7"/>
  <c r="G13" i="7"/>
  <c r="F13" i="7"/>
  <c r="E13" i="7"/>
  <c r="D13" i="7"/>
  <c r="L13" i="7" s="1"/>
  <c r="Q13" i="7" s="1"/>
  <c r="K12" i="7"/>
  <c r="J12" i="7"/>
  <c r="I12" i="7"/>
  <c r="H12" i="7"/>
  <c r="G12" i="7"/>
  <c r="F12" i="7"/>
  <c r="E12" i="7"/>
  <c r="D12" i="7"/>
  <c r="L12" i="7" s="1"/>
  <c r="Q12" i="7" s="1"/>
  <c r="K11" i="7"/>
  <c r="J11" i="7"/>
  <c r="I11" i="7"/>
  <c r="H11" i="7"/>
  <c r="G11" i="7"/>
  <c r="F11" i="7"/>
  <c r="E11" i="7"/>
  <c r="D11" i="7"/>
  <c r="L11" i="7" s="1"/>
  <c r="Q11" i="7" s="1"/>
  <c r="K10" i="7"/>
  <c r="J10" i="7"/>
  <c r="I10" i="7"/>
  <c r="H10" i="7"/>
  <c r="G10" i="7"/>
  <c r="F10" i="7"/>
  <c r="E10" i="7"/>
  <c r="D10" i="7"/>
  <c r="L10" i="7" s="1"/>
  <c r="Q10" i="7" s="1"/>
  <c r="K9" i="7"/>
  <c r="J9" i="7"/>
  <c r="I9" i="7"/>
  <c r="H9" i="7"/>
  <c r="G9" i="7"/>
  <c r="F9" i="7"/>
  <c r="E9" i="7"/>
  <c r="D9" i="7"/>
  <c r="L9" i="7" s="1"/>
  <c r="Q9" i="7" s="1"/>
  <c r="K8" i="7"/>
  <c r="J8" i="7"/>
  <c r="I8" i="7"/>
  <c r="H8" i="7"/>
  <c r="G8" i="7"/>
  <c r="F8" i="7"/>
  <c r="E8" i="7"/>
  <c r="D8" i="7"/>
  <c r="L8" i="7" s="1"/>
  <c r="Q8" i="7" s="1"/>
  <c r="K7" i="7"/>
  <c r="J7" i="7"/>
  <c r="I7" i="7"/>
  <c r="H7" i="7"/>
  <c r="G7" i="7"/>
  <c r="F7" i="7"/>
  <c r="E7" i="7"/>
  <c r="D7" i="7"/>
  <c r="L7" i="7" s="1"/>
  <c r="Q7" i="7" s="1"/>
  <c r="L100" i="7" l="1"/>
  <c r="Q90" i="7"/>
  <c r="L140" i="7"/>
  <c r="Q140" i="7" s="1"/>
  <c r="Q114" i="7"/>
  <c r="D140" i="7"/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<sst xmlns="http://schemas.openxmlformats.org/spreadsheetml/2006/main" count="770" uniqueCount="145">
  <si>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</si>
  <si>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</si>
  <si>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</si>
  <si>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</si>
  <si>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</si>
  <si>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</si>
  <si>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</si>
  <si>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</si>
  <si>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</si>
  <si>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</si>
  <si>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</si>
  <si>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</si>
  <si>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</si>
  <si>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</si>
  <si>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</si>
  <si>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</si>
  <si>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</si>
  <si>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</si>
  <si>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</si>
  <si>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</si>
  <si>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</si>
  <si>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</si>
  <si>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</si>
  <si>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</si>
  <si>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</si>
  <si>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</si>
  <si>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</si>
  <si>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</si>
  <si>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</si>
  <si>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</si>
  <si>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</si>
  <si>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</si>
  <si>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</si>
  <si>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</si>
  <si>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</si>
  <si>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</si>
  <si>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</si>
  <si>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</si>
  <si>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</si>
  <si>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</si>
  <si>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</si>
  <si>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</si>
  <si>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</si>
  <si>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</si>
  <si>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</si>
  <si>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</si>
  <si>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</si>
  <si>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</si>
  <si>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</si>
  <si>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</si>
  <si>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</si>
  <si>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</si>
  <si>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</si>
  <si>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</si>
  <si>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</si>
  <si>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</si>
  <si>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</si>
  <si>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</si>
  <si>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</si>
  <si>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</si>
  <si>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</si>
  <si>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</si>
  <si>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</si>
  <si>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</si>
  <si>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</si>
  <si>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</si>
  <si>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</si>
  <si>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</si>
  <si>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</si>
  <si>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</si>
  <si>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</si>
  <si>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</si>
  <si>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</si>
  <si>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</si>
  <si>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</si>
  <si>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</si>
  <si>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</si>
  <si>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</si>
  <si>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</si>
  <si>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</si>
  <si>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</si>
  <si>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</si>
  <si>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</si>
  <si>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</si>
  <si>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</si>
  <si>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</si>
  <si>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</si>
  <si>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</si>
  <si>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</si>
  <si>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</si>
  <si>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</si>
  <si>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</si>
  <si>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</si>
  <si>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</si>
  <si>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</si>
  <si>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</si>
  <si>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</si>
  <si>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</si>
  <si>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</si>
  <si>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</si>
  <si>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</si>
  <si>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</si>
  <si>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</si>
  <si>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</si>
  <si>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</si>
  <si>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</si>
  <si>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</si>
  <si>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</si>
  <si>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</si>
  <si>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</si>
  <si>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</si>
  <si>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</si>
  <si>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</si>
  <si>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</si>
  <si>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</si>
  <si>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</si>
  <si>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</si>
  <si>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</si>
  <si>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</si>
  <si>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</si>
  <si>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</si>
  <si>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</si>
  <si>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</si>
  <si>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</si>
  <si>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</si>
  <si>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</si>
  <si>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</si>
  <si>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</si>
  <si>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</si>
  <si>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</si>
  <si>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</si>
  <si>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</si>
  <si>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</si>
  <si>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</si>
  <si>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</si>
  <si>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</si>
  <si>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</si>
  <si>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</si>
  <si>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</si>
  <si>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</si>
  <si>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</si>
  <si>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</si>
  <si>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13/1/68  รวม</t>
  </si>
  <si>
    <t>ยอดจริง ออนไลน์ วันที่  เย็น</t>
  </si>
  <si>
    <t>ยอดจริง ออนไลน์ วันที่ 13/1/2568 -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</si>
</sst>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zoomScale="60" zoomScaleNormal="60" workbookViewId="0">
      <selection activeCell="K2" sqref="K1:K104857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1" width="14.3984375" style="16" hidden="1" customWidth="1"/>
    <col min="12" max="12" width="17.59765625" style="26" customWidth="1"/>
  </cols>
  <sheetData>
    <row r="1" spans="2:12" x14ac:dyDescent="0.25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32</v>
      </c>
      <c r="E7" s="31">
        <v>60</v>
      </c>
      <c r="F7" s="31">
        <v>17</v>
      </c>
      <c r="G7" s="31">
        <v>7</v>
      </c>
      <c r="H7" s="31"/>
      <c r="I7" s="31"/>
      <c r="J7" s="44"/>
      <c r="K7" s="44"/>
      <c r="L7" s="37">
        <f>SUM(D7:K7)</f>
        <v>116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2</v>
      </c>
      <c r="E25" s="31">
        <v>3</v>
      </c>
      <c r="F25" s="31"/>
      <c r="G25" s="31">
        <v>1</v>
      </c>
      <c r="H25" s="31"/>
      <c r="I25" s="31"/>
      <c r="J25" s="44"/>
      <c r="K25" s="44"/>
      <c r="L25" s="37">
        <f t="shared" si="0"/>
        <v>6</v>
      </c>
    </row>
    <row r="26" spans="2:12" x14ac:dyDescent="0.25">
      <c r="B26" s="11">
        <v>1004055</v>
      </c>
      <c r="C26" s="15" t="s">
        <v>108</v>
      </c>
      <c r="D26" s="31"/>
      <c r="E26" s="31">
        <v>30</v>
      </c>
      <c r="F26" s="31">
        <v>22</v>
      </c>
      <c r="G26" s="31">
        <v>99</v>
      </c>
      <c r="H26" s="31"/>
      <c r="I26" s="31"/>
      <c r="J26" s="44"/>
      <c r="K26" s="44"/>
      <c r="L26" s="37">
        <f t="shared" si="0"/>
        <v>151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>
        <v>1</v>
      </c>
      <c r="F40" s="31"/>
      <c r="G40" s="31"/>
      <c r="H40" s="31"/>
      <c r="I40" s="31"/>
      <c r="J40" s="44"/>
      <c r="K40" s="44"/>
      <c r="L40" s="37">
        <f t="shared" si="0"/>
        <v>1</v>
      </c>
    </row>
    <row r="41" spans="2:12" x14ac:dyDescent="0.25">
      <c r="B41" s="11">
        <v>1111058</v>
      </c>
      <c r="C41" s="15" t="s">
        <v>31</v>
      </c>
      <c r="D41" s="31"/>
      <c r="E41" s="31">
        <v>1</v>
      </c>
      <c r="F41" s="31"/>
      <c r="G41" s="31"/>
      <c r="H41" s="31"/>
      <c r="I41" s="31"/>
      <c r="J41" s="44"/>
      <c r="K41" s="44"/>
      <c r="L41" s="37">
        <f t="shared" si="0"/>
        <v>1</v>
      </c>
    </row>
    <row r="42" spans="2:12" x14ac:dyDescent="0.25">
      <c r="B42" s="11">
        <v>1111059</v>
      </c>
      <c r="C42" s="15" t="s">
        <v>32</v>
      </c>
      <c r="D42" s="31"/>
      <c r="E42" s="31">
        <v>1</v>
      </c>
      <c r="F42" s="31"/>
      <c r="G42" s="31"/>
      <c r="H42" s="31"/>
      <c r="I42" s="31"/>
      <c r="J42" s="44"/>
      <c r="K42" s="44"/>
      <c r="L42" s="37">
        <f t="shared" si="0"/>
        <v>1</v>
      </c>
    </row>
    <row r="43" spans="2:12" x14ac:dyDescent="0.25">
      <c r="B43" s="11">
        <v>1111060</v>
      </c>
      <c r="C43" s="15" t="s">
        <v>33</v>
      </c>
      <c r="D43" s="31"/>
      <c r="E43" s="31">
        <v>1</v>
      </c>
      <c r="F43" s="31"/>
      <c r="G43" s="31"/>
      <c r="H43" s="31"/>
      <c r="I43" s="31"/>
      <c r="J43" s="44"/>
      <c r="K43" s="44"/>
      <c r="L43" s="37">
        <f t="shared" si="0"/>
        <v>1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>
        <v>1</v>
      </c>
      <c r="F46" s="31"/>
      <c r="G46" s="31"/>
      <c r="H46" s="31"/>
      <c r="I46" s="31"/>
      <c r="J46" s="44"/>
      <c r="K46" s="44"/>
      <c r="L46" s="37">
        <f t="shared" si="0"/>
        <v>1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>
        <v>1</v>
      </c>
      <c r="F48" s="31"/>
      <c r="G48" s="31"/>
      <c r="H48" s="31"/>
      <c r="I48" s="31"/>
      <c r="J48" s="44"/>
      <c r="K48" s="44"/>
      <c r="L48" s="37">
        <f t="shared" si="0"/>
        <v>1</v>
      </c>
    </row>
    <row r="49" spans="2:12" x14ac:dyDescent="0.25">
      <c r="B49" s="11">
        <v>1111066</v>
      </c>
      <c r="C49" s="15" t="s">
        <v>39</v>
      </c>
      <c r="D49" s="31"/>
      <c r="E49" s="31">
        <v>1</v>
      </c>
      <c r="F49" s="31"/>
      <c r="G49" s="31"/>
      <c r="H49" s="31"/>
      <c r="I49" s="31"/>
      <c r="J49" s="44"/>
      <c r="K49" s="44"/>
      <c r="L49" s="37">
        <f t="shared" si="0"/>
        <v>1</v>
      </c>
    </row>
    <row r="50" spans="2:12" x14ac:dyDescent="0.25">
      <c r="B50" s="11">
        <v>1111067</v>
      </c>
      <c r="C50" s="15" t="s">
        <v>40</v>
      </c>
      <c r="D50" s="31"/>
      <c r="E50" s="31">
        <v>1</v>
      </c>
      <c r="F50" s="31"/>
      <c r="G50" s="31"/>
      <c r="H50" s="31"/>
      <c r="I50" s="31"/>
      <c r="J50" s="44"/>
      <c r="K50" s="44"/>
      <c r="L50" s="37">
        <f t="shared" si="0"/>
        <v>1</v>
      </c>
    </row>
    <row r="51" spans="2:12" x14ac:dyDescent="0.25">
      <c r="B51" s="11">
        <v>1111068</v>
      </c>
      <c r="C51" s="15" t="s">
        <v>41</v>
      </c>
      <c r="D51" s="31"/>
      <c r="E51" s="31">
        <v>1</v>
      </c>
      <c r="F51" s="31"/>
      <c r="G51" s="31"/>
      <c r="H51" s="31"/>
      <c r="I51" s="31"/>
      <c r="J51" s="44"/>
      <c r="K51" s="44"/>
      <c r="L51" s="37">
        <f t="shared" si="0"/>
        <v>1</v>
      </c>
    </row>
    <row r="52" spans="2:12" x14ac:dyDescent="0.25">
      <c r="B52" s="11">
        <v>1111069</v>
      </c>
      <c r="C52" s="15" t="s">
        <v>42</v>
      </c>
      <c r="D52" s="31"/>
      <c r="E52" s="31">
        <v>1</v>
      </c>
      <c r="F52" s="31"/>
      <c r="G52" s="31"/>
      <c r="H52" s="31"/>
      <c r="I52" s="31"/>
      <c r="J52" s="44"/>
      <c r="K52" s="44"/>
      <c r="L52" s="37">
        <f t="shared" si="0"/>
        <v>1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2</v>
      </c>
      <c r="F56" s="31"/>
      <c r="G56" s="31"/>
      <c r="H56" s="31"/>
      <c r="I56" s="31"/>
      <c r="J56" s="44"/>
      <c r="K56" s="44"/>
      <c r="L56" s="37">
        <f t="shared" si="0"/>
        <v>2</v>
      </c>
    </row>
    <row r="57" spans="2:12" x14ac:dyDescent="0.25">
      <c r="B57" s="11">
        <v>1111075</v>
      </c>
      <c r="C57" s="15" t="s">
        <v>45</v>
      </c>
      <c r="D57" s="31"/>
      <c r="E57" s="31">
        <v>2</v>
      </c>
      <c r="F57" s="31"/>
      <c r="G57" s="31"/>
      <c r="H57" s="31"/>
      <c r="I57" s="31"/>
      <c r="J57" s="44"/>
      <c r="K57" s="44"/>
      <c r="L57" s="37">
        <f t="shared" si="0"/>
        <v>2</v>
      </c>
    </row>
    <row r="58" spans="2:12" x14ac:dyDescent="0.25">
      <c r="B58" s="11">
        <v>1111076</v>
      </c>
      <c r="C58" s="15" t="s">
        <v>46</v>
      </c>
      <c r="D58" s="31"/>
      <c r="E58" s="31">
        <v>2</v>
      </c>
      <c r="F58" s="31"/>
      <c r="G58" s="31"/>
      <c r="H58" s="31"/>
      <c r="I58" s="31"/>
      <c r="J58" s="44"/>
      <c r="K58" s="44"/>
      <c r="L58" s="37">
        <f t="shared" si="0"/>
        <v>2</v>
      </c>
    </row>
    <row r="59" spans="2:12" x14ac:dyDescent="0.25">
      <c r="B59" s="11">
        <v>1111077</v>
      </c>
      <c r="C59" s="15" t="s">
        <v>47</v>
      </c>
      <c r="D59" s="31"/>
      <c r="E59" s="31">
        <v>2</v>
      </c>
      <c r="F59" s="31"/>
      <c r="G59" s="31"/>
      <c r="H59" s="31"/>
      <c r="I59" s="31"/>
      <c r="J59" s="44"/>
      <c r="K59" s="44"/>
      <c r="L59" s="37">
        <f t="shared" si="0"/>
        <v>2</v>
      </c>
    </row>
    <row r="60" spans="2:12" x14ac:dyDescent="0.25">
      <c r="B60" s="11">
        <v>1111078</v>
      </c>
      <c r="C60" s="15" t="s">
        <v>48</v>
      </c>
      <c r="D60" s="31"/>
      <c r="E60" s="31">
        <v>2</v>
      </c>
      <c r="F60" s="31"/>
      <c r="G60" s="31"/>
      <c r="H60" s="31"/>
      <c r="I60" s="31"/>
      <c r="J60" s="44"/>
      <c r="K60" s="44"/>
      <c r="L60" s="37">
        <f t="shared" si="0"/>
        <v>2</v>
      </c>
    </row>
    <row r="61" spans="2:12" x14ac:dyDescent="0.25">
      <c r="B61" s="11">
        <v>1111079</v>
      </c>
      <c r="C61" s="15" t="s">
        <v>49</v>
      </c>
      <c r="D61" s="31"/>
      <c r="E61" s="31">
        <v>2</v>
      </c>
      <c r="F61" s="31"/>
      <c r="G61" s="31"/>
      <c r="H61" s="31"/>
      <c r="I61" s="31"/>
      <c r="J61" s="44"/>
      <c r="K61" s="44"/>
      <c r="L61" s="37">
        <f t="shared" si="0"/>
        <v>2</v>
      </c>
    </row>
    <row r="62" spans="2:12" x14ac:dyDescent="0.25">
      <c r="B62" s="11">
        <v>1111080</v>
      </c>
      <c r="C62" s="15" t="s">
        <v>50</v>
      </c>
      <c r="D62" s="31"/>
      <c r="E62" s="31">
        <v>2</v>
      </c>
      <c r="F62" s="31"/>
      <c r="G62" s="31"/>
      <c r="H62" s="31"/>
      <c r="I62" s="31"/>
      <c r="J62" s="44"/>
      <c r="K62" s="44"/>
      <c r="L62" s="37">
        <f t="shared" si="0"/>
        <v>2</v>
      </c>
    </row>
    <row r="63" spans="2:12" x14ac:dyDescent="0.25">
      <c r="B63" s="11">
        <v>1111081</v>
      </c>
      <c r="C63" s="15" t="s">
        <v>51</v>
      </c>
      <c r="D63" s="31"/>
      <c r="E63" s="31">
        <v>2</v>
      </c>
      <c r="F63" s="31"/>
      <c r="G63" s="31"/>
      <c r="H63" s="31"/>
      <c r="I63" s="31"/>
      <c r="J63" s="44"/>
      <c r="K63" s="44"/>
      <c r="L63" s="37">
        <f t="shared" si="0"/>
        <v>2</v>
      </c>
    </row>
    <row r="64" spans="2:12" x14ac:dyDescent="0.25">
      <c r="B64" s="11">
        <v>1111082</v>
      </c>
      <c r="C64" s="15" t="s">
        <v>52</v>
      </c>
      <c r="D64" s="31"/>
      <c r="E64" s="31">
        <v>2</v>
      </c>
      <c r="F64" s="31"/>
      <c r="G64" s="31"/>
      <c r="H64" s="31"/>
      <c r="I64" s="31"/>
      <c r="J64" s="44"/>
      <c r="K64" s="44"/>
      <c r="L64" s="37">
        <f t="shared" si="0"/>
        <v>2</v>
      </c>
    </row>
    <row r="65" spans="2:12" x14ac:dyDescent="0.25">
      <c r="B65" s="11">
        <v>1111083</v>
      </c>
      <c r="C65" s="15" t="s">
        <v>53</v>
      </c>
      <c r="D65" s="31"/>
      <c r="E65" s="31">
        <v>2</v>
      </c>
      <c r="F65" s="31"/>
      <c r="G65" s="31"/>
      <c r="H65" s="31"/>
      <c r="I65" s="31"/>
      <c r="J65" s="44"/>
      <c r="K65" s="44"/>
      <c r="L65" s="37">
        <f t="shared" si="0"/>
        <v>2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2</v>
      </c>
      <c r="E69" s="31">
        <v>1</v>
      </c>
      <c r="F69" s="31"/>
      <c r="G69" s="31">
        <v>2</v>
      </c>
      <c r="H69" s="31"/>
      <c r="I69" s="31"/>
      <c r="J69" s="44"/>
      <c r="K69" s="44"/>
      <c r="L69" s="37">
        <f t="shared" ref="L69:L76" si="1">SUM(D69:K69)</f>
        <v>5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3</v>
      </c>
      <c r="E87" s="31">
        <v>9</v>
      </c>
      <c r="F87" s="31"/>
      <c r="G87" s="31">
        <v>102</v>
      </c>
      <c r="H87" s="31"/>
      <c r="I87" s="31"/>
      <c r="J87" s="44"/>
      <c r="K87" s="44"/>
      <c r="L87" s="37">
        <f t="shared" si="2"/>
        <v>114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2</v>
      </c>
      <c r="E90" s="31">
        <v>2</v>
      </c>
      <c r="F90" s="31">
        <v>13</v>
      </c>
      <c r="G90" s="31">
        <v>42</v>
      </c>
      <c r="H90" s="31"/>
      <c r="I90" s="31"/>
      <c r="J90" s="44"/>
      <c r="K90" s="44"/>
      <c r="L90" s="37">
        <f t="shared" ref="L90:L99" si="3">SUM(D90:K90)</f>
        <v>59</v>
      </c>
    </row>
    <row r="91" spans="2:12" x14ac:dyDescent="0.25">
      <c r="B91" s="11">
        <v>1112011</v>
      </c>
      <c r="C91" s="20" t="s">
        <v>76</v>
      </c>
      <c r="D91" s="31">
        <v>2</v>
      </c>
      <c r="E91" s="31">
        <v>2</v>
      </c>
      <c r="F91" s="31">
        <v>14</v>
      </c>
      <c r="G91" s="31">
        <v>42</v>
      </c>
      <c r="H91" s="31"/>
      <c r="I91" s="31"/>
      <c r="J91" s="44"/>
      <c r="K91" s="44"/>
      <c r="L91" s="37">
        <f t="shared" si="3"/>
        <v>60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>
        <v>31</v>
      </c>
      <c r="H92" s="31"/>
      <c r="I92" s="31"/>
      <c r="J92" s="44"/>
      <c r="K92" s="44"/>
      <c r="L92" s="37">
        <f t="shared" si="3"/>
        <v>31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31</v>
      </c>
      <c r="H93" s="31"/>
      <c r="I93" s="31"/>
      <c r="J93" s="44"/>
      <c r="K93" s="44"/>
      <c r="L93" s="37">
        <f t="shared" si="3"/>
        <v>31</v>
      </c>
    </row>
    <row r="94" spans="2:12" hidden="1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>
        <v>31</v>
      </c>
      <c r="H97" s="31"/>
      <c r="I97" s="31"/>
      <c r="J97" s="44"/>
      <c r="K97" s="44"/>
      <c r="L97" s="37">
        <f t="shared" si="3"/>
        <v>31</v>
      </c>
    </row>
    <row r="98" spans="2:12" x14ac:dyDescent="0.25">
      <c r="B98" s="11">
        <v>1112013</v>
      </c>
      <c r="C98" s="20" t="s">
        <v>83</v>
      </c>
      <c r="D98" s="31">
        <v>2</v>
      </c>
      <c r="E98" s="31">
        <v>1</v>
      </c>
      <c r="F98" s="31">
        <v>13</v>
      </c>
      <c r="G98" s="31">
        <v>42</v>
      </c>
      <c r="H98" s="31"/>
      <c r="I98" s="31"/>
      <c r="J98" s="44"/>
      <c r="K98" s="44"/>
      <c r="L98" s="37">
        <f t="shared" si="3"/>
        <v>58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>
        <v>2</v>
      </c>
      <c r="E114" s="31"/>
      <c r="F114" s="31"/>
      <c r="G114" s="31">
        <v>2</v>
      </c>
      <c r="H114" s="31"/>
      <c r="I114" s="31"/>
      <c r="J114" s="44"/>
      <c r="K114" s="44"/>
      <c r="L114" s="37">
        <f t="shared" ref="L114:L139" si="6">SUM(D114:K114)</f>
        <v>4</v>
      </c>
    </row>
    <row r="115" spans="2:12" x14ac:dyDescent="0.25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 x14ac:dyDescent="0.25">
      <c r="B116" s="11">
        <v>1113172</v>
      </c>
      <c r="C116" s="22" t="s">
        <v>89</v>
      </c>
      <c r="D116" s="31">
        <v>3</v>
      </c>
      <c r="E116" s="31"/>
      <c r="F116" s="31"/>
      <c r="G116" s="31"/>
      <c r="H116" s="31"/>
      <c r="I116" s="31"/>
      <c r="J116" s="44"/>
      <c r="K116" s="44"/>
      <c r="L116" s="37">
        <f t="shared" si="6"/>
        <v>3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>
        <v>5</v>
      </c>
      <c r="F120" s="31"/>
      <c r="G120" s="31"/>
      <c r="H120" s="31"/>
      <c r="I120" s="31"/>
      <c r="J120" s="44"/>
      <c r="K120" s="44"/>
      <c r="L120" s="37">
        <f t="shared" si="6"/>
        <v>5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7</v>
      </c>
      <c r="F123" s="31">
        <v>1</v>
      </c>
      <c r="G123" s="31">
        <v>98</v>
      </c>
      <c r="H123" s="31"/>
      <c r="I123" s="31"/>
      <c r="J123" s="44"/>
      <c r="K123" s="44"/>
      <c r="L123" s="37">
        <f t="shared" si="6"/>
        <v>106</v>
      </c>
    </row>
    <row r="124" spans="2:12" x14ac:dyDescent="0.25">
      <c r="B124" s="11">
        <v>1114502</v>
      </c>
      <c r="C124" s="22" t="s">
        <v>96</v>
      </c>
      <c r="D124" s="31"/>
      <c r="E124" s="31">
        <v>6</v>
      </c>
      <c r="F124" s="31">
        <v>2</v>
      </c>
      <c r="G124" s="31">
        <v>98</v>
      </c>
      <c r="H124" s="31"/>
      <c r="I124" s="31"/>
      <c r="J124" s="44"/>
      <c r="K124" s="44"/>
      <c r="L124" s="37">
        <f t="shared" si="6"/>
        <v>106</v>
      </c>
    </row>
    <row r="125" spans="2:12" x14ac:dyDescent="0.25">
      <c r="B125" s="11">
        <v>1114503</v>
      </c>
      <c r="C125" s="22" t="s">
        <v>97</v>
      </c>
      <c r="D125" s="31"/>
      <c r="E125" s="31">
        <v>5</v>
      </c>
      <c r="F125" s="31">
        <v>1</v>
      </c>
      <c r="G125" s="31">
        <v>98</v>
      </c>
      <c r="H125" s="31"/>
      <c r="I125" s="31"/>
      <c r="J125" s="44"/>
      <c r="K125" s="44"/>
      <c r="L125" s="37">
        <f t="shared" si="6"/>
        <v>104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>
        <v>20</v>
      </c>
      <c r="G126" s="31">
        <v>6</v>
      </c>
      <c r="H126" s="31"/>
      <c r="I126" s="31"/>
      <c r="J126" s="44"/>
      <c r="K126" s="44"/>
      <c r="L126" s="37">
        <f t="shared" si="6"/>
        <v>26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94" zoomScale="60" zoomScaleNormal="60" workbookViewId="0">
      <selection activeCell="E127" sqref="E12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4" width="14.3984375" style="16" hidden="1" customWidth="1"/>
    <col min="5" max="7" width="14.3984375" style="16" customWidth="1"/>
    <col min="8" max="11" width="14.3984375" style="16" hidden="1" customWidth="1"/>
    <col min="12" max="12" width="17.59765625" style="26" customWidth="1"/>
  </cols>
  <sheetData>
    <row r="1" spans="2:12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7</v>
      </c>
      <c r="F7" s="31">
        <v>13</v>
      </c>
      <c r="G7" s="31">
        <v>1</v>
      </c>
      <c r="H7" s="31"/>
      <c r="I7" s="31"/>
      <c r="J7" s="44"/>
      <c r="K7" s="44"/>
      <c r="L7" s="37">
        <f>SUM(D7:K7)</f>
        <v>21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1</v>
      </c>
      <c r="F25" s="31"/>
      <c r="G25" s="31">
        <v>4</v>
      </c>
      <c r="H25" s="31"/>
      <c r="I25" s="31"/>
      <c r="J25" s="44"/>
      <c r="K25" s="44"/>
      <c r="L25" s="37">
        <f t="shared" si="0"/>
        <v>5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>
        <v>66</v>
      </c>
      <c r="H26" s="31"/>
      <c r="I26" s="31"/>
      <c r="J26" s="44"/>
      <c r="K26" s="44"/>
      <c r="L26" s="37">
        <f t="shared" si="0"/>
        <v>66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>
        <v>2</v>
      </c>
      <c r="G56" s="31"/>
      <c r="H56" s="31"/>
      <c r="I56" s="31"/>
      <c r="J56" s="44"/>
      <c r="K56" s="44"/>
      <c r="L56" s="37">
        <f t="shared" si="0"/>
        <v>2</v>
      </c>
    </row>
    <row r="57" spans="2:12" x14ac:dyDescent="0.25">
      <c r="B57" s="11">
        <v>1111075</v>
      </c>
      <c r="C57" s="15" t="s">
        <v>45</v>
      </c>
      <c r="D57" s="31"/>
      <c r="E57" s="31"/>
      <c r="F57" s="31">
        <v>2</v>
      </c>
      <c r="G57" s="31"/>
      <c r="H57" s="31"/>
      <c r="I57" s="31"/>
      <c r="J57" s="44"/>
      <c r="K57" s="44"/>
      <c r="L57" s="37">
        <f t="shared" si="0"/>
        <v>2</v>
      </c>
    </row>
    <row r="58" spans="2:12" x14ac:dyDescent="0.25">
      <c r="B58" s="11">
        <v>1111076</v>
      </c>
      <c r="C58" s="15" t="s">
        <v>46</v>
      </c>
      <c r="D58" s="31"/>
      <c r="E58" s="31"/>
      <c r="F58" s="31">
        <v>2</v>
      </c>
      <c r="G58" s="31"/>
      <c r="H58" s="31"/>
      <c r="I58" s="31"/>
      <c r="J58" s="44"/>
      <c r="K58" s="44"/>
      <c r="L58" s="37">
        <f t="shared" si="0"/>
        <v>2</v>
      </c>
    </row>
    <row r="59" spans="2:12" x14ac:dyDescent="0.25">
      <c r="B59" s="11">
        <v>1111077</v>
      </c>
      <c r="C59" s="15" t="s">
        <v>47</v>
      </c>
      <c r="D59" s="31"/>
      <c r="E59" s="31"/>
      <c r="F59" s="31">
        <v>2</v>
      </c>
      <c r="G59" s="31"/>
      <c r="H59" s="31"/>
      <c r="I59" s="31"/>
      <c r="J59" s="44"/>
      <c r="K59" s="44"/>
      <c r="L59" s="37">
        <f t="shared" si="0"/>
        <v>2</v>
      </c>
    </row>
    <row r="60" spans="2:12" x14ac:dyDescent="0.25">
      <c r="B60" s="11">
        <v>1111078</v>
      </c>
      <c r="C60" s="15" t="s">
        <v>48</v>
      </c>
      <c r="D60" s="31"/>
      <c r="E60" s="31"/>
      <c r="F60" s="31">
        <v>2</v>
      </c>
      <c r="G60" s="31"/>
      <c r="H60" s="31"/>
      <c r="I60" s="31"/>
      <c r="J60" s="44"/>
      <c r="K60" s="44"/>
      <c r="L60" s="37">
        <f t="shared" si="0"/>
        <v>2</v>
      </c>
    </row>
    <row r="61" spans="2:12" x14ac:dyDescent="0.25">
      <c r="B61" s="11">
        <v>1111079</v>
      </c>
      <c r="C61" s="15" t="s">
        <v>49</v>
      </c>
      <c r="D61" s="31"/>
      <c r="E61" s="31"/>
      <c r="F61" s="31">
        <v>2</v>
      </c>
      <c r="G61" s="31"/>
      <c r="H61" s="31"/>
      <c r="I61" s="31"/>
      <c r="J61" s="44"/>
      <c r="K61" s="44"/>
      <c r="L61" s="37">
        <f t="shared" si="0"/>
        <v>2</v>
      </c>
    </row>
    <row r="62" spans="2:12" x14ac:dyDescent="0.25">
      <c r="B62" s="11">
        <v>1111080</v>
      </c>
      <c r="C62" s="15" t="s">
        <v>50</v>
      </c>
      <c r="D62" s="31"/>
      <c r="E62" s="31"/>
      <c r="F62" s="31">
        <v>2</v>
      </c>
      <c r="G62" s="31"/>
      <c r="H62" s="31"/>
      <c r="I62" s="31"/>
      <c r="J62" s="44"/>
      <c r="K62" s="44"/>
      <c r="L62" s="37">
        <f t="shared" si="0"/>
        <v>2</v>
      </c>
    </row>
    <row r="63" spans="2:12" x14ac:dyDescent="0.25">
      <c r="B63" s="11">
        <v>1111081</v>
      </c>
      <c r="C63" s="15" t="s">
        <v>51</v>
      </c>
      <c r="D63" s="31"/>
      <c r="E63" s="31"/>
      <c r="F63" s="31">
        <v>2</v>
      </c>
      <c r="G63" s="31"/>
      <c r="H63" s="31"/>
      <c r="I63" s="31"/>
      <c r="J63" s="44"/>
      <c r="K63" s="44"/>
      <c r="L63" s="37">
        <f t="shared" si="0"/>
        <v>2</v>
      </c>
    </row>
    <row r="64" spans="2:12" x14ac:dyDescent="0.25">
      <c r="B64" s="11">
        <v>1111082</v>
      </c>
      <c r="C64" s="15" t="s">
        <v>52</v>
      </c>
      <c r="D64" s="31"/>
      <c r="E64" s="31"/>
      <c r="F64" s="31">
        <v>2</v>
      </c>
      <c r="G64" s="31"/>
      <c r="H64" s="31"/>
      <c r="I64" s="31"/>
      <c r="J64" s="44"/>
      <c r="K64" s="44"/>
      <c r="L64" s="37">
        <f t="shared" si="0"/>
        <v>2</v>
      </c>
    </row>
    <row r="65" spans="2:12" x14ac:dyDescent="0.25">
      <c r="B65" s="11">
        <v>1111083</v>
      </c>
      <c r="C65" s="15" t="s">
        <v>53</v>
      </c>
      <c r="D65" s="31"/>
      <c r="E65" s="31"/>
      <c r="F65" s="31">
        <v>2</v>
      </c>
      <c r="G65" s="31"/>
      <c r="H65" s="31"/>
      <c r="I65" s="31"/>
      <c r="J65" s="44"/>
      <c r="K65" s="44"/>
      <c r="L65" s="37">
        <f t="shared" si="0"/>
        <v>2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1</v>
      </c>
      <c r="F69" s="31"/>
      <c r="G69" s="31">
        <v>1</v>
      </c>
      <c r="H69" s="31"/>
      <c r="I69" s="31"/>
      <c r="J69" s="44"/>
      <c r="K69" s="44"/>
      <c r="L69" s="37">
        <f t="shared" ref="L69:L76" si="1">SUM(D69:K69)</f>
        <v>2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>
        <v>81</v>
      </c>
      <c r="H87" s="31"/>
      <c r="I87" s="31"/>
      <c r="J87" s="44"/>
      <c r="K87" s="44"/>
      <c r="L87" s="37">
        <f t="shared" si="2"/>
        <v>81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>
        <v>4</v>
      </c>
      <c r="G90" s="31">
        <v>51</v>
      </c>
      <c r="H90" s="31"/>
      <c r="I90" s="31"/>
      <c r="J90" s="44"/>
      <c r="K90" s="44"/>
      <c r="L90" s="37">
        <f t="shared" ref="L90:L99" si="3">SUM(D90:K90)</f>
        <v>55</v>
      </c>
    </row>
    <row r="91" spans="2:12" x14ac:dyDescent="0.25">
      <c r="B91" s="11">
        <v>1112011</v>
      </c>
      <c r="C91" s="20" t="s">
        <v>76</v>
      </c>
      <c r="D91" s="31"/>
      <c r="E91" s="31"/>
      <c r="F91" s="31">
        <v>4</v>
      </c>
      <c r="G91" s="31">
        <v>51</v>
      </c>
      <c r="H91" s="31"/>
      <c r="I91" s="31"/>
      <c r="J91" s="44"/>
      <c r="K91" s="44"/>
      <c r="L91" s="37">
        <f t="shared" si="3"/>
        <v>55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>
        <v>41</v>
      </c>
      <c r="H92" s="31"/>
      <c r="I92" s="31"/>
      <c r="J92" s="44"/>
      <c r="K92" s="44"/>
      <c r="L92" s="37">
        <f t="shared" si="3"/>
        <v>41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>
        <v>41</v>
      </c>
      <c r="H93" s="31"/>
      <c r="I93" s="31"/>
      <c r="J93" s="44"/>
      <c r="K93" s="44"/>
      <c r="L93" s="37">
        <f t="shared" si="3"/>
        <v>41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>
        <v>41</v>
      </c>
      <c r="H97" s="31"/>
      <c r="I97" s="31"/>
      <c r="J97" s="44"/>
      <c r="K97" s="44"/>
      <c r="L97" s="37">
        <f t="shared" si="3"/>
        <v>41</v>
      </c>
    </row>
    <row r="98" spans="2:12" x14ac:dyDescent="0.25">
      <c r="B98" s="11">
        <v>1112013</v>
      </c>
      <c r="C98" s="20" t="s">
        <v>83</v>
      </c>
      <c r="D98" s="31"/>
      <c r="E98" s="31"/>
      <c r="F98" s="31">
        <v>4</v>
      </c>
      <c r="G98" s="31">
        <v>51</v>
      </c>
      <c r="H98" s="31"/>
      <c r="I98" s="31"/>
      <c r="J98" s="44"/>
      <c r="K98" s="44"/>
      <c r="L98" s="37">
        <f t="shared" si="3"/>
        <v>55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>
        <v>8</v>
      </c>
      <c r="H116" s="31"/>
      <c r="I116" s="31"/>
      <c r="J116" s="44"/>
      <c r="K116" s="44"/>
      <c r="L116" s="37">
        <f t="shared" si="6"/>
        <v>8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>
        <v>1</v>
      </c>
      <c r="F123" s="31">
        <v>3</v>
      </c>
      <c r="G123" s="31">
        <v>36</v>
      </c>
      <c r="H123" s="31"/>
      <c r="I123" s="31"/>
      <c r="J123" s="44"/>
      <c r="K123" s="44"/>
      <c r="L123" s="37">
        <f t="shared" si="6"/>
        <v>40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>
        <v>3</v>
      </c>
      <c r="G124" s="31">
        <v>36</v>
      </c>
      <c r="H124" s="31"/>
      <c r="I124" s="31"/>
      <c r="J124" s="44"/>
      <c r="K124" s="44"/>
      <c r="L124" s="37">
        <f t="shared" si="6"/>
        <v>39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>
        <v>2</v>
      </c>
      <c r="G125" s="31">
        <v>36</v>
      </c>
      <c r="H125" s="31"/>
      <c r="I125" s="31"/>
      <c r="J125" s="44"/>
      <c r="K125" s="44"/>
      <c r="L125" s="37">
        <f t="shared" si="6"/>
        <v>38</v>
      </c>
    </row>
    <row r="126" spans="2:12" x14ac:dyDescent="0.25">
      <c r="B126" s="11">
        <v>1124021</v>
      </c>
      <c r="C126" s="22" t="s">
        <v>98</v>
      </c>
      <c r="D126" s="31"/>
      <c r="E126" s="31">
        <v>18</v>
      </c>
      <c r="F126" s="31">
        <v>32</v>
      </c>
      <c r="G126" s="31"/>
      <c r="H126" s="31"/>
      <c r="I126" s="31"/>
      <c r="J126" s="44"/>
      <c r="K126" s="44"/>
      <c r="L126" s="37">
        <f t="shared" si="6"/>
        <v>50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zoomScale="50" zoomScaleNormal="50" workbookViewId="0">
      <selection activeCell="X57" sqref="X5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1" width="14.3984375" style="16" hidden="1" customWidth="1"/>
    <col min="12" max="12" width="17.59765625" style="26" customWidth="1"/>
    <col min="13" max="13" width="16.09765625" style="24" customWidth="1"/>
    <col min="14" max="15" width="15.3984375" style="24" customWidth="1"/>
    <col min="16" max="16" width="25.3984375" style="24" customWidth="1"/>
    <col min="17" max="17" width="14.3984375" style="29" customWidth="1"/>
    <col min="18" max="18" width="9.09765625" customWidth="1"/>
    <col min="19" max="19" width="7.3984375" customWidth="1"/>
    <col min="20" max="20" width="22.69921875" customWidth="1"/>
  </cols>
  <sheetData>
    <row r="1" spans="2:17" x14ac:dyDescent="0.2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49">
        <f>'เย็น '!D7+'เช้า '!D7+บ่าย!D7</f>
        <v>32</v>
      </c>
      <c r="E7" s="49">
        <f>'เย็น '!E7+'เช้า '!E7+บ่าย!E7</f>
        <v>67</v>
      </c>
      <c r="F7" s="49">
        <f>'เย็น '!F7+'เช้า '!F7+บ่าย!F7</f>
        <v>30</v>
      </c>
      <c r="G7" s="49">
        <f>'เย็น '!G7+'เช้า '!G7+บ่าย!G7</f>
        <v>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137</v>
      </c>
      <c r="M7" s="11">
        <v>500</v>
      </c>
      <c r="N7" s="11">
        <v>783</v>
      </c>
      <c r="O7" s="11"/>
      <c r="P7" s="11"/>
      <c r="Q7" s="45">
        <f>(M7+N7+O7+P7)-L7</f>
        <v>1146</v>
      </c>
    </row>
    <row r="8" spans="2:17" hidden="1" x14ac:dyDescent="0.25">
      <c r="B8" s="11"/>
      <c r="C8" s="15" t="s">
        <v>126</v>
      </c>
      <c r="D8" s="49">
        <f>'เย็น '!D8+'เช้า '!D8+บ่าย!D8</f>
        <v>0</v>
      </c>
      <c r="E8" s="49">
        <f>'เย็น '!E8+'เช้า '!E8+บ่าย!E8</f>
        <v>0</v>
      </c>
      <c r="F8" s="49">
        <f>'เย็น '!F8+'เช้า '!F8+บ่าย!F8</f>
        <v>0</v>
      </c>
      <c r="G8" s="49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49">
        <f>'เย็น '!D9+'เช้า '!D9+บ่าย!D9</f>
        <v>0</v>
      </c>
      <c r="E9" s="49">
        <f>'เย็น '!E9+'เช้า '!E9+บ่าย!E9</f>
        <v>0</v>
      </c>
      <c r="F9" s="49">
        <f>'เย็น '!F9+'เช้า '!F9+บ่าย!F9</f>
        <v>0</v>
      </c>
      <c r="G9" s="49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49">
        <f>'เย็น '!D10+'เช้า '!D10+บ่าย!D10</f>
        <v>0</v>
      </c>
      <c r="E10" s="49">
        <f>'เย็น '!E10+'เช้า '!E10+บ่าย!E10</f>
        <v>0</v>
      </c>
      <c r="F10" s="49">
        <f>'เย็น '!F10+'เช้า '!F10+บ่าย!F10</f>
        <v>0</v>
      </c>
      <c r="G10" s="49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49">
        <f>'เย็น '!D11+'เช้า '!D11+บ่าย!D11</f>
        <v>0</v>
      </c>
      <c r="E11" s="49">
        <f>'เย็น '!E11+'เช้า '!E11+บ่าย!E11</f>
        <v>0</v>
      </c>
      <c r="F11" s="49">
        <f>'เย็น '!F11+'เช้า '!F11+บ่าย!F11</f>
        <v>0</v>
      </c>
      <c r="G11" s="49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49">
        <f>'เย็น '!D12+'เช้า '!D12+บ่าย!D12</f>
        <v>0</v>
      </c>
      <c r="E12" s="49">
        <f>'เย็น '!E12+'เช้า '!E12+บ่าย!E12</f>
        <v>0</v>
      </c>
      <c r="F12" s="49">
        <f>'เย็น '!F12+'เช้า '!F12+บ่าย!F12</f>
        <v>0</v>
      </c>
      <c r="G12" s="49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49">
        <f>'เย็น '!D13+'เช้า '!D13+บ่าย!D13</f>
        <v>0</v>
      </c>
      <c r="E13" s="49">
        <f>'เย็น '!E13+'เช้า '!E13+บ่าย!E13</f>
        <v>0</v>
      </c>
      <c r="F13" s="49">
        <f>'เย็น '!F13+'เช้า '!F13+บ่าย!F13</f>
        <v>0</v>
      </c>
      <c r="G13" s="49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49">
        <f>'เย็น '!D14+'เช้า '!D14+บ่าย!D14</f>
        <v>0</v>
      </c>
      <c r="E14" s="49">
        <f>'เย็น '!E14+'เช้า '!E14+บ่าย!E14</f>
        <v>0</v>
      </c>
      <c r="F14" s="49">
        <f>'เย็น '!F14+'เช้า '!F14+บ่าย!F14</f>
        <v>0</v>
      </c>
      <c r="G14" s="49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49">
        <f>'เย็น '!D15+'เช้า '!D15+บ่าย!D15</f>
        <v>0</v>
      </c>
      <c r="E15" s="49">
        <f>'เย็น '!E15+'เช้า '!E15+บ่าย!E15</f>
        <v>0</v>
      </c>
      <c r="F15" s="49">
        <f>'เย็น '!F15+'เช้า '!F15+บ่าย!F15</f>
        <v>0</v>
      </c>
      <c r="G15" s="49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49">
        <f>'เย็น '!D16+'เช้า '!D16+บ่าย!D16</f>
        <v>0</v>
      </c>
      <c r="E16" s="49">
        <f>'เย็น '!E16+'เช้า '!E16+บ่าย!E16</f>
        <v>0</v>
      </c>
      <c r="F16" s="49">
        <f>'เย็น '!F16+'เช้า '!F16+บ่าย!F16</f>
        <v>0</v>
      </c>
      <c r="G16" s="49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49">
        <f>'เย็น '!D17+'เช้า '!D17+บ่าย!D17</f>
        <v>0</v>
      </c>
      <c r="E17" s="49">
        <f>'เย็น '!E17+'เช้า '!E17+บ่าย!E17</f>
        <v>0</v>
      </c>
      <c r="F17" s="49">
        <f>'เย็น '!F17+'เช้า '!F17+บ่าย!F17</f>
        <v>0</v>
      </c>
      <c r="G17" s="49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49">
        <f>'เย็น '!D18+'เช้า '!D18+บ่าย!D18</f>
        <v>0</v>
      </c>
      <c r="E18" s="49">
        <f>'เย็น '!E18+'เช้า '!E18+บ่าย!E18</f>
        <v>0</v>
      </c>
      <c r="F18" s="49">
        <f>'เย็น '!F18+'เช้า '!F18+บ่าย!F18</f>
        <v>0</v>
      </c>
      <c r="G18" s="49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49">
        <f>'เย็น '!D19+'เช้า '!D19+บ่าย!D19</f>
        <v>0</v>
      </c>
      <c r="E19" s="49">
        <f>'เย็น '!E19+'เช้า '!E19+บ่าย!E19</f>
        <v>0</v>
      </c>
      <c r="F19" s="49">
        <f>'เย็น '!F19+'เช้า '!F19+บ่าย!F19</f>
        <v>0</v>
      </c>
      <c r="G19" s="49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49">
        <f>'เย็น '!D20+'เช้า '!D20+บ่าย!D20</f>
        <v>0</v>
      </c>
      <c r="E20" s="49">
        <f>'เย็น '!E20+'เช้า '!E20+บ่าย!E20</f>
        <v>0</v>
      </c>
      <c r="F20" s="49">
        <f>'เย็น '!F20+'เช้า '!F20+บ่าย!F20</f>
        <v>0</v>
      </c>
      <c r="G20" s="49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49">
        <f>'เย็น '!D21+'เช้า '!D21+บ่าย!D21</f>
        <v>0</v>
      </c>
      <c r="E21" s="49">
        <f>'เย็น '!E21+'เช้า '!E21+บ่าย!E21</f>
        <v>0</v>
      </c>
      <c r="F21" s="49">
        <f>'เย็น '!F21+'เช้า '!F21+บ่าย!F21</f>
        <v>0</v>
      </c>
      <c r="G21" s="49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49">
        <f>'เย็น '!D22+'เช้า '!D22+บ่าย!D22</f>
        <v>0</v>
      </c>
      <c r="E22" s="49">
        <f>'เย็น '!E22+'เช้า '!E22+บ่าย!E22</f>
        <v>0</v>
      </c>
      <c r="F22" s="49">
        <f>'เย็น '!F22+'เช้า '!F22+บ่าย!F22</f>
        <v>0</v>
      </c>
      <c r="G22" s="49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49">
        <f>'เย็น '!D23+'เช้า '!D23+บ่าย!D23</f>
        <v>0</v>
      </c>
      <c r="E23" s="49">
        <f>'เย็น '!E23+'เช้า '!E23+บ่าย!E23</f>
        <v>0</v>
      </c>
      <c r="F23" s="49">
        <f>'เย็น '!F23+'เช้า '!F23+บ่าย!F23</f>
        <v>0</v>
      </c>
      <c r="G23" s="49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49">
        <f>'เย็น '!D24+'เช้า '!D24+บ่าย!D24</f>
        <v>0</v>
      </c>
      <c r="E24" s="49">
        <f>'เย็น '!E24+'เช้า '!E24+บ่าย!E24</f>
        <v>0</v>
      </c>
      <c r="F24" s="49">
        <f>'เย็น '!F24+'เช้า '!F24+บ่าย!F24</f>
        <v>0</v>
      </c>
      <c r="G24" s="49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49">
        <f>'เย็น '!D25+'เช้า '!D25+บ่าย!D25</f>
        <v>2</v>
      </c>
      <c r="E25" s="49">
        <f>'เย็น '!E25+'เช้า '!E25+บ่าย!E25</f>
        <v>4</v>
      </c>
      <c r="F25" s="49">
        <f>'เย็น '!F25+'เช้า '!F25+บ่าย!F25</f>
        <v>0</v>
      </c>
      <c r="G25" s="49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11</v>
      </c>
      <c r="M25" s="11">
        <v>82</v>
      </c>
      <c r="N25" s="11">
        <v>55</v>
      </c>
      <c r="O25" s="11"/>
      <c r="P25" s="11"/>
      <c r="Q25" s="45">
        <f t="shared" si="1"/>
        <v>126</v>
      </c>
    </row>
    <row r="26" spans="2:17" x14ac:dyDescent="0.25">
      <c r="B26" s="11">
        <v>1004055</v>
      </c>
      <c r="C26" s="15" t="s">
        <v>108</v>
      </c>
      <c r="D26" s="49">
        <f>'เย็น '!D26+'เช้า '!D26+บ่าย!D26</f>
        <v>0</v>
      </c>
      <c r="E26" s="49">
        <f>'เย็น '!E26+'เช้า '!E26+บ่าย!E26</f>
        <v>30</v>
      </c>
      <c r="F26" s="49">
        <f>'เย็น '!F26+'เช้า '!F26+บ่าย!F26</f>
        <v>22</v>
      </c>
      <c r="G26" s="49">
        <f>'เย็น '!G26+'เช้า '!G26+บ่าย!G26</f>
        <v>165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217</v>
      </c>
      <c r="M26" s="11">
        <v>500</v>
      </c>
      <c r="N26" s="11">
        <v>363</v>
      </c>
      <c r="O26" s="11"/>
      <c r="P26" s="11"/>
      <c r="Q26" s="45">
        <f t="shared" si="1"/>
        <v>646</v>
      </c>
    </row>
    <row r="27" spans="2:17" hidden="1" x14ac:dyDescent="0.25">
      <c r="B27" s="11">
        <v>1004055</v>
      </c>
      <c r="C27" s="15" t="s">
        <v>109</v>
      </c>
      <c r="D27" s="49">
        <f>'เย็น '!D27+'เช้า '!D27+บ่าย!D27</f>
        <v>0</v>
      </c>
      <c r="E27" s="49">
        <f>'เย็น '!E27+'เช้า '!E27+บ่าย!E27</f>
        <v>0</v>
      </c>
      <c r="F27" s="49">
        <f>'เย็น '!F27+'เช้า '!F27+บ่าย!F27</f>
        <v>0</v>
      </c>
      <c r="G27" s="49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49">
        <f>'เย็น '!D28+'เช้า '!D28+บ่าย!D28</f>
        <v>0</v>
      </c>
      <c r="E28" s="49">
        <f>'เย็น '!E28+'เช้า '!E28+บ่าย!E28</f>
        <v>0</v>
      </c>
      <c r="F28" s="49">
        <f>'เย็น '!F28+'เช้า '!F28+บ่าย!F28</f>
        <v>0</v>
      </c>
      <c r="G28" s="49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49">
        <f>'เย็น '!D29+'เช้า '!D29+บ่าย!D29</f>
        <v>0</v>
      </c>
      <c r="E29" s="49">
        <f>'เย็น '!E29+'เช้า '!E29+บ่าย!E29</f>
        <v>0</v>
      </c>
      <c r="F29" s="49">
        <f>'เย็น '!F29+'เช้า '!F29+บ่าย!F29</f>
        <v>0</v>
      </c>
      <c r="G29" s="49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49">
        <f>'เย็น '!D30+'เช้า '!D30+บ่าย!D30</f>
        <v>0</v>
      </c>
      <c r="E30" s="49">
        <f>'เย็น '!E30+'เช้า '!E30+บ่าย!E30</f>
        <v>0</v>
      </c>
      <c r="F30" s="49">
        <f>'เย็น '!F30+'เช้า '!F30+บ่าย!F30</f>
        <v>0</v>
      </c>
      <c r="G30" s="49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49">
        <f>'เย็น '!D31+'เช้า '!D31+บ่าย!D31</f>
        <v>0</v>
      </c>
      <c r="E31" s="49">
        <f>'เย็น '!E31+'เช้า '!E31+บ่าย!E31</f>
        <v>0</v>
      </c>
      <c r="F31" s="49">
        <f>'เย็น '!F31+'เช้า '!F31+บ่าย!F31</f>
        <v>0</v>
      </c>
      <c r="G31" s="49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49">
        <f>'เย็น '!D32+'เช้า '!D32+บ่าย!D32</f>
        <v>0</v>
      </c>
      <c r="E32" s="49">
        <f>'เย็น '!E32+'เช้า '!E32+บ่าย!E32</f>
        <v>0</v>
      </c>
      <c r="F32" s="49">
        <f>'เย็น '!F32+'เช้า '!F32+บ่าย!F32</f>
        <v>0</v>
      </c>
      <c r="G32" s="49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49">
        <f>'เย็น '!D33+'เช้า '!D33+บ่าย!D33</f>
        <v>0</v>
      </c>
      <c r="E33" s="49">
        <f>'เย็น '!E33+'เช้า '!E33+บ่าย!E33</f>
        <v>0</v>
      </c>
      <c r="F33" s="49">
        <f>'เย็น '!F33+'เช้า '!F33+บ่าย!F33</f>
        <v>0</v>
      </c>
      <c r="G33" s="49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49">
        <f>'เย็น '!D34+'เช้า '!D34+บ่าย!D34</f>
        <v>0</v>
      </c>
      <c r="E34" s="49">
        <f>'เย็น '!E34+'เช้า '!E34+บ่าย!E34</f>
        <v>0</v>
      </c>
      <c r="F34" s="49">
        <f>'เย็น '!F34+'เช้า '!F34+บ่าย!F34</f>
        <v>0</v>
      </c>
      <c r="G34" s="49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49">
        <f>'เย็น '!D35+'เช้า '!D35+บ่าย!D35</f>
        <v>0</v>
      </c>
      <c r="E35" s="49">
        <f>'เย็น '!E35+'เช้า '!E35+บ่าย!E35</f>
        <v>0</v>
      </c>
      <c r="F35" s="49">
        <f>'เย็น '!F35+'เช้า '!F35+บ่าย!F35</f>
        <v>0</v>
      </c>
      <c r="G35" s="49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49">
        <f>'เย็น '!D36+'เช้า '!D36+บ่าย!D36</f>
        <v>0</v>
      </c>
      <c r="E36" s="49">
        <f>'เย็น '!E36+'เช้า '!E36+บ่าย!E36</f>
        <v>0</v>
      </c>
      <c r="F36" s="49">
        <f>'เย็น '!F36+'เช้า '!F36+บ่าย!F36</f>
        <v>0</v>
      </c>
      <c r="G36" s="49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49">
        <f>'เย็น '!D37+'เช้า '!D37+บ่าย!D37</f>
        <v>0</v>
      </c>
      <c r="E37" s="49">
        <f>'เย็น '!E37+'เช้า '!E37+บ่าย!E37</f>
        <v>0</v>
      </c>
      <c r="F37" s="49">
        <f>'เย็น '!F37+'เช้า '!F37+บ่าย!F37</f>
        <v>0</v>
      </c>
      <c r="G37" s="49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49">
        <f>'เย็น '!D38+'เช้า '!D38+บ่าย!D38</f>
        <v>0</v>
      </c>
      <c r="E38" s="49">
        <f>'เย็น '!E38+'เช้า '!E38+บ่าย!E38</f>
        <v>0</v>
      </c>
      <c r="F38" s="49">
        <f>'เย็น '!F38+'เช้า '!F38+บ่าย!F38</f>
        <v>0</v>
      </c>
      <c r="G38" s="49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49">
        <f>'เย็น '!D39+'เช้า '!D39+บ่าย!D39</f>
        <v>0</v>
      </c>
      <c r="E39" s="49">
        <f>'เย็น '!E39+'เช้า '!E39+บ่าย!E39</f>
        <v>0</v>
      </c>
      <c r="F39" s="49">
        <f>'เย็น '!F39+'เช้า '!F39+บ่าย!F39</f>
        <v>0</v>
      </c>
      <c r="G39" s="49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49">
        <f>'เย็น '!D40+'เช้า '!D40+บ่าย!D40</f>
        <v>0</v>
      </c>
      <c r="E40" s="49">
        <f>'เย็น '!E40+'เช้า '!E40+บ่าย!E40</f>
        <v>1</v>
      </c>
      <c r="F40" s="49">
        <f>'เย็น '!F40+'เช้า '!F40+บ่าย!F40</f>
        <v>0</v>
      </c>
      <c r="G40" s="49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</v>
      </c>
      <c r="M40" s="11">
        <v>100</v>
      </c>
      <c r="N40" s="11">
        <v>100</v>
      </c>
      <c r="O40" s="11"/>
      <c r="P40" s="11"/>
      <c r="Q40" s="45">
        <f t="shared" si="1"/>
        <v>199</v>
      </c>
    </row>
    <row r="41" spans="2:17" x14ac:dyDescent="0.25">
      <c r="B41" s="11">
        <v>1111058</v>
      </c>
      <c r="C41" s="15" t="s">
        <v>31</v>
      </c>
      <c r="D41" s="49">
        <f>'เย็น '!D41+'เช้า '!D41+บ่าย!D41</f>
        <v>0</v>
      </c>
      <c r="E41" s="49">
        <f>'เย็น '!E41+'เช้า '!E41+บ่าย!E41</f>
        <v>1</v>
      </c>
      <c r="F41" s="49">
        <f>'เย็น '!F41+'เช้า '!F41+บ่าย!F41</f>
        <v>0</v>
      </c>
      <c r="G41" s="49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</v>
      </c>
      <c r="M41" s="11">
        <v>100</v>
      </c>
      <c r="N41" s="11"/>
      <c r="O41" s="11"/>
      <c r="P41" s="11"/>
      <c r="Q41" s="45">
        <f t="shared" si="1"/>
        <v>99</v>
      </c>
    </row>
    <row r="42" spans="2:17" x14ac:dyDescent="0.25">
      <c r="B42" s="11">
        <v>1111059</v>
      </c>
      <c r="C42" s="15" t="s">
        <v>32</v>
      </c>
      <c r="D42" s="49">
        <f>'เย็น '!D42+'เช้า '!D42+บ่าย!D42</f>
        <v>0</v>
      </c>
      <c r="E42" s="49">
        <f>'เย็น '!E42+'เช้า '!E42+บ่าย!E42</f>
        <v>1</v>
      </c>
      <c r="F42" s="49">
        <f>'เย็น '!F42+'เช้า '!F42+บ่าย!F42</f>
        <v>0</v>
      </c>
      <c r="G42" s="49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</v>
      </c>
      <c r="M42" s="11">
        <v>100</v>
      </c>
      <c r="N42" s="11">
        <v>100</v>
      </c>
      <c r="O42" s="11"/>
      <c r="P42" s="11"/>
      <c r="Q42" s="45">
        <f t="shared" si="1"/>
        <v>199</v>
      </c>
    </row>
    <row r="43" spans="2:17" x14ac:dyDescent="0.25">
      <c r="B43" s="11">
        <v>1111060</v>
      </c>
      <c r="C43" s="15" t="s">
        <v>33</v>
      </c>
      <c r="D43" s="49">
        <f>'เย็น '!D43+'เช้า '!D43+บ่าย!D43</f>
        <v>0</v>
      </c>
      <c r="E43" s="49">
        <f>'เย็น '!E43+'เช้า '!E43+บ่าย!E43</f>
        <v>1</v>
      </c>
      <c r="F43" s="49">
        <f>'เย็น '!F43+'เช้า '!F43+บ่าย!F43</f>
        <v>0</v>
      </c>
      <c r="G43" s="49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</v>
      </c>
      <c r="M43" s="11">
        <v>100</v>
      </c>
      <c r="N43" s="11">
        <v>200</v>
      </c>
      <c r="O43" s="11"/>
      <c r="P43" s="11"/>
      <c r="Q43" s="45">
        <f t="shared" si="1"/>
        <v>299</v>
      </c>
    </row>
    <row r="44" spans="2:17" x14ac:dyDescent="0.25">
      <c r="B44" s="11">
        <v>1111061</v>
      </c>
      <c r="C44" s="15" t="s">
        <v>34</v>
      </c>
      <c r="D44" s="49">
        <f>'เย็น '!D44+'เช้า '!D44+บ่าย!D44</f>
        <v>0</v>
      </c>
      <c r="E44" s="49">
        <f>'เย็น '!E44+'เช้า '!E44+บ่าย!E44</f>
        <v>0</v>
      </c>
      <c r="F44" s="49">
        <f>'เย็น '!F44+'เช้า '!F44+บ่าย!F44</f>
        <v>0</v>
      </c>
      <c r="G44" s="49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>
        <v>100</v>
      </c>
      <c r="N44" s="11">
        <v>98</v>
      </c>
      <c r="O44" s="11"/>
      <c r="P44" s="11"/>
      <c r="Q44" s="45">
        <f t="shared" si="1"/>
        <v>198</v>
      </c>
    </row>
    <row r="45" spans="2:17" x14ac:dyDescent="0.25">
      <c r="B45" s="11">
        <v>1111062</v>
      </c>
      <c r="C45" s="15" t="s">
        <v>35</v>
      </c>
      <c r="D45" s="49">
        <f>'เย็น '!D45+'เช้า '!D45+บ่าย!D45</f>
        <v>0</v>
      </c>
      <c r="E45" s="49">
        <f>'เย็น '!E45+'เช้า '!E45+บ่าย!E45</f>
        <v>0</v>
      </c>
      <c r="F45" s="49">
        <f>'เย็น '!F45+'เช้า '!F45+บ่าย!F45</f>
        <v>0</v>
      </c>
      <c r="G45" s="49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>
        <v>100</v>
      </c>
      <c r="N45" s="11">
        <v>100</v>
      </c>
      <c r="O45" s="11"/>
      <c r="P45" s="11"/>
      <c r="Q45" s="45">
        <f t="shared" si="1"/>
        <v>200</v>
      </c>
    </row>
    <row r="46" spans="2:17" x14ac:dyDescent="0.25">
      <c r="B46" s="11">
        <v>1111063</v>
      </c>
      <c r="C46" s="15" t="s">
        <v>36</v>
      </c>
      <c r="D46" s="49">
        <f>'เย็น '!D46+'เช้า '!D46+บ่าย!D46</f>
        <v>0</v>
      </c>
      <c r="E46" s="49">
        <f>'เย็น '!E46+'เช้า '!E46+บ่าย!E46</f>
        <v>1</v>
      </c>
      <c r="F46" s="49">
        <f>'เย็น '!F46+'เช้า '!F46+บ่าย!F46</f>
        <v>0</v>
      </c>
      <c r="G46" s="49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</v>
      </c>
      <c r="M46" s="11">
        <v>100</v>
      </c>
      <c r="N46" s="11">
        <v>200</v>
      </c>
      <c r="O46" s="11"/>
      <c r="P46" s="11"/>
      <c r="Q46" s="45">
        <f t="shared" si="1"/>
        <v>299</v>
      </c>
    </row>
    <row r="47" spans="2:17" x14ac:dyDescent="0.25">
      <c r="B47" s="11">
        <v>1111064</v>
      </c>
      <c r="C47" s="15" t="s">
        <v>37</v>
      </c>
      <c r="D47" s="49">
        <f>'เย็น '!D47+'เช้า '!D47+บ่าย!D47</f>
        <v>0</v>
      </c>
      <c r="E47" s="49">
        <f>'เย็น '!E47+'เช้า '!E47+บ่าย!E47</f>
        <v>0</v>
      </c>
      <c r="F47" s="49">
        <f>'เย็น '!F47+'เช้า '!F47+บ่าย!F47</f>
        <v>0</v>
      </c>
      <c r="G47" s="49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>
        <v>100</v>
      </c>
      <c r="N47" s="11"/>
      <c r="O47" s="11"/>
      <c r="P47" s="11"/>
      <c r="Q47" s="45">
        <f t="shared" si="1"/>
        <v>100</v>
      </c>
    </row>
    <row r="48" spans="2:17" x14ac:dyDescent="0.25">
      <c r="B48" s="11">
        <v>1111065</v>
      </c>
      <c r="C48" s="15" t="s">
        <v>38</v>
      </c>
      <c r="D48" s="49">
        <f>'เย็น '!D48+'เช้า '!D48+บ่าย!D48</f>
        <v>0</v>
      </c>
      <c r="E48" s="49">
        <f>'เย็น '!E48+'เช้า '!E48+บ่าย!E48</f>
        <v>1</v>
      </c>
      <c r="F48" s="49">
        <f>'เย็น '!F48+'เช้า '!F48+บ่าย!F48</f>
        <v>0</v>
      </c>
      <c r="G48" s="49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</v>
      </c>
      <c r="M48" s="11">
        <v>100</v>
      </c>
      <c r="N48" s="11"/>
      <c r="O48" s="11"/>
      <c r="P48" s="11"/>
      <c r="Q48" s="45">
        <f t="shared" si="1"/>
        <v>99</v>
      </c>
    </row>
    <row r="49" spans="2:20" x14ac:dyDescent="0.25">
      <c r="B49" s="11">
        <v>1111066</v>
      </c>
      <c r="C49" s="15" t="s">
        <v>39</v>
      </c>
      <c r="D49" s="49">
        <f>'เย็น '!D49+'เช้า '!D49+บ่าย!D49</f>
        <v>0</v>
      </c>
      <c r="E49" s="49">
        <f>'เย็น '!E49+'เช้า '!E49+บ่าย!E49</f>
        <v>1</v>
      </c>
      <c r="F49" s="49">
        <f>'เย็น '!F49+'เช้า '!F49+บ่าย!F49</f>
        <v>0</v>
      </c>
      <c r="G49" s="49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</v>
      </c>
      <c r="M49" s="11">
        <v>100</v>
      </c>
      <c r="N49" s="11">
        <v>100</v>
      </c>
      <c r="O49" s="11"/>
      <c r="P49" s="11"/>
      <c r="Q49" s="45">
        <f t="shared" si="1"/>
        <v>199</v>
      </c>
    </row>
    <row r="50" spans="2:20" x14ac:dyDescent="0.25">
      <c r="B50" s="11">
        <v>1111067</v>
      </c>
      <c r="C50" s="15" t="s">
        <v>40</v>
      </c>
      <c r="D50" s="49">
        <f>'เย็น '!D50+'เช้า '!D50+บ่าย!D50</f>
        <v>0</v>
      </c>
      <c r="E50" s="49">
        <f>'เย็น '!E50+'เช้า '!E50+บ่าย!E50</f>
        <v>1</v>
      </c>
      <c r="F50" s="49">
        <f>'เย็น '!F50+'เช้า '!F50+บ่าย!F50</f>
        <v>0</v>
      </c>
      <c r="G50" s="49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</v>
      </c>
      <c r="M50" s="11">
        <v>100</v>
      </c>
      <c r="N50" s="11">
        <v>100</v>
      </c>
      <c r="O50" s="11"/>
      <c r="P50" s="11"/>
      <c r="Q50" s="45">
        <f t="shared" si="1"/>
        <v>199</v>
      </c>
    </row>
    <row r="51" spans="2:20" x14ac:dyDescent="0.25">
      <c r="B51" s="11">
        <v>1111068</v>
      </c>
      <c r="C51" s="15" t="s">
        <v>41</v>
      </c>
      <c r="D51" s="49">
        <f>'เย็น '!D51+'เช้า '!D51+บ่าย!D51</f>
        <v>0</v>
      </c>
      <c r="E51" s="49">
        <f>'เย็น '!E51+'เช้า '!E51+บ่าย!E51</f>
        <v>1</v>
      </c>
      <c r="F51" s="49">
        <f>'เย็น '!F51+'เช้า '!F51+บ่าย!F51</f>
        <v>0</v>
      </c>
      <c r="G51" s="49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1</v>
      </c>
      <c r="M51" s="11">
        <v>100</v>
      </c>
      <c r="N51" s="11">
        <v>100</v>
      </c>
      <c r="O51" s="11"/>
      <c r="P51" s="11"/>
      <c r="Q51" s="45">
        <f t="shared" si="1"/>
        <v>199</v>
      </c>
    </row>
    <row r="52" spans="2:20" x14ac:dyDescent="0.35">
      <c r="B52" s="11">
        <v>1111069</v>
      </c>
      <c r="C52" s="15" t="s">
        <v>42</v>
      </c>
      <c r="D52" s="49">
        <f>'เย็น '!D52+'เช้า '!D52+บ่าย!D52</f>
        <v>0</v>
      </c>
      <c r="E52" s="49">
        <f>'เย็น '!E52+'เช้า '!E52+บ่าย!E52</f>
        <v>1</v>
      </c>
      <c r="F52" s="49">
        <f>'เย็น '!F52+'เช้า '!F52+บ่าย!F52</f>
        <v>0</v>
      </c>
      <c r="G52" s="49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</v>
      </c>
      <c r="M52" s="11">
        <v>100</v>
      </c>
      <c r="N52" s="11">
        <v>100</v>
      </c>
      <c r="O52" s="11"/>
      <c r="P52" s="11"/>
      <c r="Q52" s="45">
        <f t="shared" si="1"/>
        <v>199</v>
      </c>
      <c r="S52" s="47"/>
      <c r="T52" s="46"/>
    </row>
    <row r="53" spans="2:20" x14ac:dyDescent="0.25">
      <c r="B53" s="11">
        <v>1111070</v>
      </c>
      <c r="C53" s="15" t="s">
        <v>128</v>
      </c>
      <c r="D53" s="49">
        <f>'เย็น '!D53+'เช้า '!D53+บ่าย!D53</f>
        <v>0</v>
      </c>
      <c r="E53" s="49">
        <f>'เย็น '!E53+'เช้า '!E53+บ่าย!E53</f>
        <v>0</v>
      </c>
      <c r="F53" s="49">
        <f>'เย็น '!F53+'เช้า '!F53+บ่าย!F53</f>
        <v>0</v>
      </c>
      <c r="G53" s="49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5">
      <c r="B54" s="11">
        <v>1111071</v>
      </c>
      <c r="C54" s="15" t="s">
        <v>129</v>
      </c>
      <c r="D54" s="49">
        <f>'เย็น '!D54+'เช้า '!D54+บ่าย!D54</f>
        <v>0</v>
      </c>
      <c r="E54" s="49">
        <f>'เย็น '!E54+'เช้า '!E54+บ่าย!E54</f>
        <v>0</v>
      </c>
      <c r="F54" s="49">
        <f>'เย็น '!F54+'เช้า '!F54+บ่าย!F54</f>
        <v>0</v>
      </c>
      <c r="G54" s="49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5">
      <c r="B55" s="11">
        <v>1111001</v>
      </c>
      <c r="C55" s="15" t="s">
        <v>43</v>
      </c>
      <c r="D55" s="49">
        <f>'เย็น '!D55+'เช้า '!D55+บ่าย!D55</f>
        <v>0</v>
      </c>
      <c r="E55" s="49">
        <f>'เย็น '!E55+'เช้า '!E55+บ่าย!E55</f>
        <v>0</v>
      </c>
      <c r="F55" s="49">
        <f>'เย็น '!F55+'เช้า '!F55+บ่าย!F55</f>
        <v>0</v>
      </c>
      <c r="G55" s="49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5">
      <c r="B56" s="11">
        <v>1111074</v>
      </c>
      <c r="C56" s="15" t="s">
        <v>44</v>
      </c>
      <c r="D56" s="49">
        <f>'เย็น '!D56+'เช้า '!D56+บ่าย!D56</f>
        <v>0</v>
      </c>
      <c r="E56" s="49">
        <f>'เย็น '!E56+'เช้า '!E56+บ่าย!E56</f>
        <v>2</v>
      </c>
      <c r="F56" s="49">
        <f>'เย็น '!F56+'เช้า '!F56+บ่าย!F56</f>
        <v>2</v>
      </c>
      <c r="G56" s="49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4</v>
      </c>
      <c r="M56" s="11">
        <v>100</v>
      </c>
      <c r="N56" s="11">
        <v>49</v>
      </c>
      <c r="O56" s="11"/>
      <c r="P56" s="11"/>
      <c r="Q56" s="45">
        <f t="shared" si="1"/>
        <v>145</v>
      </c>
    </row>
    <row r="57" spans="2:20" x14ac:dyDescent="0.25">
      <c r="B57" s="11">
        <v>1111075</v>
      </c>
      <c r="C57" s="15" t="s">
        <v>45</v>
      </c>
      <c r="D57" s="49">
        <f>'เย็น '!D57+'เช้า '!D57+บ่าย!D57</f>
        <v>0</v>
      </c>
      <c r="E57" s="49">
        <f>'เย็น '!E57+'เช้า '!E57+บ่าย!E57</f>
        <v>2</v>
      </c>
      <c r="F57" s="49">
        <f>'เย็น '!F57+'เช้า '!F57+บ่าย!F57</f>
        <v>2</v>
      </c>
      <c r="G57" s="49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4</v>
      </c>
      <c r="M57" s="11">
        <v>100</v>
      </c>
      <c r="N57" s="11">
        <v>89</v>
      </c>
      <c r="O57" s="11"/>
      <c r="P57" s="11"/>
      <c r="Q57" s="45">
        <f t="shared" si="1"/>
        <v>185</v>
      </c>
    </row>
    <row r="58" spans="2:20" x14ac:dyDescent="0.25">
      <c r="B58" s="11">
        <v>1111076</v>
      </c>
      <c r="C58" s="15" t="s">
        <v>46</v>
      </c>
      <c r="D58" s="49">
        <f>'เย็น '!D58+'เช้า '!D58+บ่าย!D58</f>
        <v>0</v>
      </c>
      <c r="E58" s="49">
        <f>'เย็น '!E58+'เช้า '!E58+บ่าย!E58</f>
        <v>2</v>
      </c>
      <c r="F58" s="49">
        <f>'เย็น '!F58+'เช้า '!F58+บ่าย!F58</f>
        <v>2</v>
      </c>
      <c r="G58" s="49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>
        <v>100</v>
      </c>
      <c r="N58" s="11">
        <v>62</v>
      </c>
      <c r="O58" s="11"/>
      <c r="P58" s="11"/>
      <c r="Q58" s="45">
        <f t="shared" si="1"/>
        <v>158</v>
      </c>
    </row>
    <row r="59" spans="2:20" x14ac:dyDescent="0.25">
      <c r="B59" s="11">
        <v>1111077</v>
      </c>
      <c r="C59" s="15" t="s">
        <v>47</v>
      </c>
      <c r="D59" s="49">
        <f>'เย็น '!D59+'เช้า '!D59+บ่าย!D59</f>
        <v>0</v>
      </c>
      <c r="E59" s="49">
        <f>'เย็น '!E59+'เช้า '!E59+บ่าย!E59</f>
        <v>2</v>
      </c>
      <c r="F59" s="49">
        <f>'เย็น '!F59+'เช้า '!F59+บ่าย!F59</f>
        <v>2</v>
      </c>
      <c r="G59" s="49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>
        <v>100</v>
      </c>
      <c r="N59" s="11">
        <v>80</v>
      </c>
      <c r="O59" s="11"/>
      <c r="P59" s="11"/>
      <c r="Q59" s="45">
        <f t="shared" si="1"/>
        <v>176</v>
      </c>
    </row>
    <row r="60" spans="2:20" x14ac:dyDescent="0.25">
      <c r="B60" s="11">
        <v>1111078</v>
      </c>
      <c r="C60" s="15" t="s">
        <v>48</v>
      </c>
      <c r="D60" s="49">
        <f>'เย็น '!D60+'เช้า '!D60+บ่าย!D60</f>
        <v>0</v>
      </c>
      <c r="E60" s="49">
        <f>'เย็น '!E60+'เช้า '!E60+บ่าย!E60</f>
        <v>2</v>
      </c>
      <c r="F60" s="49">
        <f>'เย็น '!F60+'เช้า '!F60+บ่าย!F60</f>
        <v>2</v>
      </c>
      <c r="G60" s="49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>
        <v>100</v>
      </c>
      <c r="N60" s="11"/>
      <c r="O60" s="11"/>
      <c r="P60" s="11"/>
      <c r="Q60" s="45">
        <f t="shared" si="1"/>
        <v>96</v>
      </c>
    </row>
    <row r="61" spans="2:20" x14ac:dyDescent="0.25">
      <c r="B61" s="11">
        <v>1111079</v>
      </c>
      <c r="C61" s="15" t="s">
        <v>49</v>
      </c>
      <c r="D61" s="49">
        <f>'เย็น '!D61+'เช้า '!D61+บ่าย!D61</f>
        <v>0</v>
      </c>
      <c r="E61" s="49">
        <f>'เย็น '!E61+'เช้า '!E61+บ่าย!E61</f>
        <v>2</v>
      </c>
      <c r="F61" s="49">
        <f>'เย็น '!F61+'เช้า '!F61+บ่าย!F61</f>
        <v>2</v>
      </c>
      <c r="G61" s="49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>
        <v>100</v>
      </c>
      <c r="N61" s="11">
        <v>140</v>
      </c>
      <c r="O61" s="11"/>
      <c r="P61" s="11"/>
      <c r="Q61" s="45">
        <f t="shared" si="1"/>
        <v>236</v>
      </c>
    </row>
    <row r="62" spans="2:20" x14ac:dyDescent="0.25">
      <c r="B62" s="11">
        <v>1111080</v>
      </c>
      <c r="C62" s="15" t="s">
        <v>50</v>
      </c>
      <c r="D62" s="49">
        <f>'เย็น '!D62+'เช้า '!D62+บ่าย!D62</f>
        <v>0</v>
      </c>
      <c r="E62" s="49">
        <f>'เย็น '!E62+'เช้า '!E62+บ่าย!E62</f>
        <v>2</v>
      </c>
      <c r="F62" s="49">
        <f>'เย็น '!F62+'เช้า '!F62+บ่าย!F62</f>
        <v>2</v>
      </c>
      <c r="G62" s="49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4</v>
      </c>
      <c r="M62" s="11">
        <v>100</v>
      </c>
      <c r="N62" s="11">
        <v>40</v>
      </c>
      <c r="O62" s="11"/>
      <c r="P62" s="11"/>
      <c r="Q62" s="45">
        <f t="shared" si="1"/>
        <v>136</v>
      </c>
    </row>
    <row r="63" spans="2:20" x14ac:dyDescent="0.25">
      <c r="B63" s="11">
        <v>1111081</v>
      </c>
      <c r="C63" s="15" t="s">
        <v>51</v>
      </c>
      <c r="D63" s="49">
        <f>'เย็น '!D63+'เช้า '!D63+บ่าย!D63</f>
        <v>0</v>
      </c>
      <c r="E63" s="49">
        <f>'เย็น '!E63+'เช้า '!E63+บ่าย!E63</f>
        <v>2</v>
      </c>
      <c r="F63" s="49">
        <f>'เย็น '!F63+'เช้า '!F63+บ่าย!F63</f>
        <v>2</v>
      </c>
      <c r="G63" s="49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4</v>
      </c>
      <c r="M63" s="11">
        <v>100</v>
      </c>
      <c r="N63" s="11"/>
      <c r="O63" s="11"/>
      <c r="P63" s="11"/>
      <c r="Q63" s="45">
        <f t="shared" si="1"/>
        <v>96</v>
      </c>
    </row>
    <row r="64" spans="2:20" x14ac:dyDescent="0.25">
      <c r="B64" s="11">
        <v>1111082</v>
      </c>
      <c r="C64" s="15" t="s">
        <v>52</v>
      </c>
      <c r="D64" s="49">
        <f>'เย็น '!D64+'เช้า '!D64+บ่าย!D64</f>
        <v>0</v>
      </c>
      <c r="E64" s="49">
        <f>'เย็น '!E64+'เช้า '!E64+บ่าย!E64</f>
        <v>2</v>
      </c>
      <c r="F64" s="49">
        <f>'เย็น '!F64+'เช้า '!F64+บ่าย!F64</f>
        <v>2</v>
      </c>
      <c r="G64" s="49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4</v>
      </c>
      <c r="M64" s="11">
        <v>100</v>
      </c>
      <c r="N64" s="11"/>
      <c r="O64" s="11"/>
      <c r="P64" s="11"/>
      <c r="Q64" s="45">
        <f t="shared" si="1"/>
        <v>96</v>
      </c>
    </row>
    <row r="65" spans="2:20" x14ac:dyDescent="0.35">
      <c r="B65" s="11">
        <v>1111083</v>
      </c>
      <c r="C65" s="15" t="s">
        <v>53</v>
      </c>
      <c r="D65" s="49">
        <f>'เย็น '!D65+'เช้า '!D65+บ่าย!D65</f>
        <v>0</v>
      </c>
      <c r="E65" s="49">
        <f>'เย็น '!E65+'เช้า '!E65+บ่าย!E65</f>
        <v>2</v>
      </c>
      <c r="F65" s="49">
        <f>'เย็น '!F65+'เช้า '!F65+บ่าย!F65</f>
        <v>2</v>
      </c>
      <c r="G65" s="49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4</v>
      </c>
      <c r="M65" s="11">
        <v>100</v>
      </c>
      <c r="N65" s="11"/>
      <c r="O65" s="11"/>
      <c r="P65" s="11"/>
      <c r="Q65" s="45">
        <f t="shared" si="1"/>
        <v>96</v>
      </c>
      <c r="S65" s="48"/>
      <c r="T65" s="46"/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49">
        <f>'เย็น '!D69+'เช้า '!D69+บ่าย!D69</f>
        <v>2</v>
      </c>
      <c r="E69" s="49">
        <f>'เย็น '!E69+'เช้า '!E69+บ่าย!E69</f>
        <v>2</v>
      </c>
      <c r="F69" s="49">
        <f>'เย็น '!F69+'เช้า '!F69+บ่าย!F69</f>
        <v>0</v>
      </c>
      <c r="G69" s="49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7</v>
      </c>
      <c r="M69" s="11">
        <v>260</v>
      </c>
      <c r="N69" s="11">
        <v>59</v>
      </c>
      <c r="O69" s="11"/>
      <c r="P69" s="11"/>
      <c r="Q69" s="45">
        <f t="shared" ref="Q69:Q76" si="5">(M69+N69+O69+P69)-L69</f>
        <v>312</v>
      </c>
    </row>
    <row r="70" spans="2:20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5">
      <c r="B87" s="11">
        <v>1111008</v>
      </c>
      <c r="C87" s="20" t="s">
        <v>73</v>
      </c>
      <c r="D87" s="49">
        <f>'เย็น '!D87+'เช้า '!D87+บ่าย!D87</f>
        <v>3</v>
      </c>
      <c r="E87" s="49">
        <f>'เย็น '!E87+'เช้า '!E87+บ่าย!E87</f>
        <v>9</v>
      </c>
      <c r="F87" s="49">
        <f>'เย็น '!F87+'เช้า '!F87+บ่าย!F87</f>
        <v>0</v>
      </c>
      <c r="G87" s="49">
        <f>'เย็น '!G87+'เช้า '!G87+บ่าย!G87</f>
        <v>183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195</v>
      </c>
      <c r="M87" s="11">
        <v>700</v>
      </c>
      <c r="N87" s="11">
        <v>196</v>
      </c>
      <c r="O87" s="11"/>
      <c r="P87" s="11"/>
      <c r="Q87" s="45">
        <f t="shared" si="8"/>
        <v>701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20" t="s">
        <v>75</v>
      </c>
      <c r="D90" s="49">
        <f>'เย็น '!D90+'เช้า '!D90+บ่าย!D90</f>
        <v>2</v>
      </c>
      <c r="E90" s="49">
        <f>'เย็น '!E90+'เช้า '!E90+บ่าย!E90</f>
        <v>2</v>
      </c>
      <c r="F90" s="49">
        <f>'เย็น '!F90+'เช้า '!F90+บ่าย!F90</f>
        <v>17</v>
      </c>
      <c r="G90" s="49">
        <f>'เย็น '!G90+'เช้า '!G90+บ่าย!G90</f>
        <v>93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114</v>
      </c>
      <c r="M90" s="11">
        <v>525</v>
      </c>
      <c r="N90" s="11">
        <v>555</v>
      </c>
      <c r="O90" s="11"/>
      <c r="P90" s="11"/>
      <c r="Q90" s="45">
        <f t="shared" ref="Q90:Q99" si="10">(M90+N90+O90+P90)-L90</f>
        <v>966</v>
      </c>
    </row>
    <row r="91" spans="2:17" x14ac:dyDescent="0.25">
      <c r="B91" s="11">
        <v>1112011</v>
      </c>
      <c r="C91" s="20" t="s">
        <v>76</v>
      </c>
      <c r="D91" s="49">
        <f>'เย็น '!D91+'เช้า '!D91+บ่าย!D91</f>
        <v>2</v>
      </c>
      <c r="E91" s="49">
        <f>'เย็น '!E91+'เช้า '!E91+บ่าย!E91</f>
        <v>2</v>
      </c>
      <c r="F91" s="49">
        <f>'เย็น '!F91+'เช้า '!F91+บ่าย!F91</f>
        <v>18</v>
      </c>
      <c r="G91" s="49">
        <f>'เย็น '!G91+'เช้า '!G91+บ่าย!G91</f>
        <v>93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115</v>
      </c>
      <c r="M91" s="11">
        <v>309</v>
      </c>
      <c r="N91" s="11">
        <v>514</v>
      </c>
      <c r="O91" s="11"/>
      <c r="P91" s="11"/>
      <c r="Q91" s="45">
        <f t="shared" si="10"/>
        <v>708</v>
      </c>
    </row>
    <row r="92" spans="2:17" x14ac:dyDescent="0.25">
      <c r="B92" s="11">
        <v>1112003</v>
      </c>
      <c r="C92" s="20" t="s">
        <v>77</v>
      </c>
      <c r="D92" s="49">
        <f>'เย็น '!D92+'เช้า '!D92+บ่าย!D92</f>
        <v>0</v>
      </c>
      <c r="E92" s="49">
        <f>'เย็น '!E92+'เช้า '!E92+บ่าย!E92</f>
        <v>0</v>
      </c>
      <c r="F92" s="49">
        <f>'เย็น '!F92+'เช้า '!F92+บ่าย!F92</f>
        <v>0</v>
      </c>
      <c r="G92" s="49">
        <f>'เย็น '!G92+'เช้า '!G92+บ่าย!G92</f>
        <v>72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72</v>
      </c>
      <c r="M92" s="11">
        <v>448</v>
      </c>
      <c r="N92" s="11">
        <v>386</v>
      </c>
      <c r="O92" s="11"/>
      <c r="P92" s="11"/>
      <c r="Q92" s="45">
        <f t="shared" si="10"/>
        <v>762</v>
      </c>
    </row>
    <row r="93" spans="2:17" x14ac:dyDescent="0.25">
      <c r="B93" s="11">
        <v>1112005</v>
      </c>
      <c r="C93" s="20" t="s">
        <v>78</v>
      </c>
      <c r="D93" s="49">
        <f>'เย็น '!D93+'เช้า '!D93+บ่าย!D93</f>
        <v>0</v>
      </c>
      <c r="E93" s="49">
        <f>'เย็น '!E93+'เช้า '!E93+บ่าย!E93</f>
        <v>0</v>
      </c>
      <c r="F93" s="49">
        <f>'เย็น '!F93+'เช้า '!F93+บ่าย!F93</f>
        <v>0</v>
      </c>
      <c r="G93" s="49">
        <f>'เย็น '!G93+'เช้า '!G93+บ่าย!G93</f>
        <v>72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72</v>
      </c>
      <c r="M93" s="11">
        <v>400</v>
      </c>
      <c r="N93" s="11">
        <v>535</v>
      </c>
      <c r="O93" s="11"/>
      <c r="P93" s="11"/>
      <c r="Q93" s="45">
        <f t="shared" si="10"/>
        <v>863</v>
      </c>
    </row>
    <row r="94" spans="2:17" hidden="1" x14ac:dyDescent="0.25">
      <c r="B94" s="11">
        <v>1112007</v>
      </c>
      <c r="C94" s="20" t="s">
        <v>79</v>
      </c>
      <c r="D94" s="49">
        <f>'เย็น '!D94+'เช้า '!D94+บ่าย!D94</f>
        <v>0</v>
      </c>
      <c r="E94" s="49">
        <f>'เย็น '!E94+'เช้า '!E94+บ่าย!E94</f>
        <v>0</v>
      </c>
      <c r="F94" s="49">
        <f>'เย็น '!F94+'เช้า '!F94+บ่าย!F94</f>
        <v>0</v>
      </c>
      <c r="G94" s="49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 x14ac:dyDescent="0.25">
      <c r="B95" s="11">
        <v>1112019</v>
      </c>
      <c r="C95" s="20" t="s">
        <v>80</v>
      </c>
      <c r="D95" s="49">
        <f>'เย็น '!D95+'เช้า '!D95+บ่าย!D95</f>
        <v>0</v>
      </c>
      <c r="E95" s="49">
        <f>'เย็น '!E95+'เช้า '!E95+บ่าย!E95</f>
        <v>0</v>
      </c>
      <c r="F95" s="49">
        <f>'เย็น '!F95+'เช้า '!F95+บ่าย!F95</f>
        <v>0</v>
      </c>
      <c r="G95" s="49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 x14ac:dyDescent="0.25">
      <c r="B96" s="11">
        <v>1112017</v>
      </c>
      <c r="C96" s="20" t="s">
        <v>81</v>
      </c>
      <c r="D96" s="49">
        <f>'เย็น '!D96+'เช้า '!D96+บ่าย!D96</f>
        <v>0</v>
      </c>
      <c r="E96" s="49">
        <f>'เย็น '!E96+'เช้า '!E96+บ่าย!E96</f>
        <v>0</v>
      </c>
      <c r="F96" s="49">
        <f>'เย็น '!F96+'เช้า '!F96+บ่าย!F96</f>
        <v>0</v>
      </c>
      <c r="G96" s="49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5">
      <c r="B97" s="11">
        <v>1112015</v>
      </c>
      <c r="C97" s="20" t="s">
        <v>82</v>
      </c>
      <c r="D97" s="49">
        <f>'เย็น '!D97+'เช้า '!D97+บ่าย!D97</f>
        <v>0</v>
      </c>
      <c r="E97" s="49">
        <f>'เย็น '!E97+'เช้า '!E97+บ่าย!E97</f>
        <v>0</v>
      </c>
      <c r="F97" s="49">
        <f>'เย็น '!F97+'เช้า '!F97+บ่าย!F97</f>
        <v>0</v>
      </c>
      <c r="G97" s="49">
        <f>'เย็น '!G97+'เช้า '!G97+บ่าย!G97</f>
        <v>72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72</v>
      </c>
      <c r="M97" s="11">
        <v>508</v>
      </c>
      <c r="N97" s="11">
        <v>488</v>
      </c>
      <c r="O97" s="11"/>
      <c r="P97" s="11"/>
      <c r="Q97" s="45">
        <f t="shared" si="10"/>
        <v>924</v>
      </c>
    </row>
    <row r="98" spans="2:17" x14ac:dyDescent="0.25">
      <c r="B98" s="11">
        <v>1112013</v>
      </c>
      <c r="C98" s="20" t="s">
        <v>83</v>
      </c>
      <c r="D98" s="49">
        <f>'เย็น '!D98+'เช้า '!D98+บ่าย!D98</f>
        <v>2</v>
      </c>
      <c r="E98" s="49">
        <f>'เย็น '!E98+'เช้า '!E98+บ่าย!E98</f>
        <v>1</v>
      </c>
      <c r="F98" s="49">
        <f>'เย็น '!F98+'เช้า '!F98+บ่าย!F98</f>
        <v>17</v>
      </c>
      <c r="G98" s="49">
        <f>'เย็น '!G98+'เช้า '!G98+บ่าย!G98</f>
        <v>93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113</v>
      </c>
      <c r="M98" s="11">
        <v>426</v>
      </c>
      <c r="N98" s="11">
        <v>407</v>
      </c>
      <c r="O98" s="11"/>
      <c r="P98" s="11"/>
      <c r="Q98" s="45">
        <f t="shared" si="10"/>
        <v>720</v>
      </c>
    </row>
    <row r="99" spans="2:17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558</v>
      </c>
      <c r="M100" s="11"/>
      <c r="N100" s="11"/>
      <c r="O100" s="11"/>
      <c r="P100" s="11"/>
      <c r="Q100" s="45"/>
    </row>
    <row r="101" spans="2:17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49">
        <f>'เย็น '!D114+'เช้า '!D114+บ่าย!D114</f>
        <v>2</v>
      </c>
      <c r="E114" s="49">
        <f>'เย็น '!E114+'เช้า '!E114+บ่าย!E114</f>
        <v>0</v>
      </c>
      <c r="F114" s="49">
        <f>'เย็น '!F114+'เช้า '!F114+บ่าย!F114</f>
        <v>0</v>
      </c>
      <c r="G114" s="49">
        <f>'เย็น '!G114+'เช้า '!G114+บ่าย!G114</f>
        <v>3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5</v>
      </c>
      <c r="M114" s="11">
        <v>200</v>
      </c>
      <c r="N114" s="11">
        <v>50</v>
      </c>
      <c r="O114" s="11"/>
      <c r="P114" s="11"/>
      <c r="Q114" s="45">
        <f t="shared" ref="Q114:Q139" si="16">(M114+N114+O114+P114)-L114</f>
        <v>245</v>
      </c>
    </row>
    <row r="115" spans="2:17" x14ac:dyDescent="0.25">
      <c r="B115" s="11">
        <v>1113171</v>
      </c>
      <c r="C115" s="22" t="s">
        <v>88</v>
      </c>
      <c r="D115" s="49">
        <f>'เย็น '!D115+'เช้า '!D115+บ่าย!D115</f>
        <v>2</v>
      </c>
      <c r="E115" s="49">
        <f>'เย็น '!E115+'เช้า '!E115+บ่าย!E115</f>
        <v>0</v>
      </c>
      <c r="F115" s="49">
        <f>'เย็น '!F115+'เช้า '!F115+บ่าย!F115</f>
        <v>0</v>
      </c>
      <c r="G115" s="49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>
        <v>200</v>
      </c>
      <c r="N115" s="11">
        <v>36</v>
      </c>
      <c r="O115" s="11"/>
      <c r="P115" s="11"/>
      <c r="Q115" s="45">
        <f t="shared" si="16"/>
        <v>234</v>
      </c>
    </row>
    <row r="116" spans="2:17" x14ac:dyDescent="0.25">
      <c r="B116" s="11">
        <v>1113172</v>
      </c>
      <c r="C116" s="22" t="s">
        <v>89</v>
      </c>
      <c r="D116" s="49">
        <f>'เย็น '!D116+'เช้า '!D116+บ่าย!D116</f>
        <v>3</v>
      </c>
      <c r="E116" s="49">
        <f>'เย็น '!E116+'เช้า '!E116+บ่าย!E116</f>
        <v>0</v>
      </c>
      <c r="F116" s="49">
        <f>'เย็น '!F116+'เช้า '!F116+บ่าย!F116</f>
        <v>0</v>
      </c>
      <c r="G116" s="49">
        <f>'เย็น '!G116+'เช้า '!G116+บ่าย!G116</f>
        <v>8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11</v>
      </c>
      <c r="M116" s="11">
        <v>200</v>
      </c>
      <c r="N116" s="11">
        <v>36</v>
      </c>
      <c r="O116" s="11"/>
      <c r="P116" s="11"/>
      <c r="Q116" s="45">
        <f t="shared" si="16"/>
        <v>225</v>
      </c>
    </row>
    <row r="117" spans="2:17" x14ac:dyDescent="0.25">
      <c r="B117" s="11">
        <v>1113173</v>
      </c>
      <c r="C117" s="22" t="s">
        <v>90</v>
      </c>
      <c r="D117" s="49">
        <f>'เย็น '!D117+'เช้า '!D117+บ่าย!D117</f>
        <v>0</v>
      </c>
      <c r="E117" s="49">
        <f>'เย็น '!E117+'เช้า '!E117+บ่าย!E117</f>
        <v>0</v>
      </c>
      <c r="F117" s="49">
        <f>'เย็น '!F117+'เช้า '!F117+บ่าย!F117</f>
        <v>0</v>
      </c>
      <c r="G117" s="49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5">
      <c r="B118" s="11">
        <v>1100003</v>
      </c>
      <c r="C118" s="22" t="s">
        <v>121</v>
      </c>
      <c r="D118" s="49">
        <f>'เย็น '!D118+'เช้า '!D118+บ่าย!D118</f>
        <v>0</v>
      </c>
      <c r="E118" s="49">
        <f>'เย็น '!E118+'เช้า '!E118+บ่าย!E118</f>
        <v>0</v>
      </c>
      <c r="F118" s="49">
        <f>'เย็น '!F118+'เช้า '!F118+บ่าย!F118</f>
        <v>0</v>
      </c>
      <c r="G118" s="49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55</v>
      </c>
      <c r="O118" s="11"/>
      <c r="P118" s="11"/>
      <c r="Q118" s="45">
        <f t="shared" si="16"/>
        <v>55</v>
      </c>
    </row>
    <row r="119" spans="2:17" x14ac:dyDescent="0.25">
      <c r="B119" s="11">
        <v>1100001</v>
      </c>
      <c r="C119" s="22" t="s">
        <v>122</v>
      </c>
      <c r="D119" s="49">
        <f>'เย็น '!D119+'เช้า '!D119+บ่าย!D119</f>
        <v>0</v>
      </c>
      <c r="E119" s="49">
        <f>'เย็น '!E119+'เช้า '!E119+บ่าย!E119</f>
        <v>0</v>
      </c>
      <c r="F119" s="49">
        <f>'เย็น '!F119+'เช้า '!F119+บ่าย!F119</f>
        <v>0</v>
      </c>
      <c r="G119" s="49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400</v>
      </c>
      <c r="O119" s="11"/>
      <c r="P119" s="11"/>
      <c r="Q119" s="45">
        <f t="shared" si="16"/>
        <v>400</v>
      </c>
    </row>
    <row r="120" spans="2:17" x14ac:dyDescent="0.25">
      <c r="B120" s="11">
        <v>1100002</v>
      </c>
      <c r="C120" s="22" t="s">
        <v>123</v>
      </c>
      <c r="D120" s="49">
        <f>'เย็น '!D120+'เช้า '!D120+บ่าย!D120</f>
        <v>0</v>
      </c>
      <c r="E120" s="49">
        <f>'เย็น '!E120+'เช้า '!E120+บ่าย!E120</f>
        <v>5</v>
      </c>
      <c r="F120" s="49">
        <f>'เย็น '!F120+'เช้า '!F120+บ่าย!F120</f>
        <v>0</v>
      </c>
      <c r="G120" s="49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5</v>
      </c>
      <c r="M120" s="11">
        <v>200</v>
      </c>
      <c r="N120" s="11">
        <v>3</v>
      </c>
      <c r="O120" s="11"/>
      <c r="P120" s="11"/>
      <c r="Q120" s="45">
        <f t="shared" si="16"/>
        <v>198</v>
      </c>
    </row>
    <row r="121" spans="2:17" x14ac:dyDescent="0.25">
      <c r="B121" s="11">
        <v>1200001</v>
      </c>
      <c r="C121" s="22" t="s">
        <v>93</v>
      </c>
      <c r="D121" s="49">
        <f>'เย็น '!D121+'เช้า '!D121+บ่าย!D121</f>
        <v>0</v>
      </c>
      <c r="E121" s="49">
        <f>'เย็น '!E121+'เช้า '!E121+บ่าย!E121</f>
        <v>0</v>
      </c>
      <c r="F121" s="49">
        <f>'เย็น '!F121+'เช้า '!F121+บ่าย!F121</f>
        <v>0</v>
      </c>
      <c r="G121" s="49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>
        <v>100</v>
      </c>
      <c r="N121" s="11">
        <v>102</v>
      </c>
      <c r="O121" s="11"/>
      <c r="P121" s="11"/>
      <c r="Q121" s="45">
        <f t="shared" si="16"/>
        <v>202</v>
      </c>
    </row>
    <row r="122" spans="2:17" x14ac:dyDescent="0.25">
      <c r="B122" s="11">
        <v>1005761</v>
      </c>
      <c r="C122" s="22" t="s">
        <v>94</v>
      </c>
      <c r="D122" s="49">
        <f>'เย็น '!D122+'เช้า '!D122+บ่าย!D122</f>
        <v>0</v>
      </c>
      <c r="E122" s="49">
        <f>'เย็น '!E122+'เช้า '!E122+บ่าย!E122</f>
        <v>0</v>
      </c>
      <c r="F122" s="49">
        <f>'เย็น '!F122+'เช้า '!F122+บ่าย!F122</f>
        <v>0</v>
      </c>
      <c r="G122" s="49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5">
      <c r="B123" s="11">
        <v>1114501</v>
      </c>
      <c r="C123" s="22" t="s">
        <v>95</v>
      </c>
      <c r="D123" s="49">
        <f>'เย็น '!D123+'เช้า '!D123+บ่าย!D123</f>
        <v>0</v>
      </c>
      <c r="E123" s="49">
        <f>'เย็น '!E123+'เช้า '!E123+บ่าย!E123</f>
        <v>8</v>
      </c>
      <c r="F123" s="49">
        <f>'เย็น '!F123+'เช้า '!F123+บ่าย!F123</f>
        <v>4</v>
      </c>
      <c r="G123" s="49">
        <f>'เย็น '!G123+'เช้า '!G123+บ่าย!G123</f>
        <v>134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146</v>
      </c>
      <c r="M123" s="11">
        <v>399</v>
      </c>
      <c r="N123" s="11">
        <v>17</v>
      </c>
      <c r="O123" s="11"/>
      <c r="P123" s="11"/>
      <c r="Q123" s="45">
        <f t="shared" si="16"/>
        <v>270</v>
      </c>
    </row>
    <row r="124" spans="2:17" x14ac:dyDescent="0.25">
      <c r="B124" s="11">
        <v>1114502</v>
      </c>
      <c r="C124" s="22" t="s">
        <v>96</v>
      </c>
      <c r="D124" s="49">
        <f>'เย็น '!D124+'เช้า '!D124+บ่าย!D124</f>
        <v>0</v>
      </c>
      <c r="E124" s="49">
        <f>'เย็น '!E124+'เช้า '!E124+บ่าย!E124</f>
        <v>6</v>
      </c>
      <c r="F124" s="49">
        <f>'เย็น '!F124+'เช้า '!F124+บ่าย!F124</f>
        <v>5</v>
      </c>
      <c r="G124" s="49">
        <f>'เย็น '!G124+'เช้า '!G124+บ่าย!G124</f>
        <v>134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145</v>
      </c>
      <c r="M124" s="11">
        <v>401</v>
      </c>
      <c r="N124" s="11">
        <v>49</v>
      </c>
      <c r="O124" s="11"/>
      <c r="P124" s="11"/>
      <c r="Q124" s="45">
        <f t="shared" si="16"/>
        <v>305</v>
      </c>
    </row>
    <row r="125" spans="2:17" x14ac:dyDescent="0.25">
      <c r="B125" s="11">
        <v>1114503</v>
      </c>
      <c r="C125" s="22" t="s">
        <v>97</v>
      </c>
      <c r="D125" s="49">
        <f>'เย็น '!D125+'เช้า '!D125+บ่าย!D125</f>
        <v>0</v>
      </c>
      <c r="E125" s="49">
        <f>'เย็น '!E125+'เช้า '!E125+บ่าย!E125</f>
        <v>5</v>
      </c>
      <c r="F125" s="49">
        <f>'เย็น '!F125+'เช้า '!F125+บ่าย!F125</f>
        <v>3</v>
      </c>
      <c r="G125" s="49">
        <f>'เย็น '!G125+'เช้า '!G125+บ่าย!G125</f>
        <v>134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142</v>
      </c>
      <c r="M125" s="11">
        <v>438</v>
      </c>
      <c r="N125" s="11">
        <v>11</v>
      </c>
      <c r="O125" s="11"/>
      <c r="P125" s="11"/>
      <c r="Q125" s="45">
        <f t="shared" si="16"/>
        <v>307</v>
      </c>
    </row>
    <row r="126" spans="2:17" x14ac:dyDescent="0.25">
      <c r="B126" s="11">
        <v>1124021</v>
      </c>
      <c r="C126" s="22" t="s">
        <v>98</v>
      </c>
      <c r="D126" s="49">
        <f>'เย็น '!D126+'เช้า '!D126+บ่าย!D126</f>
        <v>0</v>
      </c>
      <c r="E126" s="49">
        <f>'เย็น '!E126+'เช้า '!E126+บ่าย!E126</f>
        <v>18</v>
      </c>
      <c r="F126" s="49">
        <f>'เย็น '!F126+'เช้า '!F126+บ่าย!F126</f>
        <v>52</v>
      </c>
      <c r="G126" s="49">
        <f>'เย็น '!G126+'เช้า '!G126+บ่าย!G126</f>
        <v>6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76</v>
      </c>
      <c r="M126" s="11">
        <v>550</v>
      </c>
      <c r="N126" s="11"/>
      <c r="O126" s="11"/>
      <c r="P126" s="11"/>
      <c r="Q126" s="45">
        <f t="shared" si="16"/>
        <v>474</v>
      </c>
    </row>
    <row r="127" spans="2:17" x14ac:dyDescent="0.25">
      <c r="B127" s="11">
        <v>1113084</v>
      </c>
      <c r="C127" s="22" t="s">
        <v>99</v>
      </c>
      <c r="D127" s="49">
        <f>'เย็น '!D127+'เช้า '!D127+บ่าย!D127</f>
        <v>0</v>
      </c>
      <c r="E127" s="49">
        <f>'เย็น '!E127+'เช้า '!E127+บ่าย!E127</f>
        <v>0</v>
      </c>
      <c r="F127" s="49">
        <f>'เย็น '!F127+'เช้า '!F127+บ่าย!F127</f>
        <v>0</v>
      </c>
      <c r="G127" s="49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5">
      <c r="B128" s="11">
        <v>900003</v>
      </c>
      <c r="C128" s="22" t="s">
        <v>132</v>
      </c>
      <c r="D128" s="49">
        <f>'เย็น '!D128+'เช้า '!D128+บ่าย!D128</f>
        <v>0</v>
      </c>
      <c r="E128" s="49">
        <f>'เย็น '!E128+'เช้า '!E128+บ่าย!E128</f>
        <v>0</v>
      </c>
      <c r="F128" s="49">
        <f>'เย็น '!F128+'เช้า '!F128+บ่าย!F128</f>
        <v>0</v>
      </c>
      <c r="G128" s="49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5">
      <c r="B129" s="11">
        <v>900004</v>
      </c>
      <c r="C129" s="22" t="s">
        <v>100</v>
      </c>
      <c r="D129" s="49">
        <f>'เย็น '!D129+'เช้า '!D129+บ่าย!D129</f>
        <v>0</v>
      </c>
      <c r="E129" s="49">
        <f>'เย็น '!E129+'เช้า '!E129+บ่าย!E129</f>
        <v>0</v>
      </c>
      <c r="F129" s="49">
        <f>'เย็น '!F129+'เช้า '!F129+บ่าย!F129</f>
        <v>0</v>
      </c>
      <c r="G129" s="49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49">
        <f>'เย็น '!D130+'เช้า '!D130+บ่าย!D130</f>
        <v>0</v>
      </c>
      <c r="E130" s="49">
        <f>'เย็น '!E130+'เช้า '!E130+บ่าย!E130</f>
        <v>0</v>
      </c>
      <c r="F130" s="49">
        <f>'เย็น '!F130+'เช้า '!F130+บ่าย!F130</f>
        <v>0</v>
      </c>
      <c r="G130" s="49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18</v>
      </c>
      <c r="O130" s="11"/>
      <c r="P130" s="11"/>
      <c r="Q130" s="45">
        <f t="shared" si="16"/>
        <v>18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5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5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5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52</v>
      </c>
      <c r="E140" s="37">
        <f t="shared" ref="E140:K140" si="17">SUM(E114:E139,E90:E99,E79:E87,E69:E76,E7:E66,E102:E111)</f>
        <v>189</v>
      </c>
      <c r="F140" s="37">
        <f t="shared" si="17"/>
        <v>188</v>
      </c>
      <c r="G140" s="37">
        <f t="shared" si="17"/>
        <v>1278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1707</v>
      </c>
      <c r="M140" s="31">
        <f>SUM(M114:M136,M90:M98,M79:M87,M69:M76,M7:M66)</f>
        <v>9646</v>
      </c>
      <c r="N140" s="31">
        <f>SUM(N114:N136,N90:N98,N79:N87,N69:N76,N7:N66)</f>
        <v>6776</v>
      </c>
      <c r="O140" s="31"/>
      <c r="P140" s="31"/>
      <c r="Q140" s="45">
        <f t="shared" ref="Q140" si="18">(M140+N140)-L140</f>
        <v>14715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090-2586-4198-AE25-B391EF0E7A01}">
  <sheetPr>
    <pageSetUpPr fitToPage="1"/>
  </sheetPr>
  <dimension ref="B1:T162"/>
  <sheetViews>
    <sheetView zoomScale="50" zoomScaleNormal="50" workbookViewId="0">
      <selection activeCell="X57" sqref="X5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7" width="14.3984375" style="16" customWidth="1"/>
    <col min="8" max="11" width="14.3984375" style="16" hidden="1" customWidth="1"/>
    <col min="12" max="12" width="17.59765625" style="26" customWidth="1"/>
    <col min="13" max="13" width="16.09765625" style="24" customWidth="1"/>
    <col min="14" max="15" width="15.3984375" style="24" customWidth="1"/>
    <col min="16" max="16" width="25.3984375" style="24" customWidth="1"/>
    <col min="17" max="17" width="14.3984375" style="29" customWidth="1"/>
    <col min="18" max="18" width="9.09765625" customWidth="1"/>
    <col min="19" max="19" width="7.3984375" customWidth="1"/>
    <col min="20" max="20" width="22.69921875" customWidth="1"/>
  </cols>
  <sheetData>
    <row r="1" spans="2:17" x14ac:dyDescent="0.25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49">
        <f>'เย็น '!D7+'เช้า '!D7+บ่าย!D7</f>
        <v>32</v>
      </c>
      <c r="E7" s="49">
        <f>'เย็น '!E7+'เช้า '!E7+บ่าย!E7</f>
        <v>67</v>
      </c>
      <c r="F7" s="49">
        <f>'เย็น '!F7+'เช้า '!F7+บ่าย!F7</f>
        <v>30</v>
      </c>
      <c r="G7" s="49">
        <f>'เย็น '!G7+'เช้า '!G7+บ่าย!G7</f>
        <v>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137</v>
      </c>
      <c r="M7" s="11">
        <v>500</v>
      </c>
      <c r="N7" s="11">
        <v>783</v>
      </c>
      <c r="O7" s="11"/>
      <c r="P7" s="11"/>
      <c r="Q7" s="45">
        <f>(M7+N7+O7+P7)-L7</f>
        <v>1146</v>
      </c>
    </row>
    <row r="8" spans="2:17" hidden="1" x14ac:dyDescent="0.25">
      <c r="B8" s="11"/>
      <c r="C8" s="15" t="s">
        <v>126</v>
      </c>
      <c r="D8" s="49">
        <f>'เย็น '!D8+'เช้า '!D8+บ่าย!D8</f>
        <v>0</v>
      </c>
      <c r="E8" s="49">
        <f>'เย็น '!E8+'เช้า '!E8+บ่าย!E8</f>
        <v>0</v>
      </c>
      <c r="F8" s="49">
        <f>'เย็น '!F8+'เช้า '!F8+บ่าย!F8</f>
        <v>0</v>
      </c>
      <c r="G8" s="49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7" si="1">(M8+N8+O8+P8)-L8</f>
        <v>0</v>
      </c>
    </row>
    <row r="9" spans="2:17" hidden="1" x14ac:dyDescent="0.25">
      <c r="B9" s="11">
        <v>1111084</v>
      </c>
      <c r="C9" s="15" t="s">
        <v>12</v>
      </c>
      <c r="D9" s="49">
        <f>'เย็น '!D9+'เช้า '!D9+บ่าย!D9</f>
        <v>0</v>
      </c>
      <c r="E9" s="49">
        <f>'เย็น '!E9+'เช้า '!E9+บ่าย!E9</f>
        <v>0</v>
      </c>
      <c r="F9" s="49">
        <f>'เย็น '!F9+'เช้า '!F9+บ่าย!F9</f>
        <v>0</v>
      </c>
      <c r="G9" s="49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49">
        <f>'เย็น '!D10+'เช้า '!D10+บ่าย!D10</f>
        <v>0</v>
      </c>
      <c r="E10" s="49">
        <f>'เย็น '!E10+'เช้า '!E10+บ่าย!E10</f>
        <v>0</v>
      </c>
      <c r="F10" s="49">
        <f>'เย็น '!F10+'เช้า '!F10+บ่าย!F10</f>
        <v>0</v>
      </c>
      <c r="G10" s="49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49">
        <f>'เย็น '!D11+'เช้า '!D11+บ่าย!D11</f>
        <v>0</v>
      </c>
      <c r="E11" s="49">
        <f>'เย็น '!E11+'เช้า '!E11+บ่าย!E11</f>
        <v>0</v>
      </c>
      <c r="F11" s="49">
        <f>'เย็น '!F11+'เช้า '!F11+บ่าย!F11</f>
        <v>0</v>
      </c>
      <c r="G11" s="49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49">
        <f>'เย็น '!D12+'เช้า '!D12+บ่าย!D12</f>
        <v>0</v>
      </c>
      <c r="E12" s="49">
        <f>'เย็น '!E12+'เช้า '!E12+บ่าย!E12</f>
        <v>0</v>
      </c>
      <c r="F12" s="49">
        <f>'เย็น '!F12+'เช้า '!F12+บ่าย!F12</f>
        <v>0</v>
      </c>
      <c r="G12" s="49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49">
        <f>'เย็น '!D13+'เช้า '!D13+บ่าย!D13</f>
        <v>0</v>
      </c>
      <c r="E13" s="49">
        <f>'เย็น '!E13+'เช้า '!E13+บ่าย!E13</f>
        <v>0</v>
      </c>
      <c r="F13" s="49">
        <f>'เย็น '!F13+'เช้า '!F13+บ่าย!F13</f>
        <v>0</v>
      </c>
      <c r="G13" s="49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49">
        <f>'เย็น '!D14+'เช้า '!D14+บ่าย!D14</f>
        <v>0</v>
      </c>
      <c r="E14" s="49">
        <f>'เย็น '!E14+'เช้า '!E14+บ่าย!E14</f>
        <v>0</v>
      </c>
      <c r="F14" s="49">
        <f>'เย็น '!F14+'เช้า '!F14+บ่าย!F14</f>
        <v>0</v>
      </c>
      <c r="G14" s="49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49">
        <f>'เย็น '!D15+'เช้า '!D15+บ่าย!D15</f>
        <v>0</v>
      </c>
      <c r="E15" s="49">
        <f>'เย็น '!E15+'เช้า '!E15+บ่าย!E15</f>
        <v>0</v>
      </c>
      <c r="F15" s="49">
        <f>'เย็น '!F15+'เช้า '!F15+บ่าย!F15</f>
        <v>0</v>
      </c>
      <c r="G15" s="49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49">
        <f>'เย็น '!D16+'เช้า '!D16+บ่าย!D16</f>
        <v>0</v>
      </c>
      <c r="E16" s="49">
        <f>'เย็น '!E16+'เช้า '!E16+บ่าย!E16</f>
        <v>0</v>
      </c>
      <c r="F16" s="49">
        <f>'เย็น '!F16+'เช้า '!F16+บ่าย!F16</f>
        <v>0</v>
      </c>
      <c r="G16" s="49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49">
        <f>'เย็น '!D17+'เช้า '!D17+บ่าย!D17</f>
        <v>0</v>
      </c>
      <c r="E17" s="49">
        <f>'เย็น '!E17+'เช้า '!E17+บ่าย!E17</f>
        <v>0</v>
      </c>
      <c r="F17" s="49">
        <f>'เย็น '!F17+'เช้า '!F17+บ่าย!F17</f>
        <v>0</v>
      </c>
      <c r="G17" s="49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49">
        <f>'เย็น '!D18+'เช้า '!D18+บ่าย!D18</f>
        <v>0</v>
      </c>
      <c r="E18" s="49">
        <f>'เย็น '!E18+'เช้า '!E18+บ่าย!E18</f>
        <v>0</v>
      </c>
      <c r="F18" s="49">
        <f>'เย็น '!F18+'เช้า '!F18+บ่าย!F18</f>
        <v>0</v>
      </c>
      <c r="G18" s="49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49">
        <f>'เย็น '!D19+'เช้า '!D19+บ่าย!D19</f>
        <v>0</v>
      </c>
      <c r="E19" s="49">
        <f>'เย็น '!E19+'เช้า '!E19+บ่าย!E19</f>
        <v>0</v>
      </c>
      <c r="F19" s="49">
        <f>'เย็น '!F19+'เช้า '!F19+บ่าย!F19</f>
        <v>0</v>
      </c>
      <c r="G19" s="49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49">
        <f>'เย็น '!D20+'เช้า '!D20+บ่าย!D20</f>
        <v>0</v>
      </c>
      <c r="E20" s="49">
        <f>'เย็น '!E20+'เช้า '!E20+บ่าย!E20</f>
        <v>0</v>
      </c>
      <c r="F20" s="49">
        <f>'เย็น '!F20+'เช้า '!F20+บ่าย!F20</f>
        <v>0</v>
      </c>
      <c r="G20" s="49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49">
        <f>'เย็น '!D21+'เช้า '!D21+บ่าย!D21</f>
        <v>0</v>
      </c>
      <c r="E21" s="49">
        <f>'เย็น '!E21+'เช้า '!E21+บ่าย!E21</f>
        <v>0</v>
      </c>
      <c r="F21" s="49">
        <f>'เย็น '!F21+'เช้า '!F21+บ่าย!F21</f>
        <v>0</v>
      </c>
      <c r="G21" s="49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49">
        <f>'เย็น '!D22+'เช้า '!D22+บ่าย!D22</f>
        <v>0</v>
      </c>
      <c r="E22" s="49">
        <f>'เย็น '!E22+'เช้า '!E22+บ่าย!E22</f>
        <v>0</v>
      </c>
      <c r="F22" s="49">
        <f>'เย็น '!F22+'เช้า '!F22+บ่าย!F22</f>
        <v>0</v>
      </c>
      <c r="G22" s="49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49">
        <f>'เย็น '!D23+'เช้า '!D23+บ่าย!D23</f>
        <v>0</v>
      </c>
      <c r="E23" s="49">
        <f>'เย็น '!E23+'เช้า '!E23+บ่าย!E23</f>
        <v>0</v>
      </c>
      <c r="F23" s="49">
        <f>'เย็น '!F23+'เช้า '!F23+บ่าย!F23</f>
        <v>0</v>
      </c>
      <c r="G23" s="49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49">
        <f>'เย็น '!D24+'เช้า '!D24+บ่าย!D24</f>
        <v>0</v>
      </c>
      <c r="E24" s="49">
        <f>'เย็น '!E24+'เช้า '!E24+บ่าย!E24</f>
        <v>0</v>
      </c>
      <c r="F24" s="49">
        <f>'เย็น '!F24+'เช้า '!F24+บ่าย!F24</f>
        <v>0</v>
      </c>
      <c r="G24" s="49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49">
        <f>'เย็น '!D25+'เช้า '!D25+บ่าย!D25</f>
        <v>2</v>
      </c>
      <c r="E25" s="49">
        <f>'เย็น '!E25+'เช้า '!E25+บ่าย!E25</f>
        <v>4</v>
      </c>
      <c r="F25" s="49">
        <f>'เย็น '!F25+'เช้า '!F25+บ่าย!F25</f>
        <v>0</v>
      </c>
      <c r="G25" s="49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11</v>
      </c>
      <c r="M25" s="11">
        <v>82</v>
      </c>
      <c r="N25" s="11">
        <v>55</v>
      </c>
      <c r="O25" s="11"/>
      <c r="P25" s="11"/>
      <c r="Q25" s="45">
        <f t="shared" si="1"/>
        <v>126</v>
      </c>
    </row>
    <row r="26" spans="2:17" x14ac:dyDescent="0.25">
      <c r="B26" s="11">
        <v>1004055</v>
      </c>
      <c r="C26" s="15" t="s">
        <v>108</v>
      </c>
      <c r="D26" s="49">
        <f>'เย็น '!D26+'เช้า '!D26+บ่าย!D26</f>
        <v>0</v>
      </c>
      <c r="E26" s="49">
        <f>'เย็น '!E26+'เช้า '!E26+บ่าย!E26</f>
        <v>30</v>
      </c>
      <c r="F26" s="49">
        <f>'เย็น '!F26+'เช้า '!F26+บ่าย!F26</f>
        <v>22</v>
      </c>
      <c r="G26" s="49">
        <f>'เย็น '!G26+'เช้า '!G26+บ่าย!G26</f>
        <v>165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217</v>
      </c>
      <c r="M26" s="11">
        <v>500</v>
      </c>
      <c r="N26" s="11">
        <v>363</v>
      </c>
      <c r="O26" s="11"/>
      <c r="P26" s="11"/>
      <c r="Q26" s="45">
        <f t="shared" si="1"/>
        <v>646</v>
      </c>
    </row>
    <row r="27" spans="2:17" hidden="1" x14ac:dyDescent="0.25">
      <c r="B27" s="11">
        <v>1004055</v>
      </c>
      <c r="C27" s="15" t="s">
        <v>109</v>
      </c>
      <c r="D27" s="49">
        <f>'เย็น '!D27+'เช้า '!D27+บ่าย!D27</f>
        <v>0</v>
      </c>
      <c r="E27" s="49">
        <f>'เย็น '!E27+'เช้า '!E27+บ่าย!E27</f>
        <v>0</v>
      </c>
      <c r="F27" s="49">
        <f>'เย็น '!F27+'เช้า '!F27+บ่าย!F27</f>
        <v>0</v>
      </c>
      <c r="G27" s="49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49">
        <f>'เย็น '!D28+'เช้า '!D28+บ่าย!D28</f>
        <v>0</v>
      </c>
      <c r="E28" s="49">
        <f>'เย็น '!E28+'เช้า '!E28+บ่าย!E28</f>
        <v>0</v>
      </c>
      <c r="F28" s="49">
        <f>'เย็น '!F28+'เช้า '!F28+บ่าย!F28</f>
        <v>0</v>
      </c>
      <c r="G28" s="49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49">
        <f>'เย็น '!D29+'เช้า '!D29+บ่าย!D29</f>
        <v>0</v>
      </c>
      <c r="E29" s="49">
        <f>'เย็น '!E29+'เช้า '!E29+บ่าย!E29</f>
        <v>0</v>
      </c>
      <c r="F29" s="49">
        <f>'เย็น '!F29+'เช้า '!F29+บ่าย!F29</f>
        <v>0</v>
      </c>
      <c r="G29" s="49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49">
        <f>'เย็น '!D30+'เช้า '!D30+บ่าย!D30</f>
        <v>0</v>
      </c>
      <c r="E30" s="49">
        <f>'เย็น '!E30+'เช้า '!E30+บ่าย!E30</f>
        <v>0</v>
      </c>
      <c r="F30" s="49">
        <f>'เย็น '!F30+'เช้า '!F30+บ่าย!F30</f>
        <v>0</v>
      </c>
      <c r="G30" s="49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49">
        <f>'เย็น '!D31+'เช้า '!D31+บ่าย!D31</f>
        <v>0</v>
      </c>
      <c r="E31" s="49">
        <f>'เย็น '!E31+'เช้า '!E31+บ่าย!E31</f>
        <v>0</v>
      </c>
      <c r="F31" s="49">
        <f>'เย็น '!F31+'เช้า '!F31+บ่าย!F31</f>
        <v>0</v>
      </c>
      <c r="G31" s="49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49">
        <f>'เย็น '!D32+'เช้า '!D32+บ่าย!D32</f>
        <v>0</v>
      </c>
      <c r="E32" s="49">
        <f>'เย็น '!E32+'เช้า '!E32+บ่าย!E32</f>
        <v>0</v>
      </c>
      <c r="F32" s="49">
        <f>'เย็น '!F32+'เช้า '!F32+บ่าย!F32</f>
        <v>0</v>
      </c>
      <c r="G32" s="49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49">
        <f>'เย็น '!D33+'เช้า '!D33+บ่าย!D33</f>
        <v>0</v>
      </c>
      <c r="E33" s="49">
        <f>'เย็น '!E33+'เช้า '!E33+บ่าย!E33</f>
        <v>0</v>
      </c>
      <c r="F33" s="49">
        <f>'เย็น '!F33+'เช้า '!F33+บ่าย!F33</f>
        <v>0</v>
      </c>
      <c r="G33" s="49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49">
        <f>'เย็น '!D34+'เช้า '!D34+บ่าย!D34</f>
        <v>0</v>
      </c>
      <c r="E34" s="49">
        <f>'เย็น '!E34+'เช้า '!E34+บ่าย!E34</f>
        <v>0</v>
      </c>
      <c r="F34" s="49">
        <f>'เย็น '!F34+'เช้า '!F34+บ่าย!F34</f>
        <v>0</v>
      </c>
      <c r="G34" s="49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49">
        <f>'เย็น '!D35+'เช้า '!D35+บ่าย!D35</f>
        <v>0</v>
      </c>
      <c r="E35" s="49">
        <f>'เย็น '!E35+'เช้า '!E35+บ่าย!E35</f>
        <v>0</v>
      </c>
      <c r="F35" s="49">
        <f>'เย็น '!F35+'เช้า '!F35+บ่าย!F35</f>
        <v>0</v>
      </c>
      <c r="G35" s="49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49">
        <f>'เย็น '!D36+'เช้า '!D36+บ่าย!D36</f>
        <v>0</v>
      </c>
      <c r="E36" s="49">
        <f>'เย็น '!E36+'เช้า '!E36+บ่าย!E36</f>
        <v>0</v>
      </c>
      <c r="F36" s="49">
        <f>'เย็น '!F36+'เช้า '!F36+บ่าย!F36</f>
        <v>0</v>
      </c>
      <c r="G36" s="49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49">
        <f>'เย็น '!D37+'เช้า '!D37+บ่าย!D37</f>
        <v>0</v>
      </c>
      <c r="E37" s="49">
        <f>'เย็น '!E37+'เช้า '!E37+บ่าย!E37</f>
        <v>0</v>
      </c>
      <c r="F37" s="49">
        <f>'เย็น '!F37+'เช้า '!F37+บ่าย!F37</f>
        <v>0</v>
      </c>
      <c r="G37" s="49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49">
        <f>'เย็น '!D38+'เช้า '!D38+บ่าย!D38</f>
        <v>0</v>
      </c>
      <c r="E38" s="49">
        <f>'เย็น '!E38+'เช้า '!E38+บ่าย!E38</f>
        <v>0</v>
      </c>
      <c r="F38" s="49">
        <f>'เย็น '!F38+'เช้า '!F38+บ่าย!F38</f>
        <v>0</v>
      </c>
      <c r="G38" s="49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49">
        <f>'เย็น '!D39+'เช้า '!D39+บ่าย!D39</f>
        <v>0</v>
      </c>
      <c r="E39" s="49">
        <f>'เย็น '!E39+'เช้า '!E39+บ่าย!E39</f>
        <v>0</v>
      </c>
      <c r="F39" s="49">
        <f>'เย็น '!F39+'เช้า '!F39+บ่าย!F39</f>
        <v>0</v>
      </c>
      <c r="G39" s="49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49">
        <f>'เย็น '!D40+'เช้า '!D40+บ่าย!D40</f>
        <v>0</v>
      </c>
      <c r="E40" s="49">
        <f>'เย็น '!E40+'เช้า '!E40+บ่าย!E40</f>
        <v>1</v>
      </c>
      <c r="F40" s="49">
        <f>'เย็น '!F40+'เช้า '!F40+บ่าย!F40</f>
        <v>0</v>
      </c>
      <c r="G40" s="49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</v>
      </c>
      <c r="M40" s="11">
        <v>100</v>
      </c>
      <c r="N40" s="11">
        <v>100</v>
      </c>
      <c r="O40" s="11"/>
      <c r="P40" s="11"/>
      <c r="Q40" s="45">
        <f t="shared" si="1"/>
        <v>199</v>
      </c>
    </row>
    <row r="41" spans="2:17" x14ac:dyDescent="0.25">
      <c r="B41" s="11">
        <v>1111058</v>
      </c>
      <c r="C41" s="15" t="s">
        <v>31</v>
      </c>
      <c r="D41" s="49">
        <f>'เย็น '!D41+'เช้า '!D41+บ่าย!D41</f>
        <v>0</v>
      </c>
      <c r="E41" s="49">
        <f>'เย็น '!E41+'เช้า '!E41+บ่าย!E41</f>
        <v>1</v>
      </c>
      <c r="F41" s="49">
        <f>'เย็น '!F41+'เช้า '!F41+บ่าย!F41</f>
        <v>0</v>
      </c>
      <c r="G41" s="49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</v>
      </c>
      <c r="M41" s="11">
        <v>100</v>
      </c>
      <c r="N41" s="11"/>
      <c r="O41" s="11"/>
      <c r="P41" s="11"/>
      <c r="Q41" s="45">
        <f t="shared" si="1"/>
        <v>99</v>
      </c>
    </row>
    <row r="42" spans="2:17" x14ac:dyDescent="0.25">
      <c r="B42" s="11">
        <v>1111059</v>
      </c>
      <c r="C42" s="15" t="s">
        <v>32</v>
      </c>
      <c r="D42" s="49">
        <f>'เย็น '!D42+'เช้า '!D42+บ่าย!D42</f>
        <v>0</v>
      </c>
      <c r="E42" s="49">
        <f>'เย็น '!E42+'เช้า '!E42+บ่าย!E42</f>
        <v>1</v>
      </c>
      <c r="F42" s="49">
        <f>'เย็น '!F42+'เช้า '!F42+บ่าย!F42</f>
        <v>0</v>
      </c>
      <c r="G42" s="49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</v>
      </c>
      <c r="M42" s="11">
        <v>100</v>
      </c>
      <c r="N42" s="11">
        <v>100</v>
      </c>
      <c r="O42" s="11"/>
      <c r="P42" s="11"/>
      <c r="Q42" s="45">
        <f t="shared" si="1"/>
        <v>199</v>
      </c>
    </row>
    <row r="43" spans="2:17" x14ac:dyDescent="0.25">
      <c r="B43" s="11">
        <v>1111060</v>
      </c>
      <c r="C43" s="15" t="s">
        <v>33</v>
      </c>
      <c r="D43" s="49">
        <f>'เย็น '!D43+'เช้า '!D43+บ่าย!D43</f>
        <v>0</v>
      </c>
      <c r="E43" s="49">
        <f>'เย็น '!E43+'เช้า '!E43+บ่าย!E43</f>
        <v>1</v>
      </c>
      <c r="F43" s="49">
        <f>'เย็น '!F43+'เช้า '!F43+บ่าย!F43</f>
        <v>0</v>
      </c>
      <c r="G43" s="49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1</v>
      </c>
      <c r="M43" s="11">
        <v>100</v>
      </c>
      <c r="N43" s="11">
        <v>200</v>
      </c>
      <c r="O43" s="11"/>
      <c r="P43" s="11"/>
      <c r="Q43" s="45">
        <f t="shared" si="1"/>
        <v>299</v>
      </c>
    </row>
    <row r="44" spans="2:17" x14ac:dyDescent="0.25">
      <c r="B44" s="11">
        <v>1111061</v>
      </c>
      <c r="C44" s="15" t="s">
        <v>34</v>
      </c>
      <c r="D44" s="49">
        <f>'เย็น '!D44+'เช้า '!D44+บ่าย!D44</f>
        <v>0</v>
      </c>
      <c r="E44" s="49">
        <f>'เย็น '!E44+'เช้า '!E44+บ่าย!E44</f>
        <v>0</v>
      </c>
      <c r="F44" s="49">
        <f>'เย็น '!F44+'เช้า '!F44+บ่าย!F44</f>
        <v>0</v>
      </c>
      <c r="G44" s="49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>
        <v>100</v>
      </c>
      <c r="N44" s="11">
        <v>98</v>
      </c>
      <c r="O44" s="11"/>
      <c r="P44" s="11"/>
      <c r="Q44" s="45">
        <f t="shared" si="1"/>
        <v>198</v>
      </c>
    </row>
    <row r="45" spans="2:17" x14ac:dyDescent="0.25">
      <c r="B45" s="11">
        <v>1111062</v>
      </c>
      <c r="C45" s="15" t="s">
        <v>35</v>
      </c>
      <c r="D45" s="49">
        <f>'เย็น '!D45+'เช้า '!D45+บ่าย!D45</f>
        <v>0</v>
      </c>
      <c r="E45" s="49">
        <f>'เย็น '!E45+'เช้า '!E45+บ่าย!E45</f>
        <v>0</v>
      </c>
      <c r="F45" s="49">
        <f>'เย็น '!F45+'เช้า '!F45+บ่าย!F45</f>
        <v>0</v>
      </c>
      <c r="G45" s="49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>
        <v>100</v>
      </c>
      <c r="N45" s="11">
        <v>100</v>
      </c>
      <c r="O45" s="11"/>
      <c r="P45" s="11"/>
      <c r="Q45" s="45">
        <f t="shared" si="1"/>
        <v>200</v>
      </c>
    </row>
    <row r="46" spans="2:17" x14ac:dyDescent="0.25">
      <c r="B46" s="11">
        <v>1111063</v>
      </c>
      <c r="C46" s="15" t="s">
        <v>36</v>
      </c>
      <c r="D46" s="49">
        <f>'เย็น '!D46+'เช้า '!D46+บ่าย!D46</f>
        <v>0</v>
      </c>
      <c r="E46" s="49">
        <f>'เย็น '!E46+'เช้า '!E46+บ่าย!E46</f>
        <v>1</v>
      </c>
      <c r="F46" s="49">
        <f>'เย็น '!F46+'เช้า '!F46+บ่าย!F46</f>
        <v>0</v>
      </c>
      <c r="G46" s="49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</v>
      </c>
      <c r="M46" s="11">
        <v>100</v>
      </c>
      <c r="N46" s="11">
        <v>200</v>
      </c>
      <c r="O46" s="11"/>
      <c r="P46" s="11"/>
      <c r="Q46" s="45">
        <f t="shared" si="1"/>
        <v>299</v>
      </c>
    </row>
    <row r="47" spans="2:17" x14ac:dyDescent="0.25">
      <c r="B47" s="11">
        <v>1111064</v>
      </c>
      <c r="C47" s="15" t="s">
        <v>37</v>
      </c>
      <c r="D47" s="49">
        <f>'เย็น '!D47+'เช้า '!D47+บ่าย!D47</f>
        <v>0</v>
      </c>
      <c r="E47" s="49">
        <f>'เย็น '!E47+'เช้า '!E47+บ่าย!E47</f>
        <v>0</v>
      </c>
      <c r="F47" s="49">
        <f>'เย็น '!F47+'เช้า '!F47+บ่าย!F47</f>
        <v>0</v>
      </c>
      <c r="G47" s="49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>
        <v>100</v>
      </c>
      <c r="N47" s="11"/>
      <c r="O47" s="11"/>
      <c r="P47" s="11"/>
      <c r="Q47" s="45">
        <f t="shared" si="1"/>
        <v>100</v>
      </c>
    </row>
    <row r="48" spans="2:17" x14ac:dyDescent="0.25">
      <c r="B48" s="11">
        <v>1111065</v>
      </c>
      <c r="C48" s="15" t="s">
        <v>38</v>
      </c>
      <c r="D48" s="49">
        <f>'เย็น '!D48+'เช้า '!D48+บ่าย!D48</f>
        <v>0</v>
      </c>
      <c r="E48" s="49">
        <f>'เย็น '!E48+'เช้า '!E48+บ่าย!E48</f>
        <v>1</v>
      </c>
      <c r="F48" s="49">
        <f>'เย็น '!F48+'เช้า '!F48+บ่าย!F48</f>
        <v>0</v>
      </c>
      <c r="G48" s="49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1</v>
      </c>
      <c r="M48" s="11">
        <v>100</v>
      </c>
      <c r="N48" s="11"/>
      <c r="O48" s="11"/>
      <c r="P48" s="11"/>
      <c r="Q48" s="45">
        <f t="shared" si="1"/>
        <v>99</v>
      </c>
    </row>
    <row r="49" spans="2:20" x14ac:dyDescent="0.25">
      <c r="B49" s="11">
        <v>1111066</v>
      </c>
      <c r="C49" s="15" t="s">
        <v>39</v>
      </c>
      <c r="D49" s="49">
        <f>'เย็น '!D49+'เช้า '!D49+บ่าย!D49</f>
        <v>0</v>
      </c>
      <c r="E49" s="49">
        <f>'เย็น '!E49+'เช้า '!E49+บ่าย!E49</f>
        <v>1</v>
      </c>
      <c r="F49" s="49">
        <f>'เย็น '!F49+'เช้า '!F49+บ่าย!F49</f>
        <v>0</v>
      </c>
      <c r="G49" s="49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</v>
      </c>
      <c r="M49" s="11">
        <v>100</v>
      </c>
      <c r="N49" s="11">
        <v>100</v>
      </c>
      <c r="O49" s="11"/>
      <c r="P49" s="11"/>
      <c r="Q49" s="45">
        <f t="shared" si="1"/>
        <v>199</v>
      </c>
    </row>
    <row r="50" spans="2:20" x14ac:dyDescent="0.25">
      <c r="B50" s="11">
        <v>1111067</v>
      </c>
      <c r="C50" s="15" t="s">
        <v>40</v>
      </c>
      <c r="D50" s="49">
        <f>'เย็น '!D50+'เช้า '!D50+บ่าย!D50</f>
        <v>0</v>
      </c>
      <c r="E50" s="49">
        <f>'เย็น '!E50+'เช้า '!E50+บ่าย!E50</f>
        <v>1</v>
      </c>
      <c r="F50" s="49">
        <f>'เย็น '!F50+'เช้า '!F50+บ่าย!F50</f>
        <v>0</v>
      </c>
      <c r="G50" s="49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</v>
      </c>
      <c r="M50" s="11">
        <v>100</v>
      </c>
      <c r="N50" s="11">
        <v>100</v>
      </c>
      <c r="O50" s="11"/>
      <c r="P50" s="11"/>
      <c r="Q50" s="45">
        <f t="shared" si="1"/>
        <v>199</v>
      </c>
    </row>
    <row r="51" spans="2:20" x14ac:dyDescent="0.25">
      <c r="B51" s="11">
        <v>1111068</v>
      </c>
      <c r="C51" s="15" t="s">
        <v>41</v>
      </c>
      <c r="D51" s="49">
        <f>'เย็น '!D51+'เช้า '!D51+บ่าย!D51</f>
        <v>0</v>
      </c>
      <c r="E51" s="49">
        <f>'เย็น '!E51+'เช้า '!E51+บ่าย!E51</f>
        <v>1</v>
      </c>
      <c r="F51" s="49">
        <f>'เย็น '!F51+'เช้า '!F51+บ่าย!F51</f>
        <v>0</v>
      </c>
      <c r="G51" s="49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1</v>
      </c>
      <c r="M51" s="11">
        <v>100</v>
      </c>
      <c r="N51" s="11">
        <v>100</v>
      </c>
      <c r="O51" s="11"/>
      <c r="P51" s="11"/>
      <c r="Q51" s="45">
        <f t="shared" si="1"/>
        <v>199</v>
      </c>
    </row>
    <row r="52" spans="2:20" x14ac:dyDescent="0.35">
      <c r="B52" s="11">
        <v>1111069</v>
      </c>
      <c r="C52" s="15" t="s">
        <v>42</v>
      </c>
      <c r="D52" s="49">
        <f>'เย็น '!D52+'เช้า '!D52+บ่าย!D52</f>
        <v>0</v>
      </c>
      <c r="E52" s="49">
        <f>'เย็น '!E52+'เช้า '!E52+บ่าย!E52</f>
        <v>1</v>
      </c>
      <c r="F52" s="49">
        <f>'เย็น '!F52+'เช้า '!F52+บ่าย!F52</f>
        <v>0</v>
      </c>
      <c r="G52" s="49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</v>
      </c>
      <c r="M52" s="11">
        <v>100</v>
      </c>
      <c r="N52" s="11">
        <v>100</v>
      </c>
      <c r="O52" s="11"/>
      <c r="P52" s="11"/>
      <c r="Q52" s="45">
        <f t="shared" si="1"/>
        <v>199</v>
      </c>
      <c r="S52" s="47"/>
      <c r="T52" s="46"/>
    </row>
    <row r="53" spans="2:20" x14ac:dyDescent="0.25">
      <c r="B53" s="11">
        <v>1111070</v>
      </c>
      <c r="C53" s="15" t="s">
        <v>128</v>
      </c>
      <c r="D53" s="49">
        <f>'เย็น '!D53+'เช้า '!D53+บ่าย!D53</f>
        <v>0</v>
      </c>
      <c r="E53" s="49">
        <f>'เย็น '!E53+'เช้า '!E53+บ่าย!E53</f>
        <v>0</v>
      </c>
      <c r="F53" s="49">
        <f>'เย็น '!F53+'เช้า '!F53+บ่าย!F53</f>
        <v>0</v>
      </c>
      <c r="G53" s="49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5">
      <c r="B54" s="11">
        <v>1111071</v>
      </c>
      <c r="C54" s="15" t="s">
        <v>129</v>
      </c>
      <c r="D54" s="49">
        <f>'เย็น '!D54+'เช้า '!D54+บ่าย!D54</f>
        <v>0</v>
      </c>
      <c r="E54" s="49">
        <f>'เย็น '!E54+'เช้า '!E54+บ่าย!E54</f>
        <v>0</v>
      </c>
      <c r="F54" s="49">
        <f>'เย็น '!F54+'เช้า '!F54+บ่าย!F54</f>
        <v>0</v>
      </c>
      <c r="G54" s="49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5">
      <c r="B55" s="11">
        <v>1111001</v>
      </c>
      <c r="C55" s="15" t="s">
        <v>43</v>
      </c>
      <c r="D55" s="49">
        <f>'เย็น '!D55+'เช้า '!D55+บ่าย!D55</f>
        <v>0</v>
      </c>
      <c r="E55" s="49">
        <f>'เย็น '!E55+'เช้า '!E55+บ่าย!E55</f>
        <v>0</v>
      </c>
      <c r="F55" s="49">
        <f>'เย็น '!F55+'เช้า '!F55+บ่าย!F55</f>
        <v>0</v>
      </c>
      <c r="G55" s="49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5">
      <c r="B56" s="11">
        <v>1111074</v>
      </c>
      <c r="C56" s="15" t="s">
        <v>44</v>
      </c>
      <c r="D56" s="49">
        <f>'เย็น '!D56+'เช้า '!D56+บ่าย!D56</f>
        <v>0</v>
      </c>
      <c r="E56" s="49">
        <f>'เย็น '!E56+'เช้า '!E56+บ่าย!E56</f>
        <v>2</v>
      </c>
      <c r="F56" s="49">
        <f>'เย็น '!F56+'เช้า '!F56+บ่าย!F56</f>
        <v>2</v>
      </c>
      <c r="G56" s="49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4</v>
      </c>
      <c r="M56" s="11">
        <v>100</v>
      </c>
      <c r="N56" s="11">
        <v>49</v>
      </c>
      <c r="O56" s="11"/>
      <c r="P56" s="11"/>
      <c r="Q56" s="45">
        <f t="shared" si="1"/>
        <v>145</v>
      </c>
    </row>
    <row r="57" spans="2:20" x14ac:dyDescent="0.25">
      <c r="B57" s="11">
        <v>1111075</v>
      </c>
      <c r="C57" s="15" t="s">
        <v>45</v>
      </c>
      <c r="D57" s="49">
        <f>'เย็น '!D57+'เช้า '!D57+บ่าย!D57</f>
        <v>0</v>
      </c>
      <c r="E57" s="49">
        <f>'เย็น '!E57+'เช้า '!E57+บ่าย!E57</f>
        <v>2</v>
      </c>
      <c r="F57" s="49">
        <f>'เย็น '!F57+'เช้า '!F57+บ่าย!F57</f>
        <v>2</v>
      </c>
      <c r="G57" s="49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4</v>
      </c>
      <c r="M57" s="11">
        <v>100</v>
      </c>
      <c r="N57" s="11">
        <v>89</v>
      </c>
      <c r="O57" s="11"/>
      <c r="P57" s="11"/>
      <c r="Q57" s="45">
        <f t="shared" si="1"/>
        <v>185</v>
      </c>
    </row>
    <row r="58" spans="2:20" x14ac:dyDescent="0.25">
      <c r="B58" s="11">
        <v>1111076</v>
      </c>
      <c r="C58" s="15" t="s">
        <v>46</v>
      </c>
      <c r="D58" s="49">
        <f>'เย็น '!D58+'เช้า '!D58+บ่าย!D58</f>
        <v>0</v>
      </c>
      <c r="E58" s="49">
        <f>'เย็น '!E58+'เช้า '!E58+บ่าย!E58</f>
        <v>2</v>
      </c>
      <c r="F58" s="49">
        <f>'เย็น '!F58+'เช้า '!F58+บ่าย!F58</f>
        <v>2</v>
      </c>
      <c r="G58" s="49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4</v>
      </c>
      <c r="M58" s="11">
        <v>100</v>
      </c>
      <c r="N58" s="11">
        <v>62</v>
      </c>
      <c r="O58" s="11"/>
      <c r="P58" s="11"/>
      <c r="Q58" s="45">
        <f t="shared" si="1"/>
        <v>158</v>
      </c>
    </row>
    <row r="59" spans="2:20" x14ac:dyDescent="0.25">
      <c r="B59" s="11">
        <v>1111077</v>
      </c>
      <c r="C59" s="15" t="s">
        <v>47</v>
      </c>
      <c r="D59" s="49">
        <f>'เย็น '!D59+'เช้า '!D59+บ่าย!D59</f>
        <v>0</v>
      </c>
      <c r="E59" s="49">
        <f>'เย็น '!E59+'เช้า '!E59+บ่าย!E59</f>
        <v>2</v>
      </c>
      <c r="F59" s="49">
        <f>'เย็น '!F59+'เช้า '!F59+บ่าย!F59</f>
        <v>2</v>
      </c>
      <c r="G59" s="49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4</v>
      </c>
      <c r="M59" s="11">
        <v>100</v>
      </c>
      <c r="N59" s="11">
        <v>80</v>
      </c>
      <c r="O59" s="11"/>
      <c r="P59" s="11"/>
      <c r="Q59" s="45">
        <f t="shared" si="1"/>
        <v>176</v>
      </c>
    </row>
    <row r="60" spans="2:20" x14ac:dyDescent="0.25">
      <c r="B60" s="11">
        <v>1111078</v>
      </c>
      <c r="C60" s="15" t="s">
        <v>48</v>
      </c>
      <c r="D60" s="49">
        <f>'เย็น '!D60+'เช้า '!D60+บ่าย!D60</f>
        <v>0</v>
      </c>
      <c r="E60" s="49">
        <f>'เย็น '!E60+'เช้า '!E60+บ่าย!E60</f>
        <v>2</v>
      </c>
      <c r="F60" s="49">
        <f>'เย็น '!F60+'เช้า '!F60+บ่าย!F60</f>
        <v>2</v>
      </c>
      <c r="G60" s="49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4</v>
      </c>
      <c r="M60" s="11">
        <v>100</v>
      </c>
      <c r="N60" s="11"/>
      <c r="O60" s="11"/>
      <c r="P60" s="11"/>
      <c r="Q60" s="45">
        <f t="shared" si="1"/>
        <v>96</v>
      </c>
    </row>
    <row r="61" spans="2:20" x14ac:dyDescent="0.25">
      <c r="B61" s="11">
        <v>1111079</v>
      </c>
      <c r="C61" s="15" t="s">
        <v>49</v>
      </c>
      <c r="D61" s="49">
        <f>'เย็น '!D61+'เช้า '!D61+บ่าย!D61</f>
        <v>0</v>
      </c>
      <c r="E61" s="49">
        <f>'เย็น '!E61+'เช้า '!E61+บ่าย!E61</f>
        <v>2</v>
      </c>
      <c r="F61" s="49">
        <f>'เย็น '!F61+'เช้า '!F61+บ่าย!F61</f>
        <v>2</v>
      </c>
      <c r="G61" s="49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4</v>
      </c>
      <c r="M61" s="11">
        <v>100</v>
      </c>
      <c r="N61" s="11">
        <v>140</v>
      </c>
      <c r="O61" s="11"/>
      <c r="P61" s="11"/>
      <c r="Q61" s="45">
        <f t="shared" si="1"/>
        <v>236</v>
      </c>
    </row>
    <row r="62" spans="2:20" x14ac:dyDescent="0.25">
      <c r="B62" s="11">
        <v>1111080</v>
      </c>
      <c r="C62" s="15" t="s">
        <v>50</v>
      </c>
      <c r="D62" s="49">
        <f>'เย็น '!D62+'เช้า '!D62+บ่าย!D62</f>
        <v>0</v>
      </c>
      <c r="E62" s="49">
        <f>'เย็น '!E62+'เช้า '!E62+บ่าย!E62</f>
        <v>2</v>
      </c>
      <c r="F62" s="49">
        <f>'เย็น '!F62+'เช้า '!F62+บ่าย!F62</f>
        <v>2</v>
      </c>
      <c r="G62" s="49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4</v>
      </c>
      <c r="M62" s="11">
        <v>100</v>
      </c>
      <c r="N62" s="11">
        <v>40</v>
      </c>
      <c r="O62" s="11"/>
      <c r="P62" s="11"/>
      <c r="Q62" s="45">
        <f t="shared" si="1"/>
        <v>136</v>
      </c>
    </row>
    <row r="63" spans="2:20" x14ac:dyDescent="0.25">
      <c r="B63" s="11">
        <v>1111081</v>
      </c>
      <c r="C63" s="15" t="s">
        <v>51</v>
      </c>
      <c r="D63" s="49">
        <f>'เย็น '!D63+'เช้า '!D63+บ่าย!D63</f>
        <v>0</v>
      </c>
      <c r="E63" s="49">
        <f>'เย็น '!E63+'เช้า '!E63+บ่าย!E63</f>
        <v>2</v>
      </c>
      <c r="F63" s="49">
        <f>'เย็น '!F63+'เช้า '!F63+บ่าย!F63</f>
        <v>2</v>
      </c>
      <c r="G63" s="49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4</v>
      </c>
      <c r="M63" s="11">
        <v>100</v>
      </c>
      <c r="N63" s="11"/>
      <c r="O63" s="11"/>
      <c r="P63" s="11"/>
      <c r="Q63" s="45">
        <f t="shared" si="1"/>
        <v>96</v>
      </c>
    </row>
    <row r="64" spans="2:20" x14ac:dyDescent="0.25">
      <c r="B64" s="11">
        <v>1111082</v>
      </c>
      <c r="C64" s="15" t="s">
        <v>52</v>
      </c>
      <c r="D64" s="49">
        <f>'เย็น '!D64+'เช้า '!D64+บ่าย!D64</f>
        <v>0</v>
      </c>
      <c r="E64" s="49">
        <f>'เย็น '!E64+'เช้า '!E64+บ่าย!E64</f>
        <v>2</v>
      </c>
      <c r="F64" s="49">
        <f>'เย็น '!F64+'เช้า '!F64+บ่าย!F64</f>
        <v>2</v>
      </c>
      <c r="G64" s="49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4</v>
      </c>
      <c r="M64" s="11">
        <v>100</v>
      </c>
      <c r="N64" s="11"/>
      <c r="O64" s="11"/>
      <c r="P64" s="11"/>
      <c r="Q64" s="45">
        <f t="shared" si="1"/>
        <v>96</v>
      </c>
    </row>
    <row r="65" spans="2:20" x14ac:dyDescent="0.35">
      <c r="B65" s="11">
        <v>1111083</v>
      </c>
      <c r="C65" s="15" t="s">
        <v>53</v>
      </c>
      <c r="D65" s="49">
        <f>'เย็น '!D65+'เช้า '!D65+บ่าย!D65</f>
        <v>0</v>
      </c>
      <c r="E65" s="49">
        <f>'เย็น '!E65+'เช้า '!E65+บ่าย!E65</f>
        <v>2</v>
      </c>
      <c r="F65" s="49">
        <f>'เย็น '!F65+'เช้า '!F65+บ่าย!F65</f>
        <v>2</v>
      </c>
      <c r="G65" s="49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4</v>
      </c>
      <c r="M65" s="11">
        <v>100</v>
      </c>
      <c r="N65" s="11"/>
      <c r="O65" s="11"/>
      <c r="P65" s="11"/>
      <c r="Q65" s="45">
        <f t="shared" si="1"/>
        <v>96</v>
      </c>
      <c r="S65" s="48"/>
      <c r="T65" s="46"/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si="1"/>
        <v>0</v>
      </c>
    </row>
    <row r="68" spans="2:20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49">
        <f>'เย็น '!D69+'เช้า '!D69+บ่าย!D69</f>
        <v>2</v>
      </c>
      <c r="E69" s="49">
        <f>'เย็น '!E69+'เช้า '!E69+บ่าย!E69</f>
        <v>2</v>
      </c>
      <c r="F69" s="49">
        <f>'เย็น '!F69+'เช้า '!F69+บ่าย!F69</f>
        <v>0</v>
      </c>
      <c r="G69" s="49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3">SUM(D69:K69)</f>
        <v>7</v>
      </c>
      <c r="M69" s="11">
        <v>260</v>
      </c>
      <c r="N69" s="11">
        <v>59</v>
      </c>
      <c r="O69" s="11"/>
      <c r="P69" s="11"/>
      <c r="Q69" s="45">
        <f t="shared" ref="Q69:Q88" si="4">(M69+N69+O69+P69)-L69</f>
        <v>312</v>
      </c>
    </row>
    <row r="70" spans="2:20" hidden="1" x14ac:dyDescent="0.25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11"/>
      <c r="P70" s="11"/>
      <c r="Q70" s="45">
        <f t="shared" si="4"/>
        <v>0</v>
      </c>
    </row>
    <row r="71" spans="2:20" hidden="1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11"/>
      <c r="P71" s="11"/>
      <c r="Q71" s="45">
        <f t="shared" si="4"/>
        <v>0</v>
      </c>
    </row>
    <row r="72" spans="2:20" hidden="1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11"/>
      <c r="P72" s="11"/>
      <c r="Q72" s="45">
        <f t="shared" si="4"/>
        <v>0</v>
      </c>
    </row>
    <row r="73" spans="2:20" hidden="1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11"/>
      <c r="P73" s="11"/>
      <c r="Q73" s="45">
        <f t="shared" si="4"/>
        <v>0</v>
      </c>
    </row>
    <row r="74" spans="2:20" hidden="1" x14ac:dyDescent="0.25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11"/>
      <c r="P74" s="11"/>
      <c r="Q74" s="45">
        <f t="shared" si="4"/>
        <v>0</v>
      </c>
    </row>
    <row r="75" spans="2:20" hidden="1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11"/>
      <c r="P75" s="11"/>
      <c r="Q75" s="45">
        <f t="shared" si="4"/>
        <v>0</v>
      </c>
    </row>
    <row r="76" spans="2:20" hidden="1" x14ac:dyDescent="0.25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11"/>
      <c r="P76" s="11"/>
      <c r="Q76" s="45">
        <f t="shared" si="4"/>
        <v>0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si="4"/>
        <v>0</v>
      </c>
    </row>
    <row r="78" spans="2:20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5">SUM(D79:K79)</f>
        <v>0</v>
      </c>
      <c r="M79" s="11"/>
      <c r="N79" s="11"/>
      <c r="O79" s="11"/>
      <c r="P79" s="11"/>
      <c r="Q79" s="45">
        <f t="shared" ref="Q79:Q87" si="6">(M79+N79+O79+P79)-L79</f>
        <v>0</v>
      </c>
    </row>
    <row r="80" spans="2:20" hidden="1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5"/>
        <v>0</v>
      </c>
      <c r="M80" s="11"/>
      <c r="N80" s="11"/>
      <c r="O80" s="11"/>
      <c r="P80" s="11"/>
      <c r="Q80" s="45">
        <f t="shared" si="6"/>
        <v>0</v>
      </c>
    </row>
    <row r="81" spans="2:17" hidden="1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5"/>
        <v>0</v>
      </c>
      <c r="M81" s="11"/>
      <c r="N81" s="11"/>
      <c r="O81" s="11"/>
      <c r="P81" s="11"/>
      <c r="Q81" s="45">
        <f t="shared" si="6"/>
        <v>0</v>
      </c>
    </row>
    <row r="82" spans="2:17" hidden="1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5"/>
        <v>0</v>
      </c>
      <c r="M82" s="11"/>
      <c r="N82" s="11"/>
      <c r="O82" s="11"/>
      <c r="P82" s="11"/>
      <c r="Q82" s="45">
        <f t="shared" si="6"/>
        <v>0</v>
      </c>
    </row>
    <row r="83" spans="2:17" hidden="1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5"/>
        <v>0</v>
      </c>
      <c r="M83" s="11"/>
      <c r="N83" s="11"/>
      <c r="O83" s="11"/>
      <c r="P83" s="11"/>
      <c r="Q83" s="45">
        <f t="shared" si="6"/>
        <v>0</v>
      </c>
    </row>
    <row r="84" spans="2:17" hidden="1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5"/>
        <v>0</v>
      </c>
      <c r="M84" s="11"/>
      <c r="N84" s="11"/>
      <c r="O84" s="11"/>
      <c r="P84" s="11"/>
      <c r="Q84" s="45">
        <f t="shared" si="6"/>
        <v>0</v>
      </c>
    </row>
    <row r="85" spans="2:17" hidden="1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5"/>
        <v>0</v>
      </c>
      <c r="M85" s="11"/>
      <c r="N85" s="11"/>
      <c r="O85" s="11"/>
      <c r="P85" s="11"/>
      <c r="Q85" s="45">
        <f t="shared" si="6"/>
        <v>0</v>
      </c>
    </row>
    <row r="86" spans="2:17" hidden="1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5"/>
        <v>0</v>
      </c>
      <c r="M86" s="11"/>
      <c r="N86" s="11"/>
      <c r="O86" s="11"/>
      <c r="P86" s="11"/>
      <c r="Q86" s="45">
        <f t="shared" si="6"/>
        <v>0</v>
      </c>
    </row>
    <row r="87" spans="2:17" x14ac:dyDescent="0.25">
      <c r="B87" s="11">
        <v>1111008</v>
      </c>
      <c r="C87" s="20" t="s">
        <v>73</v>
      </c>
      <c r="D87" s="49">
        <f>'เย็น '!D87+'เช้า '!D87+บ่าย!D87</f>
        <v>3</v>
      </c>
      <c r="E87" s="49">
        <f>'เย็น '!E87+'เช้า '!E87+บ่าย!E87</f>
        <v>9</v>
      </c>
      <c r="F87" s="49">
        <f>'เย็น '!F87+'เช้า '!F87+บ่าย!F87</f>
        <v>0</v>
      </c>
      <c r="G87" s="49">
        <f>'เย็น '!G87+'เช้า '!G87+บ่าย!G87</f>
        <v>183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5"/>
        <v>195</v>
      </c>
      <c r="M87" s="11">
        <v>700</v>
      </c>
      <c r="N87" s="11">
        <v>196</v>
      </c>
      <c r="O87" s="11"/>
      <c r="P87" s="11"/>
      <c r="Q87" s="45">
        <f t="shared" si="6"/>
        <v>701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4"/>
        <v>0</v>
      </c>
    </row>
    <row r="89" spans="2:17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20" t="s">
        <v>75</v>
      </c>
      <c r="D90" s="49">
        <f>'เย็น '!D90+'เช้า '!D90+บ่าย!D90</f>
        <v>2</v>
      </c>
      <c r="E90" s="49">
        <f>'เย็น '!E90+'เช้า '!E90+บ่าย!E90</f>
        <v>2</v>
      </c>
      <c r="F90" s="49">
        <f>'เย็น '!F90+'เช้า '!F90+บ่าย!F90</f>
        <v>17</v>
      </c>
      <c r="G90" s="49">
        <f>'เย็น '!G90+'เช้า '!G90+บ่าย!G90</f>
        <v>93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7">SUM(D90:K90)</f>
        <v>114</v>
      </c>
      <c r="M90" s="11">
        <v>525</v>
      </c>
      <c r="N90" s="11">
        <v>555</v>
      </c>
      <c r="O90" s="11"/>
      <c r="P90" s="11"/>
      <c r="Q90" s="45">
        <f t="shared" ref="Q90:Q99" si="8">(M90+N90+O90+P90)-L90</f>
        <v>966</v>
      </c>
    </row>
    <row r="91" spans="2:17" x14ac:dyDescent="0.25">
      <c r="B91" s="11">
        <v>1112011</v>
      </c>
      <c r="C91" s="20" t="s">
        <v>76</v>
      </c>
      <c r="D91" s="49">
        <f>'เย็น '!D91+'เช้า '!D91+บ่าย!D91</f>
        <v>2</v>
      </c>
      <c r="E91" s="49">
        <f>'เย็น '!E91+'เช้า '!E91+บ่าย!E91</f>
        <v>2</v>
      </c>
      <c r="F91" s="49">
        <f>'เย็น '!F91+'เช้า '!F91+บ่าย!F91</f>
        <v>18</v>
      </c>
      <c r="G91" s="49">
        <f>'เย็น '!G91+'เช้า '!G91+บ่าย!G91</f>
        <v>93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7"/>
        <v>115</v>
      </c>
      <c r="M91" s="11">
        <v>309</v>
      </c>
      <c r="N91" s="11">
        <v>514</v>
      </c>
      <c r="O91" s="11"/>
      <c r="P91" s="11"/>
      <c r="Q91" s="45">
        <f t="shared" si="8"/>
        <v>708</v>
      </c>
    </row>
    <row r="92" spans="2:17" x14ac:dyDescent="0.25">
      <c r="B92" s="11">
        <v>1112003</v>
      </c>
      <c r="C92" s="20" t="s">
        <v>77</v>
      </c>
      <c r="D92" s="49">
        <f>'เย็น '!D92+'เช้า '!D92+บ่าย!D92</f>
        <v>0</v>
      </c>
      <c r="E92" s="49">
        <f>'เย็น '!E92+'เช้า '!E92+บ่าย!E92</f>
        <v>0</v>
      </c>
      <c r="F92" s="49">
        <f>'เย็น '!F92+'เช้า '!F92+บ่าย!F92</f>
        <v>0</v>
      </c>
      <c r="G92" s="49">
        <f>'เย็น '!G92+'เช้า '!G92+บ่าย!G92</f>
        <v>72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7"/>
        <v>72</v>
      </c>
      <c r="M92" s="11">
        <v>448</v>
      </c>
      <c r="N92" s="11">
        <v>386</v>
      </c>
      <c r="O92" s="11"/>
      <c r="P92" s="11"/>
      <c r="Q92" s="45">
        <f t="shared" si="8"/>
        <v>762</v>
      </c>
    </row>
    <row r="93" spans="2:17" x14ac:dyDescent="0.25">
      <c r="B93" s="11">
        <v>1112005</v>
      </c>
      <c r="C93" s="20" t="s">
        <v>78</v>
      </c>
      <c r="D93" s="49">
        <f>'เย็น '!D93+'เช้า '!D93+บ่าย!D93</f>
        <v>0</v>
      </c>
      <c r="E93" s="49">
        <f>'เย็น '!E93+'เช้า '!E93+บ่าย!E93</f>
        <v>0</v>
      </c>
      <c r="F93" s="49">
        <f>'เย็น '!F93+'เช้า '!F93+บ่าย!F93</f>
        <v>0</v>
      </c>
      <c r="G93" s="49">
        <f>'เย็น '!G93+'เช้า '!G93+บ่าย!G93</f>
        <v>72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7"/>
        <v>72</v>
      </c>
      <c r="M93" s="11">
        <v>400</v>
      </c>
      <c r="N93" s="11">
        <v>535</v>
      </c>
      <c r="O93" s="11"/>
      <c r="P93" s="11"/>
      <c r="Q93" s="45">
        <f t="shared" si="8"/>
        <v>863</v>
      </c>
    </row>
    <row r="94" spans="2:17" hidden="1" x14ac:dyDescent="0.25">
      <c r="B94" s="11">
        <v>1112007</v>
      </c>
      <c r="C94" s="20" t="s">
        <v>79</v>
      </c>
      <c r="D94" s="49">
        <f>'เย็น '!D94+'เช้า '!D94+บ่าย!D94</f>
        <v>0</v>
      </c>
      <c r="E94" s="49">
        <f>'เย็น '!E94+'เช้า '!E94+บ่าย!E94</f>
        <v>0</v>
      </c>
      <c r="F94" s="49">
        <f>'เย็น '!F94+'เช้า '!F94+บ่าย!F94</f>
        <v>0</v>
      </c>
      <c r="G94" s="49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7"/>
        <v>0</v>
      </c>
      <c r="M94" s="11"/>
      <c r="N94" s="11"/>
      <c r="O94" s="11"/>
      <c r="P94" s="11"/>
      <c r="Q94" s="45">
        <f t="shared" si="8"/>
        <v>0</v>
      </c>
    </row>
    <row r="95" spans="2:17" hidden="1" x14ac:dyDescent="0.25">
      <c r="B95" s="11">
        <v>1112019</v>
      </c>
      <c r="C95" s="20" t="s">
        <v>80</v>
      </c>
      <c r="D95" s="49">
        <f>'เย็น '!D95+'เช้า '!D95+บ่าย!D95</f>
        <v>0</v>
      </c>
      <c r="E95" s="49">
        <f>'เย็น '!E95+'เช้า '!E95+บ่าย!E95</f>
        <v>0</v>
      </c>
      <c r="F95" s="49">
        <f>'เย็น '!F95+'เช้า '!F95+บ่าย!F95</f>
        <v>0</v>
      </c>
      <c r="G95" s="49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7"/>
        <v>0</v>
      </c>
      <c r="M95" s="11"/>
      <c r="N95" s="11"/>
      <c r="O95" s="11"/>
      <c r="P95" s="11"/>
      <c r="Q95" s="45">
        <f t="shared" si="8"/>
        <v>0</v>
      </c>
    </row>
    <row r="96" spans="2:17" hidden="1" x14ac:dyDescent="0.25">
      <c r="B96" s="11">
        <v>1112017</v>
      </c>
      <c r="C96" s="20" t="s">
        <v>81</v>
      </c>
      <c r="D96" s="49">
        <f>'เย็น '!D96+'เช้า '!D96+บ่าย!D96</f>
        <v>0</v>
      </c>
      <c r="E96" s="49">
        <f>'เย็น '!E96+'เช้า '!E96+บ่าย!E96</f>
        <v>0</v>
      </c>
      <c r="F96" s="49">
        <f>'เย็น '!F96+'เช้า '!F96+บ่าย!F96</f>
        <v>0</v>
      </c>
      <c r="G96" s="49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7"/>
        <v>0</v>
      </c>
      <c r="M96" s="11"/>
      <c r="N96" s="11"/>
      <c r="O96" s="11"/>
      <c r="P96" s="11"/>
      <c r="Q96" s="45">
        <f t="shared" si="8"/>
        <v>0</v>
      </c>
    </row>
    <row r="97" spans="2:17" x14ac:dyDescent="0.25">
      <c r="B97" s="11">
        <v>1112015</v>
      </c>
      <c r="C97" s="20" t="s">
        <v>82</v>
      </c>
      <c r="D97" s="49">
        <f>'เย็น '!D97+'เช้า '!D97+บ่าย!D97</f>
        <v>0</v>
      </c>
      <c r="E97" s="49">
        <f>'เย็น '!E97+'เช้า '!E97+บ่าย!E97</f>
        <v>0</v>
      </c>
      <c r="F97" s="49">
        <f>'เย็น '!F97+'เช้า '!F97+บ่าย!F97</f>
        <v>0</v>
      </c>
      <c r="G97" s="49">
        <f>'เย็น '!G97+'เช้า '!G97+บ่าย!G97</f>
        <v>72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7"/>
        <v>72</v>
      </c>
      <c r="M97" s="11">
        <v>508</v>
      </c>
      <c r="N97" s="11">
        <v>488</v>
      </c>
      <c r="O97" s="11"/>
      <c r="P97" s="11"/>
      <c r="Q97" s="45">
        <f t="shared" si="8"/>
        <v>924</v>
      </c>
    </row>
    <row r="98" spans="2:17" x14ac:dyDescent="0.25">
      <c r="B98" s="11">
        <v>1112013</v>
      </c>
      <c r="C98" s="20" t="s">
        <v>83</v>
      </c>
      <c r="D98" s="49">
        <f>'เย็น '!D98+'เช้า '!D98+บ่าย!D98</f>
        <v>2</v>
      </c>
      <c r="E98" s="49">
        <f>'เย็น '!E98+'เช้า '!E98+บ่าย!E98</f>
        <v>1</v>
      </c>
      <c r="F98" s="49">
        <f>'เย็น '!F98+'เช้า '!F98+บ่าย!F98</f>
        <v>17</v>
      </c>
      <c r="G98" s="49">
        <f>'เย็น '!G98+'เช้า '!G98+บ่าย!G98</f>
        <v>93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7"/>
        <v>113</v>
      </c>
      <c r="M98" s="11">
        <v>426</v>
      </c>
      <c r="N98" s="11">
        <v>407</v>
      </c>
      <c r="O98" s="11"/>
      <c r="P98" s="11"/>
      <c r="Q98" s="45">
        <f t="shared" si="8"/>
        <v>720</v>
      </c>
    </row>
    <row r="99" spans="2:17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7"/>
        <v>0</v>
      </c>
      <c r="M99" s="11"/>
      <c r="N99" s="11"/>
      <c r="O99" s="11"/>
      <c r="P99" s="11"/>
      <c r="Q99" s="45">
        <f t="shared" si="8"/>
        <v>0</v>
      </c>
    </row>
    <row r="100" spans="2:17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558</v>
      </c>
      <c r="M100" s="11"/>
      <c r="N100" s="11"/>
      <c r="O100" s="11"/>
      <c r="P100" s="11"/>
      <c r="Q100" s="45"/>
    </row>
    <row r="101" spans="2:17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9">SUM(D102:K102)</f>
        <v>0</v>
      </c>
      <c r="M102" s="11"/>
      <c r="N102" s="11"/>
      <c r="O102" s="11"/>
      <c r="P102" s="11"/>
      <c r="Q102" s="45">
        <f t="shared" ref="Q102:Q111" si="10">(M102+N102+O102+P102)-L102</f>
        <v>0</v>
      </c>
    </row>
    <row r="103" spans="2:17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9"/>
        <v>0</v>
      </c>
      <c r="M103" s="11"/>
      <c r="N103" s="11"/>
      <c r="O103" s="11"/>
      <c r="P103" s="11"/>
      <c r="Q103" s="45">
        <f t="shared" si="10"/>
        <v>0</v>
      </c>
    </row>
    <row r="104" spans="2:17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9"/>
        <v>0</v>
      </c>
      <c r="M104" s="11"/>
      <c r="N104" s="11"/>
      <c r="O104" s="11"/>
      <c r="P104" s="11"/>
      <c r="Q104" s="45">
        <f t="shared" si="10"/>
        <v>0</v>
      </c>
    </row>
    <row r="105" spans="2:17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9"/>
        <v>0</v>
      </c>
      <c r="M105" s="11"/>
      <c r="N105" s="11"/>
      <c r="O105" s="11"/>
      <c r="P105" s="11"/>
      <c r="Q105" s="45">
        <f t="shared" si="10"/>
        <v>0</v>
      </c>
    </row>
    <row r="106" spans="2:17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9"/>
        <v>0</v>
      </c>
      <c r="M106" s="11"/>
      <c r="N106" s="11"/>
      <c r="O106" s="11"/>
      <c r="P106" s="11"/>
      <c r="Q106" s="45">
        <f t="shared" si="10"/>
        <v>0</v>
      </c>
    </row>
    <row r="107" spans="2:17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9"/>
        <v>0</v>
      </c>
      <c r="M107" s="11"/>
      <c r="N107" s="11"/>
      <c r="O107" s="11"/>
      <c r="P107" s="11"/>
      <c r="Q107" s="45">
        <f t="shared" si="10"/>
        <v>0</v>
      </c>
    </row>
    <row r="108" spans="2:17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9"/>
        <v>0</v>
      </c>
      <c r="M108" s="11"/>
      <c r="N108" s="11"/>
      <c r="O108" s="11"/>
      <c r="P108" s="11"/>
      <c r="Q108" s="45">
        <f t="shared" si="10"/>
        <v>0</v>
      </c>
    </row>
    <row r="109" spans="2:17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9"/>
        <v>0</v>
      </c>
      <c r="M109" s="11"/>
      <c r="N109" s="11"/>
      <c r="O109" s="11"/>
      <c r="P109" s="11"/>
      <c r="Q109" s="45">
        <f t="shared" si="10"/>
        <v>0</v>
      </c>
    </row>
    <row r="110" spans="2:17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9"/>
        <v>0</v>
      </c>
      <c r="M110" s="11"/>
      <c r="N110" s="11"/>
      <c r="O110" s="11"/>
      <c r="P110" s="11"/>
      <c r="Q110" s="45">
        <f t="shared" si="10"/>
        <v>0</v>
      </c>
    </row>
    <row r="111" spans="2:17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9"/>
        <v>0</v>
      </c>
      <c r="M111" s="11"/>
      <c r="N111" s="11"/>
      <c r="O111" s="11"/>
      <c r="P111" s="11"/>
      <c r="Q111" s="45">
        <f t="shared" si="10"/>
        <v>0</v>
      </c>
    </row>
    <row r="112" spans="2:17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1">SUM(D112:J112)</f>
        <v>0</v>
      </c>
      <c r="M112" s="11"/>
      <c r="N112" s="11"/>
      <c r="O112" s="11"/>
      <c r="P112" s="11"/>
      <c r="Q112" s="45">
        <f t="shared" ref="Q112" si="12">(M112+N112)-L112</f>
        <v>0</v>
      </c>
    </row>
    <row r="113" spans="2:17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49">
        <f>'เย็น '!D114+'เช้า '!D114+บ่าย!D114</f>
        <v>2</v>
      </c>
      <c r="E114" s="49">
        <f>'เย็น '!E114+'เช้า '!E114+บ่าย!E114</f>
        <v>0</v>
      </c>
      <c r="F114" s="49">
        <f>'เย็น '!F114+'เช้า '!F114+บ่าย!F114</f>
        <v>0</v>
      </c>
      <c r="G114" s="49">
        <f>'เย็น '!G114+'เช้า '!G114+บ่าย!G114</f>
        <v>3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3">SUM(D114:K114)</f>
        <v>5</v>
      </c>
      <c r="M114" s="11">
        <v>200</v>
      </c>
      <c r="N114" s="11">
        <v>50</v>
      </c>
      <c r="O114" s="11"/>
      <c r="P114" s="11"/>
      <c r="Q114" s="45">
        <f t="shared" ref="Q114:Q139" si="14">(M114+N114+O114+P114)-L114</f>
        <v>245</v>
      </c>
    </row>
    <row r="115" spans="2:17" x14ac:dyDescent="0.25">
      <c r="B115" s="11">
        <v>1113171</v>
      </c>
      <c r="C115" s="22" t="s">
        <v>88</v>
      </c>
      <c r="D115" s="49">
        <f>'เย็น '!D115+'เช้า '!D115+บ่าย!D115</f>
        <v>2</v>
      </c>
      <c r="E115" s="49">
        <f>'เย็น '!E115+'เช้า '!E115+บ่าย!E115</f>
        <v>0</v>
      </c>
      <c r="F115" s="49">
        <f>'เย็น '!F115+'เช้า '!F115+บ่าย!F115</f>
        <v>0</v>
      </c>
      <c r="G115" s="49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3"/>
        <v>2</v>
      </c>
      <c r="M115" s="11">
        <v>200</v>
      </c>
      <c r="N115" s="11">
        <v>36</v>
      </c>
      <c r="O115" s="11"/>
      <c r="P115" s="11"/>
      <c r="Q115" s="45">
        <f t="shared" si="14"/>
        <v>234</v>
      </c>
    </row>
    <row r="116" spans="2:17" x14ac:dyDescent="0.25">
      <c r="B116" s="11">
        <v>1113172</v>
      </c>
      <c r="C116" s="22" t="s">
        <v>89</v>
      </c>
      <c r="D116" s="49">
        <f>'เย็น '!D116+'เช้า '!D116+บ่าย!D116</f>
        <v>3</v>
      </c>
      <c r="E116" s="49">
        <f>'เย็น '!E116+'เช้า '!E116+บ่าย!E116</f>
        <v>0</v>
      </c>
      <c r="F116" s="49">
        <f>'เย็น '!F116+'เช้า '!F116+บ่าย!F116</f>
        <v>0</v>
      </c>
      <c r="G116" s="49">
        <f>'เย็น '!G116+'เช้า '!G116+บ่าย!G116</f>
        <v>8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3"/>
        <v>11</v>
      </c>
      <c r="M116" s="11">
        <v>200</v>
      </c>
      <c r="N116" s="11">
        <v>36</v>
      </c>
      <c r="O116" s="11"/>
      <c r="P116" s="11"/>
      <c r="Q116" s="45">
        <f t="shared" si="14"/>
        <v>225</v>
      </c>
    </row>
    <row r="117" spans="2:17" x14ac:dyDescent="0.25">
      <c r="B117" s="11">
        <v>1113173</v>
      </c>
      <c r="C117" s="22" t="s">
        <v>90</v>
      </c>
      <c r="D117" s="49">
        <f>'เย็น '!D117+'เช้า '!D117+บ่าย!D117</f>
        <v>0</v>
      </c>
      <c r="E117" s="49">
        <f>'เย็น '!E117+'เช้า '!E117+บ่าย!E117</f>
        <v>0</v>
      </c>
      <c r="F117" s="49">
        <f>'เย็น '!F117+'เช้า '!F117+บ่าย!F117</f>
        <v>0</v>
      </c>
      <c r="G117" s="49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3"/>
        <v>0</v>
      </c>
      <c r="M117" s="11"/>
      <c r="N117" s="11"/>
      <c r="O117" s="11"/>
      <c r="P117" s="11"/>
      <c r="Q117" s="45">
        <f t="shared" si="14"/>
        <v>0</v>
      </c>
    </row>
    <row r="118" spans="2:17" x14ac:dyDescent="0.25">
      <c r="B118" s="11">
        <v>1100003</v>
      </c>
      <c r="C118" s="22" t="s">
        <v>121</v>
      </c>
      <c r="D118" s="49">
        <f>'เย็น '!D118+'เช้า '!D118+บ่าย!D118</f>
        <v>0</v>
      </c>
      <c r="E118" s="49">
        <f>'เย็น '!E118+'เช้า '!E118+บ่าย!E118</f>
        <v>0</v>
      </c>
      <c r="F118" s="49">
        <f>'เย็น '!F118+'เช้า '!F118+บ่าย!F118</f>
        <v>0</v>
      </c>
      <c r="G118" s="49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3"/>
        <v>0</v>
      </c>
      <c r="M118" s="11"/>
      <c r="N118" s="11">
        <v>55</v>
      </c>
      <c r="O118" s="11"/>
      <c r="P118" s="11"/>
      <c r="Q118" s="45">
        <f t="shared" si="14"/>
        <v>55</v>
      </c>
    </row>
    <row r="119" spans="2:17" x14ac:dyDescent="0.25">
      <c r="B119" s="11">
        <v>1100001</v>
      </c>
      <c r="C119" s="22" t="s">
        <v>122</v>
      </c>
      <c r="D119" s="49">
        <f>'เย็น '!D119+'เช้า '!D119+บ่าย!D119</f>
        <v>0</v>
      </c>
      <c r="E119" s="49">
        <f>'เย็น '!E119+'เช้า '!E119+บ่าย!E119</f>
        <v>0</v>
      </c>
      <c r="F119" s="49">
        <f>'เย็น '!F119+'เช้า '!F119+บ่าย!F119</f>
        <v>0</v>
      </c>
      <c r="G119" s="49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3"/>
        <v>0</v>
      </c>
      <c r="M119" s="11"/>
      <c r="N119" s="11">
        <v>400</v>
      </c>
      <c r="O119" s="11"/>
      <c r="P119" s="11"/>
      <c r="Q119" s="45">
        <f t="shared" si="14"/>
        <v>400</v>
      </c>
    </row>
    <row r="120" spans="2:17" x14ac:dyDescent="0.25">
      <c r="B120" s="11">
        <v>1100002</v>
      </c>
      <c r="C120" s="22" t="s">
        <v>123</v>
      </c>
      <c r="D120" s="49">
        <f>'เย็น '!D120+'เช้า '!D120+บ่าย!D120</f>
        <v>0</v>
      </c>
      <c r="E120" s="49">
        <f>'เย็น '!E120+'เช้า '!E120+บ่าย!E120</f>
        <v>5</v>
      </c>
      <c r="F120" s="49">
        <f>'เย็น '!F120+'เช้า '!F120+บ่าย!F120</f>
        <v>0</v>
      </c>
      <c r="G120" s="49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3"/>
        <v>5</v>
      </c>
      <c r="M120" s="11">
        <v>200</v>
      </c>
      <c r="N120" s="11">
        <v>3</v>
      </c>
      <c r="O120" s="11"/>
      <c r="P120" s="11"/>
      <c r="Q120" s="45">
        <f t="shared" si="14"/>
        <v>198</v>
      </c>
    </row>
    <row r="121" spans="2:17" x14ac:dyDescent="0.25">
      <c r="B121" s="11">
        <v>1200001</v>
      </c>
      <c r="C121" s="22" t="s">
        <v>93</v>
      </c>
      <c r="D121" s="49">
        <f>'เย็น '!D121+'เช้า '!D121+บ่าย!D121</f>
        <v>0</v>
      </c>
      <c r="E121" s="49">
        <f>'เย็น '!E121+'เช้า '!E121+บ่าย!E121</f>
        <v>0</v>
      </c>
      <c r="F121" s="49">
        <f>'เย็น '!F121+'เช้า '!F121+บ่าย!F121</f>
        <v>0</v>
      </c>
      <c r="G121" s="49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3"/>
        <v>0</v>
      </c>
      <c r="M121" s="11">
        <v>100</v>
      </c>
      <c r="N121" s="11">
        <v>102</v>
      </c>
      <c r="O121" s="11"/>
      <c r="P121" s="11"/>
      <c r="Q121" s="45">
        <f t="shared" si="14"/>
        <v>202</v>
      </c>
    </row>
    <row r="122" spans="2:17" x14ac:dyDescent="0.25">
      <c r="B122" s="11">
        <v>1005761</v>
      </c>
      <c r="C122" s="22" t="s">
        <v>94</v>
      </c>
      <c r="D122" s="49">
        <f>'เย็น '!D122+'เช้า '!D122+บ่าย!D122</f>
        <v>0</v>
      </c>
      <c r="E122" s="49">
        <f>'เย็น '!E122+'เช้า '!E122+บ่าย!E122</f>
        <v>0</v>
      </c>
      <c r="F122" s="49">
        <f>'เย็น '!F122+'เช้า '!F122+บ่าย!F122</f>
        <v>0</v>
      </c>
      <c r="G122" s="49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3"/>
        <v>0</v>
      </c>
      <c r="M122" s="11"/>
      <c r="N122" s="11"/>
      <c r="O122" s="11"/>
      <c r="P122" s="11"/>
      <c r="Q122" s="45">
        <f t="shared" si="14"/>
        <v>0</v>
      </c>
    </row>
    <row r="123" spans="2:17" x14ac:dyDescent="0.25">
      <c r="B123" s="11">
        <v>1114501</v>
      </c>
      <c r="C123" s="22" t="s">
        <v>95</v>
      </c>
      <c r="D123" s="49">
        <f>'เย็น '!D123+'เช้า '!D123+บ่าย!D123</f>
        <v>0</v>
      </c>
      <c r="E123" s="49">
        <f>'เย็น '!E123+'เช้า '!E123+บ่าย!E123</f>
        <v>8</v>
      </c>
      <c r="F123" s="49">
        <f>'เย็น '!F123+'เช้า '!F123+บ่าย!F123</f>
        <v>4</v>
      </c>
      <c r="G123" s="49">
        <f>'เย็น '!G123+'เช้า '!G123+บ่าย!G123</f>
        <v>134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3"/>
        <v>146</v>
      </c>
      <c r="M123" s="11">
        <v>399</v>
      </c>
      <c r="N123" s="11">
        <v>17</v>
      </c>
      <c r="O123" s="11"/>
      <c r="P123" s="11"/>
      <c r="Q123" s="45">
        <f t="shared" si="14"/>
        <v>270</v>
      </c>
    </row>
    <row r="124" spans="2:17" x14ac:dyDescent="0.25">
      <c r="B124" s="11">
        <v>1114502</v>
      </c>
      <c r="C124" s="22" t="s">
        <v>96</v>
      </c>
      <c r="D124" s="49">
        <f>'เย็น '!D124+'เช้า '!D124+บ่าย!D124</f>
        <v>0</v>
      </c>
      <c r="E124" s="49">
        <f>'เย็น '!E124+'เช้า '!E124+บ่าย!E124</f>
        <v>6</v>
      </c>
      <c r="F124" s="49">
        <f>'เย็น '!F124+'เช้า '!F124+บ่าย!F124</f>
        <v>5</v>
      </c>
      <c r="G124" s="49">
        <f>'เย็น '!G124+'เช้า '!G124+บ่าย!G124</f>
        <v>134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3"/>
        <v>145</v>
      </c>
      <c r="M124" s="11">
        <v>401</v>
      </c>
      <c r="N124" s="11">
        <v>49</v>
      </c>
      <c r="O124" s="11"/>
      <c r="P124" s="11"/>
      <c r="Q124" s="45">
        <f t="shared" si="14"/>
        <v>305</v>
      </c>
    </row>
    <row r="125" spans="2:17" x14ac:dyDescent="0.25">
      <c r="B125" s="11">
        <v>1114503</v>
      </c>
      <c r="C125" s="22" t="s">
        <v>97</v>
      </c>
      <c r="D125" s="49">
        <f>'เย็น '!D125+'เช้า '!D125+บ่าย!D125</f>
        <v>0</v>
      </c>
      <c r="E125" s="49">
        <f>'เย็น '!E125+'เช้า '!E125+บ่าย!E125</f>
        <v>5</v>
      </c>
      <c r="F125" s="49">
        <f>'เย็น '!F125+'เช้า '!F125+บ่าย!F125</f>
        <v>3</v>
      </c>
      <c r="G125" s="49">
        <f>'เย็น '!G125+'เช้า '!G125+บ่าย!G125</f>
        <v>134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3"/>
        <v>142</v>
      </c>
      <c r="M125" s="11">
        <v>438</v>
      </c>
      <c r="N125" s="11">
        <v>11</v>
      </c>
      <c r="O125" s="11"/>
      <c r="P125" s="11"/>
      <c r="Q125" s="45">
        <f t="shared" si="14"/>
        <v>307</v>
      </c>
    </row>
    <row r="126" spans="2:17" x14ac:dyDescent="0.25">
      <c r="B126" s="11">
        <v>1124021</v>
      </c>
      <c r="C126" s="22" t="s">
        <v>98</v>
      </c>
      <c r="D126" s="49">
        <f>'เย็น '!D126+'เช้า '!D126+บ่าย!D126</f>
        <v>0</v>
      </c>
      <c r="E126" s="49">
        <f>'เย็น '!E126+'เช้า '!E126+บ่าย!E126</f>
        <v>18</v>
      </c>
      <c r="F126" s="49">
        <f>'เย็น '!F126+'เช้า '!F126+บ่าย!F126</f>
        <v>52</v>
      </c>
      <c r="G126" s="49">
        <f>'เย็น '!G126+'เช้า '!G126+บ่าย!G126</f>
        <v>6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3"/>
        <v>76</v>
      </c>
      <c r="M126" s="11">
        <v>550</v>
      </c>
      <c r="N126" s="11"/>
      <c r="O126" s="11"/>
      <c r="P126" s="11"/>
      <c r="Q126" s="45">
        <f t="shared" si="14"/>
        <v>474</v>
      </c>
    </row>
    <row r="127" spans="2:17" x14ac:dyDescent="0.25">
      <c r="B127" s="11">
        <v>1113084</v>
      </c>
      <c r="C127" s="22" t="s">
        <v>99</v>
      </c>
      <c r="D127" s="49">
        <f>'เย็น '!D127+'เช้า '!D127+บ่าย!D127</f>
        <v>0</v>
      </c>
      <c r="E127" s="49">
        <f>'เย็น '!E127+'เช้า '!E127+บ่าย!E127</f>
        <v>0</v>
      </c>
      <c r="F127" s="49">
        <f>'เย็น '!F127+'เช้า '!F127+บ่าย!F127</f>
        <v>0</v>
      </c>
      <c r="G127" s="49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3"/>
        <v>0</v>
      </c>
      <c r="M127" s="11"/>
      <c r="N127" s="11"/>
      <c r="O127" s="11"/>
      <c r="P127" s="11"/>
      <c r="Q127" s="45">
        <f t="shared" si="14"/>
        <v>0</v>
      </c>
    </row>
    <row r="128" spans="2:17" x14ac:dyDescent="0.25">
      <c r="B128" s="11">
        <v>900003</v>
      </c>
      <c r="C128" s="22" t="s">
        <v>132</v>
      </c>
      <c r="D128" s="49">
        <f>'เย็น '!D128+'เช้า '!D128+บ่าย!D128</f>
        <v>0</v>
      </c>
      <c r="E128" s="49">
        <f>'เย็น '!E128+'เช้า '!E128+บ่าย!E128</f>
        <v>0</v>
      </c>
      <c r="F128" s="49">
        <f>'เย็น '!F128+'เช้า '!F128+บ่าย!F128</f>
        <v>0</v>
      </c>
      <c r="G128" s="49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3"/>
        <v>0</v>
      </c>
      <c r="M128" s="11"/>
      <c r="N128" s="11"/>
      <c r="O128" s="11"/>
      <c r="P128" s="11"/>
      <c r="Q128" s="45">
        <f t="shared" si="14"/>
        <v>0</v>
      </c>
    </row>
    <row r="129" spans="2:17" x14ac:dyDescent="0.25">
      <c r="B129" s="11">
        <v>900004</v>
      </c>
      <c r="C129" s="22" t="s">
        <v>100</v>
      </c>
      <c r="D129" s="49">
        <f>'เย็น '!D129+'เช้า '!D129+บ่าย!D129</f>
        <v>0</v>
      </c>
      <c r="E129" s="49">
        <f>'เย็น '!E129+'เช้า '!E129+บ่าย!E129</f>
        <v>0</v>
      </c>
      <c r="F129" s="49">
        <f>'เย็น '!F129+'เช้า '!F129+บ่าย!F129</f>
        <v>0</v>
      </c>
      <c r="G129" s="49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3"/>
        <v>0</v>
      </c>
      <c r="M129" s="11"/>
      <c r="N129" s="11"/>
      <c r="O129" s="11"/>
      <c r="P129" s="11"/>
      <c r="Q129" s="45">
        <f t="shared" si="14"/>
        <v>0</v>
      </c>
    </row>
    <row r="130" spans="2:17" x14ac:dyDescent="0.25">
      <c r="B130" s="11">
        <v>1200002</v>
      </c>
      <c r="C130" s="22" t="s">
        <v>101</v>
      </c>
      <c r="D130" s="49">
        <f>'เย็น '!D130+'เช้า '!D130+บ่าย!D130</f>
        <v>0</v>
      </c>
      <c r="E130" s="49">
        <f>'เย็น '!E130+'เช้า '!E130+บ่าย!E130</f>
        <v>0</v>
      </c>
      <c r="F130" s="49">
        <f>'เย็น '!F130+'เช้า '!F130+บ่าย!F130</f>
        <v>0</v>
      </c>
      <c r="G130" s="49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3"/>
        <v>0</v>
      </c>
      <c r="M130" s="11"/>
      <c r="N130" s="11">
        <v>18</v>
      </c>
      <c r="O130" s="11"/>
      <c r="P130" s="11"/>
      <c r="Q130" s="45">
        <f t="shared" si="14"/>
        <v>18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3"/>
        <v>0</v>
      </c>
      <c r="M131" s="11"/>
      <c r="N131" s="11"/>
      <c r="O131" s="11"/>
      <c r="P131" s="11"/>
      <c r="Q131" s="45">
        <f t="shared" si="14"/>
        <v>0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3"/>
        <v>0</v>
      </c>
      <c r="M132" s="11"/>
      <c r="N132" s="11"/>
      <c r="O132" s="11"/>
      <c r="P132" s="11"/>
      <c r="Q132" s="45">
        <f t="shared" si="14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3"/>
        <v>0</v>
      </c>
      <c r="M133" s="11"/>
      <c r="N133" s="11"/>
      <c r="O133" s="11"/>
      <c r="P133" s="11"/>
      <c r="Q133" s="45">
        <f t="shared" si="14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3"/>
        <v>0</v>
      </c>
      <c r="M134" s="11"/>
      <c r="N134" s="11"/>
      <c r="O134" s="11"/>
      <c r="P134" s="11"/>
      <c r="Q134" s="45">
        <f t="shared" si="14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3"/>
        <v>0</v>
      </c>
      <c r="M135" s="11"/>
      <c r="N135" s="11"/>
      <c r="O135" s="11"/>
      <c r="P135" s="11"/>
      <c r="Q135" s="45">
        <f t="shared" si="14"/>
        <v>0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3"/>
        <v>0</v>
      </c>
      <c r="M136" s="11"/>
      <c r="N136" s="11"/>
      <c r="O136" s="11"/>
      <c r="P136" s="11"/>
      <c r="Q136" s="45">
        <f t="shared" si="14"/>
        <v>0</v>
      </c>
    </row>
    <row r="137" spans="2:17" x14ac:dyDescent="0.25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3"/>
        <v>0</v>
      </c>
      <c r="M137" s="11"/>
      <c r="N137" s="11"/>
      <c r="O137" s="11"/>
      <c r="P137" s="11"/>
      <c r="Q137" s="45">
        <f t="shared" si="14"/>
        <v>0</v>
      </c>
    </row>
    <row r="138" spans="2:17" x14ac:dyDescent="0.25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3"/>
        <v>0</v>
      </c>
      <c r="M138" s="11"/>
      <c r="N138" s="11"/>
      <c r="O138" s="11"/>
      <c r="P138" s="11"/>
      <c r="Q138" s="45">
        <f t="shared" si="14"/>
        <v>0</v>
      </c>
    </row>
    <row r="139" spans="2:17" x14ac:dyDescent="0.25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3"/>
        <v>0</v>
      </c>
      <c r="M139" s="11"/>
      <c r="N139" s="11"/>
      <c r="O139" s="11"/>
      <c r="P139" s="11"/>
      <c r="Q139" s="45">
        <f t="shared" si="14"/>
        <v>0</v>
      </c>
    </row>
    <row r="140" spans="2:17" ht="40.5" customHeight="1" x14ac:dyDescent="0.25">
      <c r="C140" s="36"/>
      <c r="D140" s="37">
        <f>SUM(D114:D139,D90:D99,D79:D87,D69:D76,D7:D66,D102:D111)</f>
        <v>52</v>
      </c>
      <c r="E140" s="37">
        <f t="shared" ref="E140:K140" si="15">SUM(E114:E139,E90:E99,E79:E87,E69:E76,E7:E66,E102:E111)</f>
        <v>189</v>
      </c>
      <c r="F140" s="37">
        <f t="shared" si="15"/>
        <v>188</v>
      </c>
      <c r="G140" s="37">
        <f t="shared" si="15"/>
        <v>1278</v>
      </c>
      <c r="H140" s="37">
        <f t="shared" si="15"/>
        <v>0</v>
      </c>
      <c r="I140" s="37">
        <f t="shared" si="15"/>
        <v>0</v>
      </c>
      <c r="J140" s="37">
        <f t="shared" si="15"/>
        <v>0</v>
      </c>
      <c r="K140" s="37">
        <f t="shared" si="15"/>
        <v>0</v>
      </c>
      <c r="L140" s="37">
        <f>SUM(L114:L139,L90:L99,L79:L87,L69:L76,L7:L66,L102:L111)</f>
        <v>1707</v>
      </c>
      <c r="M140" s="31">
        <f>SUM(M114:M136,M90:M98,M79:M87,M69:M76,M7:M66)</f>
        <v>9646</v>
      </c>
      <c r="N140" s="31">
        <f>SUM(N114:N136,N90:N98,N79:N87,N69:N76,N7:N66)</f>
        <v>6776</v>
      </c>
      <c r="O140" s="31"/>
      <c r="P140" s="31"/>
      <c r="Q140" s="45">
        <f t="shared" ref="Q140" si="16">(M140+N140)-L140</f>
        <v>14715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P2:P4"/>
    <mergeCell ref="Q2:Q4"/>
    <mergeCell ref="B6:Q6"/>
    <mergeCell ref="B68:Q68"/>
    <mergeCell ref="B78:Q78"/>
    <mergeCell ref="B89:Q89"/>
    <mergeCell ref="B1:L1"/>
    <mergeCell ref="B2:C3"/>
    <mergeCell ref="E2:F3"/>
    <mergeCell ref="M2:M4"/>
    <mergeCell ref="N2:N4"/>
    <mergeCell ref="O2:O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เย็น </vt:lpstr>
      <vt:lpstr>เช้า </vt:lpstr>
      <vt:lpstr>บ่าย</vt:lpstr>
      <vt:lpstr>รวม</vt:lpstr>
      <vt:lpstr>รวม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2025-01-13T00:48:00Z</cp:lastPrinted>
  <dcterms:created xsi:type="dcterms:W3CDTF">2024-04-30T05:21:27Z</dcterms:created>
  <dcterms:modified xsi:type="dcterms:W3CDTF">2025-01-26T06:48:09Z</dcterms:modified>
</cp:coreProperties>
</file>