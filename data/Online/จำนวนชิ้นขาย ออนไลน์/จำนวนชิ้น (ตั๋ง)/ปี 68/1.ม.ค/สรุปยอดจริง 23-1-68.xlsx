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9E39C4E9-8CC3-48FF-BA6F-19A95B2D2F3A}" xr6:coauthVersionLast="47" xr6:coauthVersionMax="47" xr10:uidLastSave="{00000000-0000-0000-0000-000000000000}"/>
  <bookViews>
    <workbookView xWindow="2400" yWindow="600" windowWidth="19560" windowHeight="1260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<sst xmlns="http://schemas.openxmlformats.org/spreadsheetml/2006/main" count="613" uniqueCount="145">
  <si>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</si>
  <si>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</si>
  <si>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</si>
  <si>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</si>
  <si>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</si>
  <si>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</si>
  <si>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</si>
  <si>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</si>
  <si>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</si>
  <si>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</si>
  <si>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</si>
  <si>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</si>
  <si>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</si>
  <si>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</si>
  <si>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</si>
  <si>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</si>
  <si>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</si>
  <si>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</si>
  <si>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</si>
  <si>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</si>
  <si>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</si>
  <si>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</si>
  <si>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</si>
  <si>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</si>
  <si>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</si>
  <si>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</si>
  <si>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</si>
  <si>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</si>
  <si>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</si>
  <si>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</si>
  <si>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</si>
  <si>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</si>
  <si>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</si>
  <si>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</si>
  <si>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</si>
  <si>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</si>
  <si>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</si>
  <si>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</si>
  <si>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</si>
  <si>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</si>
  <si>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</si>
  <si>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</si>
  <si>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</si>
  <si>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</si>
  <si>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</si>
  <si>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</si>
  <si>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</si>
  <si>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</si>
  <si>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</si>
  <si>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</si>
  <si>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</si>
  <si>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</si>
  <si>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</si>
  <si>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</si>
  <si>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</si>
  <si>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</si>
  <si>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</si>
  <si>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</si>
  <si>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</si>
  <si>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</si>
  <si>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</si>
  <si>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</si>
  <si>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</si>
  <si>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</si>
  <si>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</si>
  <si>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</si>
  <si>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</si>
  <si>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</si>
  <si>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</si>
  <si>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</si>
  <si>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</si>
  <si>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</si>
  <si>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</si>
  <si>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</si>
  <si>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</si>
  <si>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</si>
  <si>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</si>
  <si>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</si>
  <si>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</si>
  <si>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</si>
  <si>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</si>
  <si>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</si>
  <si>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</si>
  <si>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</si>
  <si>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</si>
  <si>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</si>
  <si>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</si>
  <si>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</si>
  <si>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</si>
  <si>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</si>
  <si>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</si>
  <si>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</si>
  <si>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</si>
  <si>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</si>
  <si>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</si>
  <si>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</si>
  <si>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</si>
  <si>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</si>
  <si>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</si>
  <si>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</si>
  <si>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</si>
  <si>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</si>
  <si>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</si>
  <si>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</si>
  <si>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</si>
  <si>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</si>
  <si>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</si>
  <si>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</si>
  <si>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</si>
  <si>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</si>
  <si>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</si>
  <si>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</si>
  <si>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</si>
  <si>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</si>
  <si>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</si>
  <si>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</si>
  <si>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</si>
  <si>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</si>
  <si>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</si>
  <si>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</si>
  <si>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</si>
  <si>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</si>
  <si>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</si>
  <si>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</si>
  <si>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</si>
  <si>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</si>
  <si>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</si>
  <si>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</si>
  <si>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</si>
  <si>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</si>
  <si>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</si>
  <si>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</si>
  <si>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</si>
  <si>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</si>
  <si>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</si>
  <si>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</si>
  <si>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</si>
  <si>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</si>
  <si>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</si>
  <si>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</si>
  <si>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</si>
  <si>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</si>
  <si>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</si>
  <si>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23/1/2568 - เย็น</t>
  </si>
  <si>
    <t>ยอดจริง ออนไลน์ วันที่ 23/1/68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</si>
</sst>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G117" sqref="G11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44</v>
      </c>
      <c r="F7" s="31">
        <v>4</v>
      </c>
      <c r="G7" s="31"/>
      <c r="H7" s="31"/>
      <c r="I7" s="31"/>
      <c r="J7" s="44"/>
      <c r="K7" s="44"/>
      <c r="L7" s="37">
        <f>SUM(D7:K7)</f>
        <v>48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4</v>
      </c>
      <c r="F25" s="31">
        <v>5</v>
      </c>
      <c r="G25" s="31"/>
      <c r="H25" s="31"/>
      <c r="I25" s="31"/>
      <c r="J25" s="44"/>
      <c r="K25" s="44"/>
      <c r="L25" s="37">
        <f t="shared" si="0"/>
        <v>9</v>
      </c>
    </row>
    <row r="26" spans="2:12">
      <c r="B26" s="11">
        <v>1004055</v>
      </c>
      <c r="C26" s="15" t="s">
        <v>108</v>
      </c>
      <c r="D26" s="31"/>
      <c r="E26" s="31"/>
      <c r="F26" s="31">
        <v>20</v>
      </c>
      <c r="G26" s="31">
        <v>109</v>
      </c>
      <c r="H26" s="31"/>
      <c r="I26" s="31"/>
      <c r="J26" s="44"/>
      <c r="K26" s="44"/>
      <c r="L26" s="37">
        <f t="shared" si="0"/>
        <v>129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2</v>
      </c>
      <c r="F40" s="31"/>
      <c r="G40" s="31">
        <v>4</v>
      </c>
      <c r="H40" s="31"/>
      <c r="I40" s="31"/>
      <c r="J40" s="44"/>
      <c r="K40" s="44"/>
      <c r="L40" s="37">
        <f t="shared" si="0"/>
        <v>6</v>
      </c>
    </row>
    <row r="41" spans="2:12">
      <c r="B41" s="11">
        <v>1111058</v>
      </c>
      <c r="C41" s="15" t="s">
        <v>31</v>
      </c>
      <c r="D41" s="31"/>
      <c r="E41" s="31">
        <v>2</v>
      </c>
      <c r="F41" s="31"/>
      <c r="G41" s="31">
        <v>4</v>
      </c>
      <c r="H41" s="31"/>
      <c r="I41" s="31"/>
      <c r="J41" s="44"/>
      <c r="K41" s="44"/>
      <c r="L41" s="37">
        <f t="shared" si="0"/>
        <v>6</v>
      </c>
    </row>
    <row r="42" spans="2:12">
      <c r="B42" s="11">
        <v>1111059</v>
      </c>
      <c r="C42" s="15" t="s">
        <v>32</v>
      </c>
      <c r="D42" s="31"/>
      <c r="E42" s="31">
        <v>2</v>
      </c>
      <c r="F42" s="31"/>
      <c r="G42" s="31">
        <v>9</v>
      </c>
      <c r="H42" s="31"/>
      <c r="I42" s="31"/>
      <c r="J42" s="44"/>
      <c r="K42" s="44"/>
      <c r="L42" s="37">
        <f t="shared" si="0"/>
        <v>11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>
        <v>2</v>
      </c>
      <c r="F44" s="31"/>
      <c r="G44" s="31">
        <v>4</v>
      </c>
      <c r="H44" s="31"/>
      <c r="I44" s="31"/>
      <c r="J44" s="44"/>
      <c r="K44" s="44"/>
      <c r="L44" s="37">
        <f t="shared" si="0"/>
        <v>6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>
        <v>2</v>
      </c>
      <c r="F46" s="31"/>
      <c r="G46" s="31">
        <v>4</v>
      </c>
      <c r="H46" s="31"/>
      <c r="I46" s="31"/>
      <c r="J46" s="44"/>
      <c r="K46" s="44"/>
      <c r="L46" s="37">
        <f t="shared" si="0"/>
        <v>6</v>
      </c>
    </row>
    <row r="47" spans="2:12">
      <c r="B47" s="11">
        <v>1111064</v>
      </c>
      <c r="C47" s="15" t="s">
        <v>37</v>
      </c>
      <c r="D47" s="31"/>
      <c r="E47" s="31">
        <v>2</v>
      </c>
      <c r="F47" s="31"/>
      <c r="G47" s="31">
        <v>4</v>
      </c>
      <c r="H47" s="31"/>
      <c r="I47" s="31"/>
      <c r="J47" s="44"/>
      <c r="K47" s="44"/>
      <c r="L47" s="37">
        <f t="shared" si="0"/>
        <v>6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>
        <v>2</v>
      </c>
      <c r="F49" s="31"/>
      <c r="G49" s="31">
        <v>4</v>
      </c>
      <c r="H49" s="31"/>
      <c r="I49" s="31"/>
      <c r="J49" s="44"/>
      <c r="K49" s="44"/>
      <c r="L49" s="37">
        <f t="shared" si="0"/>
        <v>6</v>
      </c>
    </row>
    <row r="50" spans="2:12">
      <c r="B50" s="11">
        <v>1111067</v>
      </c>
      <c r="C50" s="15" t="s">
        <v>40</v>
      </c>
      <c r="D50" s="31"/>
      <c r="E50" s="31">
        <v>2</v>
      </c>
      <c r="F50" s="31"/>
      <c r="G50" s="31">
        <v>9</v>
      </c>
      <c r="H50" s="31"/>
      <c r="I50" s="31"/>
      <c r="J50" s="44"/>
      <c r="K50" s="44"/>
      <c r="L50" s="37">
        <f t="shared" si="0"/>
        <v>11</v>
      </c>
    </row>
    <row r="51" spans="2:12">
      <c r="B51" s="11">
        <v>1111068</v>
      </c>
      <c r="C51" s="15" t="s">
        <v>41</v>
      </c>
      <c r="D51" s="31"/>
      <c r="E51" s="31">
        <v>2</v>
      </c>
      <c r="F51" s="31"/>
      <c r="G51" s="31">
        <v>4</v>
      </c>
      <c r="H51" s="31"/>
      <c r="I51" s="31"/>
      <c r="J51" s="44"/>
      <c r="K51" s="44"/>
      <c r="L51" s="37">
        <f t="shared" si="0"/>
        <v>6</v>
      </c>
    </row>
    <row r="52" spans="2:12">
      <c r="B52" s="11">
        <v>1111069</v>
      </c>
      <c r="C52" s="15" t="s">
        <v>42</v>
      </c>
      <c r="D52" s="31"/>
      <c r="E52" s="31">
        <v>2</v>
      </c>
      <c r="F52" s="31"/>
      <c r="G52" s="31">
        <v>4</v>
      </c>
      <c r="H52" s="31"/>
      <c r="I52" s="31"/>
      <c r="J52" s="44"/>
      <c r="K52" s="44"/>
      <c r="L52" s="37">
        <f t="shared" si="0"/>
        <v>6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4</v>
      </c>
      <c r="G56" s="31">
        <v>55</v>
      </c>
      <c r="H56" s="31"/>
      <c r="I56" s="31"/>
      <c r="J56" s="44"/>
      <c r="K56" s="44"/>
      <c r="L56" s="37">
        <f t="shared" si="0"/>
        <v>59</v>
      </c>
    </row>
    <row r="57" spans="2:12">
      <c r="B57" s="11">
        <v>1111075</v>
      </c>
      <c r="C57" s="15" t="s">
        <v>45</v>
      </c>
      <c r="D57" s="31"/>
      <c r="E57" s="31"/>
      <c r="F57" s="31">
        <v>4</v>
      </c>
      <c r="G57" s="31">
        <v>55</v>
      </c>
      <c r="H57" s="31"/>
      <c r="I57" s="31"/>
      <c r="J57" s="44"/>
      <c r="K57" s="44"/>
      <c r="L57" s="37">
        <f t="shared" si="0"/>
        <v>59</v>
      </c>
    </row>
    <row r="58" spans="2:12">
      <c r="B58" s="11">
        <v>1111076</v>
      </c>
      <c r="C58" s="15" t="s">
        <v>46</v>
      </c>
      <c r="D58" s="31"/>
      <c r="E58" s="31"/>
      <c r="F58" s="31">
        <v>4</v>
      </c>
      <c r="G58" s="31">
        <v>55</v>
      </c>
      <c r="H58" s="31"/>
      <c r="I58" s="31"/>
      <c r="J58" s="44"/>
      <c r="K58" s="44"/>
      <c r="L58" s="37">
        <f t="shared" si="0"/>
        <v>59</v>
      </c>
    </row>
    <row r="59" spans="2:12">
      <c r="B59" s="11">
        <v>1111077</v>
      </c>
      <c r="C59" s="15" t="s">
        <v>47</v>
      </c>
      <c r="D59" s="31"/>
      <c r="E59" s="31"/>
      <c r="F59" s="31">
        <v>5</v>
      </c>
      <c r="G59" s="31">
        <v>55</v>
      </c>
      <c r="H59" s="31"/>
      <c r="I59" s="31"/>
      <c r="J59" s="44"/>
      <c r="K59" s="44"/>
      <c r="L59" s="37">
        <f t="shared" si="0"/>
        <v>60</v>
      </c>
    </row>
    <row r="60" spans="2:12">
      <c r="B60" s="11">
        <v>1111078</v>
      </c>
      <c r="C60" s="15" t="s">
        <v>48</v>
      </c>
      <c r="D60" s="31"/>
      <c r="E60" s="31"/>
      <c r="F60" s="31">
        <v>4</v>
      </c>
      <c r="G60" s="31">
        <v>55</v>
      </c>
      <c r="H60" s="31"/>
      <c r="I60" s="31"/>
      <c r="J60" s="44"/>
      <c r="K60" s="44"/>
      <c r="L60" s="37">
        <f t="shared" si="0"/>
        <v>59</v>
      </c>
    </row>
    <row r="61" spans="2:12">
      <c r="B61" s="11">
        <v>1111079</v>
      </c>
      <c r="C61" s="15" t="s">
        <v>49</v>
      </c>
      <c r="D61" s="31"/>
      <c r="E61" s="31"/>
      <c r="F61" s="31">
        <v>5</v>
      </c>
      <c r="G61" s="31">
        <v>54</v>
      </c>
      <c r="H61" s="31"/>
      <c r="I61" s="31"/>
      <c r="J61" s="44"/>
      <c r="K61" s="44"/>
      <c r="L61" s="37">
        <f t="shared" si="0"/>
        <v>59</v>
      </c>
    </row>
    <row r="62" spans="2:12">
      <c r="B62" s="11">
        <v>1111080</v>
      </c>
      <c r="C62" s="15" t="s">
        <v>50</v>
      </c>
      <c r="D62" s="31"/>
      <c r="E62" s="31"/>
      <c r="F62" s="31">
        <v>5</v>
      </c>
      <c r="G62" s="31">
        <v>54</v>
      </c>
      <c r="H62" s="31"/>
      <c r="I62" s="31"/>
      <c r="J62" s="44"/>
      <c r="K62" s="44"/>
      <c r="L62" s="37">
        <f t="shared" si="0"/>
        <v>59</v>
      </c>
    </row>
    <row r="63" spans="2:12">
      <c r="B63" s="11">
        <v>1111081</v>
      </c>
      <c r="C63" s="15" t="s">
        <v>51</v>
      </c>
      <c r="D63" s="31"/>
      <c r="E63" s="31"/>
      <c r="F63" s="31">
        <v>4</v>
      </c>
      <c r="G63" s="31">
        <v>54</v>
      </c>
      <c r="H63" s="31"/>
      <c r="I63" s="31"/>
      <c r="J63" s="44"/>
      <c r="K63" s="44"/>
      <c r="L63" s="37">
        <f t="shared" si="0"/>
        <v>58</v>
      </c>
    </row>
    <row r="64" spans="2:12">
      <c r="B64" s="11">
        <v>1111082</v>
      </c>
      <c r="C64" s="15" t="s">
        <v>52</v>
      </c>
      <c r="D64" s="31"/>
      <c r="E64" s="31"/>
      <c r="F64" s="31">
        <v>4</v>
      </c>
      <c r="G64" s="31">
        <v>54</v>
      </c>
      <c r="H64" s="31"/>
      <c r="I64" s="31"/>
      <c r="J64" s="44"/>
      <c r="K64" s="44"/>
      <c r="L64" s="37">
        <f t="shared" si="0"/>
        <v>58</v>
      </c>
    </row>
    <row r="65" spans="2:12">
      <c r="B65" s="11">
        <v>1111083</v>
      </c>
      <c r="C65" s="15" t="s">
        <v>53</v>
      </c>
      <c r="D65" s="31"/>
      <c r="E65" s="31"/>
      <c r="F65" s="31">
        <v>1</v>
      </c>
      <c r="G65" s="31">
        <v>54</v>
      </c>
      <c r="H65" s="31"/>
      <c r="I65" s="31"/>
      <c r="J65" s="44"/>
      <c r="K65" s="44"/>
      <c r="L65" s="37">
        <f t="shared" si="0"/>
        <v>55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4</v>
      </c>
      <c r="F69" s="31">
        <v>4</v>
      </c>
      <c r="G69" s="31">
        <v>2</v>
      </c>
      <c r="H69" s="31"/>
      <c r="I69" s="31"/>
      <c r="J69" s="44"/>
      <c r="K69" s="44"/>
      <c r="L69" s="37">
        <f t="shared" ref="L69:L76" si="1">SUM(D69:K69)</f>
        <v>10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1</v>
      </c>
      <c r="F87" s="31"/>
      <c r="G87" s="31">
        <v>106</v>
      </c>
      <c r="H87" s="31"/>
      <c r="I87" s="31"/>
      <c r="J87" s="44"/>
      <c r="K87" s="44"/>
      <c r="L87" s="37">
        <f t="shared" si="2"/>
        <v>107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47</v>
      </c>
      <c r="F90" s="31">
        <v>5</v>
      </c>
      <c r="G90" s="31">
        <v>45</v>
      </c>
      <c r="H90" s="31"/>
      <c r="I90" s="31"/>
      <c r="J90" s="44"/>
      <c r="K90" s="44"/>
      <c r="L90" s="37">
        <f t="shared" ref="L90:L99" si="3">SUM(D90:K90)</f>
        <v>97</v>
      </c>
    </row>
    <row r="91" spans="2:12">
      <c r="B91" s="11">
        <v>1112011</v>
      </c>
      <c r="C91" s="20" t="s">
        <v>76</v>
      </c>
      <c r="D91" s="31"/>
      <c r="E91" s="31">
        <v>47</v>
      </c>
      <c r="F91" s="31">
        <v>13</v>
      </c>
      <c r="G91" s="31">
        <v>44</v>
      </c>
      <c r="H91" s="31"/>
      <c r="I91" s="31"/>
      <c r="J91" s="44"/>
      <c r="K91" s="44"/>
      <c r="L91" s="37">
        <f t="shared" si="3"/>
        <v>104</v>
      </c>
    </row>
    <row r="92" spans="2:12">
      <c r="B92" s="11">
        <v>1112003</v>
      </c>
      <c r="C92" s="20" t="s">
        <v>77</v>
      </c>
      <c r="D92" s="31"/>
      <c r="E92" s="31">
        <v>17</v>
      </c>
      <c r="F92" s="31">
        <v>2</v>
      </c>
      <c r="G92" s="31">
        <v>53</v>
      </c>
      <c r="H92" s="31"/>
      <c r="I92" s="31"/>
      <c r="J92" s="44"/>
      <c r="K92" s="44"/>
      <c r="L92" s="37">
        <f t="shared" si="3"/>
        <v>72</v>
      </c>
    </row>
    <row r="93" spans="2:12">
      <c r="B93" s="11">
        <v>1112005</v>
      </c>
      <c r="C93" s="20" t="s">
        <v>78</v>
      </c>
      <c r="D93" s="31"/>
      <c r="E93" s="31">
        <v>16</v>
      </c>
      <c r="F93" s="31">
        <v>2</v>
      </c>
      <c r="G93" s="31">
        <v>54</v>
      </c>
      <c r="H93" s="31"/>
      <c r="I93" s="31"/>
      <c r="J93" s="44"/>
      <c r="K93" s="44"/>
      <c r="L93" s="37">
        <f t="shared" si="3"/>
        <v>72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>
        <v>16</v>
      </c>
      <c r="F97" s="31">
        <v>2</v>
      </c>
      <c r="G97" s="31">
        <v>53</v>
      </c>
      <c r="H97" s="31"/>
      <c r="I97" s="31"/>
      <c r="J97" s="44"/>
      <c r="K97" s="44"/>
      <c r="L97" s="37">
        <f t="shared" si="3"/>
        <v>71</v>
      </c>
    </row>
    <row r="98" spans="2:12">
      <c r="B98" s="11">
        <v>1112013</v>
      </c>
      <c r="C98" s="20" t="s">
        <v>83</v>
      </c>
      <c r="D98" s="31"/>
      <c r="E98" s="31">
        <v>46</v>
      </c>
      <c r="F98" s="31">
        <v>6</v>
      </c>
      <c r="G98" s="31">
        <v>56</v>
      </c>
      <c r="H98" s="31"/>
      <c r="I98" s="31"/>
      <c r="J98" s="44"/>
      <c r="K98" s="44"/>
      <c r="L98" s="37">
        <f t="shared" si="3"/>
        <v>108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3</v>
      </c>
      <c r="F114" s="31">
        <v>5</v>
      </c>
      <c r="G114" s="31">
        <v>39</v>
      </c>
      <c r="H114" s="31"/>
      <c r="I114" s="31"/>
      <c r="J114" s="44"/>
      <c r="K114" s="44"/>
      <c r="L114" s="37">
        <f t="shared" ref="L114:L139" si="6">SUM(D114:K114)</f>
        <v>47</v>
      </c>
    </row>
    <row r="115" spans="2:12">
      <c r="B115" s="11">
        <v>1113171</v>
      </c>
      <c r="C115" s="22" t="s">
        <v>88</v>
      </c>
      <c r="D115" s="31"/>
      <c r="E115" s="31"/>
      <c r="F115" s="31">
        <v>6</v>
      </c>
      <c r="G115" s="31">
        <v>22</v>
      </c>
      <c r="H115" s="31"/>
      <c r="I115" s="31"/>
      <c r="J115" s="44"/>
      <c r="K115" s="44"/>
      <c r="L115" s="37">
        <f t="shared" si="6"/>
        <v>28</v>
      </c>
    </row>
    <row r="116" spans="2:12">
      <c r="B116" s="11">
        <v>1113172</v>
      </c>
      <c r="C116" s="22" t="s">
        <v>89</v>
      </c>
      <c r="D116" s="31"/>
      <c r="E116" s="31"/>
      <c r="F116" s="31">
        <v>5</v>
      </c>
      <c r="G116" s="31">
        <v>26</v>
      </c>
      <c r="H116" s="31"/>
      <c r="I116" s="31"/>
      <c r="J116" s="44"/>
      <c r="K116" s="44"/>
      <c r="L116" s="37">
        <f t="shared" si="6"/>
        <v>31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>
        <v>2</v>
      </c>
      <c r="F118" s="31"/>
      <c r="G118" s="31"/>
      <c r="H118" s="31"/>
      <c r="I118" s="31"/>
      <c r="J118" s="44"/>
      <c r="K118" s="44"/>
      <c r="L118" s="37">
        <f t="shared" si="6"/>
        <v>2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>
        <v>1</v>
      </c>
      <c r="G122" s="31"/>
      <c r="H122" s="31"/>
      <c r="I122" s="31"/>
      <c r="J122" s="44"/>
      <c r="K122" s="44"/>
      <c r="L122" s="37">
        <f t="shared" si="6"/>
        <v>1</v>
      </c>
    </row>
    <row r="123" spans="2:12">
      <c r="B123" s="11">
        <v>1114501</v>
      </c>
      <c r="C123" s="22" t="s">
        <v>95</v>
      </c>
      <c r="D123" s="31"/>
      <c r="E123" s="31"/>
      <c r="F123" s="31">
        <v>2</v>
      </c>
      <c r="G123" s="31">
        <v>2</v>
      </c>
      <c r="H123" s="31"/>
      <c r="I123" s="31"/>
      <c r="J123" s="44"/>
      <c r="K123" s="44"/>
      <c r="L123" s="37">
        <f t="shared" si="6"/>
        <v>4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>
        <v>1</v>
      </c>
      <c r="G124" s="31">
        <v>2</v>
      </c>
      <c r="H124" s="31"/>
      <c r="I124" s="31"/>
      <c r="J124" s="44"/>
      <c r="K124" s="44"/>
      <c r="L124" s="37">
        <f t="shared" si="6"/>
        <v>4</v>
      </c>
    </row>
    <row r="125" spans="2:12">
      <c r="B125" s="11">
        <v>1114503</v>
      </c>
      <c r="C125" s="22" t="s">
        <v>97</v>
      </c>
      <c r="D125" s="31"/>
      <c r="E125" s="31"/>
      <c r="F125" s="31">
        <v>1</v>
      </c>
      <c r="G125" s="31">
        <v>3</v>
      </c>
      <c r="H125" s="31"/>
      <c r="I125" s="31"/>
      <c r="J125" s="44"/>
      <c r="K125" s="44"/>
      <c r="L125" s="37">
        <f t="shared" si="6"/>
        <v>4</v>
      </c>
    </row>
    <row r="126" spans="2:12">
      <c r="B126" s="11">
        <v>1124021</v>
      </c>
      <c r="C126" s="22" t="s">
        <v>98</v>
      </c>
      <c r="D126" s="31"/>
      <c r="E126" s="31">
        <v>59</v>
      </c>
      <c r="F126" s="31">
        <v>38</v>
      </c>
      <c r="G126" s="31">
        <v>6</v>
      </c>
      <c r="H126" s="31"/>
      <c r="I126" s="31"/>
      <c r="J126" s="44"/>
      <c r="K126" s="44"/>
      <c r="L126" s="37">
        <f t="shared" si="6"/>
        <v>103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>
        <v>6</v>
      </c>
      <c r="G135" s="31"/>
      <c r="H135" s="31"/>
      <c r="I135" s="31"/>
      <c r="J135" s="44"/>
      <c r="K135" s="44"/>
      <c r="L135" s="37">
        <f t="shared" si="6"/>
        <v>8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A79" sqref="A79:XFD8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14</v>
      </c>
      <c r="E7" s="31">
        <v>30</v>
      </c>
      <c r="F7" s="31">
        <v>12</v>
      </c>
      <c r="G7" s="31"/>
      <c r="H7" s="31"/>
      <c r="I7" s="31"/>
      <c r="J7" s="44"/>
      <c r="K7" s="44"/>
      <c r="L7" s="37">
        <f>SUM(D7:K7)</f>
        <v>56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3</v>
      </c>
      <c r="E25" s="31">
        <v>1</v>
      </c>
      <c r="F25" s="31">
        <v>2</v>
      </c>
      <c r="G25" s="31"/>
      <c r="H25" s="31"/>
      <c r="I25" s="31"/>
      <c r="J25" s="44"/>
      <c r="K25" s="44"/>
      <c r="L25" s="37">
        <f t="shared" si="0"/>
        <v>6</v>
      </c>
    </row>
    <row r="26" spans="2:12">
      <c r="B26" s="11">
        <v>1004055</v>
      </c>
      <c r="C26" s="15" t="s">
        <v>108</v>
      </c>
      <c r="D26" s="31">
        <v>8</v>
      </c>
      <c r="E26" s="31"/>
      <c r="F26" s="31">
        <v>1</v>
      </c>
      <c r="G26" s="31">
        <v>63</v>
      </c>
      <c r="H26" s="31"/>
      <c r="I26" s="31"/>
      <c r="J26" s="44"/>
      <c r="K26" s="44">
        <v>20</v>
      </c>
      <c r="L26" s="37">
        <f t="shared" si="0"/>
        <v>92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>
        <v>6</v>
      </c>
      <c r="H56" s="31"/>
      <c r="I56" s="31"/>
      <c r="J56" s="44"/>
      <c r="K56" s="44"/>
      <c r="L56" s="37">
        <f t="shared" si="0"/>
        <v>6</v>
      </c>
    </row>
    <row r="57" spans="2:12">
      <c r="B57" s="11">
        <v>1111075</v>
      </c>
      <c r="C57" s="15" t="s">
        <v>45</v>
      </c>
      <c r="D57" s="31"/>
      <c r="E57" s="31"/>
      <c r="F57" s="31"/>
      <c r="G57" s="31">
        <v>6</v>
      </c>
      <c r="H57" s="31"/>
      <c r="I57" s="31"/>
      <c r="J57" s="44"/>
      <c r="K57" s="44"/>
      <c r="L57" s="37">
        <f t="shared" si="0"/>
        <v>6</v>
      </c>
    </row>
    <row r="58" spans="2:12">
      <c r="B58" s="11">
        <v>1111076</v>
      </c>
      <c r="C58" s="15" t="s">
        <v>46</v>
      </c>
      <c r="D58" s="31"/>
      <c r="E58" s="31"/>
      <c r="F58" s="31"/>
      <c r="G58" s="31">
        <v>6</v>
      </c>
      <c r="H58" s="31"/>
      <c r="I58" s="31"/>
      <c r="J58" s="44"/>
      <c r="K58" s="44"/>
      <c r="L58" s="37">
        <f t="shared" si="0"/>
        <v>6</v>
      </c>
    </row>
    <row r="59" spans="2:12">
      <c r="B59" s="11">
        <v>1111077</v>
      </c>
      <c r="C59" s="15" t="s">
        <v>47</v>
      </c>
      <c r="D59" s="31"/>
      <c r="E59" s="31"/>
      <c r="F59" s="31"/>
      <c r="G59" s="31">
        <v>6</v>
      </c>
      <c r="H59" s="31"/>
      <c r="I59" s="31"/>
      <c r="J59" s="44"/>
      <c r="K59" s="44"/>
      <c r="L59" s="37">
        <f t="shared" si="0"/>
        <v>6</v>
      </c>
    </row>
    <row r="60" spans="2:12">
      <c r="B60" s="11">
        <v>1111078</v>
      </c>
      <c r="C60" s="15" t="s">
        <v>48</v>
      </c>
      <c r="D60" s="31"/>
      <c r="E60" s="31"/>
      <c r="F60" s="31"/>
      <c r="G60" s="31">
        <v>6</v>
      </c>
      <c r="H60" s="31"/>
      <c r="I60" s="31"/>
      <c r="J60" s="44"/>
      <c r="K60" s="44"/>
      <c r="L60" s="37">
        <f t="shared" si="0"/>
        <v>6</v>
      </c>
    </row>
    <row r="61" spans="2:12">
      <c r="B61" s="11">
        <v>1111079</v>
      </c>
      <c r="C61" s="15" t="s">
        <v>49</v>
      </c>
      <c r="D61" s="31"/>
      <c r="E61" s="31"/>
      <c r="F61" s="31"/>
      <c r="G61" s="31">
        <v>6</v>
      </c>
      <c r="H61" s="31"/>
      <c r="I61" s="31"/>
      <c r="J61" s="44"/>
      <c r="K61" s="44"/>
      <c r="L61" s="37">
        <f t="shared" si="0"/>
        <v>6</v>
      </c>
    </row>
    <row r="62" spans="2:12">
      <c r="B62" s="11">
        <v>1111080</v>
      </c>
      <c r="C62" s="15" t="s">
        <v>50</v>
      </c>
      <c r="D62" s="31"/>
      <c r="E62" s="31"/>
      <c r="F62" s="31"/>
      <c r="G62" s="31">
        <v>6</v>
      </c>
      <c r="H62" s="31"/>
      <c r="I62" s="31"/>
      <c r="J62" s="44"/>
      <c r="K62" s="44"/>
      <c r="L62" s="37">
        <f t="shared" si="0"/>
        <v>6</v>
      </c>
    </row>
    <row r="63" spans="2:12">
      <c r="B63" s="11">
        <v>1111081</v>
      </c>
      <c r="C63" s="15" t="s">
        <v>51</v>
      </c>
      <c r="D63" s="31"/>
      <c r="E63" s="31"/>
      <c r="F63" s="31"/>
      <c r="G63" s="31">
        <v>6</v>
      </c>
      <c r="H63" s="31"/>
      <c r="I63" s="31"/>
      <c r="J63" s="44"/>
      <c r="K63" s="44"/>
      <c r="L63" s="37">
        <f t="shared" si="0"/>
        <v>6</v>
      </c>
    </row>
    <row r="64" spans="2:12">
      <c r="B64" s="11">
        <v>1111082</v>
      </c>
      <c r="C64" s="15" t="s">
        <v>52</v>
      </c>
      <c r="D64" s="31"/>
      <c r="E64" s="31"/>
      <c r="F64" s="31"/>
      <c r="G64" s="31">
        <v>6</v>
      </c>
      <c r="H64" s="31"/>
      <c r="I64" s="31"/>
      <c r="J64" s="44"/>
      <c r="K64" s="44"/>
      <c r="L64" s="37">
        <f t="shared" si="0"/>
        <v>6</v>
      </c>
    </row>
    <row r="65" spans="2:12">
      <c r="B65" s="11">
        <v>1111083</v>
      </c>
      <c r="C65" s="15" t="s">
        <v>53</v>
      </c>
      <c r="D65" s="31"/>
      <c r="E65" s="31"/>
      <c r="F65" s="31"/>
      <c r="G65" s="31">
        <v>6</v>
      </c>
      <c r="H65" s="31"/>
      <c r="I65" s="31"/>
      <c r="J65" s="44"/>
      <c r="K65" s="44"/>
      <c r="L65" s="37">
        <f t="shared" si="0"/>
        <v>6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14</v>
      </c>
      <c r="E69" s="31"/>
      <c r="F69" s="31">
        <v>3</v>
      </c>
      <c r="G69" s="31"/>
      <c r="H69" s="31"/>
      <c r="I69" s="31"/>
      <c r="J69" s="44"/>
      <c r="K69" s="44"/>
      <c r="L69" s="37">
        <f t="shared" ref="L69:L76" si="1">SUM(D69:K69)</f>
        <v>17</v>
      </c>
    </row>
    <row r="70" spans="2:12" hidden="1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87</v>
      </c>
      <c r="H87" s="31"/>
      <c r="I87" s="31"/>
      <c r="J87" s="44"/>
      <c r="K87" s="44"/>
      <c r="L87" s="37">
        <f t="shared" si="2"/>
        <v>90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7</v>
      </c>
      <c r="E90" s="31">
        <v>31</v>
      </c>
      <c r="F90" s="31">
        <v>8</v>
      </c>
      <c r="G90" s="31">
        <v>22</v>
      </c>
      <c r="H90" s="31"/>
      <c r="I90" s="31"/>
      <c r="J90" s="44"/>
      <c r="K90" s="44">
        <v>10</v>
      </c>
      <c r="L90" s="37">
        <f t="shared" ref="L90:L99" si="3">SUM(D90:K90)</f>
        <v>78</v>
      </c>
    </row>
    <row r="91" spans="2:12">
      <c r="B91" s="11">
        <v>1112011</v>
      </c>
      <c r="C91" s="20" t="s">
        <v>76</v>
      </c>
      <c r="D91" s="31">
        <v>7</v>
      </c>
      <c r="E91" s="31">
        <v>31</v>
      </c>
      <c r="F91" s="31">
        <v>8</v>
      </c>
      <c r="G91" s="31">
        <v>22</v>
      </c>
      <c r="H91" s="31"/>
      <c r="I91" s="31"/>
      <c r="J91" s="44"/>
      <c r="K91" s="44">
        <v>30</v>
      </c>
      <c r="L91" s="37">
        <f t="shared" si="3"/>
        <v>98</v>
      </c>
    </row>
    <row r="92" spans="2:12">
      <c r="B92" s="11">
        <v>1112003</v>
      </c>
      <c r="C92" s="20" t="s">
        <v>77</v>
      </c>
      <c r="D92" s="31">
        <v>18</v>
      </c>
      <c r="E92" s="31">
        <v>29</v>
      </c>
      <c r="F92" s="31">
        <v>6</v>
      </c>
      <c r="G92" s="31">
        <v>26</v>
      </c>
      <c r="H92" s="31"/>
      <c r="I92" s="31"/>
      <c r="J92" s="44"/>
      <c r="K92" s="44">
        <v>5</v>
      </c>
      <c r="L92" s="37">
        <f t="shared" si="3"/>
        <v>84</v>
      </c>
    </row>
    <row r="93" spans="2:12">
      <c r="B93" s="11">
        <v>1112005</v>
      </c>
      <c r="C93" s="20" t="s">
        <v>78</v>
      </c>
      <c r="D93" s="31">
        <v>13</v>
      </c>
      <c r="E93" s="31">
        <v>29</v>
      </c>
      <c r="F93" s="31">
        <v>6</v>
      </c>
      <c r="G93" s="31">
        <v>23</v>
      </c>
      <c r="H93" s="31"/>
      <c r="I93" s="31"/>
      <c r="J93" s="44"/>
      <c r="K93" s="44">
        <v>12</v>
      </c>
      <c r="L93" s="37">
        <f t="shared" si="3"/>
        <v>83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8</v>
      </c>
      <c r="E97" s="31">
        <v>29</v>
      </c>
      <c r="F97" s="31">
        <v>6</v>
      </c>
      <c r="G97" s="31">
        <v>23</v>
      </c>
      <c r="H97" s="31"/>
      <c r="I97" s="31"/>
      <c r="J97" s="44"/>
      <c r="K97" s="44">
        <v>11</v>
      </c>
      <c r="L97" s="37">
        <f t="shared" si="3"/>
        <v>77</v>
      </c>
    </row>
    <row r="98" spans="2:12">
      <c r="B98" s="11">
        <v>1112013</v>
      </c>
      <c r="C98" s="20" t="s">
        <v>83</v>
      </c>
      <c r="D98" s="31">
        <v>10</v>
      </c>
      <c r="E98" s="31">
        <v>31</v>
      </c>
      <c r="F98" s="31">
        <v>8</v>
      </c>
      <c r="G98" s="31">
        <v>23</v>
      </c>
      <c r="H98" s="31"/>
      <c r="I98" s="31"/>
      <c r="J98" s="44"/>
      <c r="K98" s="44">
        <v>13</v>
      </c>
      <c r="L98" s="37">
        <f t="shared" si="3"/>
        <v>85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72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72</v>
      </c>
    </row>
    <row r="115" spans="2:12">
      <c r="B115" s="11">
        <v>1113171</v>
      </c>
      <c r="C115" s="22" t="s">
        <v>88</v>
      </c>
      <c r="D115" s="31">
        <v>29</v>
      </c>
      <c r="E115" s="31">
        <v>8</v>
      </c>
      <c r="F115" s="31"/>
      <c r="G115" s="31"/>
      <c r="H115" s="31"/>
      <c r="I115" s="31"/>
      <c r="J115" s="44"/>
      <c r="K115" s="44"/>
      <c r="L115" s="37">
        <f t="shared" si="6"/>
        <v>37</v>
      </c>
    </row>
    <row r="116" spans="2:12">
      <c r="B116" s="11">
        <v>1113172</v>
      </c>
      <c r="C116" s="22" t="s">
        <v>89</v>
      </c>
      <c r="D116" s="31">
        <v>42</v>
      </c>
      <c r="E116" s="31">
        <v>6</v>
      </c>
      <c r="F116" s="31"/>
      <c r="G116" s="31"/>
      <c r="H116" s="31"/>
      <c r="I116" s="31"/>
      <c r="J116" s="44"/>
      <c r="K116" s="44"/>
      <c r="L116" s="37">
        <f t="shared" si="6"/>
        <v>48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4"/>
      <c r="K118" s="44"/>
      <c r="L118" s="37">
        <f t="shared" si="6"/>
        <v>1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3</v>
      </c>
      <c r="H120" s="31"/>
      <c r="I120" s="31"/>
      <c r="J120" s="44"/>
      <c r="K120" s="44"/>
      <c r="L120" s="37">
        <f t="shared" si="6"/>
        <v>3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>
        <v>1</v>
      </c>
      <c r="G125" s="31"/>
      <c r="H125" s="31"/>
      <c r="I125" s="31"/>
      <c r="J125" s="44"/>
      <c r="K125" s="44"/>
      <c r="L125" s="37">
        <f t="shared" si="6"/>
        <v>1</v>
      </c>
    </row>
    <row r="126" spans="2:12">
      <c r="B126" s="11">
        <v>1124021</v>
      </c>
      <c r="C126" s="22" t="s">
        <v>98</v>
      </c>
      <c r="D126" s="31"/>
      <c r="E126" s="31">
        <v>20</v>
      </c>
      <c r="F126" s="31">
        <v>27</v>
      </c>
      <c r="G126" s="31">
        <v>30</v>
      </c>
      <c r="H126" s="31"/>
      <c r="I126" s="31"/>
      <c r="J126" s="44"/>
      <c r="K126" s="44"/>
      <c r="L126" s="37">
        <f t="shared" si="6"/>
        <v>77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>
      <c r="B136" s="23"/>
      <c r="C136" s="22" t="s">
        <v>125</v>
      </c>
      <c r="D136" s="31"/>
      <c r="E136" s="31"/>
      <c r="F136" s="31">
        <v>1</v>
      </c>
      <c r="G136" s="31"/>
      <c r="H136" s="31"/>
      <c r="I136" s="31"/>
      <c r="J136" s="44"/>
      <c r="K136" s="44"/>
      <c r="L136" s="37">
        <f t="shared" si="6"/>
        <v>1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121" zoomScale="50" zoomScaleNormal="50" workbookViewId="0">
      <selection activeCell="B1" sqref="B1:Q140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14</v>
      </c>
      <c r="E7" s="31">
        <f>'เย็น '!E7+'เช้า '!E7+บ่าย!E7</f>
        <v>74</v>
      </c>
      <c r="F7" s="31">
        <f>'เย็น '!F7+'เช้า '!F7+บ่าย!F7</f>
        <v>16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104</v>
      </c>
      <c r="M7" s="11"/>
      <c r="N7" s="11"/>
      <c r="O7" s="11"/>
      <c r="P7" s="11"/>
      <c r="Q7" s="45">
        <f>(M7+N7+O7+P7)-L7</f>
        <v>-104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5</v>
      </c>
      <c r="F25" s="31">
        <f>'เย็น '!F25+'เช้า '!F25+บ่าย!F25</f>
        <v>7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15</v>
      </c>
      <c r="M25" s="11"/>
      <c r="N25" s="11"/>
      <c r="O25" s="11"/>
      <c r="P25" s="11"/>
      <c r="Q25" s="45">
        <f t="shared" si="1"/>
        <v>-15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8</v>
      </c>
      <c r="E26" s="31">
        <f>'เย็น '!E26+'เช้า '!E26+บ่าย!E26</f>
        <v>0</v>
      </c>
      <c r="F26" s="31">
        <f>'เย็น '!F26+'เช้า '!F26+บ่าย!F26</f>
        <v>21</v>
      </c>
      <c r="G26" s="31">
        <f>'เย็น '!G26+'เช้า '!G26+บ่าย!G26</f>
        <v>172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20</v>
      </c>
      <c r="L26" s="37">
        <f t="shared" si="0"/>
        <v>221</v>
      </c>
      <c r="M26" s="11"/>
      <c r="N26" s="11"/>
      <c r="O26" s="11"/>
      <c r="P26" s="11"/>
      <c r="Q26" s="45">
        <f t="shared" si="1"/>
        <v>-221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2</v>
      </c>
      <c r="F40" s="31">
        <f>'เย็น '!F40+'เช้า '!F40+บ่าย!F40</f>
        <v>0</v>
      </c>
      <c r="G40" s="31">
        <f>'เย็น '!G40+'เช้า '!G40+บ่าย!G40</f>
        <v>4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6</v>
      </c>
      <c r="M40" s="11"/>
      <c r="N40" s="11"/>
      <c r="O40" s="11"/>
      <c r="P40" s="11"/>
      <c r="Q40" s="45">
        <f t="shared" si="1"/>
        <v>-6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2</v>
      </c>
      <c r="F41" s="31">
        <f>'เย็น '!F41+'เช้า '!F41+บ่าย!F41</f>
        <v>0</v>
      </c>
      <c r="G41" s="31">
        <f>'เย็น '!G41+'เช้า '!G41+บ่าย!G41</f>
        <v>4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6</v>
      </c>
      <c r="M41" s="11"/>
      <c r="N41" s="11"/>
      <c r="O41" s="11"/>
      <c r="P41" s="11"/>
      <c r="Q41" s="45">
        <f t="shared" si="1"/>
        <v>-6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2</v>
      </c>
      <c r="F42" s="31">
        <f>'เย็น '!F42+'เช้า '!F42+บ่าย!F42</f>
        <v>0</v>
      </c>
      <c r="G42" s="31">
        <f>'เย็น '!G42+'เช้า '!G42+บ่าย!G42</f>
        <v>9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11</v>
      </c>
      <c r="M42" s="11"/>
      <c r="N42" s="11"/>
      <c r="O42" s="11"/>
      <c r="P42" s="11"/>
      <c r="Q42" s="45">
        <f t="shared" si="1"/>
        <v>-11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4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6</v>
      </c>
      <c r="M44" s="11"/>
      <c r="N44" s="11"/>
      <c r="O44" s="11"/>
      <c r="P44" s="11"/>
      <c r="Q44" s="45">
        <f t="shared" si="1"/>
        <v>-6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2</v>
      </c>
      <c r="F46" s="31">
        <f>'เย็น '!F46+'เช้า '!F46+บ่าย!F46</f>
        <v>0</v>
      </c>
      <c r="G46" s="31">
        <f>'เย็น '!G46+'เช้า '!G46+บ่าย!G46</f>
        <v>4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6</v>
      </c>
      <c r="M46" s="11"/>
      <c r="N46" s="11"/>
      <c r="O46" s="11"/>
      <c r="P46" s="11"/>
      <c r="Q46" s="45">
        <f t="shared" si="1"/>
        <v>-6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4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6</v>
      </c>
      <c r="M47" s="11"/>
      <c r="N47" s="11"/>
      <c r="O47" s="11"/>
      <c r="P47" s="11"/>
      <c r="Q47" s="45">
        <f t="shared" si="1"/>
        <v>-6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2</v>
      </c>
      <c r="F49" s="31">
        <f>'เย็น '!F49+'เช้า '!F49+บ่าย!F49</f>
        <v>0</v>
      </c>
      <c r="G49" s="31">
        <f>'เย็น '!G49+'เช้า '!G49+บ่าย!G49</f>
        <v>4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6</v>
      </c>
      <c r="M49" s="11"/>
      <c r="N49" s="11"/>
      <c r="O49" s="11"/>
      <c r="P49" s="11"/>
      <c r="Q49" s="45">
        <f t="shared" si="1"/>
        <v>-6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2</v>
      </c>
      <c r="F50" s="31">
        <f>'เย็น '!F50+'เช้า '!F50+บ่าย!F50</f>
        <v>0</v>
      </c>
      <c r="G50" s="31">
        <f>'เย็น '!G50+'เช้า '!G50+บ่าย!G50</f>
        <v>9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11</v>
      </c>
      <c r="M50" s="11"/>
      <c r="N50" s="11"/>
      <c r="O50" s="11"/>
      <c r="P50" s="11"/>
      <c r="Q50" s="45">
        <f t="shared" si="1"/>
        <v>-11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2</v>
      </c>
      <c r="F51" s="31">
        <f>'เย็น '!F51+'เช้า '!F51+บ่าย!F51</f>
        <v>0</v>
      </c>
      <c r="G51" s="31">
        <f>'เย็น '!G51+'เช้า '!G51+บ่าย!G51</f>
        <v>4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6</v>
      </c>
      <c r="M51" s="11"/>
      <c r="N51" s="11"/>
      <c r="O51" s="11"/>
      <c r="P51" s="11"/>
      <c r="Q51" s="45">
        <f t="shared" si="1"/>
        <v>-6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2</v>
      </c>
      <c r="F52" s="31">
        <f>'เย็น '!F52+'เช้า '!F52+บ่าย!F52</f>
        <v>0</v>
      </c>
      <c r="G52" s="31">
        <f>'เย็น '!G52+'เช้า '!G52+บ่าย!G52</f>
        <v>4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6</v>
      </c>
      <c r="M52" s="11"/>
      <c r="N52" s="11"/>
      <c r="O52" s="11"/>
      <c r="P52" s="11"/>
      <c r="Q52" s="45">
        <f t="shared" si="1"/>
        <v>-6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4</v>
      </c>
      <c r="G56" s="31">
        <f>'เย็น '!G56+'เช้า '!G56+บ่าย!G56</f>
        <v>61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65</v>
      </c>
      <c r="M56" s="11"/>
      <c r="N56" s="11"/>
      <c r="O56" s="11"/>
      <c r="P56" s="11"/>
      <c r="Q56" s="45">
        <f t="shared" si="1"/>
        <v>-65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4</v>
      </c>
      <c r="G57" s="31">
        <f>'เย็น '!G57+'เช้า '!G57+บ่าย!G57</f>
        <v>61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65</v>
      </c>
      <c r="M57" s="11"/>
      <c r="N57" s="11"/>
      <c r="O57" s="11"/>
      <c r="P57" s="11"/>
      <c r="Q57" s="45">
        <f t="shared" si="1"/>
        <v>-65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4</v>
      </c>
      <c r="G58" s="31">
        <f>'เย็น '!G58+'เช้า '!G58+บ่าย!G58</f>
        <v>61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65</v>
      </c>
      <c r="M58" s="11"/>
      <c r="N58" s="11"/>
      <c r="O58" s="11"/>
      <c r="P58" s="11"/>
      <c r="Q58" s="45">
        <f t="shared" si="1"/>
        <v>-65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5</v>
      </c>
      <c r="G59" s="31">
        <f>'เย็น '!G59+'เช้า '!G59+บ่าย!G59</f>
        <v>61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66</v>
      </c>
      <c r="M59" s="11"/>
      <c r="N59" s="11"/>
      <c r="O59" s="11"/>
      <c r="P59" s="11"/>
      <c r="Q59" s="45">
        <f t="shared" si="1"/>
        <v>-66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4</v>
      </c>
      <c r="G60" s="31">
        <f>'เย็น '!G60+'เช้า '!G60+บ่าย!G60</f>
        <v>61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65</v>
      </c>
      <c r="M60" s="11"/>
      <c r="N60" s="11"/>
      <c r="O60" s="11"/>
      <c r="P60" s="11"/>
      <c r="Q60" s="45">
        <f t="shared" si="1"/>
        <v>-65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5</v>
      </c>
      <c r="G61" s="31">
        <f>'เย็น '!G61+'เช้า '!G61+บ่าย!G61</f>
        <v>60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65</v>
      </c>
      <c r="M61" s="11"/>
      <c r="N61" s="11"/>
      <c r="O61" s="11"/>
      <c r="P61" s="11"/>
      <c r="Q61" s="45">
        <f t="shared" si="1"/>
        <v>-65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5</v>
      </c>
      <c r="G62" s="31">
        <f>'เย็น '!G62+'เช้า '!G62+บ่าย!G62</f>
        <v>60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65</v>
      </c>
      <c r="M62" s="11"/>
      <c r="N62" s="11"/>
      <c r="O62" s="11"/>
      <c r="P62" s="11"/>
      <c r="Q62" s="45">
        <f t="shared" si="1"/>
        <v>-65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4</v>
      </c>
      <c r="G63" s="31">
        <f>'เย็น '!G63+'เช้า '!G63+บ่าย!G63</f>
        <v>60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64</v>
      </c>
      <c r="M63" s="11"/>
      <c r="N63" s="11"/>
      <c r="O63" s="11"/>
      <c r="P63" s="11"/>
      <c r="Q63" s="45">
        <f t="shared" si="1"/>
        <v>-64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4</v>
      </c>
      <c r="G64" s="31">
        <f>'เย็น '!G64+'เช้า '!G64+บ่าย!G64</f>
        <v>60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64</v>
      </c>
      <c r="M64" s="11"/>
      <c r="N64" s="11"/>
      <c r="O64" s="11"/>
      <c r="P64" s="11"/>
      <c r="Q64" s="45">
        <f t="shared" si="1"/>
        <v>-64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1</v>
      </c>
      <c r="G65" s="31">
        <f>'เย็น '!G65+'เช้า '!G65+บ่าย!G65</f>
        <v>60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61</v>
      </c>
      <c r="M65" s="11"/>
      <c r="N65" s="11"/>
      <c r="O65" s="11"/>
      <c r="P65" s="11"/>
      <c r="Q65" s="45">
        <f t="shared" si="1"/>
        <v>-61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14</v>
      </c>
      <c r="E69" s="31">
        <f>'เย็น '!E69+'เช้า '!E69+บ่าย!E69</f>
        <v>4</v>
      </c>
      <c r="F69" s="31">
        <f>'เย็น '!F69+'เช้า '!F69+บ่าย!F69</f>
        <v>7</v>
      </c>
      <c r="G69" s="31">
        <f>'เย็น '!G69+'เช้า '!G69+บ่าย!G69</f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27</v>
      </c>
      <c r="M69" s="11"/>
      <c r="N69" s="11"/>
      <c r="O69" s="11"/>
      <c r="P69" s="11"/>
      <c r="Q69" s="45">
        <f t="shared" ref="Q69:Q76" si="5">(M69+N69+O69+P69)-L69</f>
        <v>-27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4</v>
      </c>
      <c r="F87" s="31">
        <f>'เย็น '!F87+'เช้า '!F87+บ่าย!F87</f>
        <v>0</v>
      </c>
      <c r="G87" s="31">
        <f>'เย็น '!G87+'เช้า '!G87+บ่าย!G87</f>
        <v>193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197</v>
      </c>
      <c r="M87" s="11"/>
      <c r="N87" s="11"/>
      <c r="O87" s="11"/>
      <c r="P87" s="11"/>
      <c r="Q87" s="45">
        <f t="shared" si="8"/>
        <v>-197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7</v>
      </c>
      <c r="E90" s="31">
        <f>'เย็น '!E90+'เช้า '!E90+บ่าย!E90</f>
        <v>78</v>
      </c>
      <c r="F90" s="31">
        <f>'เย็น '!F90+'เช้า '!F90+บ่าย!F90</f>
        <v>13</v>
      </c>
      <c r="G90" s="31">
        <f>'เย็น '!G90+'เช้า '!G90+บ่าย!G90</f>
        <v>67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10</v>
      </c>
      <c r="L90" s="37">
        <f t="shared" ref="L90:L99" si="9">SUM(D90:K90)</f>
        <v>175</v>
      </c>
      <c r="M90" s="11"/>
      <c r="N90" s="11"/>
      <c r="O90" s="11"/>
      <c r="P90" s="11"/>
      <c r="Q90" s="45">
        <f t="shared" ref="Q90:Q99" si="10">(M90+N90+O90+P90)-L90</f>
        <v>-175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7</v>
      </c>
      <c r="E91" s="31">
        <f>'เย็น '!E91+'เช้า '!E91+บ่าย!E91</f>
        <v>78</v>
      </c>
      <c r="F91" s="31">
        <f>'เย็น '!F91+'เช้า '!F91+บ่าย!F91</f>
        <v>21</v>
      </c>
      <c r="G91" s="31">
        <f>'เย็น '!G91+'เช้า '!G91+บ่าย!G91</f>
        <v>66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30</v>
      </c>
      <c r="L91" s="37">
        <f t="shared" si="9"/>
        <v>202</v>
      </c>
      <c r="M91" s="11"/>
      <c r="N91" s="11"/>
      <c r="O91" s="11"/>
      <c r="P91" s="11"/>
      <c r="Q91" s="45">
        <f t="shared" si="10"/>
        <v>-202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18</v>
      </c>
      <c r="E92" s="31">
        <f>'เย็น '!E92+'เช้า '!E92+บ่าย!E92</f>
        <v>46</v>
      </c>
      <c r="F92" s="31">
        <f>'เย็น '!F92+'เช้า '!F92+บ่าย!F92</f>
        <v>8</v>
      </c>
      <c r="G92" s="31">
        <f>'เย็น '!G92+'เช้า '!G92+บ่าย!G92</f>
        <v>79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5</v>
      </c>
      <c r="L92" s="37">
        <f t="shared" si="9"/>
        <v>156</v>
      </c>
      <c r="M92" s="11"/>
      <c r="N92" s="11"/>
      <c r="O92" s="11"/>
      <c r="P92" s="11"/>
      <c r="Q92" s="45">
        <f t="shared" si="10"/>
        <v>-156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13</v>
      </c>
      <c r="E93" s="31">
        <f>'เย็น '!E93+'เช้า '!E93+บ่าย!E93</f>
        <v>45</v>
      </c>
      <c r="F93" s="31">
        <f>'เย็น '!F93+'เช้า '!F93+บ่าย!F93</f>
        <v>8</v>
      </c>
      <c r="G93" s="31">
        <f>'เย็น '!G93+'เช้า '!G93+บ่าย!G93</f>
        <v>77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12</v>
      </c>
      <c r="L93" s="37">
        <f t="shared" si="9"/>
        <v>155</v>
      </c>
      <c r="M93" s="11"/>
      <c r="N93" s="11"/>
      <c r="O93" s="11"/>
      <c r="P93" s="11"/>
      <c r="Q93" s="45">
        <f t="shared" si="10"/>
        <v>-155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8</v>
      </c>
      <c r="E97" s="31">
        <f>'เย็น '!E97+'เช้า '!E97+บ่าย!E97</f>
        <v>45</v>
      </c>
      <c r="F97" s="31">
        <f>'เย็น '!F97+'เช้า '!F97+บ่าย!F97</f>
        <v>8</v>
      </c>
      <c r="G97" s="31">
        <f>'เย็น '!G97+'เช้า '!G97+บ่าย!G97</f>
        <v>76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11</v>
      </c>
      <c r="L97" s="37">
        <f t="shared" si="9"/>
        <v>148</v>
      </c>
      <c r="M97" s="11"/>
      <c r="N97" s="11"/>
      <c r="O97" s="11"/>
      <c r="P97" s="11"/>
      <c r="Q97" s="45">
        <f t="shared" si="10"/>
        <v>-148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10</v>
      </c>
      <c r="E98" s="31">
        <f>'เย็น '!E98+'เช้า '!E98+บ่าย!E98</f>
        <v>77</v>
      </c>
      <c r="F98" s="31">
        <f>'เย็น '!F98+'เช้า '!F98+บ่าย!F98</f>
        <v>14</v>
      </c>
      <c r="G98" s="31">
        <f>'เย็น '!G98+'เช้า '!G98+บ่าย!G98</f>
        <v>79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13</v>
      </c>
      <c r="L98" s="37">
        <f t="shared" si="9"/>
        <v>193</v>
      </c>
      <c r="M98" s="11"/>
      <c r="N98" s="11"/>
      <c r="O98" s="11"/>
      <c r="P98" s="11"/>
      <c r="Q98" s="45">
        <f t="shared" si="10"/>
        <v>-193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1029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72</v>
      </c>
      <c r="E114" s="31">
        <f>'เย็น '!E114+'เช้า '!E114+บ่าย!E114</f>
        <v>3</v>
      </c>
      <c r="F114" s="31">
        <f>'เย็น '!F114+'เช้า '!F114+บ่าย!F114</f>
        <v>5</v>
      </c>
      <c r="G114" s="31">
        <f>'เย็น '!G114+'เช้า '!G114+บ่าย!G114</f>
        <v>39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119</v>
      </c>
      <c r="M114" s="11"/>
      <c r="N114" s="11"/>
      <c r="O114" s="11"/>
      <c r="P114" s="11"/>
      <c r="Q114" s="45">
        <f t="shared" ref="Q114:Q139" si="16">(M114+N114+O114+P114)-L114</f>
        <v>-119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29</v>
      </c>
      <c r="E115" s="31">
        <f>'เย็น '!E115+'เช้า '!E115+บ่าย!E115</f>
        <v>8</v>
      </c>
      <c r="F115" s="31">
        <f>'เย็น '!F115+'เช้า '!F115+บ่าย!F115</f>
        <v>6</v>
      </c>
      <c r="G115" s="31">
        <f>'เย็น '!G115+'เช้า '!G115+บ่าย!G115</f>
        <v>22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65</v>
      </c>
      <c r="M115" s="11"/>
      <c r="N115" s="11"/>
      <c r="O115" s="11"/>
      <c r="P115" s="11"/>
      <c r="Q115" s="45">
        <f t="shared" si="16"/>
        <v>-65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42</v>
      </c>
      <c r="E116" s="31">
        <f>'เย็น '!E116+'เช้า '!E116+บ่าย!E116</f>
        <v>6</v>
      </c>
      <c r="F116" s="31">
        <f>'เย็น '!F116+'เช้า '!F116+บ่าย!F116</f>
        <v>5</v>
      </c>
      <c r="G116" s="31">
        <f>'เย็น '!G116+'เช้า '!G116+บ่าย!G116</f>
        <v>26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79</v>
      </c>
      <c r="M116" s="11"/>
      <c r="N116" s="11"/>
      <c r="O116" s="11"/>
      <c r="P116" s="11"/>
      <c r="Q116" s="45">
        <f t="shared" si="16"/>
        <v>-79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3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3</v>
      </c>
      <c r="M118" s="11"/>
      <c r="N118" s="11"/>
      <c r="O118" s="11"/>
      <c r="P118" s="11"/>
      <c r="Q118" s="45">
        <f t="shared" si="16"/>
        <v>-3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3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3</v>
      </c>
      <c r="M120" s="11"/>
      <c r="N120" s="11"/>
      <c r="O120" s="11"/>
      <c r="P120" s="11"/>
      <c r="Q120" s="45">
        <f t="shared" si="16"/>
        <v>-3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1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1</v>
      </c>
      <c r="M122" s="11"/>
      <c r="N122" s="11"/>
      <c r="O122" s="11"/>
      <c r="P122" s="11"/>
      <c r="Q122" s="45">
        <f t="shared" si="16"/>
        <v>-1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2</v>
      </c>
      <c r="G123" s="31">
        <f>'เย็น '!G123+'เช้า '!G123+บ่าย!G123</f>
        <v>2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4</v>
      </c>
      <c r="M123" s="11"/>
      <c r="N123" s="11"/>
      <c r="O123" s="11"/>
      <c r="P123" s="11"/>
      <c r="Q123" s="45">
        <f t="shared" si="16"/>
        <v>-4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1</v>
      </c>
      <c r="G124" s="31">
        <f>'เย็น '!G124+'เช้า '!G124+บ่าย!G124</f>
        <v>2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4</v>
      </c>
      <c r="M124" s="11"/>
      <c r="N124" s="11"/>
      <c r="O124" s="11"/>
      <c r="P124" s="11"/>
      <c r="Q124" s="45">
        <f t="shared" si="16"/>
        <v>-4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2</v>
      </c>
      <c r="G125" s="31">
        <f>'เย็น '!G125+'เช้า '!G125+บ่าย!G125</f>
        <v>3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5</v>
      </c>
      <c r="M125" s="11"/>
      <c r="N125" s="11"/>
      <c r="O125" s="11"/>
      <c r="P125" s="11"/>
      <c r="Q125" s="45">
        <f t="shared" si="16"/>
        <v>-5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79</v>
      </c>
      <c r="F126" s="31">
        <f>'เย็น '!F126+'เช้า '!F126+บ่าย!F126</f>
        <v>65</v>
      </c>
      <c r="G126" s="31">
        <f>'เย็น '!G126+'เช้า '!G126+บ่าย!G126</f>
        <v>36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180</v>
      </c>
      <c r="M126" s="11"/>
      <c r="N126" s="11"/>
      <c r="O126" s="11"/>
      <c r="P126" s="11"/>
      <c r="Q126" s="45">
        <f t="shared" si="16"/>
        <v>-180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4</v>
      </c>
      <c r="F135" s="31">
        <f>'เย็น '!F135+'เช้า '!F135+บ่าย!F135</f>
        <v>6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10</v>
      </c>
      <c r="M135" s="11"/>
      <c r="N135" s="11"/>
      <c r="O135" s="11"/>
      <c r="P135" s="11"/>
      <c r="Q135" s="45">
        <f t="shared" si="16"/>
        <v>-10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1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1</v>
      </c>
      <c r="M136" s="11"/>
      <c r="N136" s="11"/>
      <c r="O136" s="11"/>
      <c r="P136" s="11"/>
      <c r="Q136" s="45">
        <f t="shared" si="16"/>
        <v>-1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245</v>
      </c>
      <c r="E140" s="37">
        <f t="shared" ref="E140:K140" si="17">SUM(E114:E139,E90:E99,E79:E87,E69:E76,E7:E66,E102:E111)</f>
        <v>580</v>
      </c>
      <c r="F140" s="37">
        <f t="shared" si="17"/>
        <v>257</v>
      </c>
      <c r="G140" s="37">
        <f t="shared" si="17"/>
        <v>1599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101</v>
      </c>
      <c r="L140" s="37">
        <f>SUM(L114:L139,L90:L99,L79:L87,L69:L76,L7:L66,L102:L111)</f>
        <v>2782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-2782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2025-01-23T00:56:06Z</cp:lastPrinted>
  <dcterms:created xsi:type="dcterms:W3CDTF">2024-04-30T05:21:27Z</dcterms:created>
  <dcterms:modified xsi:type="dcterms:W3CDTF">2025-01-23T00:56:52Z</dcterms:modified>
</cp:coreProperties>
</file>