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3AD3A5CC-924C-49C2-B617-330C00362622}" xr6:coauthVersionLast="47" xr6:coauthVersionMax="47" xr10:uidLastSave="{00000000-0000-0000-0000-000000000000}"/>
  <bookViews>
    <workbookView xWindow="-108" yWindow="-108" windowWidth="23256" windowHeight="12456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definedNames>
    <definedName name="_xlnm.Print_Titles" localSheetId="3">รวม!$1:$4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7" i="5" l="1"/>
  <c r="Q137" i="5"/>
  <c r="Q138" i="5"/>
  <c r="Q139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14" i="5"/>
  <c r="Q98" i="5"/>
  <c r="Q97" i="5"/>
  <c r="Q93" i="5"/>
  <c r="Q92" i="5"/>
  <c r="Q91" i="5"/>
  <c r="Q90" i="5"/>
  <c r="Q69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94" i="5"/>
  <c r="Q95" i="5"/>
  <c r="Q96" i="5"/>
  <c r="Q112" i="5" l="1"/>
  <c r="D90" i="5" l="1"/>
  <c r="D91" i="5"/>
  <c r="D92" i="5"/>
  <c r="D93" i="5"/>
  <c r="D94" i="5"/>
  <c r="D95" i="5"/>
  <c r="D96" i="5"/>
  <c r="L139" i="6" l="1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Q77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E91" i="5"/>
  <c r="F91" i="5"/>
  <c r="G91" i="5"/>
  <c r="H91" i="5"/>
  <c r="I91" i="5"/>
  <c r="J91" i="5"/>
  <c r="K91" i="5"/>
  <c r="E92" i="5"/>
  <c r="F92" i="5"/>
  <c r="G92" i="5"/>
  <c r="H92" i="5"/>
  <c r="I92" i="5"/>
  <c r="J92" i="5"/>
  <c r="K92" i="5"/>
  <c r="E93" i="5"/>
  <c r="F93" i="5"/>
  <c r="G93" i="5"/>
  <c r="H93" i="5"/>
  <c r="I93" i="5"/>
  <c r="J93" i="5"/>
  <c r="K93" i="5"/>
  <c r="E94" i="5"/>
  <c r="F94" i="5"/>
  <c r="G94" i="5"/>
  <c r="H94" i="5"/>
  <c r="I94" i="5"/>
  <c r="J94" i="5"/>
  <c r="K94" i="5"/>
  <c r="E95" i="5"/>
  <c r="F95" i="5"/>
  <c r="G95" i="5"/>
  <c r="H95" i="5"/>
  <c r="I95" i="5"/>
  <c r="J95" i="5"/>
  <c r="K95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9" i="5" l="1"/>
  <c r="L138" i="5"/>
  <c r="K140" i="5"/>
  <c r="L137" i="5"/>
  <c r="L135" i="5"/>
  <c r="L136" i="5"/>
  <c r="L112" i="6"/>
  <c r="L112" i="3"/>
  <c r="L130" i="5"/>
  <c r="L129" i="5"/>
  <c r="L90" i="5"/>
  <c r="L93" i="5"/>
  <c r="L95" i="5"/>
  <c r="L127" i="5"/>
  <c r="L118" i="5"/>
  <c r="L131" i="5"/>
  <c r="L133" i="5"/>
  <c r="L126" i="5"/>
  <c r="L119" i="5"/>
  <c r="L124" i="5"/>
  <c r="L117" i="5"/>
  <c r="L94" i="5"/>
  <c r="L128" i="5"/>
  <c r="L96" i="5"/>
  <c r="L125" i="5"/>
  <c r="L121" i="5"/>
  <c r="L134" i="5"/>
  <c r="L120" i="5"/>
  <c r="L87" i="5"/>
  <c r="L115" i="5"/>
  <c r="L92" i="5"/>
  <c r="L98" i="5"/>
  <c r="L97" i="5"/>
  <c r="L91" i="5"/>
  <c r="L123" i="5"/>
  <c r="L132" i="5"/>
  <c r="L122" i="5"/>
  <c r="L116" i="5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D140" i="5" l="1"/>
  <c r="J140" i="5"/>
  <c r="I140" i="5"/>
  <c r="H140" i="5"/>
  <c r="G140" i="5"/>
  <c r="F140" i="5"/>
  <c r="E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L109" i="5"/>
  <c r="Q109" i="5" s="1"/>
  <c r="L72" i="5"/>
  <c r="Q72" i="5" s="1"/>
  <c r="L11" i="5"/>
  <c r="L76" i="5"/>
  <c r="Q76" i="5" s="1"/>
  <c r="L59" i="5"/>
  <c r="L43" i="5"/>
  <c r="L7" i="5"/>
  <c r="L111" i="5"/>
  <c r="Q111" i="5" s="1"/>
  <c r="L54" i="5"/>
  <c r="L38" i="5"/>
  <c r="L71" i="5"/>
  <c r="Q71" i="5" s="1"/>
  <c r="L47" i="5"/>
  <c r="L15" i="5"/>
  <c r="L8" i="5"/>
  <c r="L49" i="5"/>
  <c r="L33" i="5"/>
  <c r="L17" i="5"/>
  <c r="L81" i="5"/>
  <c r="Q81" i="5" s="1"/>
  <c r="L58" i="5"/>
  <c r="L42" i="5"/>
  <c r="L26" i="5"/>
  <c r="L10" i="5"/>
  <c r="L69" i="5"/>
  <c r="L108" i="5"/>
  <c r="Q108" i="5" s="1"/>
  <c r="L20" i="5"/>
  <c r="L52" i="5"/>
  <c r="L61" i="5"/>
  <c r="L28" i="5"/>
  <c r="L12" i="5"/>
  <c r="L110" i="5"/>
  <c r="Q110" i="5" s="1"/>
  <c r="L53" i="5"/>
  <c r="L37" i="5"/>
  <c r="L21" i="5"/>
  <c r="L85" i="5"/>
  <c r="Q85" i="5" s="1"/>
  <c r="L103" i="5"/>
  <c r="Q103" i="5" s="1"/>
  <c r="L84" i="5"/>
  <c r="Q84" i="5" s="1"/>
  <c r="L29" i="5"/>
  <c r="L105" i="5"/>
  <c r="Q105" i="5" s="1"/>
  <c r="L31" i="5"/>
  <c r="L56" i="5"/>
  <c r="L106" i="5"/>
  <c r="Q106" i="5" s="1"/>
  <c r="L51" i="5"/>
  <c r="L19" i="5"/>
  <c r="L83" i="5"/>
  <c r="Q83" i="5" s="1"/>
  <c r="L46" i="5"/>
  <c r="L30" i="5"/>
  <c r="L55" i="5"/>
  <c r="L39" i="5"/>
  <c r="L64" i="5"/>
  <c r="L48" i="5"/>
  <c r="L32" i="5"/>
  <c r="L16" i="5"/>
  <c r="L74" i="5"/>
  <c r="Q74" i="5" s="1"/>
  <c r="L80" i="5"/>
  <c r="Q80" i="5" s="1"/>
  <c r="L13" i="5"/>
  <c r="L86" i="5"/>
  <c r="Q86" i="5" s="1"/>
  <c r="L40" i="5"/>
  <c r="L24" i="5"/>
  <c r="L65" i="5"/>
  <c r="L60" i="5"/>
  <c r="L14" i="5"/>
  <c r="L57" i="5"/>
  <c r="L41" i="5"/>
  <c r="L25" i="5"/>
  <c r="L9" i="5"/>
  <c r="L107" i="5"/>
  <c r="Q107" i="5" s="1"/>
  <c r="L36" i="5"/>
  <c r="L45" i="5"/>
  <c r="L22" i="5"/>
  <c r="L104" i="5"/>
  <c r="Q104" i="5" s="1"/>
  <c r="L63" i="5"/>
  <c r="L99" i="5"/>
  <c r="L35" i="5"/>
  <c r="L44" i="5"/>
  <c r="L62" i="5"/>
  <c r="L23" i="5"/>
  <c r="L66" i="5"/>
  <c r="L50" i="5"/>
  <c r="L34" i="5"/>
  <c r="L18" i="5"/>
  <c r="L82" i="5"/>
  <c r="Q82" i="5" s="1"/>
  <c r="L140" i="5" l="1"/>
  <c r="L88" i="5"/>
  <c r="Q88" i="5" s="1"/>
  <c r="L67" i="5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<sst xmlns="http://schemas.openxmlformats.org/spreadsheetml/2006/main" count="613" uniqueCount="145">
  <si>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</si>
  <si>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</si>
  <si>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</si>
  <si>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</si>
  <si>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</si>
  <si>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</si>
  <si>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</si>
  <si>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</si>
  <si>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</si>
  <si>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</si>
  <si>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</si>
  <si>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</si>
  <si>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</si>
  <si>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</si>
  <si>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</si>
  <si>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</si>
  <si>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</si>
  <si>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</si>
  <si>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</si>
  <si>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</si>
  <si>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</si>
  <si>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</si>
  <si>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</si>
  <si>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</si>
  <si>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</si>
  <si>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</si>
  <si>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</si>
  <si>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</si>
  <si>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</si>
  <si>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</si>
  <si>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</si>
  <si>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</si>
  <si>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</si>
  <si>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</si>
  <si>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</si>
  <si>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</si>
  <si>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</si>
  <si>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</si>
  <si>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</si>
  <si>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</si>
  <si>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</si>
  <si>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</si>
  <si>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</si>
  <si>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</si>
  <si>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</si>
  <si>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</si>
  <si>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</si>
  <si>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</si>
  <si>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</si>
  <si>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</si>
  <si>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</si>
  <si>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</si>
  <si>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</si>
  <si>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</si>
  <si>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</si>
  <si>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</si>
  <si>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</si>
  <si>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</si>
  <si>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</si>
  <si>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</si>
  <si>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</si>
  <si>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</si>
  <si>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</si>
  <si>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</si>
  <si>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</si>
  <si>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</si>
  <si>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</si>
  <si>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</si>
  <si>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</si>
  <si>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</si>
  <si>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</si>
  <si>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</si>
  <si>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</si>
  <si>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</si>
  <si>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</si>
  <si>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</si>
  <si>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</si>
  <si>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</si>
  <si>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</si>
  <si>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</si>
  <si>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</si>
  <si>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</si>
  <si>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</si>
  <si>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</si>
  <si>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</si>
  <si>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</si>
  <si>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</si>
  <si>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</si>
  <si>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</si>
  <si>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</si>
  <si>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</si>
  <si>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</si>
  <si>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</si>
  <si>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</si>
  <si>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</si>
  <si>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</si>
  <si>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</si>
  <si>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</si>
  <si>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</si>
  <si>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</si>
  <si>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</si>
  <si>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</si>
  <si>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</si>
  <si>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</si>
  <si>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</si>
  <si>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</si>
  <si>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</si>
  <si>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</si>
  <si>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</si>
  <si>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</si>
  <si>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</si>
  <si>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</si>
  <si>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</si>
  <si>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</si>
  <si>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</si>
  <si>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</si>
  <si>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</si>
  <si>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</si>
  <si>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</si>
  <si>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</si>
  <si>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</si>
  <si>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</si>
  <si>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</si>
  <si>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</si>
  <si>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</si>
  <si>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</si>
  <si>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</si>
  <si>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</si>
  <si>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</si>
  <si>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</si>
  <si>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</si>
  <si>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</si>
  <si>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</si>
  <si>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</si>
  <si>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</si>
  <si>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</si>
  <si>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</si>
  <si>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</si>
  <si>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</si>
  <si>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</si>
  <si>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</si>
  <si>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ยอดจริง ออนไลน์ วันที่ 4/1/2568 - เย็น</t>
  </si>
  <si>
    <t>ยอดจริง ออนไลน์ วันที่ 6/1/68 รวม</t>
  </si>
  <si>
    <t>ยอดเมโม่</t>
  </si>
  <si>
    <t>ยอดฟอแคสพรุ่งนี้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</si>
</sst>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J45" sqref="J45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141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100" zoomScale="60" zoomScaleNormal="60" workbookViewId="0">
      <selection activeCell="H127" sqref="H12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17</v>
      </c>
      <c r="E7" s="31">
        <v>66</v>
      </c>
      <c r="F7" s="31">
        <v>306</v>
      </c>
      <c r="G7" s="31">
        <v>3</v>
      </c>
      <c r="H7" s="31"/>
      <c r="I7" s="31"/>
      <c r="J7" s="44"/>
      <c r="K7" s="44"/>
      <c r="L7" s="37">
        <f>SUM(D7:K7)</f>
        <v>392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>
        <v>185</v>
      </c>
      <c r="L16" s="37">
        <f t="shared" si="0"/>
        <v>185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17</v>
      </c>
      <c r="E25" s="31">
        <v>3</v>
      </c>
      <c r="F25" s="31">
        <v>18</v>
      </c>
      <c r="G25" s="31">
        <v>1</v>
      </c>
      <c r="H25" s="31"/>
      <c r="I25" s="31"/>
      <c r="J25" s="44"/>
      <c r="K25" s="44"/>
      <c r="L25" s="37">
        <f t="shared" si="0"/>
        <v>39</v>
      </c>
    </row>
    <row r="26" spans="2:12" x14ac:dyDescent="0.25">
      <c r="B26" s="11">
        <v>1004055</v>
      </c>
      <c r="C26" s="15" t="s">
        <v>108</v>
      </c>
      <c r="D26" s="31">
        <v>15</v>
      </c>
      <c r="E26" s="31">
        <v>4</v>
      </c>
      <c r="F26" s="31">
        <v>10</v>
      </c>
      <c r="G26" s="31">
        <v>265</v>
      </c>
      <c r="H26" s="31">
        <v>234</v>
      </c>
      <c r="I26" s="31"/>
      <c r="J26" s="44"/>
      <c r="K26" s="44"/>
      <c r="L26" s="37">
        <f t="shared" si="0"/>
        <v>528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>
        <v>5</v>
      </c>
      <c r="G40" s="31"/>
      <c r="H40" s="31">
        <v>2</v>
      </c>
      <c r="I40" s="31"/>
      <c r="J40" s="44"/>
      <c r="K40" s="44"/>
      <c r="L40" s="37">
        <f t="shared" si="0"/>
        <v>7</v>
      </c>
    </row>
    <row r="41" spans="2:12" x14ac:dyDescent="0.25">
      <c r="B41" s="11">
        <v>1111058</v>
      </c>
      <c r="C41" s="15" t="s">
        <v>31</v>
      </c>
      <c r="D41" s="31"/>
      <c r="E41" s="31"/>
      <c r="F41" s="31">
        <v>1</v>
      </c>
      <c r="G41" s="31"/>
      <c r="H41" s="31">
        <v>2</v>
      </c>
      <c r="I41" s="31"/>
      <c r="J41" s="44"/>
      <c r="K41" s="44"/>
      <c r="L41" s="37">
        <f t="shared" si="0"/>
        <v>3</v>
      </c>
    </row>
    <row r="42" spans="2:12" x14ac:dyDescent="0.25">
      <c r="B42" s="11">
        <v>1111059</v>
      </c>
      <c r="C42" s="15" t="s">
        <v>32</v>
      </c>
      <c r="D42" s="31"/>
      <c r="E42" s="31"/>
      <c r="F42" s="31">
        <v>1</v>
      </c>
      <c r="G42" s="31">
        <v>5</v>
      </c>
      <c r="H42" s="31">
        <v>5</v>
      </c>
      <c r="I42" s="31"/>
      <c r="J42" s="44"/>
      <c r="K42" s="44"/>
      <c r="L42" s="37">
        <f t="shared" si="0"/>
        <v>11</v>
      </c>
    </row>
    <row r="43" spans="2:12" x14ac:dyDescent="0.25">
      <c r="B43" s="11">
        <v>1111060</v>
      </c>
      <c r="C43" s="15" t="s">
        <v>33</v>
      </c>
      <c r="D43" s="31"/>
      <c r="E43" s="31"/>
      <c r="F43" s="31">
        <v>1</v>
      </c>
      <c r="G43" s="31"/>
      <c r="H43" s="31"/>
      <c r="I43" s="31"/>
      <c r="J43" s="44"/>
      <c r="K43" s="44"/>
      <c r="L43" s="37">
        <f t="shared" si="0"/>
        <v>1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>
        <v>2</v>
      </c>
      <c r="I44" s="31"/>
      <c r="J44" s="44"/>
      <c r="K44" s="44"/>
      <c r="L44" s="37">
        <f t="shared" si="0"/>
        <v>2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>
        <v>1</v>
      </c>
      <c r="G46" s="31"/>
      <c r="H46" s="31">
        <v>2</v>
      </c>
      <c r="I46" s="31"/>
      <c r="J46" s="44"/>
      <c r="K46" s="44"/>
      <c r="L46" s="37">
        <f t="shared" si="0"/>
        <v>3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>
        <v>2</v>
      </c>
      <c r="I47" s="31"/>
      <c r="J47" s="44"/>
      <c r="K47" s="44"/>
      <c r="L47" s="37">
        <f t="shared" si="0"/>
        <v>2</v>
      </c>
    </row>
    <row r="48" spans="2:12" x14ac:dyDescent="0.25">
      <c r="B48" s="11">
        <v>1111065</v>
      </c>
      <c r="C48" s="15" t="s">
        <v>38</v>
      </c>
      <c r="D48" s="31"/>
      <c r="E48" s="31"/>
      <c r="F48" s="31">
        <v>1</v>
      </c>
      <c r="G48" s="31"/>
      <c r="H48" s="31"/>
      <c r="I48" s="31"/>
      <c r="J48" s="44"/>
      <c r="K48" s="44"/>
      <c r="L48" s="37">
        <f t="shared" si="0"/>
        <v>1</v>
      </c>
    </row>
    <row r="49" spans="2:12" x14ac:dyDescent="0.25">
      <c r="B49" s="11">
        <v>1111066</v>
      </c>
      <c r="C49" s="15" t="s">
        <v>39</v>
      </c>
      <c r="D49" s="31"/>
      <c r="E49" s="31"/>
      <c r="F49" s="31">
        <v>1</v>
      </c>
      <c r="G49" s="31"/>
      <c r="H49" s="31">
        <v>2</v>
      </c>
      <c r="I49" s="31"/>
      <c r="J49" s="44"/>
      <c r="K49" s="44"/>
      <c r="L49" s="37">
        <f t="shared" si="0"/>
        <v>3</v>
      </c>
    </row>
    <row r="50" spans="2:12" x14ac:dyDescent="0.25">
      <c r="B50" s="11">
        <v>1111067</v>
      </c>
      <c r="C50" s="15" t="s">
        <v>40</v>
      </c>
      <c r="D50" s="31"/>
      <c r="E50" s="31"/>
      <c r="F50" s="31">
        <v>1</v>
      </c>
      <c r="G50" s="31">
        <v>5</v>
      </c>
      <c r="H50" s="31">
        <v>7</v>
      </c>
      <c r="I50" s="31"/>
      <c r="J50" s="44"/>
      <c r="K50" s="44"/>
      <c r="L50" s="37">
        <f t="shared" si="0"/>
        <v>13</v>
      </c>
    </row>
    <row r="51" spans="2:12" x14ac:dyDescent="0.25">
      <c r="B51" s="11">
        <v>1111068</v>
      </c>
      <c r="C51" s="15" t="s">
        <v>41</v>
      </c>
      <c r="D51" s="31"/>
      <c r="E51" s="31"/>
      <c r="F51" s="31">
        <v>1</v>
      </c>
      <c r="G51" s="31"/>
      <c r="H51" s="31">
        <v>2</v>
      </c>
      <c r="I51" s="31"/>
      <c r="J51" s="44"/>
      <c r="K51" s="44"/>
      <c r="L51" s="37">
        <f t="shared" si="0"/>
        <v>3</v>
      </c>
    </row>
    <row r="52" spans="2:12" x14ac:dyDescent="0.25">
      <c r="B52" s="11">
        <v>1111069</v>
      </c>
      <c r="C52" s="15" t="s">
        <v>42</v>
      </c>
      <c r="D52" s="31"/>
      <c r="E52" s="31"/>
      <c r="F52" s="31">
        <v>1</v>
      </c>
      <c r="G52" s="31"/>
      <c r="H52" s="31">
        <v>2</v>
      </c>
      <c r="I52" s="31"/>
      <c r="J52" s="44"/>
      <c r="K52" s="44"/>
      <c r="L52" s="37">
        <f t="shared" si="0"/>
        <v>3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>
        <v>2</v>
      </c>
      <c r="E56" s="31">
        <v>1</v>
      </c>
      <c r="F56" s="31">
        <v>9</v>
      </c>
      <c r="G56" s="31">
        <v>2</v>
      </c>
      <c r="H56" s="31"/>
      <c r="I56" s="31"/>
      <c r="J56" s="44"/>
      <c r="K56" s="44"/>
      <c r="L56" s="37">
        <f t="shared" si="0"/>
        <v>14</v>
      </c>
    </row>
    <row r="57" spans="2:12" x14ac:dyDescent="0.25">
      <c r="B57" s="11">
        <v>1111075</v>
      </c>
      <c r="C57" s="15" t="s">
        <v>45</v>
      </c>
      <c r="D57" s="31">
        <v>2</v>
      </c>
      <c r="E57" s="31">
        <v>1</v>
      </c>
      <c r="F57" s="31">
        <v>9</v>
      </c>
      <c r="G57" s="31">
        <v>2</v>
      </c>
      <c r="H57" s="31"/>
      <c r="I57" s="31"/>
      <c r="J57" s="44"/>
      <c r="K57" s="44"/>
      <c r="L57" s="37">
        <f t="shared" si="0"/>
        <v>14</v>
      </c>
    </row>
    <row r="58" spans="2:12" x14ac:dyDescent="0.25">
      <c r="B58" s="11">
        <v>1111076</v>
      </c>
      <c r="C58" s="15" t="s">
        <v>46</v>
      </c>
      <c r="D58" s="31">
        <v>2</v>
      </c>
      <c r="E58" s="31">
        <v>1</v>
      </c>
      <c r="F58" s="31">
        <v>9</v>
      </c>
      <c r="G58" s="31">
        <v>2</v>
      </c>
      <c r="H58" s="31"/>
      <c r="I58" s="31"/>
      <c r="J58" s="44"/>
      <c r="K58" s="44"/>
      <c r="L58" s="37">
        <f t="shared" si="0"/>
        <v>14</v>
      </c>
    </row>
    <row r="59" spans="2:12" x14ac:dyDescent="0.25">
      <c r="B59" s="11">
        <v>1111077</v>
      </c>
      <c r="C59" s="15" t="s">
        <v>47</v>
      </c>
      <c r="D59" s="31">
        <v>2</v>
      </c>
      <c r="E59" s="31">
        <v>1</v>
      </c>
      <c r="F59" s="31">
        <v>9</v>
      </c>
      <c r="G59" s="31">
        <v>2</v>
      </c>
      <c r="H59" s="31"/>
      <c r="I59" s="31"/>
      <c r="J59" s="44"/>
      <c r="K59" s="44"/>
      <c r="L59" s="37">
        <f t="shared" si="0"/>
        <v>14</v>
      </c>
    </row>
    <row r="60" spans="2:12" x14ac:dyDescent="0.25">
      <c r="B60" s="11">
        <v>1111078</v>
      </c>
      <c r="C60" s="15" t="s">
        <v>48</v>
      </c>
      <c r="D60" s="31">
        <v>2</v>
      </c>
      <c r="E60" s="31">
        <v>1</v>
      </c>
      <c r="F60" s="31">
        <v>9</v>
      </c>
      <c r="G60" s="31">
        <v>2</v>
      </c>
      <c r="H60" s="31"/>
      <c r="I60" s="31"/>
      <c r="J60" s="44"/>
      <c r="K60" s="44"/>
      <c r="L60" s="37">
        <f t="shared" si="0"/>
        <v>14</v>
      </c>
    </row>
    <row r="61" spans="2:12" x14ac:dyDescent="0.25">
      <c r="B61" s="11">
        <v>1111079</v>
      </c>
      <c r="C61" s="15" t="s">
        <v>49</v>
      </c>
      <c r="D61" s="31">
        <v>2</v>
      </c>
      <c r="E61" s="31">
        <v>1</v>
      </c>
      <c r="F61" s="31">
        <v>9</v>
      </c>
      <c r="G61" s="31">
        <v>2</v>
      </c>
      <c r="H61" s="31"/>
      <c r="I61" s="31"/>
      <c r="J61" s="44"/>
      <c r="K61" s="44"/>
      <c r="L61" s="37">
        <f t="shared" si="0"/>
        <v>14</v>
      </c>
    </row>
    <row r="62" spans="2:12" x14ac:dyDescent="0.25">
      <c r="B62" s="11">
        <v>1111080</v>
      </c>
      <c r="C62" s="15" t="s">
        <v>50</v>
      </c>
      <c r="D62" s="31">
        <v>2</v>
      </c>
      <c r="E62" s="31">
        <v>1</v>
      </c>
      <c r="F62" s="31">
        <v>9</v>
      </c>
      <c r="G62" s="31">
        <v>2</v>
      </c>
      <c r="H62" s="31"/>
      <c r="I62" s="31"/>
      <c r="J62" s="44"/>
      <c r="K62" s="44"/>
      <c r="L62" s="37">
        <f t="shared" si="0"/>
        <v>14</v>
      </c>
    </row>
    <row r="63" spans="2:12" x14ac:dyDescent="0.25">
      <c r="B63" s="11">
        <v>1111081</v>
      </c>
      <c r="C63" s="15" t="s">
        <v>51</v>
      </c>
      <c r="D63" s="31">
        <v>2</v>
      </c>
      <c r="E63" s="31">
        <v>1</v>
      </c>
      <c r="F63" s="31">
        <v>9</v>
      </c>
      <c r="G63" s="31">
        <v>2</v>
      </c>
      <c r="H63" s="31"/>
      <c r="I63" s="31"/>
      <c r="J63" s="44"/>
      <c r="K63" s="44"/>
      <c r="L63" s="37">
        <f t="shared" si="0"/>
        <v>14</v>
      </c>
    </row>
    <row r="64" spans="2:12" x14ac:dyDescent="0.25">
      <c r="B64" s="11">
        <v>1111082</v>
      </c>
      <c r="C64" s="15" t="s">
        <v>52</v>
      </c>
      <c r="D64" s="31">
        <v>2</v>
      </c>
      <c r="E64" s="31">
        <v>1</v>
      </c>
      <c r="F64" s="31">
        <v>9</v>
      </c>
      <c r="G64" s="31">
        <v>2</v>
      </c>
      <c r="H64" s="31"/>
      <c r="I64" s="31"/>
      <c r="J64" s="44"/>
      <c r="K64" s="44"/>
      <c r="L64" s="37">
        <f t="shared" si="0"/>
        <v>14</v>
      </c>
    </row>
    <row r="65" spans="2:12" x14ac:dyDescent="0.25">
      <c r="B65" s="11">
        <v>1111083</v>
      </c>
      <c r="C65" s="15" t="s">
        <v>53</v>
      </c>
      <c r="D65" s="31">
        <v>2</v>
      </c>
      <c r="E65" s="31">
        <v>1</v>
      </c>
      <c r="F65" s="31">
        <v>9</v>
      </c>
      <c r="G65" s="31">
        <v>2</v>
      </c>
      <c r="H65" s="31"/>
      <c r="I65" s="31"/>
      <c r="J65" s="44"/>
      <c r="K65" s="44"/>
      <c r="L65" s="37">
        <f t="shared" si="0"/>
        <v>14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27</v>
      </c>
      <c r="E69" s="31">
        <v>3</v>
      </c>
      <c r="F69" s="31">
        <v>23</v>
      </c>
      <c r="G69" s="31">
        <v>3</v>
      </c>
      <c r="H69" s="31"/>
      <c r="I69" s="31"/>
      <c r="J69" s="44"/>
      <c r="K69" s="44"/>
      <c r="L69" s="37">
        <f t="shared" ref="L69:L76" si="1">SUM(D69:K69)</f>
        <v>56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>
        <v>25</v>
      </c>
      <c r="E87" s="31">
        <v>2</v>
      </c>
      <c r="F87" s="31"/>
      <c r="G87" s="31">
        <v>263</v>
      </c>
      <c r="H87" s="31">
        <v>255</v>
      </c>
      <c r="I87" s="31"/>
      <c r="J87" s="44"/>
      <c r="K87" s="44"/>
      <c r="L87" s="37">
        <f t="shared" si="2"/>
        <v>545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>
        <v>9</v>
      </c>
      <c r="E90" s="31">
        <v>13</v>
      </c>
      <c r="F90" s="31">
        <v>24</v>
      </c>
      <c r="G90" s="31">
        <v>84</v>
      </c>
      <c r="H90" s="31">
        <v>5</v>
      </c>
      <c r="I90" s="31"/>
      <c r="J90" s="44"/>
      <c r="K90" s="44"/>
      <c r="L90" s="37">
        <f t="shared" ref="L90:L99" si="3">SUM(D90:K90)</f>
        <v>135</v>
      </c>
    </row>
    <row r="91" spans="2:12" x14ac:dyDescent="0.25">
      <c r="B91" s="11">
        <v>1112011</v>
      </c>
      <c r="C91" s="20" t="s">
        <v>76</v>
      </c>
      <c r="D91" s="31">
        <v>41</v>
      </c>
      <c r="E91" s="31">
        <v>16</v>
      </c>
      <c r="F91" s="31">
        <v>26</v>
      </c>
      <c r="G91" s="31">
        <v>84</v>
      </c>
      <c r="H91" s="31">
        <v>5</v>
      </c>
      <c r="I91" s="31"/>
      <c r="J91" s="44"/>
      <c r="K91" s="44"/>
      <c r="L91" s="37">
        <f t="shared" si="3"/>
        <v>172</v>
      </c>
    </row>
    <row r="92" spans="2:12" x14ac:dyDescent="0.25">
      <c r="B92" s="11">
        <v>1112003</v>
      </c>
      <c r="C92" s="20" t="s">
        <v>77</v>
      </c>
      <c r="D92" s="31">
        <v>8</v>
      </c>
      <c r="E92" s="31"/>
      <c r="F92" s="31"/>
      <c r="G92" s="31">
        <v>63</v>
      </c>
      <c r="H92" s="31">
        <v>4</v>
      </c>
      <c r="I92" s="31"/>
      <c r="J92" s="44"/>
      <c r="K92" s="44"/>
      <c r="L92" s="37">
        <f t="shared" si="3"/>
        <v>75</v>
      </c>
    </row>
    <row r="93" spans="2:12" x14ac:dyDescent="0.25">
      <c r="B93" s="11">
        <v>1112005</v>
      </c>
      <c r="C93" s="20" t="s">
        <v>78</v>
      </c>
      <c r="D93" s="31">
        <v>7</v>
      </c>
      <c r="E93" s="31"/>
      <c r="F93" s="31"/>
      <c r="G93" s="31">
        <v>63</v>
      </c>
      <c r="H93" s="31">
        <v>4</v>
      </c>
      <c r="I93" s="31"/>
      <c r="J93" s="44"/>
      <c r="K93" s="44"/>
      <c r="L93" s="37">
        <f t="shared" si="3"/>
        <v>74</v>
      </c>
    </row>
    <row r="94" spans="2:12" hidden="1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>
        <v>7</v>
      </c>
      <c r="E97" s="31"/>
      <c r="F97" s="31"/>
      <c r="G97" s="31">
        <v>60</v>
      </c>
      <c r="H97" s="31">
        <v>4</v>
      </c>
      <c r="I97" s="31"/>
      <c r="J97" s="44"/>
      <c r="K97" s="44"/>
      <c r="L97" s="37">
        <f t="shared" si="3"/>
        <v>71</v>
      </c>
    </row>
    <row r="98" spans="2:12" x14ac:dyDescent="0.25">
      <c r="B98" s="11">
        <v>1112013</v>
      </c>
      <c r="C98" s="20" t="s">
        <v>83</v>
      </c>
      <c r="D98" s="31">
        <v>7</v>
      </c>
      <c r="E98" s="31">
        <v>14</v>
      </c>
      <c r="F98" s="31">
        <v>22</v>
      </c>
      <c r="G98" s="31">
        <v>83</v>
      </c>
      <c r="H98" s="31">
        <v>4</v>
      </c>
      <c r="I98" s="31"/>
      <c r="J98" s="44"/>
      <c r="K98" s="44"/>
      <c r="L98" s="37">
        <f t="shared" si="3"/>
        <v>130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>
        <v>1</v>
      </c>
      <c r="G118" s="31"/>
      <c r="H118" s="31"/>
      <c r="I118" s="31"/>
      <c r="J118" s="44"/>
      <c r="K118" s="44"/>
      <c r="L118" s="37">
        <f t="shared" si="6"/>
        <v>1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>
        <v>10</v>
      </c>
      <c r="G119" s="31"/>
      <c r="H119" s="31"/>
      <c r="I119" s="31"/>
      <c r="J119" s="44"/>
      <c r="K119" s="44"/>
      <c r="L119" s="37">
        <f t="shared" si="6"/>
        <v>10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>
        <v>1</v>
      </c>
      <c r="H120" s="31"/>
      <c r="I120" s="31"/>
      <c r="J120" s="44"/>
      <c r="K120" s="44"/>
      <c r="L120" s="37">
        <f t="shared" si="6"/>
        <v>1</v>
      </c>
    </row>
    <row r="121" spans="2:12" x14ac:dyDescent="0.25">
      <c r="B121" s="11">
        <v>1200001</v>
      </c>
      <c r="C121" s="22" t="s">
        <v>93</v>
      </c>
      <c r="D121" s="31">
        <v>40</v>
      </c>
      <c r="E121" s="31"/>
      <c r="F121" s="31"/>
      <c r="G121" s="31"/>
      <c r="H121" s="31"/>
      <c r="I121" s="31"/>
      <c r="J121" s="44"/>
      <c r="K121" s="44"/>
      <c r="L121" s="37">
        <f t="shared" si="6"/>
        <v>40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>
        <v>10</v>
      </c>
      <c r="F123" s="31">
        <v>15</v>
      </c>
      <c r="G123" s="31">
        <v>58</v>
      </c>
      <c r="H123" s="31">
        <v>14</v>
      </c>
      <c r="I123" s="31"/>
      <c r="J123" s="44"/>
      <c r="K123" s="44"/>
      <c r="L123" s="37">
        <f t="shared" si="6"/>
        <v>97</v>
      </c>
    </row>
    <row r="124" spans="2:12" x14ac:dyDescent="0.25">
      <c r="B124" s="11">
        <v>1114502</v>
      </c>
      <c r="C124" s="22" t="s">
        <v>96</v>
      </c>
      <c r="D124" s="31"/>
      <c r="E124" s="31">
        <v>3</v>
      </c>
      <c r="F124" s="31">
        <v>12</v>
      </c>
      <c r="G124" s="31">
        <v>58</v>
      </c>
      <c r="H124" s="31">
        <v>14</v>
      </c>
      <c r="I124" s="31"/>
      <c r="J124" s="44"/>
      <c r="K124" s="44"/>
      <c r="L124" s="37">
        <f t="shared" si="6"/>
        <v>87</v>
      </c>
    </row>
    <row r="125" spans="2:12" x14ac:dyDescent="0.25">
      <c r="B125" s="11">
        <v>1114503</v>
      </c>
      <c r="C125" s="22" t="s">
        <v>97</v>
      </c>
      <c r="D125" s="31">
        <v>1</v>
      </c>
      <c r="E125" s="31">
        <v>4</v>
      </c>
      <c r="F125" s="31">
        <v>15</v>
      </c>
      <c r="G125" s="31">
        <v>58</v>
      </c>
      <c r="H125" s="31">
        <v>14</v>
      </c>
      <c r="I125" s="31"/>
      <c r="J125" s="44"/>
      <c r="K125" s="44"/>
      <c r="L125" s="37">
        <f t="shared" si="6"/>
        <v>92</v>
      </c>
    </row>
    <row r="126" spans="2:12" x14ac:dyDescent="0.25">
      <c r="B126" s="11">
        <v>1124021</v>
      </c>
      <c r="C126" s="22" t="s">
        <v>98</v>
      </c>
      <c r="D126" s="31"/>
      <c r="E126" s="31">
        <v>36</v>
      </c>
      <c r="F126" s="31">
        <v>179</v>
      </c>
      <c r="G126" s="31">
        <v>9</v>
      </c>
      <c r="H126" s="31">
        <v>6</v>
      </c>
      <c r="I126" s="31"/>
      <c r="J126" s="44"/>
      <c r="K126" s="44"/>
      <c r="L126" s="37">
        <f t="shared" si="6"/>
        <v>230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>
        <v>3</v>
      </c>
      <c r="E131" s="31"/>
      <c r="F131" s="31"/>
      <c r="G131" s="31"/>
      <c r="H131" s="31"/>
      <c r="I131" s="31"/>
      <c r="J131" s="44"/>
      <c r="K131" s="44"/>
      <c r="L131" s="37">
        <f t="shared" si="6"/>
        <v>3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>
        <v>3</v>
      </c>
      <c r="F136" s="31"/>
      <c r="G136" s="31"/>
      <c r="H136" s="31"/>
      <c r="I136" s="31"/>
      <c r="J136" s="44"/>
      <c r="K136" s="44"/>
      <c r="L136" s="37">
        <f t="shared" si="6"/>
        <v>3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09"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2"/>
  <sheetViews>
    <sheetView tabSelected="1" topLeftCell="A133" zoomScale="70" zoomScaleNormal="70" workbookViewId="0">
      <selection activeCell="B1" sqref="B1:Q145"/>
    </sheetView>
  </sheetViews>
  <sheetFormatPr defaultRowHeight="22.2" x14ac:dyDescent="0.35"/>
  <cols>
    <col min="2" max="2" width="22.09765625" style="24" customWidth="1"/>
    <col min="3" max="3" width="59.09765625" style="24" customWidth="1"/>
    <col min="4" max="11" width="14.3984375" style="16" hidden="1" customWidth="1"/>
    <col min="12" max="12" width="17.59765625" style="26" customWidth="1"/>
    <col min="13" max="13" width="16.09765625" style="24" hidden="1" customWidth="1"/>
    <col min="14" max="16" width="15.3984375" style="24" hidden="1" customWidth="1"/>
    <col min="17" max="17" width="14.3984375" style="29" hidden="1" customWidth="1"/>
    <col min="18" max="18" width="9.09765625" customWidth="1"/>
    <col min="19" max="19" width="7.3984375" customWidth="1"/>
    <col min="20" max="20" width="22.69921875" style="46" customWidth="1"/>
    <col min="21" max="21" width="9.09765625" style="46"/>
  </cols>
  <sheetData>
    <row r="1" spans="2:17" x14ac:dyDescent="0.35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3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143</v>
      </c>
      <c r="P2" s="73" t="s">
        <v>144</v>
      </c>
      <c r="Q2" s="70" t="s">
        <v>1</v>
      </c>
    </row>
    <row r="3" spans="2:17" x14ac:dyDescent="0.3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74"/>
      <c r="Q3" s="71"/>
    </row>
    <row r="4" spans="2:17" x14ac:dyDescent="0.3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75"/>
      <c r="Q4" s="72"/>
    </row>
    <row r="5" spans="2:17" x14ac:dyDescent="0.3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0.399999999999999" x14ac:dyDescent="0.3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35">
      <c r="B7" s="11">
        <v>1111002</v>
      </c>
      <c r="C7" s="15" t="s">
        <v>107</v>
      </c>
      <c r="D7" s="31">
        <f>'เย็น '!D7+'เช้า '!D7+บ่าย!D7</f>
        <v>17</v>
      </c>
      <c r="E7" s="31">
        <f>'เย็น '!E7+'เช้า '!E7+บ่าย!E7</f>
        <v>66</v>
      </c>
      <c r="F7" s="31">
        <f>'เย็น '!F7+'เช้า '!F7+บ่าย!F7</f>
        <v>306</v>
      </c>
      <c r="G7" s="31">
        <f>'เย็น '!G7+'เช้า '!G7+บ่าย!G7</f>
        <v>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392</v>
      </c>
      <c r="M7" s="11">
        <v>250</v>
      </c>
      <c r="N7" s="11">
        <v>1426</v>
      </c>
      <c r="O7" s="11"/>
      <c r="P7" s="11">
        <v>250</v>
      </c>
      <c r="Q7" s="45">
        <f t="shared" ref="Q7:Q66" si="0">(M7+N7+O7+P7)-L7</f>
        <v>1534</v>
      </c>
    </row>
    <row r="8" spans="2:17" hidden="1" x14ac:dyDescent="0.3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1">SUM(D8:K8)</f>
        <v>0</v>
      </c>
      <c r="M8" s="11"/>
      <c r="N8" s="11"/>
      <c r="O8" s="11"/>
      <c r="P8" s="11"/>
      <c r="Q8" s="45">
        <f t="shared" si="0"/>
        <v>0</v>
      </c>
    </row>
    <row r="9" spans="2:17" hidden="1" x14ac:dyDescent="0.3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1"/>
        <v>0</v>
      </c>
      <c r="M9" s="11"/>
      <c r="N9" s="11"/>
      <c r="O9" s="11"/>
      <c r="P9" s="11"/>
      <c r="Q9" s="45">
        <f t="shared" si="0"/>
        <v>0</v>
      </c>
    </row>
    <row r="10" spans="2:17" hidden="1" x14ac:dyDescent="0.3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1"/>
        <v>0</v>
      </c>
      <c r="M10" s="11"/>
      <c r="N10" s="11"/>
      <c r="O10" s="11"/>
      <c r="P10" s="11"/>
      <c r="Q10" s="45">
        <f t="shared" si="0"/>
        <v>0</v>
      </c>
    </row>
    <row r="11" spans="2:17" hidden="1" x14ac:dyDescent="0.3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1"/>
        <v>0</v>
      </c>
      <c r="M11" s="11"/>
      <c r="N11" s="11"/>
      <c r="O11" s="11"/>
      <c r="P11" s="11"/>
      <c r="Q11" s="45">
        <f t="shared" si="0"/>
        <v>0</v>
      </c>
    </row>
    <row r="12" spans="2:17" hidden="1" x14ac:dyDescent="0.3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1"/>
        <v>0</v>
      </c>
      <c r="M12" s="11"/>
      <c r="N12" s="11"/>
      <c r="O12" s="11"/>
      <c r="P12" s="11"/>
      <c r="Q12" s="45">
        <f t="shared" si="0"/>
        <v>0</v>
      </c>
    </row>
    <row r="13" spans="2:17" hidden="1" x14ac:dyDescent="0.3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1"/>
        <v>0</v>
      </c>
      <c r="M13" s="11"/>
      <c r="N13" s="11"/>
      <c r="O13" s="11"/>
      <c r="P13" s="11"/>
      <c r="Q13" s="45">
        <f t="shared" si="0"/>
        <v>0</v>
      </c>
    </row>
    <row r="14" spans="2:17" hidden="1" x14ac:dyDescent="0.3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1"/>
        <v>0</v>
      </c>
      <c r="M14" s="11"/>
      <c r="N14" s="11"/>
      <c r="O14" s="11"/>
      <c r="P14" s="11"/>
      <c r="Q14" s="45">
        <f t="shared" si="0"/>
        <v>0</v>
      </c>
    </row>
    <row r="15" spans="2:17" hidden="1" x14ac:dyDescent="0.3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1"/>
        <v>0</v>
      </c>
      <c r="M15" s="11"/>
      <c r="N15" s="11"/>
      <c r="O15" s="11"/>
      <c r="P15" s="11"/>
      <c r="Q15" s="45">
        <f t="shared" si="0"/>
        <v>0</v>
      </c>
    </row>
    <row r="16" spans="2:17" x14ac:dyDescent="0.3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185</v>
      </c>
      <c r="L16" s="37">
        <f t="shared" si="1"/>
        <v>185</v>
      </c>
      <c r="M16" s="11">
        <v>185</v>
      </c>
      <c r="N16" s="11"/>
      <c r="O16" s="11"/>
      <c r="P16" s="11"/>
      <c r="Q16" s="45">
        <f t="shared" si="0"/>
        <v>0</v>
      </c>
    </row>
    <row r="17" spans="2:21" hidden="1" x14ac:dyDescent="0.3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1"/>
        <v>0</v>
      </c>
      <c r="M17" s="11"/>
      <c r="N17" s="11"/>
      <c r="O17" s="11"/>
      <c r="P17" s="11"/>
      <c r="Q17" s="45">
        <f t="shared" si="0"/>
        <v>0</v>
      </c>
    </row>
    <row r="18" spans="2:21" hidden="1" x14ac:dyDescent="0.3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1"/>
        <v>0</v>
      </c>
      <c r="M18" s="11"/>
      <c r="N18" s="11"/>
      <c r="O18" s="11"/>
      <c r="P18" s="11"/>
      <c r="Q18" s="45">
        <f t="shared" si="0"/>
        <v>0</v>
      </c>
    </row>
    <row r="19" spans="2:21" hidden="1" x14ac:dyDescent="0.3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1"/>
        <v>0</v>
      </c>
      <c r="M19" s="11"/>
      <c r="N19" s="11"/>
      <c r="O19" s="11"/>
      <c r="P19" s="11"/>
      <c r="Q19" s="45">
        <f t="shared" si="0"/>
        <v>0</v>
      </c>
    </row>
    <row r="20" spans="2:21" hidden="1" x14ac:dyDescent="0.3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1"/>
        <v>0</v>
      </c>
      <c r="M20" s="11"/>
      <c r="N20" s="11"/>
      <c r="O20" s="11"/>
      <c r="P20" s="11"/>
      <c r="Q20" s="45">
        <f t="shared" si="0"/>
        <v>0</v>
      </c>
    </row>
    <row r="21" spans="2:21" hidden="1" x14ac:dyDescent="0.3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1"/>
        <v>0</v>
      </c>
      <c r="M21" s="11"/>
      <c r="N21" s="11"/>
      <c r="O21" s="11"/>
      <c r="P21" s="11"/>
      <c r="Q21" s="45">
        <f t="shared" si="0"/>
        <v>0</v>
      </c>
    </row>
    <row r="22" spans="2:21" hidden="1" x14ac:dyDescent="0.3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1"/>
        <v>0</v>
      </c>
      <c r="M22" s="11"/>
      <c r="N22" s="11"/>
      <c r="O22" s="11"/>
      <c r="P22" s="11"/>
      <c r="Q22" s="45">
        <f t="shared" si="0"/>
        <v>0</v>
      </c>
    </row>
    <row r="23" spans="2:21" hidden="1" x14ac:dyDescent="0.3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1"/>
        <v>0</v>
      </c>
      <c r="M23" s="11"/>
      <c r="N23" s="11"/>
      <c r="O23" s="11"/>
      <c r="P23" s="11"/>
      <c r="Q23" s="45">
        <f t="shared" si="0"/>
        <v>0</v>
      </c>
    </row>
    <row r="24" spans="2:21" hidden="1" x14ac:dyDescent="0.3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1"/>
        <v>0</v>
      </c>
      <c r="M24" s="11"/>
      <c r="N24" s="11"/>
      <c r="O24" s="11"/>
      <c r="P24" s="11"/>
      <c r="Q24" s="45">
        <f t="shared" si="0"/>
        <v>0</v>
      </c>
    </row>
    <row r="25" spans="2:21" x14ac:dyDescent="0.35">
      <c r="B25" s="11">
        <v>1111056</v>
      </c>
      <c r="C25" s="15" t="s">
        <v>28</v>
      </c>
      <c r="D25" s="31">
        <f>'เย็น '!D25+'เช้า '!D25+บ่าย!D25</f>
        <v>17</v>
      </c>
      <c r="E25" s="31">
        <f>'เย็น '!E25+'เช้า '!E25+บ่าย!E25</f>
        <v>3</v>
      </c>
      <c r="F25" s="31">
        <f>'เย็น '!F25+'เช้า '!F25+บ่าย!F25</f>
        <v>18</v>
      </c>
      <c r="G25" s="31">
        <f>'เย็น '!G25+'เช้า '!G25+บ่าย!G25</f>
        <v>1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1"/>
        <v>39</v>
      </c>
      <c r="M25" s="11">
        <v>50</v>
      </c>
      <c r="N25" s="11">
        <v>127</v>
      </c>
      <c r="O25" s="11"/>
      <c r="P25" s="11">
        <v>50</v>
      </c>
      <c r="Q25" s="45">
        <f>(M25+N25+O25+P25)-L25</f>
        <v>188</v>
      </c>
    </row>
    <row r="26" spans="2:21" x14ac:dyDescent="0.35">
      <c r="B26" s="11">
        <v>1004055</v>
      </c>
      <c r="C26" s="15" t="s">
        <v>108</v>
      </c>
      <c r="D26" s="31">
        <f>'เย็น '!D26+'เช้า '!D26+บ่าย!D26</f>
        <v>15</v>
      </c>
      <c r="E26" s="31">
        <f>'เย็น '!E26+'เช้า '!E26+บ่าย!E26</f>
        <v>4</v>
      </c>
      <c r="F26" s="31">
        <f>'เย็น '!F26+'เช้า '!F26+บ่าย!F26</f>
        <v>10</v>
      </c>
      <c r="G26" s="31">
        <f>'เย็น '!G26+'เช้า '!G26+บ่าย!G26</f>
        <v>265</v>
      </c>
      <c r="H26" s="31">
        <f>'เย็น '!H26+'เช้า '!H26+บ่าย!H26</f>
        <v>234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1"/>
        <v>528</v>
      </c>
      <c r="M26" s="11">
        <v>400</v>
      </c>
      <c r="N26" s="11">
        <v>114</v>
      </c>
      <c r="O26" s="11">
        <v>300</v>
      </c>
      <c r="P26" s="11">
        <v>100</v>
      </c>
      <c r="Q26" s="45">
        <f t="shared" si="0"/>
        <v>386</v>
      </c>
      <c r="U26" s="47"/>
    </row>
    <row r="27" spans="2:21" hidden="1" x14ac:dyDescent="0.3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1"/>
        <v>0</v>
      </c>
      <c r="M27" s="11"/>
      <c r="N27" s="11"/>
      <c r="O27" s="11"/>
      <c r="P27" s="11"/>
      <c r="Q27" s="45">
        <f t="shared" si="0"/>
        <v>0</v>
      </c>
      <c r="U27" s="47"/>
    </row>
    <row r="28" spans="2:21" hidden="1" x14ac:dyDescent="0.3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1"/>
        <v>0</v>
      </c>
      <c r="M28" s="11"/>
      <c r="N28" s="11"/>
      <c r="O28" s="11"/>
      <c r="P28" s="11"/>
      <c r="Q28" s="45">
        <f t="shared" si="0"/>
        <v>0</v>
      </c>
      <c r="U28" s="47"/>
    </row>
    <row r="29" spans="2:21" hidden="1" x14ac:dyDescent="0.3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1"/>
        <v>0</v>
      </c>
      <c r="M29" s="11"/>
      <c r="N29" s="11"/>
      <c r="O29" s="11"/>
      <c r="P29" s="11"/>
      <c r="Q29" s="45">
        <f t="shared" si="0"/>
        <v>0</v>
      </c>
      <c r="U29" s="47"/>
    </row>
    <row r="30" spans="2:21" hidden="1" x14ac:dyDescent="0.3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1"/>
        <v>0</v>
      </c>
      <c r="M30" s="11"/>
      <c r="N30" s="11"/>
      <c r="O30" s="11"/>
      <c r="P30" s="11"/>
      <c r="Q30" s="45">
        <f t="shared" si="0"/>
        <v>0</v>
      </c>
      <c r="U30" s="47"/>
    </row>
    <row r="31" spans="2:21" hidden="1" x14ac:dyDescent="0.3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1"/>
        <v>0</v>
      </c>
      <c r="M31" s="11"/>
      <c r="N31" s="11"/>
      <c r="O31" s="11"/>
      <c r="P31" s="11"/>
      <c r="Q31" s="45">
        <f t="shared" si="0"/>
        <v>0</v>
      </c>
      <c r="U31" s="47"/>
    </row>
    <row r="32" spans="2:21" hidden="1" x14ac:dyDescent="0.3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1"/>
        <v>0</v>
      </c>
      <c r="M32" s="11"/>
      <c r="N32" s="11"/>
      <c r="O32" s="11"/>
      <c r="P32" s="11"/>
      <c r="Q32" s="45">
        <f t="shared" si="0"/>
        <v>0</v>
      </c>
      <c r="U32" s="47"/>
    </row>
    <row r="33" spans="2:21" hidden="1" x14ac:dyDescent="0.3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1"/>
        <v>0</v>
      </c>
      <c r="M33" s="11"/>
      <c r="N33" s="11"/>
      <c r="O33" s="11"/>
      <c r="P33" s="11"/>
      <c r="Q33" s="45">
        <f t="shared" si="0"/>
        <v>0</v>
      </c>
      <c r="U33" s="47"/>
    </row>
    <row r="34" spans="2:21" hidden="1" x14ac:dyDescent="0.3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1"/>
        <v>0</v>
      </c>
      <c r="M34" s="11"/>
      <c r="N34" s="11"/>
      <c r="O34" s="11"/>
      <c r="P34" s="11"/>
      <c r="Q34" s="45">
        <f t="shared" si="0"/>
        <v>0</v>
      </c>
      <c r="U34" s="47"/>
    </row>
    <row r="35" spans="2:21" hidden="1" x14ac:dyDescent="0.3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1"/>
        <v>0</v>
      </c>
      <c r="M35" s="11"/>
      <c r="N35" s="11"/>
      <c r="O35" s="11"/>
      <c r="P35" s="11"/>
      <c r="Q35" s="45">
        <f t="shared" si="0"/>
        <v>0</v>
      </c>
      <c r="U35" s="47"/>
    </row>
    <row r="36" spans="2:21" hidden="1" x14ac:dyDescent="0.3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1"/>
        <v>0</v>
      </c>
      <c r="M36" s="11"/>
      <c r="N36" s="11"/>
      <c r="O36" s="11"/>
      <c r="P36" s="11"/>
      <c r="Q36" s="45">
        <f t="shared" si="0"/>
        <v>0</v>
      </c>
      <c r="U36" s="47"/>
    </row>
    <row r="37" spans="2:21" hidden="1" x14ac:dyDescent="0.3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1"/>
        <v>0</v>
      </c>
      <c r="M37" s="11"/>
      <c r="N37" s="11"/>
      <c r="O37" s="11"/>
      <c r="P37" s="11"/>
      <c r="Q37" s="45">
        <f t="shared" si="0"/>
        <v>0</v>
      </c>
      <c r="U37" s="47"/>
    </row>
    <row r="38" spans="2:21" hidden="1" x14ac:dyDescent="0.3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1"/>
        <v>0</v>
      </c>
      <c r="M38" s="11"/>
      <c r="N38" s="11"/>
      <c r="O38" s="11"/>
      <c r="P38" s="11"/>
      <c r="Q38" s="45">
        <f t="shared" si="0"/>
        <v>0</v>
      </c>
      <c r="U38" s="47"/>
    </row>
    <row r="39" spans="2:21" hidden="1" x14ac:dyDescent="0.3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1"/>
        <v>0</v>
      </c>
      <c r="M39" s="11"/>
      <c r="N39" s="11"/>
      <c r="O39" s="11"/>
      <c r="P39" s="11"/>
      <c r="Q39" s="45">
        <f t="shared" si="0"/>
        <v>0</v>
      </c>
      <c r="U39" s="47"/>
    </row>
    <row r="40" spans="2:21" x14ac:dyDescent="0.35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5</v>
      </c>
      <c r="G40" s="31">
        <f>'เย็น '!G40+'เช้า '!G40+บ่าย!G40</f>
        <v>0</v>
      </c>
      <c r="H40" s="31">
        <f>'เย็น '!H40+'เช้า '!H40+บ่าย!H40</f>
        <v>2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1"/>
        <v>7</v>
      </c>
      <c r="M40" s="11"/>
      <c r="N40" s="11"/>
      <c r="O40" s="11">
        <v>20</v>
      </c>
      <c r="P40" s="11"/>
      <c r="Q40" s="45">
        <f t="shared" si="0"/>
        <v>13</v>
      </c>
      <c r="U40" s="47"/>
    </row>
    <row r="41" spans="2:21" x14ac:dyDescent="0.3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1</v>
      </c>
      <c r="G41" s="31">
        <f>'เย็น '!G41+'เช้า '!G41+บ่าย!G41</f>
        <v>0</v>
      </c>
      <c r="H41" s="31">
        <f>'เย็น '!H41+'เช้า '!H41+บ่าย!H41</f>
        <v>2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1"/>
        <v>3</v>
      </c>
      <c r="M41" s="11"/>
      <c r="N41" s="11"/>
      <c r="O41" s="11">
        <v>20</v>
      </c>
      <c r="P41" s="11"/>
      <c r="Q41" s="45">
        <f t="shared" si="0"/>
        <v>17</v>
      </c>
      <c r="U41" s="47"/>
    </row>
    <row r="42" spans="2:21" x14ac:dyDescent="0.3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1</v>
      </c>
      <c r="G42" s="31">
        <f>'เย็น '!G42+'เช้า '!G42+บ่าย!G42</f>
        <v>5</v>
      </c>
      <c r="H42" s="31">
        <f>'เย็น '!H42+'เช้า '!H42+บ่าย!H42</f>
        <v>5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1"/>
        <v>11</v>
      </c>
      <c r="M42" s="11"/>
      <c r="N42" s="11"/>
      <c r="O42" s="11">
        <v>20</v>
      </c>
      <c r="P42" s="11"/>
      <c r="Q42" s="45">
        <f t="shared" si="0"/>
        <v>9</v>
      </c>
      <c r="U42" s="47"/>
    </row>
    <row r="43" spans="2:21" x14ac:dyDescent="0.3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1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1"/>
        <v>1</v>
      </c>
      <c r="M43" s="11"/>
      <c r="N43" s="11"/>
      <c r="O43" s="11">
        <v>20</v>
      </c>
      <c r="P43" s="11"/>
      <c r="Q43" s="45">
        <f t="shared" si="0"/>
        <v>19</v>
      </c>
      <c r="U43" s="47"/>
    </row>
    <row r="44" spans="2:21" x14ac:dyDescent="0.3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2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1"/>
        <v>2</v>
      </c>
      <c r="M44" s="11"/>
      <c r="N44" s="11"/>
      <c r="O44" s="11">
        <v>20</v>
      </c>
      <c r="P44" s="11"/>
      <c r="Q44" s="45">
        <f t="shared" si="0"/>
        <v>18</v>
      </c>
      <c r="U44" s="47"/>
    </row>
    <row r="45" spans="2:21" x14ac:dyDescent="0.3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1"/>
        <v>0</v>
      </c>
      <c r="M45" s="11"/>
      <c r="N45" s="11"/>
      <c r="O45" s="11">
        <v>20</v>
      </c>
      <c r="P45" s="11"/>
      <c r="Q45" s="45">
        <f t="shared" si="0"/>
        <v>20</v>
      </c>
      <c r="U45" s="47"/>
    </row>
    <row r="46" spans="2:21" x14ac:dyDescent="0.3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1</v>
      </c>
      <c r="G46" s="31">
        <f>'เย็น '!G46+'เช้า '!G46+บ่าย!G46</f>
        <v>0</v>
      </c>
      <c r="H46" s="31">
        <f>'เย็น '!H46+'เช้า '!H46+บ่าย!H46</f>
        <v>2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1"/>
        <v>3</v>
      </c>
      <c r="M46" s="11"/>
      <c r="N46" s="11"/>
      <c r="O46" s="11">
        <v>20</v>
      </c>
      <c r="P46" s="11"/>
      <c r="Q46" s="45">
        <f t="shared" si="0"/>
        <v>17</v>
      </c>
      <c r="U46" s="47"/>
    </row>
    <row r="47" spans="2:21" x14ac:dyDescent="0.3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2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1"/>
        <v>2</v>
      </c>
      <c r="M47" s="11"/>
      <c r="N47" s="11"/>
      <c r="O47" s="11">
        <v>20</v>
      </c>
      <c r="P47" s="11"/>
      <c r="Q47" s="45">
        <f t="shared" si="0"/>
        <v>18</v>
      </c>
      <c r="U47" s="47"/>
    </row>
    <row r="48" spans="2:21" x14ac:dyDescent="0.3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1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1"/>
        <v>1</v>
      </c>
      <c r="M48" s="11"/>
      <c r="N48" s="11"/>
      <c r="O48" s="11">
        <v>20</v>
      </c>
      <c r="P48" s="11"/>
      <c r="Q48" s="45">
        <f t="shared" si="0"/>
        <v>19</v>
      </c>
      <c r="U48" s="47"/>
    </row>
    <row r="49" spans="2:21" x14ac:dyDescent="0.3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1</v>
      </c>
      <c r="G49" s="31">
        <f>'เย็น '!G49+'เช้า '!G49+บ่าย!G49</f>
        <v>0</v>
      </c>
      <c r="H49" s="31">
        <f>'เย็น '!H49+'เช้า '!H49+บ่าย!H49</f>
        <v>2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1"/>
        <v>3</v>
      </c>
      <c r="M49" s="11"/>
      <c r="N49" s="11"/>
      <c r="O49" s="11">
        <v>20</v>
      </c>
      <c r="P49" s="11"/>
      <c r="Q49" s="45">
        <f t="shared" si="0"/>
        <v>17</v>
      </c>
      <c r="U49" s="47"/>
    </row>
    <row r="50" spans="2:21" x14ac:dyDescent="0.3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1</v>
      </c>
      <c r="G50" s="31">
        <f>'เย็น '!G50+'เช้า '!G50+บ่าย!G50</f>
        <v>5</v>
      </c>
      <c r="H50" s="31">
        <f>'เย็น '!H50+'เช้า '!H50+บ่าย!H50</f>
        <v>7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1"/>
        <v>13</v>
      </c>
      <c r="M50" s="11"/>
      <c r="N50" s="11"/>
      <c r="O50" s="11">
        <v>20</v>
      </c>
      <c r="P50" s="11"/>
      <c r="Q50" s="45">
        <f t="shared" si="0"/>
        <v>7</v>
      </c>
      <c r="U50" s="47"/>
    </row>
    <row r="51" spans="2:21" x14ac:dyDescent="0.3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1</v>
      </c>
      <c r="G51" s="31">
        <f>'เย็น '!G51+'เช้า '!G51+บ่าย!G51</f>
        <v>0</v>
      </c>
      <c r="H51" s="31">
        <f>'เย็น '!H51+'เช้า '!H51+บ่าย!H51</f>
        <v>2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1"/>
        <v>3</v>
      </c>
      <c r="M51" s="11"/>
      <c r="N51" s="11"/>
      <c r="O51" s="11">
        <v>20</v>
      </c>
      <c r="P51" s="11"/>
      <c r="Q51" s="45">
        <f t="shared" si="0"/>
        <v>17</v>
      </c>
      <c r="U51" s="47"/>
    </row>
    <row r="52" spans="2:21" x14ac:dyDescent="0.3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1</v>
      </c>
      <c r="G52" s="31">
        <f>'เย็น '!G52+'เช้า '!G52+บ่าย!G52</f>
        <v>0</v>
      </c>
      <c r="H52" s="31">
        <f>'เย็น '!H52+'เช้า '!H52+บ่าย!H52</f>
        <v>2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1"/>
        <v>3</v>
      </c>
      <c r="M52" s="11"/>
      <c r="N52" s="11"/>
      <c r="O52" s="11">
        <v>20</v>
      </c>
      <c r="P52" s="11"/>
      <c r="Q52" s="45">
        <f t="shared" si="0"/>
        <v>17</v>
      </c>
      <c r="S52" s="47"/>
      <c r="U52" s="47"/>
    </row>
    <row r="53" spans="2:21" x14ac:dyDescent="0.3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1"/>
        <v>0</v>
      </c>
      <c r="M53" s="11"/>
      <c r="N53" s="11"/>
      <c r="O53" s="11"/>
      <c r="P53" s="11"/>
      <c r="Q53" s="45">
        <f t="shared" si="0"/>
        <v>0</v>
      </c>
      <c r="U53" s="47"/>
    </row>
    <row r="54" spans="2:21" x14ac:dyDescent="0.3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1"/>
        <v>0</v>
      </c>
      <c r="M54" s="11"/>
      <c r="N54" s="11"/>
      <c r="O54" s="11"/>
      <c r="P54" s="11"/>
      <c r="Q54" s="45">
        <f t="shared" si="0"/>
        <v>0</v>
      </c>
      <c r="U54" s="47"/>
    </row>
    <row r="55" spans="2:21" hidden="1" x14ac:dyDescent="0.3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1"/>
        <v>0</v>
      </c>
      <c r="M55" s="11"/>
      <c r="N55" s="11"/>
      <c r="O55" s="11"/>
      <c r="P55" s="11"/>
      <c r="Q55" s="45">
        <f t="shared" si="0"/>
        <v>0</v>
      </c>
      <c r="U55" s="47"/>
    </row>
    <row r="56" spans="2:21" x14ac:dyDescent="0.35">
      <c r="B56" s="11">
        <v>1111074</v>
      </c>
      <c r="C56" s="15" t="s">
        <v>44</v>
      </c>
      <c r="D56" s="31">
        <f>'เย็น '!D56+'เช้า '!D56+บ่าย!D56</f>
        <v>2</v>
      </c>
      <c r="E56" s="31">
        <f>'เย็น '!E56+'เช้า '!E56+บ่าย!E56</f>
        <v>1</v>
      </c>
      <c r="F56" s="31">
        <f>'เย็น '!F56+'เช้า '!F56+บ่าย!F56</f>
        <v>9</v>
      </c>
      <c r="G56" s="31">
        <f>'เย็น '!G56+'เช้า '!G56+บ่าย!G56</f>
        <v>2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1"/>
        <v>14</v>
      </c>
      <c r="M56" s="11"/>
      <c r="N56" s="11">
        <v>15</v>
      </c>
      <c r="O56" s="11">
        <v>20</v>
      </c>
      <c r="P56" s="11"/>
      <c r="Q56" s="45">
        <f t="shared" si="0"/>
        <v>21</v>
      </c>
      <c r="U56" s="47"/>
    </row>
    <row r="57" spans="2:21" x14ac:dyDescent="0.35">
      <c r="B57" s="11">
        <v>1111075</v>
      </c>
      <c r="C57" s="15" t="s">
        <v>45</v>
      </c>
      <c r="D57" s="31">
        <f>'เย็น '!D57+'เช้า '!D57+บ่าย!D57</f>
        <v>2</v>
      </c>
      <c r="E57" s="31">
        <f>'เย็น '!E57+'เช้า '!E57+บ่าย!E57</f>
        <v>1</v>
      </c>
      <c r="F57" s="31">
        <f>'เย็น '!F57+'เช้า '!F57+บ่าย!F57</f>
        <v>9</v>
      </c>
      <c r="G57" s="31">
        <f>'เย็น '!G57+'เช้า '!G57+บ่าย!G57</f>
        <v>2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1"/>
        <v>14</v>
      </c>
      <c r="M57" s="11"/>
      <c r="N57" s="11"/>
      <c r="O57" s="11">
        <v>20</v>
      </c>
      <c r="P57" s="11"/>
      <c r="Q57" s="45">
        <f t="shared" si="0"/>
        <v>6</v>
      </c>
      <c r="U57" s="47"/>
    </row>
    <row r="58" spans="2:21" x14ac:dyDescent="0.35">
      <c r="B58" s="11">
        <v>1111076</v>
      </c>
      <c r="C58" s="15" t="s">
        <v>46</v>
      </c>
      <c r="D58" s="31">
        <f>'เย็น '!D58+'เช้า '!D58+บ่าย!D58</f>
        <v>2</v>
      </c>
      <c r="E58" s="31">
        <f>'เย็น '!E58+'เช้า '!E58+บ่าย!E58</f>
        <v>1</v>
      </c>
      <c r="F58" s="31">
        <f>'เย็น '!F58+'เช้า '!F58+บ่าย!F58</f>
        <v>9</v>
      </c>
      <c r="G58" s="31">
        <f>'เย็น '!G58+'เช้า '!G58+บ่าย!G58</f>
        <v>2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1"/>
        <v>14</v>
      </c>
      <c r="M58" s="11"/>
      <c r="N58" s="11"/>
      <c r="O58" s="11">
        <v>20</v>
      </c>
      <c r="P58" s="11"/>
      <c r="Q58" s="45">
        <f t="shared" si="0"/>
        <v>6</v>
      </c>
      <c r="U58" s="47"/>
    </row>
    <row r="59" spans="2:21" x14ac:dyDescent="0.35">
      <c r="B59" s="11">
        <v>1111077</v>
      </c>
      <c r="C59" s="15" t="s">
        <v>47</v>
      </c>
      <c r="D59" s="31">
        <f>'เย็น '!D59+'เช้า '!D59+บ่าย!D59</f>
        <v>2</v>
      </c>
      <c r="E59" s="31">
        <f>'เย็น '!E59+'เช้า '!E59+บ่าย!E59</f>
        <v>1</v>
      </c>
      <c r="F59" s="31">
        <f>'เย็น '!F59+'เช้า '!F59+บ่าย!F59</f>
        <v>9</v>
      </c>
      <c r="G59" s="31">
        <f>'เย็น '!G59+'เช้า '!G59+บ่าย!G59</f>
        <v>2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1"/>
        <v>14</v>
      </c>
      <c r="M59" s="11"/>
      <c r="N59" s="11"/>
      <c r="O59" s="11">
        <v>20</v>
      </c>
      <c r="P59" s="11"/>
      <c r="Q59" s="45">
        <f t="shared" si="0"/>
        <v>6</v>
      </c>
      <c r="U59" s="47"/>
    </row>
    <row r="60" spans="2:21" x14ac:dyDescent="0.35">
      <c r="B60" s="11">
        <v>1111078</v>
      </c>
      <c r="C60" s="15" t="s">
        <v>48</v>
      </c>
      <c r="D60" s="31">
        <f>'เย็น '!D60+'เช้า '!D60+บ่าย!D60</f>
        <v>2</v>
      </c>
      <c r="E60" s="31">
        <f>'เย็น '!E60+'เช้า '!E60+บ่าย!E60</f>
        <v>1</v>
      </c>
      <c r="F60" s="31">
        <f>'เย็น '!F60+'เช้า '!F60+บ่าย!F60</f>
        <v>9</v>
      </c>
      <c r="G60" s="31">
        <f>'เย็น '!G60+'เช้า '!G60+บ่าย!G60</f>
        <v>2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1"/>
        <v>14</v>
      </c>
      <c r="M60" s="11"/>
      <c r="N60" s="11"/>
      <c r="O60" s="11">
        <v>20</v>
      </c>
      <c r="P60" s="11"/>
      <c r="Q60" s="45">
        <f t="shared" si="0"/>
        <v>6</v>
      </c>
      <c r="U60" s="47"/>
    </row>
    <row r="61" spans="2:21" x14ac:dyDescent="0.35">
      <c r="B61" s="11">
        <v>1111079</v>
      </c>
      <c r="C61" s="15" t="s">
        <v>49</v>
      </c>
      <c r="D61" s="31">
        <f>'เย็น '!D61+'เช้า '!D61+บ่าย!D61</f>
        <v>2</v>
      </c>
      <c r="E61" s="31">
        <f>'เย็น '!E61+'เช้า '!E61+บ่าย!E61</f>
        <v>1</v>
      </c>
      <c r="F61" s="31">
        <f>'เย็น '!F61+'เช้า '!F61+บ่าย!F61</f>
        <v>9</v>
      </c>
      <c r="G61" s="31">
        <f>'เย็น '!G61+'เช้า '!G61+บ่าย!G61</f>
        <v>2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1"/>
        <v>14</v>
      </c>
      <c r="M61" s="11"/>
      <c r="N61" s="11"/>
      <c r="O61" s="11">
        <v>20</v>
      </c>
      <c r="P61" s="11"/>
      <c r="Q61" s="45">
        <f t="shared" si="0"/>
        <v>6</v>
      </c>
      <c r="U61" s="47"/>
    </row>
    <row r="62" spans="2:21" x14ac:dyDescent="0.35">
      <c r="B62" s="11">
        <v>1111080</v>
      </c>
      <c r="C62" s="15" t="s">
        <v>50</v>
      </c>
      <c r="D62" s="31">
        <f>'เย็น '!D62+'เช้า '!D62+บ่าย!D62</f>
        <v>2</v>
      </c>
      <c r="E62" s="31">
        <f>'เย็น '!E62+'เช้า '!E62+บ่าย!E62</f>
        <v>1</v>
      </c>
      <c r="F62" s="31">
        <f>'เย็น '!F62+'เช้า '!F62+บ่าย!F62</f>
        <v>9</v>
      </c>
      <c r="G62" s="31">
        <f>'เย็น '!G62+'เช้า '!G62+บ่าย!G62</f>
        <v>2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1"/>
        <v>14</v>
      </c>
      <c r="M62" s="11"/>
      <c r="N62" s="11"/>
      <c r="O62" s="11">
        <v>20</v>
      </c>
      <c r="P62" s="11"/>
      <c r="Q62" s="45">
        <f t="shared" si="0"/>
        <v>6</v>
      </c>
      <c r="U62" s="47"/>
    </row>
    <row r="63" spans="2:21" x14ac:dyDescent="0.35">
      <c r="B63" s="11">
        <v>1111081</v>
      </c>
      <c r="C63" s="15" t="s">
        <v>51</v>
      </c>
      <c r="D63" s="31">
        <f>'เย็น '!D63+'เช้า '!D63+บ่าย!D63</f>
        <v>2</v>
      </c>
      <c r="E63" s="31">
        <f>'เย็น '!E63+'เช้า '!E63+บ่าย!E63</f>
        <v>1</v>
      </c>
      <c r="F63" s="31">
        <f>'เย็น '!F63+'เช้า '!F63+บ่าย!F63</f>
        <v>9</v>
      </c>
      <c r="G63" s="31">
        <f>'เย็น '!G63+'เช้า '!G63+บ่าย!G63</f>
        <v>2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1"/>
        <v>14</v>
      </c>
      <c r="M63" s="11"/>
      <c r="N63" s="11"/>
      <c r="O63" s="11">
        <v>20</v>
      </c>
      <c r="P63" s="11"/>
      <c r="Q63" s="45">
        <f t="shared" si="0"/>
        <v>6</v>
      </c>
      <c r="U63" s="47"/>
    </row>
    <row r="64" spans="2:21" x14ac:dyDescent="0.35">
      <c r="B64" s="11">
        <v>1111082</v>
      </c>
      <c r="C64" s="15" t="s">
        <v>52</v>
      </c>
      <c r="D64" s="31">
        <f>'เย็น '!D64+'เช้า '!D64+บ่าย!D64</f>
        <v>2</v>
      </c>
      <c r="E64" s="31">
        <f>'เย็น '!E64+'เช้า '!E64+บ่าย!E64</f>
        <v>1</v>
      </c>
      <c r="F64" s="31">
        <f>'เย็น '!F64+'เช้า '!F64+บ่าย!F64</f>
        <v>9</v>
      </c>
      <c r="G64" s="31">
        <f>'เย็น '!G64+'เช้า '!G64+บ่าย!G64</f>
        <v>2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1"/>
        <v>14</v>
      </c>
      <c r="M64" s="11"/>
      <c r="N64" s="11"/>
      <c r="O64" s="11">
        <v>20</v>
      </c>
      <c r="P64" s="11"/>
      <c r="Q64" s="45">
        <f t="shared" si="0"/>
        <v>6</v>
      </c>
      <c r="U64" s="47"/>
    </row>
    <row r="65" spans="2:21" x14ac:dyDescent="0.35">
      <c r="B65" s="11">
        <v>1111083</v>
      </c>
      <c r="C65" s="15" t="s">
        <v>53</v>
      </c>
      <c r="D65" s="31">
        <f>'เย็น '!D65+'เช้า '!D65+บ่าย!D65</f>
        <v>2</v>
      </c>
      <c r="E65" s="31">
        <f>'เย็น '!E65+'เช้า '!E65+บ่าย!E65</f>
        <v>1</v>
      </c>
      <c r="F65" s="31">
        <f>'เย็น '!F65+'เช้า '!F65+บ่าย!F65</f>
        <v>9</v>
      </c>
      <c r="G65" s="31">
        <f>'เย็น '!G65+'เช้า '!G65+บ่าย!G65</f>
        <v>2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1"/>
        <v>14</v>
      </c>
      <c r="M65" s="11"/>
      <c r="N65" s="11"/>
      <c r="O65" s="11">
        <v>20</v>
      </c>
      <c r="P65" s="11"/>
      <c r="Q65" s="45">
        <f t="shared" si="0"/>
        <v>6</v>
      </c>
      <c r="S65" s="48"/>
      <c r="U65" s="47"/>
    </row>
    <row r="66" spans="2:21" hidden="1" x14ac:dyDescent="0.3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1"/>
        <v>0</v>
      </c>
      <c r="M66" s="11"/>
      <c r="N66" s="11"/>
      <c r="O66" s="11">
        <v>20</v>
      </c>
      <c r="P66" s="11"/>
      <c r="Q66" s="45">
        <f t="shared" si="0"/>
        <v>20</v>
      </c>
      <c r="U66" s="47"/>
    </row>
    <row r="67" spans="2:21" x14ac:dyDescent="0.3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/>
      <c r="U67" s="47"/>
    </row>
    <row r="68" spans="2:21" ht="20.399999999999999" x14ac:dyDescent="0.3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  <c r="U68" s="47"/>
    </row>
    <row r="69" spans="2:21" x14ac:dyDescent="0.35">
      <c r="B69" s="11">
        <v>1111009</v>
      </c>
      <c r="C69" s="20" t="s">
        <v>56</v>
      </c>
      <c r="D69" s="31">
        <f>'เย็น '!D69+'เช้า '!D69+บ่าย!D69</f>
        <v>27</v>
      </c>
      <c r="E69" s="31">
        <f>'เย็น '!E69+'เช้า '!E69+บ่าย!E69</f>
        <v>3</v>
      </c>
      <c r="F69" s="31">
        <f>'เย็น '!F69+'เช้า '!F69+บ่าย!F69</f>
        <v>23</v>
      </c>
      <c r="G69" s="31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3">SUM(D69:K69)</f>
        <v>56</v>
      </c>
      <c r="M69" s="11">
        <v>100</v>
      </c>
      <c r="N69" s="11">
        <v>85</v>
      </c>
      <c r="O69" s="11">
        <v>100</v>
      </c>
      <c r="P69" s="11">
        <v>100</v>
      </c>
      <c r="Q69" s="45">
        <f t="shared" ref="Q69" si="4">(M69+N69+O69+P69)-L69</f>
        <v>329</v>
      </c>
      <c r="U69" s="47"/>
    </row>
    <row r="70" spans="2:21" hidden="1" x14ac:dyDescent="0.3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3"/>
        <v>0</v>
      </c>
      <c r="M70" s="11"/>
      <c r="N70" s="11"/>
      <c r="O70" s="11"/>
      <c r="P70" s="11"/>
      <c r="Q70" s="45">
        <f t="shared" ref="Q70:Q77" si="5">(M70+N70)-L70</f>
        <v>0</v>
      </c>
      <c r="U70" s="47"/>
    </row>
    <row r="71" spans="2:21" hidden="1" x14ac:dyDescent="0.3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3"/>
        <v>0</v>
      </c>
      <c r="M71" s="11"/>
      <c r="N71" s="11"/>
      <c r="O71" s="11"/>
      <c r="P71" s="11"/>
      <c r="Q71" s="45">
        <f t="shared" si="5"/>
        <v>0</v>
      </c>
      <c r="U71" s="47"/>
    </row>
    <row r="72" spans="2:21" hidden="1" x14ac:dyDescent="0.3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3"/>
        <v>0</v>
      </c>
      <c r="M72" s="11"/>
      <c r="N72" s="11"/>
      <c r="O72" s="11"/>
      <c r="P72" s="11"/>
      <c r="Q72" s="45">
        <f t="shared" si="5"/>
        <v>0</v>
      </c>
      <c r="U72" s="47"/>
    </row>
    <row r="73" spans="2:21" hidden="1" x14ac:dyDescent="0.3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3"/>
        <v>0</v>
      </c>
      <c r="M73" s="11"/>
      <c r="N73" s="11"/>
      <c r="O73" s="11"/>
      <c r="P73" s="11"/>
      <c r="Q73" s="45">
        <f t="shared" si="5"/>
        <v>0</v>
      </c>
      <c r="U73" s="47"/>
    </row>
    <row r="74" spans="2:21" hidden="1" x14ac:dyDescent="0.3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3"/>
        <v>0</v>
      </c>
      <c r="M74" s="11"/>
      <c r="N74" s="11"/>
      <c r="O74" s="11"/>
      <c r="P74" s="11"/>
      <c r="Q74" s="45">
        <f t="shared" si="5"/>
        <v>0</v>
      </c>
      <c r="U74" s="47"/>
    </row>
    <row r="75" spans="2:21" hidden="1" x14ac:dyDescent="0.3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3"/>
        <v>0</v>
      </c>
      <c r="M75" s="11"/>
      <c r="N75" s="11"/>
      <c r="O75" s="11"/>
      <c r="P75" s="11"/>
      <c r="Q75" s="45">
        <f t="shared" si="5"/>
        <v>0</v>
      </c>
      <c r="U75" s="47"/>
    </row>
    <row r="76" spans="2:21" hidden="1" x14ac:dyDescent="0.3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3"/>
        <v>0</v>
      </c>
      <c r="M76" s="11"/>
      <c r="N76" s="11"/>
      <c r="O76" s="11"/>
      <c r="P76" s="11"/>
      <c r="Q76" s="45">
        <f t="shared" si="5"/>
        <v>0</v>
      </c>
      <c r="U76" s="47"/>
    </row>
    <row r="77" spans="2:21" x14ac:dyDescent="0.3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si="5"/>
        <v>0</v>
      </c>
      <c r="U77" s="47"/>
    </row>
    <row r="78" spans="2:21" ht="20.399999999999999" x14ac:dyDescent="0.3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  <c r="U78" s="47"/>
    </row>
    <row r="79" spans="2:21" hidden="1" x14ac:dyDescent="0.3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6">SUM(D79:K79)</f>
        <v>0</v>
      </c>
      <c r="M79" s="11"/>
      <c r="N79" s="11"/>
      <c r="O79" s="11"/>
      <c r="P79" s="11"/>
      <c r="Q79" s="45">
        <f t="shared" ref="Q79:Q86" si="7">(M79+N79)-L79</f>
        <v>0</v>
      </c>
      <c r="U79" s="47"/>
    </row>
    <row r="80" spans="2:21" hidden="1" x14ac:dyDescent="0.3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6"/>
        <v>0</v>
      </c>
      <c r="M80" s="11"/>
      <c r="N80" s="11"/>
      <c r="O80" s="11"/>
      <c r="P80" s="11"/>
      <c r="Q80" s="45">
        <f t="shared" si="7"/>
        <v>0</v>
      </c>
      <c r="U80" s="47"/>
    </row>
    <row r="81" spans="2:21" hidden="1" x14ac:dyDescent="0.3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6"/>
        <v>0</v>
      </c>
      <c r="M81" s="11"/>
      <c r="N81" s="11"/>
      <c r="O81" s="11"/>
      <c r="P81" s="11"/>
      <c r="Q81" s="45">
        <f t="shared" si="7"/>
        <v>0</v>
      </c>
      <c r="U81" s="47"/>
    </row>
    <row r="82" spans="2:21" hidden="1" x14ac:dyDescent="0.3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6"/>
        <v>0</v>
      </c>
      <c r="M82" s="11"/>
      <c r="N82" s="11"/>
      <c r="O82" s="11"/>
      <c r="P82" s="11"/>
      <c r="Q82" s="45">
        <f t="shared" si="7"/>
        <v>0</v>
      </c>
      <c r="U82" s="47"/>
    </row>
    <row r="83" spans="2:21" hidden="1" x14ac:dyDescent="0.3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6"/>
        <v>0</v>
      </c>
      <c r="M83" s="11"/>
      <c r="N83" s="11"/>
      <c r="O83" s="11"/>
      <c r="P83" s="11"/>
      <c r="Q83" s="45">
        <f t="shared" si="7"/>
        <v>0</v>
      </c>
      <c r="U83" s="47"/>
    </row>
    <row r="84" spans="2:21" hidden="1" x14ac:dyDescent="0.3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6"/>
        <v>0</v>
      </c>
      <c r="M84" s="11"/>
      <c r="N84" s="11"/>
      <c r="O84" s="11"/>
      <c r="P84" s="11"/>
      <c r="Q84" s="45">
        <f t="shared" si="7"/>
        <v>0</v>
      </c>
      <c r="U84" s="47"/>
    </row>
    <row r="85" spans="2:21" hidden="1" x14ac:dyDescent="0.3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6"/>
        <v>0</v>
      </c>
      <c r="M85" s="11"/>
      <c r="N85" s="11"/>
      <c r="O85" s="11"/>
      <c r="P85" s="11"/>
      <c r="Q85" s="45">
        <f t="shared" si="7"/>
        <v>0</v>
      </c>
      <c r="U85" s="47"/>
    </row>
    <row r="86" spans="2:21" hidden="1" x14ac:dyDescent="0.3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6"/>
        <v>0</v>
      </c>
      <c r="M86" s="11"/>
      <c r="N86" s="11"/>
      <c r="O86" s="11"/>
      <c r="P86" s="11"/>
      <c r="Q86" s="45">
        <f t="shared" si="7"/>
        <v>0</v>
      </c>
      <c r="U86" s="47"/>
    </row>
    <row r="87" spans="2:21" x14ac:dyDescent="0.35">
      <c r="B87" s="11">
        <v>1111008</v>
      </c>
      <c r="C87" s="20" t="s">
        <v>73</v>
      </c>
      <c r="D87" s="31">
        <f>'เย็น '!D87+'เช้า '!D87+บ่าย!D87</f>
        <v>25</v>
      </c>
      <c r="E87" s="31">
        <f>'เย็น '!E87+'เช้า '!E87+บ่าย!E87</f>
        <v>2</v>
      </c>
      <c r="F87" s="31">
        <f>'เย็น '!F87+'เช้า '!F87+บ่าย!F87</f>
        <v>0</v>
      </c>
      <c r="G87" s="31">
        <f>'เย็น '!G87+'เช้า '!G87+บ่าย!G87</f>
        <v>263</v>
      </c>
      <c r="H87" s="31">
        <f>'เย็น '!H87+'เช้า '!H87+บ่าย!H87</f>
        <v>255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6"/>
        <v>545</v>
      </c>
      <c r="M87" s="11">
        <v>343</v>
      </c>
      <c r="N87" s="11">
        <v>55</v>
      </c>
      <c r="O87" s="11">
        <v>250</v>
      </c>
      <c r="P87" s="11">
        <v>100</v>
      </c>
      <c r="Q87" s="45">
        <f>(M87+N87+O87+P87)-L87</f>
        <v>203</v>
      </c>
      <c r="U87" s="47"/>
    </row>
    <row r="88" spans="2:21" x14ac:dyDescent="0.3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>(M88+N88)-L88</f>
        <v>0</v>
      </c>
      <c r="U88" s="47"/>
    </row>
    <row r="89" spans="2:21" ht="20.399999999999999" x14ac:dyDescent="0.3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  <c r="U89" s="47"/>
    </row>
    <row r="90" spans="2:21" x14ac:dyDescent="0.35">
      <c r="B90" s="11">
        <v>1112009</v>
      </c>
      <c r="C90" s="20" t="s">
        <v>75</v>
      </c>
      <c r="D90" s="31">
        <f>'เย็น '!D90+'เช้า '!D90+บ่าย!D90</f>
        <v>9</v>
      </c>
      <c r="E90" s="31">
        <f>'เย็น '!E90+'เช้า '!E90+บ่าย!E90</f>
        <v>13</v>
      </c>
      <c r="F90" s="31">
        <f>'เย็น '!F90+'เช้า '!F90+บ่าย!F90</f>
        <v>24</v>
      </c>
      <c r="G90" s="31">
        <f>'เย็น '!G90+'เช้า '!G90+บ่าย!G90</f>
        <v>84</v>
      </c>
      <c r="H90" s="31">
        <f>'เย็น '!H90+'เช้า '!H90+บ่าย!H90</f>
        <v>5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8">SUM(D90:K90)</f>
        <v>135</v>
      </c>
      <c r="M90" s="11">
        <v>80</v>
      </c>
      <c r="N90" s="11"/>
      <c r="O90" s="11">
        <v>50</v>
      </c>
      <c r="P90" s="11">
        <v>150</v>
      </c>
      <c r="Q90" s="45">
        <f t="shared" ref="Q90:Q93" si="9">(M90+N90+O90+P90)-L90</f>
        <v>145</v>
      </c>
      <c r="U90" s="47"/>
    </row>
    <row r="91" spans="2:21" x14ac:dyDescent="0.35">
      <c r="B91" s="11">
        <v>1112011</v>
      </c>
      <c r="C91" s="20" t="s">
        <v>76</v>
      </c>
      <c r="D91" s="31">
        <f>'เย็น '!D91+'เช้า '!D91+บ่าย!D91</f>
        <v>41</v>
      </c>
      <c r="E91" s="31">
        <f>'เย็น '!E91+'เช้า '!E91+บ่าย!E91</f>
        <v>16</v>
      </c>
      <c r="F91" s="31">
        <f>'เย็น '!F91+'เช้า '!F91+บ่าย!F91</f>
        <v>26</v>
      </c>
      <c r="G91" s="31">
        <f>'เย็น '!G91+'เช้า '!G91+บ่าย!G91</f>
        <v>84</v>
      </c>
      <c r="H91" s="31">
        <f>'เย็น '!H91+'เช้า '!H91+บ่าย!H91</f>
        <v>5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8"/>
        <v>172</v>
      </c>
      <c r="M91" s="11">
        <v>259</v>
      </c>
      <c r="N91" s="11"/>
      <c r="O91" s="11">
        <v>50</v>
      </c>
      <c r="P91" s="11">
        <v>150</v>
      </c>
      <c r="Q91" s="45">
        <f t="shared" si="9"/>
        <v>287</v>
      </c>
      <c r="U91" s="47"/>
    </row>
    <row r="92" spans="2:21" x14ac:dyDescent="0.35">
      <c r="B92" s="11">
        <v>1112003</v>
      </c>
      <c r="C92" s="20" t="s">
        <v>77</v>
      </c>
      <c r="D92" s="31">
        <f>'เย็น '!D92+'เช้า '!D92+บ่าย!D92</f>
        <v>8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63</v>
      </c>
      <c r="H92" s="31">
        <f>'เย็น '!H92+'เช้า '!H92+บ่าย!H92</f>
        <v>4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8"/>
        <v>75</v>
      </c>
      <c r="M92" s="11">
        <v>95</v>
      </c>
      <c r="N92" s="11"/>
      <c r="O92" s="11">
        <v>50</v>
      </c>
      <c r="P92" s="11">
        <v>100</v>
      </c>
      <c r="Q92" s="45">
        <f t="shared" si="9"/>
        <v>170</v>
      </c>
      <c r="U92" s="47"/>
    </row>
    <row r="93" spans="2:21" x14ac:dyDescent="0.35">
      <c r="B93" s="11">
        <v>1112005</v>
      </c>
      <c r="C93" s="20" t="s">
        <v>78</v>
      </c>
      <c r="D93" s="31">
        <f>'เย็น '!D93+'เช้า '!D93+บ่าย!D93</f>
        <v>7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63</v>
      </c>
      <c r="H93" s="31">
        <f>'เย็น '!H93+'เช้า '!H93+บ่าย!H93</f>
        <v>4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8"/>
        <v>74</v>
      </c>
      <c r="M93" s="11">
        <v>94</v>
      </c>
      <c r="N93" s="11"/>
      <c r="O93" s="11">
        <v>50</v>
      </c>
      <c r="P93" s="11">
        <v>100</v>
      </c>
      <c r="Q93" s="45">
        <f t="shared" si="9"/>
        <v>170</v>
      </c>
      <c r="U93" s="47"/>
    </row>
    <row r="94" spans="2:21" hidden="1" x14ac:dyDescent="0.3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8"/>
        <v>0</v>
      </c>
      <c r="M94" s="11"/>
      <c r="N94" s="11"/>
      <c r="O94" s="11">
        <v>50</v>
      </c>
      <c r="P94" s="11"/>
      <c r="Q94" s="45">
        <f t="shared" ref="Q94:Q96" si="10">(M94+N94+O94)-L94</f>
        <v>50</v>
      </c>
      <c r="U94" s="47"/>
    </row>
    <row r="95" spans="2:21" hidden="1" x14ac:dyDescent="0.3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8"/>
        <v>0</v>
      </c>
      <c r="M95" s="11"/>
      <c r="N95" s="11"/>
      <c r="O95" s="11">
        <v>50</v>
      </c>
      <c r="P95" s="11"/>
      <c r="Q95" s="45">
        <f t="shared" si="10"/>
        <v>50</v>
      </c>
      <c r="U95" s="47"/>
    </row>
    <row r="96" spans="2:21" hidden="1" x14ac:dyDescent="0.3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8"/>
        <v>0</v>
      </c>
      <c r="M96" s="11"/>
      <c r="N96" s="11"/>
      <c r="O96" s="11">
        <v>50</v>
      </c>
      <c r="P96" s="11"/>
      <c r="Q96" s="45">
        <f t="shared" si="10"/>
        <v>50</v>
      </c>
      <c r="U96" s="47"/>
    </row>
    <row r="97" spans="2:21" x14ac:dyDescent="0.35">
      <c r="B97" s="11">
        <v>1112015</v>
      </c>
      <c r="C97" s="20" t="s">
        <v>82</v>
      </c>
      <c r="D97" s="31">
        <f>'เย็น '!D97+'เช้า '!D97+บ่าย!D97</f>
        <v>7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60</v>
      </c>
      <c r="H97" s="31">
        <f>'เย็น '!H97+'เช้า '!H97+บ่าย!H97</f>
        <v>4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8"/>
        <v>71</v>
      </c>
      <c r="M97" s="11">
        <v>151</v>
      </c>
      <c r="N97" s="11"/>
      <c r="O97" s="11">
        <v>50</v>
      </c>
      <c r="P97" s="11">
        <v>100</v>
      </c>
      <c r="Q97" s="45">
        <f t="shared" ref="Q97:Q98" si="11">(M97+N97+O97+P97)-L97</f>
        <v>230</v>
      </c>
      <c r="U97" s="47"/>
    </row>
    <row r="98" spans="2:21" x14ac:dyDescent="0.35">
      <c r="B98" s="11">
        <v>1112013</v>
      </c>
      <c r="C98" s="20" t="s">
        <v>83</v>
      </c>
      <c r="D98" s="31">
        <f>'เย็น '!D98+'เช้า '!D98+บ่าย!D98</f>
        <v>7</v>
      </c>
      <c r="E98" s="31">
        <f>'เย็น '!E98+'เช้า '!E98+บ่าย!E98</f>
        <v>14</v>
      </c>
      <c r="F98" s="31">
        <f>'เย็น '!F98+'เช้า '!F98+บ่าย!F98</f>
        <v>22</v>
      </c>
      <c r="G98" s="31">
        <f>'เย็น '!G98+'เช้า '!G98+บ่าย!G98</f>
        <v>83</v>
      </c>
      <c r="H98" s="31">
        <f>'เย็น '!H98+'เช้า '!H98+บ่าย!H98</f>
        <v>4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8"/>
        <v>130</v>
      </c>
      <c r="M98" s="11">
        <v>236</v>
      </c>
      <c r="N98" s="11"/>
      <c r="O98" s="11">
        <v>50</v>
      </c>
      <c r="P98" s="11">
        <v>100</v>
      </c>
      <c r="Q98" s="45">
        <f t="shared" si="11"/>
        <v>256</v>
      </c>
      <c r="U98" s="47"/>
    </row>
    <row r="99" spans="2:21" hidden="1" x14ac:dyDescent="0.3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8"/>
        <v>0</v>
      </c>
      <c r="M99" s="11"/>
      <c r="N99" s="11"/>
      <c r="O99" s="11"/>
      <c r="P99" s="11"/>
      <c r="Q99" s="45"/>
      <c r="U99" s="47"/>
    </row>
    <row r="100" spans="2:21" hidden="1" x14ac:dyDescent="0.3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657</v>
      </c>
      <c r="M100" s="11"/>
      <c r="N100" s="11"/>
      <c r="O100" s="11"/>
      <c r="P100" s="11"/>
      <c r="Q100" s="45"/>
      <c r="U100" s="47"/>
    </row>
    <row r="101" spans="2:21" ht="20.399999999999999" hidden="1" x14ac:dyDescent="0.3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  <c r="U101" s="47"/>
    </row>
    <row r="102" spans="2:21" hidden="1" x14ac:dyDescent="0.3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2">SUM(D102:K102)</f>
        <v>0</v>
      </c>
      <c r="M102" s="11"/>
      <c r="N102" s="11"/>
      <c r="O102" s="11"/>
      <c r="P102" s="11"/>
      <c r="Q102" s="45">
        <f t="shared" ref="Q102:Q112" si="13">(M102+N102)-L102</f>
        <v>0</v>
      </c>
      <c r="U102" s="47"/>
    </row>
    <row r="103" spans="2:21" hidden="1" x14ac:dyDescent="0.3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2"/>
        <v>0</v>
      </c>
      <c r="M103" s="11"/>
      <c r="N103" s="11"/>
      <c r="O103" s="11"/>
      <c r="P103" s="11"/>
      <c r="Q103" s="45">
        <f t="shared" si="13"/>
        <v>0</v>
      </c>
      <c r="U103" s="47"/>
    </row>
    <row r="104" spans="2:21" hidden="1" x14ac:dyDescent="0.3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2"/>
        <v>0</v>
      </c>
      <c r="M104" s="11"/>
      <c r="N104" s="11"/>
      <c r="O104" s="11"/>
      <c r="P104" s="11"/>
      <c r="Q104" s="45">
        <f t="shared" si="13"/>
        <v>0</v>
      </c>
      <c r="U104" s="47"/>
    </row>
    <row r="105" spans="2:21" hidden="1" x14ac:dyDescent="0.3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2"/>
        <v>0</v>
      </c>
      <c r="M105" s="11"/>
      <c r="N105" s="11"/>
      <c r="O105" s="11"/>
      <c r="P105" s="11"/>
      <c r="Q105" s="45">
        <f t="shared" si="13"/>
        <v>0</v>
      </c>
      <c r="U105" s="47"/>
    </row>
    <row r="106" spans="2:21" hidden="1" x14ac:dyDescent="0.3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2"/>
        <v>0</v>
      </c>
      <c r="M106" s="11"/>
      <c r="N106" s="11"/>
      <c r="O106" s="11"/>
      <c r="P106" s="11"/>
      <c r="Q106" s="45">
        <f t="shared" si="13"/>
        <v>0</v>
      </c>
      <c r="U106" s="47"/>
    </row>
    <row r="107" spans="2:21" hidden="1" x14ac:dyDescent="0.3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2"/>
        <v>0</v>
      </c>
      <c r="M107" s="11"/>
      <c r="N107" s="11"/>
      <c r="O107" s="11"/>
      <c r="P107" s="11"/>
      <c r="Q107" s="45">
        <f t="shared" si="13"/>
        <v>0</v>
      </c>
      <c r="U107" s="47"/>
    </row>
    <row r="108" spans="2:21" hidden="1" x14ac:dyDescent="0.3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2"/>
        <v>0</v>
      </c>
      <c r="M108" s="11"/>
      <c r="N108" s="11"/>
      <c r="O108" s="11"/>
      <c r="P108" s="11"/>
      <c r="Q108" s="45">
        <f t="shared" si="13"/>
        <v>0</v>
      </c>
      <c r="U108" s="47"/>
    </row>
    <row r="109" spans="2:21" hidden="1" x14ac:dyDescent="0.3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2"/>
        <v>0</v>
      </c>
      <c r="M109" s="11"/>
      <c r="N109" s="11"/>
      <c r="O109" s="11"/>
      <c r="P109" s="11"/>
      <c r="Q109" s="45">
        <f t="shared" si="13"/>
        <v>0</v>
      </c>
      <c r="U109" s="47"/>
    </row>
    <row r="110" spans="2:21" hidden="1" x14ac:dyDescent="0.3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2"/>
        <v>0</v>
      </c>
      <c r="M110" s="11"/>
      <c r="N110" s="11"/>
      <c r="O110" s="11"/>
      <c r="P110" s="11"/>
      <c r="Q110" s="45">
        <f t="shared" si="13"/>
        <v>0</v>
      </c>
      <c r="U110" s="47"/>
    </row>
    <row r="111" spans="2:21" hidden="1" x14ac:dyDescent="0.3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2"/>
        <v>0</v>
      </c>
      <c r="M111" s="11"/>
      <c r="N111" s="11"/>
      <c r="O111" s="11"/>
      <c r="P111" s="11"/>
      <c r="Q111" s="45">
        <f t="shared" si="13"/>
        <v>0</v>
      </c>
      <c r="U111" s="47"/>
    </row>
    <row r="112" spans="2:21" x14ac:dyDescent="0.3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/>
      <c r="M112" s="11"/>
      <c r="N112" s="11"/>
      <c r="O112" s="11"/>
      <c r="P112" s="11"/>
      <c r="Q112" s="45">
        <f t="shared" si="13"/>
        <v>0</v>
      </c>
      <c r="U112" s="47"/>
    </row>
    <row r="113" spans="2:21" ht="20.399999999999999" x14ac:dyDescent="0.3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  <c r="U113" s="47"/>
    </row>
    <row r="114" spans="2:21" x14ac:dyDescent="0.35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4">SUM(D114:K114)</f>
        <v>0</v>
      </c>
      <c r="M114" s="11"/>
      <c r="N114" s="11"/>
      <c r="O114" s="11"/>
      <c r="P114" s="11"/>
      <c r="Q114" s="45">
        <f t="shared" ref="Q114:Q139" si="15">(M114+N114+O114+P114)-L114</f>
        <v>0</v>
      </c>
      <c r="U114" s="47"/>
    </row>
    <row r="115" spans="2:21" x14ac:dyDescent="0.35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0</v>
      </c>
      <c r="M115" s="11"/>
      <c r="N115" s="11">
        <v>7</v>
      </c>
      <c r="O115" s="11"/>
      <c r="P115" s="11"/>
      <c r="Q115" s="45">
        <f t="shared" si="15"/>
        <v>7</v>
      </c>
      <c r="U115" s="47"/>
    </row>
    <row r="116" spans="2:21" x14ac:dyDescent="0.35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v>3</v>
      </c>
      <c r="L116" s="37">
        <f t="shared" si="14"/>
        <v>3</v>
      </c>
      <c r="M116" s="11"/>
      <c r="N116" s="11">
        <v>8</v>
      </c>
      <c r="O116" s="11"/>
      <c r="P116" s="11"/>
      <c r="Q116" s="45">
        <f t="shared" si="15"/>
        <v>5</v>
      </c>
      <c r="U116" s="47"/>
    </row>
    <row r="117" spans="2:21" x14ac:dyDescent="0.3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  <c r="U117" s="47"/>
    </row>
    <row r="118" spans="2:21" x14ac:dyDescent="0.3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1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1</v>
      </c>
      <c r="M118" s="11"/>
      <c r="N118" s="11">
        <v>78</v>
      </c>
      <c r="O118" s="11"/>
      <c r="P118" s="11"/>
      <c r="Q118" s="45">
        <f t="shared" si="15"/>
        <v>77</v>
      </c>
      <c r="U118" s="47"/>
    </row>
    <row r="119" spans="2:21" x14ac:dyDescent="0.3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10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10</v>
      </c>
      <c r="M119" s="11"/>
      <c r="N119" s="11"/>
      <c r="O119" s="11"/>
      <c r="P119" s="11"/>
      <c r="Q119" s="45">
        <f t="shared" si="15"/>
        <v>-10</v>
      </c>
      <c r="U119" s="47"/>
    </row>
    <row r="120" spans="2:21" x14ac:dyDescent="0.3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1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1</v>
      </c>
      <c r="M120" s="11"/>
      <c r="N120" s="11">
        <v>44</v>
      </c>
      <c r="O120" s="11"/>
      <c r="P120" s="11"/>
      <c r="Q120" s="45">
        <f t="shared" si="15"/>
        <v>43</v>
      </c>
      <c r="U120" s="47"/>
    </row>
    <row r="121" spans="2:21" x14ac:dyDescent="0.35">
      <c r="B121" s="11">
        <v>1200001</v>
      </c>
      <c r="C121" s="22" t="s">
        <v>93</v>
      </c>
      <c r="D121" s="31">
        <f>'เย็น '!D121+'เช้า '!D121+บ่าย!D121</f>
        <v>40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40</v>
      </c>
      <c r="M121" s="11"/>
      <c r="N121" s="11">
        <v>20</v>
      </c>
      <c r="O121" s="11">
        <v>50</v>
      </c>
      <c r="P121" s="11"/>
      <c r="Q121" s="45">
        <f t="shared" si="15"/>
        <v>30</v>
      </c>
      <c r="U121" s="47"/>
    </row>
    <row r="122" spans="2:21" x14ac:dyDescent="0.3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>
        <v>15</v>
      </c>
      <c r="O122" s="11"/>
      <c r="P122" s="11"/>
      <c r="Q122" s="45">
        <f t="shared" si="15"/>
        <v>15</v>
      </c>
      <c r="U122" s="47"/>
    </row>
    <row r="123" spans="2:21" x14ac:dyDescent="0.35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10</v>
      </c>
      <c r="F123" s="31">
        <f>'เย็น '!F123+'เช้า '!F123+บ่าย!F123</f>
        <v>15</v>
      </c>
      <c r="G123" s="31">
        <f>'เย็น '!G123+'เช้า '!G123+บ่าย!G123</f>
        <v>58</v>
      </c>
      <c r="H123" s="31">
        <f>'เย็น '!H123+'เช้า '!H123+บ่าย!H123</f>
        <v>14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97</v>
      </c>
      <c r="M123" s="11">
        <v>112</v>
      </c>
      <c r="N123" s="11"/>
      <c r="O123" s="11">
        <v>100</v>
      </c>
      <c r="P123" s="11">
        <v>100</v>
      </c>
      <c r="Q123" s="45">
        <f t="shared" si="15"/>
        <v>215</v>
      </c>
      <c r="U123" s="47"/>
    </row>
    <row r="124" spans="2:21" x14ac:dyDescent="0.3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3</v>
      </c>
      <c r="F124" s="31">
        <f>'เย็น '!F124+'เช้า '!F124+บ่าย!F124</f>
        <v>12</v>
      </c>
      <c r="G124" s="31">
        <f>'เย็น '!G124+'เช้า '!G124+บ่าย!G124</f>
        <v>58</v>
      </c>
      <c r="H124" s="31">
        <f>'เย็น '!H124+'เช้า '!H124+บ่าย!H124</f>
        <v>14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87</v>
      </c>
      <c r="M124" s="11">
        <v>100</v>
      </c>
      <c r="N124" s="11">
        <v>23</v>
      </c>
      <c r="O124" s="11">
        <v>100</v>
      </c>
      <c r="P124" s="11">
        <v>100</v>
      </c>
      <c r="Q124" s="45">
        <f t="shared" si="15"/>
        <v>236</v>
      </c>
      <c r="U124" s="47"/>
    </row>
    <row r="125" spans="2:21" x14ac:dyDescent="0.35">
      <c r="B125" s="11">
        <v>1114503</v>
      </c>
      <c r="C125" s="22" t="s">
        <v>97</v>
      </c>
      <c r="D125" s="31">
        <f>'เย็น '!D125+'เช้า '!D125+บ่าย!D125</f>
        <v>1</v>
      </c>
      <c r="E125" s="31">
        <f>'เย็น '!E125+'เช้า '!E125+บ่าย!E125</f>
        <v>4</v>
      </c>
      <c r="F125" s="31">
        <f>'เย็น '!F125+'เช้า '!F125+บ่าย!F125</f>
        <v>15</v>
      </c>
      <c r="G125" s="31">
        <f>'เย็น '!G125+'เช้า '!G125+บ่าย!G125</f>
        <v>58</v>
      </c>
      <c r="H125" s="31">
        <f>'เย็น '!H125+'เช้า '!H125+บ่าย!H125</f>
        <v>14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92</v>
      </c>
      <c r="M125" s="11">
        <v>100</v>
      </c>
      <c r="N125" s="11">
        <v>12</v>
      </c>
      <c r="O125" s="11">
        <v>100</v>
      </c>
      <c r="P125" s="11">
        <v>100</v>
      </c>
      <c r="Q125" s="45">
        <f t="shared" si="15"/>
        <v>220</v>
      </c>
      <c r="U125" s="47"/>
    </row>
    <row r="126" spans="2:21" x14ac:dyDescent="0.3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36</v>
      </c>
      <c r="F126" s="31">
        <f>'เย็น '!F126+'เช้า '!F126+บ่าย!F126</f>
        <v>179</v>
      </c>
      <c r="G126" s="31">
        <f>'เย็น '!G126+'เช้า '!G126+บ่าย!G126</f>
        <v>9</v>
      </c>
      <c r="H126" s="31">
        <f>'เย็น '!H126+'เช้า '!H126+บ่าย!H126</f>
        <v>6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230</v>
      </c>
      <c r="M126" s="11">
        <v>197</v>
      </c>
      <c r="N126" s="11"/>
      <c r="O126" s="11">
        <v>50</v>
      </c>
      <c r="P126" s="11">
        <v>100</v>
      </c>
      <c r="Q126" s="45">
        <f t="shared" si="15"/>
        <v>117</v>
      </c>
      <c r="U126" s="47"/>
    </row>
    <row r="127" spans="2:21" x14ac:dyDescent="0.3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  <c r="U127" s="47"/>
    </row>
    <row r="128" spans="2:21" x14ac:dyDescent="0.3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  <c r="U128" s="47"/>
    </row>
    <row r="129" spans="2:21" x14ac:dyDescent="0.3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  <c r="U129" s="47"/>
    </row>
    <row r="130" spans="2:21" x14ac:dyDescent="0.3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  <c r="U130" s="47"/>
    </row>
    <row r="131" spans="2:21" x14ac:dyDescent="0.35">
      <c r="B131" s="11">
        <v>1200003</v>
      </c>
      <c r="C131" s="22" t="s">
        <v>102</v>
      </c>
      <c r="D131" s="31">
        <f>'เย็น '!D131+'เช้า '!D131+บ่าย!D131</f>
        <v>3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3</v>
      </c>
      <c r="M131" s="11"/>
      <c r="N131" s="11"/>
      <c r="O131" s="11"/>
      <c r="P131" s="11"/>
      <c r="Q131" s="45">
        <f t="shared" si="15"/>
        <v>-3</v>
      </c>
      <c r="U131" s="47"/>
    </row>
    <row r="132" spans="2:21" x14ac:dyDescent="0.3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  <c r="U132" s="47"/>
    </row>
    <row r="133" spans="2:21" x14ac:dyDescent="0.3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  <c r="U133" s="47"/>
    </row>
    <row r="134" spans="2:21" x14ac:dyDescent="0.3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  <c r="U134" s="47"/>
    </row>
    <row r="135" spans="2:21" x14ac:dyDescent="0.3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  <c r="U135" s="47"/>
    </row>
    <row r="136" spans="2:21" x14ac:dyDescent="0.3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3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3</v>
      </c>
      <c r="M136" s="11"/>
      <c r="N136" s="11"/>
      <c r="O136" s="11"/>
      <c r="P136" s="11"/>
      <c r="Q136" s="45">
        <f t="shared" si="15"/>
        <v>-3</v>
      </c>
      <c r="U136" s="47"/>
    </row>
    <row r="137" spans="2:21" x14ac:dyDescent="0.3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0</v>
      </c>
      <c r="M137" s="11"/>
      <c r="N137" s="11"/>
      <c r="O137" s="11"/>
      <c r="P137" s="11"/>
      <c r="Q137" s="45">
        <f t="shared" si="15"/>
        <v>0</v>
      </c>
      <c r="U137" s="47"/>
    </row>
    <row r="138" spans="2:21" x14ac:dyDescent="0.3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  <c r="U138" s="47"/>
    </row>
    <row r="139" spans="2:21" x14ac:dyDescent="0.3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  <c r="U139" s="47"/>
    </row>
    <row r="140" spans="2:21" ht="40.5" customHeight="1" x14ac:dyDescent="0.35">
      <c r="C140" s="36"/>
      <c r="D140" s="37">
        <f>SUM(D114:D139,D90:D99,D79:D87,D69:D76,D7:D66,D102:D111)</f>
        <v>244</v>
      </c>
      <c r="E140" s="37">
        <f t="shared" ref="E140:K140" si="16">SUM(E114:E139,E90:E99,E79:E87,E69:E76,E7:E66,E102:E111)</f>
        <v>187</v>
      </c>
      <c r="F140" s="37">
        <f t="shared" si="16"/>
        <v>765</v>
      </c>
      <c r="G140" s="37">
        <f t="shared" si="16"/>
        <v>1186</v>
      </c>
      <c r="H140" s="37">
        <f t="shared" si="16"/>
        <v>591</v>
      </c>
      <c r="I140" s="37">
        <f t="shared" si="16"/>
        <v>0</v>
      </c>
      <c r="J140" s="37">
        <f t="shared" si="16"/>
        <v>0</v>
      </c>
      <c r="K140" s="37">
        <f t="shared" si="16"/>
        <v>188</v>
      </c>
      <c r="L140" s="37">
        <f>SUM(L114:L139,L90:L99,L79:L87,L69:L76,L7:L66,L102:L111)</f>
        <v>3161</v>
      </c>
      <c r="M140" s="31">
        <f>SUM(M114:M136,M90:M98,M79:M87,M69:M76,M7:M66)</f>
        <v>2752</v>
      </c>
      <c r="N140" s="31">
        <f>SUM(N114:N136,N90:N98,N79:N87,N69:N76,N7:N66)</f>
        <v>2029</v>
      </c>
      <c r="O140" s="31"/>
      <c r="P140" s="31"/>
      <c r="Q140" s="45">
        <f>(M140+N140)-L140</f>
        <v>1620</v>
      </c>
      <c r="U140" s="47"/>
    </row>
    <row r="141" spans="2:21" x14ac:dyDescent="0.3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21" x14ac:dyDescent="0.3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21" x14ac:dyDescent="0.35">
      <c r="C143" s="25"/>
      <c r="D143" s="32"/>
      <c r="E143" s="61"/>
      <c r="F143" s="61"/>
      <c r="G143" s="27"/>
      <c r="L143" s="41"/>
    </row>
    <row r="144" spans="2:21" x14ac:dyDescent="0.3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3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3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3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3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3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3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3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35">
      <c r="D152" s="32"/>
      <c r="E152" s="32"/>
      <c r="F152" s="32"/>
      <c r="G152" s="32"/>
      <c r="H152" s="32"/>
    </row>
    <row r="153" spans="2:12" x14ac:dyDescent="0.35">
      <c r="D153" s="32"/>
      <c r="E153" s="32"/>
      <c r="F153" s="32"/>
      <c r="G153" s="32"/>
      <c r="H153" s="32"/>
    </row>
    <row r="154" spans="2:12" x14ac:dyDescent="0.35">
      <c r="D154" s="32"/>
      <c r="E154" s="32"/>
      <c r="F154" s="32"/>
      <c r="G154" s="32"/>
      <c r="H154" s="32"/>
    </row>
    <row r="155" spans="2:12" x14ac:dyDescent="0.35">
      <c r="D155" s="32"/>
      <c r="E155" s="32"/>
      <c r="F155" s="32"/>
      <c r="G155" s="32"/>
      <c r="H155" s="32"/>
    </row>
    <row r="156" spans="2:12" x14ac:dyDescent="0.35">
      <c r="D156" s="32"/>
      <c r="E156" s="32"/>
      <c r="F156" s="32"/>
      <c r="G156" s="32"/>
      <c r="H156" s="32"/>
    </row>
    <row r="157" spans="2:12" x14ac:dyDescent="0.35">
      <c r="D157" s="32"/>
      <c r="E157" s="32"/>
      <c r="F157" s="32"/>
      <c r="G157" s="32"/>
      <c r="H157" s="32"/>
    </row>
    <row r="158" spans="2:12" x14ac:dyDescent="0.35">
      <c r="D158" s="32"/>
      <c r="E158" s="32"/>
      <c r="F158" s="32"/>
      <c r="G158" s="32"/>
      <c r="H158" s="32"/>
    </row>
    <row r="159" spans="2:12" x14ac:dyDescent="0.35">
      <c r="D159" s="32"/>
      <c r="E159" s="32"/>
      <c r="F159" s="32"/>
      <c r="G159" s="32"/>
      <c r="H159" s="32"/>
    </row>
    <row r="160" spans="2:12" x14ac:dyDescent="0.35">
      <c r="D160" s="32"/>
      <c r="E160" s="32"/>
      <c r="F160" s="32"/>
      <c r="G160" s="32"/>
      <c r="H160" s="32"/>
    </row>
    <row r="161" spans="4:8" x14ac:dyDescent="0.35">
      <c r="D161" s="32"/>
      <c r="E161" s="32"/>
      <c r="F161" s="32"/>
      <c r="G161" s="32"/>
      <c r="H161" s="32"/>
    </row>
    <row r="162" spans="4:8" x14ac:dyDescent="0.35">
      <c r="D162" s="32"/>
      <c r="E162" s="32"/>
      <c r="F162" s="32"/>
      <c r="G162" s="32"/>
      <c r="H162" s="32"/>
    </row>
  </sheetData>
  <mergeCells count="20">
    <mergeCell ref="B89:Q89"/>
    <mergeCell ref="N2:N4"/>
    <mergeCell ref="B1:L1"/>
    <mergeCell ref="B2:C3"/>
    <mergeCell ref="E2:F3"/>
    <mergeCell ref="M2:M4"/>
    <mergeCell ref="Q2:Q4"/>
    <mergeCell ref="B6:Q6"/>
    <mergeCell ref="B68:Q68"/>
    <mergeCell ref="B78:Q78"/>
    <mergeCell ref="O2:O4"/>
    <mergeCell ref="P2:P4"/>
    <mergeCell ref="B145:C145"/>
    <mergeCell ref="I145:L145"/>
    <mergeCell ref="B101:Q101"/>
    <mergeCell ref="B113:Q113"/>
    <mergeCell ref="E143:F143"/>
    <mergeCell ref="B144:C144"/>
    <mergeCell ref="E144:F144"/>
    <mergeCell ref="I144:L14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1</vt:i4>
      </vt:variant>
    </vt:vector>
  </HeadingPairs>
  <TitlesOfParts>
    <vt:vector size="5" baseType="lpstr">
      <vt:lpstr>เย็น </vt:lpstr>
      <vt:lpstr>เช้า </vt:lpstr>
      <vt:lpstr>บ่าย</vt:lpstr>
      <vt:lpstr>รวม</vt:lpstr>
      <vt:lpstr>รวม!Print_Titles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2025-01-26T06:38:34Z</cp:lastPrinted>
  <dcterms:created xsi:type="dcterms:W3CDTF">2024-04-30T05:21:27Z</dcterms:created>
  <dcterms:modified xsi:type="dcterms:W3CDTF">2025-01-26T06:38:35Z</dcterms:modified>
</cp:coreProperties>
</file>