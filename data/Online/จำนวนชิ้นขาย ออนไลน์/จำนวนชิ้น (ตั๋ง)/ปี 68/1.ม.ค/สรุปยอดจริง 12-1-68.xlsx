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CF6F17B-1C23-41D2-9CDA-77781704FE93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ย็น " sheetId="6" r:id="rId1"/>
    <sheet name="เช้า " sheetId="3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17" i="5" l="1"/>
  <c r="Q118" i="5"/>
  <c r="Q121" i="5"/>
  <c r="Q122" i="5"/>
  <c r="Q127" i="5"/>
  <c r="Q128" i="5"/>
  <c r="Q129" i="5"/>
  <c r="Q130" i="5"/>
  <c r="Q131" i="5"/>
  <c r="Q132" i="5"/>
  <c r="Q133" i="5"/>
  <c r="Q134" i="5"/>
  <c r="Q137" i="5"/>
  <c r="Q138" i="5"/>
  <c r="Q139" i="5"/>
  <c r="Q80" i="5"/>
  <c r="Q81" i="5"/>
  <c r="Q82" i="5"/>
  <c r="Q83" i="5"/>
  <c r="Q84" i="5"/>
  <c r="Q85" i="5"/>
  <c r="Q86" i="5"/>
  <c r="Q79" i="5"/>
  <c r="Q70" i="5"/>
  <c r="Q71" i="5"/>
  <c r="Q72" i="5"/>
  <c r="Q73" i="5"/>
  <c r="Q74" i="5"/>
  <c r="Q75" i="5"/>
  <c r="Q76" i="5"/>
  <c r="Q43" i="5"/>
  <c r="Q45" i="5"/>
  <c r="Q48" i="5"/>
  <c r="Q53" i="5"/>
  <c r="Q54" i="5"/>
  <c r="Q77" i="5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12" i="6" s="1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12" i="3" s="1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38" i="4"/>
  <c r="L139" i="4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E136" i="5"/>
  <c r="F136" i="5"/>
  <c r="G136" i="5"/>
  <c r="H136" i="5"/>
  <c r="I136" i="5"/>
  <c r="J136" i="5"/>
  <c r="K136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E90" i="5"/>
  <c r="F90" i="5"/>
  <c r="G90" i="5"/>
  <c r="H90" i="5"/>
  <c r="I90" i="5"/>
  <c r="J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35" i="5" l="1"/>
  <c r="Q135" i="5" s="1"/>
  <c r="L137" i="5"/>
  <c r="K140" i="5"/>
  <c r="L136" i="5"/>
  <c r="Q136" i="5" s="1"/>
  <c r="L138" i="5"/>
  <c r="L139" i="5"/>
  <c r="L130" i="5"/>
  <c r="L129" i="5"/>
  <c r="L90" i="5"/>
  <c r="Q90" i="5" s="1"/>
  <c r="L93" i="5"/>
  <c r="Q93" i="5" s="1"/>
  <c r="L95" i="5"/>
  <c r="Q95" i="5" s="1"/>
  <c r="L127" i="5"/>
  <c r="L118" i="5"/>
  <c r="L131" i="5"/>
  <c r="L133" i="5"/>
  <c r="L126" i="5"/>
  <c r="Q126" i="5" s="1"/>
  <c r="L119" i="5"/>
  <c r="Q119" i="5" s="1"/>
  <c r="L124" i="5"/>
  <c r="Q124" i="5" s="1"/>
  <c r="L117" i="5"/>
  <c r="L94" i="5"/>
  <c r="Q94" i="5" s="1"/>
  <c r="L128" i="5"/>
  <c r="L96" i="5"/>
  <c r="Q96" i="5" s="1"/>
  <c r="L125" i="5"/>
  <c r="Q125" i="5" s="1"/>
  <c r="L121" i="5"/>
  <c r="L134" i="5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32" i="5"/>
  <c r="L122" i="5"/>
  <c r="L116" i="5"/>
  <c r="Q116" i="5" s="1"/>
  <c r="L114" i="5"/>
  <c r="Q114" i="5" s="1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J140" i="5" s="1"/>
  <c r="E140" i="5" l="1"/>
  <c r="F140" i="5"/>
  <c r="I140" i="5"/>
  <c r="H140" i="5"/>
  <c r="D140" i="5"/>
  <c r="G140" i="5"/>
  <c r="L102" i="5"/>
  <c r="Q102" i="5" s="1"/>
  <c r="L79" i="5"/>
  <c r="L70" i="5"/>
  <c r="L75" i="5"/>
  <c r="L73" i="5"/>
  <c r="L27" i="5"/>
  <c r="Q27" i="5" s="1"/>
  <c r="L109" i="5"/>
  <c r="Q109" i="5" s="1"/>
  <c r="L72" i="5"/>
  <c r="L11" i="5"/>
  <c r="Q11" i="5" s="1"/>
  <c r="L76" i="5"/>
  <c r="L59" i="5"/>
  <c r="Q59" i="5" s="1"/>
  <c r="L43" i="5"/>
  <c r="L7" i="5"/>
  <c r="Q7" i="5" s="1"/>
  <c r="L111" i="5"/>
  <c r="Q111" i="5" s="1"/>
  <c r="L54" i="5"/>
  <c r="L38" i="5"/>
  <c r="Q38" i="5" s="1"/>
  <c r="L71" i="5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L37" i="5"/>
  <c r="Q37" i="5" s="1"/>
  <c r="L21" i="5"/>
  <c r="Q21" i="5" s="1"/>
  <c r="L85" i="5"/>
  <c r="L103" i="5"/>
  <c r="Q103" i="5" s="1"/>
  <c r="L84" i="5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L46" i="5"/>
  <c r="Q46" i="5" s="1"/>
  <c r="L30" i="5"/>
  <c r="Q30" i="5" s="1"/>
  <c r="L55" i="5"/>
  <c r="Q55" i="5" s="1"/>
  <c r="L39" i="5"/>
  <c r="Q39" i="5" s="1"/>
  <c r="L64" i="5"/>
  <c r="Q64" i="5" s="1"/>
  <c r="L48" i="5"/>
  <c r="L32" i="5"/>
  <c r="Q32" i="5" s="1"/>
  <c r="L16" i="5"/>
  <c r="Q16" i="5" s="1"/>
  <c r="L74" i="5"/>
  <c r="L80" i="5"/>
  <c r="L13" i="5"/>
  <c r="Q13" i="5" s="1"/>
  <c r="L86" i="5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L140" i="5" l="1"/>
  <c r="L112" i="5"/>
  <c r="Q112" i="5" s="1"/>
  <c r="L88" i="5"/>
  <c r="Q88" i="5" s="1"/>
  <c r="L67" i="5"/>
  <c r="Q67" i="5" s="1"/>
  <c r="M140" i="5" l="1"/>
  <c r="N140" i="5"/>
  <c r="L100" i="5" l="1"/>
  <c r="Q140" i="5"/>
  <c r="L100" i="4" l="1"/>
  <c r="L112" i="4" l="1"/>
</calcChain>
</file>

<file path=xl/sharedStrings.xml><?xml version="1.0" encoding="utf-8"?>
<sst xmlns="http://schemas.openxmlformats.org/spreadsheetml/2006/main" count="613" uniqueCount="145">
  <si>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</si>
  <si>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</si>
  <si>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</si>
  <si>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</si>
  <si>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</si>
  <si>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</si>
  <si>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</si>
  <si>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</si>
  <si>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</si>
  <si>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</si>
  <si>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</si>
  <si>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</si>
  <si>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</si>
  <si>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</si>
  <si>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</si>
  <si>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</si>
  <si>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</si>
  <si>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</si>
  <si>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</si>
  <si>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</si>
  <si>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</si>
  <si>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</si>
  <si>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</si>
  <si>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</si>
  <si>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</si>
  <si>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</si>
  <si>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</si>
  <si>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</si>
  <si>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</si>
  <si>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</si>
  <si>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</si>
  <si>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</si>
  <si>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</si>
  <si>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</si>
  <si>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</si>
  <si>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</si>
  <si>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</si>
  <si>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</si>
  <si>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</si>
  <si>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</si>
  <si>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</si>
  <si>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</si>
  <si>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</si>
  <si>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</si>
  <si>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</si>
  <si>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</si>
  <si>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</si>
  <si>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</si>
  <si>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</si>
  <si>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</si>
  <si>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</si>
  <si>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</si>
  <si>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</si>
  <si>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</si>
  <si>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</si>
  <si>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</si>
  <si>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</si>
  <si>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</si>
  <si>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</si>
  <si>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</si>
  <si>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</si>
  <si>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</si>
  <si>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</si>
  <si>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</si>
  <si>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</si>
  <si>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</si>
  <si>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</si>
  <si>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</si>
  <si>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</si>
  <si>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</si>
  <si>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</si>
  <si>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</si>
  <si>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</si>
  <si>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</si>
  <si>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</si>
  <si>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</si>
  <si>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</si>
  <si>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</si>
  <si>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</si>
  <si>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</si>
  <si>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</si>
  <si>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</si>
  <si>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</si>
  <si>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</si>
  <si>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</si>
  <si>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</si>
  <si>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</si>
  <si>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</si>
  <si>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</si>
  <si>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</si>
  <si>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</si>
  <si>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</si>
  <si>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</si>
  <si>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</si>
  <si>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</si>
  <si>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</si>
  <si>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</si>
  <si>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</si>
  <si>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</si>
  <si>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</si>
  <si>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</si>
  <si>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</si>
  <si>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</si>
  <si>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</si>
  <si>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</si>
  <si>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</si>
  <si>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</si>
  <si>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</si>
  <si>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</si>
  <si>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</si>
  <si>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</si>
  <si>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</si>
  <si>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</si>
  <si>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</si>
  <si>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</si>
  <si>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</si>
  <si>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</si>
  <si>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</si>
  <si>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</si>
  <si>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</si>
  <si>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</si>
  <si>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</si>
  <si>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</si>
  <si>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</si>
  <si>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</si>
  <si>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</si>
  <si>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</si>
  <si>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</si>
  <si>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</si>
  <si>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</si>
  <si>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</si>
  <si>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</si>
  <si>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</si>
  <si>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</si>
  <si>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</si>
  <si>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ยอดเส้น</t>
  </si>
  <si>
    <t>ยอดจริง ออนไลน์ วันที่  - เย็น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</si>
  <si>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</si>
  <si>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</si>
  <si>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</si>
  <si>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</si>
  <si>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</si>
  <si>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ยอดจริง ออนไลน์ วันที่ 12/1/2568 - เช้า</t>
  </si>
  <si>
    <t>ยอดจริง ออนไลน์ วันที่ 12/1/2568 รวม</t>
  </si>
  <si>
    <t>ยอดจริง ออนไลน์ วันที่ 12/1/2568 - บ่าย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</si>
</sst>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0"/>
  <sheetViews>
    <sheetView zoomScale="60" zoomScaleNormal="60" workbookViewId="0">
      <selection activeCell="D44" sqref="D44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8" t="s">
        <v>136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135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 x14ac:dyDescent="0.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51"/>
      <c r="C137" s="50" t="s">
        <v>137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138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">
      <c r="B139" s="51"/>
      <c r="C139" s="50" t="s">
        <v>139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">
      <c r="B140" s="54"/>
      <c r="C140" s="55"/>
      <c r="D140" s="32"/>
      <c r="E140" s="32"/>
      <c r="F140" s="32"/>
      <c r="G140" s="27"/>
      <c r="L140" s="56"/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 x14ac:dyDescent="0.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 x14ac:dyDescent="0.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0"/>
  <sheetViews>
    <sheetView zoomScale="60" zoomScaleNormal="60" workbookViewId="0">
      <selection activeCell="F127" sqref="F127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8" t="s">
        <v>142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135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1">
        <v>1</v>
      </c>
      <c r="E7" s="31">
        <v>22</v>
      </c>
      <c r="F7" s="31">
        <v>28</v>
      </c>
      <c r="G7" s="31">
        <v>1</v>
      </c>
      <c r="H7" s="31"/>
      <c r="I7" s="31"/>
      <c r="J7" s="44"/>
      <c r="K7" s="44"/>
      <c r="L7" s="37">
        <f>SUM(D7:K7)</f>
        <v>52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>
        <v>11</v>
      </c>
      <c r="E25" s="31">
        <v>5</v>
      </c>
      <c r="F25" s="31">
        <v>2</v>
      </c>
      <c r="G25" s="31">
        <v>3</v>
      </c>
      <c r="H25" s="31"/>
      <c r="I25" s="31"/>
      <c r="J25" s="44"/>
      <c r="K25" s="44"/>
      <c r="L25" s="37">
        <f t="shared" si="0"/>
        <v>21</v>
      </c>
    </row>
    <row r="26" spans="2:12" x14ac:dyDescent="0.2">
      <c r="B26" s="11">
        <v>1004055</v>
      </c>
      <c r="C26" s="15" t="s">
        <v>108</v>
      </c>
      <c r="D26" s="31"/>
      <c r="E26" s="31">
        <v>8</v>
      </c>
      <c r="F26" s="31"/>
      <c r="G26" s="31">
        <v>90</v>
      </c>
      <c r="H26" s="31"/>
      <c r="I26" s="31"/>
      <c r="J26" s="44"/>
      <c r="K26" s="44"/>
      <c r="L26" s="37">
        <f t="shared" si="0"/>
        <v>98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>
        <v>2</v>
      </c>
      <c r="H40" s="31"/>
      <c r="I40" s="31"/>
      <c r="J40" s="44"/>
      <c r="K40" s="44"/>
      <c r="L40" s="37">
        <f t="shared" si="0"/>
        <v>2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>
        <v>2</v>
      </c>
      <c r="H41" s="31"/>
      <c r="I41" s="31"/>
      <c r="J41" s="44"/>
      <c r="K41" s="44"/>
      <c r="L41" s="37">
        <f t="shared" si="0"/>
        <v>2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>
        <v>2</v>
      </c>
      <c r="H42" s="31"/>
      <c r="I42" s="31"/>
      <c r="J42" s="44"/>
      <c r="K42" s="44"/>
      <c r="L42" s="37">
        <f t="shared" si="0"/>
        <v>2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>
        <v>2</v>
      </c>
      <c r="H44" s="31"/>
      <c r="I44" s="31"/>
      <c r="J44" s="44"/>
      <c r="K44" s="44"/>
      <c r="L44" s="37">
        <f t="shared" si="0"/>
        <v>2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>
        <v>2</v>
      </c>
      <c r="H46" s="31"/>
      <c r="I46" s="31"/>
      <c r="J46" s="44"/>
      <c r="K46" s="44"/>
      <c r="L46" s="37">
        <f t="shared" si="0"/>
        <v>2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>
        <v>2</v>
      </c>
      <c r="H47" s="31"/>
      <c r="I47" s="31"/>
      <c r="J47" s="44"/>
      <c r="K47" s="44"/>
      <c r="L47" s="37">
        <f t="shared" si="0"/>
        <v>2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>
        <v>2</v>
      </c>
      <c r="H49" s="31"/>
      <c r="I49" s="31"/>
      <c r="J49" s="44"/>
      <c r="K49" s="44"/>
      <c r="L49" s="37">
        <f t="shared" si="0"/>
        <v>2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>
        <v>2</v>
      </c>
      <c r="H50" s="31"/>
      <c r="I50" s="31"/>
      <c r="J50" s="44"/>
      <c r="K50" s="44"/>
      <c r="L50" s="37">
        <f t="shared" si="0"/>
        <v>2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>
        <v>2</v>
      </c>
      <c r="H51" s="31"/>
      <c r="I51" s="31"/>
      <c r="J51" s="44"/>
      <c r="K51" s="44"/>
      <c r="L51" s="37">
        <f t="shared" si="0"/>
        <v>2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>
        <v>2</v>
      </c>
      <c r="H52" s="31"/>
      <c r="I52" s="31"/>
      <c r="J52" s="44"/>
      <c r="K52" s="44"/>
      <c r="L52" s="37">
        <f t="shared" si="0"/>
        <v>2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20" t="s">
        <v>56</v>
      </c>
      <c r="D69" s="31">
        <v>1</v>
      </c>
      <c r="E69" s="31">
        <v>3</v>
      </c>
      <c r="F69" s="31">
        <v>7</v>
      </c>
      <c r="G69" s="31">
        <v>2</v>
      </c>
      <c r="H69" s="31"/>
      <c r="I69" s="31"/>
      <c r="J69" s="44"/>
      <c r="K69" s="44"/>
      <c r="L69" s="37">
        <f t="shared" ref="L69:L76" si="1">SUM(D69:K69)</f>
        <v>13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>
        <v>36</v>
      </c>
      <c r="H87" s="31"/>
      <c r="I87" s="31"/>
      <c r="J87" s="44"/>
      <c r="K87" s="44"/>
      <c r="L87" s="37">
        <f t="shared" si="2"/>
        <v>36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20" t="s">
        <v>75</v>
      </c>
      <c r="D90" s="31"/>
      <c r="E90" s="31">
        <v>5</v>
      </c>
      <c r="F90" s="31">
        <v>14</v>
      </c>
      <c r="G90" s="31">
        <v>44</v>
      </c>
      <c r="H90" s="31"/>
      <c r="I90" s="31"/>
      <c r="J90" s="44"/>
      <c r="K90" s="44"/>
      <c r="L90" s="37">
        <f t="shared" ref="L90:L99" si="3">SUM(D90:K90)</f>
        <v>63</v>
      </c>
    </row>
    <row r="91" spans="2:12" x14ac:dyDescent="0.2">
      <c r="B91" s="11">
        <v>1112011</v>
      </c>
      <c r="C91" s="20" t="s">
        <v>76</v>
      </c>
      <c r="D91" s="31"/>
      <c r="E91" s="31">
        <v>5</v>
      </c>
      <c r="F91" s="31">
        <v>14</v>
      </c>
      <c r="G91" s="31">
        <v>44</v>
      </c>
      <c r="H91" s="31"/>
      <c r="I91" s="31"/>
      <c r="J91" s="44"/>
      <c r="K91" s="44"/>
      <c r="L91" s="37">
        <f t="shared" si="3"/>
        <v>63</v>
      </c>
    </row>
    <row r="92" spans="2:12" x14ac:dyDescent="0.2">
      <c r="B92" s="11">
        <v>1112003</v>
      </c>
      <c r="C92" s="20" t="s">
        <v>77</v>
      </c>
      <c r="D92" s="31"/>
      <c r="E92" s="31"/>
      <c r="F92" s="31">
        <v>4</v>
      </c>
      <c r="G92" s="31">
        <v>37</v>
      </c>
      <c r="H92" s="31"/>
      <c r="I92" s="31"/>
      <c r="J92" s="44"/>
      <c r="K92" s="44"/>
      <c r="L92" s="37">
        <f t="shared" si="3"/>
        <v>41</v>
      </c>
    </row>
    <row r="93" spans="2:12" x14ac:dyDescent="0.2">
      <c r="B93" s="11">
        <v>1112005</v>
      </c>
      <c r="C93" s="20" t="s">
        <v>78</v>
      </c>
      <c r="D93" s="31"/>
      <c r="E93" s="31"/>
      <c r="F93" s="31">
        <v>4</v>
      </c>
      <c r="G93" s="31">
        <v>37</v>
      </c>
      <c r="H93" s="31"/>
      <c r="I93" s="31"/>
      <c r="J93" s="44"/>
      <c r="K93" s="44"/>
      <c r="L93" s="37">
        <f t="shared" si="3"/>
        <v>41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>
        <v>4</v>
      </c>
      <c r="G97" s="31">
        <v>36</v>
      </c>
      <c r="H97" s="31"/>
      <c r="I97" s="31"/>
      <c r="J97" s="44"/>
      <c r="K97" s="44"/>
      <c r="L97" s="37">
        <f t="shared" si="3"/>
        <v>40</v>
      </c>
    </row>
    <row r="98" spans="2:12" x14ac:dyDescent="0.2">
      <c r="B98" s="11">
        <v>1112013</v>
      </c>
      <c r="C98" s="20" t="s">
        <v>83</v>
      </c>
      <c r="D98" s="31"/>
      <c r="E98" s="31">
        <v>4</v>
      </c>
      <c r="F98" s="31">
        <v>14</v>
      </c>
      <c r="G98" s="31">
        <v>43</v>
      </c>
      <c r="H98" s="31"/>
      <c r="I98" s="31"/>
      <c r="J98" s="44"/>
      <c r="K98" s="44"/>
      <c r="L98" s="37">
        <f t="shared" si="3"/>
        <v>61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>
        <v>1</v>
      </c>
      <c r="H114" s="31"/>
      <c r="I114" s="31"/>
      <c r="J114" s="44"/>
      <c r="K114" s="44"/>
      <c r="L114" s="37">
        <f t="shared" ref="L114:L139" si="6">SUM(D114:K114)</f>
        <v>1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>
        <v>1</v>
      </c>
      <c r="H116" s="31"/>
      <c r="I116" s="31"/>
      <c r="J116" s="44"/>
      <c r="K116" s="44"/>
      <c r="L116" s="37">
        <f t="shared" si="6"/>
        <v>1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>
        <v>2</v>
      </c>
      <c r="F119" s="31">
        <v>11</v>
      </c>
      <c r="G119" s="31"/>
      <c r="H119" s="31"/>
      <c r="I119" s="31"/>
      <c r="J119" s="44"/>
      <c r="K119" s="44"/>
      <c r="L119" s="37">
        <f t="shared" si="6"/>
        <v>13</v>
      </c>
    </row>
    <row r="120" spans="2:12" x14ac:dyDescent="0.2">
      <c r="B120" s="11">
        <v>1100002</v>
      </c>
      <c r="C120" s="22" t="s">
        <v>123</v>
      </c>
      <c r="D120" s="31"/>
      <c r="E120" s="31">
        <v>1</v>
      </c>
      <c r="F120" s="31">
        <v>1</v>
      </c>
      <c r="G120" s="31">
        <v>3</v>
      </c>
      <c r="H120" s="31"/>
      <c r="I120" s="31"/>
      <c r="J120" s="44"/>
      <c r="K120" s="44"/>
      <c r="L120" s="37">
        <f t="shared" si="6"/>
        <v>5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>
        <v>4</v>
      </c>
      <c r="F123" s="31">
        <v>6</v>
      </c>
      <c r="G123" s="31">
        <v>68</v>
      </c>
      <c r="H123" s="31"/>
      <c r="I123" s="31"/>
      <c r="J123" s="44"/>
      <c r="K123" s="44"/>
      <c r="L123" s="37">
        <f t="shared" si="6"/>
        <v>78</v>
      </c>
    </row>
    <row r="124" spans="2:12" x14ac:dyDescent="0.2">
      <c r="B124" s="11">
        <v>1114502</v>
      </c>
      <c r="C124" s="22" t="s">
        <v>96</v>
      </c>
      <c r="D124" s="31"/>
      <c r="E124" s="31">
        <v>2</v>
      </c>
      <c r="F124" s="31">
        <v>6</v>
      </c>
      <c r="G124" s="31">
        <v>68</v>
      </c>
      <c r="H124" s="31"/>
      <c r="I124" s="31"/>
      <c r="J124" s="44"/>
      <c r="K124" s="44"/>
      <c r="L124" s="37">
        <f t="shared" si="6"/>
        <v>76</v>
      </c>
    </row>
    <row r="125" spans="2:12" x14ac:dyDescent="0.2">
      <c r="B125" s="11">
        <v>1114503</v>
      </c>
      <c r="C125" s="22" t="s">
        <v>97</v>
      </c>
      <c r="D125" s="31"/>
      <c r="E125" s="31">
        <v>4</v>
      </c>
      <c r="F125" s="31">
        <v>5</v>
      </c>
      <c r="G125" s="31">
        <v>68</v>
      </c>
      <c r="H125" s="31"/>
      <c r="I125" s="31"/>
      <c r="J125" s="44"/>
      <c r="K125" s="44"/>
      <c r="L125" s="37">
        <f t="shared" si="6"/>
        <v>77</v>
      </c>
    </row>
    <row r="126" spans="2:12" x14ac:dyDescent="0.2">
      <c r="B126" s="11">
        <v>1124021</v>
      </c>
      <c r="C126" s="22" t="s">
        <v>98</v>
      </c>
      <c r="D126" s="31"/>
      <c r="E126" s="31">
        <v>13</v>
      </c>
      <c r="F126" s="31">
        <v>37</v>
      </c>
      <c r="G126" s="31">
        <v>33</v>
      </c>
      <c r="H126" s="31"/>
      <c r="I126" s="31"/>
      <c r="J126" s="44"/>
      <c r="K126" s="44"/>
      <c r="L126" s="37">
        <f t="shared" si="6"/>
        <v>83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51"/>
      <c r="C137" s="50" t="s">
        <v>137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138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">
      <c r="B139" s="51"/>
      <c r="C139" s="50" t="s">
        <v>139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">
      <c r="B140" s="54"/>
      <c r="C140" s="55"/>
      <c r="D140" s="32"/>
      <c r="E140" s="32"/>
      <c r="F140" s="32"/>
      <c r="G140" s="27"/>
      <c r="L140" s="56"/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 x14ac:dyDescent="0.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 x14ac:dyDescent="0.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0"/>
  <sheetViews>
    <sheetView topLeftCell="A7" zoomScale="60" zoomScaleNormal="60" workbookViewId="0">
      <selection activeCell="E127" sqref="E127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135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1"/>
      <c r="E7" s="31">
        <v>8</v>
      </c>
      <c r="F7" s="31"/>
      <c r="G7" s="31">
        <v>5</v>
      </c>
      <c r="H7" s="31"/>
      <c r="I7" s="31"/>
      <c r="J7" s="44"/>
      <c r="K7" s="44"/>
      <c r="L7" s="37">
        <f>SUM(D7:K7)</f>
        <v>13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>
        <v>2</v>
      </c>
      <c r="F25" s="31"/>
      <c r="G25" s="31">
        <v>1</v>
      </c>
      <c r="H25" s="31"/>
      <c r="I25" s="31"/>
      <c r="J25" s="44"/>
      <c r="K25" s="44"/>
      <c r="L25" s="37">
        <f t="shared" si="0"/>
        <v>3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>
        <v>42</v>
      </c>
      <c r="H26" s="31"/>
      <c r="I26" s="31"/>
      <c r="J26" s="44"/>
      <c r="K26" s="44"/>
      <c r="L26" s="37">
        <f t="shared" si="0"/>
        <v>42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>
        <v>1</v>
      </c>
      <c r="G56" s="31"/>
      <c r="H56" s="31"/>
      <c r="I56" s="31"/>
      <c r="J56" s="44"/>
      <c r="K56" s="44"/>
      <c r="L56" s="37">
        <f t="shared" si="0"/>
        <v>1</v>
      </c>
    </row>
    <row r="57" spans="2:12" x14ac:dyDescent="0.2">
      <c r="B57" s="11">
        <v>1111075</v>
      </c>
      <c r="C57" s="15" t="s">
        <v>45</v>
      </c>
      <c r="D57" s="31"/>
      <c r="E57" s="31"/>
      <c r="F57" s="31">
        <v>1</v>
      </c>
      <c r="G57" s="31"/>
      <c r="H57" s="31"/>
      <c r="I57" s="31"/>
      <c r="J57" s="44"/>
      <c r="K57" s="44"/>
      <c r="L57" s="37">
        <f t="shared" si="0"/>
        <v>1</v>
      </c>
    </row>
    <row r="58" spans="2:12" x14ac:dyDescent="0.2">
      <c r="B58" s="11">
        <v>1111076</v>
      </c>
      <c r="C58" s="15" t="s">
        <v>46</v>
      </c>
      <c r="D58" s="31"/>
      <c r="E58" s="31"/>
      <c r="F58" s="31">
        <v>1</v>
      </c>
      <c r="G58" s="31"/>
      <c r="H58" s="31"/>
      <c r="I58" s="31"/>
      <c r="J58" s="44"/>
      <c r="K58" s="44"/>
      <c r="L58" s="37">
        <f t="shared" si="0"/>
        <v>1</v>
      </c>
    </row>
    <row r="59" spans="2:12" x14ac:dyDescent="0.2">
      <c r="B59" s="11">
        <v>1111077</v>
      </c>
      <c r="C59" s="15" t="s">
        <v>47</v>
      </c>
      <c r="D59" s="31"/>
      <c r="E59" s="31"/>
      <c r="F59" s="31">
        <v>1</v>
      </c>
      <c r="G59" s="31"/>
      <c r="H59" s="31"/>
      <c r="I59" s="31"/>
      <c r="J59" s="44"/>
      <c r="K59" s="44"/>
      <c r="L59" s="37">
        <f t="shared" si="0"/>
        <v>1</v>
      </c>
    </row>
    <row r="60" spans="2:12" x14ac:dyDescent="0.2">
      <c r="B60" s="11">
        <v>1111078</v>
      </c>
      <c r="C60" s="15" t="s">
        <v>48</v>
      </c>
      <c r="D60" s="31"/>
      <c r="E60" s="31"/>
      <c r="F60" s="31">
        <v>1</v>
      </c>
      <c r="G60" s="31"/>
      <c r="H60" s="31"/>
      <c r="I60" s="31"/>
      <c r="J60" s="44"/>
      <c r="K60" s="44"/>
      <c r="L60" s="37">
        <f t="shared" si="0"/>
        <v>1</v>
      </c>
    </row>
    <row r="61" spans="2:12" x14ac:dyDescent="0.2">
      <c r="B61" s="11">
        <v>1111079</v>
      </c>
      <c r="C61" s="15" t="s">
        <v>49</v>
      </c>
      <c r="D61" s="31"/>
      <c r="E61" s="31"/>
      <c r="F61" s="31">
        <v>1</v>
      </c>
      <c r="G61" s="31"/>
      <c r="H61" s="31"/>
      <c r="I61" s="31"/>
      <c r="J61" s="44"/>
      <c r="K61" s="44"/>
      <c r="L61" s="37">
        <f t="shared" si="0"/>
        <v>1</v>
      </c>
    </row>
    <row r="62" spans="2:12" x14ac:dyDescent="0.2">
      <c r="B62" s="11">
        <v>1111080</v>
      </c>
      <c r="C62" s="15" t="s">
        <v>50</v>
      </c>
      <c r="D62" s="31"/>
      <c r="E62" s="31"/>
      <c r="F62" s="31">
        <v>1</v>
      </c>
      <c r="G62" s="31"/>
      <c r="H62" s="31"/>
      <c r="I62" s="31"/>
      <c r="J62" s="44"/>
      <c r="K62" s="44"/>
      <c r="L62" s="37">
        <f t="shared" si="0"/>
        <v>1</v>
      </c>
    </row>
    <row r="63" spans="2:12" x14ac:dyDescent="0.2">
      <c r="B63" s="11">
        <v>1111081</v>
      </c>
      <c r="C63" s="15" t="s">
        <v>51</v>
      </c>
      <c r="D63" s="31"/>
      <c r="E63" s="31"/>
      <c r="F63" s="31">
        <v>1</v>
      </c>
      <c r="G63" s="31"/>
      <c r="H63" s="31"/>
      <c r="I63" s="31"/>
      <c r="J63" s="44"/>
      <c r="K63" s="44"/>
      <c r="L63" s="37">
        <f t="shared" si="0"/>
        <v>1</v>
      </c>
    </row>
    <row r="64" spans="2:12" x14ac:dyDescent="0.2">
      <c r="B64" s="11">
        <v>1111082</v>
      </c>
      <c r="C64" s="15" t="s">
        <v>52</v>
      </c>
      <c r="D64" s="31"/>
      <c r="E64" s="31"/>
      <c r="F64" s="31">
        <v>1</v>
      </c>
      <c r="G64" s="31"/>
      <c r="H64" s="31"/>
      <c r="I64" s="31"/>
      <c r="J64" s="44"/>
      <c r="K64" s="44"/>
      <c r="L64" s="37">
        <f t="shared" si="0"/>
        <v>1</v>
      </c>
    </row>
    <row r="65" spans="2:12" x14ac:dyDescent="0.2">
      <c r="B65" s="11">
        <v>1111083</v>
      </c>
      <c r="C65" s="15" t="s">
        <v>53</v>
      </c>
      <c r="D65" s="31"/>
      <c r="E65" s="31"/>
      <c r="F65" s="31">
        <v>1</v>
      </c>
      <c r="G65" s="31"/>
      <c r="H65" s="31"/>
      <c r="I65" s="31"/>
      <c r="J65" s="44"/>
      <c r="K65" s="44"/>
      <c r="L65" s="37">
        <f t="shared" si="0"/>
        <v>1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20" t="s">
        <v>56</v>
      </c>
      <c r="D69" s="31"/>
      <c r="E69" s="31">
        <v>3</v>
      </c>
      <c r="F69" s="31"/>
      <c r="G69" s="31">
        <v>1</v>
      </c>
      <c r="H69" s="31"/>
      <c r="I69" s="31"/>
      <c r="J69" s="44"/>
      <c r="K69" s="44"/>
      <c r="L69" s="37">
        <f t="shared" ref="L69:L76" si="1">SUM(D69:K69)</f>
        <v>4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>
        <v>93</v>
      </c>
      <c r="H87" s="31"/>
      <c r="I87" s="31"/>
      <c r="J87" s="44"/>
      <c r="K87" s="44"/>
      <c r="L87" s="37">
        <f t="shared" si="2"/>
        <v>93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20" t="s">
        <v>75</v>
      </c>
      <c r="D90" s="31"/>
      <c r="E90" s="31"/>
      <c r="F90" s="31">
        <v>2</v>
      </c>
      <c r="G90" s="31">
        <v>33</v>
      </c>
      <c r="H90" s="31"/>
      <c r="I90" s="31"/>
      <c r="J90" s="44"/>
      <c r="K90" s="44"/>
      <c r="L90" s="37">
        <f t="shared" ref="L90:L99" si="3">SUM(D90:K90)</f>
        <v>35</v>
      </c>
    </row>
    <row r="91" spans="2:12" x14ac:dyDescent="0.2">
      <c r="B91" s="11">
        <v>1112011</v>
      </c>
      <c r="C91" s="20" t="s">
        <v>76</v>
      </c>
      <c r="D91" s="31"/>
      <c r="E91" s="31"/>
      <c r="F91" s="31">
        <v>4</v>
      </c>
      <c r="G91" s="31">
        <v>33</v>
      </c>
      <c r="H91" s="31"/>
      <c r="I91" s="31"/>
      <c r="J91" s="44"/>
      <c r="K91" s="44"/>
      <c r="L91" s="37">
        <f t="shared" si="3"/>
        <v>37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>
        <v>21</v>
      </c>
      <c r="H92" s="31"/>
      <c r="I92" s="31"/>
      <c r="J92" s="44"/>
      <c r="K92" s="44"/>
      <c r="L92" s="37">
        <f t="shared" si="3"/>
        <v>21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>
        <v>21</v>
      </c>
      <c r="H93" s="31"/>
      <c r="I93" s="31"/>
      <c r="J93" s="44"/>
      <c r="K93" s="44"/>
      <c r="L93" s="37">
        <f t="shared" si="3"/>
        <v>21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>
        <v>21</v>
      </c>
      <c r="H97" s="31"/>
      <c r="I97" s="31"/>
      <c r="J97" s="44"/>
      <c r="K97" s="44"/>
      <c r="L97" s="37">
        <f t="shared" si="3"/>
        <v>21</v>
      </c>
    </row>
    <row r="98" spans="2:12" x14ac:dyDescent="0.2">
      <c r="B98" s="11">
        <v>1112013</v>
      </c>
      <c r="C98" s="20" t="s">
        <v>83</v>
      </c>
      <c r="D98" s="31"/>
      <c r="E98" s="31"/>
      <c r="F98" s="31">
        <v>2</v>
      </c>
      <c r="G98" s="31">
        <v>32</v>
      </c>
      <c r="H98" s="31"/>
      <c r="I98" s="31"/>
      <c r="J98" s="44"/>
      <c r="K98" s="44"/>
      <c r="L98" s="37">
        <f t="shared" si="3"/>
        <v>34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>
        <v>1</v>
      </c>
      <c r="H114" s="31"/>
      <c r="I114" s="31"/>
      <c r="J114" s="44"/>
      <c r="K114" s="44"/>
      <c r="L114" s="37">
        <f t="shared" ref="L114:L139" si="6">SUM(D114:K114)</f>
        <v>1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>
        <v>1</v>
      </c>
      <c r="H115" s="31"/>
      <c r="I115" s="31"/>
      <c r="J115" s="44"/>
      <c r="K115" s="44"/>
      <c r="L115" s="37">
        <f t="shared" si="6"/>
        <v>1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>
        <v>3</v>
      </c>
      <c r="H116" s="31"/>
      <c r="I116" s="31"/>
      <c r="J116" s="44"/>
      <c r="K116" s="44"/>
      <c r="L116" s="37">
        <f t="shared" si="6"/>
        <v>3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>
        <v>3</v>
      </c>
      <c r="F123" s="31">
        <v>3</v>
      </c>
      <c r="G123" s="31">
        <v>90</v>
      </c>
      <c r="H123" s="31"/>
      <c r="I123" s="31"/>
      <c r="J123" s="44"/>
      <c r="K123" s="44"/>
      <c r="L123" s="37">
        <f t="shared" si="6"/>
        <v>96</v>
      </c>
    </row>
    <row r="124" spans="2:12" x14ac:dyDescent="0.2">
      <c r="B124" s="11">
        <v>1114502</v>
      </c>
      <c r="C124" s="22" t="s">
        <v>96</v>
      </c>
      <c r="D124" s="31"/>
      <c r="E124" s="31">
        <v>3</v>
      </c>
      <c r="F124" s="31">
        <v>2</v>
      </c>
      <c r="G124" s="31">
        <v>90</v>
      </c>
      <c r="H124" s="31"/>
      <c r="I124" s="31"/>
      <c r="J124" s="44"/>
      <c r="K124" s="44"/>
      <c r="L124" s="37">
        <f t="shared" si="6"/>
        <v>95</v>
      </c>
    </row>
    <row r="125" spans="2:12" x14ac:dyDescent="0.2">
      <c r="B125" s="11">
        <v>1114503</v>
      </c>
      <c r="C125" s="22" t="s">
        <v>97</v>
      </c>
      <c r="D125" s="31"/>
      <c r="E125" s="31">
        <v>2</v>
      </c>
      <c r="F125" s="31">
        <v>3</v>
      </c>
      <c r="G125" s="31">
        <v>89</v>
      </c>
      <c r="H125" s="31"/>
      <c r="I125" s="31"/>
      <c r="J125" s="44"/>
      <c r="K125" s="44"/>
      <c r="L125" s="37">
        <f t="shared" si="6"/>
        <v>94</v>
      </c>
    </row>
    <row r="126" spans="2:12" x14ac:dyDescent="0.2">
      <c r="B126" s="11">
        <v>1124021</v>
      </c>
      <c r="C126" s="22" t="s">
        <v>98</v>
      </c>
      <c r="D126" s="31"/>
      <c r="E126" s="31">
        <v>6</v>
      </c>
      <c r="F126" s="31">
        <v>13</v>
      </c>
      <c r="G126" s="31"/>
      <c r="H126" s="31"/>
      <c r="I126" s="31"/>
      <c r="J126" s="44"/>
      <c r="K126" s="44"/>
      <c r="L126" s="37">
        <f t="shared" si="6"/>
        <v>19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>
        <v>10</v>
      </c>
      <c r="G135" s="31"/>
      <c r="H135" s="31"/>
      <c r="I135" s="31"/>
      <c r="J135" s="44"/>
      <c r="K135" s="44"/>
      <c r="L135" s="37">
        <f t="shared" si="6"/>
        <v>10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51"/>
      <c r="C137" s="50" t="s">
        <v>137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138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">
      <c r="B139" s="51"/>
      <c r="C139" s="50" t="s">
        <v>139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">
      <c r="B140" s="54"/>
      <c r="C140" s="55"/>
      <c r="D140" s="32"/>
      <c r="E140" s="32"/>
      <c r="F140" s="32"/>
      <c r="G140" s="27"/>
      <c r="L140" s="56"/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 x14ac:dyDescent="0.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 x14ac:dyDescent="0.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</sheetData>
  <mergeCells count="14">
    <mergeCell ref="B78:L78"/>
    <mergeCell ref="B89:L89"/>
    <mergeCell ref="B101:L101"/>
    <mergeCell ref="B113:L113"/>
    <mergeCell ref="B143:C143"/>
    <mergeCell ref="I143:L143"/>
    <mergeCell ref="B142:C142"/>
    <mergeCell ref="E142:F142"/>
    <mergeCell ref="I142:L142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2"/>
  <sheetViews>
    <sheetView tabSelected="1" topLeftCell="B1" zoomScale="50" zoomScaleNormal="50" workbookViewId="0">
      <selection activeCell="Q7" sqref="Q7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  <col min="13" max="13" width="16.125" style="24" customWidth="1"/>
    <col min="14" max="15" width="15.375" style="24" customWidth="1"/>
    <col min="16" max="16" width="25.375" style="24" customWidth="1"/>
    <col min="17" max="17" width="14.375" style="29" customWidth="1"/>
    <col min="18" max="18" width="9.125" customWidth="1"/>
    <col min="19" max="19" width="7.375" customWidth="1"/>
    <col min="20" max="20" width="22.75" customWidth="1"/>
  </cols>
  <sheetData>
    <row r="1" spans="2:17" x14ac:dyDescent="0.2">
      <c r="B1" s="58" t="s">
        <v>143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  <c r="M3" s="68"/>
      <c r="N3" s="68"/>
      <c r="O3" s="68"/>
      <c r="P3" s="68"/>
      <c r="Q3" s="71"/>
    </row>
    <row r="4" spans="2:17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135</v>
      </c>
      <c r="L4" s="10" t="s">
        <v>10</v>
      </c>
      <c r="M4" s="69"/>
      <c r="N4" s="69"/>
      <c r="O4" s="69"/>
      <c r="P4" s="69"/>
      <c r="Q4" s="72"/>
    </row>
    <row r="5" spans="2:17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 x14ac:dyDescent="0.2">
      <c r="B7" s="11">
        <v>1111002</v>
      </c>
      <c r="C7" s="15" t="s">
        <v>107</v>
      </c>
      <c r="D7" s="31">
        <f>'เย็น '!D7+'เช้า '!D7+บ่าย!D7</f>
        <v>1</v>
      </c>
      <c r="E7" s="31">
        <f>'เย็น '!E7+'เช้า '!E7+บ่าย!E7</f>
        <v>30</v>
      </c>
      <c r="F7" s="31">
        <f>'เย็น '!F7+'เช้า '!F7+บ่าย!F7</f>
        <v>28</v>
      </c>
      <c r="G7" s="31">
        <f>'เย็น '!G7+'เช้า '!G7+บ่าย!G7</f>
        <v>6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v>15</v>
      </c>
      <c r="L7" s="37">
        <f>SUM(D7:K7)</f>
        <v>80</v>
      </c>
      <c r="M7" s="11">
        <v>500</v>
      </c>
      <c r="N7" s="11">
        <v>604</v>
      </c>
      <c r="O7" s="11"/>
      <c r="P7" s="11"/>
      <c r="Q7" s="45">
        <f>(M7+N7+O7+P7)-L7</f>
        <v>1024</v>
      </c>
    </row>
    <row r="8" spans="2:17" hidden="1" x14ac:dyDescent="0.2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11"/>
      <c r="P8" s="11"/>
      <c r="Q8" s="45">
        <f t="shared" ref="Q8:Q66" si="1">(M8+N8+O8+P8)-L8</f>
        <v>0</v>
      </c>
    </row>
    <row r="9" spans="2:17" hidden="1" x14ac:dyDescent="0.2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11"/>
      <c r="P9" s="11"/>
      <c r="Q9" s="45">
        <f t="shared" si="1"/>
        <v>0</v>
      </c>
    </row>
    <row r="10" spans="2:17" hidden="1" x14ac:dyDescent="0.2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 hidden="1" x14ac:dyDescent="0.2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 hidden="1" x14ac:dyDescent="0.2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 hidden="1" x14ac:dyDescent="0.2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11"/>
      <c r="Q13" s="45">
        <f t="shared" si="1"/>
        <v>0</v>
      </c>
    </row>
    <row r="14" spans="2:17" hidden="1" x14ac:dyDescent="0.2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11"/>
      <c r="Q14" s="45">
        <f t="shared" si="1"/>
        <v>0</v>
      </c>
    </row>
    <row r="15" spans="2:17" hidden="1" x14ac:dyDescent="0.2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 hidden="1" x14ac:dyDescent="0.2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11"/>
      <c r="Q16" s="45">
        <f t="shared" si="1"/>
        <v>0</v>
      </c>
    </row>
    <row r="17" spans="2:17" hidden="1" x14ac:dyDescent="0.2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 hidden="1" x14ac:dyDescent="0.2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 hidden="1" x14ac:dyDescent="0.2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 hidden="1" x14ac:dyDescent="0.2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 hidden="1" x14ac:dyDescent="0.2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 hidden="1" x14ac:dyDescent="0.2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 hidden="1" x14ac:dyDescent="0.2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 hidden="1" x14ac:dyDescent="0.2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 x14ac:dyDescent="0.2">
      <c r="B25" s="11">
        <v>1111056</v>
      </c>
      <c r="C25" s="15" t="s">
        <v>28</v>
      </c>
      <c r="D25" s="31">
        <f>'เย็น '!D25+'เช้า '!D25+บ่าย!D25</f>
        <v>11</v>
      </c>
      <c r="E25" s="31">
        <f>'เย็น '!E25+'เช้า '!E25+บ่าย!E25</f>
        <v>7</v>
      </c>
      <c r="F25" s="31">
        <f>'เย็น '!F25+'เช้า '!F25+บ่าย!F25</f>
        <v>2</v>
      </c>
      <c r="G25" s="31">
        <f>'เย็น '!G25+'เช้า '!G25+บ่าย!G25</f>
        <v>4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0</v>
      </c>
      <c r="L25" s="37">
        <f t="shared" si="0"/>
        <v>24</v>
      </c>
      <c r="M25" s="11">
        <v>80</v>
      </c>
      <c r="N25" s="11"/>
      <c r="O25" s="11"/>
      <c r="P25" s="11"/>
      <c r="Q25" s="45">
        <f t="shared" si="1"/>
        <v>56</v>
      </c>
    </row>
    <row r="26" spans="2:17" x14ac:dyDescent="0.2">
      <c r="B26" s="11">
        <v>1004055</v>
      </c>
      <c r="C26" s="15" t="s">
        <v>108</v>
      </c>
      <c r="D26" s="31">
        <f>'เย็น '!D26+'เช้า '!D26+บ่าย!D26</f>
        <v>0</v>
      </c>
      <c r="E26" s="31">
        <f>'เย็น '!E26+'เช้า '!E26+บ่าย!E26</f>
        <v>8</v>
      </c>
      <c r="F26" s="31">
        <f>'เย็น '!F26+'เช้า '!F26+บ่าย!F26</f>
        <v>0</v>
      </c>
      <c r="G26" s="31">
        <f>'เย็น '!G26+'เช้า '!G26+บ่าย!G26</f>
        <v>132</v>
      </c>
      <c r="H26" s="31">
        <f>'เย็น '!H26+'เช้า '!H26+บ่าย!H26</f>
        <v>0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0</v>
      </c>
      <c r="L26" s="37">
        <f t="shared" si="0"/>
        <v>140</v>
      </c>
      <c r="M26" s="11">
        <v>500</v>
      </c>
      <c r="N26" s="11">
        <v>3</v>
      </c>
      <c r="O26" s="11"/>
      <c r="P26" s="11"/>
      <c r="Q26" s="45">
        <f t="shared" si="1"/>
        <v>363</v>
      </c>
    </row>
    <row r="27" spans="2:17" hidden="1" x14ac:dyDescent="0.2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 hidden="1" x14ac:dyDescent="0.2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 hidden="1" x14ac:dyDescent="0.2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 hidden="1" x14ac:dyDescent="0.2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 hidden="1" x14ac:dyDescent="0.2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 hidden="1" x14ac:dyDescent="0.2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 hidden="1" x14ac:dyDescent="0.2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 hidden="1" x14ac:dyDescent="0.2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 hidden="1" x14ac:dyDescent="0.2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 hidden="1" x14ac:dyDescent="0.2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 hidden="1" x14ac:dyDescent="0.2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 hidden="1" x14ac:dyDescent="0.2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 hidden="1" x14ac:dyDescent="0.2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 x14ac:dyDescent="0.2">
      <c r="B40" s="11">
        <v>1111057</v>
      </c>
      <c r="C40" s="15" t="s">
        <v>30</v>
      </c>
      <c r="D40" s="31">
        <f>'เย็น '!D40+'เช้า '!D40+บ่าย!D40</f>
        <v>0</v>
      </c>
      <c r="E40" s="31">
        <f>'เย็น '!E40+'เช้า '!E40+บ่าย!E40</f>
        <v>0</v>
      </c>
      <c r="F40" s="31">
        <f>'เย็น '!F40+'เช้า '!F40+บ่าย!F40</f>
        <v>0</v>
      </c>
      <c r="G40" s="31">
        <f>'เย็น '!G40+'เช้า '!G40+บ่าย!G40</f>
        <v>2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2</v>
      </c>
      <c r="M40" s="11">
        <v>100</v>
      </c>
      <c r="N40" s="11">
        <v>1</v>
      </c>
      <c r="O40" s="11"/>
      <c r="P40" s="11"/>
      <c r="Q40" s="45">
        <f t="shared" si="1"/>
        <v>99</v>
      </c>
    </row>
    <row r="41" spans="2:17" x14ac:dyDescent="0.2">
      <c r="B41" s="11">
        <v>1111058</v>
      </c>
      <c r="C41" s="15" t="s">
        <v>31</v>
      </c>
      <c r="D41" s="31">
        <f>'เย็น '!D41+'เช้า '!D41+บ่าย!D41</f>
        <v>0</v>
      </c>
      <c r="E41" s="31">
        <f>'เย็น '!E41+'เช้า '!E41+บ่าย!E41</f>
        <v>0</v>
      </c>
      <c r="F41" s="31">
        <f>'เย็น '!F41+'เช้า '!F41+บ่าย!F41</f>
        <v>0</v>
      </c>
      <c r="G41" s="31">
        <f>'เย็น '!G41+'เช้า '!G41+บ่าย!G41</f>
        <v>2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2</v>
      </c>
      <c r="M41" s="11">
        <v>100</v>
      </c>
      <c r="N41" s="11"/>
      <c r="O41" s="11"/>
      <c r="P41" s="11"/>
      <c r="Q41" s="45">
        <f t="shared" si="1"/>
        <v>98</v>
      </c>
    </row>
    <row r="42" spans="2:17" x14ac:dyDescent="0.2">
      <c r="B42" s="11">
        <v>1111059</v>
      </c>
      <c r="C42" s="15" t="s">
        <v>32</v>
      </c>
      <c r="D42" s="31">
        <f>'เย็น '!D42+'เช้า '!D42+บ่าย!D42</f>
        <v>0</v>
      </c>
      <c r="E42" s="31">
        <f>'เย็น '!E42+'เช้า '!E42+บ่าย!E42</f>
        <v>0</v>
      </c>
      <c r="F42" s="31">
        <f>'เย็น '!F42+'เช้า '!F42+บ่าย!F42</f>
        <v>0</v>
      </c>
      <c r="G42" s="31">
        <f>'เย็น '!G42+'เช้า '!G42+บ่าย!G42</f>
        <v>2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2</v>
      </c>
      <c r="M42" s="11">
        <v>100</v>
      </c>
      <c r="N42" s="11"/>
      <c r="O42" s="11"/>
      <c r="P42" s="11"/>
      <c r="Q42" s="45">
        <f t="shared" si="1"/>
        <v>98</v>
      </c>
    </row>
    <row r="43" spans="2:17" x14ac:dyDescent="0.2">
      <c r="B43" s="11">
        <v>1111060</v>
      </c>
      <c r="C43" s="15" t="s">
        <v>33</v>
      </c>
      <c r="D43" s="31">
        <f>'เย็น '!D43+'เช้า '!D43+บ่าย!D43</f>
        <v>0</v>
      </c>
      <c r="E43" s="31">
        <f>'เย็น '!E43+'เช้า '!E43+บ่าย!E43</f>
        <v>0</v>
      </c>
      <c r="F43" s="31">
        <f>'เย็น '!F43+'เช้า '!F43+บ่าย!F43</f>
        <v>0</v>
      </c>
      <c r="G43" s="31">
        <f>'เย็น '!G43+'เช้า '!G43+บ่าย!G43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0</v>
      </c>
      <c r="M43" s="11">
        <v>100</v>
      </c>
      <c r="N43" s="11"/>
      <c r="O43" s="11"/>
      <c r="P43" s="11"/>
      <c r="Q43" s="45">
        <f t="shared" si="1"/>
        <v>100</v>
      </c>
    </row>
    <row r="44" spans="2:17" x14ac:dyDescent="0.2">
      <c r="B44" s="11">
        <v>1111061</v>
      </c>
      <c r="C44" s="15" t="s">
        <v>34</v>
      </c>
      <c r="D44" s="31">
        <f>'เย็น '!D44+'เช้า '!D44+บ่าย!D44</f>
        <v>0</v>
      </c>
      <c r="E44" s="31">
        <f>'เย็น '!E44+'เช้า '!E44+บ่าย!E44</f>
        <v>0</v>
      </c>
      <c r="F44" s="31">
        <f>'เย็น '!F44+'เช้า '!F44+บ่าย!F44</f>
        <v>0</v>
      </c>
      <c r="G44" s="31">
        <f>'เย็น '!G44+'เช้า '!G44+บ่าย!G44</f>
        <v>2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2</v>
      </c>
      <c r="M44" s="11">
        <v>100</v>
      </c>
      <c r="N44" s="11"/>
      <c r="O44" s="11"/>
      <c r="P44" s="11"/>
      <c r="Q44" s="45">
        <f t="shared" si="1"/>
        <v>98</v>
      </c>
    </row>
    <row r="45" spans="2:17" x14ac:dyDescent="0.2">
      <c r="B45" s="11">
        <v>1111062</v>
      </c>
      <c r="C45" s="15" t="s">
        <v>35</v>
      </c>
      <c r="D45" s="31">
        <f>'เย็น '!D45+'เช้า '!D45+บ่าย!D45</f>
        <v>0</v>
      </c>
      <c r="E45" s="31">
        <f>'เย็น '!E45+'เช้า '!E45+บ่าย!E45</f>
        <v>0</v>
      </c>
      <c r="F45" s="31">
        <f>'เย็น '!F45+'เช้า '!F45+บ่าย!F45</f>
        <v>0</v>
      </c>
      <c r="G45" s="31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0</v>
      </c>
      <c r="M45" s="11">
        <v>100</v>
      </c>
      <c r="N45" s="11"/>
      <c r="O45" s="11"/>
      <c r="P45" s="11"/>
      <c r="Q45" s="45">
        <f t="shared" si="1"/>
        <v>100</v>
      </c>
    </row>
    <row r="46" spans="2:17" x14ac:dyDescent="0.2">
      <c r="B46" s="11">
        <v>1111063</v>
      </c>
      <c r="C46" s="15" t="s">
        <v>36</v>
      </c>
      <c r="D46" s="31">
        <f>'เย็น '!D46+'เช้า '!D46+บ่าย!D46</f>
        <v>0</v>
      </c>
      <c r="E46" s="31">
        <f>'เย็น '!E46+'เช้า '!E46+บ่าย!E46</f>
        <v>0</v>
      </c>
      <c r="F46" s="31">
        <f>'เย็น '!F46+'เช้า '!F46+บ่าย!F46</f>
        <v>0</v>
      </c>
      <c r="G46" s="31">
        <f>'เย็น '!G46+'เช้า '!G46+บ่าย!G46</f>
        <v>2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2</v>
      </c>
      <c r="M46" s="11">
        <v>100</v>
      </c>
      <c r="N46" s="11"/>
      <c r="O46" s="11"/>
      <c r="P46" s="11"/>
      <c r="Q46" s="45">
        <f t="shared" si="1"/>
        <v>98</v>
      </c>
    </row>
    <row r="47" spans="2:17" x14ac:dyDescent="0.2">
      <c r="B47" s="11">
        <v>1111064</v>
      </c>
      <c r="C47" s="15" t="s">
        <v>37</v>
      </c>
      <c r="D47" s="31">
        <f>'เย็น '!D47+'เช้า '!D47+บ่าย!D47</f>
        <v>0</v>
      </c>
      <c r="E47" s="31">
        <f>'เย็น '!E47+'เช้า '!E47+บ่าย!E47</f>
        <v>0</v>
      </c>
      <c r="F47" s="31">
        <f>'เย็น '!F47+'เช้า '!F47+บ่าย!F47</f>
        <v>0</v>
      </c>
      <c r="G47" s="31">
        <f>'เย็น '!G47+'เช้า '!G47+บ่าย!G47</f>
        <v>2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2</v>
      </c>
      <c r="M47" s="11">
        <v>100</v>
      </c>
      <c r="N47" s="11"/>
      <c r="O47" s="11"/>
      <c r="P47" s="11"/>
      <c r="Q47" s="45">
        <f t="shared" si="1"/>
        <v>98</v>
      </c>
    </row>
    <row r="48" spans="2:17" x14ac:dyDescent="0.2">
      <c r="B48" s="11">
        <v>1111065</v>
      </c>
      <c r="C48" s="15" t="s">
        <v>38</v>
      </c>
      <c r="D48" s="31">
        <f>'เย็น '!D48+'เช้า '!D48+บ่าย!D48</f>
        <v>0</v>
      </c>
      <c r="E48" s="31">
        <f>'เย็น '!E48+'เช้า '!E48+บ่าย!E48</f>
        <v>0</v>
      </c>
      <c r="F48" s="31">
        <f>'เย็น '!F48+'เช้า '!F48+บ่าย!F48</f>
        <v>0</v>
      </c>
      <c r="G48" s="31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0</v>
      </c>
      <c r="M48" s="11">
        <v>100</v>
      </c>
      <c r="N48" s="11"/>
      <c r="O48" s="11"/>
      <c r="P48" s="11"/>
      <c r="Q48" s="45">
        <f t="shared" si="1"/>
        <v>100</v>
      </c>
    </row>
    <row r="49" spans="2:20" x14ac:dyDescent="0.2">
      <c r="B49" s="11">
        <v>1111066</v>
      </c>
      <c r="C49" s="15" t="s">
        <v>39</v>
      </c>
      <c r="D49" s="31">
        <f>'เย็น '!D49+'เช้า '!D49+บ่าย!D49</f>
        <v>0</v>
      </c>
      <c r="E49" s="31">
        <f>'เย็น '!E49+'เช้า '!E49+บ่าย!E49</f>
        <v>0</v>
      </c>
      <c r="F49" s="31">
        <f>'เย็น '!F49+'เช้า '!F49+บ่าย!F49</f>
        <v>0</v>
      </c>
      <c r="G49" s="31">
        <f>'เย็น '!G49+'เช้า '!G49+บ่าย!G49</f>
        <v>2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2</v>
      </c>
      <c r="M49" s="11">
        <v>100</v>
      </c>
      <c r="N49" s="11"/>
      <c r="O49" s="11"/>
      <c r="P49" s="11"/>
      <c r="Q49" s="45">
        <f t="shared" si="1"/>
        <v>98</v>
      </c>
    </row>
    <row r="50" spans="2:20" x14ac:dyDescent="0.2">
      <c r="B50" s="11">
        <v>1111067</v>
      </c>
      <c r="C50" s="15" t="s">
        <v>40</v>
      </c>
      <c r="D50" s="31">
        <f>'เย็น '!D50+'เช้า '!D50+บ่าย!D50</f>
        <v>0</v>
      </c>
      <c r="E50" s="31">
        <f>'เย็น '!E50+'เช้า '!E50+บ่าย!E50</f>
        <v>0</v>
      </c>
      <c r="F50" s="31">
        <f>'เย็น '!F50+'เช้า '!F50+บ่าย!F50</f>
        <v>0</v>
      </c>
      <c r="G50" s="31">
        <f>'เย็น '!G50+'เช้า '!G50+บ่าย!G50</f>
        <v>2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2</v>
      </c>
      <c r="M50" s="11">
        <v>100</v>
      </c>
      <c r="N50" s="11"/>
      <c r="O50" s="11"/>
      <c r="P50" s="11"/>
      <c r="Q50" s="45">
        <f t="shared" si="1"/>
        <v>98</v>
      </c>
    </row>
    <row r="51" spans="2:20" x14ac:dyDescent="0.2">
      <c r="B51" s="11">
        <v>1111068</v>
      </c>
      <c r="C51" s="15" t="s">
        <v>41</v>
      </c>
      <c r="D51" s="31">
        <f>'เย็น '!D51+'เช้า '!D51+บ่าย!D51</f>
        <v>0</v>
      </c>
      <c r="E51" s="31">
        <f>'เย็น '!E51+'เช้า '!E51+บ่าย!E51</f>
        <v>0</v>
      </c>
      <c r="F51" s="31">
        <f>'เย็น '!F51+'เช้า '!F51+บ่าย!F51</f>
        <v>0</v>
      </c>
      <c r="G51" s="31">
        <f>'เย็น '!G51+'เช้า '!G51+บ่าย!G51</f>
        <v>2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2</v>
      </c>
      <c r="M51" s="11">
        <v>100</v>
      </c>
      <c r="N51" s="11"/>
      <c r="O51" s="11"/>
      <c r="P51" s="11"/>
      <c r="Q51" s="45">
        <f t="shared" si="1"/>
        <v>98</v>
      </c>
    </row>
    <row r="52" spans="2:20" x14ac:dyDescent="0.25">
      <c r="B52" s="11">
        <v>1111069</v>
      </c>
      <c r="C52" s="15" t="s">
        <v>42</v>
      </c>
      <c r="D52" s="31">
        <f>'เย็น '!D52+'เช้า '!D52+บ่าย!D52</f>
        <v>0</v>
      </c>
      <c r="E52" s="31">
        <f>'เย็น '!E52+'เช้า '!E52+บ่าย!E52</f>
        <v>0</v>
      </c>
      <c r="F52" s="31">
        <f>'เย็น '!F52+'เช้า '!F52+บ่าย!F52</f>
        <v>0</v>
      </c>
      <c r="G52" s="31">
        <f>'เย็น '!G52+'เช้า '!G52+บ่าย!G52</f>
        <v>2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2</v>
      </c>
      <c r="M52" s="11">
        <v>100</v>
      </c>
      <c r="N52" s="11">
        <v>1</v>
      </c>
      <c r="O52" s="11"/>
      <c r="P52" s="11"/>
      <c r="Q52" s="45">
        <f t="shared" si="1"/>
        <v>99</v>
      </c>
      <c r="S52" s="47"/>
      <c r="T52" s="46"/>
    </row>
    <row r="53" spans="2:20" x14ac:dyDescent="0.2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0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11"/>
      <c r="P53" s="11"/>
      <c r="Q53" s="45">
        <f t="shared" si="1"/>
        <v>0</v>
      </c>
    </row>
    <row r="54" spans="2:20" x14ac:dyDescent="0.2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0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11"/>
      <c r="P54" s="11"/>
      <c r="Q54" s="45">
        <f t="shared" si="1"/>
        <v>0</v>
      </c>
    </row>
    <row r="55" spans="2:20" hidden="1" x14ac:dyDescent="0.2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11"/>
      <c r="Q55" s="45">
        <f t="shared" si="1"/>
        <v>0</v>
      </c>
    </row>
    <row r="56" spans="2:20" x14ac:dyDescent="0.2">
      <c r="B56" s="11">
        <v>1111074</v>
      </c>
      <c r="C56" s="15" t="s">
        <v>44</v>
      </c>
      <c r="D56" s="31">
        <f>'เย็น '!D56+'เช้า '!D56+บ่าย!D56</f>
        <v>0</v>
      </c>
      <c r="E56" s="31">
        <f>'เย็น '!E56+'เช้า '!E56+บ่าย!E56</f>
        <v>0</v>
      </c>
      <c r="F56" s="31">
        <f>'เย็น '!F56+'เช้า '!F56+บ่าย!F56</f>
        <v>1</v>
      </c>
      <c r="G56" s="31">
        <f>'เย็น '!G56+'เช้า '!G56+บ่าย!G56</f>
        <v>0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1</v>
      </c>
      <c r="M56" s="11">
        <v>100</v>
      </c>
      <c r="N56" s="11">
        <v>51</v>
      </c>
      <c r="O56" s="11"/>
      <c r="P56" s="11"/>
      <c r="Q56" s="45">
        <f t="shared" si="1"/>
        <v>150</v>
      </c>
    </row>
    <row r="57" spans="2:20" x14ac:dyDescent="0.2">
      <c r="B57" s="11">
        <v>1111075</v>
      </c>
      <c r="C57" s="15" t="s">
        <v>45</v>
      </c>
      <c r="D57" s="31">
        <f>'เย็น '!D57+'เช้า '!D57+บ่าย!D57</f>
        <v>0</v>
      </c>
      <c r="E57" s="31">
        <f>'เย็น '!E57+'เช้า '!E57+บ่าย!E57</f>
        <v>0</v>
      </c>
      <c r="F57" s="31">
        <f>'เย็น '!F57+'เช้า '!F57+บ่าย!F57</f>
        <v>1</v>
      </c>
      <c r="G57" s="31">
        <f>'เย็น '!G57+'เช้า '!G57+บ่าย!G57</f>
        <v>0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1</v>
      </c>
      <c r="M57" s="11">
        <v>100</v>
      </c>
      <c r="N57" s="11">
        <v>91</v>
      </c>
      <c r="O57" s="11"/>
      <c r="P57" s="11"/>
      <c r="Q57" s="45">
        <f t="shared" si="1"/>
        <v>190</v>
      </c>
    </row>
    <row r="58" spans="2:20" x14ac:dyDescent="0.2">
      <c r="B58" s="11">
        <v>1111076</v>
      </c>
      <c r="C58" s="15" t="s">
        <v>46</v>
      </c>
      <c r="D58" s="31">
        <f>'เย็น '!D58+'เช้า '!D58+บ่าย!D58</f>
        <v>0</v>
      </c>
      <c r="E58" s="31">
        <f>'เย็น '!E58+'เช้า '!E58+บ่าย!E58</f>
        <v>0</v>
      </c>
      <c r="F58" s="31">
        <f>'เย็น '!F58+'เช้า '!F58+บ่าย!F58</f>
        <v>1</v>
      </c>
      <c r="G58" s="31">
        <f>'เย็น '!G58+'เช้า '!G58+บ่าย!G58</f>
        <v>0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1</v>
      </c>
      <c r="M58" s="11">
        <v>100</v>
      </c>
      <c r="N58" s="11">
        <v>64</v>
      </c>
      <c r="O58" s="11"/>
      <c r="P58" s="11"/>
      <c r="Q58" s="45">
        <f t="shared" si="1"/>
        <v>163</v>
      </c>
    </row>
    <row r="59" spans="2:20" x14ac:dyDescent="0.2">
      <c r="B59" s="11">
        <v>1111077</v>
      </c>
      <c r="C59" s="15" t="s">
        <v>47</v>
      </c>
      <c r="D59" s="31">
        <f>'เย็น '!D59+'เช้า '!D59+บ่าย!D59</f>
        <v>0</v>
      </c>
      <c r="E59" s="31">
        <f>'เย็น '!E59+'เช้า '!E59+บ่าย!E59</f>
        <v>0</v>
      </c>
      <c r="F59" s="31">
        <f>'เย็น '!F59+'เช้า '!F59+บ่าย!F59</f>
        <v>1</v>
      </c>
      <c r="G59" s="31">
        <f>'เย็น '!G59+'เช้า '!G59+บ่าย!G59</f>
        <v>0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1</v>
      </c>
      <c r="M59" s="11">
        <v>100</v>
      </c>
      <c r="N59" s="11">
        <v>80</v>
      </c>
      <c r="O59" s="11"/>
      <c r="P59" s="11"/>
      <c r="Q59" s="45">
        <f t="shared" si="1"/>
        <v>179</v>
      </c>
    </row>
    <row r="60" spans="2:20" x14ac:dyDescent="0.2">
      <c r="B60" s="11">
        <v>1111078</v>
      </c>
      <c r="C60" s="15" t="s">
        <v>48</v>
      </c>
      <c r="D60" s="31">
        <f>'เย็น '!D60+'เช้า '!D60+บ่าย!D60</f>
        <v>0</v>
      </c>
      <c r="E60" s="31">
        <f>'เย็น '!E60+'เช้า '!E60+บ่าย!E60</f>
        <v>0</v>
      </c>
      <c r="F60" s="31">
        <f>'เย็น '!F60+'เช้า '!F60+บ่าย!F60</f>
        <v>1</v>
      </c>
      <c r="G60" s="31">
        <f>'เย็น '!G60+'เช้า '!G60+บ่าย!G60</f>
        <v>0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1</v>
      </c>
      <c r="M60" s="11">
        <v>100</v>
      </c>
      <c r="N60" s="11"/>
      <c r="O60" s="11"/>
      <c r="P60" s="11"/>
      <c r="Q60" s="45">
        <f t="shared" si="1"/>
        <v>99</v>
      </c>
    </row>
    <row r="61" spans="2:20" x14ac:dyDescent="0.2">
      <c r="B61" s="11">
        <v>1111079</v>
      </c>
      <c r="C61" s="15" t="s">
        <v>49</v>
      </c>
      <c r="D61" s="31">
        <f>'เย็น '!D61+'เช้า '!D61+บ่าย!D61</f>
        <v>0</v>
      </c>
      <c r="E61" s="31">
        <f>'เย็น '!E61+'เช้า '!E61+บ่าย!E61</f>
        <v>0</v>
      </c>
      <c r="F61" s="31">
        <f>'เย็น '!F61+'เช้า '!F61+บ่าย!F61</f>
        <v>1</v>
      </c>
      <c r="G61" s="31">
        <f>'เย็น '!G61+'เช้า '!G61+บ่าย!G61</f>
        <v>0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1</v>
      </c>
      <c r="M61" s="11">
        <v>100</v>
      </c>
      <c r="N61" s="11">
        <v>143</v>
      </c>
      <c r="O61" s="11"/>
      <c r="P61" s="11"/>
      <c r="Q61" s="45">
        <f t="shared" si="1"/>
        <v>242</v>
      </c>
    </row>
    <row r="62" spans="2:20" x14ac:dyDescent="0.2">
      <c r="B62" s="11">
        <v>1111080</v>
      </c>
      <c r="C62" s="15" t="s">
        <v>50</v>
      </c>
      <c r="D62" s="31">
        <f>'เย็น '!D62+'เช้า '!D62+บ่าย!D62</f>
        <v>0</v>
      </c>
      <c r="E62" s="31">
        <f>'เย็น '!E62+'เช้า '!E62+บ่าย!E62</f>
        <v>0</v>
      </c>
      <c r="F62" s="31">
        <f>'เย็น '!F62+'เช้า '!F62+บ่าย!F62</f>
        <v>1</v>
      </c>
      <c r="G62" s="31">
        <f>'เย็น '!G62+'เช้า '!G62+บ่าย!G62</f>
        <v>0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1</v>
      </c>
      <c r="M62" s="11">
        <v>100</v>
      </c>
      <c r="N62" s="11">
        <v>40</v>
      </c>
      <c r="O62" s="11"/>
      <c r="P62" s="11"/>
      <c r="Q62" s="45">
        <f t="shared" si="1"/>
        <v>139</v>
      </c>
    </row>
    <row r="63" spans="2:20" x14ac:dyDescent="0.2">
      <c r="B63" s="11">
        <v>1111081</v>
      </c>
      <c r="C63" s="15" t="s">
        <v>51</v>
      </c>
      <c r="D63" s="31">
        <f>'เย็น '!D63+'เช้า '!D63+บ่าย!D63</f>
        <v>0</v>
      </c>
      <c r="E63" s="31">
        <f>'เย็น '!E63+'เช้า '!E63+บ่าย!E63</f>
        <v>0</v>
      </c>
      <c r="F63" s="31">
        <f>'เย็น '!F63+'เช้า '!F63+บ่าย!F63</f>
        <v>1</v>
      </c>
      <c r="G63" s="31">
        <f>'เย็น '!G63+'เช้า '!G63+บ่าย!G63</f>
        <v>0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1</v>
      </c>
      <c r="M63" s="11">
        <v>100</v>
      </c>
      <c r="N63" s="11"/>
      <c r="O63" s="11"/>
      <c r="P63" s="11"/>
      <c r="Q63" s="45">
        <f t="shared" si="1"/>
        <v>99</v>
      </c>
    </row>
    <row r="64" spans="2:20" x14ac:dyDescent="0.2">
      <c r="B64" s="11">
        <v>1111082</v>
      </c>
      <c r="C64" s="15" t="s">
        <v>52</v>
      </c>
      <c r="D64" s="31">
        <f>'เย็น '!D64+'เช้า '!D64+บ่าย!D64</f>
        <v>0</v>
      </c>
      <c r="E64" s="31">
        <f>'เย็น '!E64+'เช้า '!E64+บ่าย!E64</f>
        <v>0</v>
      </c>
      <c r="F64" s="31">
        <f>'เย็น '!F64+'เช้า '!F64+บ่าย!F64</f>
        <v>1</v>
      </c>
      <c r="G64" s="31">
        <f>'เย็น '!G64+'เช้า '!G64+บ่าย!G64</f>
        <v>0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1</v>
      </c>
      <c r="M64" s="11">
        <v>100</v>
      </c>
      <c r="N64" s="11"/>
      <c r="O64" s="11"/>
      <c r="P64" s="11"/>
      <c r="Q64" s="45">
        <f t="shared" si="1"/>
        <v>99</v>
      </c>
    </row>
    <row r="65" spans="2:20" x14ac:dyDescent="0.25">
      <c r="B65" s="11">
        <v>1111083</v>
      </c>
      <c r="C65" s="15" t="s">
        <v>53</v>
      </c>
      <c r="D65" s="31">
        <f>'เย็น '!D65+'เช้า '!D65+บ่าย!D65</f>
        <v>0</v>
      </c>
      <c r="E65" s="31">
        <f>'เย็น '!E65+'เช้า '!E65+บ่าย!E65</f>
        <v>0</v>
      </c>
      <c r="F65" s="31">
        <f>'เย็น '!F65+'เช้า '!F65+บ่าย!F65</f>
        <v>1</v>
      </c>
      <c r="G65" s="31">
        <f>'เย็น '!G65+'เช้า '!G65+บ่าย!G65</f>
        <v>0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1</v>
      </c>
      <c r="M65" s="11">
        <v>100</v>
      </c>
      <c r="N65" s="11"/>
      <c r="O65" s="11"/>
      <c r="P65" s="11"/>
      <c r="Q65" s="45">
        <f t="shared" si="1"/>
        <v>99</v>
      </c>
      <c r="S65" s="48"/>
      <c r="T65" s="46"/>
    </row>
    <row r="66" spans="2:20" hidden="1" x14ac:dyDescent="0.2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11"/>
      <c r="P66" s="11"/>
      <c r="Q66" s="45">
        <f t="shared" si="1"/>
        <v>0</v>
      </c>
    </row>
    <row r="67" spans="2:20" hidden="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>
        <f t="shared" ref="Q67" si="3">(M67+N67+O67+P67)-L67</f>
        <v>0</v>
      </c>
    </row>
    <row r="68" spans="2:20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 x14ac:dyDescent="0.2">
      <c r="B69" s="11">
        <v>1111009</v>
      </c>
      <c r="C69" s="20" t="s">
        <v>56</v>
      </c>
      <c r="D69" s="31">
        <f>'เย็น '!D69+'เช้า '!D69+บ่าย!D69</f>
        <v>1</v>
      </c>
      <c r="E69" s="31">
        <f>'เย็น '!E69+'เช้า '!E69+บ่าย!E69</f>
        <v>6</v>
      </c>
      <c r="F69" s="31">
        <f>'เย็น '!F69+'เช้า '!F69+บ่าย!F69</f>
        <v>7</v>
      </c>
      <c r="G69" s="31">
        <f>'เย็น '!G69+'เช้า '!G69+บ่าย!G69</f>
        <v>3</v>
      </c>
      <c r="H69" s="31">
        <f>'เย็น '!H69+'เช้า '!H69+บ่าย!H69</f>
        <v>0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0</v>
      </c>
      <c r="L69" s="37">
        <f t="shared" ref="L69:L76" si="4">SUM(D69:K69)</f>
        <v>17</v>
      </c>
      <c r="M69" s="11">
        <v>130</v>
      </c>
      <c r="N69" s="11">
        <v>75</v>
      </c>
      <c r="O69" s="11"/>
      <c r="P69" s="11"/>
      <c r="Q69" s="45">
        <f t="shared" ref="Q69:Q76" si="5">(M69+N69+O69+P69)-L69</f>
        <v>188</v>
      </c>
    </row>
    <row r="70" spans="2:20" x14ac:dyDescent="0.2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4"/>
        <v>0</v>
      </c>
      <c r="M70" s="11"/>
      <c r="N70" s="11"/>
      <c r="O70" s="11"/>
      <c r="P70" s="11"/>
      <c r="Q70" s="45">
        <f t="shared" si="5"/>
        <v>0</v>
      </c>
    </row>
    <row r="71" spans="2:20" x14ac:dyDescent="0.2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4"/>
        <v>0</v>
      </c>
      <c r="M71" s="11"/>
      <c r="N71" s="11"/>
      <c r="O71" s="11"/>
      <c r="P71" s="11"/>
      <c r="Q71" s="45">
        <f t="shared" si="5"/>
        <v>0</v>
      </c>
    </row>
    <row r="72" spans="2:20" x14ac:dyDescent="0.2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4"/>
        <v>0</v>
      </c>
      <c r="M72" s="11"/>
      <c r="N72" s="11"/>
      <c r="O72" s="11"/>
      <c r="P72" s="11"/>
      <c r="Q72" s="45">
        <f t="shared" si="5"/>
        <v>0</v>
      </c>
    </row>
    <row r="73" spans="2:20" x14ac:dyDescent="0.2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4"/>
        <v>0</v>
      </c>
      <c r="M73" s="11"/>
      <c r="N73" s="11"/>
      <c r="O73" s="11"/>
      <c r="P73" s="11"/>
      <c r="Q73" s="45">
        <f t="shared" si="5"/>
        <v>0</v>
      </c>
    </row>
    <row r="74" spans="2:20" x14ac:dyDescent="0.2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4"/>
        <v>0</v>
      </c>
      <c r="M74" s="11"/>
      <c r="N74" s="11"/>
      <c r="O74" s="11"/>
      <c r="P74" s="11"/>
      <c r="Q74" s="45">
        <f t="shared" si="5"/>
        <v>0</v>
      </c>
    </row>
    <row r="75" spans="2:20" x14ac:dyDescent="0.2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11"/>
      <c r="Q75" s="45">
        <f t="shared" si="5"/>
        <v>0</v>
      </c>
    </row>
    <row r="76" spans="2:20" x14ac:dyDescent="0.2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4"/>
        <v>0</v>
      </c>
      <c r="M76" s="11"/>
      <c r="N76" s="11"/>
      <c r="O76" s="11"/>
      <c r="P76" s="11"/>
      <c r="Q76" s="45">
        <f t="shared" si="5"/>
        <v>0</v>
      </c>
    </row>
    <row r="77" spans="2:20" hidden="1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ref="Q77:Q88" si="6">(M77+N77+O77+P77)-L77</f>
        <v>0</v>
      </c>
    </row>
    <row r="78" spans="2:20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 x14ac:dyDescent="0.2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7">SUM(D79:K79)</f>
        <v>0</v>
      </c>
      <c r="M79" s="11"/>
      <c r="N79" s="11"/>
      <c r="O79" s="11"/>
      <c r="P79" s="11"/>
      <c r="Q79" s="45">
        <f t="shared" ref="Q79:Q87" si="8">(M79+N79+O79+P79)-L79</f>
        <v>0</v>
      </c>
    </row>
    <row r="80" spans="2:20" x14ac:dyDescent="0.2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7"/>
        <v>0</v>
      </c>
      <c r="M80" s="11"/>
      <c r="N80" s="11"/>
      <c r="O80" s="11"/>
      <c r="P80" s="11"/>
      <c r="Q80" s="45">
        <f t="shared" si="8"/>
        <v>0</v>
      </c>
    </row>
    <row r="81" spans="2:17" x14ac:dyDescent="0.2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7"/>
        <v>0</v>
      </c>
      <c r="M81" s="11"/>
      <c r="N81" s="11"/>
      <c r="O81" s="11"/>
      <c r="P81" s="11"/>
      <c r="Q81" s="45">
        <f t="shared" si="8"/>
        <v>0</v>
      </c>
    </row>
    <row r="82" spans="2:17" x14ac:dyDescent="0.2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7"/>
        <v>0</v>
      </c>
      <c r="M82" s="11"/>
      <c r="N82" s="11"/>
      <c r="O82" s="11"/>
      <c r="P82" s="11"/>
      <c r="Q82" s="45">
        <f t="shared" si="8"/>
        <v>0</v>
      </c>
    </row>
    <row r="83" spans="2:17" x14ac:dyDescent="0.2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7"/>
        <v>0</v>
      </c>
      <c r="M83" s="11"/>
      <c r="N83" s="11"/>
      <c r="O83" s="11"/>
      <c r="P83" s="11"/>
      <c r="Q83" s="45">
        <f t="shared" si="8"/>
        <v>0</v>
      </c>
    </row>
    <row r="84" spans="2:17" x14ac:dyDescent="0.2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7"/>
        <v>0</v>
      </c>
      <c r="M84" s="11"/>
      <c r="N84" s="11"/>
      <c r="O84" s="11"/>
      <c r="P84" s="11"/>
      <c r="Q84" s="45">
        <f t="shared" si="8"/>
        <v>0</v>
      </c>
    </row>
    <row r="85" spans="2:17" x14ac:dyDescent="0.2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7"/>
        <v>0</v>
      </c>
      <c r="M85" s="11"/>
      <c r="N85" s="11"/>
      <c r="O85" s="11"/>
      <c r="P85" s="11"/>
      <c r="Q85" s="45">
        <f t="shared" si="8"/>
        <v>0</v>
      </c>
    </row>
    <row r="86" spans="2:17" x14ac:dyDescent="0.2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7"/>
        <v>0</v>
      </c>
      <c r="M86" s="11"/>
      <c r="N86" s="11"/>
      <c r="O86" s="11"/>
      <c r="P86" s="11"/>
      <c r="Q86" s="45">
        <f t="shared" si="8"/>
        <v>0</v>
      </c>
    </row>
    <row r="87" spans="2:17" x14ac:dyDescent="0.2">
      <c r="B87" s="11">
        <v>1111008</v>
      </c>
      <c r="C87" s="20" t="s">
        <v>73</v>
      </c>
      <c r="D87" s="31">
        <f>'เย็น '!D87+'เช้า '!D87+บ่าย!D87</f>
        <v>0</v>
      </c>
      <c r="E87" s="31">
        <f>'เย็น '!E87+'เช้า '!E87+บ่าย!E87</f>
        <v>0</v>
      </c>
      <c r="F87" s="31">
        <f>'เย็น '!F87+'เช้า '!F87+บ่าย!F87</f>
        <v>0</v>
      </c>
      <c r="G87" s="31">
        <f>'เย็น '!G87+'เช้า '!G87+บ่าย!G87</f>
        <v>129</v>
      </c>
      <c r="H87" s="31">
        <f>'เย็น '!H87+'เช้า '!H87+บ่าย!H87</f>
        <v>0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0</v>
      </c>
      <c r="L87" s="37">
        <f t="shared" si="7"/>
        <v>129</v>
      </c>
      <c r="M87" s="11">
        <v>500</v>
      </c>
      <c r="N87" s="11">
        <v>2</v>
      </c>
      <c r="O87" s="11"/>
      <c r="P87" s="11"/>
      <c r="Q87" s="45">
        <f t="shared" si="8"/>
        <v>373</v>
      </c>
    </row>
    <row r="88" spans="2:17" hidden="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6"/>
        <v>0</v>
      </c>
    </row>
    <row r="89" spans="2:17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 x14ac:dyDescent="0.2">
      <c r="B90" s="11">
        <v>1112009</v>
      </c>
      <c r="C90" s="20" t="s">
        <v>75</v>
      </c>
      <c r="D90" s="31">
        <f>'เย็น '!D90+'เช้า '!D90+บ่าย!D90</f>
        <v>0</v>
      </c>
      <c r="E90" s="31">
        <f>'เย็น '!E90+'เช้า '!E90+บ่าย!E90</f>
        <v>5</v>
      </c>
      <c r="F90" s="31">
        <f>'เย็น '!F90+'เช้า '!F90+บ่าย!F90</f>
        <v>16</v>
      </c>
      <c r="G90" s="31">
        <f>'เย็น '!G90+'เช้า '!G90+บ่าย!G90</f>
        <v>77</v>
      </c>
      <c r="H90" s="31">
        <f>'เย็น '!H90+'เช้า '!H90+บ่าย!H90</f>
        <v>0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v>3</v>
      </c>
      <c r="L90" s="37">
        <f t="shared" ref="L90:L99" si="9">SUM(D90:K90)</f>
        <v>101</v>
      </c>
      <c r="M90" s="11">
        <v>500</v>
      </c>
      <c r="N90" s="11">
        <v>298</v>
      </c>
      <c r="O90" s="11"/>
      <c r="P90" s="11"/>
      <c r="Q90" s="45">
        <f t="shared" ref="Q90:Q99" si="10">(M90+N90+O90+P90)-L90</f>
        <v>697</v>
      </c>
    </row>
    <row r="91" spans="2:17" x14ac:dyDescent="0.2">
      <c r="B91" s="11">
        <v>1112011</v>
      </c>
      <c r="C91" s="20" t="s">
        <v>76</v>
      </c>
      <c r="D91" s="31">
        <f>'เย็น '!D91+'เช้า '!D91+บ่าย!D91</f>
        <v>0</v>
      </c>
      <c r="E91" s="31">
        <f>'เย็น '!E91+'เช้า '!E91+บ่าย!E91</f>
        <v>5</v>
      </c>
      <c r="F91" s="31">
        <f>'เย็น '!F91+'เช้า '!F91+บ่าย!F91</f>
        <v>18</v>
      </c>
      <c r="G91" s="31">
        <f>'เย็น '!G91+'เช้า '!G91+บ่าย!G91</f>
        <v>77</v>
      </c>
      <c r="H91" s="31">
        <f>'เย็น '!H91+'เช้า '!H91+บ่าย!H91</f>
        <v>0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0</v>
      </c>
      <c r="L91" s="37">
        <f t="shared" si="9"/>
        <v>100</v>
      </c>
      <c r="M91" s="11">
        <v>500</v>
      </c>
      <c r="N91" s="11">
        <v>290</v>
      </c>
      <c r="O91" s="11"/>
      <c r="P91" s="11"/>
      <c r="Q91" s="45">
        <f t="shared" si="10"/>
        <v>690</v>
      </c>
    </row>
    <row r="92" spans="2:17" x14ac:dyDescent="0.2">
      <c r="B92" s="11">
        <v>1112003</v>
      </c>
      <c r="C92" s="20" t="s">
        <v>77</v>
      </c>
      <c r="D92" s="31">
        <f>'เย็น '!D92+'เช้า '!D92+บ่าย!D92</f>
        <v>0</v>
      </c>
      <c r="E92" s="31">
        <f>'เย็น '!E92+'เช้า '!E92+บ่าย!E92</f>
        <v>0</v>
      </c>
      <c r="F92" s="31">
        <f>'เย็น '!F92+'เช้า '!F92+บ่าย!F92</f>
        <v>4</v>
      </c>
      <c r="G92" s="31">
        <f>'เย็น '!G92+'เช้า '!G92+บ่าย!G92</f>
        <v>58</v>
      </c>
      <c r="H92" s="31">
        <f>'เย็น '!H92+'เช้า '!H92+บ่าย!H92</f>
        <v>0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0</v>
      </c>
      <c r="L92" s="37">
        <f t="shared" si="9"/>
        <v>62</v>
      </c>
      <c r="M92" s="11">
        <v>500</v>
      </c>
      <c r="N92" s="11">
        <v>303</v>
      </c>
      <c r="O92" s="11"/>
      <c r="P92" s="11"/>
      <c r="Q92" s="45">
        <f t="shared" si="10"/>
        <v>741</v>
      </c>
    </row>
    <row r="93" spans="2:17" x14ac:dyDescent="0.2">
      <c r="B93" s="11">
        <v>1112005</v>
      </c>
      <c r="C93" s="20" t="s">
        <v>78</v>
      </c>
      <c r="D93" s="31">
        <f>'เย็น '!D93+'เช้า '!D93+บ่าย!D93</f>
        <v>0</v>
      </c>
      <c r="E93" s="31">
        <f>'เย็น '!E93+'เช้า '!E93+บ่าย!E93</f>
        <v>0</v>
      </c>
      <c r="F93" s="31">
        <f>'เย็น '!F93+'เช้า '!F93+บ่าย!F93</f>
        <v>4</v>
      </c>
      <c r="G93" s="31">
        <f>'เย็น '!G93+'เช้า '!G93+บ่าย!G93</f>
        <v>58</v>
      </c>
      <c r="H93" s="31">
        <f>'เย็น '!H93+'เช้า '!H93+บ่าย!H93</f>
        <v>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0</v>
      </c>
      <c r="L93" s="37">
        <f t="shared" si="9"/>
        <v>62</v>
      </c>
      <c r="M93" s="11">
        <v>500</v>
      </c>
      <c r="N93" s="11">
        <v>531</v>
      </c>
      <c r="O93" s="11"/>
      <c r="P93" s="11"/>
      <c r="Q93" s="45">
        <f t="shared" si="10"/>
        <v>969</v>
      </c>
    </row>
    <row r="94" spans="2:17" x14ac:dyDescent="0.2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9"/>
        <v>0</v>
      </c>
      <c r="M94" s="11"/>
      <c r="N94" s="11"/>
      <c r="O94" s="11"/>
      <c r="P94" s="11"/>
      <c r="Q94" s="45">
        <f t="shared" si="10"/>
        <v>0</v>
      </c>
    </row>
    <row r="95" spans="2:17" x14ac:dyDescent="0.2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9"/>
        <v>0</v>
      </c>
      <c r="M95" s="11"/>
      <c r="N95" s="11"/>
      <c r="O95" s="11"/>
      <c r="P95" s="11"/>
      <c r="Q95" s="45">
        <f t="shared" si="10"/>
        <v>0</v>
      </c>
    </row>
    <row r="96" spans="2:17" x14ac:dyDescent="0.2">
      <c r="B96" s="11">
        <v>1112017</v>
      </c>
      <c r="C96" s="20" t="s">
        <v>81</v>
      </c>
      <c r="D96" s="31">
        <f>'เย็น '!D96+'เช้า '!D96+บ่าย!D96</f>
        <v>0</v>
      </c>
      <c r="E96" s="31">
        <f>'เย็น '!E96+'เช้า '!E96+บ่าย!E96</f>
        <v>0</v>
      </c>
      <c r="F96" s="31">
        <f>'เย็น '!F96+'เช้า '!F96+บ่าย!F96</f>
        <v>0</v>
      </c>
      <c r="G96" s="31">
        <f>'เย็น '!G96+'เช้า '!G96+บ่าย!G96</f>
        <v>0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9"/>
        <v>0</v>
      </c>
      <c r="M96" s="11"/>
      <c r="N96" s="11"/>
      <c r="O96" s="11"/>
      <c r="P96" s="11"/>
      <c r="Q96" s="45">
        <f t="shared" si="10"/>
        <v>0</v>
      </c>
    </row>
    <row r="97" spans="2:17" x14ac:dyDescent="0.2">
      <c r="B97" s="11">
        <v>1112015</v>
      </c>
      <c r="C97" s="20" t="s">
        <v>82</v>
      </c>
      <c r="D97" s="31">
        <f>'เย็น '!D97+'เช้า '!D97+บ่าย!D97</f>
        <v>0</v>
      </c>
      <c r="E97" s="31">
        <f>'เย็น '!E97+'เช้า '!E97+บ่าย!E97</f>
        <v>0</v>
      </c>
      <c r="F97" s="31">
        <f>'เย็น '!F97+'เช้า '!F97+บ่าย!F97</f>
        <v>4</v>
      </c>
      <c r="G97" s="31">
        <f>'เย็น '!G97+'เช้า '!G97+บ่าย!G97</f>
        <v>57</v>
      </c>
      <c r="H97" s="31">
        <f>'เย็น '!H97+'เช้า '!H97+บ่าย!H97</f>
        <v>0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9"/>
        <v>61</v>
      </c>
      <c r="M97" s="11">
        <v>500</v>
      </c>
      <c r="N97" s="11">
        <v>481</v>
      </c>
      <c r="O97" s="11"/>
      <c r="P97" s="11"/>
      <c r="Q97" s="45">
        <f t="shared" si="10"/>
        <v>920</v>
      </c>
    </row>
    <row r="98" spans="2:17" x14ac:dyDescent="0.2">
      <c r="B98" s="11">
        <v>1112013</v>
      </c>
      <c r="C98" s="20" t="s">
        <v>83</v>
      </c>
      <c r="D98" s="31">
        <f>'เย็น '!D98+'เช้า '!D98+บ่าย!D98</f>
        <v>0</v>
      </c>
      <c r="E98" s="31">
        <f>'เย็น '!E98+'เช้า '!E98+บ่าย!E98</f>
        <v>4</v>
      </c>
      <c r="F98" s="31">
        <f>'เย็น '!F98+'เช้า '!F98+บ่าย!F98</f>
        <v>16</v>
      </c>
      <c r="G98" s="31">
        <f>'เย็น '!G98+'เช้า '!G98+บ่าย!G98</f>
        <v>75</v>
      </c>
      <c r="H98" s="31">
        <f>'เย็น '!H98+'เช้า '!H98+บ่าย!H98</f>
        <v>0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v>3</v>
      </c>
      <c r="L98" s="37">
        <f t="shared" si="9"/>
        <v>98</v>
      </c>
      <c r="M98" s="11">
        <v>500</v>
      </c>
      <c r="N98" s="11">
        <v>310</v>
      </c>
      <c r="O98" s="11"/>
      <c r="P98" s="11"/>
      <c r="Q98" s="45">
        <f t="shared" si="10"/>
        <v>712</v>
      </c>
    </row>
    <row r="99" spans="2:17" hidden="1" x14ac:dyDescent="0.2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9"/>
        <v>0</v>
      </c>
      <c r="M99" s="11"/>
      <c r="N99" s="11"/>
      <c r="O99" s="11"/>
      <c r="P99" s="11"/>
      <c r="Q99" s="45">
        <f t="shared" si="10"/>
        <v>0</v>
      </c>
    </row>
    <row r="100" spans="2:17" hidden="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484</v>
      </c>
      <c r="M100" s="11"/>
      <c r="N100" s="11"/>
      <c r="O100" s="11"/>
      <c r="P100" s="11"/>
      <c r="Q100" s="45"/>
    </row>
    <row r="101" spans="2:17" ht="19.5" hidden="1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 hidden="1" x14ac:dyDescent="0.2">
      <c r="B102" s="11">
        <v>1112008</v>
      </c>
      <c r="C102" s="20" t="s">
        <v>75</v>
      </c>
      <c r="D102" s="31">
        <f>บ่าย!D102+'เช้า '!D102+'เย็น '!D102</f>
        <v>0</v>
      </c>
      <c r="E102" s="31">
        <f>บ่าย!E102+'เช้า '!E102+'เย็น '!E102</f>
        <v>0</v>
      </c>
      <c r="F102" s="31">
        <f>บ่าย!F102+'เช้า '!F102+'เย็น '!F102</f>
        <v>0</v>
      </c>
      <c r="G102" s="31">
        <f>บ่าย!G102+'เช้า '!G102+'เย็น '!G102</f>
        <v>0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11">SUM(D102:K102)</f>
        <v>0</v>
      </c>
      <c r="M102" s="11"/>
      <c r="N102" s="11"/>
      <c r="O102" s="11"/>
      <c r="P102" s="11"/>
      <c r="Q102" s="45">
        <f t="shared" ref="Q102:Q111" si="12">(M102+N102+O102+P102)-L102</f>
        <v>0</v>
      </c>
    </row>
    <row r="103" spans="2:17" hidden="1" x14ac:dyDescent="0.2">
      <c r="B103" s="11">
        <v>1112010</v>
      </c>
      <c r="C103" s="20" t="s">
        <v>76</v>
      </c>
      <c r="D103" s="31">
        <f>บ่าย!D103+'เช้า '!D103+'เย็น '!D103</f>
        <v>0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0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11"/>
        <v>0</v>
      </c>
      <c r="M103" s="11"/>
      <c r="N103" s="11"/>
      <c r="O103" s="11"/>
      <c r="P103" s="11"/>
      <c r="Q103" s="45">
        <f t="shared" si="12"/>
        <v>0</v>
      </c>
    </row>
    <row r="104" spans="2:17" hidden="1" x14ac:dyDescent="0.2">
      <c r="B104" s="11">
        <v>1112002</v>
      </c>
      <c r="C104" s="20" t="s">
        <v>77</v>
      </c>
      <c r="D104" s="31">
        <f>บ่าย!D104+'เช้า '!D104+'เย็น '!D104</f>
        <v>0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0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11"/>
        <v>0</v>
      </c>
      <c r="M104" s="11"/>
      <c r="N104" s="11"/>
      <c r="O104" s="11"/>
      <c r="P104" s="11"/>
      <c r="Q104" s="45">
        <f t="shared" si="12"/>
        <v>0</v>
      </c>
    </row>
    <row r="105" spans="2:17" hidden="1" x14ac:dyDescent="0.2">
      <c r="B105" s="11">
        <v>1112004</v>
      </c>
      <c r="C105" s="20" t="s">
        <v>78</v>
      </c>
      <c r="D105" s="31">
        <f>บ่าย!D105+'เช้า '!D105+'เย็น '!D105</f>
        <v>0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0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11"/>
        <v>0</v>
      </c>
      <c r="M105" s="11"/>
      <c r="N105" s="11"/>
      <c r="O105" s="11"/>
      <c r="P105" s="11"/>
      <c r="Q105" s="45">
        <f t="shared" si="12"/>
        <v>0</v>
      </c>
    </row>
    <row r="106" spans="2:17" hidden="1" x14ac:dyDescent="0.2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11"/>
        <v>0</v>
      </c>
      <c r="M106" s="11"/>
      <c r="N106" s="11"/>
      <c r="O106" s="11"/>
      <c r="P106" s="11"/>
      <c r="Q106" s="45">
        <f t="shared" si="12"/>
        <v>0</v>
      </c>
    </row>
    <row r="107" spans="2:17" hidden="1" x14ac:dyDescent="0.2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11"/>
        <v>0</v>
      </c>
      <c r="M107" s="11"/>
      <c r="N107" s="11"/>
      <c r="O107" s="11"/>
      <c r="P107" s="11"/>
      <c r="Q107" s="45">
        <f t="shared" si="12"/>
        <v>0</v>
      </c>
    </row>
    <row r="108" spans="2:17" hidden="1" x14ac:dyDescent="0.2">
      <c r="B108" s="11">
        <v>1112016</v>
      </c>
      <c r="C108" s="20" t="s">
        <v>81</v>
      </c>
      <c r="D108" s="31">
        <f>บ่าย!D108+'เช้า '!D108+'เย็น '!D108</f>
        <v>0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0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11"/>
        <v>0</v>
      </c>
      <c r="M108" s="11"/>
      <c r="N108" s="11"/>
      <c r="O108" s="11"/>
      <c r="P108" s="11"/>
      <c r="Q108" s="45">
        <f t="shared" si="12"/>
        <v>0</v>
      </c>
    </row>
    <row r="109" spans="2:17" hidden="1" x14ac:dyDescent="0.2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0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11"/>
        <v>0</v>
      </c>
      <c r="M109" s="11"/>
      <c r="N109" s="11"/>
      <c r="O109" s="11"/>
      <c r="P109" s="11"/>
      <c r="Q109" s="45">
        <f t="shared" si="12"/>
        <v>0</v>
      </c>
    </row>
    <row r="110" spans="2:17" hidden="1" x14ac:dyDescent="0.2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0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11"/>
        <v>0</v>
      </c>
      <c r="M110" s="11"/>
      <c r="N110" s="11"/>
      <c r="O110" s="11"/>
      <c r="P110" s="11"/>
      <c r="Q110" s="45">
        <f t="shared" si="12"/>
        <v>0</v>
      </c>
    </row>
    <row r="111" spans="2:17" hidden="1" x14ac:dyDescent="0.2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11"/>
        <v>0</v>
      </c>
      <c r="M111" s="11"/>
      <c r="N111" s="11"/>
      <c r="O111" s="11"/>
      <c r="P111" s="11"/>
      <c r="Q111" s="45">
        <f t="shared" si="12"/>
        <v>0</v>
      </c>
    </row>
    <row r="112" spans="2:17" hidden="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13">SUM(D112:J112)</f>
        <v>0</v>
      </c>
      <c r="M112" s="11"/>
      <c r="N112" s="11"/>
      <c r="O112" s="11"/>
      <c r="P112" s="11"/>
      <c r="Q112" s="45">
        <f t="shared" ref="Q112" si="14">(M112+N112)-L112</f>
        <v>0</v>
      </c>
    </row>
    <row r="113" spans="2:17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 x14ac:dyDescent="0.2">
      <c r="B114" s="11">
        <v>1113170</v>
      </c>
      <c r="C114" s="22" t="s">
        <v>87</v>
      </c>
      <c r="D114" s="31">
        <f>'เย็น '!D114+'เช้า '!D114+บ่าย!D114</f>
        <v>0</v>
      </c>
      <c r="E114" s="31">
        <f>'เย็น '!E114+'เช้า '!E114+บ่าย!E114</f>
        <v>0</v>
      </c>
      <c r="F114" s="31">
        <f>'เย็น '!F114+'เช้า '!F114+บ่าย!F114</f>
        <v>0</v>
      </c>
      <c r="G114" s="31">
        <f>'เย็น '!G114+'เช้า '!G114+บ่าย!G114</f>
        <v>2</v>
      </c>
      <c r="H114" s="31">
        <f>'เย็น '!H114+'เช้า '!H114+บ่าย!H114</f>
        <v>0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0</v>
      </c>
      <c r="L114" s="37">
        <f t="shared" ref="L114:L139" si="15">SUM(D114:K114)</f>
        <v>2</v>
      </c>
      <c r="M114" s="11">
        <v>200</v>
      </c>
      <c r="N114" s="11">
        <v>52</v>
      </c>
      <c r="O114" s="11"/>
      <c r="P114" s="11"/>
      <c r="Q114" s="45">
        <f t="shared" ref="Q114:Q139" si="16">(M114+N114+O114+P114)-L114</f>
        <v>250</v>
      </c>
    </row>
    <row r="115" spans="2:17" x14ac:dyDescent="0.2">
      <c r="B115" s="11">
        <v>1113171</v>
      </c>
      <c r="C115" s="22" t="s">
        <v>88</v>
      </c>
      <c r="D115" s="31">
        <f>'เย็น '!D115+'เช้า '!D115+บ่าย!D115</f>
        <v>0</v>
      </c>
      <c r="E115" s="31">
        <f>'เย็น '!E115+'เช้า '!E115+บ่าย!E115</f>
        <v>0</v>
      </c>
      <c r="F115" s="31">
        <f>'เย็น '!F115+'เช้า '!F115+บ่าย!F115</f>
        <v>0</v>
      </c>
      <c r="G115" s="31">
        <f>'เย็น '!G115+'เช้า '!G115+บ่าย!G115</f>
        <v>1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0</v>
      </c>
      <c r="L115" s="37">
        <f t="shared" si="15"/>
        <v>1</v>
      </c>
      <c r="M115" s="11">
        <v>200</v>
      </c>
      <c r="N115" s="11">
        <v>35</v>
      </c>
      <c r="O115" s="11"/>
      <c r="P115" s="11"/>
      <c r="Q115" s="45">
        <f t="shared" si="16"/>
        <v>234</v>
      </c>
    </row>
    <row r="116" spans="2:17" x14ac:dyDescent="0.2">
      <c r="B116" s="11">
        <v>1113172</v>
      </c>
      <c r="C116" s="22" t="s">
        <v>89</v>
      </c>
      <c r="D116" s="31">
        <f>'เย็น '!D116+'เช้า '!D116+บ่าย!D116</f>
        <v>0</v>
      </c>
      <c r="E116" s="31">
        <f>'เย็น '!E116+'เช้า '!E116+บ่าย!E116</f>
        <v>0</v>
      </c>
      <c r="F116" s="31">
        <f>'เย็น '!F116+'เช้า '!F116+บ่าย!F116</f>
        <v>0</v>
      </c>
      <c r="G116" s="31">
        <f>'เย็น '!G116+'เช้า '!G116+บ่าย!G116</f>
        <v>4</v>
      </c>
      <c r="H116" s="31">
        <f>'เย็น '!H116+'เช้า '!H116+บ่าย!H116</f>
        <v>0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f>'เย็น '!K116+'เช้า '!K116+บ่าย!K116</f>
        <v>0</v>
      </c>
      <c r="L116" s="37">
        <f t="shared" si="15"/>
        <v>4</v>
      </c>
      <c r="M116" s="11">
        <v>200</v>
      </c>
      <c r="N116" s="11">
        <v>40</v>
      </c>
      <c r="O116" s="11"/>
      <c r="P116" s="11"/>
      <c r="Q116" s="45">
        <f t="shared" si="16"/>
        <v>236</v>
      </c>
    </row>
    <row r="117" spans="2:17" x14ac:dyDescent="0.2">
      <c r="B117" s="11">
        <v>1113173</v>
      </c>
      <c r="C117" s="22" t="s">
        <v>90</v>
      </c>
      <c r="D117" s="31">
        <f>'เย็น '!D117+'เช้า '!D117+บ่าย!D117</f>
        <v>0</v>
      </c>
      <c r="E117" s="31">
        <f>'เย็น '!E117+'เช้า '!E117+บ่าย!E117</f>
        <v>0</v>
      </c>
      <c r="F117" s="31">
        <f>'เย็น '!F117+'เช้า '!F117+บ่าย!F117</f>
        <v>0</v>
      </c>
      <c r="G117" s="31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15"/>
        <v>0</v>
      </c>
      <c r="M117" s="11"/>
      <c r="N117" s="11"/>
      <c r="O117" s="11"/>
      <c r="P117" s="11"/>
      <c r="Q117" s="45">
        <f t="shared" si="16"/>
        <v>0</v>
      </c>
    </row>
    <row r="118" spans="2:17" x14ac:dyDescent="0.2">
      <c r="B118" s="11">
        <v>1100003</v>
      </c>
      <c r="C118" s="22" t="s">
        <v>121</v>
      </c>
      <c r="D118" s="31">
        <f>'เย็น '!D118+'เช้า '!D118+บ่าย!D118</f>
        <v>0</v>
      </c>
      <c r="E118" s="31">
        <f>'เย็น '!E118+'เช้า '!E118+บ่าย!E118</f>
        <v>0</v>
      </c>
      <c r="F118" s="31">
        <f>'เย็น '!F118+'เช้า '!F118+บ่าย!F118</f>
        <v>0</v>
      </c>
      <c r="G118" s="31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f>'เย็น '!K118+'เช้า '!K118+บ่าย!K118</f>
        <v>0</v>
      </c>
      <c r="L118" s="37">
        <f t="shared" si="15"/>
        <v>0</v>
      </c>
      <c r="M118" s="11"/>
      <c r="N118" s="11">
        <v>55</v>
      </c>
      <c r="O118" s="11"/>
      <c r="P118" s="11"/>
      <c r="Q118" s="45">
        <f t="shared" si="16"/>
        <v>55</v>
      </c>
    </row>
    <row r="119" spans="2:17" x14ac:dyDescent="0.2">
      <c r="B119" s="11">
        <v>1100001</v>
      </c>
      <c r="C119" s="22" t="s">
        <v>122</v>
      </c>
      <c r="D119" s="31">
        <f>'เย็น '!D119+'เช้า '!D119+บ่าย!D119</f>
        <v>0</v>
      </c>
      <c r="E119" s="31">
        <f>'เย็น '!E119+'เช้า '!E119+บ่าย!E119</f>
        <v>2</v>
      </c>
      <c r="F119" s="31">
        <f>'เย็น '!F119+'เช้า '!F119+บ่าย!F119</f>
        <v>11</v>
      </c>
      <c r="G119" s="31">
        <f>'เย็น '!G119+'เช้า '!G119+บ่าย!G119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0</v>
      </c>
      <c r="L119" s="37">
        <f t="shared" si="15"/>
        <v>13</v>
      </c>
      <c r="M119" s="11"/>
      <c r="N119" s="11">
        <v>400</v>
      </c>
      <c r="O119" s="11"/>
      <c r="P119" s="11"/>
      <c r="Q119" s="45">
        <f t="shared" si="16"/>
        <v>387</v>
      </c>
    </row>
    <row r="120" spans="2:17" x14ac:dyDescent="0.2">
      <c r="B120" s="11">
        <v>1100002</v>
      </c>
      <c r="C120" s="22" t="s">
        <v>123</v>
      </c>
      <c r="D120" s="31">
        <f>'เย็น '!D120+'เช้า '!D120+บ่าย!D120</f>
        <v>0</v>
      </c>
      <c r="E120" s="31">
        <f>'เย็น '!E120+'เช้า '!E120+บ่าย!E120</f>
        <v>1</v>
      </c>
      <c r="F120" s="31">
        <f>'เย็น '!F120+'เช้า '!F120+บ่าย!F120</f>
        <v>1</v>
      </c>
      <c r="G120" s="31">
        <f>'เย็น '!G120+'เช้า '!G120+บ่าย!G120</f>
        <v>3</v>
      </c>
      <c r="H120" s="31">
        <f>'เย็น '!H120+'เช้า '!H120+บ่าย!H120</f>
        <v>0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f>'เย็น '!K120+'เช้า '!K120+บ่าย!K120</f>
        <v>0</v>
      </c>
      <c r="L120" s="37">
        <f t="shared" si="15"/>
        <v>5</v>
      </c>
      <c r="M120" s="11">
        <v>200</v>
      </c>
      <c r="N120" s="11">
        <v>8</v>
      </c>
      <c r="O120" s="11"/>
      <c r="P120" s="11"/>
      <c r="Q120" s="45">
        <f t="shared" si="16"/>
        <v>203</v>
      </c>
    </row>
    <row r="121" spans="2:17" x14ac:dyDescent="0.2">
      <c r="B121" s="11">
        <v>1200001</v>
      </c>
      <c r="C121" s="22" t="s">
        <v>93</v>
      </c>
      <c r="D121" s="31">
        <f>'เย็น '!D121+'เช้า '!D121+บ่าย!D121</f>
        <v>0</v>
      </c>
      <c r="E121" s="31">
        <f>'เย็น '!E121+'เช้า '!E121+บ่าย!E121</f>
        <v>0</v>
      </c>
      <c r="F121" s="31">
        <f>'เย็น '!F121+'เช้า '!F121+บ่าย!F121</f>
        <v>0</v>
      </c>
      <c r="G121" s="31">
        <f>'เย็น '!G121+'เช้า '!G121+บ่าย!G121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f>'เย็น '!K121+'เช้า '!K121+บ่าย!K121</f>
        <v>0</v>
      </c>
      <c r="L121" s="37">
        <f t="shared" si="15"/>
        <v>0</v>
      </c>
      <c r="M121" s="11">
        <v>100</v>
      </c>
      <c r="N121" s="11">
        <v>102</v>
      </c>
      <c r="O121" s="11"/>
      <c r="P121" s="11"/>
      <c r="Q121" s="45">
        <f t="shared" si="16"/>
        <v>202</v>
      </c>
    </row>
    <row r="122" spans="2:17" x14ac:dyDescent="0.2">
      <c r="B122" s="11">
        <v>1005761</v>
      </c>
      <c r="C122" s="22" t="s">
        <v>94</v>
      </c>
      <c r="D122" s="31">
        <f>'เย็น '!D122+'เช้า '!D122+บ่าย!D122</f>
        <v>0</v>
      </c>
      <c r="E122" s="31">
        <f>'เย็น '!E122+'เช้า '!E122+บ่าย!E122</f>
        <v>0</v>
      </c>
      <c r="F122" s="31">
        <f>'เย็น '!F122+'เช้า '!F122+บ่าย!F122</f>
        <v>0</v>
      </c>
      <c r="G122" s="31">
        <f>'เย็น '!G122+'เช้า '!G122+บ่าย!G122</f>
        <v>0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15"/>
        <v>0</v>
      </c>
      <c r="M122" s="11"/>
      <c r="N122" s="11">
        <v>5</v>
      </c>
      <c r="O122" s="11"/>
      <c r="P122" s="11"/>
      <c r="Q122" s="45">
        <f t="shared" si="16"/>
        <v>5</v>
      </c>
    </row>
    <row r="123" spans="2:17" x14ac:dyDescent="0.2">
      <c r="B123" s="11">
        <v>1114501</v>
      </c>
      <c r="C123" s="22" t="s">
        <v>95</v>
      </c>
      <c r="D123" s="31">
        <f>'เย็น '!D123+'เช้า '!D123+บ่าย!D123</f>
        <v>0</v>
      </c>
      <c r="E123" s="31">
        <f>'เย็น '!E123+'เช้า '!E123+บ่าย!E123</f>
        <v>7</v>
      </c>
      <c r="F123" s="31">
        <f>'เย็น '!F123+'เช้า '!F123+บ่าย!F123</f>
        <v>9</v>
      </c>
      <c r="G123" s="31">
        <f>'เย็น '!G123+'เช้า '!G123+บ่าย!G123</f>
        <v>158</v>
      </c>
      <c r="H123" s="31">
        <f>'เย็น '!H123+'เช้า '!H123+บ่าย!H123</f>
        <v>0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0</v>
      </c>
      <c r="L123" s="37">
        <f t="shared" si="15"/>
        <v>174</v>
      </c>
      <c r="M123" s="11">
        <v>100</v>
      </c>
      <c r="N123" s="11">
        <v>190</v>
      </c>
      <c r="O123" s="11"/>
      <c r="P123" s="11"/>
      <c r="Q123" s="45">
        <f t="shared" si="16"/>
        <v>116</v>
      </c>
    </row>
    <row r="124" spans="2:17" x14ac:dyDescent="0.2">
      <c r="B124" s="11">
        <v>1114502</v>
      </c>
      <c r="C124" s="22" t="s">
        <v>96</v>
      </c>
      <c r="D124" s="31">
        <f>'เย็น '!D124+'เช้า '!D124+บ่าย!D124</f>
        <v>0</v>
      </c>
      <c r="E124" s="31">
        <f>'เย็น '!E124+'เช้า '!E124+บ่าย!E124</f>
        <v>5</v>
      </c>
      <c r="F124" s="31">
        <f>'เย็น '!F124+'เช้า '!F124+บ่าย!F124</f>
        <v>8</v>
      </c>
      <c r="G124" s="31">
        <f>'เย็น '!G124+'เช้า '!G124+บ่าย!G124</f>
        <v>158</v>
      </c>
      <c r="H124" s="31">
        <f>'เย็น '!H124+'เช้า '!H124+บ่าย!H124</f>
        <v>0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0</v>
      </c>
      <c r="L124" s="37">
        <f t="shared" si="15"/>
        <v>171</v>
      </c>
      <c r="M124" s="11">
        <v>100</v>
      </c>
      <c r="N124" s="11">
        <v>215</v>
      </c>
      <c r="O124" s="11"/>
      <c r="P124" s="11"/>
      <c r="Q124" s="45">
        <f t="shared" si="16"/>
        <v>144</v>
      </c>
    </row>
    <row r="125" spans="2:17" x14ac:dyDescent="0.2">
      <c r="B125" s="11">
        <v>1114503</v>
      </c>
      <c r="C125" s="22" t="s">
        <v>97</v>
      </c>
      <c r="D125" s="31">
        <f>'เย็น '!D125+'เช้า '!D125+บ่าย!D125</f>
        <v>0</v>
      </c>
      <c r="E125" s="31">
        <f>'เย็น '!E125+'เช้า '!E125+บ่าย!E125</f>
        <v>6</v>
      </c>
      <c r="F125" s="31">
        <f>'เย็น '!F125+'เช้า '!F125+บ่าย!F125</f>
        <v>8</v>
      </c>
      <c r="G125" s="31">
        <f>'เย็น '!G125+'เช้า '!G125+บ่าย!G125</f>
        <v>157</v>
      </c>
      <c r="H125" s="31">
        <f>'เย็น '!H125+'เช้า '!H125+บ่าย!H125</f>
        <v>0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0</v>
      </c>
      <c r="L125" s="37">
        <f t="shared" si="15"/>
        <v>171</v>
      </c>
      <c r="M125" s="11">
        <v>100</v>
      </c>
      <c r="N125" s="11">
        <v>179</v>
      </c>
      <c r="O125" s="11"/>
      <c r="P125" s="11"/>
      <c r="Q125" s="45">
        <f t="shared" si="16"/>
        <v>108</v>
      </c>
    </row>
    <row r="126" spans="2:17" x14ac:dyDescent="0.2">
      <c r="B126" s="11">
        <v>1124021</v>
      </c>
      <c r="C126" s="22" t="s">
        <v>98</v>
      </c>
      <c r="D126" s="31">
        <f>'เย็น '!D126+'เช้า '!D126+บ่าย!D126</f>
        <v>0</v>
      </c>
      <c r="E126" s="31">
        <f>'เย็น '!E126+'เช้า '!E126+บ่าย!E126</f>
        <v>19</v>
      </c>
      <c r="F126" s="31">
        <f>'เย็น '!F126+'เช้า '!F126+บ่าย!F126</f>
        <v>50</v>
      </c>
      <c r="G126" s="31">
        <f>'เย็น '!G126+'เช้า '!G126+บ่าย!G126</f>
        <v>33</v>
      </c>
      <c r="H126" s="31">
        <f>'เย็น '!H126+'เช้า '!H126+บ่าย!H126</f>
        <v>0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v>279</v>
      </c>
      <c r="L126" s="37">
        <f t="shared" si="15"/>
        <v>381</v>
      </c>
      <c r="M126" s="11">
        <v>400</v>
      </c>
      <c r="N126" s="11"/>
      <c r="O126" s="11"/>
      <c r="P126" s="11"/>
      <c r="Q126" s="45">
        <f t="shared" si="16"/>
        <v>19</v>
      </c>
    </row>
    <row r="127" spans="2:17" x14ac:dyDescent="0.2">
      <c r="B127" s="11">
        <v>1113084</v>
      </c>
      <c r="C127" s="22" t="s">
        <v>99</v>
      </c>
      <c r="D127" s="31">
        <f>'เย็น '!D127+'เช้า '!D127+บ่าย!D127</f>
        <v>0</v>
      </c>
      <c r="E127" s="31">
        <f>'เย็น '!E127+'เช้า '!E127+บ่าย!E127</f>
        <v>0</v>
      </c>
      <c r="F127" s="31">
        <f>'เย็น '!F127+'เช้า '!F127+บ่าย!F127</f>
        <v>0</v>
      </c>
      <c r="G127" s="31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15"/>
        <v>0</v>
      </c>
      <c r="M127" s="11"/>
      <c r="N127" s="11"/>
      <c r="O127" s="11"/>
      <c r="P127" s="11"/>
      <c r="Q127" s="45">
        <f t="shared" si="16"/>
        <v>0</v>
      </c>
    </row>
    <row r="128" spans="2:17" x14ac:dyDescent="0.2">
      <c r="B128" s="11">
        <v>900003</v>
      </c>
      <c r="C128" s="22" t="s">
        <v>132</v>
      </c>
      <c r="D128" s="31">
        <f>'เย็น '!D128+'เช้า '!D128+บ่าย!D128</f>
        <v>0</v>
      </c>
      <c r="E128" s="31">
        <f>'เย็น '!E128+'เช้า '!E128+บ่าย!E128</f>
        <v>0</v>
      </c>
      <c r="F128" s="31">
        <f>'เย็น '!F128+'เช้า '!F128+บ่าย!F128</f>
        <v>0</v>
      </c>
      <c r="G128" s="31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15"/>
        <v>0</v>
      </c>
      <c r="M128" s="11"/>
      <c r="N128" s="11"/>
      <c r="O128" s="11"/>
      <c r="P128" s="11"/>
      <c r="Q128" s="45">
        <f t="shared" si="16"/>
        <v>0</v>
      </c>
    </row>
    <row r="129" spans="2:17" x14ac:dyDescent="0.2">
      <c r="B129" s="11">
        <v>900004</v>
      </c>
      <c r="C129" s="22" t="s">
        <v>100</v>
      </c>
      <c r="D129" s="31">
        <f>'เย็น '!D129+'เช้า '!D129+บ่าย!D129</f>
        <v>0</v>
      </c>
      <c r="E129" s="31">
        <f>'เย็น '!E129+'เช้า '!E129+บ่าย!E129</f>
        <v>0</v>
      </c>
      <c r="F129" s="31">
        <f>'เย็น '!F129+'เช้า '!F129+บ่าย!F129</f>
        <v>0</v>
      </c>
      <c r="G129" s="31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15"/>
        <v>0</v>
      </c>
      <c r="M129" s="11"/>
      <c r="N129" s="11"/>
      <c r="O129" s="11"/>
      <c r="P129" s="11"/>
      <c r="Q129" s="45">
        <f t="shared" si="16"/>
        <v>0</v>
      </c>
    </row>
    <row r="130" spans="2:17" x14ac:dyDescent="0.2">
      <c r="B130" s="11">
        <v>1200002</v>
      </c>
      <c r="C130" s="22" t="s">
        <v>101</v>
      </c>
      <c r="D130" s="31">
        <f>'เย็น '!D130+'เช้า '!D130+บ่าย!D130</f>
        <v>0</v>
      </c>
      <c r="E130" s="31">
        <f>'เย็น '!E130+'เช้า '!E130+บ่าย!E130</f>
        <v>0</v>
      </c>
      <c r="F130" s="31">
        <f>'เย็น '!F130+'เช้า '!F130+บ่าย!F130</f>
        <v>0</v>
      </c>
      <c r="G130" s="31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0</v>
      </c>
      <c r="L130" s="37">
        <f t="shared" si="15"/>
        <v>0</v>
      </c>
      <c r="M130" s="11"/>
      <c r="N130" s="11">
        <v>18</v>
      </c>
      <c r="O130" s="11"/>
      <c r="P130" s="11"/>
      <c r="Q130" s="45">
        <f t="shared" si="16"/>
        <v>18</v>
      </c>
    </row>
    <row r="131" spans="2:17" x14ac:dyDescent="0.2">
      <c r="B131" s="11">
        <v>1200003</v>
      </c>
      <c r="C131" s="22" t="s">
        <v>102</v>
      </c>
      <c r="D131" s="31">
        <f>'เย็น '!D131+'เช้า '!D131+บ่าย!D131</f>
        <v>0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15"/>
        <v>0</v>
      </c>
      <c r="M131" s="11"/>
      <c r="N131" s="11"/>
      <c r="O131" s="11"/>
      <c r="P131" s="11"/>
      <c r="Q131" s="45">
        <f t="shared" si="16"/>
        <v>0</v>
      </c>
    </row>
    <row r="132" spans="2:17" x14ac:dyDescent="0.2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15"/>
        <v>0</v>
      </c>
      <c r="M132" s="11"/>
      <c r="N132" s="11"/>
      <c r="O132" s="11"/>
      <c r="P132" s="11"/>
      <c r="Q132" s="45">
        <f t="shared" si="16"/>
        <v>0</v>
      </c>
    </row>
    <row r="133" spans="2:17" x14ac:dyDescent="0.2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15"/>
        <v>0</v>
      </c>
      <c r="M133" s="11"/>
      <c r="N133" s="11"/>
      <c r="O133" s="11"/>
      <c r="P133" s="11"/>
      <c r="Q133" s="45">
        <f t="shared" si="16"/>
        <v>0</v>
      </c>
    </row>
    <row r="134" spans="2:17" x14ac:dyDescent="0.2">
      <c r="B134" s="11">
        <v>1200092</v>
      </c>
      <c r="C134" s="20" t="s">
        <v>92</v>
      </c>
      <c r="D134" s="31">
        <f>'เย็น '!D134+'เช้า '!D134+บ่าย!D134</f>
        <v>0</v>
      </c>
      <c r="E134" s="31">
        <f>'เย็น '!E134+'เช้า '!E134+บ่าย!E134</f>
        <v>0</v>
      </c>
      <c r="F134" s="31">
        <f>'เย็น '!F134+'เช้า '!F134+บ่าย!F134</f>
        <v>0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15"/>
        <v>0</v>
      </c>
      <c r="M134" s="11"/>
      <c r="N134" s="11"/>
      <c r="O134" s="11"/>
      <c r="P134" s="11"/>
      <c r="Q134" s="45">
        <f t="shared" si="16"/>
        <v>0</v>
      </c>
    </row>
    <row r="135" spans="2:17" x14ac:dyDescent="0.2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0</v>
      </c>
      <c r="F135" s="31">
        <f>'เย็น '!F135+'เช้า '!F135+บ่าย!F135</f>
        <v>10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15"/>
        <v>10</v>
      </c>
      <c r="M135" s="11"/>
      <c r="N135" s="11"/>
      <c r="O135" s="11"/>
      <c r="P135" s="11"/>
      <c r="Q135" s="45">
        <f t="shared" si="16"/>
        <v>-10</v>
      </c>
    </row>
    <row r="136" spans="2:17" x14ac:dyDescent="0.2">
      <c r="B136" s="23"/>
      <c r="C136" s="22" t="s">
        <v>125</v>
      </c>
      <c r="D136" s="31">
        <f>'เย็น '!D136+'เช้า '!D136+บ่าย!D136</f>
        <v>0</v>
      </c>
      <c r="E136" s="31">
        <f>'เย็น '!E136+'เช้า '!E136+บ่าย!E136</f>
        <v>0</v>
      </c>
      <c r="F136" s="31">
        <f>'เย็น '!F136+'เช้า '!F136+บ่าย!F136</f>
        <v>0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15"/>
        <v>0</v>
      </c>
      <c r="M136" s="11"/>
      <c r="N136" s="11"/>
      <c r="O136" s="11"/>
      <c r="P136" s="11"/>
      <c r="Q136" s="45">
        <f t="shared" si="16"/>
        <v>0</v>
      </c>
    </row>
    <row r="137" spans="2:17" x14ac:dyDescent="0.2">
      <c r="B137" s="51"/>
      <c r="C137" s="50" t="s">
        <v>137</v>
      </c>
      <c r="D137" s="31">
        <f>'เย็น '!D137+'เช้า '!D137+บ่าย!D137</f>
        <v>0</v>
      </c>
      <c r="E137" s="31">
        <f>'เย็น '!E137+'เช้า '!E137+บ่าย!E137</f>
        <v>0</v>
      </c>
      <c r="F137" s="31">
        <f>'เย็น '!F137+'เช้า '!F137+บ่าย!F137</f>
        <v>0</v>
      </c>
      <c r="G137" s="31">
        <f>'เย็น '!G137+'เช้า '!G137+บ่าย!G137</f>
        <v>0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>'เย็น '!J137+'เช้า '!J137+บ่าย!J137</f>
        <v>0</v>
      </c>
      <c r="K137" s="31">
        <f>'เย็น '!K137+'เช้า '!K137+บ่าย!K137</f>
        <v>0</v>
      </c>
      <c r="L137" s="37">
        <f t="shared" si="15"/>
        <v>0</v>
      </c>
      <c r="M137" s="11"/>
      <c r="N137" s="11"/>
      <c r="O137" s="11"/>
      <c r="P137" s="11"/>
      <c r="Q137" s="45">
        <f t="shared" si="16"/>
        <v>0</v>
      </c>
    </row>
    <row r="138" spans="2:17" x14ac:dyDescent="0.2">
      <c r="B138" s="51"/>
      <c r="C138" s="50" t="s">
        <v>138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0</v>
      </c>
      <c r="L138" s="37">
        <f t="shared" si="15"/>
        <v>0</v>
      </c>
      <c r="M138" s="11"/>
      <c r="N138" s="11"/>
      <c r="O138" s="11"/>
      <c r="P138" s="11"/>
      <c r="Q138" s="45">
        <f t="shared" si="16"/>
        <v>0</v>
      </c>
    </row>
    <row r="139" spans="2:17" x14ac:dyDescent="0.2">
      <c r="B139" s="51"/>
      <c r="C139" s="50" t="s">
        <v>139</v>
      </c>
      <c r="D139" s="31">
        <f>'เย็น '!D139+'เช้า '!D139+บ่าย!D139</f>
        <v>0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15"/>
        <v>0</v>
      </c>
      <c r="M139" s="11"/>
      <c r="N139" s="11"/>
      <c r="O139" s="11"/>
      <c r="P139" s="11"/>
      <c r="Q139" s="45">
        <f t="shared" si="16"/>
        <v>0</v>
      </c>
    </row>
    <row r="140" spans="2:17" ht="40.5" customHeight="1" x14ac:dyDescent="0.2">
      <c r="C140" s="36"/>
      <c r="D140" s="37">
        <f>SUM(D114:D139,D90:D99,D79:D87,D69:D76,D7:D66,D102:D111)</f>
        <v>13</v>
      </c>
      <c r="E140" s="37">
        <f t="shared" ref="E140:K140" si="17">SUM(E114:E139,E90:E99,E79:E87,E69:E76,E7:E66,E102:E111)</f>
        <v>105</v>
      </c>
      <c r="F140" s="37">
        <f t="shared" si="17"/>
        <v>206</v>
      </c>
      <c r="G140" s="37">
        <f t="shared" si="17"/>
        <v>1212</v>
      </c>
      <c r="H140" s="37">
        <f t="shared" si="17"/>
        <v>0</v>
      </c>
      <c r="I140" s="37">
        <f t="shared" si="17"/>
        <v>0</v>
      </c>
      <c r="J140" s="37">
        <f t="shared" si="17"/>
        <v>0</v>
      </c>
      <c r="K140" s="37">
        <f t="shared" si="17"/>
        <v>300</v>
      </c>
      <c r="L140" s="37">
        <f>SUM(L114:L139,L90:L99,L79:L87,L69:L76,L7:L66,L102:L111)</f>
        <v>1836</v>
      </c>
      <c r="M140" s="31">
        <f>SUM(M114:M136,M90:M98,M79:M87,M69:M76,M7:M66)</f>
        <v>8610</v>
      </c>
      <c r="N140" s="31">
        <f>SUM(N114:N136,N90:N98,N79:N87,N69:N76,N7:N66)</f>
        <v>4667</v>
      </c>
      <c r="O140" s="31"/>
      <c r="P140" s="31"/>
      <c r="Q140" s="45">
        <f t="shared" ref="Q140" si="18">(M140+N140)-L140</f>
        <v>11441</v>
      </c>
    </row>
    <row r="141" spans="2:17" x14ac:dyDescent="0.2">
      <c r="B141" s="38"/>
      <c r="C141" s="36"/>
      <c r="D141" s="39"/>
      <c r="E141" s="39"/>
      <c r="F141" s="39"/>
      <c r="G141" s="39"/>
      <c r="H141" s="39"/>
      <c r="I141" s="39"/>
      <c r="J141" s="39"/>
      <c r="K141" s="39"/>
      <c r="L141" s="40"/>
    </row>
    <row r="142" spans="2:17" x14ac:dyDescent="0.2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7" x14ac:dyDescent="0.2">
      <c r="C143" s="25"/>
      <c r="D143" s="32"/>
      <c r="E143" s="61"/>
      <c r="F143" s="61"/>
      <c r="G143" s="27"/>
      <c r="L143" s="41"/>
    </row>
    <row r="144" spans="2:17" x14ac:dyDescent="0.2">
      <c r="B144" s="61" t="s">
        <v>104</v>
      </c>
      <c r="C144" s="61"/>
      <c r="D144" s="33"/>
      <c r="E144" s="57"/>
      <c r="F144" s="57"/>
      <c r="G144" s="28"/>
      <c r="H144" s="27"/>
      <c r="I144" s="61" t="s">
        <v>104</v>
      </c>
      <c r="J144" s="61"/>
      <c r="K144" s="61"/>
      <c r="L144" s="61"/>
    </row>
    <row r="145" spans="2:12" x14ac:dyDescent="0.2">
      <c r="B145" s="57" t="s">
        <v>105</v>
      </c>
      <c r="C145" s="57"/>
      <c r="D145" s="34"/>
      <c r="E145" s="34"/>
      <c r="F145" s="34"/>
      <c r="G145" s="34"/>
      <c r="H145" s="34"/>
      <c r="I145" s="57" t="s">
        <v>106</v>
      </c>
      <c r="J145" s="57"/>
      <c r="K145" s="57"/>
      <c r="L145" s="57"/>
    </row>
    <row r="146" spans="2:12" x14ac:dyDescent="0.2">
      <c r="B146" s="32"/>
      <c r="C146" s="32"/>
      <c r="D146" s="34"/>
      <c r="E146" s="34"/>
      <c r="F146" s="34"/>
      <c r="G146" s="34"/>
      <c r="H146" s="34"/>
      <c r="I146" s="32"/>
      <c r="J146" s="32"/>
      <c r="K146" s="32"/>
      <c r="L146" s="35"/>
    </row>
    <row r="147" spans="2:12" ht="19.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9.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9.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9.5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19.5" x14ac:dyDescent="0.2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  <row r="161" spans="4:8" x14ac:dyDescent="0.2">
      <c r="D161" s="32"/>
      <c r="E161" s="32"/>
      <c r="F161" s="32"/>
      <c r="G161" s="32"/>
      <c r="H161" s="32"/>
    </row>
    <row r="162" spans="4:8" x14ac:dyDescent="0.2">
      <c r="D162" s="32"/>
      <c r="E162" s="32"/>
      <c r="F162" s="32"/>
      <c r="G162" s="32"/>
      <c r="H162" s="32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5:C145"/>
    <mergeCell ref="I145:L145"/>
    <mergeCell ref="B101:Q101"/>
    <mergeCell ref="B113:Q113"/>
    <mergeCell ref="E143:F143"/>
    <mergeCell ref="B144:C144"/>
    <mergeCell ref="E144:F144"/>
    <mergeCell ref="I144:L144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เย็น </vt:lpstr>
      <vt:lpstr>เช้า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USER</cp:lastModifiedBy>
  <cp:lastPrinted>2024-10-30T00:45:46Z</cp:lastPrinted>
  <dcterms:created xsi:type="dcterms:W3CDTF">2024-04-30T05:21:27Z</dcterms:created>
  <dcterms:modified xsi:type="dcterms:W3CDTF">2025-01-12T05:01:19Z</dcterms:modified>
</cp:coreProperties>
</file>