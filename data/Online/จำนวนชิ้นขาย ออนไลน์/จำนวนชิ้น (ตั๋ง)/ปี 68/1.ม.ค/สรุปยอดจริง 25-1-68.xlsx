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839D694A-09D9-4ACC-9065-F9738A38FF8F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definedNames>
    <definedName name="_xlnm._FilterDatabase" localSheetId="3" hidden="1">รวม!$L$1:$L$162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0" i="5" l="1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T98" i="5" l="1"/>
  <c r="J140" i="5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T65" i="5" l="1"/>
  <c r="L140" i="5"/>
  <c r="L112" i="5"/>
  <c r="Q112" i="5" s="1"/>
  <c r="L88" i="5"/>
  <c r="Q88" i="5" s="1"/>
  <c r="L67" i="5"/>
  <c r="Q67" i="5" s="1"/>
  <c r="M140" i="5" l="1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<sst xmlns="http://schemas.openxmlformats.org/spreadsheetml/2006/main" count="613" uniqueCount="145">
  <si>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</si>
  <si>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</si>
  <si>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</si>
  <si>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</si>
  <si>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</si>
  <si>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</si>
  <si>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</si>
  <si>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</si>
  <si>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</si>
  <si>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</si>
  <si>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</si>
  <si>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</si>
  <si>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</si>
  <si>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</si>
  <si>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</si>
  <si>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</si>
  <si>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</si>
  <si>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</si>
  <si>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</si>
  <si>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</si>
  <si>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</si>
  <si>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</si>
  <si>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</si>
  <si>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</si>
  <si>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</si>
  <si>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</si>
  <si>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</si>
  <si>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</si>
  <si>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</si>
  <si>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</si>
  <si>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</si>
  <si>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</si>
  <si>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</si>
  <si>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</si>
  <si>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</si>
  <si>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</si>
  <si>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</si>
  <si>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</si>
  <si>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</si>
  <si>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</si>
  <si>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</si>
  <si>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</si>
  <si>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</si>
  <si>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</si>
  <si>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</si>
  <si>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</si>
  <si>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</si>
  <si>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</si>
  <si>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</si>
  <si>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</si>
  <si>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</si>
  <si>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</si>
  <si>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</si>
  <si>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</si>
  <si>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</si>
  <si>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</si>
  <si>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</si>
  <si>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</si>
  <si>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</si>
  <si>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</si>
  <si>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</si>
  <si>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</si>
  <si>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</si>
  <si>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</si>
  <si>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</si>
  <si>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</si>
  <si>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</si>
  <si>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</si>
  <si>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</si>
  <si>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</si>
  <si>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</si>
  <si>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</si>
  <si>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</si>
  <si>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</si>
  <si>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</si>
  <si>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</si>
  <si>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</si>
  <si>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</si>
  <si>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</si>
  <si>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</si>
  <si>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</si>
  <si>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</si>
  <si>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</si>
  <si>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</si>
  <si>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</si>
  <si>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</si>
  <si>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</si>
  <si>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</si>
  <si>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</si>
  <si>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</si>
  <si>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</si>
  <si>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</si>
  <si>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</si>
  <si>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</si>
  <si>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</si>
  <si>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</si>
  <si>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</si>
  <si>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</si>
  <si>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</si>
  <si>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</si>
  <si>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</si>
  <si>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</si>
  <si>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</si>
  <si>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</si>
  <si>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</si>
  <si>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</si>
  <si>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</si>
  <si>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</si>
  <si>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</si>
  <si>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</si>
  <si>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</si>
  <si>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</si>
  <si>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</si>
  <si>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</si>
  <si>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</si>
  <si>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</si>
  <si>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</si>
  <si>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</si>
  <si>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</si>
  <si>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</si>
  <si>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</si>
  <si>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</si>
  <si>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</si>
  <si>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</si>
  <si>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</si>
  <si>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</si>
  <si>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</si>
  <si>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</si>
  <si>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</si>
  <si>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</si>
  <si>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</si>
  <si>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</si>
  <si>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</si>
  <si>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</si>
  <si>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</si>
  <si>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</si>
  <si>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</si>
  <si>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</si>
  <si>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</si>
  <si>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</si>
  <si>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</si>
  <si>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</si>
  <si>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</si>
  <si>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</si>
  <si>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>ยอดจริง ออนไลน์ วันที่ 25/1/68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</si>
</sst>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E45" sqref="E45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73" zoomScale="60" zoomScaleNormal="60" workbookViewId="0">
      <selection activeCell="H2" sqref="H1:K1048576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7" width="14.3984375" style="16" customWidth="1"/>
    <col min="8" max="11" width="14.3984375" style="16" hidden="1" customWidth="1"/>
    <col min="12" max="12" width="17.59765625" style="26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37</v>
      </c>
      <c r="E7" s="31">
        <v>6</v>
      </c>
      <c r="F7" s="31"/>
      <c r="G7" s="31"/>
      <c r="H7" s="31"/>
      <c r="I7" s="31"/>
      <c r="J7" s="44"/>
      <c r="K7" s="44"/>
      <c r="L7" s="37">
        <f>SUM(D7:K7)</f>
        <v>43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2</v>
      </c>
      <c r="E25" s="31">
        <v>5</v>
      </c>
      <c r="F25" s="31"/>
      <c r="G25" s="31"/>
      <c r="H25" s="31"/>
      <c r="I25" s="31"/>
      <c r="J25" s="44"/>
      <c r="K25" s="44"/>
      <c r="L25" s="37">
        <f t="shared" si="0"/>
        <v>7</v>
      </c>
    </row>
    <row r="26" spans="2:12" x14ac:dyDescent="0.25">
      <c r="B26" s="11">
        <v>1004055</v>
      </c>
      <c r="C26" s="15" t="s">
        <v>108</v>
      </c>
      <c r="D26" s="31">
        <v>50</v>
      </c>
      <c r="E26" s="31">
        <v>10</v>
      </c>
      <c r="F26" s="31">
        <v>2</v>
      </c>
      <c r="G26" s="31">
        <v>60</v>
      </c>
      <c r="H26" s="31"/>
      <c r="I26" s="31"/>
      <c r="J26" s="44"/>
      <c r="K26" s="44"/>
      <c r="L26" s="37">
        <f t="shared" si="0"/>
        <v>122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>
        <v>2</v>
      </c>
      <c r="E56" s="31"/>
      <c r="F56" s="31">
        <v>2</v>
      </c>
      <c r="G56" s="31"/>
      <c r="H56" s="31"/>
      <c r="I56" s="31"/>
      <c r="J56" s="44"/>
      <c r="K56" s="44"/>
      <c r="L56" s="37">
        <f t="shared" si="0"/>
        <v>4</v>
      </c>
    </row>
    <row r="57" spans="2:12" x14ac:dyDescent="0.25">
      <c r="B57" s="11">
        <v>1111075</v>
      </c>
      <c r="C57" s="15" t="s">
        <v>45</v>
      </c>
      <c r="D57" s="31">
        <v>2</v>
      </c>
      <c r="E57" s="31"/>
      <c r="F57" s="31">
        <v>2</v>
      </c>
      <c r="G57" s="31"/>
      <c r="H57" s="31"/>
      <c r="I57" s="31"/>
      <c r="J57" s="44"/>
      <c r="K57" s="44"/>
      <c r="L57" s="37">
        <f t="shared" si="0"/>
        <v>4</v>
      </c>
    </row>
    <row r="58" spans="2:12" x14ac:dyDescent="0.25">
      <c r="B58" s="11">
        <v>1111076</v>
      </c>
      <c r="C58" s="15" t="s">
        <v>46</v>
      </c>
      <c r="D58" s="31">
        <v>2</v>
      </c>
      <c r="E58" s="31"/>
      <c r="F58" s="31">
        <v>2</v>
      </c>
      <c r="G58" s="31"/>
      <c r="H58" s="31"/>
      <c r="I58" s="31"/>
      <c r="J58" s="44"/>
      <c r="K58" s="44"/>
      <c r="L58" s="37">
        <f t="shared" si="0"/>
        <v>4</v>
      </c>
    </row>
    <row r="59" spans="2:12" x14ac:dyDescent="0.25">
      <c r="B59" s="11">
        <v>1111077</v>
      </c>
      <c r="C59" s="15" t="s">
        <v>47</v>
      </c>
      <c r="D59" s="31">
        <v>2</v>
      </c>
      <c r="E59" s="31"/>
      <c r="F59" s="31">
        <v>2</v>
      </c>
      <c r="G59" s="31"/>
      <c r="H59" s="31"/>
      <c r="I59" s="31"/>
      <c r="J59" s="44"/>
      <c r="K59" s="44"/>
      <c r="L59" s="37">
        <f t="shared" si="0"/>
        <v>4</v>
      </c>
    </row>
    <row r="60" spans="2:12" x14ac:dyDescent="0.25">
      <c r="B60" s="11">
        <v>1111078</v>
      </c>
      <c r="C60" s="15" t="s">
        <v>48</v>
      </c>
      <c r="D60" s="31">
        <v>2</v>
      </c>
      <c r="E60" s="31"/>
      <c r="F60" s="31">
        <v>2</v>
      </c>
      <c r="G60" s="31"/>
      <c r="H60" s="31"/>
      <c r="I60" s="31"/>
      <c r="J60" s="44"/>
      <c r="K60" s="44"/>
      <c r="L60" s="37">
        <f t="shared" si="0"/>
        <v>4</v>
      </c>
    </row>
    <row r="61" spans="2:12" x14ac:dyDescent="0.25">
      <c r="B61" s="11">
        <v>1111079</v>
      </c>
      <c r="C61" s="15" t="s">
        <v>49</v>
      </c>
      <c r="D61" s="31">
        <v>2</v>
      </c>
      <c r="E61" s="31"/>
      <c r="F61" s="31">
        <v>2</v>
      </c>
      <c r="G61" s="31"/>
      <c r="H61" s="31"/>
      <c r="I61" s="31"/>
      <c r="J61" s="44"/>
      <c r="K61" s="44"/>
      <c r="L61" s="37">
        <f t="shared" si="0"/>
        <v>4</v>
      </c>
    </row>
    <row r="62" spans="2:12" x14ac:dyDescent="0.25">
      <c r="B62" s="11">
        <v>1111080</v>
      </c>
      <c r="C62" s="15" t="s">
        <v>50</v>
      </c>
      <c r="D62" s="31">
        <v>2</v>
      </c>
      <c r="E62" s="31"/>
      <c r="F62" s="31">
        <v>2</v>
      </c>
      <c r="G62" s="31"/>
      <c r="H62" s="31"/>
      <c r="I62" s="31"/>
      <c r="J62" s="44"/>
      <c r="K62" s="44"/>
      <c r="L62" s="37">
        <f t="shared" si="0"/>
        <v>4</v>
      </c>
    </row>
    <row r="63" spans="2:12" x14ac:dyDescent="0.25">
      <c r="B63" s="11">
        <v>1111081</v>
      </c>
      <c r="C63" s="15" t="s">
        <v>51</v>
      </c>
      <c r="D63" s="31">
        <v>2</v>
      </c>
      <c r="E63" s="31"/>
      <c r="F63" s="31">
        <v>2</v>
      </c>
      <c r="G63" s="31"/>
      <c r="H63" s="31"/>
      <c r="I63" s="31"/>
      <c r="J63" s="44"/>
      <c r="K63" s="44"/>
      <c r="L63" s="37">
        <f t="shared" si="0"/>
        <v>4</v>
      </c>
    </row>
    <row r="64" spans="2:12" x14ac:dyDescent="0.25">
      <c r="B64" s="11">
        <v>1111082</v>
      </c>
      <c r="C64" s="15" t="s">
        <v>52</v>
      </c>
      <c r="D64" s="31">
        <v>2</v>
      </c>
      <c r="E64" s="31"/>
      <c r="F64" s="31">
        <v>2</v>
      </c>
      <c r="G64" s="31"/>
      <c r="H64" s="31"/>
      <c r="I64" s="31"/>
      <c r="J64" s="44"/>
      <c r="K64" s="44"/>
      <c r="L64" s="37">
        <f t="shared" si="0"/>
        <v>4</v>
      </c>
    </row>
    <row r="65" spans="2:12" x14ac:dyDescent="0.25">
      <c r="B65" s="11">
        <v>1111083</v>
      </c>
      <c r="C65" s="15" t="s">
        <v>53</v>
      </c>
      <c r="D65" s="31">
        <v>2</v>
      </c>
      <c r="E65" s="31"/>
      <c r="F65" s="31">
        <v>2</v>
      </c>
      <c r="G65" s="31"/>
      <c r="H65" s="31"/>
      <c r="I65" s="31"/>
      <c r="J65" s="44"/>
      <c r="K65" s="44"/>
      <c r="L65" s="37">
        <f t="shared" si="0"/>
        <v>4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1</v>
      </c>
      <c r="E69" s="31">
        <v>3</v>
      </c>
      <c r="F69" s="31"/>
      <c r="G69" s="31"/>
      <c r="H69" s="31"/>
      <c r="I69" s="31"/>
      <c r="J69" s="44"/>
      <c r="K69" s="44"/>
      <c r="L69" s="37">
        <f t="shared" ref="L69:L76" si="1">SUM(D69:K69)</f>
        <v>4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>
        <v>6</v>
      </c>
      <c r="H87" s="31"/>
      <c r="I87" s="31"/>
      <c r="J87" s="44"/>
      <c r="K87" s="44"/>
      <c r="L87" s="37">
        <f t="shared" si="2"/>
        <v>6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>
        <v>11</v>
      </c>
      <c r="F90" s="31"/>
      <c r="G90" s="31"/>
      <c r="H90" s="31"/>
      <c r="I90" s="31"/>
      <c r="J90" s="44"/>
      <c r="K90" s="44"/>
      <c r="L90" s="37">
        <f t="shared" ref="L90:L99" si="3">SUM(D90:K90)</f>
        <v>11</v>
      </c>
    </row>
    <row r="91" spans="2:12" x14ac:dyDescent="0.25">
      <c r="B91" s="11">
        <v>1112011</v>
      </c>
      <c r="C91" s="20" t="s">
        <v>76</v>
      </c>
      <c r="D91" s="31"/>
      <c r="E91" s="31">
        <v>11</v>
      </c>
      <c r="F91" s="31"/>
      <c r="G91" s="31"/>
      <c r="H91" s="31"/>
      <c r="I91" s="31"/>
      <c r="J91" s="44"/>
      <c r="K91" s="44"/>
      <c r="L91" s="37">
        <f t="shared" si="3"/>
        <v>11</v>
      </c>
    </row>
    <row r="92" spans="2:12" x14ac:dyDescent="0.25">
      <c r="B92" s="11">
        <v>1112003</v>
      </c>
      <c r="C92" s="20" t="s">
        <v>77</v>
      </c>
      <c r="D92" s="31"/>
      <c r="E92" s="31">
        <v>11</v>
      </c>
      <c r="F92" s="31">
        <v>1</v>
      </c>
      <c r="G92" s="31"/>
      <c r="H92" s="31"/>
      <c r="I92" s="31"/>
      <c r="J92" s="44"/>
      <c r="K92" s="44"/>
      <c r="L92" s="37">
        <f t="shared" si="3"/>
        <v>12</v>
      </c>
    </row>
    <row r="93" spans="2:12" x14ac:dyDescent="0.25">
      <c r="B93" s="11">
        <v>1112005</v>
      </c>
      <c r="C93" s="20" t="s">
        <v>78</v>
      </c>
      <c r="D93" s="31"/>
      <c r="E93" s="31">
        <v>11</v>
      </c>
      <c r="F93" s="31">
        <v>1</v>
      </c>
      <c r="G93" s="31"/>
      <c r="H93" s="31"/>
      <c r="I93" s="31"/>
      <c r="J93" s="44"/>
      <c r="K93" s="44"/>
      <c r="L93" s="37">
        <f t="shared" si="3"/>
        <v>12</v>
      </c>
    </row>
    <row r="94" spans="2:12" hidden="1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>
        <v>11</v>
      </c>
      <c r="F97" s="31">
        <v>1</v>
      </c>
      <c r="G97" s="31"/>
      <c r="H97" s="31"/>
      <c r="I97" s="31"/>
      <c r="J97" s="44"/>
      <c r="K97" s="44"/>
      <c r="L97" s="37">
        <f t="shared" si="3"/>
        <v>12</v>
      </c>
    </row>
    <row r="98" spans="2:12" x14ac:dyDescent="0.25">
      <c r="B98" s="11">
        <v>1112013</v>
      </c>
      <c r="C98" s="20" t="s">
        <v>83</v>
      </c>
      <c r="D98" s="31"/>
      <c r="E98" s="31">
        <v>11</v>
      </c>
      <c r="F98" s="31"/>
      <c r="G98" s="31"/>
      <c r="H98" s="31"/>
      <c r="I98" s="31"/>
      <c r="J98" s="44"/>
      <c r="K98" s="44"/>
      <c r="L98" s="37">
        <f t="shared" si="3"/>
        <v>11</v>
      </c>
    </row>
    <row r="99" spans="2:12" hidden="1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>
        <v>2</v>
      </c>
      <c r="G118" s="31"/>
      <c r="H118" s="31"/>
      <c r="I118" s="31"/>
      <c r="J118" s="44"/>
      <c r="K118" s="44"/>
      <c r="L118" s="37">
        <f t="shared" si="6"/>
        <v>2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>
        <v>1</v>
      </c>
      <c r="F120" s="31"/>
      <c r="G120" s="31"/>
      <c r="H120" s="31"/>
      <c r="I120" s="31"/>
      <c r="J120" s="44"/>
      <c r="K120" s="44"/>
      <c r="L120" s="37">
        <f t="shared" si="6"/>
        <v>1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>
        <v>4</v>
      </c>
      <c r="G123" s="31"/>
      <c r="H123" s="31"/>
      <c r="I123" s="31"/>
      <c r="J123" s="44"/>
      <c r="K123" s="44"/>
      <c r="L123" s="37">
        <f t="shared" si="6"/>
        <v>4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>
        <v>4</v>
      </c>
      <c r="G124" s="31"/>
      <c r="H124" s="31"/>
      <c r="I124" s="31"/>
      <c r="J124" s="44"/>
      <c r="K124" s="44"/>
      <c r="L124" s="37">
        <f t="shared" si="6"/>
        <v>4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63"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filterMode="1">
    <pageSetUpPr fitToPage="1"/>
  </sheetPr>
  <dimension ref="B1:Y162"/>
  <sheetViews>
    <sheetView tabSelected="1" zoomScale="60" zoomScaleNormal="60" workbookViewId="0">
      <selection activeCell="AF97" sqref="AF97"/>
    </sheetView>
  </sheetViews>
  <sheetFormatPr defaultRowHeight="22.2" x14ac:dyDescent="0.35"/>
  <cols>
    <col min="2" max="2" width="22.09765625" style="24" customWidth="1"/>
    <col min="3" max="3" width="59.09765625" style="24" customWidth="1"/>
    <col min="4" max="7" width="14.3984375" style="16" customWidth="1"/>
    <col min="8" max="11" width="14.3984375" style="16" hidden="1" customWidth="1"/>
    <col min="12" max="12" width="17.59765625" style="26" customWidth="1"/>
    <col min="13" max="13" width="16.09765625" style="24" hidden="1" customWidth="1"/>
    <col min="14" max="15" width="15.3984375" style="24" hidden="1" customWidth="1"/>
    <col min="16" max="16" width="25.3984375" style="24" hidden="1" customWidth="1"/>
    <col min="17" max="17" width="14.3984375" style="29" hidden="1" customWidth="1"/>
    <col min="18" max="18" width="9.09765625" hidden="1" customWidth="1"/>
    <col min="19" max="19" width="7.3984375" hidden="1" customWidth="1"/>
    <col min="20" max="20" width="22.69921875" style="46" hidden="1" customWidth="1"/>
    <col min="21" max="25" width="0" style="46" hidden="1" customWidth="1"/>
  </cols>
  <sheetData>
    <row r="1" spans="2:17" x14ac:dyDescent="0.3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3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3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3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hidden="1" x14ac:dyDescent="0.3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0.399999999999999" hidden="1" x14ac:dyDescent="0.3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35">
      <c r="B7" s="11">
        <v>1111002</v>
      </c>
      <c r="C7" s="15" t="s">
        <v>107</v>
      </c>
      <c r="D7" s="31">
        <f>'เย็น '!D7+'เช้า '!D7+บ่าย!D7</f>
        <v>37</v>
      </c>
      <c r="E7" s="31">
        <f>'เย็น '!E7+'เช้า '!E7+บ่าย!E7</f>
        <v>6</v>
      </c>
      <c r="F7" s="31">
        <f>'เย็น '!F7+'เช้า '!F7+บ่าย!F7</f>
        <v>0</v>
      </c>
      <c r="G7" s="31">
        <f>'เย็น '!G7+'เช้า '!G7+บ่าย!G7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43</v>
      </c>
      <c r="M7" s="11"/>
      <c r="N7" s="11">
        <v>84</v>
      </c>
      <c r="O7" s="11"/>
      <c r="P7" s="11"/>
      <c r="Q7" s="45">
        <f>(M7+N7+O7+P7)-L7</f>
        <v>41</v>
      </c>
    </row>
    <row r="8" spans="2:17" hidden="1" x14ac:dyDescent="0.3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3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3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3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3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3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3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3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3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3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3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3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3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3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3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3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3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35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5</v>
      </c>
      <c r="F25" s="31">
        <f>'เย็น '!F25+'เช้า '!F25+บ่าย!F25</f>
        <v>0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7</v>
      </c>
      <c r="M25" s="11"/>
      <c r="N25" s="11"/>
      <c r="O25" s="11"/>
      <c r="P25" s="11"/>
      <c r="Q25" s="45">
        <f t="shared" si="1"/>
        <v>-7</v>
      </c>
    </row>
    <row r="26" spans="2:17" x14ac:dyDescent="0.35">
      <c r="B26" s="11">
        <v>1004055</v>
      </c>
      <c r="C26" s="15" t="s">
        <v>108</v>
      </c>
      <c r="D26" s="31">
        <f>'เย็น '!D26+'เช้า '!D26+บ่าย!D26</f>
        <v>50</v>
      </c>
      <c r="E26" s="31">
        <f>'เย็น '!E26+'เช้า '!E26+บ่าย!E26</f>
        <v>10</v>
      </c>
      <c r="F26" s="31">
        <f>'เย็น '!F26+'เช้า '!F26+บ่าย!F26</f>
        <v>2</v>
      </c>
      <c r="G26" s="31">
        <f>'เย็น '!G26+'เช้า '!G26+บ่าย!G26</f>
        <v>60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122</v>
      </c>
      <c r="M26" s="11"/>
      <c r="N26" s="11"/>
      <c r="O26" s="11"/>
      <c r="P26" s="11"/>
      <c r="Q26" s="45">
        <f t="shared" si="1"/>
        <v>-122</v>
      </c>
    </row>
    <row r="27" spans="2:17" hidden="1" x14ac:dyDescent="0.3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3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3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3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3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3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3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3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3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3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3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3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3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3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>
        <v>1</v>
      </c>
      <c r="O40" s="11"/>
      <c r="P40" s="11"/>
      <c r="Q40" s="45">
        <f t="shared" si="1"/>
        <v>1</v>
      </c>
    </row>
    <row r="41" spans="2:17" hidden="1" x14ac:dyDescent="0.3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3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>
        <v>1</v>
      </c>
      <c r="O42" s="11"/>
      <c r="P42" s="11"/>
      <c r="Q42" s="45">
        <f t="shared" si="1"/>
        <v>1</v>
      </c>
    </row>
    <row r="43" spans="2:17" hidden="1" x14ac:dyDescent="0.3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3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>
        <v>2</v>
      </c>
      <c r="O44" s="11"/>
      <c r="P44" s="11"/>
      <c r="Q44" s="45">
        <f t="shared" si="1"/>
        <v>2</v>
      </c>
    </row>
    <row r="45" spans="2:17" hidden="1" x14ac:dyDescent="0.3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3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3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3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 hidden="1" x14ac:dyDescent="0.3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 hidden="1" x14ac:dyDescent="0.3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>
        <v>1</v>
      </c>
      <c r="O50" s="11"/>
      <c r="P50" s="11"/>
      <c r="Q50" s="45">
        <f t="shared" si="1"/>
        <v>1</v>
      </c>
    </row>
    <row r="51" spans="2:22" hidden="1" x14ac:dyDescent="0.3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 hidden="1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>
        <v>1</v>
      </c>
      <c r="O52" s="11"/>
      <c r="P52" s="11"/>
      <c r="Q52" s="45">
        <f t="shared" si="1"/>
        <v>1</v>
      </c>
      <c r="S52" s="47"/>
    </row>
    <row r="53" spans="2:22" hidden="1" x14ac:dyDescent="0.3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 hidden="1" x14ac:dyDescent="0.3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 hidden="1" x14ac:dyDescent="0.3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 x14ac:dyDescent="0.35">
      <c r="B56" s="11">
        <v>1111074</v>
      </c>
      <c r="C56" s="15" t="s">
        <v>44</v>
      </c>
      <c r="D56" s="31">
        <f>'เย็น '!D56+'เช้า '!D56+บ่าย!D56</f>
        <v>2</v>
      </c>
      <c r="E56" s="31">
        <f>'เย็น '!E56+'เช้า '!E56+บ่าย!E56</f>
        <v>0</v>
      </c>
      <c r="F56" s="31">
        <f>'เย็น '!F56+'เช้า '!F56+บ่าย!F56</f>
        <v>2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4</v>
      </c>
      <c r="M56" s="11"/>
      <c r="N56" s="11">
        <v>9</v>
      </c>
      <c r="O56" s="11"/>
      <c r="P56" s="11"/>
      <c r="Q56" s="45">
        <f t="shared" si="1"/>
        <v>5</v>
      </c>
    </row>
    <row r="57" spans="2:22" x14ac:dyDescent="0.35">
      <c r="B57" s="11">
        <v>1111075</v>
      </c>
      <c r="C57" s="15" t="s">
        <v>45</v>
      </c>
      <c r="D57" s="31">
        <f>'เย็น '!D57+'เช้า '!D57+บ่าย!D57</f>
        <v>2</v>
      </c>
      <c r="E57" s="31">
        <f>'เย็น '!E57+'เช้า '!E57+บ่าย!E57</f>
        <v>0</v>
      </c>
      <c r="F57" s="31">
        <f>'เย็น '!F57+'เช้า '!F57+บ่าย!F57</f>
        <v>2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4</v>
      </c>
      <c r="M57" s="11"/>
      <c r="N57" s="11"/>
      <c r="O57" s="11"/>
      <c r="P57" s="11"/>
      <c r="Q57" s="45">
        <f t="shared" si="1"/>
        <v>-4</v>
      </c>
    </row>
    <row r="58" spans="2:22" x14ac:dyDescent="0.35">
      <c r="B58" s="11">
        <v>1111076</v>
      </c>
      <c r="C58" s="15" t="s">
        <v>46</v>
      </c>
      <c r="D58" s="31">
        <f>'เย็น '!D58+'เช้า '!D58+บ่าย!D58</f>
        <v>2</v>
      </c>
      <c r="E58" s="31">
        <f>'เย็น '!E58+'เช้า '!E58+บ่าย!E58</f>
        <v>0</v>
      </c>
      <c r="F58" s="31">
        <f>'เย็น '!F58+'เช้า '!F58+บ่าย!F58</f>
        <v>2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4</v>
      </c>
      <c r="M58" s="11"/>
      <c r="N58" s="11"/>
      <c r="O58" s="11"/>
      <c r="P58" s="11"/>
      <c r="Q58" s="45">
        <f t="shared" si="1"/>
        <v>-4</v>
      </c>
    </row>
    <row r="59" spans="2:22" x14ac:dyDescent="0.35">
      <c r="B59" s="11">
        <v>1111077</v>
      </c>
      <c r="C59" s="15" t="s">
        <v>47</v>
      </c>
      <c r="D59" s="31">
        <f>'เย็น '!D59+'เช้า '!D59+บ่าย!D59</f>
        <v>2</v>
      </c>
      <c r="E59" s="31">
        <f>'เย็น '!E59+'เช้า '!E59+บ่าย!E59</f>
        <v>0</v>
      </c>
      <c r="F59" s="31">
        <f>'เย็น '!F59+'เช้า '!F59+บ่าย!F59</f>
        <v>2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4</v>
      </c>
      <c r="M59" s="11"/>
      <c r="N59" s="11">
        <v>22</v>
      </c>
      <c r="O59" s="11"/>
      <c r="P59" s="11"/>
      <c r="Q59" s="45">
        <f t="shared" si="1"/>
        <v>18</v>
      </c>
    </row>
    <row r="60" spans="2:22" x14ac:dyDescent="0.35">
      <c r="B60" s="11">
        <v>1111078</v>
      </c>
      <c r="C60" s="15" t="s">
        <v>48</v>
      </c>
      <c r="D60" s="31">
        <f>'เย็น '!D60+'เช้า '!D60+บ่าย!D60</f>
        <v>2</v>
      </c>
      <c r="E60" s="31">
        <f>'เย็น '!E60+'เช้า '!E60+บ่าย!E60</f>
        <v>0</v>
      </c>
      <c r="F60" s="31">
        <f>'เย็น '!F60+'เช้า '!F60+บ่าย!F60</f>
        <v>2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4</v>
      </c>
      <c r="M60" s="11"/>
      <c r="N60" s="11"/>
      <c r="O60" s="11"/>
      <c r="P60" s="11"/>
      <c r="Q60" s="45">
        <f t="shared" si="1"/>
        <v>-4</v>
      </c>
    </row>
    <row r="61" spans="2:22" x14ac:dyDescent="0.35">
      <c r="B61" s="11">
        <v>1111079</v>
      </c>
      <c r="C61" s="15" t="s">
        <v>49</v>
      </c>
      <c r="D61" s="31">
        <f>'เย็น '!D61+'เช้า '!D61+บ่าย!D61</f>
        <v>2</v>
      </c>
      <c r="E61" s="31">
        <f>'เย็น '!E61+'เช้า '!E61+บ่าย!E61</f>
        <v>0</v>
      </c>
      <c r="F61" s="31">
        <f>'เย็น '!F61+'เช้า '!F61+บ่าย!F61</f>
        <v>2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4</v>
      </c>
      <c r="M61" s="11"/>
      <c r="N61" s="11"/>
      <c r="O61" s="11"/>
      <c r="P61" s="11"/>
      <c r="Q61" s="45">
        <f t="shared" si="1"/>
        <v>-4</v>
      </c>
    </row>
    <row r="62" spans="2:22" x14ac:dyDescent="0.35">
      <c r="B62" s="11">
        <v>1111080</v>
      </c>
      <c r="C62" s="15" t="s">
        <v>50</v>
      </c>
      <c r="D62" s="31">
        <f>'เย็น '!D62+'เช้า '!D62+บ่าย!D62</f>
        <v>2</v>
      </c>
      <c r="E62" s="31">
        <f>'เย็น '!E62+'เช้า '!E62+บ่าย!E62</f>
        <v>0</v>
      </c>
      <c r="F62" s="31">
        <f>'เย็น '!F62+'เช้า '!F62+บ่าย!F62</f>
        <v>2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4</v>
      </c>
      <c r="M62" s="11"/>
      <c r="N62" s="11">
        <v>13</v>
      </c>
      <c r="O62" s="11"/>
      <c r="P62" s="11"/>
      <c r="Q62" s="45">
        <f t="shared" si="1"/>
        <v>9</v>
      </c>
    </row>
    <row r="63" spans="2:22" x14ac:dyDescent="0.35">
      <c r="B63" s="11">
        <v>1111081</v>
      </c>
      <c r="C63" s="15" t="s">
        <v>51</v>
      </c>
      <c r="D63" s="31">
        <f>'เย็น '!D63+'เช้า '!D63+บ่าย!D63</f>
        <v>2</v>
      </c>
      <c r="E63" s="31">
        <f>'เย็น '!E63+'เช้า '!E63+บ่าย!E63</f>
        <v>0</v>
      </c>
      <c r="F63" s="31">
        <f>'เย็น '!F63+'เช้า '!F63+บ่าย!F63</f>
        <v>2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4</v>
      </c>
      <c r="M63" s="11"/>
      <c r="N63" s="11">
        <v>13</v>
      </c>
      <c r="O63" s="11"/>
      <c r="P63" s="11"/>
      <c r="Q63" s="45">
        <f t="shared" si="1"/>
        <v>9</v>
      </c>
    </row>
    <row r="64" spans="2:22" x14ac:dyDescent="0.35">
      <c r="B64" s="11">
        <v>1111082</v>
      </c>
      <c r="C64" s="15" t="s">
        <v>52</v>
      </c>
      <c r="D64" s="31">
        <f>'เย็น '!D64+'เช้า '!D64+บ่าย!D64</f>
        <v>2</v>
      </c>
      <c r="E64" s="31">
        <f>'เย็น '!E64+'เช้า '!E64+บ่าย!E64</f>
        <v>0</v>
      </c>
      <c r="F64" s="31">
        <f>'เย็น '!F64+'เช้า '!F64+บ่าย!F64</f>
        <v>2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4</v>
      </c>
      <c r="M64" s="11"/>
      <c r="N64" s="11"/>
      <c r="O64" s="11"/>
      <c r="P64" s="11"/>
      <c r="Q64" s="45">
        <f t="shared" si="1"/>
        <v>-4</v>
      </c>
    </row>
    <row r="65" spans="2:20" x14ac:dyDescent="0.35">
      <c r="B65" s="11">
        <v>1111083</v>
      </c>
      <c r="C65" s="15" t="s">
        <v>53</v>
      </c>
      <c r="D65" s="31">
        <f>'เย็น '!D65+'เช้า '!D65+บ่าย!D65</f>
        <v>2</v>
      </c>
      <c r="E65" s="31">
        <f>'เย็น '!E65+'เช้า '!E65+บ่าย!E65</f>
        <v>0</v>
      </c>
      <c r="F65" s="31">
        <f>'เย็น '!F65+'เช้า '!F65+บ่าย!F65</f>
        <v>2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4</v>
      </c>
      <c r="M65" s="11"/>
      <c r="N65" s="11"/>
      <c r="O65" s="11"/>
      <c r="P65" s="11"/>
      <c r="Q65" s="45">
        <f t="shared" si="1"/>
        <v>-4</v>
      </c>
      <c r="S65" s="48"/>
      <c r="T65" s="47">
        <f>SUM(Q56:Q65)</f>
        <v>17</v>
      </c>
    </row>
    <row r="66" spans="2:20" hidden="1" x14ac:dyDescent="0.3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3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0.399999999999999" hidden="1" x14ac:dyDescent="0.3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35">
      <c r="B69" s="11">
        <v>1111009</v>
      </c>
      <c r="C69" s="20" t="s">
        <v>56</v>
      </c>
      <c r="D69" s="31">
        <f>'เย็น '!D69+'เช้า '!D69+บ่าย!D69</f>
        <v>1</v>
      </c>
      <c r="E69" s="31">
        <f>'เย็น '!E69+'เช้า '!E69+บ่าย!E69</f>
        <v>3</v>
      </c>
      <c r="F69" s="31">
        <f>'เย็น '!F69+'เช้า '!F69+บ่าย!F69</f>
        <v>0</v>
      </c>
      <c r="G69" s="31">
        <f>'เย็น '!G69+'เช้า '!G69+บ่าย!G69</f>
        <v>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4</v>
      </c>
      <c r="M69" s="11"/>
      <c r="N69" s="11">
        <v>2</v>
      </c>
      <c r="O69" s="11"/>
      <c r="P69" s="11"/>
      <c r="Q69" s="45">
        <f t="shared" ref="Q69:Q76" si="5">(M69+N69+O69+P69)-L69</f>
        <v>-2</v>
      </c>
      <c r="T69" s="47"/>
    </row>
    <row r="70" spans="2:20" hidden="1" x14ac:dyDescent="0.3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3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3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3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3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3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3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3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0.399999999999999" hidden="1" x14ac:dyDescent="0.3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3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3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 hidden="1" x14ac:dyDescent="0.3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 hidden="1" x14ac:dyDescent="0.3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 hidden="1" x14ac:dyDescent="0.3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 hidden="1" x14ac:dyDescent="0.3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 hidden="1" x14ac:dyDescent="0.3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 hidden="1" x14ac:dyDescent="0.3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 x14ac:dyDescent="0.35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6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6</v>
      </c>
      <c r="M87" s="11"/>
      <c r="N87" s="11">
        <v>34</v>
      </c>
      <c r="O87" s="11"/>
      <c r="P87" s="11"/>
      <c r="Q87" s="45">
        <f t="shared" si="8"/>
        <v>28</v>
      </c>
      <c r="T87" s="47"/>
    </row>
    <row r="88" spans="2:20" hidden="1" x14ac:dyDescent="0.3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0.399999999999999" hidden="1" x14ac:dyDescent="0.3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 x14ac:dyDescent="0.35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11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11</v>
      </c>
      <c r="M90" s="11"/>
      <c r="N90" s="11">
        <v>40</v>
      </c>
      <c r="O90" s="11"/>
      <c r="P90" s="11"/>
      <c r="Q90" s="45">
        <f t="shared" ref="Q90:Q99" si="10">(M90+N90+O90+P90)-L90</f>
        <v>29</v>
      </c>
    </row>
    <row r="91" spans="2:20" x14ac:dyDescent="0.35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11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11</v>
      </c>
      <c r="M91" s="11"/>
      <c r="N91" s="11"/>
      <c r="O91" s="11"/>
      <c r="P91" s="11"/>
      <c r="Q91" s="45">
        <f t="shared" si="10"/>
        <v>-11</v>
      </c>
    </row>
    <row r="92" spans="2:20" x14ac:dyDescent="0.35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11</v>
      </c>
      <c r="F92" s="31">
        <f>'เย็น '!F92+'เช้า '!F92+บ่าย!F92</f>
        <v>1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12</v>
      </c>
      <c r="M92" s="11"/>
      <c r="N92" s="11"/>
      <c r="O92" s="11"/>
      <c r="P92" s="11"/>
      <c r="Q92" s="45">
        <f t="shared" si="10"/>
        <v>-12</v>
      </c>
    </row>
    <row r="93" spans="2:20" x14ac:dyDescent="0.35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11</v>
      </c>
      <c r="F93" s="31">
        <f>'เย็น '!F93+'เช้า '!F93+บ่าย!F93</f>
        <v>1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12</v>
      </c>
      <c r="M93" s="11"/>
      <c r="N93" s="11">
        <v>13</v>
      </c>
      <c r="O93" s="11"/>
      <c r="P93" s="11"/>
      <c r="Q93" s="45">
        <f t="shared" si="10"/>
        <v>1</v>
      </c>
    </row>
    <row r="94" spans="2:20" hidden="1" x14ac:dyDescent="0.3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 hidden="1" x14ac:dyDescent="0.3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 hidden="1" x14ac:dyDescent="0.3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 x14ac:dyDescent="0.35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11</v>
      </c>
      <c r="F97" s="31">
        <f>'เย็น '!F97+'เช้า '!F97+บ่าย!F97</f>
        <v>1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12</v>
      </c>
      <c r="M97" s="11"/>
      <c r="N97" s="11">
        <v>1</v>
      </c>
      <c r="O97" s="11"/>
      <c r="P97" s="11"/>
      <c r="Q97" s="45">
        <f t="shared" si="10"/>
        <v>-11</v>
      </c>
    </row>
    <row r="98" spans="2:20" x14ac:dyDescent="0.35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11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11</v>
      </c>
      <c r="M98" s="11"/>
      <c r="N98" s="11"/>
      <c r="O98" s="11"/>
      <c r="P98" s="11"/>
      <c r="Q98" s="45">
        <f t="shared" si="10"/>
        <v>-11</v>
      </c>
      <c r="T98" s="47">
        <f>SUM(Q90:Q98)</f>
        <v>-15</v>
      </c>
    </row>
    <row r="99" spans="2:20" hidden="1" x14ac:dyDescent="0.3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x14ac:dyDescent="0.3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69</v>
      </c>
      <c r="M100" s="11"/>
      <c r="N100" s="11"/>
      <c r="O100" s="11"/>
      <c r="P100" s="11"/>
      <c r="Q100" s="45">
        <f>SUM(Q90:Q99)</f>
        <v>-15</v>
      </c>
    </row>
    <row r="101" spans="2:20" ht="20.399999999999999" hidden="1" x14ac:dyDescent="0.3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 hidden="1" x14ac:dyDescent="0.3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20" hidden="1" x14ac:dyDescent="0.3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0" hidden="1" x14ac:dyDescent="0.3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hidden="1" x14ac:dyDescent="0.3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hidden="1" x14ac:dyDescent="0.3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hidden="1" x14ac:dyDescent="0.3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hidden="1" x14ac:dyDescent="0.3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hidden="1" x14ac:dyDescent="0.3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hidden="1" x14ac:dyDescent="0.3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20" hidden="1" x14ac:dyDescent="0.3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 x14ac:dyDescent="0.3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0.399999999999999" hidden="1" x14ac:dyDescent="0.3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hidden="1" x14ac:dyDescent="0.35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0</v>
      </c>
      <c r="M114" s="11"/>
      <c r="N114" s="11"/>
      <c r="O114" s="11"/>
      <c r="P114" s="11"/>
      <c r="Q114" s="45">
        <f t="shared" ref="Q114:Q139" si="16">(M114+N114+O114+P114)-L114</f>
        <v>0</v>
      </c>
    </row>
    <row r="115" spans="2:17" hidden="1" x14ac:dyDescent="0.35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>
        <v>6</v>
      </c>
      <c r="O115" s="11"/>
      <c r="P115" s="11"/>
      <c r="Q115" s="45">
        <f t="shared" si="16"/>
        <v>6</v>
      </c>
    </row>
    <row r="116" spans="2:17" hidden="1" x14ac:dyDescent="0.35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 hidden="1" x14ac:dyDescent="0.3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3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2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2</v>
      </c>
      <c r="M118" s="11"/>
      <c r="N118" s="11">
        <v>43</v>
      </c>
      <c r="O118" s="11"/>
      <c r="P118" s="11"/>
      <c r="Q118" s="45">
        <f t="shared" si="16"/>
        <v>41</v>
      </c>
    </row>
    <row r="119" spans="2:17" hidden="1" x14ac:dyDescent="0.3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336</v>
      </c>
      <c r="O119" s="11"/>
      <c r="P119" s="11"/>
      <c r="Q119" s="45">
        <f t="shared" si="16"/>
        <v>336</v>
      </c>
    </row>
    <row r="120" spans="2:17" x14ac:dyDescent="0.3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1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1</v>
      </c>
      <c r="M120" s="11"/>
      <c r="N120" s="11">
        <v>120</v>
      </c>
      <c r="O120" s="11"/>
      <c r="P120" s="11"/>
      <c r="Q120" s="45">
        <f t="shared" si="16"/>
        <v>119</v>
      </c>
    </row>
    <row r="121" spans="2:17" hidden="1" x14ac:dyDescent="0.3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100</v>
      </c>
      <c r="O121" s="11"/>
      <c r="P121" s="11"/>
      <c r="Q121" s="45">
        <f t="shared" si="16"/>
        <v>100</v>
      </c>
    </row>
    <row r="122" spans="2:17" hidden="1" x14ac:dyDescent="0.3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>
        <v>6</v>
      </c>
      <c r="O122" s="11"/>
      <c r="P122" s="11"/>
      <c r="Q122" s="45">
        <f t="shared" si="16"/>
        <v>6</v>
      </c>
    </row>
    <row r="123" spans="2:17" x14ac:dyDescent="0.3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0</v>
      </c>
      <c r="F123" s="31">
        <f>'เย็น '!F123+'เช้า '!F123+บ่าย!F123</f>
        <v>4</v>
      </c>
      <c r="G123" s="31">
        <f>'เย็น '!G123+'เช้า '!G123+บ่าย!G123</f>
        <v>0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4</v>
      </c>
      <c r="M123" s="11"/>
      <c r="N123" s="11">
        <v>17</v>
      </c>
      <c r="O123" s="11"/>
      <c r="P123" s="11"/>
      <c r="Q123" s="45">
        <f t="shared" si="16"/>
        <v>13</v>
      </c>
    </row>
    <row r="124" spans="2:17" x14ac:dyDescent="0.3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4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4</v>
      </c>
      <c r="M124" s="11"/>
      <c r="N124" s="11">
        <v>14</v>
      </c>
      <c r="O124" s="11"/>
      <c r="P124" s="11"/>
      <c r="Q124" s="45">
        <f t="shared" si="16"/>
        <v>10</v>
      </c>
    </row>
    <row r="125" spans="2:17" hidden="1" x14ac:dyDescent="0.35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0</v>
      </c>
      <c r="M125" s="11"/>
      <c r="N125" s="11"/>
      <c r="O125" s="11"/>
      <c r="P125" s="11"/>
      <c r="Q125" s="45">
        <f t="shared" si="16"/>
        <v>0</v>
      </c>
    </row>
    <row r="126" spans="2:17" hidden="1" x14ac:dyDescent="0.3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0</v>
      </c>
      <c r="M126" s="11"/>
      <c r="N126" s="11"/>
      <c r="O126" s="11"/>
      <c r="P126" s="11"/>
      <c r="Q126" s="45">
        <f t="shared" si="16"/>
        <v>0</v>
      </c>
    </row>
    <row r="127" spans="2:17" hidden="1" x14ac:dyDescent="0.3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hidden="1" x14ac:dyDescent="0.3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hidden="1" x14ac:dyDescent="0.3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hidden="1" x14ac:dyDescent="0.3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10</v>
      </c>
      <c r="O130" s="11"/>
      <c r="P130" s="11"/>
      <c r="Q130" s="45">
        <f t="shared" si="16"/>
        <v>10</v>
      </c>
    </row>
    <row r="131" spans="2:17" hidden="1" x14ac:dyDescent="0.3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hidden="1" x14ac:dyDescent="0.3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hidden="1" x14ac:dyDescent="0.3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hidden="1" x14ac:dyDescent="0.3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hidden="1" x14ac:dyDescent="0.3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hidden="1" x14ac:dyDescent="0.3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hidden="1" x14ac:dyDescent="0.3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hidden="1" x14ac:dyDescent="0.3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hidden="1" x14ac:dyDescent="0.3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35">
      <c r="C140" s="36"/>
      <c r="D140" s="37">
        <f>SUM(D114:D139,D90:D99,D79:D87,D69:D76,D7:D66,D102:D111)</f>
        <v>110</v>
      </c>
      <c r="E140" s="37">
        <f t="shared" ref="E140:K140" si="17">SUM(E114:E139,E90:E99,E79:E87,E69:E76,E7:E66,E102:E111)</f>
        <v>91</v>
      </c>
      <c r="F140" s="37">
        <f t="shared" si="17"/>
        <v>35</v>
      </c>
      <c r="G140" s="37">
        <f t="shared" si="17"/>
        <v>66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302</v>
      </c>
      <c r="M140" s="31">
        <f>SUM(M114:M136,M90:M98,M79:M87,M69:M76,M7:M66)</f>
        <v>0</v>
      </c>
      <c r="N140" s="31">
        <f>SUM(N114:N136,N90:N98,N79:N87,N69:N76,N7:N66)</f>
        <v>889</v>
      </c>
      <c r="O140" s="31"/>
      <c r="P140" s="31"/>
      <c r="Q140" s="45">
        <f t="shared" ref="Q140" si="18">(M140+N140)-L140</f>
        <v>587</v>
      </c>
    </row>
    <row r="141" spans="2:17" hidden="1" x14ac:dyDescent="0.3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hidden="1" x14ac:dyDescent="0.3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hidden="1" x14ac:dyDescent="0.35">
      <c r="C143" s="25"/>
      <c r="D143" s="32"/>
      <c r="E143" s="61"/>
      <c r="F143" s="61"/>
      <c r="G143" s="27"/>
      <c r="L143" s="41"/>
    </row>
    <row r="144" spans="2:17" hidden="1" x14ac:dyDescent="0.3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hidden="1" x14ac:dyDescent="0.3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hidden="1" x14ac:dyDescent="0.3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hidden="1" x14ac:dyDescent="0.3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hidden="1" x14ac:dyDescent="0.3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hidden="1" x14ac:dyDescent="0.3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hidden="1" x14ac:dyDescent="0.3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hidden="1" x14ac:dyDescent="0.3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idden="1" x14ac:dyDescent="0.35">
      <c r="D152" s="32"/>
      <c r="E152" s="32"/>
      <c r="F152" s="32"/>
      <c r="G152" s="32"/>
      <c r="H152" s="32"/>
    </row>
    <row r="153" spans="2:12" hidden="1" x14ac:dyDescent="0.35">
      <c r="D153" s="32"/>
      <c r="E153" s="32"/>
      <c r="F153" s="32"/>
      <c r="G153" s="32"/>
      <c r="H153" s="32"/>
    </row>
    <row r="154" spans="2:12" hidden="1" x14ac:dyDescent="0.35">
      <c r="D154" s="32"/>
      <c r="E154" s="32"/>
      <c r="F154" s="32"/>
      <c r="G154" s="32"/>
      <c r="H154" s="32"/>
    </row>
    <row r="155" spans="2:12" hidden="1" x14ac:dyDescent="0.35">
      <c r="D155" s="32"/>
      <c r="E155" s="32"/>
      <c r="F155" s="32"/>
      <c r="G155" s="32"/>
      <c r="H155" s="32"/>
    </row>
    <row r="156" spans="2:12" hidden="1" x14ac:dyDescent="0.35">
      <c r="D156" s="32"/>
      <c r="E156" s="32"/>
      <c r="F156" s="32"/>
      <c r="G156" s="32"/>
      <c r="H156" s="32"/>
    </row>
    <row r="157" spans="2:12" hidden="1" x14ac:dyDescent="0.35">
      <c r="D157" s="32"/>
      <c r="E157" s="32"/>
      <c r="F157" s="32"/>
      <c r="G157" s="32"/>
      <c r="H157" s="32"/>
    </row>
    <row r="158" spans="2:12" hidden="1" x14ac:dyDescent="0.35">
      <c r="D158" s="32"/>
      <c r="E158" s="32"/>
      <c r="F158" s="32"/>
      <c r="G158" s="32"/>
      <c r="H158" s="32"/>
    </row>
    <row r="159" spans="2:12" hidden="1" x14ac:dyDescent="0.35">
      <c r="D159" s="32"/>
      <c r="E159" s="32"/>
      <c r="F159" s="32"/>
      <c r="G159" s="32"/>
      <c r="H159" s="32"/>
    </row>
    <row r="160" spans="2:12" hidden="1" x14ac:dyDescent="0.35">
      <c r="D160" s="32"/>
      <c r="E160" s="32"/>
      <c r="F160" s="32"/>
      <c r="G160" s="32"/>
      <c r="H160" s="32"/>
    </row>
    <row r="161" spans="4:8" hidden="1" x14ac:dyDescent="0.35">
      <c r="D161" s="32"/>
      <c r="E161" s="32"/>
      <c r="F161" s="32"/>
      <c r="G161" s="32"/>
      <c r="H161" s="32"/>
    </row>
    <row r="162" spans="4:8" hidden="1" x14ac:dyDescent="0.35">
      <c r="D162" s="32"/>
      <c r="E162" s="32"/>
      <c r="F162" s="32"/>
      <c r="G162" s="32"/>
      <c r="H162" s="32"/>
    </row>
  </sheetData>
  <autoFilter ref="L1:L162" xr:uid="{3C47631F-A4FA-44D7-ADD8-57CE043BB388}">
    <filterColumn colId="0">
      <customFilters>
        <customFilter operator="notEqual" val=" "/>
      </customFilters>
    </filterColumn>
  </autoFilter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2025-01-26T04:30:35Z</cp:lastPrinted>
  <dcterms:created xsi:type="dcterms:W3CDTF">2024-04-30T05:21:27Z</dcterms:created>
  <dcterms:modified xsi:type="dcterms:W3CDTF">2025-01-26T04:30:37Z</dcterms:modified>
</cp:coreProperties>
</file>