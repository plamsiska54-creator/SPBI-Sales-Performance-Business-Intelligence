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FA385246-2508-4D09-BEC4-5E800936592B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8" i="5" l="1"/>
  <c r="L139" i="6" l="1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L137" i="5" s="1"/>
  <c r="O137" i="5" s="1"/>
  <c r="G137" i="5"/>
  <c r="H137" i="5"/>
  <c r="I137" i="5"/>
  <c r="J137" i="5"/>
  <c r="K137" i="5"/>
  <c r="D138" i="5"/>
  <c r="L138" i="5" s="1"/>
  <c r="O138" i="5" s="1"/>
  <c r="E138" i="5"/>
  <c r="F138" i="5"/>
  <c r="G138" i="5"/>
  <c r="H138" i="5"/>
  <c r="I138" i="5"/>
  <c r="J138" i="5"/>
  <c r="K138" i="5"/>
  <c r="D139" i="5"/>
  <c r="L139" i="5" s="1"/>
  <c r="O139" i="5" s="1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O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L135" i="5" s="1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K140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6" i="5" l="1"/>
  <c r="O136" i="5" s="1"/>
  <c r="L112" i="6"/>
  <c r="L112" i="3"/>
  <c r="L130" i="5"/>
  <c r="O130" i="5" s="1"/>
  <c r="L129" i="5"/>
  <c r="O129" i="5" s="1"/>
  <c r="L90" i="5"/>
  <c r="O90" i="5" s="1"/>
  <c r="L93" i="5"/>
  <c r="O93" i="5" s="1"/>
  <c r="L95" i="5"/>
  <c r="O95" i="5" s="1"/>
  <c r="L127" i="5"/>
  <c r="O127" i="5" s="1"/>
  <c r="L118" i="5"/>
  <c r="O118" i="5" s="1"/>
  <c r="L131" i="5"/>
  <c r="O131" i="5" s="1"/>
  <c r="L133" i="5"/>
  <c r="O133" i="5" s="1"/>
  <c r="L126" i="5"/>
  <c r="O126" i="5" s="1"/>
  <c r="O135" i="5"/>
  <c r="L119" i="5"/>
  <c r="O119" i="5" s="1"/>
  <c r="L124" i="5"/>
  <c r="O124" i="5" s="1"/>
  <c r="L117" i="5"/>
  <c r="O117" i="5" s="1"/>
  <c r="L94" i="5"/>
  <c r="O94" i="5" s="1"/>
  <c r="L128" i="5"/>
  <c r="O128" i="5" s="1"/>
  <c r="L96" i="5"/>
  <c r="O96" i="5" s="1"/>
  <c r="L125" i="5"/>
  <c r="O125" i="5" s="1"/>
  <c r="L121" i="5"/>
  <c r="O121" i="5" s="1"/>
  <c r="L134" i="5"/>
  <c r="O134" i="5" s="1"/>
  <c r="L120" i="5"/>
  <c r="O120" i="5" s="1"/>
  <c r="L87" i="5"/>
  <c r="O87" i="5" s="1"/>
  <c r="L115" i="5"/>
  <c r="O115" i="5" s="1"/>
  <c r="L92" i="5"/>
  <c r="O92" i="5" s="1"/>
  <c r="L98" i="5"/>
  <c r="O98" i="5" s="1"/>
  <c r="L97" i="5"/>
  <c r="O97" i="5" s="1"/>
  <c r="L91" i="5"/>
  <c r="O91" i="5" s="1"/>
  <c r="L123" i="5"/>
  <c r="O123" i="5" s="1"/>
  <c r="L132" i="5"/>
  <c r="O132" i="5" s="1"/>
  <c r="L122" i="5"/>
  <c r="O122" i="5" s="1"/>
  <c r="L116" i="5"/>
  <c r="O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40" i="5" s="1"/>
  <c r="E99" i="5"/>
  <c r="F99" i="5"/>
  <c r="G99" i="5"/>
  <c r="H99" i="5"/>
  <c r="I99" i="5"/>
  <c r="I140" i="5" s="1"/>
  <c r="J99" i="5"/>
  <c r="J140" i="5" s="1"/>
  <c r="D66" i="5"/>
  <c r="E66" i="5"/>
  <c r="E140" i="5" s="1"/>
  <c r="F66" i="5"/>
  <c r="F140" i="5" s="1"/>
  <c r="G66" i="5"/>
  <c r="G140" i="5" s="1"/>
  <c r="H66" i="5"/>
  <c r="H140" i="5" s="1"/>
  <c r="I66" i="5"/>
  <c r="J66" i="5"/>
  <c r="L102" i="5" l="1"/>
  <c r="O102" i="5" s="1"/>
  <c r="O114" i="5"/>
  <c r="L79" i="5"/>
  <c r="O79" i="5" s="1"/>
  <c r="L70" i="5"/>
  <c r="O70" i="5" s="1"/>
  <c r="L75" i="5"/>
  <c r="O75" i="5" s="1"/>
  <c r="L73" i="5"/>
  <c r="O73" i="5" s="1"/>
  <c r="L27" i="5"/>
  <c r="O27" i="5" s="1"/>
  <c r="L109" i="5"/>
  <c r="O109" i="5" s="1"/>
  <c r="L72" i="5"/>
  <c r="O72" i="5" s="1"/>
  <c r="L11" i="5"/>
  <c r="O11" i="5" s="1"/>
  <c r="L76" i="5"/>
  <c r="O76" i="5" s="1"/>
  <c r="L59" i="5"/>
  <c r="O59" i="5" s="1"/>
  <c r="L43" i="5"/>
  <c r="O43" i="5" s="1"/>
  <c r="L7" i="5"/>
  <c r="O7" i="5" s="1"/>
  <c r="L111" i="5"/>
  <c r="O111" i="5" s="1"/>
  <c r="L54" i="5"/>
  <c r="O54" i="5" s="1"/>
  <c r="L38" i="5"/>
  <c r="O38" i="5" s="1"/>
  <c r="L71" i="5"/>
  <c r="O71" i="5" s="1"/>
  <c r="L47" i="5"/>
  <c r="O47" i="5" s="1"/>
  <c r="L15" i="5"/>
  <c r="O15" i="5" s="1"/>
  <c r="L8" i="5"/>
  <c r="L49" i="5"/>
  <c r="O49" i="5" s="1"/>
  <c r="L33" i="5"/>
  <c r="O33" i="5" s="1"/>
  <c r="L17" i="5"/>
  <c r="O17" i="5" s="1"/>
  <c r="L81" i="5"/>
  <c r="O81" i="5" s="1"/>
  <c r="L58" i="5"/>
  <c r="O58" i="5" s="1"/>
  <c r="L42" i="5"/>
  <c r="O42" i="5" s="1"/>
  <c r="L26" i="5"/>
  <c r="O26" i="5" s="1"/>
  <c r="L10" i="5"/>
  <c r="O10" i="5" s="1"/>
  <c r="L69" i="5"/>
  <c r="O69" i="5" s="1"/>
  <c r="L108" i="5"/>
  <c r="O108" i="5" s="1"/>
  <c r="L20" i="5"/>
  <c r="O20" i="5" s="1"/>
  <c r="L52" i="5"/>
  <c r="O52" i="5" s="1"/>
  <c r="L61" i="5"/>
  <c r="O61" i="5" s="1"/>
  <c r="L28" i="5"/>
  <c r="O28" i="5" s="1"/>
  <c r="L12" i="5"/>
  <c r="O12" i="5" s="1"/>
  <c r="L110" i="5"/>
  <c r="O110" i="5" s="1"/>
  <c r="L53" i="5"/>
  <c r="O53" i="5" s="1"/>
  <c r="L37" i="5"/>
  <c r="O37" i="5" s="1"/>
  <c r="L21" i="5"/>
  <c r="O21" i="5" s="1"/>
  <c r="L85" i="5"/>
  <c r="O85" i="5" s="1"/>
  <c r="L103" i="5"/>
  <c r="O103" i="5" s="1"/>
  <c r="L84" i="5"/>
  <c r="O84" i="5" s="1"/>
  <c r="L29" i="5"/>
  <c r="O29" i="5" s="1"/>
  <c r="L105" i="5"/>
  <c r="O105" i="5" s="1"/>
  <c r="L31" i="5"/>
  <c r="O31" i="5" s="1"/>
  <c r="L56" i="5"/>
  <c r="O56" i="5" s="1"/>
  <c r="L106" i="5"/>
  <c r="O106" i="5" s="1"/>
  <c r="L51" i="5"/>
  <c r="O51" i="5" s="1"/>
  <c r="L19" i="5"/>
  <c r="O19" i="5" s="1"/>
  <c r="L83" i="5"/>
  <c r="O83" i="5" s="1"/>
  <c r="L46" i="5"/>
  <c r="O46" i="5" s="1"/>
  <c r="L30" i="5"/>
  <c r="O30" i="5" s="1"/>
  <c r="L55" i="5"/>
  <c r="O55" i="5" s="1"/>
  <c r="L39" i="5"/>
  <c r="O39" i="5" s="1"/>
  <c r="L64" i="5"/>
  <c r="O64" i="5" s="1"/>
  <c r="L48" i="5"/>
  <c r="O48" i="5" s="1"/>
  <c r="L32" i="5"/>
  <c r="O32" i="5" s="1"/>
  <c r="L16" i="5"/>
  <c r="O16" i="5" s="1"/>
  <c r="L74" i="5"/>
  <c r="O74" i="5" s="1"/>
  <c r="L80" i="5"/>
  <c r="O80" i="5" s="1"/>
  <c r="L13" i="5"/>
  <c r="O13" i="5" s="1"/>
  <c r="L86" i="5"/>
  <c r="O86" i="5" s="1"/>
  <c r="L40" i="5"/>
  <c r="O40" i="5" s="1"/>
  <c r="L24" i="5"/>
  <c r="O24" i="5" s="1"/>
  <c r="L65" i="5"/>
  <c r="O65" i="5" s="1"/>
  <c r="L60" i="5"/>
  <c r="O60" i="5" s="1"/>
  <c r="L14" i="5"/>
  <c r="O14" i="5" s="1"/>
  <c r="L57" i="5"/>
  <c r="O57" i="5" s="1"/>
  <c r="L41" i="5"/>
  <c r="O41" i="5" s="1"/>
  <c r="L25" i="5"/>
  <c r="O25" i="5" s="1"/>
  <c r="L9" i="5"/>
  <c r="O9" i="5" s="1"/>
  <c r="L107" i="5"/>
  <c r="O107" i="5" s="1"/>
  <c r="L36" i="5"/>
  <c r="O36" i="5" s="1"/>
  <c r="L45" i="5"/>
  <c r="O45" i="5" s="1"/>
  <c r="L22" i="5"/>
  <c r="O22" i="5" s="1"/>
  <c r="L104" i="5"/>
  <c r="O104" i="5" s="1"/>
  <c r="L63" i="5"/>
  <c r="O63" i="5" s="1"/>
  <c r="L99" i="5"/>
  <c r="L35" i="5"/>
  <c r="O35" i="5" s="1"/>
  <c r="L44" i="5"/>
  <c r="O44" i="5" s="1"/>
  <c r="L62" i="5"/>
  <c r="O62" i="5" s="1"/>
  <c r="L23" i="5"/>
  <c r="O23" i="5" s="1"/>
  <c r="L66" i="5"/>
  <c r="O66" i="5" s="1"/>
  <c r="L50" i="5"/>
  <c r="O50" i="5" s="1"/>
  <c r="L34" i="5"/>
  <c r="O34" i="5" s="1"/>
  <c r="L18" i="5"/>
  <c r="O18" i="5" s="1"/>
  <c r="L82" i="5"/>
  <c r="O82" i="5" s="1"/>
  <c r="O8" i="5" l="1"/>
  <c r="L140" i="5"/>
  <c r="L88" i="5"/>
  <c r="O88" i="5" s="1"/>
  <c r="L67" i="5"/>
  <c r="M140" i="5" l="1"/>
  <c r="N140" i="5"/>
  <c r="L100" i="5" l="1"/>
  <c r="O140" i="5"/>
  <c r="L100" i="4" l="1"/>
  <c r="L112" i="4" l="1"/>
</calcChain>
</file>

<file path=xl/sharedStrings.xml><?xml version="1.0" encoding="utf-8"?>
<sst xmlns="http://schemas.openxmlformats.org/spreadsheetml/2006/main" count="611" uniqueCount="143">
  <si>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</si>
  <si>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</si>
  <si>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</si>
  <si>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</si>
  <si>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</si>
  <si>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</si>
  <si>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</si>
  <si>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</si>
  <si>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</si>
  <si>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</si>
  <si>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</si>
  <si>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</si>
  <si>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</si>
  <si>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</si>
  <si>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</si>
  <si>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</si>
  <si>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</si>
  <si>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</si>
  <si>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</si>
  <si>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</si>
  <si>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</si>
  <si>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</si>
  <si>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</si>
  <si>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</si>
  <si>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</si>
  <si>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</si>
  <si>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</si>
  <si>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</si>
  <si>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</si>
  <si>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</si>
  <si>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</si>
  <si>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</si>
  <si>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</si>
  <si>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</si>
  <si>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</si>
  <si>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</si>
  <si>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</si>
  <si>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</si>
  <si>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</si>
  <si>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</si>
  <si>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</si>
  <si>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</si>
  <si>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</si>
  <si>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</si>
  <si>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</si>
  <si>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</si>
  <si>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</si>
  <si>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</si>
  <si>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</si>
  <si>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</si>
  <si>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</si>
  <si>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</si>
  <si>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</si>
  <si>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</si>
  <si>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</si>
  <si>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</si>
  <si>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</si>
  <si>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</si>
  <si>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</si>
  <si>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</si>
  <si>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</si>
  <si>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</si>
  <si>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</si>
  <si>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</si>
  <si>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</si>
  <si>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</si>
  <si>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</si>
  <si>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</si>
  <si>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</si>
  <si>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</si>
  <si>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</si>
  <si>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</si>
  <si>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</si>
  <si>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</si>
  <si>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</si>
  <si>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</si>
  <si>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</si>
  <si>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</si>
  <si>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</si>
  <si>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</si>
  <si>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</si>
  <si>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</si>
  <si>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</si>
  <si>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</si>
  <si>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</si>
  <si>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</si>
  <si>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</si>
  <si>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</si>
  <si>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</si>
  <si>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</si>
  <si>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</si>
  <si>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</si>
  <si>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</si>
  <si>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</si>
  <si>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</si>
  <si>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</si>
  <si>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</si>
  <si>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</si>
  <si>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</si>
  <si>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</si>
  <si>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</si>
  <si>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</si>
  <si>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</si>
  <si>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</si>
  <si>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</si>
  <si>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</si>
  <si>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</si>
  <si>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</si>
  <si>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</si>
  <si>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</si>
  <si>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</si>
  <si>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</si>
  <si>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</si>
  <si>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</si>
  <si>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</si>
  <si>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</si>
  <si>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</si>
  <si>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</si>
  <si>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</si>
  <si>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</si>
  <si>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</si>
  <si>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</si>
  <si>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</si>
  <si>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</si>
  <si>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</si>
  <si>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</si>
  <si>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</si>
  <si>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</si>
  <si>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</si>
  <si>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</si>
  <si>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</si>
  <si>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</si>
  <si>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</si>
  <si>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</si>
  <si>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</si>
  <si>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</si>
  <si>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</si>
  <si>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</si>
  <si>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</si>
  <si>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</si>
  <si>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</si>
  <si>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4/1/2568 - เย็น</t>
  </si>
  <si>
    <t>ยอดจริง ออนไลน์ วันที่ 4/1/68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</si>
</sst>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12" zoomScale="60" zoomScaleNormal="60" workbookViewId="0">
      <selection activeCell="E137" sqref="E13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9" t="s">
        <v>141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/>
      <c r="E7" s="31">
        <v>130</v>
      </c>
      <c r="F7" s="31">
        <v>38</v>
      </c>
      <c r="G7" s="31">
        <v>4</v>
      </c>
      <c r="H7" s="31"/>
      <c r="I7" s="31"/>
      <c r="J7" s="44"/>
      <c r="K7" s="44"/>
      <c r="L7" s="37">
        <f>SUM(D7:K7)</f>
        <v>172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23</v>
      </c>
      <c r="F25" s="31">
        <v>9</v>
      </c>
      <c r="G25" s="31"/>
      <c r="H25" s="31">
        <v>3</v>
      </c>
      <c r="I25" s="31"/>
      <c r="J25" s="44"/>
      <c r="K25" s="44"/>
      <c r="L25" s="37">
        <f t="shared" si="0"/>
        <v>35</v>
      </c>
    </row>
    <row r="26" spans="2:12" x14ac:dyDescent="0.25">
      <c r="B26" s="11">
        <v>1004055</v>
      </c>
      <c r="C26" s="15" t="s">
        <v>108</v>
      </c>
      <c r="D26" s="31"/>
      <c r="E26" s="31">
        <v>32</v>
      </c>
      <c r="F26" s="31"/>
      <c r="G26" s="31">
        <v>212</v>
      </c>
      <c r="H26" s="31">
        <v>264</v>
      </c>
      <c r="I26" s="31"/>
      <c r="J26" s="44"/>
      <c r="K26" s="44"/>
      <c r="L26" s="37">
        <f t="shared" si="0"/>
        <v>508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>
        <v>22</v>
      </c>
      <c r="G40" s="31"/>
      <c r="H40" s="31">
        <v>4</v>
      </c>
      <c r="I40" s="31"/>
      <c r="J40" s="44"/>
      <c r="K40" s="44"/>
      <c r="L40" s="37">
        <f t="shared" si="0"/>
        <v>26</v>
      </c>
    </row>
    <row r="41" spans="2:12" x14ac:dyDescent="0.25">
      <c r="B41" s="11">
        <v>1111058</v>
      </c>
      <c r="C41" s="15" t="s">
        <v>31</v>
      </c>
      <c r="D41" s="31"/>
      <c r="E41" s="31"/>
      <c r="F41" s="31">
        <v>12</v>
      </c>
      <c r="G41" s="31"/>
      <c r="H41" s="31">
        <v>4</v>
      </c>
      <c r="I41" s="31"/>
      <c r="J41" s="44"/>
      <c r="K41" s="44"/>
      <c r="L41" s="37">
        <f t="shared" si="0"/>
        <v>16</v>
      </c>
    </row>
    <row r="42" spans="2:12" x14ac:dyDescent="0.25">
      <c r="B42" s="11">
        <v>1111059</v>
      </c>
      <c r="C42" s="15" t="s">
        <v>32</v>
      </c>
      <c r="D42" s="31"/>
      <c r="E42" s="31"/>
      <c r="F42" s="31">
        <v>22</v>
      </c>
      <c r="G42" s="31"/>
      <c r="H42" s="31">
        <v>4</v>
      </c>
      <c r="I42" s="31"/>
      <c r="J42" s="44"/>
      <c r="K42" s="44"/>
      <c r="L42" s="37">
        <f t="shared" si="0"/>
        <v>26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>
        <v>12</v>
      </c>
      <c r="G44" s="31"/>
      <c r="H44" s="31">
        <v>4</v>
      </c>
      <c r="I44" s="31"/>
      <c r="J44" s="44"/>
      <c r="K44" s="44"/>
      <c r="L44" s="37">
        <f t="shared" si="0"/>
        <v>16</v>
      </c>
    </row>
    <row r="45" spans="2:12" x14ac:dyDescent="0.25">
      <c r="B45" s="11">
        <v>1111062</v>
      </c>
      <c r="C45" s="15" t="s">
        <v>35</v>
      </c>
      <c r="D45" s="31"/>
      <c r="E45" s="31"/>
      <c r="F45" s="31">
        <v>20</v>
      </c>
      <c r="G45" s="31"/>
      <c r="H45" s="31"/>
      <c r="I45" s="31"/>
      <c r="J45" s="44"/>
      <c r="K45" s="44"/>
      <c r="L45" s="37">
        <f t="shared" si="0"/>
        <v>20</v>
      </c>
    </row>
    <row r="46" spans="2:12" x14ac:dyDescent="0.25">
      <c r="B46" s="11">
        <v>1111063</v>
      </c>
      <c r="C46" s="15" t="s">
        <v>36</v>
      </c>
      <c r="D46" s="31"/>
      <c r="E46" s="31"/>
      <c r="F46" s="31">
        <v>22</v>
      </c>
      <c r="G46" s="31"/>
      <c r="H46" s="31">
        <v>4</v>
      </c>
      <c r="I46" s="31"/>
      <c r="J46" s="44"/>
      <c r="K46" s="44"/>
      <c r="L46" s="37">
        <f t="shared" si="0"/>
        <v>26</v>
      </c>
    </row>
    <row r="47" spans="2:12" x14ac:dyDescent="0.25">
      <c r="B47" s="11">
        <v>1111064</v>
      </c>
      <c r="C47" s="15" t="s">
        <v>37</v>
      </c>
      <c r="D47" s="31"/>
      <c r="E47" s="31"/>
      <c r="F47" s="31">
        <v>22</v>
      </c>
      <c r="G47" s="31"/>
      <c r="H47" s="31">
        <v>4</v>
      </c>
      <c r="I47" s="31"/>
      <c r="J47" s="44"/>
      <c r="K47" s="44"/>
      <c r="L47" s="37">
        <f t="shared" si="0"/>
        <v>26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>
        <v>22</v>
      </c>
      <c r="G49" s="31"/>
      <c r="H49" s="31">
        <v>4</v>
      </c>
      <c r="I49" s="31"/>
      <c r="J49" s="44"/>
      <c r="K49" s="44"/>
      <c r="L49" s="37">
        <f t="shared" si="0"/>
        <v>26</v>
      </c>
    </row>
    <row r="50" spans="2:12" x14ac:dyDescent="0.25">
      <c r="B50" s="11">
        <v>1111067</v>
      </c>
      <c r="C50" s="15" t="s">
        <v>40</v>
      </c>
      <c r="D50" s="31"/>
      <c r="E50" s="31"/>
      <c r="F50" s="31">
        <v>22</v>
      </c>
      <c r="G50" s="31"/>
      <c r="H50" s="31">
        <v>4</v>
      </c>
      <c r="I50" s="31"/>
      <c r="J50" s="44"/>
      <c r="K50" s="44"/>
      <c r="L50" s="37">
        <f t="shared" si="0"/>
        <v>26</v>
      </c>
    </row>
    <row r="51" spans="2:12" x14ac:dyDescent="0.25">
      <c r="B51" s="11">
        <v>1111068</v>
      </c>
      <c r="C51" s="15" t="s">
        <v>41</v>
      </c>
      <c r="D51" s="31"/>
      <c r="E51" s="31"/>
      <c r="F51" s="31">
        <v>22</v>
      </c>
      <c r="G51" s="31"/>
      <c r="H51" s="31">
        <v>4</v>
      </c>
      <c r="I51" s="31"/>
      <c r="J51" s="44"/>
      <c r="K51" s="44"/>
      <c r="L51" s="37">
        <f t="shared" si="0"/>
        <v>26</v>
      </c>
    </row>
    <row r="52" spans="2:12" x14ac:dyDescent="0.25">
      <c r="B52" s="11">
        <v>1111069</v>
      </c>
      <c r="C52" s="15" t="s">
        <v>42</v>
      </c>
      <c r="D52" s="31"/>
      <c r="E52" s="31"/>
      <c r="F52" s="31">
        <v>22</v>
      </c>
      <c r="G52" s="31"/>
      <c r="H52" s="31">
        <v>4</v>
      </c>
      <c r="I52" s="31"/>
      <c r="J52" s="44"/>
      <c r="K52" s="44"/>
      <c r="L52" s="37">
        <f t="shared" si="0"/>
        <v>26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1</v>
      </c>
      <c r="F56" s="31">
        <v>1</v>
      </c>
      <c r="G56" s="31"/>
      <c r="H56" s="31">
        <v>6</v>
      </c>
      <c r="I56" s="31"/>
      <c r="J56" s="44"/>
      <c r="K56" s="44"/>
      <c r="L56" s="37">
        <f t="shared" si="0"/>
        <v>8</v>
      </c>
    </row>
    <row r="57" spans="2:12" x14ac:dyDescent="0.25">
      <c r="B57" s="11">
        <v>1111075</v>
      </c>
      <c r="C57" s="15" t="s">
        <v>45</v>
      </c>
      <c r="D57" s="31"/>
      <c r="E57" s="31">
        <v>1</v>
      </c>
      <c r="F57" s="31">
        <v>1</v>
      </c>
      <c r="G57" s="31"/>
      <c r="H57" s="31">
        <v>6</v>
      </c>
      <c r="I57" s="31"/>
      <c r="J57" s="44"/>
      <c r="K57" s="44"/>
      <c r="L57" s="37">
        <f t="shared" si="0"/>
        <v>8</v>
      </c>
    </row>
    <row r="58" spans="2:12" x14ac:dyDescent="0.25">
      <c r="B58" s="11">
        <v>1111076</v>
      </c>
      <c r="C58" s="15" t="s">
        <v>46</v>
      </c>
      <c r="D58" s="31"/>
      <c r="E58" s="31">
        <v>1</v>
      </c>
      <c r="F58" s="31">
        <v>1</v>
      </c>
      <c r="G58" s="31"/>
      <c r="H58" s="31">
        <v>5</v>
      </c>
      <c r="I58" s="31"/>
      <c r="J58" s="44"/>
      <c r="K58" s="44"/>
      <c r="L58" s="37">
        <f t="shared" si="0"/>
        <v>7</v>
      </c>
    </row>
    <row r="59" spans="2:12" x14ac:dyDescent="0.25">
      <c r="B59" s="11">
        <v>1111077</v>
      </c>
      <c r="C59" s="15" t="s">
        <v>47</v>
      </c>
      <c r="D59" s="31"/>
      <c r="E59" s="31">
        <v>1</v>
      </c>
      <c r="F59" s="31">
        <v>1</v>
      </c>
      <c r="G59" s="31"/>
      <c r="H59" s="31">
        <v>5</v>
      </c>
      <c r="I59" s="31"/>
      <c r="J59" s="44"/>
      <c r="K59" s="44"/>
      <c r="L59" s="37">
        <f t="shared" si="0"/>
        <v>7</v>
      </c>
    </row>
    <row r="60" spans="2:12" x14ac:dyDescent="0.25">
      <c r="B60" s="11">
        <v>1111078</v>
      </c>
      <c r="C60" s="15" t="s">
        <v>48</v>
      </c>
      <c r="D60" s="31"/>
      <c r="E60" s="31">
        <v>1</v>
      </c>
      <c r="F60" s="31">
        <v>1</v>
      </c>
      <c r="G60" s="31"/>
      <c r="H60" s="31">
        <v>5</v>
      </c>
      <c r="I60" s="31"/>
      <c r="J60" s="44"/>
      <c r="K60" s="44"/>
      <c r="L60" s="37">
        <f t="shared" si="0"/>
        <v>7</v>
      </c>
    </row>
    <row r="61" spans="2:12" x14ac:dyDescent="0.25">
      <c r="B61" s="11">
        <v>1111079</v>
      </c>
      <c r="C61" s="15" t="s">
        <v>49</v>
      </c>
      <c r="D61" s="31"/>
      <c r="E61" s="31">
        <v>1</v>
      </c>
      <c r="F61" s="31">
        <v>1</v>
      </c>
      <c r="G61" s="31"/>
      <c r="H61" s="31">
        <v>5</v>
      </c>
      <c r="I61" s="31"/>
      <c r="J61" s="44"/>
      <c r="K61" s="44"/>
      <c r="L61" s="37">
        <f t="shared" si="0"/>
        <v>7</v>
      </c>
    </row>
    <row r="62" spans="2:12" x14ac:dyDescent="0.25">
      <c r="B62" s="11">
        <v>1111080</v>
      </c>
      <c r="C62" s="15" t="s">
        <v>50</v>
      </c>
      <c r="D62" s="31"/>
      <c r="E62" s="31">
        <v>1</v>
      </c>
      <c r="F62" s="31">
        <v>1</v>
      </c>
      <c r="G62" s="31"/>
      <c r="H62" s="31">
        <v>5</v>
      </c>
      <c r="I62" s="31"/>
      <c r="J62" s="44"/>
      <c r="K62" s="44"/>
      <c r="L62" s="37">
        <f t="shared" si="0"/>
        <v>7</v>
      </c>
    </row>
    <row r="63" spans="2:12" x14ac:dyDescent="0.25">
      <c r="B63" s="11">
        <v>1111081</v>
      </c>
      <c r="C63" s="15" t="s">
        <v>51</v>
      </c>
      <c r="D63" s="31"/>
      <c r="E63" s="31">
        <v>1</v>
      </c>
      <c r="F63" s="31">
        <v>1</v>
      </c>
      <c r="G63" s="31"/>
      <c r="H63" s="31">
        <v>5</v>
      </c>
      <c r="I63" s="31"/>
      <c r="J63" s="44"/>
      <c r="K63" s="44"/>
      <c r="L63" s="37">
        <f t="shared" si="0"/>
        <v>7</v>
      </c>
    </row>
    <row r="64" spans="2:12" x14ac:dyDescent="0.25">
      <c r="B64" s="11">
        <v>1111082</v>
      </c>
      <c r="C64" s="15" t="s">
        <v>52</v>
      </c>
      <c r="D64" s="31"/>
      <c r="E64" s="31">
        <v>1</v>
      </c>
      <c r="F64" s="31">
        <v>1</v>
      </c>
      <c r="G64" s="31"/>
      <c r="H64" s="31">
        <v>5</v>
      </c>
      <c r="I64" s="31"/>
      <c r="J64" s="44"/>
      <c r="K64" s="44"/>
      <c r="L64" s="37">
        <f t="shared" si="0"/>
        <v>7</v>
      </c>
    </row>
    <row r="65" spans="2:12" x14ac:dyDescent="0.25">
      <c r="B65" s="11">
        <v>1111083</v>
      </c>
      <c r="C65" s="15" t="s">
        <v>53</v>
      </c>
      <c r="D65" s="31"/>
      <c r="E65" s="31">
        <v>1</v>
      </c>
      <c r="F65" s="31">
        <v>1</v>
      </c>
      <c r="G65" s="31"/>
      <c r="H65" s="31">
        <v>5</v>
      </c>
      <c r="I65" s="31"/>
      <c r="J65" s="44"/>
      <c r="K65" s="44"/>
      <c r="L65" s="37">
        <f t="shared" si="0"/>
        <v>7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/>
      <c r="E69" s="31">
        <v>3</v>
      </c>
      <c r="F69" s="31">
        <v>5</v>
      </c>
      <c r="G69" s="31">
        <v>14</v>
      </c>
      <c r="H69" s="31">
        <v>2</v>
      </c>
      <c r="I69" s="31"/>
      <c r="J69" s="44"/>
      <c r="K69" s="44"/>
      <c r="L69" s="37">
        <f t="shared" ref="L69:L76" si="1">SUM(D69:K69)</f>
        <v>24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15</v>
      </c>
      <c r="F87" s="31">
        <v>3</v>
      </c>
      <c r="G87" s="31">
        <v>241</v>
      </c>
      <c r="H87" s="31">
        <v>209</v>
      </c>
      <c r="I87" s="31"/>
      <c r="J87" s="44"/>
      <c r="K87" s="44"/>
      <c r="L87" s="37">
        <f t="shared" si="2"/>
        <v>468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/>
      <c r="E90" s="31">
        <v>53</v>
      </c>
      <c r="F90" s="31">
        <v>19</v>
      </c>
      <c r="G90" s="31">
        <v>96</v>
      </c>
      <c r="H90" s="31">
        <v>97</v>
      </c>
      <c r="I90" s="31"/>
      <c r="J90" s="44"/>
      <c r="K90" s="44"/>
      <c r="L90" s="37">
        <f t="shared" ref="L90:L99" si="3">SUM(D90:K90)</f>
        <v>265</v>
      </c>
    </row>
    <row r="91" spans="2:12" x14ac:dyDescent="0.25">
      <c r="B91" s="11">
        <v>1112011</v>
      </c>
      <c r="C91" s="20" t="s">
        <v>76</v>
      </c>
      <c r="D91" s="31"/>
      <c r="E91" s="31">
        <v>55</v>
      </c>
      <c r="F91" s="31">
        <v>29</v>
      </c>
      <c r="G91" s="31">
        <v>96</v>
      </c>
      <c r="H91" s="31">
        <v>97</v>
      </c>
      <c r="I91" s="31"/>
      <c r="J91" s="44"/>
      <c r="K91" s="44"/>
      <c r="L91" s="37">
        <f t="shared" si="3"/>
        <v>277</v>
      </c>
    </row>
    <row r="92" spans="2:12" x14ac:dyDescent="0.25">
      <c r="B92" s="11">
        <v>1112003</v>
      </c>
      <c r="C92" s="20" t="s">
        <v>77</v>
      </c>
      <c r="D92" s="31"/>
      <c r="E92" s="31"/>
      <c r="F92" s="31">
        <v>2</v>
      </c>
      <c r="G92" s="31">
        <v>61</v>
      </c>
      <c r="H92" s="31">
        <v>78</v>
      </c>
      <c r="I92" s="31"/>
      <c r="J92" s="44"/>
      <c r="K92" s="44"/>
      <c r="L92" s="37">
        <f t="shared" si="3"/>
        <v>141</v>
      </c>
    </row>
    <row r="93" spans="2:12" x14ac:dyDescent="0.25">
      <c r="B93" s="11">
        <v>1112005</v>
      </c>
      <c r="C93" s="20" t="s">
        <v>78</v>
      </c>
      <c r="D93" s="31"/>
      <c r="E93" s="31"/>
      <c r="F93" s="31">
        <v>2</v>
      </c>
      <c r="G93" s="31">
        <v>31</v>
      </c>
      <c r="H93" s="31">
        <v>78</v>
      </c>
      <c r="I93" s="31"/>
      <c r="J93" s="44"/>
      <c r="K93" s="44"/>
      <c r="L93" s="37">
        <f t="shared" si="3"/>
        <v>111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>
        <v>59</v>
      </c>
      <c r="H96" s="31">
        <v>20</v>
      </c>
      <c r="I96" s="31"/>
      <c r="J96" s="44"/>
      <c r="K96" s="44"/>
      <c r="L96" s="37">
        <f t="shared" si="3"/>
        <v>79</v>
      </c>
    </row>
    <row r="97" spans="2:12" x14ac:dyDescent="0.25">
      <c r="B97" s="11">
        <v>1112015</v>
      </c>
      <c r="C97" s="20" t="s">
        <v>82</v>
      </c>
      <c r="D97" s="31"/>
      <c r="E97" s="31"/>
      <c r="F97" s="31">
        <v>2</v>
      </c>
      <c r="G97" s="31">
        <v>64</v>
      </c>
      <c r="H97" s="31">
        <v>78</v>
      </c>
      <c r="I97" s="31"/>
      <c r="J97" s="44"/>
      <c r="K97" s="44"/>
      <c r="L97" s="37">
        <f t="shared" si="3"/>
        <v>144</v>
      </c>
    </row>
    <row r="98" spans="2:12" x14ac:dyDescent="0.25">
      <c r="B98" s="11">
        <v>1112013</v>
      </c>
      <c r="C98" s="20" t="s">
        <v>83</v>
      </c>
      <c r="D98" s="31"/>
      <c r="E98" s="31">
        <v>54</v>
      </c>
      <c r="F98" s="31">
        <v>19</v>
      </c>
      <c r="G98" s="31">
        <v>96</v>
      </c>
      <c r="H98" s="31">
        <v>97</v>
      </c>
      <c r="I98" s="31"/>
      <c r="J98" s="44"/>
      <c r="K98" s="44"/>
      <c r="L98" s="37">
        <f t="shared" si="3"/>
        <v>266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4</v>
      </c>
      <c r="H114" s="31"/>
      <c r="I114" s="31"/>
      <c r="J114" s="44"/>
      <c r="K114" s="44"/>
      <c r="L114" s="37">
        <f t="shared" ref="L114:L139" si="6">SUM(D114:K114)</f>
        <v>4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6"/>
        <v>2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5</v>
      </c>
      <c r="F118" s="31"/>
      <c r="G118" s="31"/>
      <c r="H118" s="31"/>
      <c r="I118" s="31"/>
      <c r="J118" s="44"/>
      <c r="K118" s="44"/>
      <c r="L118" s="37">
        <f t="shared" si="6"/>
        <v>5</v>
      </c>
    </row>
    <row r="119" spans="2:12" x14ac:dyDescent="0.25">
      <c r="B119" s="11">
        <v>1100001</v>
      </c>
      <c r="C119" s="22" t="s">
        <v>122</v>
      </c>
      <c r="D119" s="31"/>
      <c r="E119" s="31">
        <v>5</v>
      </c>
      <c r="F119" s="31">
        <v>4</v>
      </c>
      <c r="G119" s="31"/>
      <c r="H119" s="31"/>
      <c r="I119" s="31"/>
      <c r="J119" s="44"/>
      <c r="K119" s="44"/>
      <c r="L119" s="37">
        <f t="shared" si="6"/>
        <v>9</v>
      </c>
    </row>
    <row r="120" spans="2:12" x14ac:dyDescent="0.25">
      <c r="B120" s="11">
        <v>1100002</v>
      </c>
      <c r="C120" s="22" t="s">
        <v>123</v>
      </c>
      <c r="D120" s="31"/>
      <c r="E120" s="31">
        <v>8</v>
      </c>
      <c r="F120" s="31"/>
      <c r="G120" s="31">
        <v>6</v>
      </c>
      <c r="H120" s="31"/>
      <c r="I120" s="31"/>
      <c r="J120" s="44"/>
      <c r="K120" s="44"/>
      <c r="L120" s="37">
        <f t="shared" si="6"/>
        <v>14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>
        <v>1</v>
      </c>
      <c r="G123" s="31">
        <v>74</v>
      </c>
      <c r="H123" s="31">
        <v>48</v>
      </c>
      <c r="I123" s="31"/>
      <c r="J123" s="44"/>
      <c r="K123" s="44"/>
      <c r="L123" s="37">
        <f t="shared" si="6"/>
        <v>123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>
        <v>1</v>
      </c>
      <c r="G124" s="31">
        <v>74</v>
      </c>
      <c r="H124" s="31">
        <v>48</v>
      </c>
      <c r="I124" s="31"/>
      <c r="J124" s="44"/>
      <c r="K124" s="44"/>
      <c r="L124" s="37">
        <f t="shared" si="6"/>
        <v>123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>
        <v>1</v>
      </c>
      <c r="G125" s="31">
        <v>74</v>
      </c>
      <c r="H125" s="31">
        <v>48</v>
      </c>
      <c r="I125" s="31"/>
      <c r="J125" s="44"/>
      <c r="K125" s="44"/>
      <c r="L125" s="37">
        <f t="shared" si="6"/>
        <v>123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>
        <v>3</v>
      </c>
      <c r="G126" s="31"/>
      <c r="H126" s="31"/>
      <c r="I126" s="31"/>
      <c r="J126" s="44"/>
      <c r="K126" s="44"/>
      <c r="L126" s="37">
        <f t="shared" si="6"/>
        <v>3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6</v>
      </c>
      <c r="F136" s="31"/>
      <c r="G136" s="31"/>
      <c r="H136" s="31"/>
      <c r="I136" s="31"/>
      <c r="J136" s="44"/>
      <c r="K136" s="44"/>
      <c r="L136" s="37">
        <f t="shared" si="6"/>
        <v>6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5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9" zoomScale="60" zoomScaleNormal="60" workbookViewId="0">
      <selection activeCell="G126" sqref="G12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>
        <v>11</v>
      </c>
      <c r="E7" s="31">
        <v>53</v>
      </c>
      <c r="F7" s="31">
        <v>14</v>
      </c>
      <c r="G7" s="31">
        <v>3</v>
      </c>
      <c r="H7" s="31"/>
      <c r="I7" s="31"/>
      <c r="J7" s="44"/>
      <c r="K7" s="44">
        <v>60</v>
      </c>
      <c r="L7" s="37">
        <f>SUM(D7:K7)</f>
        <v>141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7</v>
      </c>
      <c r="E25" s="31"/>
      <c r="F25" s="31">
        <v>1</v>
      </c>
      <c r="G25" s="31"/>
      <c r="H25" s="31"/>
      <c r="I25" s="31"/>
      <c r="J25" s="44"/>
      <c r="K25" s="44"/>
      <c r="L25" s="37">
        <f t="shared" si="0"/>
        <v>8</v>
      </c>
    </row>
    <row r="26" spans="2:12" x14ac:dyDescent="0.25">
      <c r="B26" s="11">
        <v>1004055</v>
      </c>
      <c r="C26" s="15" t="s">
        <v>108</v>
      </c>
      <c r="D26" s="31">
        <v>5</v>
      </c>
      <c r="E26" s="31">
        <v>20</v>
      </c>
      <c r="F26" s="31">
        <v>9</v>
      </c>
      <c r="G26" s="31">
        <v>189</v>
      </c>
      <c r="H26" s="31"/>
      <c r="I26" s="31"/>
      <c r="J26" s="44"/>
      <c r="K26" s="44">
        <v>50</v>
      </c>
      <c r="L26" s="37">
        <f t="shared" si="0"/>
        <v>273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>
        <v>3</v>
      </c>
      <c r="E69" s="31">
        <v>1</v>
      </c>
      <c r="F69" s="31">
        <v>1</v>
      </c>
      <c r="G69" s="31">
        <v>6</v>
      </c>
      <c r="H69" s="31"/>
      <c r="I69" s="31"/>
      <c r="J69" s="44"/>
      <c r="K69" s="44"/>
      <c r="L69" s="37">
        <f t="shared" ref="L69:L76" si="1">SUM(D69:K69)</f>
        <v>11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1</v>
      </c>
      <c r="F87" s="31"/>
      <c r="G87" s="31">
        <v>265</v>
      </c>
      <c r="H87" s="31"/>
      <c r="I87" s="31"/>
      <c r="J87" s="44"/>
      <c r="K87" s="44"/>
      <c r="L87" s="37">
        <f t="shared" si="2"/>
        <v>266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>
        <v>9</v>
      </c>
      <c r="E90" s="31">
        <v>2</v>
      </c>
      <c r="F90" s="31">
        <v>5</v>
      </c>
      <c r="G90" s="31">
        <v>27</v>
      </c>
      <c r="H90" s="31"/>
      <c r="I90" s="31"/>
      <c r="J90" s="44"/>
      <c r="K90" s="44"/>
      <c r="L90" s="37">
        <f t="shared" ref="L90:L99" si="3">SUM(D90:K90)</f>
        <v>43</v>
      </c>
    </row>
    <row r="91" spans="2:12" x14ac:dyDescent="0.25">
      <c r="B91" s="11">
        <v>1112011</v>
      </c>
      <c r="C91" s="20" t="s">
        <v>76</v>
      </c>
      <c r="D91" s="31">
        <v>9</v>
      </c>
      <c r="E91" s="31">
        <v>5</v>
      </c>
      <c r="F91" s="31">
        <v>5</v>
      </c>
      <c r="G91" s="31">
        <v>27</v>
      </c>
      <c r="H91" s="31"/>
      <c r="I91" s="31"/>
      <c r="J91" s="44"/>
      <c r="K91" s="44"/>
      <c r="L91" s="37">
        <f t="shared" si="3"/>
        <v>46</v>
      </c>
    </row>
    <row r="92" spans="2:12" x14ac:dyDescent="0.25">
      <c r="B92" s="11">
        <v>1112003</v>
      </c>
      <c r="C92" s="20" t="s">
        <v>77</v>
      </c>
      <c r="D92" s="31">
        <v>3</v>
      </c>
      <c r="E92" s="31"/>
      <c r="F92" s="31"/>
      <c r="G92" s="31">
        <v>24</v>
      </c>
      <c r="H92" s="31"/>
      <c r="I92" s="31"/>
      <c r="J92" s="44"/>
      <c r="K92" s="44"/>
      <c r="L92" s="37">
        <f t="shared" si="3"/>
        <v>27</v>
      </c>
    </row>
    <row r="93" spans="2:12" x14ac:dyDescent="0.25">
      <c r="B93" s="11">
        <v>1112005</v>
      </c>
      <c r="C93" s="20" t="s">
        <v>78</v>
      </c>
      <c r="D93" s="31">
        <v>3</v>
      </c>
      <c r="E93" s="31"/>
      <c r="F93" s="31"/>
      <c r="G93" s="31">
        <v>24</v>
      </c>
      <c r="H93" s="31"/>
      <c r="I93" s="31"/>
      <c r="J93" s="44"/>
      <c r="K93" s="44"/>
      <c r="L93" s="37">
        <f t="shared" si="3"/>
        <v>27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>
        <v>8</v>
      </c>
      <c r="H96" s="31"/>
      <c r="I96" s="31"/>
      <c r="J96" s="44"/>
      <c r="K96" s="44"/>
      <c r="L96" s="37">
        <f t="shared" si="3"/>
        <v>8</v>
      </c>
    </row>
    <row r="97" spans="2:12" x14ac:dyDescent="0.25">
      <c r="B97" s="11">
        <v>1112015</v>
      </c>
      <c r="C97" s="20" t="s">
        <v>82</v>
      </c>
      <c r="D97" s="31">
        <v>4</v>
      </c>
      <c r="E97" s="31"/>
      <c r="F97" s="31"/>
      <c r="G97" s="31">
        <v>25</v>
      </c>
      <c r="H97" s="31"/>
      <c r="I97" s="31"/>
      <c r="J97" s="44"/>
      <c r="K97" s="44"/>
      <c r="L97" s="37">
        <f t="shared" si="3"/>
        <v>29</v>
      </c>
    </row>
    <row r="98" spans="2:12" x14ac:dyDescent="0.25">
      <c r="B98" s="11">
        <v>1112013</v>
      </c>
      <c r="C98" s="20" t="s">
        <v>83</v>
      </c>
      <c r="D98" s="31">
        <v>3</v>
      </c>
      <c r="E98" s="31">
        <v>2</v>
      </c>
      <c r="F98" s="31">
        <v>5</v>
      </c>
      <c r="G98" s="31">
        <v>27</v>
      </c>
      <c r="H98" s="31"/>
      <c r="I98" s="31"/>
      <c r="J98" s="44"/>
      <c r="K98" s="44"/>
      <c r="L98" s="37">
        <f t="shared" si="3"/>
        <v>37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>
        <v>1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5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5">
      <c r="B116" s="11">
        <v>1113172</v>
      </c>
      <c r="C116" s="22" t="s">
        <v>89</v>
      </c>
      <c r="D116" s="31">
        <v>5</v>
      </c>
      <c r="E116" s="31"/>
      <c r="F116" s="31"/>
      <c r="G116" s="31"/>
      <c r="H116" s="31"/>
      <c r="I116" s="31"/>
      <c r="J116" s="44"/>
      <c r="K116" s="44"/>
      <c r="L116" s="37">
        <f t="shared" si="6"/>
        <v>5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>
        <v>2</v>
      </c>
      <c r="F119" s="31"/>
      <c r="G119" s="31"/>
      <c r="H119" s="31"/>
      <c r="I119" s="31"/>
      <c r="J119" s="44"/>
      <c r="K119" s="44"/>
      <c r="L119" s="37">
        <f t="shared" si="6"/>
        <v>2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>
        <v>3</v>
      </c>
      <c r="G122" s="31"/>
      <c r="H122" s="31"/>
      <c r="I122" s="31"/>
      <c r="J122" s="44"/>
      <c r="K122" s="44"/>
      <c r="L122" s="37">
        <f t="shared" si="6"/>
        <v>3</v>
      </c>
    </row>
    <row r="123" spans="2:12" x14ac:dyDescent="0.25">
      <c r="B123" s="11">
        <v>1114501</v>
      </c>
      <c r="C123" s="22" t="s">
        <v>95</v>
      </c>
      <c r="D123" s="31">
        <v>1</v>
      </c>
      <c r="E123" s="31"/>
      <c r="F123" s="31"/>
      <c r="G123" s="31">
        <v>1</v>
      </c>
      <c r="H123" s="31"/>
      <c r="I123" s="31"/>
      <c r="J123" s="44"/>
      <c r="K123" s="44"/>
      <c r="L123" s="37">
        <f t="shared" si="6"/>
        <v>2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>
        <v>1</v>
      </c>
      <c r="H124" s="31"/>
      <c r="I124" s="31"/>
      <c r="J124" s="44"/>
      <c r="K124" s="44"/>
      <c r="L124" s="37">
        <f t="shared" si="6"/>
        <v>1</v>
      </c>
    </row>
    <row r="125" spans="2:12" x14ac:dyDescent="0.25">
      <c r="B125" s="11">
        <v>1114503</v>
      </c>
      <c r="C125" s="22" t="s">
        <v>97</v>
      </c>
      <c r="D125" s="31">
        <v>2</v>
      </c>
      <c r="E125" s="31"/>
      <c r="F125" s="31"/>
      <c r="G125" s="31">
        <v>1</v>
      </c>
      <c r="H125" s="31"/>
      <c r="I125" s="31"/>
      <c r="J125" s="44"/>
      <c r="K125" s="44"/>
      <c r="L125" s="37">
        <f t="shared" si="6"/>
        <v>3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2</v>
      </c>
      <c r="F136" s="31"/>
      <c r="G136" s="31"/>
      <c r="H136" s="31"/>
      <c r="I136" s="31"/>
      <c r="J136" s="44"/>
      <c r="K136" s="44"/>
      <c r="L136" s="37">
        <f t="shared" si="6"/>
        <v>2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5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5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2"/>
  <sheetViews>
    <sheetView tabSelected="1" topLeftCell="A4" zoomScale="50" zoomScaleNormal="50" workbookViewId="0">
      <selection activeCell="R143" sqref="R143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4" width="15.3984375" style="24" hidden="1" customWidth="1"/>
    <col min="15" max="15" width="14.3984375" style="29" hidden="1" customWidth="1"/>
    <col min="16" max="16" width="9.09765625" customWidth="1"/>
    <col min="17" max="17" width="7.3984375" customWidth="1"/>
    <col min="18" max="18" width="22.69921875" customWidth="1"/>
  </cols>
  <sheetData>
    <row r="1" spans="2:15" x14ac:dyDescent="0.25">
      <c r="B1" s="59" t="s">
        <v>142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5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71" t="s">
        <v>1</v>
      </c>
    </row>
    <row r="3" spans="2:15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8"/>
      <c r="N3" s="68"/>
      <c r="O3" s="72"/>
    </row>
    <row r="4" spans="2:1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73"/>
    </row>
    <row r="5" spans="2:15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30"/>
    </row>
    <row r="6" spans="2:15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70"/>
    </row>
    <row r="7" spans="2:15" x14ac:dyDescent="0.25">
      <c r="B7" s="11">
        <v>1111002</v>
      </c>
      <c r="C7" s="15" t="s">
        <v>107</v>
      </c>
      <c r="D7" s="31">
        <f>'เย็น '!D7+'เช้า '!D7+บ่าย!D7</f>
        <v>11</v>
      </c>
      <c r="E7" s="31">
        <f>'เย็น '!E7+'เช้า '!E7+บ่าย!E7</f>
        <v>183</v>
      </c>
      <c r="F7" s="31">
        <f>'เย็น '!F7+'เช้า '!F7+บ่าย!F7</f>
        <v>52</v>
      </c>
      <c r="G7" s="31">
        <f>'เย็น '!G7+'เช้า '!G7+บ่าย!G7</f>
        <v>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60</v>
      </c>
      <c r="L7" s="37">
        <f>SUM(D7:K7)</f>
        <v>313</v>
      </c>
      <c r="M7" s="11">
        <v>1000</v>
      </c>
      <c r="N7" s="11">
        <v>1225</v>
      </c>
      <c r="O7" s="45">
        <f>(M7+N7)-L7</f>
        <v>1912</v>
      </c>
    </row>
    <row r="8" spans="2:15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45">
        <f t="shared" ref="O8:O66" si="1">(M8+N8)-L8</f>
        <v>0</v>
      </c>
    </row>
    <row r="9" spans="2:15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45">
        <f t="shared" si="1"/>
        <v>0</v>
      </c>
    </row>
    <row r="10" spans="2:15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45">
        <f t="shared" si="1"/>
        <v>0</v>
      </c>
    </row>
    <row r="11" spans="2:15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45">
        <f t="shared" si="1"/>
        <v>0</v>
      </c>
    </row>
    <row r="12" spans="2:15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45">
        <f t="shared" si="1"/>
        <v>0</v>
      </c>
    </row>
    <row r="13" spans="2:15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45">
        <f t="shared" si="1"/>
        <v>0</v>
      </c>
    </row>
    <row r="14" spans="2:15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45">
        <f t="shared" si="1"/>
        <v>0</v>
      </c>
    </row>
    <row r="15" spans="2:15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45">
        <f t="shared" si="1"/>
        <v>0</v>
      </c>
    </row>
    <row r="16" spans="2:15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45">
        <f t="shared" si="1"/>
        <v>0</v>
      </c>
    </row>
    <row r="17" spans="2:15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45">
        <f t="shared" si="1"/>
        <v>0</v>
      </c>
    </row>
    <row r="18" spans="2:15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45">
        <f t="shared" si="1"/>
        <v>0</v>
      </c>
    </row>
    <row r="19" spans="2:15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45">
        <f t="shared" si="1"/>
        <v>0</v>
      </c>
    </row>
    <row r="20" spans="2:15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45">
        <f t="shared" si="1"/>
        <v>0</v>
      </c>
    </row>
    <row r="21" spans="2:15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45">
        <f t="shared" si="1"/>
        <v>0</v>
      </c>
    </row>
    <row r="22" spans="2:15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45">
        <f t="shared" si="1"/>
        <v>0</v>
      </c>
    </row>
    <row r="23" spans="2:15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45">
        <f t="shared" si="1"/>
        <v>0</v>
      </c>
    </row>
    <row r="24" spans="2:15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45">
        <f t="shared" si="1"/>
        <v>0</v>
      </c>
    </row>
    <row r="25" spans="2:15" x14ac:dyDescent="0.25">
      <c r="B25" s="11">
        <v>1111056</v>
      </c>
      <c r="C25" s="15" t="s">
        <v>28</v>
      </c>
      <c r="D25" s="31">
        <f>'เย็น '!D25+'เช้า '!D25+บ่าย!D25</f>
        <v>7</v>
      </c>
      <c r="E25" s="31">
        <f>'เย็น '!E25+'เช้า '!E25+บ่าย!E25</f>
        <v>23</v>
      </c>
      <c r="F25" s="31">
        <f>'เย็น '!F25+'เช้า '!F25+บ่าย!F25</f>
        <v>10</v>
      </c>
      <c r="G25" s="31">
        <f>'เย็น '!G25+'เช้า '!G25+บ่าย!G25</f>
        <v>0</v>
      </c>
      <c r="H25" s="31">
        <f>'เย็น '!H25+'เช้า '!H25+บ่าย!H25</f>
        <v>3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43</v>
      </c>
      <c r="M25" s="11"/>
      <c r="N25" s="11">
        <v>39</v>
      </c>
      <c r="O25" s="45">
        <f t="shared" si="1"/>
        <v>-4</v>
      </c>
    </row>
    <row r="26" spans="2:15" x14ac:dyDescent="0.25">
      <c r="B26" s="11">
        <v>1004055</v>
      </c>
      <c r="C26" s="15" t="s">
        <v>108</v>
      </c>
      <c r="D26" s="31">
        <f>'เย็น '!D26+'เช้า '!D26+บ่าย!D26</f>
        <v>5</v>
      </c>
      <c r="E26" s="31">
        <f>'เย็น '!E26+'เช้า '!E26+บ่าย!E26</f>
        <v>52</v>
      </c>
      <c r="F26" s="31">
        <f>'เย็น '!F26+'เช้า '!F26+บ่าย!F26</f>
        <v>9</v>
      </c>
      <c r="G26" s="31">
        <f>'เย็น '!G26+'เช้า '!G26+บ่าย!G26</f>
        <v>401</v>
      </c>
      <c r="H26" s="31">
        <f>'เย็น '!H26+'เช้า '!H26+บ่าย!H26</f>
        <v>264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50</v>
      </c>
      <c r="L26" s="37">
        <f t="shared" si="0"/>
        <v>781</v>
      </c>
      <c r="M26" s="11"/>
      <c r="N26" s="11">
        <v>594</v>
      </c>
      <c r="O26" s="45">
        <f t="shared" si="1"/>
        <v>-187</v>
      </c>
    </row>
    <row r="27" spans="2:15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45">
        <f t="shared" si="1"/>
        <v>0</v>
      </c>
    </row>
    <row r="28" spans="2:15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45">
        <f t="shared" si="1"/>
        <v>0</v>
      </c>
    </row>
    <row r="29" spans="2:15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45">
        <f t="shared" si="1"/>
        <v>0</v>
      </c>
    </row>
    <row r="30" spans="2:15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45">
        <f t="shared" si="1"/>
        <v>0</v>
      </c>
    </row>
    <row r="31" spans="2:15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45">
        <f t="shared" si="1"/>
        <v>0</v>
      </c>
    </row>
    <row r="32" spans="2:15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45">
        <f t="shared" si="1"/>
        <v>0</v>
      </c>
    </row>
    <row r="33" spans="2:15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45">
        <f t="shared" si="1"/>
        <v>0</v>
      </c>
    </row>
    <row r="34" spans="2:15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45">
        <f t="shared" si="1"/>
        <v>0</v>
      </c>
    </row>
    <row r="35" spans="2:15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45">
        <f t="shared" si="1"/>
        <v>0</v>
      </c>
    </row>
    <row r="36" spans="2:15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45">
        <f t="shared" si="1"/>
        <v>0</v>
      </c>
    </row>
    <row r="37" spans="2:15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45">
        <f t="shared" si="1"/>
        <v>0</v>
      </c>
    </row>
    <row r="38" spans="2:15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45">
        <f t="shared" si="1"/>
        <v>0</v>
      </c>
    </row>
    <row r="39" spans="2:15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45">
        <f t="shared" si="1"/>
        <v>0</v>
      </c>
    </row>
    <row r="40" spans="2:15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22</v>
      </c>
      <c r="G40" s="31">
        <f>'เย็น '!G40+'เช้า '!G40+บ่าย!G40</f>
        <v>0</v>
      </c>
      <c r="H40" s="31">
        <f>'เย็น '!H40+'เช้า '!H40+บ่าย!H40</f>
        <v>4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26</v>
      </c>
      <c r="M40" s="11"/>
      <c r="N40" s="11">
        <v>1</v>
      </c>
      <c r="O40" s="45">
        <f t="shared" si="1"/>
        <v>-25</v>
      </c>
    </row>
    <row r="41" spans="2:15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12</v>
      </c>
      <c r="G41" s="31">
        <f>'เย็น '!G41+'เช้า '!G41+บ่าย!G41</f>
        <v>0</v>
      </c>
      <c r="H41" s="31">
        <f>'เย็น '!H41+'เช้า '!H41+บ่าย!H41</f>
        <v>4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16</v>
      </c>
      <c r="M41" s="11"/>
      <c r="N41" s="11"/>
      <c r="O41" s="45">
        <f t="shared" si="1"/>
        <v>-16</v>
      </c>
    </row>
    <row r="42" spans="2:15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22</v>
      </c>
      <c r="G42" s="31">
        <f>'เย็น '!G42+'เช้า '!G42+บ่าย!G42</f>
        <v>0</v>
      </c>
      <c r="H42" s="31">
        <f>'เย็น '!H42+'เช้า '!H42+บ่าย!H42</f>
        <v>4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26</v>
      </c>
      <c r="M42" s="11"/>
      <c r="N42" s="11"/>
      <c r="O42" s="45">
        <f t="shared" si="1"/>
        <v>-26</v>
      </c>
    </row>
    <row r="43" spans="2:15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45">
        <f t="shared" si="1"/>
        <v>0</v>
      </c>
    </row>
    <row r="44" spans="2:15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12</v>
      </c>
      <c r="G44" s="31">
        <f>'เย็น '!G44+'เช้า '!G44+บ่าย!G44</f>
        <v>0</v>
      </c>
      <c r="H44" s="31">
        <f>'เย็น '!H44+'เช้า '!H44+บ่าย!H44</f>
        <v>4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16</v>
      </c>
      <c r="M44" s="11"/>
      <c r="N44" s="11">
        <v>1</v>
      </c>
      <c r="O44" s="45">
        <f t="shared" si="1"/>
        <v>-15</v>
      </c>
    </row>
    <row r="45" spans="2:15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20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20</v>
      </c>
      <c r="M45" s="11"/>
      <c r="N45" s="11"/>
      <c r="O45" s="45">
        <f t="shared" si="1"/>
        <v>-20</v>
      </c>
    </row>
    <row r="46" spans="2:15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22</v>
      </c>
      <c r="G46" s="31">
        <f>'เย็น '!G46+'เช้า '!G46+บ่าย!G46</f>
        <v>0</v>
      </c>
      <c r="H46" s="31">
        <f>'เย็น '!H46+'เช้า '!H46+บ่าย!H46</f>
        <v>4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26</v>
      </c>
      <c r="M46" s="11"/>
      <c r="N46" s="11"/>
      <c r="O46" s="45">
        <f t="shared" si="1"/>
        <v>-26</v>
      </c>
    </row>
    <row r="47" spans="2:15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22</v>
      </c>
      <c r="G47" s="31">
        <f>'เย็น '!G47+'เช้า '!G47+บ่าย!G47</f>
        <v>0</v>
      </c>
      <c r="H47" s="31">
        <f>'เย็น '!H47+'เช้า '!H47+บ่าย!H47</f>
        <v>4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26</v>
      </c>
      <c r="M47" s="11"/>
      <c r="N47" s="11"/>
      <c r="O47" s="45">
        <f t="shared" si="1"/>
        <v>-26</v>
      </c>
    </row>
    <row r="48" spans="2:15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45">
        <f t="shared" si="1"/>
        <v>0</v>
      </c>
    </row>
    <row r="49" spans="2:18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22</v>
      </c>
      <c r="G49" s="31">
        <f>'เย็น '!G49+'เช้า '!G49+บ่าย!G49</f>
        <v>0</v>
      </c>
      <c r="H49" s="31">
        <f>'เย็น '!H49+'เช้า '!H49+บ่าย!H49</f>
        <v>4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26</v>
      </c>
      <c r="M49" s="11"/>
      <c r="N49" s="11"/>
      <c r="O49" s="45">
        <f t="shared" si="1"/>
        <v>-26</v>
      </c>
    </row>
    <row r="50" spans="2:18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22</v>
      </c>
      <c r="G50" s="31">
        <f>'เย็น '!G50+'เช้า '!G50+บ่าย!G50</f>
        <v>0</v>
      </c>
      <c r="H50" s="31">
        <f>'เย็น '!H50+'เช้า '!H50+บ่าย!H50</f>
        <v>4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26</v>
      </c>
      <c r="M50" s="11"/>
      <c r="N50" s="11"/>
      <c r="O50" s="45">
        <f t="shared" si="1"/>
        <v>-26</v>
      </c>
    </row>
    <row r="51" spans="2:18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22</v>
      </c>
      <c r="G51" s="31">
        <f>'เย็น '!G51+'เช้า '!G51+บ่าย!G51</f>
        <v>0</v>
      </c>
      <c r="H51" s="31">
        <f>'เย็น '!H51+'เช้า '!H51+บ่าย!H51</f>
        <v>4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26</v>
      </c>
      <c r="M51" s="11"/>
      <c r="N51" s="11"/>
      <c r="O51" s="45">
        <f t="shared" si="1"/>
        <v>-26</v>
      </c>
    </row>
    <row r="52" spans="2:18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22</v>
      </c>
      <c r="G52" s="31">
        <f>'เย็น '!G52+'เช้า '!G52+บ่าย!G52</f>
        <v>0</v>
      </c>
      <c r="H52" s="31">
        <f>'เย็น '!H52+'เช้า '!H52+บ่าย!H52</f>
        <v>4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26</v>
      </c>
      <c r="M52" s="11"/>
      <c r="N52" s="11"/>
      <c r="O52" s="45">
        <f t="shared" si="1"/>
        <v>-26</v>
      </c>
      <c r="Q52" s="47"/>
      <c r="R52" s="46"/>
    </row>
    <row r="53" spans="2:18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45">
        <f t="shared" si="1"/>
        <v>0</v>
      </c>
    </row>
    <row r="54" spans="2:18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45">
        <f t="shared" si="1"/>
        <v>0</v>
      </c>
    </row>
    <row r="55" spans="2:18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45">
        <f t="shared" si="1"/>
        <v>0</v>
      </c>
    </row>
    <row r="56" spans="2:18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</v>
      </c>
      <c r="F56" s="31">
        <f>'เย็น '!F56+'เช้า '!F56+บ่าย!F56</f>
        <v>1</v>
      </c>
      <c r="G56" s="31">
        <f>'เย็น '!G56+'เช้า '!G56+บ่าย!G56</f>
        <v>0</v>
      </c>
      <c r="H56" s="31">
        <f>'เย็น '!H56+'เช้า '!H56+บ่าย!H56</f>
        <v>6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8</v>
      </c>
      <c r="M56" s="11"/>
      <c r="N56" s="11"/>
      <c r="O56" s="45">
        <f t="shared" si="1"/>
        <v>-8</v>
      </c>
    </row>
    <row r="57" spans="2:18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</v>
      </c>
      <c r="F57" s="31">
        <f>'เย็น '!F57+'เช้า '!F57+บ่าย!F57</f>
        <v>1</v>
      </c>
      <c r="G57" s="31">
        <f>'เย็น '!G57+'เช้า '!G57+บ่าย!G57</f>
        <v>0</v>
      </c>
      <c r="H57" s="31">
        <f>'เย็น '!H57+'เช้า '!H57+บ่าย!H57</f>
        <v>6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8</v>
      </c>
      <c r="M57" s="11"/>
      <c r="N57" s="11"/>
      <c r="O57" s="45">
        <f t="shared" si="1"/>
        <v>-8</v>
      </c>
    </row>
    <row r="58" spans="2:18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</v>
      </c>
      <c r="F58" s="31">
        <f>'เย็น '!F58+'เช้า '!F58+บ่าย!F58</f>
        <v>1</v>
      </c>
      <c r="G58" s="31">
        <f>'เย็น '!G58+'เช้า '!G58+บ่าย!G58</f>
        <v>0</v>
      </c>
      <c r="H58" s="31">
        <f>'เย็น '!H58+'เช้า '!H58+บ่าย!H58</f>
        <v>5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7</v>
      </c>
      <c r="M58" s="11"/>
      <c r="N58" s="11"/>
      <c r="O58" s="45">
        <f t="shared" si="1"/>
        <v>-7</v>
      </c>
    </row>
    <row r="59" spans="2:18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</v>
      </c>
      <c r="F59" s="31">
        <f>'เย็น '!F59+'เช้า '!F59+บ่าย!F59</f>
        <v>1</v>
      </c>
      <c r="G59" s="31">
        <f>'เย็น '!G59+'เช้า '!G59+บ่าย!G59</f>
        <v>0</v>
      </c>
      <c r="H59" s="31">
        <f>'เย็น '!H59+'เช้า '!H59+บ่าย!H59</f>
        <v>5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7</v>
      </c>
      <c r="M59" s="11"/>
      <c r="N59" s="11"/>
      <c r="O59" s="45">
        <f t="shared" si="1"/>
        <v>-7</v>
      </c>
    </row>
    <row r="60" spans="2:18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</v>
      </c>
      <c r="F60" s="31">
        <f>'เย็น '!F60+'เช้า '!F60+บ่าย!F60</f>
        <v>1</v>
      </c>
      <c r="G60" s="31">
        <f>'เย็น '!G60+'เช้า '!G60+บ่าย!G60</f>
        <v>0</v>
      </c>
      <c r="H60" s="31">
        <f>'เย็น '!H60+'เช้า '!H60+บ่าย!H60</f>
        <v>5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7</v>
      </c>
      <c r="M60" s="11"/>
      <c r="N60" s="11"/>
      <c r="O60" s="45">
        <f t="shared" si="1"/>
        <v>-7</v>
      </c>
    </row>
    <row r="61" spans="2:18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</v>
      </c>
      <c r="F61" s="31">
        <f>'เย็น '!F61+'เช้า '!F61+บ่าย!F61</f>
        <v>1</v>
      </c>
      <c r="G61" s="31">
        <f>'เย็น '!G61+'เช้า '!G61+บ่าย!G61</f>
        <v>0</v>
      </c>
      <c r="H61" s="31">
        <f>'เย็น '!H61+'เช้า '!H61+บ่าย!H61</f>
        <v>5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7</v>
      </c>
      <c r="M61" s="11"/>
      <c r="N61" s="11"/>
      <c r="O61" s="45">
        <f t="shared" si="1"/>
        <v>-7</v>
      </c>
    </row>
    <row r="62" spans="2:18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</v>
      </c>
      <c r="F62" s="31">
        <f>'เย็น '!F62+'เช้า '!F62+บ่าย!F62</f>
        <v>1</v>
      </c>
      <c r="G62" s="31">
        <f>'เย็น '!G62+'เช้า '!G62+บ่าย!G62</f>
        <v>0</v>
      </c>
      <c r="H62" s="31">
        <f>'เย็น '!H62+'เช้า '!H62+บ่าย!H62</f>
        <v>5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7</v>
      </c>
      <c r="M62" s="11"/>
      <c r="N62" s="11"/>
      <c r="O62" s="45">
        <f t="shared" si="1"/>
        <v>-7</v>
      </c>
    </row>
    <row r="63" spans="2:18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1</v>
      </c>
      <c r="F63" s="31">
        <f>'เย็น '!F63+'เช้า '!F63+บ่าย!F63</f>
        <v>1</v>
      </c>
      <c r="G63" s="31">
        <f>'เย็น '!G63+'เช้า '!G63+บ่าย!G63</f>
        <v>0</v>
      </c>
      <c r="H63" s="31">
        <f>'เย็น '!H63+'เช้า '!H63+บ่าย!H63</f>
        <v>5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7</v>
      </c>
      <c r="M63" s="11"/>
      <c r="N63" s="11"/>
      <c r="O63" s="45">
        <f t="shared" si="1"/>
        <v>-7</v>
      </c>
    </row>
    <row r="64" spans="2:18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</v>
      </c>
      <c r="F64" s="31">
        <f>'เย็น '!F64+'เช้า '!F64+บ่าย!F64</f>
        <v>1</v>
      </c>
      <c r="G64" s="31">
        <f>'เย็น '!G64+'เช้า '!G64+บ่าย!G64</f>
        <v>0</v>
      </c>
      <c r="H64" s="31">
        <f>'เย็น '!H64+'เช้า '!H64+บ่าย!H64</f>
        <v>5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7</v>
      </c>
      <c r="M64" s="11"/>
      <c r="N64" s="11"/>
      <c r="O64" s="45">
        <f t="shared" si="1"/>
        <v>-7</v>
      </c>
    </row>
    <row r="65" spans="2:18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1</v>
      </c>
      <c r="F65" s="31">
        <f>'เย็น '!F65+'เช้า '!F65+บ่าย!F65</f>
        <v>1</v>
      </c>
      <c r="G65" s="31">
        <f>'เย็น '!G65+'เช้า '!G65+บ่าย!G65</f>
        <v>0</v>
      </c>
      <c r="H65" s="31">
        <f>'เย็น '!H65+'เช้า '!H65+บ่าย!H65</f>
        <v>5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7</v>
      </c>
      <c r="M65" s="11"/>
      <c r="N65" s="11"/>
      <c r="O65" s="45">
        <f t="shared" si="1"/>
        <v>-7</v>
      </c>
      <c r="Q65" s="48"/>
      <c r="R65" s="46"/>
    </row>
    <row r="66" spans="2:18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45">
        <f t="shared" si="1"/>
        <v>0</v>
      </c>
    </row>
    <row r="67" spans="2:18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45"/>
    </row>
    <row r="68" spans="2:18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0"/>
    </row>
    <row r="69" spans="2:18" x14ac:dyDescent="0.25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4</v>
      </c>
      <c r="F69" s="31">
        <f>'เย็น '!F69+'เช้า '!F69+บ่าย!F69</f>
        <v>6</v>
      </c>
      <c r="G69" s="31">
        <f>'เย็น '!G69+'เช้า '!G69+บ่าย!G69</f>
        <v>20</v>
      </c>
      <c r="H69" s="31">
        <f>'เย็น '!H69+'เช้า '!H69+บ่าย!H69</f>
        <v>2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35</v>
      </c>
      <c r="M69" s="11">
        <v>100</v>
      </c>
      <c r="N69" s="11"/>
      <c r="O69" s="45">
        <f t="shared" ref="O69:O98" si="4">(M69+N69)-L69</f>
        <v>65</v>
      </c>
    </row>
    <row r="70" spans="2:18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45">
        <f t="shared" si="4"/>
        <v>0</v>
      </c>
    </row>
    <row r="71" spans="2:18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45">
        <f t="shared" si="4"/>
        <v>0</v>
      </c>
    </row>
    <row r="72" spans="2:18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45">
        <f t="shared" si="4"/>
        <v>0</v>
      </c>
    </row>
    <row r="73" spans="2:18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45">
        <f t="shared" si="4"/>
        <v>0</v>
      </c>
    </row>
    <row r="74" spans="2:18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45">
        <f t="shared" si="4"/>
        <v>0</v>
      </c>
    </row>
    <row r="75" spans="2:18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45">
        <f t="shared" si="4"/>
        <v>0</v>
      </c>
    </row>
    <row r="76" spans="2:18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45">
        <f t="shared" si="4"/>
        <v>0</v>
      </c>
    </row>
    <row r="77" spans="2:18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45">
        <f t="shared" si="4"/>
        <v>0</v>
      </c>
    </row>
    <row r="78" spans="2:18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0"/>
    </row>
    <row r="79" spans="2:18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45">
        <f t="shared" si="4"/>
        <v>0</v>
      </c>
    </row>
    <row r="80" spans="2:18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45">
        <f t="shared" si="4"/>
        <v>0</v>
      </c>
    </row>
    <row r="81" spans="2:15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45">
        <f t="shared" si="4"/>
        <v>0</v>
      </c>
    </row>
    <row r="82" spans="2:15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45">
        <f t="shared" si="4"/>
        <v>0</v>
      </c>
    </row>
    <row r="83" spans="2:15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45">
        <f t="shared" si="4"/>
        <v>0</v>
      </c>
    </row>
    <row r="84" spans="2:15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45">
        <f t="shared" si="4"/>
        <v>0</v>
      </c>
    </row>
    <row r="85" spans="2:15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45">
        <f t="shared" si="4"/>
        <v>0</v>
      </c>
    </row>
    <row r="86" spans="2:15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45">
        <f t="shared" si="4"/>
        <v>0</v>
      </c>
    </row>
    <row r="87" spans="2:15" x14ac:dyDescent="0.25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16</v>
      </c>
      <c r="F87" s="31">
        <f>'เย็น '!F87+'เช้า '!F87+บ่าย!F87</f>
        <v>3</v>
      </c>
      <c r="G87" s="31">
        <f>'เย็น '!G87+'เช้า '!G87+บ่าย!G87</f>
        <v>506</v>
      </c>
      <c r="H87" s="31">
        <f>'เย็น '!H87+'เช้า '!H87+บ่าย!H87</f>
        <v>209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5"/>
        <v>734</v>
      </c>
      <c r="M87" s="11"/>
      <c r="N87" s="11">
        <v>309</v>
      </c>
      <c r="O87" s="45">
        <f t="shared" si="4"/>
        <v>-425</v>
      </c>
    </row>
    <row r="88" spans="2:15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45">
        <f t="shared" si="4"/>
        <v>0</v>
      </c>
    </row>
    <row r="89" spans="2:15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0"/>
    </row>
    <row r="90" spans="2:15" x14ac:dyDescent="0.25">
      <c r="B90" s="11">
        <v>1112009</v>
      </c>
      <c r="C90" s="20" t="s">
        <v>75</v>
      </c>
      <c r="D90" s="31">
        <f>'เย็น '!D90+'เช้า '!D90+บ่าย!D90</f>
        <v>9</v>
      </c>
      <c r="E90" s="31">
        <f>'เย็น '!E90+'เช้า '!E90+บ่าย!E90</f>
        <v>55</v>
      </c>
      <c r="F90" s="31">
        <f>'เย็น '!F90+'เช้า '!F90+บ่าย!F90</f>
        <v>24</v>
      </c>
      <c r="G90" s="31">
        <f>'เย็น '!G90+'เช้า '!G90+บ่าย!G90</f>
        <v>123</v>
      </c>
      <c r="H90" s="31">
        <f>'เย็น '!H90+'เช้า '!H90+บ่าย!H90</f>
        <v>97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6">SUM(D90:K90)</f>
        <v>308</v>
      </c>
      <c r="M90" s="11">
        <v>65</v>
      </c>
      <c r="N90" s="11"/>
      <c r="O90" s="45">
        <f t="shared" si="4"/>
        <v>-243</v>
      </c>
    </row>
    <row r="91" spans="2:15" x14ac:dyDescent="0.25">
      <c r="B91" s="11">
        <v>1112011</v>
      </c>
      <c r="C91" s="20" t="s">
        <v>76</v>
      </c>
      <c r="D91" s="31">
        <f>'เย็น '!D91+'เช้า '!D91+บ่าย!D91</f>
        <v>9</v>
      </c>
      <c r="E91" s="31">
        <f>'เย็น '!E91+'เช้า '!E91+บ่าย!E91</f>
        <v>60</v>
      </c>
      <c r="F91" s="31">
        <f>'เย็น '!F91+'เช้า '!F91+บ่าย!F91</f>
        <v>34</v>
      </c>
      <c r="G91" s="31">
        <f>'เย็น '!G91+'เช้า '!G91+บ่าย!G91</f>
        <v>123</v>
      </c>
      <c r="H91" s="31">
        <f>'เย็น '!H91+'เช้า '!H91+บ่าย!H91</f>
        <v>97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6"/>
        <v>323</v>
      </c>
      <c r="M91" s="11">
        <v>150</v>
      </c>
      <c r="N91" s="11"/>
      <c r="O91" s="45">
        <f t="shared" si="4"/>
        <v>-173</v>
      </c>
    </row>
    <row r="92" spans="2:15" x14ac:dyDescent="0.25">
      <c r="B92" s="11">
        <v>1112003</v>
      </c>
      <c r="C92" s="20" t="s">
        <v>77</v>
      </c>
      <c r="D92" s="31">
        <f>'เย็น '!D92+'เช้า '!D92+บ่าย!D92</f>
        <v>3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85</v>
      </c>
      <c r="H92" s="31">
        <f>'เย็น '!H92+'เช้า '!H92+บ่าย!H92</f>
        <v>78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6"/>
        <v>168</v>
      </c>
      <c r="M92" s="11">
        <v>150</v>
      </c>
      <c r="N92" s="11">
        <v>5</v>
      </c>
      <c r="O92" s="45">
        <f t="shared" si="4"/>
        <v>-13</v>
      </c>
    </row>
    <row r="93" spans="2:15" x14ac:dyDescent="0.25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55</v>
      </c>
      <c r="H93" s="31">
        <f>'เย็น '!H93+'เช้า '!H93+บ่าย!H93</f>
        <v>78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6"/>
        <v>138</v>
      </c>
      <c r="M93" s="11">
        <v>150</v>
      </c>
      <c r="N93" s="11"/>
      <c r="O93" s="45">
        <f t="shared" si="4"/>
        <v>12</v>
      </c>
    </row>
    <row r="94" spans="2:15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6"/>
        <v>0</v>
      </c>
      <c r="M94" s="11"/>
      <c r="N94" s="11"/>
      <c r="O94" s="45">
        <f t="shared" si="4"/>
        <v>0</v>
      </c>
    </row>
    <row r="95" spans="2:15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6"/>
        <v>0</v>
      </c>
      <c r="M95" s="11"/>
      <c r="N95" s="11"/>
      <c r="O95" s="45">
        <f t="shared" si="4"/>
        <v>0</v>
      </c>
    </row>
    <row r="96" spans="2:15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67</v>
      </c>
      <c r="H96" s="31">
        <f>'เย็น '!H96+'เช้า '!H96+บ่าย!H96</f>
        <v>20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6"/>
        <v>87</v>
      </c>
      <c r="M96" s="11">
        <v>150</v>
      </c>
      <c r="N96" s="11"/>
      <c r="O96" s="45">
        <f t="shared" si="4"/>
        <v>63</v>
      </c>
    </row>
    <row r="97" spans="2:18" x14ac:dyDescent="0.25">
      <c r="B97" s="11">
        <v>1112015</v>
      </c>
      <c r="C97" s="20" t="s">
        <v>82</v>
      </c>
      <c r="D97" s="31">
        <f>'เย็น '!D97+'เช้า '!D97+บ่าย!D97</f>
        <v>4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89</v>
      </c>
      <c r="H97" s="31">
        <f>'เย็น '!H97+'เช้า '!H97+บ่าย!H97</f>
        <v>78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6"/>
        <v>173</v>
      </c>
      <c r="M97" s="11">
        <v>134</v>
      </c>
      <c r="N97" s="11"/>
      <c r="O97" s="45">
        <f t="shared" si="4"/>
        <v>-39</v>
      </c>
    </row>
    <row r="98" spans="2:18" x14ac:dyDescent="0.35">
      <c r="B98" s="11">
        <v>1112013</v>
      </c>
      <c r="C98" s="20" t="s">
        <v>83</v>
      </c>
      <c r="D98" s="31">
        <f>'เย็น '!D98+'เช้า '!D98+บ่าย!D98</f>
        <v>3</v>
      </c>
      <c r="E98" s="31">
        <f>'เย็น '!E98+'เช้า '!E98+บ่าย!E98</f>
        <v>56</v>
      </c>
      <c r="F98" s="31">
        <f>'เย็น '!F98+'เช้า '!F98+บ่าย!F98</f>
        <v>24</v>
      </c>
      <c r="G98" s="31">
        <f>'เย็น '!G98+'เช้า '!G98+บ่าย!G98</f>
        <v>123</v>
      </c>
      <c r="H98" s="31">
        <f>'เย็น '!H98+'เช้า '!H98+บ่าย!H98</f>
        <v>97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6"/>
        <v>303</v>
      </c>
      <c r="M98" s="11">
        <v>150</v>
      </c>
      <c r="N98" s="11"/>
      <c r="O98" s="45">
        <f t="shared" si="4"/>
        <v>-153</v>
      </c>
      <c r="R98" s="57">
        <f>SUM(O90:O98)</f>
        <v>-546</v>
      </c>
    </row>
    <row r="99" spans="2:18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6"/>
        <v>0</v>
      </c>
      <c r="M99" s="11"/>
      <c r="N99" s="11"/>
      <c r="O99" s="45"/>
    </row>
    <row r="100" spans="2:18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1500</v>
      </c>
      <c r="M100" s="11"/>
      <c r="N100" s="11"/>
      <c r="O100" s="45"/>
    </row>
    <row r="101" spans="2:18" ht="20.399999999999999" hidden="1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0"/>
    </row>
    <row r="102" spans="2:18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7">SUM(D102:K102)</f>
        <v>0</v>
      </c>
      <c r="M102" s="11"/>
      <c r="N102" s="11"/>
      <c r="O102" s="45">
        <f t="shared" ref="O102:O111" si="8">(M102+N102)-L102</f>
        <v>0</v>
      </c>
    </row>
    <row r="103" spans="2:18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7"/>
        <v>0</v>
      </c>
      <c r="M103" s="11"/>
      <c r="N103" s="11"/>
      <c r="O103" s="45">
        <f t="shared" si="8"/>
        <v>0</v>
      </c>
    </row>
    <row r="104" spans="2:18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7"/>
        <v>0</v>
      </c>
      <c r="M104" s="11"/>
      <c r="N104" s="11"/>
      <c r="O104" s="45">
        <f t="shared" si="8"/>
        <v>0</v>
      </c>
    </row>
    <row r="105" spans="2:18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7"/>
        <v>0</v>
      </c>
      <c r="M105" s="11"/>
      <c r="N105" s="11"/>
      <c r="O105" s="45">
        <f t="shared" si="8"/>
        <v>0</v>
      </c>
    </row>
    <row r="106" spans="2:18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7"/>
        <v>0</v>
      </c>
      <c r="M106" s="11"/>
      <c r="N106" s="11"/>
      <c r="O106" s="45">
        <f t="shared" si="8"/>
        <v>0</v>
      </c>
    </row>
    <row r="107" spans="2:18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7"/>
        <v>0</v>
      </c>
      <c r="M107" s="11"/>
      <c r="N107" s="11"/>
      <c r="O107" s="45">
        <f t="shared" si="8"/>
        <v>0</v>
      </c>
    </row>
    <row r="108" spans="2:18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7"/>
        <v>0</v>
      </c>
      <c r="M108" s="11"/>
      <c r="N108" s="11"/>
      <c r="O108" s="45">
        <f t="shared" si="8"/>
        <v>0</v>
      </c>
    </row>
    <row r="109" spans="2:18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7"/>
        <v>0</v>
      </c>
      <c r="M109" s="11"/>
      <c r="N109" s="11"/>
      <c r="O109" s="45">
        <f t="shared" si="8"/>
        <v>0</v>
      </c>
    </row>
    <row r="110" spans="2:18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7"/>
        <v>0</v>
      </c>
      <c r="M110" s="11"/>
      <c r="N110" s="11"/>
      <c r="O110" s="45">
        <f t="shared" si="8"/>
        <v>0</v>
      </c>
    </row>
    <row r="111" spans="2:18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7"/>
        <v>0</v>
      </c>
      <c r="M111" s="11"/>
      <c r="N111" s="11"/>
      <c r="O111" s="45">
        <f t="shared" si="8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/>
      <c r="M112" s="11"/>
      <c r="N112" s="11"/>
      <c r="O112" s="45"/>
    </row>
    <row r="113" spans="2:15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0"/>
    </row>
    <row r="114" spans="2:15" x14ac:dyDescent="0.25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4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9">SUM(D114:K114)</f>
        <v>5</v>
      </c>
      <c r="M114" s="11"/>
      <c r="N114" s="11">
        <v>9</v>
      </c>
      <c r="O114" s="45">
        <f t="shared" ref="O114:O140" si="10">(M114+N114)-L114</f>
        <v>4</v>
      </c>
    </row>
    <row r="115" spans="2:15" x14ac:dyDescent="0.25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9"/>
        <v>4</v>
      </c>
      <c r="M115" s="11"/>
      <c r="N115" s="11">
        <v>13</v>
      </c>
      <c r="O115" s="45">
        <f t="shared" si="10"/>
        <v>9</v>
      </c>
    </row>
    <row r="116" spans="2:15" x14ac:dyDescent="0.25">
      <c r="B116" s="11">
        <v>1113172</v>
      </c>
      <c r="C116" s="22" t="s">
        <v>89</v>
      </c>
      <c r="D116" s="31">
        <f>'เย็น '!D116+'เช้า '!D116+บ่าย!D116</f>
        <v>5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9"/>
        <v>5</v>
      </c>
      <c r="M116" s="11"/>
      <c r="N116" s="11">
        <v>24</v>
      </c>
      <c r="O116" s="45">
        <f t="shared" si="10"/>
        <v>19</v>
      </c>
    </row>
    <row r="117" spans="2:15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9"/>
        <v>0</v>
      </c>
      <c r="M117" s="11"/>
      <c r="N117" s="11"/>
      <c r="O117" s="45">
        <f t="shared" si="10"/>
        <v>0</v>
      </c>
    </row>
    <row r="118" spans="2:15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5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9"/>
        <v>5</v>
      </c>
      <c r="M118" s="11"/>
      <c r="N118" s="11">
        <v>25</v>
      </c>
      <c r="O118" s="45">
        <f t="shared" si="10"/>
        <v>20</v>
      </c>
    </row>
    <row r="119" spans="2:15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7</v>
      </c>
      <c r="F119" s="31">
        <f>'เย็น '!F119+'เช้า '!F119+บ่าย!F119</f>
        <v>4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9"/>
        <v>11</v>
      </c>
      <c r="M119" s="11"/>
      <c r="N119" s="11">
        <v>8</v>
      </c>
      <c r="O119" s="45">
        <f t="shared" si="10"/>
        <v>-3</v>
      </c>
    </row>
    <row r="120" spans="2:15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8</v>
      </c>
      <c r="F120" s="31">
        <f>'เย็น '!F120+'เช้า '!F120+บ่าย!F120</f>
        <v>0</v>
      </c>
      <c r="G120" s="31">
        <f>'เย็น '!G120+'เช้า '!G120+บ่าย!G120</f>
        <v>6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9"/>
        <v>14</v>
      </c>
      <c r="M120" s="11"/>
      <c r="N120" s="11">
        <v>9</v>
      </c>
      <c r="O120" s="45">
        <f t="shared" si="10"/>
        <v>-5</v>
      </c>
    </row>
    <row r="121" spans="2:15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9"/>
        <v>0</v>
      </c>
      <c r="M121" s="11"/>
      <c r="N121" s="11"/>
      <c r="O121" s="45">
        <f t="shared" si="10"/>
        <v>0</v>
      </c>
    </row>
    <row r="122" spans="2:15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3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9"/>
        <v>3</v>
      </c>
      <c r="M122" s="11"/>
      <c r="N122" s="11">
        <v>26</v>
      </c>
      <c r="O122" s="45">
        <f t="shared" si="10"/>
        <v>23</v>
      </c>
    </row>
    <row r="123" spans="2:15" x14ac:dyDescent="0.25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0</v>
      </c>
      <c r="F123" s="31">
        <f>'เย็น '!F123+'เช้า '!F123+บ่าย!F123</f>
        <v>1</v>
      </c>
      <c r="G123" s="31">
        <f>'เย็น '!G123+'เช้า '!G123+บ่าย!G123</f>
        <v>75</v>
      </c>
      <c r="H123" s="31">
        <f>'เย็น '!H123+'เช้า '!H123+บ่าย!H123</f>
        <v>48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9"/>
        <v>125</v>
      </c>
      <c r="M123" s="11"/>
      <c r="N123" s="11">
        <v>48</v>
      </c>
      <c r="O123" s="45">
        <f t="shared" si="10"/>
        <v>-77</v>
      </c>
    </row>
    <row r="124" spans="2:15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1</v>
      </c>
      <c r="G124" s="31">
        <f>'เย็น '!G124+'เช้า '!G124+บ่าย!G124</f>
        <v>75</v>
      </c>
      <c r="H124" s="31">
        <f>'เย็น '!H124+'เช้า '!H124+บ่าย!H124</f>
        <v>48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9"/>
        <v>124</v>
      </c>
      <c r="M124" s="11"/>
      <c r="N124" s="11">
        <v>39</v>
      </c>
      <c r="O124" s="45">
        <f t="shared" si="10"/>
        <v>-85</v>
      </c>
    </row>
    <row r="125" spans="2:15" x14ac:dyDescent="0.25">
      <c r="B125" s="11">
        <v>1114503</v>
      </c>
      <c r="C125" s="22" t="s">
        <v>97</v>
      </c>
      <c r="D125" s="31">
        <f>'เย็น '!D125+'เช้า '!D125+บ่าย!D125</f>
        <v>2</v>
      </c>
      <c r="E125" s="31">
        <f>'เย็น '!E125+'เช้า '!E125+บ่าย!E125</f>
        <v>0</v>
      </c>
      <c r="F125" s="31">
        <f>'เย็น '!F125+'เช้า '!F125+บ่าย!F125</f>
        <v>1</v>
      </c>
      <c r="G125" s="31">
        <f>'เย็น '!G125+'เช้า '!G125+บ่าย!G125</f>
        <v>75</v>
      </c>
      <c r="H125" s="31">
        <f>'เย็น '!H125+'เช้า '!H125+บ่าย!H125</f>
        <v>48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9"/>
        <v>126</v>
      </c>
      <c r="M125" s="11"/>
      <c r="N125" s="11">
        <v>42</v>
      </c>
      <c r="O125" s="45">
        <f t="shared" si="10"/>
        <v>-84</v>
      </c>
    </row>
    <row r="126" spans="2:15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3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9"/>
        <v>3</v>
      </c>
      <c r="M126" s="11"/>
      <c r="N126" s="11"/>
      <c r="O126" s="45">
        <f t="shared" si="10"/>
        <v>-3</v>
      </c>
    </row>
    <row r="127" spans="2:15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9"/>
        <v>0</v>
      </c>
      <c r="M127" s="11"/>
      <c r="N127" s="11"/>
      <c r="O127" s="45">
        <f t="shared" si="10"/>
        <v>0</v>
      </c>
    </row>
    <row r="128" spans="2:15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9"/>
        <v>0</v>
      </c>
      <c r="M128" s="11"/>
      <c r="N128" s="11"/>
      <c r="O128" s="45">
        <f t="shared" si="10"/>
        <v>0</v>
      </c>
    </row>
    <row r="129" spans="2:15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9"/>
        <v>0</v>
      </c>
      <c r="M129" s="11"/>
      <c r="N129" s="11"/>
      <c r="O129" s="45">
        <f t="shared" si="10"/>
        <v>0</v>
      </c>
    </row>
    <row r="130" spans="2:15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9"/>
        <v>0</v>
      </c>
      <c r="M130" s="11"/>
      <c r="N130" s="11">
        <v>20</v>
      </c>
      <c r="O130" s="45">
        <f t="shared" si="10"/>
        <v>20</v>
      </c>
    </row>
    <row r="131" spans="2:15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9"/>
        <v>0</v>
      </c>
      <c r="M131" s="11"/>
      <c r="N131" s="11"/>
      <c r="O131" s="45">
        <f t="shared" si="10"/>
        <v>0</v>
      </c>
    </row>
    <row r="132" spans="2:15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9"/>
        <v>0</v>
      </c>
      <c r="M132" s="11"/>
      <c r="N132" s="11"/>
      <c r="O132" s="45">
        <f t="shared" si="10"/>
        <v>0</v>
      </c>
    </row>
    <row r="133" spans="2:15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9"/>
        <v>0</v>
      </c>
      <c r="M133" s="11"/>
      <c r="N133" s="11"/>
      <c r="O133" s="45">
        <f t="shared" si="10"/>
        <v>0</v>
      </c>
    </row>
    <row r="134" spans="2:15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9"/>
        <v>0</v>
      </c>
      <c r="M134" s="11"/>
      <c r="N134" s="11"/>
      <c r="O134" s="45">
        <f t="shared" si="10"/>
        <v>0</v>
      </c>
    </row>
    <row r="135" spans="2:15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9"/>
        <v>0</v>
      </c>
      <c r="M135" s="11"/>
      <c r="N135" s="11"/>
      <c r="O135" s="45">
        <f t="shared" si="10"/>
        <v>0</v>
      </c>
    </row>
    <row r="136" spans="2:15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8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9"/>
        <v>8</v>
      </c>
      <c r="M136" s="11"/>
      <c r="N136" s="11"/>
      <c r="O136" s="45">
        <f t="shared" si="10"/>
        <v>-8</v>
      </c>
    </row>
    <row r="137" spans="2:15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9"/>
        <v>0</v>
      </c>
      <c r="M137" s="11"/>
      <c r="N137" s="11"/>
      <c r="O137" s="45">
        <f t="shared" si="10"/>
        <v>0</v>
      </c>
    </row>
    <row r="138" spans="2:15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9"/>
        <v>0</v>
      </c>
      <c r="M138" s="11"/>
      <c r="N138" s="11"/>
      <c r="O138" s="45">
        <f t="shared" si="10"/>
        <v>0</v>
      </c>
    </row>
    <row r="139" spans="2:15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9"/>
        <v>0</v>
      </c>
      <c r="M139" s="11"/>
      <c r="N139" s="11"/>
      <c r="O139" s="45">
        <f t="shared" si="10"/>
        <v>0</v>
      </c>
    </row>
    <row r="140" spans="2:15" ht="40.5" customHeight="1" x14ac:dyDescent="0.25">
      <c r="C140" s="36"/>
      <c r="D140" s="37">
        <f>SUM(D114:D139,D90:D99,D79:D87,D69:D76,D7:D66,D102:D111)</f>
        <v>68</v>
      </c>
      <c r="E140" s="37">
        <f t="shared" ref="E140:K140" si="11">SUM(E114:E139,E90:E99,E79:E87,E69:E76,E7:E66,E102:E111)</f>
        <v>487</v>
      </c>
      <c r="F140" s="37">
        <f t="shared" si="11"/>
        <v>411</v>
      </c>
      <c r="G140" s="37">
        <f t="shared" si="11"/>
        <v>1836</v>
      </c>
      <c r="H140" s="37">
        <f t="shared" si="11"/>
        <v>1259</v>
      </c>
      <c r="I140" s="37">
        <f t="shared" si="11"/>
        <v>0</v>
      </c>
      <c r="J140" s="37">
        <f t="shared" si="11"/>
        <v>0</v>
      </c>
      <c r="K140" s="37">
        <f t="shared" si="11"/>
        <v>110</v>
      </c>
      <c r="L140" s="37">
        <f>SUM(L114:L139,L90:L99,L79:L87,L69:L76,L7:L66,L102:L111)</f>
        <v>4171</v>
      </c>
      <c r="M140" s="31">
        <f>SUM(M114:M136,M90:M98,M79:M87,M69:M76,M7:M66)</f>
        <v>2049</v>
      </c>
      <c r="N140" s="31">
        <f>SUM(N114:N136,N90:N98,N79:N87,N69:N76,N7:N66)</f>
        <v>2437</v>
      </c>
      <c r="O140" s="45">
        <f t="shared" si="10"/>
        <v>315</v>
      </c>
    </row>
    <row r="141" spans="2:15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5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5" x14ac:dyDescent="0.25">
      <c r="C143" s="25"/>
      <c r="D143" s="32"/>
      <c r="E143" s="62"/>
      <c r="F143" s="62"/>
      <c r="G143" s="27"/>
      <c r="L143" s="41"/>
    </row>
    <row r="144" spans="2:15" x14ac:dyDescent="0.25">
      <c r="B144" s="62" t="s">
        <v>104</v>
      </c>
      <c r="C144" s="62"/>
      <c r="D144" s="33"/>
      <c r="E144" s="58"/>
      <c r="F144" s="58"/>
      <c r="G144" s="28"/>
      <c r="H144" s="27"/>
      <c r="I144" s="62" t="s">
        <v>104</v>
      </c>
      <c r="J144" s="62"/>
      <c r="K144" s="62"/>
      <c r="L144" s="62"/>
    </row>
    <row r="145" spans="2:12" x14ac:dyDescent="0.25">
      <c r="B145" s="58" t="s">
        <v>105</v>
      </c>
      <c r="C145" s="58"/>
      <c r="D145" s="34"/>
      <c r="E145" s="34"/>
      <c r="F145" s="34"/>
      <c r="G145" s="34"/>
      <c r="H145" s="34"/>
      <c r="I145" s="58" t="s">
        <v>106</v>
      </c>
      <c r="J145" s="58"/>
      <c r="K145" s="58"/>
      <c r="L145" s="58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18">
    <mergeCell ref="B89:O89"/>
    <mergeCell ref="N2:N4"/>
    <mergeCell ref="B1:L1"/>
    <mergeCell ref="B2:C3"/>
    <mergeCell ref="E2:F3"/>
    <mergeCell ref="M2:M4"/>
    <mergeCell ref="B145:C145"/>
    <mergeCell ref="I145:L145"/>
    <mergeCell ref="B101:O101"/>
    <mergeCell ref="B113:O113"/>
    <mergeCell ref="E143:F143"/>
    <mergeCell ref="B144:C144"/>
    <mergeCell ref="E144:F144"/>
    <mergeCell ref="I144:L144"/>
    <mergeCell ref="O2:O4"/>
    <mergeCell ref="B6:O6"/>
    <mergeCell ref="B68:O68"/>
    <mergeCell ref="B78:O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2025-01-26T06:37:21Z</cp:lastPrinted>
  <dcterms:created xsi:type="dcterms:W3CDTF">2024-04-30T05:21:27Z</dcterms:created>
  <dcterms:modified xsi:type="dcterms:W3CDTF">2025-01-26T06:37:24Z</dcterms:modified>
</cp:coreProperties>
</file>