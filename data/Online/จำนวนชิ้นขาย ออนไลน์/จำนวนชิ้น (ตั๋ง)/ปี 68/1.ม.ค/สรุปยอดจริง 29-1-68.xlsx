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ocuments\"/>
    </mc:Choice>
  </mc:AlternateContent>
  <xr:revisionPtr revIDLastSave="0" documentId="13_ncr:1_{BE0F72E1-2148-4C01-B8A1-B49B99C40C1B}" xr6:coauthVersionLast="47" xr6:coauthVersionMax="47" xr10:uidLastSave="{00000000-0000-0000-0000-000000000000}"/>
  <bookViews>
    <workbookView xWindow="1845" yWindow="1080" windowWidth="25020" windowHeight="1357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7" i="5" l="1"/>
  <c r="D7" i="5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G26" i="5"/>
  <c r="D27" i="5"/>
  <c r="E27" i="5"/>
  <c r="F27" i="5"/>
  <c r="G27" i="5"/>
  <c r="D28" i="5"/>
  <c r="E28" i="5"/>
  <c r="F28" i="5"/>
  <c r="G28" i="5"/>
  <c r="D29" i="5"/>
  <c r="E29" i="5"/>
  <c r="F29" i="5"/>
  <c r="G29" i="5"/>
  <c r="D30" i="5"/>
  <c r="E30" i="5"/>
  <c r="F30" i="5"/>
  <c r="G30" i="5"/>
  <c r="D31" i="5"/>
  <c r="E31" i="5"/>
  <c r="F31" i="5"/>
  <c r="G31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N140" i="5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<sst xmlns="http://schemas.openxmlformats.org/spreadsheetml/2006/main" count="613" uniqueCount="145">
  <si>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</si>
  <si>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</si>
  <si>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</si>
  <si>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</si>
  <si>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</si>
  <si>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</si>
  <si>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</si>
  <si>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</si>
  <si>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</si>
  <si>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</si>
  <si>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</si>
  <si>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</si>
  <si>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</si>
  <si>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</si>
  <si>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</si>
  <si>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</si>
  <si>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</si>
  <si>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</si>
  <si>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</si>
  <si>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</si>
  <si>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</si>
  <si>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</si>
  <si>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</si>
  <si>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</si>
  <si>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</si>
  <si>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</si>
  <si>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</si>
  <si>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</si>
  <si>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</si>
  <si>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</si>
  <si>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</si>
  <si>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</si>
  <si>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</si>
  <si>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</si>
  <si>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</si>
  <si>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</si>
  <si>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</si>
  <si>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</si>
  <si>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</si>
  <si>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</si>
  <si>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</si>
  <si>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</si>
  <si>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</si>
  <si>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</si>
  <si>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</si>
  <si>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</si>
  <si>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</si>
  <si>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</si>
  <si>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</si>
  <si>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</si>
  <si>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</si>
  <si>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</si>
  <si>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</si>
  <si>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</si>
  <si>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</si>
  <si>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</si>
  <si>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</si>
  <si>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</si>
  <si>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</si>
  <si>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</si>
  <si>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</si>
  <si>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</si>
  <si>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</si>
  <si>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</si>
  <si>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</si>
  <si>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</si>
  <si>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</si>
  <si>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</si>
  <si>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</si>
  <si>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</si>
  <si>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</si>
  <si>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</si>
  <si>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</si>
  <si>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</si>
  <si>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</si>
  <si>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</si>
  <si>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</si>
  <si>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</si>
  <si>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</si>
  <si>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</si>
  <si>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</si>
  <si>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</si>
  <si>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</si>
  <si>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</si>
  <si>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</si>
  <si>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</si>
  <si>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</si>
  <si>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</si>
  <si>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</si>
  <si>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</si>
  <si>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</si>
  <si>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</si>
  <si>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</si>
  <si>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</si>
  <si>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</si>
  <si>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</si>
  <si>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</si>
  <si>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</si>
  <si>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</si>
  <si>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</si>
  <si>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</si>
  <si>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</si>
  <si>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</si>
  <si>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</si>
  <si>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</si>
  <si>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</si>
  <si>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</si>
  <si>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</si>
  <si>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</si>
  <si>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</si>
  <si>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</si>
  <si>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</si>
  <si>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</si>
  <si>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</si>
  <si>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</si>
  <si>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</si>
  <si>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</si>
  <si>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</si>
  <si>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</si>
  <si>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</si>
  <si>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</si>
  <si>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</si>
  <si>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</si>
  <si>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</si>
  <si>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</si>
  <si>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</si>
  <si>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</si>
  <si>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</si>
  <si>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</si>
  <si>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</si>
  <si>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</si>
  <si>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</si>
  <si>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</si>
  <si>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</si>
  <si>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</si>
  <si>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</si>
  <si>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</si>
  <si>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</si>
  <si>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</si>
  <si>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</si>
  <si>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</si>
  <si>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</si>
  <si>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25/1/2568 - เย็น</t>
  </si>
  <si>
    <t>ยอดจริง ออนไลน์ วันที่ 27/1/2568 - บ่าย</t>
  </si>
  <si>
    <t>ยอดจริง ออนไลน์ วันที่ 29/1/68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</si>
</sst>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100" zoomScale="60" zoomScaleNormal="60" workbookViewId="0">
      <selection activeCell="E45" sqref="E45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zoomScale="60" zoomScaleNormal="60" workbookViewId="0">
      <selection activeCell="F127" sqref="F127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</cols>
  <sheetData>
    <row r="1" spans="2:1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>
        <v>5</v>
      </c>
      <c r="G92" s="31"/>
      <c r="H92" s="31"/>
      <c r="I92" s="31"/>
      <c r="J92" s="44"/>
      <c r="K92" s="44"/>
      <c r="L92" s="37">
        <f t="shared" si="3"/>
        <v>5</v>
      </c>
    </row>
    <row r="93" spans="2:12">
      <c r="B93" s="11">
        <v>1112005</v>
      </c>
      <c r="C93" s="20" t="s">
        <v>78</v>
      </c>
      <c r="D93" s="31"/>
      <c r="E93" s="31"/>
      <c r="F93" s="31">
        <v>4</v>
      </c>
      <c r="G93" s="31"/>
      <c r="H93" s="31"/>
      <c r="I93" s="31"/>
      <c r="J93" s="44"/>
      <c r="K93" s="44"/>
      <c r="L93" s="37">
        <f t="shared" si="3"/>
        <v>4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>
        <v>1</v>
      </c>
      <c r="F114" s="31"/>
      <c r="G114" s="31"/>
      <c r="H114" s="31"/>
      <c r="I114" s="31"/>
      <c r="J114" s="44"/>
      <c r="K114" s="44"/>
      <c r="L114" s="37">
        <f t="shared" ref="L114:L139" si="6">SUM(D114:K114)</f>
        <v>1</v>
      </c>
    </row>
    <row r="115" spans="2:12">
      <c r="B115" s="11">
        <v>1113171</v>
      </c>
      <c r="C115" s="22" t="s">
        <v>88</v>
      </c>
      <c r="D115" s="31"/>
      <c r="E115" s="31">
        <v>1</v>
      </c>
      <c r="F115" s="31"/>
      <c r="G115" s="31"/>
      <c r="H115" s="31"/>
      <c r="I115" s="31"/>
      <c r="J115" s="44"/>
      <c r="K115" s="44"/>
      <c r="L115" s="37">
        <f t="shared" si="6"/>
        <v>1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>
        <v>4</v>
      </c>
      <c r="F120" s="31"/>
      <c r="G120" s="31"/>
      <c r="H120" s="31"/>
      <c r="I120" s="31"/>
      <c r="J120" s="44"/>
      <c r="K120" s="44"/>
      <c r="L120" s="37">
        <f t="shared" si="6"/>
        <v>4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>
        <v>3</v>
      </c>
      <c r="G126" s="31"/>
      <c r="H126" s="31"/>
      <c r="I126" s="31"/>
      <c r="J126" s="44"/>
      <c r="K126" s="44"/>
      <c r="L126" s="37">
        <f t="shared" si="6"/>
        <v>3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1</v>
      </c>
      <c r="F135" s="31"/>
      <c r="G135" s="31"/>
      <c r="H135" s="31"/>
      <c r="I135" s="31"/>
      <c r="J135" s="44"/>
      <c r="K135" s="44"/>
      <c r="L135" s="37">
        <f t="shared" si="6"/>
        <v>1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67" zoomScale="60" zoomScaleNormal="60" workbookViewId="0">
      <selection activeCell="D119" sqref="D119:I12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162"/>
  <sheetViews>
    <sheetView tabSelected="1" zoomScale="50" zoomScaleNormal="50" workbookViewId="0">
      <selection activeCell="M1" sqref="M1:Y1048576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hidden="1" customWidth="1"/>
    <col min="20" max="20" width="22.7109375" style="46" hidden="1" customWidth="1"/>
    <col min="21" max="25" width="9.140625" style="46" hidden="1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0</v>
      </c>
      <c r="E7" s="31">
        <f>'เย็น '!E7+'เช้า '!E7+บ่าย!E7</f>
        <v>0</v>
      </c>
      <c r="F7" s="31">
        <f>'เย็น '!F7+'เช้า '!F7+บ่าย!F7</f>
        <v>0</v>
      </c>
      <c r="G7" s="31">
        <f>'เย็น '!G7+'เช้า '!G7+บ่าย!G7</f>
        <v>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0</v>
      </c>
      <c r="M7" s="11"/>
      <c r="N7" s="11"/>
      <c r="O7" s="11"/>
      <c r="P7" s="11"/>
      <c r="Q7" s="45">
        <f>(M7+N7+O7+P7)-L7</f>
        <v>0</v>
      </c>
    </row>
    <row r="8" spans="2:17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0</v>
      </c>
      <c r="F25" s="31">
        <f>'เย็น '!F25+'เช้า '!F25+บ่าย!F25</f>
        <v>0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0</v>
      </c>
      <c r="M25" s="11"/>
      <c r="N25" s="11"/>
      <c r="O25" s="11"/>
      <c r="P25" s="11"/>
      <c r="Q25" s="45">
        <f t="shared" si="1"/>
        <v>0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0</v>
      </c>
      <c r="M26" s="11"/>
      <c r="N26" s="11"/>
      <c r="O26" s="11"/>
      <c r="P26" s="11"/>
      <c r="Q26" s="45">
        <f t="shared" si="1"/>
        <v>0</v>
      </c>
    </row>
    <row r="27" spans="2:17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2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</row>
    <row r="53" spans="2:2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  <c r="T54" s="47"/>
      <c r="V54" s="47"/>
    </row>
    <row r="55" spans="2:2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>
        <v>1</v>
      </c>
      <c r="O57" s="11"/>
      <c r="P57" s="11"/>
      <c r="Q57" s="45">
        <f t="shared" si="1"/>
        <v>1</v>
      </c>
    </row>
    <row r="58" spans="2:2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>
        <v>1</v>
      </c>
      <c r="O58" s="11"/>
      <c r="P58" s="11"/>
      <c r="Q58" s="45">
        <f t="shared" si="1"/>
        <v>1</v>
      </c>
    </row>
    <row r="59" spans="2:2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>
        <v>1</v>
      </c>
      <c r="O59" s="11"/>
      <c r="P59" s="11"/>
      <c r="Q59" s="45">
        <f t="shared" si="1"/>
        <v>1</v>
      </c>
    </row>
    <row r="60" spans="2:2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7"/>
    </row>
    <row r="66" spans="2:20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0</v>
      </c>
      <c r="F69" s="31">
        <f>'เย็น '!F69+'เช้า '!F69+บ่าย!F69</f>
        <v>0</v>
      </c>
      <c r="G69" s="31">
        <f>'เย็น '!G69+'เช้า '!G69+บ่าย!G69</f>
        <v>0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0</v>
      </c>
      <c r="M69" s="11"/>
      <c r="N69" s="11"/>
      <c r="O69" s="11"/>
      <c r="P69" s="11"/>
      <c r="Q69" s="45">
        <f t="shared" ref="Q69:Q76" si="5">(M69+N69+O69+P69)-L69</f>
        <v>0</v>
      </c>
      <c r="T69" s="47"/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0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0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0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20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0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20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0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0</v>
      </c>
      <c r="M87" s="11"/>
      <c r="N87" s="11">
        <v>6</v>
      </c>
      <c r="O87" s="11"/>
      <c r="P87" s="11"/>
      <c r="Q87" s="45">
        <f t="shared" si="8"/>
        <v>6</v>
      </c>
      <c r="T87" s="47"/>
    </row>
    <row r="88" spans="2:20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0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0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0</v>
      </c>
      <c r="M90" s="11"/>
      <c r="N90" s="11"/>
      <c r="O90" s="11"/>
      <c r="P90" s="11"/>
      <c r="Q90" s="45">
        <f t="shared" ref="Q90:Q99" si="10">(M90+N90+O90+P90)-L90</f>
        <v>0</v>
      </c>
    </row>
    <row r="91" spans="2:20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0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0</v>
      </c>
      <c r="M91" s="11"/>
      <c r="N91" s="11"/>
      <c r="O91" s="11"/>
      <c r="P91" s="11"/>
      <c r="Q91" s="45">
        <f t="shared" si="10"/>
        <v>0</v>
      </c>
    </row>
    <row r="92" spans="2:20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5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5</v>
      </c>
      <c r="M92" s="11"/>
      <c r="N92" s="11">
        <v>5</v>
      </c>
      <c r="O92" s="11"/>
      <c r="P92" s="11"/>
      <c r="Q92" s="45">
        <f t="shared" si="10"/>
        <v>0</v>
      </c>
    </row>
    <row r="93" spans="2:20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4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4</v>
      </c>
      <c r="M93" s="11"/>
      <c r="N93" s="11">
        <v>2</v>
      </c>
      <c r="O93" s="11"/>
      <c r="P93" s="11"/>
      <c r="Q93" s="45">
        <f t="shared" si="10"/>
        <v>-2</v>
      </c>
    </row>
    <row r="94" spans="2:20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20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20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  <c r="T98" s="47"/>
    </row>
    <row r="99" spans="2:20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9</v>
      </c>
      <c r="M100" s="11"/>
      <c r="N100" s="11"/>
      <c r="O100" s="11"/>
      <c r="P100" s="11"/>
      <c r="Q100" s="45">
        <f>SUM(Q90:Q99)</f>
        <v>-2</v>
      </c>
    </row>
    <row r="101" spans="2:20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0" hidden="1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20" hidden="1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20" hidden="1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hidden="1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hidden="1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hidden="1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hidden="1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hidden="1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hidden="1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20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1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1</v>
      </c>
      <c r="M114" s="11"/>
      <c r="N114" s="11">
        <v>2</v>
      </c>
      <c r="O114" s="11"/>
      <c r="P114" s="11"/>
      <c r="Q114" s="45">
        <f t="shared" ref="Q114:Q139" si="16">(M114+N114+O114+P114)-L114</f>
        <v>1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1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1</v>
      </c>
      <c r="M115" s="11"/>
      <c r="N115" s="11"/>
      <c r="O115" s="11"/>
      <c r="P115" s="11"/>
      <c r="Q115" s="45">
        <f t="shared" si="16"/>
        <v>-1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/>
      <c r="N116" s="11"/>
      <c r="O116" s="11"/>
      <c r="P116" s="11"/>
      <c r="Q116" s="45">
        <f t="shared" si="16"/>
        <v>0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>
        <v>24</v>
      </c>
      <c r="O118" s="11"/>
      <c r="P118" s="11"/>
      <c r="Q118" s="45">
        <f t="shared" si="16"/>
        <v>24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4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4</v>
      </c>
      <c r="M120" s="11"/>
      <c r="N120" s="11"/>
      <c r="O120" s="11"/>
      <c r="P120" s="11"/>
      <c r="Q120" s="45">
        <f t="shared" si="16"/>
        <v>-4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45</v>
      </c>
      <c r="O121" s="11"/>
      <c r="P121" s="11"/>
      <c r="Q121" s="45">
        <f t="shared" si="16"/>
        <v>45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0</v>
      </c>
      <c r="F123" s="31">
        <f>'เย็น '!F123+'เช้า '!F123+บ่าย!F123</f>
        <v>0</v>
      </c>
      <c r="G123" s="31">
        <f>'เย็น '!G123+'เช้า '!G123+บ่าย!G123</f>
        <v>0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0</v>
      </c>
      <c r="M123" s="11"/>
      <c r="N123" s="11">
        <v>12</v>
      </c>
      <c r="O123" s="11"/>
      <c r="P123" s="11"/>
      <c r="Q123" s="45">
        <f t="shared" si="16"/>
        <v>12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0</v>
      </c>
      <c r="M124" s="11"/>
      <c r="N124" s="11">
        <v>3</v>
      </c>
      <c r="O124" s="11"/>
      <c r="P124" s="11"/>
      <c r="Q124" s="45">
        <f t="shared" si="16"/>
        <v>3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0</v>
      </c>
      <c r="M125" s="11"/>
      <c r="N125" s="11">
        <v>3</v>
      </c>
      <c r="O125" s="11"/>
      <c r="P125" s="11"/>
      <c r="Q125" s="45">
        <f t="shared" si="16"/>
        <v>3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3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3</v>
      </c>
      <c r="M126" s="11"/>
      <c r="N126" s="11"/>
      <c r="O126" s="11"/>
      <c r="P126" s="11"/>
      <c r="Q126" s="45">
        <f t="shared" si="16"/>
        <v>-3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1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1</v>
      </c>
      <c r="M135" s="11"/>
      <c r="N135" s="11"/>
      <c r="O135" s="11"/>
      <c r="P135" s="11"/>
      <c r="Q135" s="45">
        <f t="shared" si="16"/>
        <v>-1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51"/>
      <c r="C137" s="50" t="s">
        <v>137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>
      <c r="C140" s="36"/>
      <c r="D140" s="37">
        <f>SUM(D114:D139,D90:D99,D79:D87,D69:D76,D7:D66,D102:D111)</f>
        <v>0</v>
      </c>
      <c r="E140" s="37">
        <f t="shared" ref="E140:K140" si="17">SUM(E114:E139,E90:E99,E79:E87,E69:E76,E7:E66,E102:E111)</f>
        <v>7</v>
      </c>
      <c r="F140" s="37">
        <f t="shared" si="17"/>
        <v>12</v>
      </c>
      <c r="G140" s="37">
        <f t="shared" si="17"/>
        <v>0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19</v>
      </c>
      <c r="M140" s="31">
        <f>SUM(M114:M136,M90:M98,M79:M87,M69:M76,M7:M66)</f>
        <v>0</v>
      </c>
      <c r="N140" s="31">
        <f>SUM(N114:N136,N90:N98,N79:N87,N69:N76,N7:N66)</f>
        <v>105</v>
      </c>
      <c r="O140" s="31"/>
      <c r="P140" s="31"/>
      <c r="Q140" s="45">
        <f t="shared" ref="Q140" si="18">(M140+N140)-L140</f>
        <v>86</v>
      </c>
    </row>
    <row r="141" spans="2:17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C143" s="25"/>
      <c r="D143" s="32"/>
      <c r="E143" s="61"/>
      <c r="F143" s="61"/>
      <c r="G143" s="27"/>
      <c r="L143" s="41"/>
    </row>
    <row r="144" spans="2:17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2025-01-29T00:28:00Z</cp:lastPrinted>
  <dcterms:created xsi:type="dcterms:W3CDTF">2024-04-30T05:21:27Z</dcterms:created>
  <dcterms:modified xsi:type="dcterms:W3CDTF">2025-01-29T00:39:05Z</dcterms:modified>
</cp:coreProperties>
</file>