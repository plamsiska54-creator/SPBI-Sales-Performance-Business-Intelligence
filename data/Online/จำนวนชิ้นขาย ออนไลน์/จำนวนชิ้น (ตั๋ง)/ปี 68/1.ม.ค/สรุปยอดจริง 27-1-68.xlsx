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3A5DA03-8DE7-4A02-99BE-3A421D9A4D8D}" xr6:coauthVersionLast="47" xr6:coauthVersionMax="47" xr10:uidLastSave="{00000000-0000-0000-0000-000000000000}"/>
  <bookViews>
    <workbookView xWindow="-120" yWindow="-120" windowWidth="29040" windowHeight="15720" firstSheet="2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5" l="1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G26" i="5"/>
  <c r="D27" i="5"/>
  <c r="E27" i="5"/>
  <c r="F27" i="5"/>
  <c r="G27" i="5"/>
  <c r="D28" i="5"/>
  <c r="E28" i="5"/>
  <c r="F28" i="5"/>
  <c r="G28" i="5"/>
  <c r="D29" i="5"/>
  <c r="E29" i="5"/>
  <c r="F29" i="5"/>
  <c r="G29" i="5"/>
  <c r="D30" i="5"/>
  <c r="E30" i="5"/>
  <c r="F30" i="5"/>
  <c r="G30" i="5"/>
  <c r="D31" i="5"/>
  <c r="E31" i="5"/>
  <c r="F31" i="5"/>
  <c r="G31" i="5"/>
  <c r="D32" i="5"/>
  <c r="E32" i="5"/>
  <c r="F32" i="5"/>
  <c r="G32" i="5"/>
  <c r="D33" i="5"/>
  <c r="E33" i="5"/>
  <c r="F33" i="5"/>
  <c r="G33" i="5"/>
  <c r="D34" i="5"/>
  <c r="E34" i="5"/>
  <c r="F34" i="5"/>
  <c r="G34" i="5"/>
  <c r="D35" i="5"/>
  <c r="E35" i="5"/>
  <c r="F35" i="5"/>
  <c r="G35" i="5"/>
  <c r="D36" i="5"/>
  <c r="E36" i="5"/>
  <c r="F36" i="5"/>
  <c r="G36" i="5"/>
  <c r="D37" i="5"/>
  <c r="E37" i="5"/>
  <c r="F37" i="5"/>
  <c r="G37" i="5"/>
  <c r="D38" i="5"/>
  <c r="E38" i="5"/>
  <c r="F38" i="5"/>
  <c r="G38" i="5"/>
  <c r="D39" i="5"/>
  <c r="E39" i="5"/>
  <c r="F39" i="5"/>
  <c r="G39" i="5"/>
  <c r="D40" i="5"/>
  <c r="E40" i="5"/>
  <c r="F40" i="5"/>
  <c r="G40" i="5"/>
  <c r="D41" i="5"/>
  <c r="E41" i="5"/>
  <c r="F41" i="5"/>
  <c r="G41" i="5"/>
  <c r="D42" i="5"/>
  <c r="E42" i="5"/>
  <c r="F42" i="5"/>
  <c r="G42" i="5"/>
  <c r="D43" i="5"/>
  <c r="E43" i="5"/>
  <c r="F43" i="5"/>
  <c r="G43" i="5"/>
  <c r="D44" i="5"/>
  <c r="E44" i="5"/>
  <c r="F44" i="5"/>
  <c r="G44" i="5"/>
  <c r="D45" i="5"/>
  <c r="E45" i="5"/>
  <c r="F45" i="5"/>
  <c r="G45" i="5"/>
  <c r="D46" i="5"/>
  <c r="E46" i="5"/>
  <c r="F46" i="5"/>
  <c r="G46" i="5"/>
  <c r="D47" i="5"/>
  <c r="E47" i="5"/>
  <c r="F47" i="5"/>
  <c r="G47" i="5"/>
  <c r="D48" i="5"/>
  <c r="E48" i="5"/>
  <c r="F48" i="5"/>
  <c r="G48" i="5"/>
  <c r="D49" i="5"/>
  <c r="E49" i="5"/>
  <c r="F49" i="5"/>
  <c r="G49" i="5"/>
  <c r="D50" i="5"/>
  <c r="E50" i="5"/>
  <c r="F50" i="5"/>
  <c r="G50" i="5"/>
  <c r="D51" i="5"/>
  <c r="E51" i="5"/>
  <c r="F51" i="5"/>
  <c r="G51" i="5"/>
  <c r="N140" i="5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H26" i="5"/>
  <c r="I26" i="5"/>
  <c r="J26" i="5"/>
  <c r="K26" i="5"/>
  <c r="H27" i="5"/>
  <c r="I27" i="5"/>
  <c r="J27" i="5"/>
  <c r="K27" i="5"/>
  <c r="H28" i="5"/>
  <c r="I28" i="5"/>
  <c r="J28" i="5"/>
  <c r="K28" i="5"/>
  <c r="H29" i="5"/>
  <c r="I29" i="5"/>
  <c r="J29" i="5"/>
  <c r="K29" i="5"/>
  <c r="H30" i="5"/>
  <c r="I30" i="5"/>
  <c r="J30" i="5"/>
  <c r="K30" i="5"/>
  <c r="H31" i="5"/>
  <c r="I31" i="5"/>
  <c r="J31" i="5"/>
  <c r="K31" i="5"/>
  <c r="H32" i="5"/>
  <c r="I32" i="5"/>
  <c r="J32" i="5"/>
  <c r="K32" i="5"/>
  <c r="H33" i="5"/>
  <c r="I33" i="5"/>
  <c r="J33" i="5"/>
  <c r="K33" i="5"/>
  <c r="H34" i="5"/>
  <c r="I34" i="5"/>
  <c r="J34" i="5"/>
  <c r="K34" i="5"/>
  <c r="H35" i="5"/>
  <c r="I35" i="5"/>
  <c r="J35" i="5"/>
  <c r="K35" i="5"/>
  <c r="H36" i="5"/>
  <c r="I36" i="5"/>
  <c r="J36" i="5"/>
  <c r="K36" i="5"/>
  <c r="H37" i="5"/>
  <c r="I37" i="5"/>
  <c r="J37" i="5"/>
  <c r="K37" i="5"/>
  <c r="H38" i="5"/>
  <c r="I38" i="5"/>
  <c r="J38" i="5"/>
  <c r="K38" i="5"/>
  <c r="H39" i="5"/>
  <c r="I39" i="5"/>
  <c r="J39" i="5"/>
  <c r="K39" i="5"/>
  <c r="H40" i="5"/>
  <c r="I40" i="5"/>
  <c r="J40" i="5"/>
  <c r="K40" i="5"/>
  <c r="H41" i="5"/>
  <c r="I41" i="5"/>
  <c r="J41" i="5"/>
  <c r="K41" i="5"/>
  <c r="H42" i="5"/>
  <c r="I42" i="5"/>
  <c r="J42" i="5"/>
  <c r="K42" i="5"/>
  <c r="H43" i="5"/>
  <c r="I43" i="5"/>
  <c r="J43" i="5"/>
  <c r="K43" i="5"/>
  <c r="H44" i="5"/>
  <c r="I44" i="5"/>
  <c r="J44" i="5"/>
  <c r="K44" i="5"/>
  <c r="H45" i="5"/>
  <c r="I45" i="5"/>
  <c r="J45" i="5"/>
  <c r="K45" i="5"/>
  <c r="H46" i="5"/>
  <c r="I46" i="5"/>
  <c r="J46" i="5"/>
  <c r="K46" i="5"/>
  <c r="H47" i="5"/>
  <c r="I47" i="5"/>
  <c r="J47" i="5"/>
  <c r="K47" i="5"/>
  <c r="H48" i="5"/>
  <c r="I48" i="5"/>
  <c r="J48" i="5"/>
  <c r="K48" i="5"/>
  <c r="H49" i="5"/>
  <c r="I49" i="5"/>
  <c r="J49" i="5"/>
  <c r="K49" i="5"/>
  <c r="H50" i="5"/>
  <c r="I50" i="5"/>
  <c r="J50" i="5"/>
  <c r="K50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3" l="1"/>
  <c r="L112" i="6"/>
  <c r="L135" i="5"/>
  <c r="Q135" i="5" s="1"/>
  <c r="L137" i="5"/>
  <c r="Q137" i="5" s="1"/>
  <c r="K140" i="5"/>
  <c r="L136" i="5"/>
  <c r="Q136" i="5" s="1"/>
  <c r="L138" i="5"/>
  <c r="Q138" i="5" s="1"/>
  <c r="L139" i="5"/>
  <c r="Q139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T98" i="5" l="1"/>
  <c r="J140" i="5"/>
  <c r="E140" i="5"/>
  <c r="F140" i="5"/>
  <c r="I140" i="5"/>
  <c r="H140" i="5"/>
  <c r="D140" i="5"/>
  <c r="G140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T65" i="5" l="1"/>
  <c r="L140" i="5"/>
  <c r="L112" i="5"/>
  <c r="Q112" i="5" s="1"/>
  <c r="L88" i="5"/>
  <c r="Q88" i="5" s="1"/>
  <c r="L67" i="5"/>
  <c r="Q67" i="5" s="1"/>
  <c r="M140" i="5" l="1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<sst xmlns="http://schemas.openxmlformats.org/spreadsheetml/2006/main" count="613" uniqueCount="145">
  <si>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</si>
  <si>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</si>
  <si>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</si>
  <si>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</si>
  <si>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</si>
  <si>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</si>
  <si>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</si>
  <si>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</si>
  <si>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</si>
  <si>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</si>
  <si>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</si>
  <si>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</si>
  <si>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</si>
  <si>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</si>
  <si>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</si>
  <si>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</si>
  <si>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</si>
  <si>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</si>
  <si>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</si>
  <si>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</si>
  <si>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</si>
  <si>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</si>
  <si>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</si>
  <si>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</si>
  <si>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</si>
  <si>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</si>
  <si>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</si>
  <si>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</si>
  <si>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</si>
  <si>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</si>
  <si>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</si>
  <si>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</si>
  <si>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</si>
  <si>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</si>
  <si>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</si>
  <si>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</si>
  <si>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</si>
  <si>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</si>
  <si>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</si>
  <si>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</si>
  <si>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</si>
  <si>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</si>
  <si>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</si>
  <si>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</si>
  <si>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</si>
  <si>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</si>
  <si>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</si>
  <si>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</si>
  <si>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</si>
  <si>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</si>
  <si>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</si>
  <si>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</si>
  <si>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</si>
  <si>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</si>
  <si>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</si>
  <si>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</si>
  <si>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</si>
  <si>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</si>
  <si>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</si>
  <si>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</si>
  <si>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</si>
  <si>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</si>
  <si>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</si>
  <si>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</si>
  <si>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</si>
  <si>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</si>
  <si>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</si>
  <si>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</si>
  <si>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</si>
  <si>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</si>
  <si>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</si>
  <si>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</si>
  <si>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</si>
  <si>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</si>
  <si>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</si>
  <si>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</si>
  <si>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</si>
  <si>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</si>
  <si>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</si>
  <si>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</si>
  <si>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</si>
  <si>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</si>
  <si>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</si>
  <si>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</si>
  <si>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</si>
  <si>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</si>
  <si>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</si>
  <si>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</si>
  <si>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</si>
  <si>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</si>
  <si>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</si>
  <si>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</si>
  <si>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</si>
  <si>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</si>
  <si>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</si>
  <si>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</si>
  <si>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</si>
  <si>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</si>
  <si>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</si>
  <si>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</si>
  <si>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</si>
  <si>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</si>
  <si>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</si>
  <si>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</si>
  <si>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</si>
  <si>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</si>
  <si>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</si>
  <si>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</si>
  <si>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</si>
  <si>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</si>
  <si>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</si>
  <si>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</si>
  <si>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</si>
  <si>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</si>
  <si>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</si>
  <si>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</si>
  <si>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</si>
  <si>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</si>
  <si>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</si>
  <si>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</si>
  <si>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</si>
  <si>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</si>
  <si>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</si>
  <si>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</si>
  <si>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</si>
  <si>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</si>
  <si>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</si>
  <si>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</si>
  <si>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</si>
  <si>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</si>
  <si>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</si>
  <si>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</si>
  <si>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</si>
  <si>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</si>
  <si>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</si>
  <si>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</si>
  <si>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</si>
  <si>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</si>
  <si>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</si>
  <si>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</si>
  <si>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</si>
  <si>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</si>
  <si>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25/1/2568 - เย็น</t>
  </si>
  <si>
    <t>ยอดจริง ออนไลน์ วันที่ 27/1/68  รวม</t>
  </si>
  <si>
    <t>ยอดจริง ออนไลน์ วันที่ 27/1/2568 - บ่าย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</si>
</sst>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E45" sqref="E45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142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zoomScale="60" zoomScaleNormal="60" workbookViewId="0">
      <selection activeCell="R93" sqref="R93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1" width="14.375" style="16" hidden="1" customWidth="1"/>
    <col min="12" max="12" width="17.625" style="26" customWidth="1"/>
  </cols>
  <sheetData>
    <row r="1" spans="2:12" x14ac:dyDescent="0.2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>
        <v>3</v>
      </c>
      <c r="F25" s="31"/>
      <c r="G25" s="31"/>
      <c r="H25" s="31"/>
      <c r="I25" s="31"/>
      <c r="J25" s="44"/>
      <c r="K25" s="44"/>
      <c r="L25" s="37">
        <f t="shared" si="0"/>
        <v>3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>
        <v>4</v>
      </c>
      <c r="F92" s="31"/>
      <c r="G92" s="31"/>
      <c r="H92" s="31"/>
      <c r="I92" s="31"/>
      <c r="J92" s="44"/>
      <c r="K92" s="44"/>
      <c r="L92" s="37">
        <f t="shared" si="3"/>
        <v>4</v>
      </c>
    </row>
    <row r="93" spans="2:12" x14ac:dyDescent="0.2">
      <c r="B93" s="11">
        <v>1112005</v>
      </c>
      <c r="C93" s="20" t="s">
        <v>78</v>
      </c>
      <c r="D93" s="31"/>
      <c r="E93" s="31">
        <v>4</v>
      </c>
      <c r="F93" s="31"/>
      <c r="G93" s="31"/>
      <c r="H93" s="31"/>
      <c r="I93" s="31"/>
      <c r="J93" s="44"/>
      <c r="K93" s="44"/>
      <c r="L93" s="37">
        <f t="shared" si="3"/>
        <v>4</v>
      </c>
    </row>
    <row r="94" spans="2:12" hidden="1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hidden="1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hidden="1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>
        <v>4</v>
      </c>
      <c r="F97" s="31"/>
      <c r="G97" s="31"/>
      <c r="H97" s="31"/>
      <c r="I97" s="31"/>
      <c r="J97" s="44"/>
      <c r="K97" s="44"/>
      <c r="L97" s="37">
        <f t="shared" si="3"/>
        <v>4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hidden="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hidden="1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hidden="1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hidden="1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hidden="1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hidden="1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hidden="1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hidden="1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hidden="1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hidden="1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hidden="1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>
        <v>1</v>
      </c>
      <c r="F114" s="31"/>
      <c r="G114" s="31">
        <v>1</v>
      </c>
      <c r="H114" s="31"/>
      <c r="I114" s="31"/>
      <c r="J114" s="44"/>
      <c r="K114" s="44"/>
      <c r="L114" s="37">
        <f t="shared" ref="L114:L139" si="6">SUM(D114:K114)</f>
        <v>2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>
        <v>10</v>
      </c>
      <c r="H119" s="31"/>
      <c r="I119" s="31"/>
      <c r="J119" s="44"/>
      <c r="K119" s="44"/>
      <c r="L119" s="37">
        <f t="shared" si="6"/>
        <v>10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>
        <v>4</v>
      </c>
      <c r="H123" s="31"/>
      <c r="I123" s="31"/>
      <c r="J123" s="44"/>
      <c r="K123" s="44"/>
      <c r="L123" s="37">
        <f t="shared" si="6"/>
        <v>4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>
        <v>4</v>
      </c>
      <c r="H124" s="31"/>
      <c r="I124" s="31"/>
      <c r="J124" s="44"/>
      <c r="K124" s="44"/>
      <c r="L124" s="37">
        <f t="shared" si="6"/>
        <v>4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>
        <v>4</v>
      </c>
      <c r="H125" s="31"/>
      <c r="I125" s="31"/>
      <c r="J125" s="44"/>
      <c r="K125" s="44"/>
      <c r="L125" s="37">
        <f t="shared" si="6"/>
        <v>4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>
        <v>3</v>
      </c>
      <c r="F135" s="31"/>
      <c r="G135" s="31"/>
      <c r="H135" s="31"/>
      <c r="I135" s="31"/>
      <c r="J135" s="44"/>
      <c r="K135" s="44"/>
      <c r="L135" s="37">
        <f t="shared" si="6"/>
        <v>3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zoomScale="60" zoomScaleNormal="60" workbookViewId="0">
      <selection activeCell="E25" sqref="E25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>
        <v>3</v>
      </c>
      <c r="F7" s="31"/>
      <c r="G7" s="31"/>
      <c r="H7" s="31"/>
      <c r="I7" s="31"/>
      <c r="J7" s="44"/>
      <c r="K7" s="44"/>
      <c r="L7" s="37">
        <f>SUM(D7:K7)</f>
        <v>3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1</v>
      </c>
      <c r="E25" s="31"/>
      <c r="F25" s="31"/>
      <c r="G25" s="31"/>
      <c r="H25" s="31"/>
      <c r="I25" s="31"/>
      <c r="J25" s="44"/>
      <c r="K25" s="44"/>
      <c r="L25" s="37">
        <f t="shared" si="0"/>
        <v>1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>
        <v>1</v>
      </c>
      <c r="E56" s="31"/>
      <c r="F56" s="31"/>
      <c r="G56" s="31"/>
      <c r="H56" s="31"/>
      <c r="I56" s="31"/>
      <c r="J56" s="44"/>
      <c r="K56" s="44"/>
      <c r="L56" s="37">
        <f t="shared" si="0"/>
        <v>1</v>
      </c>
    </row>
    <row r="57" spans="2:12" x14ac:dyDescent="0.2">
      <c r="B57" s="11">
        <v>1111075</v>
      </c>
      <c r="C57" s="15" t="s">
        <v>45</v>
      </c>
      <c r="D57" s="31">
        <v>1</v>
      </c>
      <c r="E57" s="31"/>
      <c r="F57" s="31"/>
      <c r="G57" s="31"/>
      <c r="H57" s="31"/>
      <c r="I57" s="31"/>
      <c r="J57" s="44"/>
      <c r="K57" s="44"/>
      <c r="L57" s="37">
        <f t="shared" si="0"/>
        <v>1</v>
      </c>
    </row>
    <row r="58" spans="2:12" x14ac:dyDescent="0.2">
      <c r="B58" s="11">
        <v>1111076</v>
      </c>
      <c r="C58" s="15" t="s">
        <v>46</v>
      </c>
      <c r="D58" s="31">
        <v>1</v>
      </c>
      <c r="E58" s="31"/>
      <c r="F58" s="31"/>
      <c r="G58" s="31"/>
      <c r="H58" s="31"/>
      <c r="I58" s="31"/>
      <c r="J58" s="44"/>
      <c r="K58" s="44"/>
      <c r="L58" s="37">
        <f t="shared" si="0"/>
        <v>1</v>
      </c>
    </row>
    <row r="59" spans="2:12" x14ac:dyDescent="0.2">
      <c r="B59" s="11">
        <v>1111077</v>
      </c>
      <c r="C59" s="15" t="s">
        <v>47</v>
      </c>
      <c r="D59" s="31">
        <v>1</v>
      </c>
      <c r="E59" s="31"/>
      <c r="F59" s="31"/>
      <c r="G59" s="31"/>
      <c r="H59" s="31"/>
      <c r="I59" s="31"/>
      <c r="J59" s="44"/>
      <c r="K59" s="44"/>
      <c r="L59" s="37">
        <f t="shared" si="0"/>
        <v>1</v>
      </c>
    </row>
    <row r="60" spans="2:12" x14ac:dyDescent="0.2">
      <c r="B60" s="11">
        <v>1111078</v>
      </c>
      <c r="C60" s="15" t="s">
        <v>48</v>
      </c>
      <c r="D60" s="31">
        <v>1</v>
      </c>
      <c r="E60" s="31"/>
      <c r="F60" s="31"/>
      <c r="G60" s="31"/>
      <c r="H60" s="31"/>
      <c r="I60" s="31"/>
      <c r="J60" s="44"/>
      <c r="K60" s="44"/>
      <c r="L60" s="37">
        <f t="shared" si="0"/>
        <v>1</v>
      </c>
    </row>
    <row r="61" spans="2:12" x14ac:dyDescent="0.2">
      <c r="B61" s="11">
        <v>1111079</v>
      </c>
      <c r="C61" s="15" t="s">
        <v>49</v>
      </c>
      <c r="D61" s="31">
        <v>1</v>
      </c>
      <c r="E61" s="31"/>
      <c r="F61" s="31"/>
      <c r="G61" s="31"/>
      <c r="H61" s="31"/>
      <c r="I61" s="31"/>
      <c r="J61" s="44"/>
      <c r="K61" s="44"/>
      <c r="L61" s="37">
        <f t="shared" si="0"/>
        <v>1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>
        <v>21</v>
      </c>
      <c r="E87" s="31"/>
      <c r="F87" s="31"/>
      <c r="G87" s="31"/>
      <c r="H87" s="31"/>
      <c r="I87" s="31"/>
      <c r="J87" s="44"/>
      <c r="K87" s="44"/>
      <c r="L87" s="37">
        <f t="shared" si="2"/>
        <v>21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>
        <v>1</v>
      </c>
      <c r="E125" s="31"/>
      <c r="F125" s="31"/>
      <c r="G125" s="31"/>
      <c r="H125" s="31"/>
      <c r="I125" s="31"/>
      <c r="J125" s="44"/>
      <c r="K125" s="44"/>
      <c r="L125" s="37">
        <f t="shared" si="6"/>
        <v>1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Y162"/>
  <sheetViews>
    <sheetView tabSelected="1" zoomScale="60" zoomScaleNormal="60" workbookViewId="0">
      <selection activeCell="B1" sqref="B1:L1"/>
    </sheetView>
  </sheetViews>
  <sheetFormatPr defaultRowHeight="22.5" x14ac:dyDescent="0.25"/>
  <cols>
    <col min="2" max="2" width="22.125" style="24" customWidth="1"/>
    <col min="3" max="3" width="59.125" style="24" customWidth="1"/>
    <col min="4" max="7" width="14.375" style="16" customWidth="1"/>
    <col min="8" max="11" width="14.375" style="16" hidden="1" customWidth="1"/>
    <col min="12" max="12" width="17.625" style="26" customWidth="1"/>
    <col min="13" max="13" width="16.125" style="24" hidden="1" customWidth="1"/>
    <col min="14" max="15" width="15.375" style="24" hidden="1" customWidth="1"/>
    <col min="16" max="16" width="25.375" style="24" hidden="1" customWidth="1"/>
    <col min="17" max="17" width="14.375" style="29" hidden="1" customWidth="1"/>
    <col min="18" max="18" width="9.125" hidden="1" customWidth="1"/>
    <col min="19" max="19" width="7.375" hidden="1" customWidth="1"/>
    <col min="20" max="20" width="22.75" style="46" hidden="1" customWidth="1"/>
    <col min="21" max="22" width="9.125" style="46" hidden="1" customWidth="1"/>
    <col min="23" max="25" width="9.125" style="46" customWidth="1"/>
  </cols>
  <sheetData>
    <row r="1" spans="2:17" x14ac:dyDescent="0.25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135</v>
      </c>
      <c r="L4" s="10" t="s">
        <v>10</v>
      </c>
      <c r="M4" s="69"/>
      <c r="N4" s="69"/>
      <c r="O4" s="69"/>
      <c r="P4" s="69"/>
      <c r="Q4" s="72"/>
    </row>
    <row r="5" spans="2:17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5">
      <c r="B7" s="11">
        <v>1111002</v>
      </c>
      <c r="C7" s="15" t="s">
        <v>107</v>
      </c>
      <c r="D7" s="31">
        <f>'เย็น '!D7+'เช้า '!D7+บ่าย!D7</f>
        <v>0</v>
      </c>
      <c r="E7" s="31">
        <f>'เย็น '!E7+'เช้า '!E7+บ่าย!E7</f>
        <v>3</v>
      </c>
      <c r="F7" s="31">
        <f>'เย็น '!F7+'เช้า '!F7+บ่าย!F7</f>
        <v>0</v>
      </c>
      <c r="G7" s="31">
        <f>'เย็น '!G7+'เช้า '!G7+บ่าย!G7</f>
        <v>0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3</v>
      </c>
      <c r="M7" s="11"/>
      <c r="N7" s="11"/>
      <c r="O7" s="11"/>
      <c r="P7" s="11"/>
      <c r="Q7" s="45">
        <f>(M7+N7+O7+P7)-L7</f>
        <v>-3</v>
      </c>
    </row>
    <row r="8" spans="2:17" hidden="1" x14ac:dyDescent="0.25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5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5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5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5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5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5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5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5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5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5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5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5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5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5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5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5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5">
      <c r="B25" s="11">
        <v>1111056</v>
      </c>
      <c r="C25" s="15" t="s">
        <v>28</v>
      </c>
      <c r="D25" s="31">
        <f>'เย็น '!D25+'เช้า '!D25+บ่าย!D25</f>
        <v>1</v>
      </c>
      <c r="E25" s="31">
        <f>'เย็น '!E25+'เช้า '!E25+บ่าย!E25</f>
        <v>3</v>
      </c>
      <c r="F25" s="31">
        <f>'เย็น '!F25+'เช้า '!F25+บ่าย!F25</f>
        <v>0</v>
      </c>
      <c r="G25" s="31">
        <f>'เย็น '!G25+'เช้า '!G25+บ่าย!G25</f>
        <v>0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4</v>
      </c>
      <c r="M25" s="11"/>
      <c r="N25" s="11"/>
      <c r="O25" s="11"/>
      <c r="P25" s="11"/>
      <c r="Q25" s="45">
        <f t="shared" si="1"/>
        <v>-4</v>
      </c>
    </row>
    <row r="26" spans="2:17" x14ac:dyDescent="0.25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0</v>
      </c>
      <c r="F26" s="31">
        <f>'เย็น '!F26+'เช้า '!F26+บ่าย!F26</f>
        <v>0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0</v>
      </c>
      <c r="M26" s="11"/>
      <c r="N26" s="11"/>
      <c r="O26" s="11"/>
      <c r="P26" s="11"/>
      <c r="Q26" s="45">
        <f t="shared" si="1"/>
        <v>0</v>
      </c>
    </row>
    <row r="27" spans="2:17" hidden="1" x14ac:dyDescent="0.25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5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5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5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5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5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5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5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5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5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5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5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5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5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x14ac:dyDescent="0.25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x14ac:dyDescent="0.25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x14ac:dyDescent="0.25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x14ac:dyDescent="0.25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x14ac:dyDescent="0.25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x14ac:dyDescent="0.25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x14ac:dyDescent="0.25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x14ac:dyDescent="0.25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2" x14ac:dyDescent="0.25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2" x14ac:dyDescent="0.25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2" x14ac:dyDescent="0.25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2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</row>
    <row r="53" spans="2:22" x14ac:dyDescent="0.25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2" x14ac:dyDescent="0.25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  <c r="T54" s="47"/>
      <c r="V54" s="47"/>
    </row>
    <row r="55" spans="2:22" hidden="1" x14ac:dyDescent="0.25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2" x14ac:dyDescent="0.25">
      <c r="B56" s="11">
        <v>1111074</v>
      </c>
      <c r="C56" s="15" t="s">
        <v>44</v>
      </c>
      <c r="D56" s="31">
        <f>'เย็น '!D56+'เช้า '!D56+บ่าย!D56</f>
        <v>1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1</v>
      </c>
      <c r="M56" s="11"/>
      <c r="N56" s="11"/>
      <c r="O56" s="11"/>
      <c r="P56" s="11"/>
      <c r="Q56" s="45">
        <f t="shared" si="1"/>
        <v>-1</v>
      </c>
    </row>
    <row r="57" spans="2:22" x14ac:dyDescent="0.25">
      <c r="B57" s="11">
        <v>1111075</v>
      </c>
      <c r="C57" s="15" t="s">
        <v>45</v>
      </c>
      <c r="D57" s="31">
        <f>'เย็น '!D57+'เช้า '!D57+บ่าย!D57</f>
        <v>1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1</v>
      </c>
      <c r="M57" s="11"/>
      <c r="N57" s="11"/>
      <c r="O57" s="11"/>
      <c r="P57" s="11"/>
      <c r="Q57" s="45">
        <f t="shared" si="1"/>
        <v>-1</v>
      </c>
    </row>
    <row r="58" spans="2:22" x14ac:dyDescent="0.25">
      <c r="B58" s="11">
        <v>1111076</v>
      </c>
      <c r="C58" s="15" t="s">
        <v>46</v>
      </c>
      <c r="D58" s="31">
        <f>'เย็น '!D58+'เช้า '!D58+บ่าย!D58</f>
        <v>1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1</v>
      </c>
      <c r="M58" s="11"/>
      <c r="N58" s="11"/>
      <c r="O58" s="11"/>
      <c r="P58" s="11"/>
      <c r="Q58" s="45">
        <f t="shared" si="1"/>
        <v>-1</v>
      </c>
    </row>
    <row r="59" spans="2:22" x14ac:dyDescent="0.25">
      <c r="B59" s="11">
        <v>1111077</v>
      </c>
      <c r="C59" s="15" t="s">
        <v>47</v>
      </c>
      <c r="D59" s="31">
        <f>'เย็น '!D59+'เช้า '!D59+บ่าย!D59</f>
        <v>1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1</v>
      </c>
      <c r="M59" s="11"/>
      <c r="N59" s="11"/>
      <c r="O59" s="11"/>
      <c r="P59" s="11"/>
      <c r="Q59" s="45">
        <f t="shared" si="1"/>
        <v>-1</v>
      </c>
    </row>
    <row r="60" spans="2:22" x14ac:dyDescent="0.25">
      <c r="B60" s="11">
        <v>1111078</v>
      </c>
      <c r="C60" s="15" t="s">
        <v>48</v>
      </c>
      <c r="D60" s="31">
        <f>'เย็น '!D60+'เช้า '!D60+บ่าย!D60</f>
        <v>1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1</v>
      </c>
      <c r="M60" s="11"/>
      <c r="N60" s="11"/>
      <c r="O60" s="11"/>
      <c r="P60" s="11"/>
      <c r="Q60" s="45">
        <f t="shared" si="1"/>
        <v>-1</v>
      </c>
    </row>
    <row r="61" spans="2:22" x14ac:dyDescent="0.25">
      <c r="B61" s="11">
        <v>1111079</v>
      </c>
      <c r="C61" s="15" t="s">
        <v>49</v>
      </c>
      <c r="D61" s="31">
        <f>'เย็น '!D61+'เช้า '!D61+บ่าย!D61</f>
        <v>1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1</v>
      </c>
      <c r="M61" s="11"/>
      <c r="N61" s="11"/>
      <c r="O61" s="11"/>
      <c r="P61" s="11"/>
      <c r="Q61" s="45">
        <f t="shared" si="1"/>
        <v>-1</v>
      </c>
    </row>
    <row r="62" spans="2:22" x14ac:dyDescent="0.25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2" x14ac:dyDescent="0.25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2" x14ac:dyDescent="0.25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7">
        <f>SUM(Q56:Q65)</f>
        <v>-6</v>
      </c>
    </row>
    <row r="66" spans="2:20" hidden="1" x14ac:dyDescent="0.25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5">
      <c r="B69" s="11">
        <v>1111009</v>
      </c>
      <c r="C69" s="20" t="s">
        <v>56</v>
      </c>
      <c r="D69" s="31">
        <f>'เย็น '!D69+'เช้า '!D69+บ่าย!D69</f>
        <v>0</v>
      </c>
      <c r="E69" s="31">
        <f>'เย็น '!E69+'เช้า '!E69+บ่าย!E69</f>
        <v>0</v>
      </c>
      <c r="F69" s="31">
        <f>'เย็น '!F69+'เช้า '!F69+บ่าย!F69</f>
        <v>0</v>
      </c>
      <c r="G69" s="31">
        <f>'เย็น '!G69+'เช้า '!G69+บ่าย!G69</f>
        <v>0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0</v>
      </c>
      <c r="M69" s="11"/>
      <c r="N69" s="11"/>
      <c r="O69" s="11"/>
      <c r="P69" s="11"/>
      <c r="Q69" s="45">
        <f t="shared" ref="Q69:Q76" si="5">(M69+N69+O69+P69)-L69</f>
        <v>0</v>
      </c>
      <c r="T69" s="47"/>
    </row>
    <row r="70" spans="2:20" hidden="1" x14ac:dyDescent="0.25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 x14ac:dyDescent="0.25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 x14ac:dyDescent="0.25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 x14ac:dyDescent="0.25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 x14ac:dyDescent="0.25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 x14ac:dyDescent="0.25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 x14ac:dyDescent="0.25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 x14ac:dyDescent="0.25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 x14ac:dyDescent="0.25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20" hidden="1" x14ac:dyDescent="0.25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20" hidden="1" x14ac:dyDescent="0.25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20" hidden="1" x14ac:dyDescent="0.25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20" hidden="1" x14ac:dyDescent="0.25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20" hidden="1" x14ac:dyDescent="0.25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20" hidden="1" x14ac:dyDescent="0.25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20" x14ac:dyDescent="0.25">
      <c r="B87" s="11">
        <v>1111008</v>
      </c>
      <c r="C87" s="20" t="s">
        <v>73</v>
      </c>
      <c r="D87" s="31">
        <f>'เย็น '!D87+'เช้า '!D87+บ่าย!D87</f>
        <v>21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31">
        <f>'เย็น '!G87+'เช้า '!G87+บ่าย!G87</f>
        <v>0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21</v>
      </c>
      <c r="M87" s="11"/>
      <c r="N87" s="11"/>
      <c r="O87" s="11"/>
      <c r="P87" s="11"/>
      <c r="Q87" s="45">
        <f t="shared" si="8"/>
        <v>-21</v>
      </c>
      <c r="T87" s="47"/>
    </row>
    <row r="88" spans="2:20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20" ht="19.5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20" x14ac:dyDescent="0.25">
      <c r="B90" s="11">
        <v>1112009</v>
      </c>
      <c r="C90" s="20" t="s">
        <v>75</v>
      </c>
      <c r="D90" s="31">
        <f>'เย็น '!D90+'เช้า '!D90+บ่าย!D90</f>
        <v>0</v>
      </c>
      <c r="E90" s="31">
        <f>'เย็น '!E90+'เช้า '!E90+บ่าย!E90</f>
        <v>0</v>
      </c>
      <c r="F90" s="31">
        <f>'เย็น '!F90+'เช้า '!F90+บ่าย!F90</f>
        <v>0</v>
      </c>
      <c r="G90" s="31">
        <f>'เย็น '!G90+'เช้า '!G90+บ่าย!G90</f>
        <v>0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0</v>
      </c>
      <c r="M90" s="11"/>
      <c r="N90" s="11"/>
      <c r="O90" s="11"/>
      <c r="P90" s="11"/>
      <c r="Q90" s="45">
        <f t="shared" ref="Q90:Q99" si="10">(M90+N90+O90+P90)-L90</f>
        <v>0</v>
      </c>
    </row>
    <row r="91" spans="2:20" x14ac:dyDescent="0.25">
      <c r="B91" s="11">
        <v>1112011</v>
      </c>
      <c r="C91" s="20" t="s">
        <v>76</v>
      </c>
      <c r="D91" s="31">
        <f>'เย็น '!D91+'เช้า '!D91+บ่าย!D91</f>
        <v>0</v>
      </c>
      <c r="E91" s="31">
        <f>'เย็น '!E91+'เช้า '!E91+บ่าย!E91</f>
        <v>0</v>
      </c>
      <c r="F91" s="31">
        <f>'เย็น '!F91+'เช้า '!F91+บ่าย!F91</f>
        <v>0</v>
      </c>
      <c r="G91" s="31">
        <f>'เย็น '!G91+'เช้า '!G91+บ่าย!G91</f>
        <v>0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0</v>
      </c>
      <c r="M91" s="11"/>
      <c r="N91" s="11"/>
      <c r="O91" s="11"/>
      <c r="P91" s="11"/>
      <c r="Q91" s="45">
        <f t="shared" si="10"/>
        <v>0</v>
      </c>
    </row>
    <row r="92" spans="2:20" x14ac:dyDescent="0.25">
      <c r="B92" s="11">
        <v>1112003</v>
      </c>
      <c r="C92" s="20" t="s">
        <v>77</v>
      </c>
      <c r="D92" s="31">
        <f>'เย็น '!D92+'เช้า '!D92+บ่าย!D92</f>
        <v>0</v>
      </c>
      <c r="E92" s="31">
        <f>'เย็น '!E92+'เช้า '!E92+บ่าย!E92</f>
        <v>4</v>
      </c>
      <c r="F92" s="31">
        <f>'เย็น '!F92+'เช้า '!F92+บ่าย!F92</f>
        <v>0</v>
      </c>
      <c r="G92" s="31">
        <f>'เย็น '!G92+'เช้า '!G92+บ่าย!G92</f>
        <v>0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4</v>
      </c>
      <c r="M92" s="11"/>
      <c r="N92" s="11"/>
      <c r="O92" s="11"/>
      <c r="P92" s="11"/>
      <c r="Q92" s="45">
        <f t="shared" si="10"/>
        <v>-4</v>
      </c>
    </row>
    <row r="93" spans="2:20" x14ac:dyDescent="0.25">
      <c r="B93" s="11">
        <v>1112005</v>
      </c>
      <c r="C93" s="20" t="s">
        <v>78</v>
      </c>
      <c r="D93" s="31">
        <f>'เย็น '!D93+'เช้า '!D93+บ่าย!D93</f>
        <v>0</v>
      </c>
      <c r="E93" s="31">
        <f>'เย็น '!E93+'เช้า '!E93+บ่าย!E93</f>
        <v>4</v>
      </c>
      <c r="F93" s="31">
        <f>'เย็น '!F93+'เช้า '!F93+บ่าย!F93</f>
        <v>0</v>
      </c>
      <c r="G93" s="31">
        <f>'เย็น '!G93+'เช้า '!G93+บ่าย!G93</f>
        <v>0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4</v>
      </c>
      <c r="M93" s="11"/>
      <c r="N93" s="11"/>
      <c r="O93" s="11"/>
      <c r="P93" s="11"/>
      <c r="Q93" s="45">
        <f t="shared" si="10"/>
        <v>-4</v>
      </c>
    </row>
    <row r="94" spans="2:20" hidden="1" x14ac:dyDescent="0.25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20" hidden="1" x14ac:dyDescent="0.25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20" hidden="1" x14ac:dyDescent="0.25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20" x14ac:dyDescent="0.25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4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4</v>
      </c>
      <c r="M97" s="11"/>
      <c r="N97" s="11"/>
      <c r="O97" s="11"/>
      <c r="P97" s="11"/>
      <c r="Q97" s="45">
        <f t="shared" si="10"/>
        <v>-4</v>
      </c>
    </row>
    <row r="98" spans="2:20" x14ac:dyDescent="0.25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0</v>
      </c>
      <c r="M98" s="11"/>
      <c r="N98" s="11"/>
      <c r="O98" s="11"/>
      <c r="P98" s="11"/>
      <c r="Q98" s="45">
        <f t="shared" si="10"/>
        <v>0</v>
      </c>
      <c r="T98" s="47">
        <f>SUM(Q90:Q98)</f>
        <v>-12</v>
      </c>
    </row>
    <row r="99" spans="2:20" x14ac:dyDescent="0.25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20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12</v>
      </c>
      <c r="M100" s="11"/>
      <c r="N100" s="11"/>
      <c r="O100" s="11"/>
      <c r="P100" s="11"/>
      <c r="Q100" s="45">
        <f>SUM(Q90:Q99)</f>
        <v>-12</v>
      </c>
    </row>
    <row r="101" spans="2:20" ht="19.5" hidden="1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20" hidden="1" x14ac:dyDescent="0.25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20" hidden="1" x14ac:dyDescent="0.25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20" hidden="1" x14ac:dyDescent="0.25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20" hidden="1" x14ac:dyDescent="0.25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20" hidden="1" x14ac:dyDescent="0.25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20" hidden="1" x14ac:dyDescent="0.25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20" hidden="1" x14ac:dyDescent="0.25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20" hidden="1" x14ac:dyDescent="0.25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20" hidden="1" x14ac:dyDescent="0.25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20" hidden="1" x14ac:dyDescent="0.25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20" hidden="1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19.5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5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1</v>
      </c>
      <c r="F114" s="31">
        <f>'เย็น '!F114+'เช้า '!F114+บ่าย!F114</f>
        <v>0</v>
      </c>
      <c r="G114" s="31">
        <f>'เย็น '!G114+'เช้า '!G114+บ่าย!G114</f>
        <v>1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5">SUM(D114:K114)</f>
        <v>2</v>
      </c>
      <c r="M114" s="11"/>
      <c r="N114" s="11"/>
      <c r="O114" s="11"/>
      <c r="P114" s="11"/>
      <c r="Q114" s="45">
        <f t="shared" ref="Q114:Q139" si="16">(M114+N114+O114+P114)-L114</f>
        <v>-2</v>
      </c>
    </row>
    <row r="115" spans="2:17" x14ac:dyDescent="0.25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0</v>
      </c>
      <c r="M115" s="11"/>
      <c r="N115" s="11"/>
      <c r="O115" s="11"/>
      <c r="P115" s="11"/>
      <c r="Q115" s="45">
        <f t="shared" si="16"/>
        <v>0</v>
      </c>
    </row>
    <row r="116" spans="2:17" x14ac:dyDescent="0.25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0</v>
      </c>
      <c r="M116" s="11"/>
      <c r="N116" s="11"/>
      <c r="O116" s="11"/>
      <c r="P116" s="11"/>
      <c r="Q116" s="45">
        <f t="shared" si="16"/>
        <v>0</v>
      </c>
    </row>
    <row r="117" spans="2:17" x14ac:dyDescent="0.25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 x14ac:dyDescent="0.25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/>
      <c r="O118" s="11"/>
      <c r="P118" s="11"/>
      <c r="Q118" s="45">
        <f t="shared" si="16"/>
        <v>0</v>
      </c>
    </row>
    <row r="119" spans="2:17" x14ac:dyDescent="0.25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10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10</v>
      </c>
      <c r="M119" s="11"/>
      <c r="N119" s="11"/>
      <c r="O119" s="11"/>
      <c r="P119" s="11"/>
      <c r="Q119" s="45">
        <f t="shared" si="16"/>
        <v>-10</v>
      </c>
    </row>
    <row r="120" spans="2:17" x14ac:dyDescent="0.25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0</v>
      </c>
      <c r="M120" s="11"/>
      <c r="N120" s="11"/>
      <c r="O120" s="11"/>
      <c r="P120" s="11"/>
      <c r="Q120" s="45">
        <f t="shared" si="16"/>
        <v>0</v>
      </c>
    </row>
    <row r="121" spans="2:17" x14ac:dyDescent="0.25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/>
      <c r="O121" s="11"/>
      <c r="P121" s="11"/>
      <c r="Q121" s="45">
        <f t="shared" si="16"/>
        <v>0</v>
      </c>
    </row>
    <row r="122" spans="2:17" x14ac:dyDescent="0.25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 x14ac:dyDescent="0.25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0</v>
      </c>
      <c r="F123" s="31">
        <f>'เย็น '!F123+'เช้า '!F123+บ่าย!F123</f>
        <v>0</v>
      </c>
      <c r="G123" s="31">
        <f>'เย็น '!G123+'เช้า '!G123+บ่าย!G123</f>
        <v>4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4</v>
      </c>
      <c r="M123" s="11"/>
      <c r="N123" s="11"/>
      <c r="O123" s="11"/>
      <c r="P123" s="11"/>
      <c r="Q123" s="45">
        <f t="shared" si="16"/>
        <v>-4</v>
      </c>
    </row>
    <row r="124" spans="2:17" x14ac:dyDescent="0.25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0</v>
      </c>
      <c r="F124" s="31">
        <f>'เย็น '!F124+'เช้า '!F124+บ่าย!F124</f>
        <v>0</v>
      </c>
      <c r="G124" s="31">
        <f>'เย็น '!G124+'เช้า '!G124+บ่าย!G124</f>
        <v>4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4</v>
      </c>
      <c r="M124" s="11"/>
      <c r="N124" s="11"/>
      <c r="O124" s="11"/>
      <c r="P124" s="11"/>
      <c r="Q124" s="45">
        <f t="shared" si="16"/>
        <v>-4</v>
      </c>
    </row>
    <row r="125" spans="2:17" x14ac:dyDescent="0.25">
      <c r="B125" s="11">
        <v>1114503</v>
      </c>
      <c r="C125" s="22" t="s">
        <v>97</v>
      </c>
      <c r="D125" s="31">
        <f>'เย็น '!D125+'เช้า '!D125+บ่าย!D125</f>
        <v>1</v>
      </c>
      <c r="E125" s="31">
        <f>'เย็น '!E125+'เช้า '!E125+บ่าย!E125</f>
        <v>0</v>
      </c>
      <c r="F125" s="31">
        <f>'เย็น '!F125+'เช้า '!F125+บ่าย!F125</f>
        <v>0</v>
      </c>
      <c r="G125" s="31">
        <f>'เย็น '!G125+'เช้า '!G125+บ่าย!G125</f>
        <v>4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5</v>
      </c>
      <c r="M125" s="11"/>
      <c r="N125" s="11"/>
      <c r="O125" s="11"/>
      <c r="P125" s="11"/>
      <c r="Q125" s="45">
        <f t="shared" si="16"/>
        <v>-5</v>
      </c>
    </row>
    <row r="126" spans="2:17" x14ac:dyDescent="0.25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0</v>
      </c>
      <c r="F126" s="31">
        <f>'เย็น '!F126+'เช้า '!F126+บ่าย!F126</f>
        <v>0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0</v>
      </c>
      <c r="M126" s="11"/>
      <c r="N126" s="11"/>
      <c r="O126" s="11"/>
      <c r="P126" s="11"/>
      <c r="Q126" s="45">
        <f t="shared" si="16"/>
        <v>0</v>
      </c>
    </row>
    <row r="127" spans="2:17" x14ac:dyDescent="0.25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 x14ac:dyDescent="0.25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x14ac:dyDescent="0.25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x14ac:dyDescent="0.25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 x14ac:dyDescent="0.25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x14ac:dyDescent="0.25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x14ac:dyDescent="0.25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x14ac:dyDescent="0.25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x14ac:dyDescent="0.25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3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3</v>
      </c>
      <c r="M135" s="11"/>
      <c r="N135" s="11"/>
      <c r="O135" s="11"/>
      <c r="P135" s="11"/>
      <c r="Q135" s="45">
        <f t="shared" si="16"/>
        <v>-3</v>
      </c>
    </row>
    <row r="136" spans="2:17" x14ac:dyDescent="0.25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 x14ac:dyDescent="0.25">
      <c r="B137" s="51"/>
      <c r="C137" s="50" t="s">
        <v>137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 x14ac:dyDescent="0.25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x14ac:dyDescent="0.25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 x14ac:dyDescent="0.25">
      <c r="C140" s="36"/>
      <c r="D140" s="37">
        <f>SUM(D114:D139,D90:D99,D79:D87,D69:D76,D7:D66,D102:D111)</f>
        <v>29</v>
      </c>
      <c r="E140" s="37">
        <f t="shared" ref="E140:K140" si="17">SUM(E114:E139,E90:E99,E79:E87,E69:E76,E7:E66,E102:E111)</f>
        <v>22</v>
      </c>
      <c r="F140" s="37">
        <f t="shared" si="17"/>
        <v>0</v>
      </c>
      <c r="G140" s="37">
        <f t="shared" si="17"/>
        <v>23</v>
      </c>
      <c r="H140" s="37">
        <f t="shared" si="17"/>
        <v>0</v>
      </c>
      <c r="I140" s="37">
        <f t="shared" si="17"/>
        <v>0</v>
      </c>
      <c r="J140" s="37">
        <f t="shared" si="17"/>
        <v>0</v>
      </c>
      <c r="K140" s="37">
        <f t="shared" si="17"/>
        <v>0</v>
      </c>
      <c r="L140" s="37">
        <f>SUM(L114:L139,L90:L99,L79:L87,L69:L76,L7:L66,L102:L111)</f>
        <v>74</v>
      </c>
      <c r="M140" s="31">
        <f>SUM(M114:M136,M90:M98,M79:M87,M69:M76,M7:M66)</f>
        <v>0</v>
      </c>
      <c r="N140" s="31">
        <f>SUM(N114:N136,N90:N98,N79:N87,N69:N76,N7:N66)</f>
        <v>0</v>
      </c>
      <c r="O140" s="31"/>
      <c r="P140" s="31"/>
      <c r="Q140" s="45">
        <f t="shared" ref="Q140" si="18">(M140+N140)-L140</f>
        <v>-74</v>
      </c>
    </row>
    <row r="141" spans="2:17" x14ac:dyDescent="0.25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 x14ac:dyDescent="0.25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5">
      <c r="C143" s="25"/>
      <c r="D143" s="32"/>
      <c r="E143" s="61"/>
      <c r="F143" s="61"/>
      <c r="G143" s="27"/>
      <c r="L143" s="41"/>
    </row>
    <row r="144" spans="2:17" x14ac:dyDescent="0.25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 x14ac:dyDescent="0.25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 x14ac:dyDescent="0.25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19.5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9.5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5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  <row r="161" spans="4:8" x14ac:dyDescent="0.25">
      <c r="D161" s="32"/>
      <c r="E161" s="32"/>
      <c r="F161" s="32"/>
      <c r="G161" s="32"/>
      <c r="H161" s="32"/>
    </row>
    <row r="162" spans="4:8" x14ac:dyDescent="0.25">
      <c r="D162" s="32"/>
      <c r="E162" s="32"/>
      <c r="F162" s="32"/>
      <c r="G162" s="32"/>
      <c r="H162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5:C145"/>
    <mergeCell ref="I145:L145"/>
    <mergeCell ref="B101:Q101"/>
    <mergeCell ref="B113:Q113"/>
    <mergeCell ref="E143:F143"/>
    <mergeCell ref="B144:C144"/>
    <mergeCell ref="E144:F144"/>
    <mergeCell ref="I144:L144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2025-01-27T00:23:06Z</cp:lastPrinted>
  <dcterms:created xsi:type="dcterms:W3CDTF">2024-04-30T05:21:27Z</dcterms:created>
  <dcterms:modified xsi:type="dcterms:W3CDTF">2025-01-27T08:06:04Z</dcterms:modified>
</cp:coreProperties>
</file>