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17901D2C-2003-40F7-9879-7F25668ACC4C}" xr6:coauthVersionLast="47" xr6:coauthVersionMax="47" xr10:uidLastSave="{00000000-0000-0000-0000-000000000000}"/>
  <bookViews>
    <workbookView xWindow="1305" yWindow="480" windowWidth="22260" windowHeight="1371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L112" i="3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<sst xmlns="http://schemas.openxmlformats.org/spreadsheetml/2006/main" count="613" uniqueCount="145">
  <si>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</si>
  <si>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</si>
  <si>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</si>
  <si>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</si>
  <si>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</si>
  <si>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</si>
  <si>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</si>
  <si>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</si>
  <si>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</si>
  <si>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</si>
  <si>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</si>
  <si>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</si>
  <si>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</si>
  <si>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</si>
  <si>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</si>
  <si>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</si>
  <si>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</si>
  <si>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</si>
  <si>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</si>
  <si>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</si>
  <si>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</si>
  <si>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</si>
  <si>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</si>
  <si>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</si>
  <si>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</si>
  <si>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</si>
  <si>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</si>
  <si>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</si>
  <si>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</si>
  <si>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</si>
  <si>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</si>
  <si>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</si>
  <si>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</si>
  <si>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</si>
  <si>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</si>
  <si>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</si>
  <si>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</si>
  <si>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</si>
  <si>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</si>
  <si>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</si>
  <si>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</si>
  <si>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</si>
  <si>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</si>
  <si>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</si>
  <si>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</si>
  <si>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</si>
  <si>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</si>
  <si>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</si>
  <si>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</si>
  <si>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</si>
  <si>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</si>
  <si>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</si>
  <si>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</si>
  <si>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</si>
  <si>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</si>
  <si>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</si>
  <si>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</si>
  <si>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</si>
  <si>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</si>
  <si>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</si>
  <si>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</si>
  <si>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</si>
  <si>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</si>
  <si>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</si>
  <si>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</si>
  <si>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</si>
  <si>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</si>
  <si>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</si>
  <si>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</si>
  <si>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</si>
  <si>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</si>
  <si>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</si>
  <si>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</si>
  <si>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</si>
  <si>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</si>
  <si>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</si>
  <si>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</si>
  <si>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</si>
  <si>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</si>
  <si>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</si>
  <si>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</si>
  <si>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</si>
  <si>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</si>
  <si>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</si>
  <si>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</si>
  <si>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</si>
  <si>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</si>
  <si>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</si>
  <si>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</si>
  <si>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</si>
  <si>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</si>
  <si>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</si>
  <si>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</si>
  <si>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</si>
  <si>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</si>
  <si>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</si>
  <si>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</si>
  <si>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</si>
  <si>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</si>
  <si>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</si>
  <si>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</si>
  <si>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</si>
  <si>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</si>
  <si>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</si>
  <si>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</si>
  <si>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</si>
  <si>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</si>
  <si>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</si>
  <si>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</si>
  <si>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</si>
  <si>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</si>
  <si>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</si>
  <si>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</si>
  <si>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</si>
  <si>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</si>
  <si>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</si>
  <si>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</si>
  <si>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</si>
  <si>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</si>
  <si>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</si>
  <si>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</si>
  <si>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</si>
  <si>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</si>
  <si>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</si>
  <si>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</si>
  <si>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</si>
  <si>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</si>
  <si>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</si>
  <si>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</si>
  <si>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</si>
  <si>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</si>
  <si>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</si>
  <si>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</si>
  <si>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</si>
  <si>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</si>
  <si>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</si>
  <si>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</si>
  <si>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</si>
  <si>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</si>
  <si>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</si>
  <si>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</si>
  <si>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</si>
  <si>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</si>
  <si>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8/1/2568 - เย็น</t>
  </si>
  <si>
    <t>ยอดจริง ออนไลน์ วันที่ 8/1/68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</si>
</sst>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K40" sqref="K40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52</v>
      </c>
      <c r="F7" s="31">
        <v>184</v>
      </c>
      <c r="G7" s="31">
        <v>4</v>
      </c>
      <c r="H7" s="31"/>
      <c r="I7" s="31"/>
      <c r="J7" s="44"/>
      <c r="K7" s="44">
        <v>20</v>
      </c>
      <c r="L7" s="37">
        <f>SUM(D7:K7)</f>
        <v>260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1</v>
      </c>
      <c r="F25" s="31">
        <v>31</v>
      </c>
      <c r="G25" s="31">
        <v>10</v>
      </c>
      <c r="H25" s="31"/>
      <c r="I25" s="31"/>
      <c r="J25" s="44"/>
      <c r="K25" s="44">
        <v>10</v>
      </c>
      <c r="L25" s="37">
        <f t="shared" si="0"/>
        <v>52</v>
      </c>
    </row>
    <row r="26" spans="2:12">
      <c r="B26" s="11">
        <v>1004055</v>
      </c>
      <c r="C26" s="15" t="s">
        <v>108</v>
      </c>
      <c r="D26" s="31"/>
      <c r="E26" s="31">
        <v>39</v>
      </c>
      <c r="F26" s="31">
        <v>5</v>
      </c>
      <c r="G26" s="31">
        <v>135</v>
      </c>
      <c r="H26" s="31"/>
      <c r="I26" s="31"/>
      <c r="J26" s="44"/>
      <c r="K26" s="44">
        <v>15</v>
      </c>
      <c r="L26" s="37">
        <f t="shared" si="0"/>
        <v>194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>
        <v>2</v>
      </c>
      <c r="F40" s="31">
        <v>1</v>
      </c>
      <c r="G40" s="31">
        <v>4</v>
      </c>
      <c r="H40" s="31"/>
      <c r="I40" s="31"/>
      <c r="J40" s="44"/>
      <c r="K40" s="44"/>
      <c r="L40" s="37">
        <f t="shared" si="0"/>
        <v>7</v>
      </c>
    </row>
    <row r="41" spans="2:12">
      <c r="B41" s="11">
        <v>1111058</v>
      </c>
      <c r="C41" s="15" t="s">
        <v>31</v>
      </c>
      <c r="D41" s="31"/>
      <c r="E41" s="31">
        <v>2</v>
      </c>
      <c r="F41" s="31"/>
      <c r="G41" s="31">
        <v>4</v>
      </c>
      <c r="H41" s="31"/>
      <c r="I41" s="31"/>
      <c r="J41" s="44"/>
      <c r="K41" s="44"/>
      <c r="L41" s="37">
        <f t="shared" si="0"/>
        <v>6</v>
      </c>
    </row>
    <row r="42" spans="2:12">
      <c r="B42" s="11">
        <v>1111059</v>
      </c>
      <c r="C42" s="15" t="s">
        <v>32</v>
      </c>
      <c r="D42" s="31"/>
      <c r="E42" s="31">
        <v>2</v>
      </c>
      <c r="F42" s="31"/>
      <c r="G42" s="31">
        <v>4</v>
      </c>
      <c r="H42" s="31"/>
      <c r="I42" s="31"/>
      <c r="J42" s="44"/>
      <c r="K42" s="44"/>
      <c r="L42" s="37">
        <f t="shared" si="0"/>
        <v>6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>
        <v>2</v>
      </c>
      <c r="F44" s="31"/>
      <c r="G44" s="31">
        <v>4</v>
      </c>
      <c r="H44" s="31"/>
      <c r="I44" s="31"/>
      <c r="J44" s="44"/>
      <c r="K44" s="44"/>
      <c r="L44" s="37">
        <f t="shared" si="0"/>
        <v>6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>
        <v>2</v>
      </c>
      <c r="F46" s="31"/>
      <c r="G46" s="31">
        <v>4</v>
      </c>
      <c r="H46" s="31"/>
      <c r="I46" s="31"/>
      <c r="J46" s="44"/>
      <c r="K46" s="44"/>
      <c r="L46" s="37">
        <f t="shared" si="0"/>
        <v>6</v>
      </c>
    </row>
    <row r="47" spans="2:12">
      <c r="B47" s="11">
        <v>1111064</v>
      </c>
      <c r="C47" s="15" t="s">
        <v>37</v>
      </c>
      <c r="D47" s="31"/>
      <c r="E47" s="31">
        <v>2</v>
      </c>
      <c r="F47" s="31"/>
      <c r="G47" s="31">
        <v>4</v>
      </c>
      <c r="H47" s="31"/>
      <c r="I47" s="31"/>
      <c r="J47" s="44"/>
      <c r="K47" s="44"/>
      <c r="L47" s="37">
        <f t="shared" si="0"/>
        <v>6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>
        <v>2</v>
      </c>
      <c r="F49" s="31"/>
      <c r="G49" s="31">
        <v>4</v>
      </c>
      <c r="H49" s="31"/>
      <c r="I49" s="31"/>
      <c r="J49" s="44"/>
      <c r="K49" s="44"/>
      <c r="L49" s="37">
        <f t="shared" si="0"/>
        <v>6</v>
      </c>
    </row>
    <row r="50" spans="2:12">
      <c r="B50" s="11">
        <v>1111067</v>
      </c>
      <c r="C50" s="15" t="s">
        <v>40</v>
      </c>
      <c r="D50" s="31"/>
      <c r="E50" s="31">
        <v>2</v>
      </c>
      <c r="F50" s="31"/>
      <c r="G50" s="31">
        <v>4</v>
      </c>
      <c r="H50" s="31"/>
      <c r="I50" s="31"/>
      <c r="J50" s="44"/>
      <c r="K50" s="44"/>
      <c r="L50" s="37">
        <f t="shared" si="0"/>
        <v>6</v>
      </c>
    </row>
    <row r="51" spans="2:12">
      <c r="B51" s="11">
        <v>1111068</v>
      </c>
      <c r="C51" s="15" t="s">
        <v>41</v>
      </c>
      <c r="D51" s="31"/>
      <c r="E51" s="31">
        <v>2</v>
      </c>
      <c r="F51" s="31"/>
      <c r="G51" s="31">
        <v>4</v>
      </c>
      <c r="H51" s="31"/>
      <c r="I51" s="31"/>
      <c r="J51" s="44"/>
      <c r="K51" s="44"/>
      <c r="L51" s="37">
        <f t="shared" si="0"/>
        <v>6</v>
      </c>
    </row>
    <row r="52" spans="2:12">
      <c r="B52" s="11">
        <v>1111069</v>
      </c>
      <c r="C52" s="15" t="s">
        <v>42</v>
      </c>
      <c r="D52" s="31"/>
      <c r="E52" s="31">
        <v>2</v>
      </c>
      <c r="F52" s="31"/>
      <c r="G52" s="31">
        <v>4</v>
      </c>
      <c r="H52" s="31"/>
      <c r="I52" s="31"/>
      <c r="J52" s="44"/>
      <c r="K52" s="44"/>
      <c r="L52" s="37">
        <f t="shared" si="0"/>
        <v>6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>
        <v>5</v>
      </c>
      <c r="G56" s="31">
        <v>3</v>
      </c>
      <c r="H56" s="31"/>
      <c r="I56" s="31"/>
      <c r="J56" s="44"/>
      <c r="K56" s="44"/>
      <c r="L56" s="37">
        <f t="shared" si="0"/>
        <v>8</v>
      </c>
    </row>
    <row r="57" spans="2:12">
      <c r="B57" s="11">
        <v>1111075</v>
      </c>
      <c r="C57" s="15" t="s">
        <v>45</v>
      </c>
      <c r="D57" s="31"/>
      <c r="E57" s="31"/>
      <c r="F57" s="31">
        <v>5</v>
      </c>
      <c r="G57" s="31">
        <v>3</v>
      </c>
      <c r="H57" s="31"/>
      <c r="I57" s="31"/>
      <c r="J57" s="44"/>
      <c r="K57" s="44"/>
      <c r="L57" s="37">
        <f t="shared" si="0"/>
        <v>8</v>
      </c>
    </row>
    <row r="58" spans="2:12">
      <c r="B58" s="11">
        <v>1111076</v>
      </c>
      <c r="C58" s="15" t="s">
        <v>46</v>
      </c>
      <c r="D58" s="31"/>
      <c r="E58" s="31"/>
      <c r="F58" s="31">
        <v>5</v>
      </c>
      <c r="G58" s="31">
        <v>3</v>
      </c>
      <c r="H58" s="31"/>
      <c r="I58" s="31"/>
      <c r="J58" s="44"/>
      <c r="K58" s="44"/>
      <c r="L58" s="37">
        <f t="shared" si="0"/>
        <v>8</v>
      </c>
    </row>
    <row r="59" spans="2:12">
      <c r="B59" s="11">
        <v>1111077</v>
      </c>
      <c r="C59" s="15" t="s">
        <v>47</v>
      </c>
      <c r="D59" s="31"/>
      <c r="E59" s="31"/>
      <c r="F59" s="31">
        <v>5</v>
      </c>
      <c r="G59" s="31">
        <v>3</v>
      </c>
      <c r="H59" s="31"/>
      <c r="I59" s="31"/>
      <c r="J59" s="44"/>
      <c r="K59" s="44"/>
      <c r="L59" s="37">
        <f t="shared" si="0"/>
        <v>8</v>
      </c>
    </row>
    <row r="60" spans="2:12">
      <c r="B60" s="11">
        <v>1111078</v>
      </c>
      <c r="C60" s="15" t="s">
        <v>48</v>
      </c>
      <c r="D60" s="31"/>
      <c r="E60" s="31"/>
      <c r="F60" s="31">
        <v>5</v>
      </c>
      <c r="G60" s="31">
        <v>3</v>
      </c>
      <c r="H60" s="31"/>
      <c r="I60" s="31"/>
      <c r="J60" s="44"/>
      <c r="K60" s="44"/>
      <c r="L60" s="37">
        <f t="shared" si="0"/>
        <v>8</v>
      </c>
    </row>
    <row r="61" spans="2:12">
      <c r="B61" s="11">
        <v>1111079</v>
      </c>
      <c r="C61" s="15" t="s">
        <v>49</v>
      </c>
      <c r="D61" s="31"/>
      <c r="E61" s="31"/>
      <c r="F61" s="31">
        <v>5</v>
      </c>
      <c r="G61" s="31">
        <v>3</v>
      </c>
      <c r="H61" s="31"/>
      <c r="I61" s="31"/>
      <c r="J61" s="44"/>
      <c r="K61" s="44"/>
      <c r="L61" s="37">
        <f t="shared" si="0"/>
        <v>8</v>
      </c>
    </row>
    <row r="62" spans="2:12">
      <c r="B62" s="11">
        <v>1111080</v>
      </c>
      <c r="C62" s="15" t="s">
        <v>50</v>
      </c>
      <c r="D62" s="31"/>
      <c r="E62" s="31"/>
      <c r="F62" s="31">
        <v>5</v>
      </c>
      <c r="G62" s="31">
        <v>3</v>
      </c>
      <c r="H62" s="31"/>
      <c r="I62" s="31"/>
      <c r="J62" s="44"/>
      <c r="K62" s="44"/>
      <c r="L62" s="37">
        <f t="shared" si="0"/>
        <v>8</v>
      </c>
    </row>
    <row r="63" spans="2:12">
      <c r="B63" s="11">
        <v>1111081</v>
      </c>
      <c r="C63" s="15" t="s">
        <v>51</v>
      </c>
      <c r="D63" s="31"/>
      <c r="E63" s="31"/>
      <c r="F63" s="31">
        <v>5</v>
      </c>
      <c r="G63" s="31">
        <v>3</v>
      </c>
      <c r="H63" s="31"/>
      <c r="I63" s="31"/>
      <c r="J63" s="44"/>
      <c r="K63" s="44"/>
      <c r="L63" s="37">
        <f t="shared" si="0"/>
        <v>8</v>
      </c>
    </row>
    <row r="64" spans="2:12">
      <c r="B64" s="11">
        <v>1111082</v>
      </c>
      <c r="C64" s="15" t="s">
        <v>52</v>
      </c>
      <c r="D64" s="31"/>
      <c r="E64" s="31"/>
      <c r="F64" s="31">
        <v>5</v>
      </c>
      <c r="G64" s="31">
        <v>3</v>
      </c>
      <c r="H64" s="31"/>
      <c r="I64" s="31"/>
      <c r="J64" s="44"/>
      <c r="K64" s="44"/>
      <c r="L64" s="37">
        <f t="shared" si="0"/>
        <v>8</v>
      </c>
    </row>
    <row r="65" spans="2:12">
      <c r="B65" s="11">
        <v>1111083</v>
      </c>
      <c r="C65" s="15" t="s">
        <v>53</v>
      </c>
      <c r="D65" s="31"/>
      <c r="E65" s="31"/>
      <c r="F65" s="31">
        <v>5</v>
      </c>
      <c r="G65" s="31">
        <v>3</v>
      </c>
      <c r="H65" s="31"/>
      <c r="I65" s="31"/>
      <c r="J65" s="44"/>
      <c r="K65" s="44"/>
      <c r="L65" s="37">
        <f t="shared" si="0"/>
        <v>8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1</v>
      </c>
      <c r="F69" s="31">
        <v>37</v>
      </c>
      <c r="G69" s="31">
        <v>5</v>
      </c>
      <c r="H69" s="31"/>
      <c r="I69" s="31"/>
      <c r="J69" s="44"/>
      <c r="K69" s="44">
        <v>5</v>
      </c>
      <c r="L69" s="37">
        <f t="shared" ref="L69:L76" si="1">SUM(D69:K69)</f>
        <v>48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9</v>
      </c>
      <c r="F87" s="31"/>
      <c r="G87" s="31">
        <v>166</v>
      </c>
      <c r="H87" s="31"/>
      <c r="I87" s="31"/>
      <c r="J87" s="44"/>
      <c r="K87" s="44">
        <v>3</v>
      </c>
      <c r="L87" s="37">
        <f t="shared" si="2"/>
        <v>178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8</v>
      </c>
      <c r="F90" s="31">
        <v>5</v>
      </c>
      <c r="G90" s="31">
        <v>58</v>
      </c>
      <c r="H90" s="31"/>
      <c r="I90" s="31"/>
      <c r="J90" s="44"/>
      <c r="K90" s="44">
        <v>8</v>
      </c>
      <c r="L90" s="37">
        <f t="shared" ref="L90:L99" si="3">SUM(D90:K90)</f>
        <v>79</v>
      </c>
    </row>
    <row r="91" spans="2:12">
      <c r="B91" s="11">
        <v>1112011</v>
      </c>
      <c r="C91" s="20" t="s">
        <v>76</v>
      </c>
      <c r="D91" s="31"/>
      <c r="E91" s="31">
        <v>10</v>
      </c>
      <c r="F91" s="31">
        <v>15</v>
      </c>
      <c r="G91" s="31">
        <v>58</v>
      </c>
      <c r="H91" s="31"/>
      <c r="I91" s="31"/>
      <c r="J91" s="44"/>
      <c r="K91" s="44">
        <v>6</v>
      </c>
      <c r="L91" s="37">
        <f t="shared" si="3"/>
        <v>89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43</v>
      </c>
      <c r="H92" s="31"/>
      <c r="I92" s="31"/>
      <c r="J92" s="44"/>
      <c r="K92" s="44"/>
      <c r="L92" s="37">
        <f t="shared" si="3"/>
        <v>43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43</v>
      </c>
      <c r="H93" s="31"/>
      <c r="I93" s="31"/>
      <c r="J93" s="44"/>
      <c r="K93" s="44"/>
      <c r="L93" s="37">
        <f t="shared" si="3"/>
        <v>43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43</v>
      </c>
      <c r="H97" s="31"/>
      <c r="I97" s="31"/>
      <c r="J97" s="44"/>
      <c r="K97" s="44"/>
      <c r="L97" s="37">
        <f t="shared" si="3"/>
        <v>43</v>
      </c>
    </row>
    <row r="98" spans="2:12">
      <c r="B98" s="11">
        <v>1112013</v>
      </c>
      <c r="C98" s="20" t="s">
        <v>83</v>
      </c>
      <c r="D98" s="31"/>
      <c r="E98" s="31">
        <v>8</v>
      </c>
      <c r="F98" s="31">
        <v>5</v>
      </c>
      <c r="G98" s="31">
        <v>58</v>
      </c>
      <c r="H98" s="31"/>
      <c r="I98" s="31"/>
      <c r="J98" s="44"/>
      <c r="K98" s="44">
        <v>9</v>
      </c>
      <c r="L98" s="37">
        <f t="shared" si="3"/>
        <v>80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>
        <v>7</v>
      </c>
      <c r="F118" s="31"/>
      <c r="G118" s="31"/>
      <c r="H118" s="31"/>
      <c r="I118" s="31"/>
      <c r="J118" s="44"/>
      <c r="K118" s="44"/>
      <c r="L118" s="37">
        <f t="shared" si="6"/>
        <v>7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>
        <v>5</v>
      </c>
      <c r="F120" s="31"/>
      <c r="G120" s="31"/>
      <c r="H120" s="31"/>
      <c r="I120" s="31"/>
      <c r="J120" s="44"/>
      <c r="K120" s="44"/>
      <c r="L120" s="37">
        <f t="shared" si="6"/>
        <v>5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3</v>
      </c>
      <c r="F123" s="31">
        <v>7</v>
      </c>
      <c r="G123" s="31">
        <v>78</v>
      </c>
      <c r="H123" s="31"/>
      <c r="I123" s="31"/>
      <c r="J123" s="44"/>
      <c r="K123" s="44"/>
      <c r="L123" s="37">
        <f t="shared" si="6"/>
        <v>88</v>
      </c>
    </row>
    <row r="124" spans="2:12">
      <c r="B124" s="11">
        <v>1114502</v>
      </c>
      <c r="C124" s="22" t="s">
        <v>96</v>
      </c>
      <c r="D124" s="31"/>
      <c r="E124" s="31">
        <v>2</v>
      </c>
      <c r="F124" s="31">
        <v>9</v>
      </c>
      <c r="G124" s="31">
        <v>78</v>
      </c>
      <c r="H124" s="31"/>
      <c r="I124" s="31"/>
      <c r="J124" s="44"/>
      <c r="K124" s="44"/>
      <c r="L124" s="37">
        <f t="shared" si="6"/>
        <v>89</v>
      </c>
    </row>
    <row r="125" spans="2:12">
      <c r="B125" s="11">
        <v>1114503</v>
      </c>
      <c r="C125" s="22" t="s">
        <v>97</v>
      </c>
      <c r="D125" s="31"/>
      <c r="E125" s="31">
        <v>3</v>
      </c>
      <c r="F125" s="31">
        <v>7</v>
      </c>
      <c r="G125" s="31">
        <v>78</v>
      </c>
      <c r="H125" s="31"/>
      <c r="I125" s="31"/>
      <c r="J125" s="44"/>
      <c r="K125" s="44"/>
      <c r="L125" s="37">
        <f t="shared" si="6"/>
        <v>88</v>
      </c>
    </row>
    <row r="126" spans="2:12">
      <c r="B126" s="11">
        <v>1124021</v>
      </c>
      <c r="C126" s="22" t="s">
        <v>98</v>
      </c>
      <c r="D126" s="31"/>
      <c r="E126" s="31">
        <v>107</v>
      </c>
      <c r="F126" s="31">
        <v>178</v>
      </c>
      <c r="G126" s="31">
        <v>69</v>
      </c>
      <c r="H126" s="31"/>
      <c r="I126" s="31"/>
      <c r="J126" s="44"/>
      <c r="K126" s="44"/>
      <c r="L126" s="37">
        <f t="shared" si="6"/>
        <v>354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>
        <v>1</v>
      </c>
      <c r="F130" s="31"/>
      <c r="G130" s="31"/>
      <c r="H130" s="31"/>
      <c r="I130" s="31"/>
      <c r="J130" s="44"/>
      <c r="K130" s="44"/>
      <c r="L130" s="37">
        <f t="shared" si="6"/>
        <v>1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54" zoomScale="60" zoomScaleNormal="60" workbookViewId="0">
      <selection activeCell="G59" sqref="G5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47</v>
      </c>
      <c r="E7" s="31">
        <v>24</v>
      </c>
      <c r="F7" s="31">
        <v>90</v>
      </c>
      <c r="G7" s="31"/>
      <c r="H7" s="31"/>
      <c r="I7" s="31"/>
      <c r="J7" s="44"/>
      <c r="K7" s="44"/>
      <c r="L7" s="37">
        <f>SUM(D7:K7)</f>
        <v>161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7</v>
      </c>
      <c r="E25" s="31">
        <v>7</v>
      </c>
      <c r="F25" s="31">
        <v>1</v>
      </c>
      <c r="G25" s="31"/>
      <c r="H25" s="31"/>
      <c r="I25" s="31"/>
      <c r="J25" s="44"/>
      <c r="K25" s="44"/>
      <c r="L25" s="37">
        <f t="shared" si="0"/>
        <v>15</v>
      </c>
    </row>
    <row r="26" spans="2:12">
      <c r="B26" s="11">
        <v>1004055</v>
      </c>
      <c r="C26" s="15" t="s">
        <v>108</v>
      </c>
      <c r="D26" s="31"/>
      <c r="E26" s="31">
        <v>5</v>
      </c>
      <c r="F26" s="31">
        <v>31</v>
      </c>
      <c r="G26" s="31">
        <v>45</v>
      </c>
      <c r="H26" s="31"/>
      <c r="I26" s="31"/>
      <c r="J26" s="44"/>
      <c r="K26" s="44"/>
      <c r="L26" s="37">
        <f t="shared" si="0"/>
        <v>81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>
        <v>8</v>
      </c>
      <c r="E40" s="31"/>
      <c r="F40" s="31">
        <v>1</v>
      </c>
      <c r="G40" s="31"/>
      <c r="H40" s="31"/>
      <c r="I40" s="31"/>
      <c r="J40" s="44"/>
      <c r="K40" s="44"/>
      <c r="L40" s="37">
        <f t="shared" si="0"/>
        <v>9</v>
      </c>
    </row>
    <row r="41" spans="2:12">
      <c r="B41" s="11">
        <v>1111058</v>
      </c>
      <c r="C41" s="15" t="s">
        <v>31</v>
      </c>
      <c r="D41" s="31">
        <v>6</v>
      </c>
      <c r="E41" s="31"/>
      <c r="F41" s="31">
        <v>1</v>
      </c>
      <c r="G41" s="31"/>
      <c r="H41" s="31"/>
      <c r="I41" s="31"/>
      <c r="J41" s="44"/>
      <c r="K41" s="44"/>
      <c r="L41" s="37">
        <f t="shared" si="0"/>
        <v>7</v>
      </c>
    </row>
    <row r="42" spans="2:12">
      <c r="B42" s="11">
        <v>1111059</v>
      </c>
      <c r="C42" s="15" t="s">
        <v>32</v>
      </c>
      <c r="D42" s="31">
        <v>8</v>
      </c>
      <c r="E42" s="31"/>
      <c r="F42" s="31"/>
      <c r="G42" s="31"/>
      <c r="H42" s="31"/>
      <c r="I42" s="31"/>
      <c r="J42" s="44"/>
      <c r="K42" s="44"/>
      <c r="L42" s="37">
        <f t="shared" si="0"/>
        <v>8</v>
      </c>
    </row>
    <row r="43" spans="2:12">
      <c r="B43" s="11">
        <v>1111060</v>
      </c>
      <c r="C43" s="15" t="s">
        <v>33</v>
      </c>
      <c r="D43" s="31">
        <v>6</v>
      </c>
      <c r="E43" s="31"/>
      <c r="F43" s="31"/>
      <c r="G43" s="31"/>
      <c r="H43" s="31"/>
      <c r="I43" s="31"/>
      <c r="J43" s="44"/>
      <c r="K43" s="44"/>
      <c r="L43" s="37">
        <f t="shared" si="0"/>
        <v>6</v>
      </c>
    </row>
    <row r="44" spans="2:12">
      <c r="B44" s="11">
        <v>1111061</v>
      </c>
      <c r="C44" s="15" t="s">
        <v>34</v>
      </c>
      <c r="D44" s="31">
        <v>6</v>
      </c>
      <c r="E44" s="31"/>
      <c r="F44" s="31"/>
      <c r="G44" s="31"/>
      <c r="H44" s="31"/>
      <c r="I44" s="31"/>
      <c r="J44" s="44"/>
      <c r="K44" s="44"/>
      <c r="L44" s="37">
        <f t="shared" si="0"/>
        <v>6</v>
      </c>
    </row>
    <row r="45" spans="2:12">
      <c r="B45" s="11">
        <v>1111062</v>
      </c>
      <c r="C45" s="15" t="s">
        <v>35</v>
      </c>
      <c r="D45" s="31">
        <v>6</v>
      </c>
      <c r="E45" s="31"/>
      <c r="F45" s="31"/>
      <c r="G45" s="31"/>
      <c r="H45" s="31"/>
      <c r="I45" s="31"/>
      <c r="J45" s="44"/>
      <c r="K45" s="44"/>
      <c r="L45" s="37">
        <f t="shared" si="0"/>
        <v>6</v>
      </c>
    </row>
    <row r="46" spans="2:12">
      <c r="B46" s="11">
        <v>1111063</v>
      </c>
      <c r="C46" s="15" t="s">
        <v>36</v>
      </c>
      <c r="D46" s="31">
        <v>6</v>
      </c>
      <c r="E46" s="31"/>
      <c r="F46" s="31"/>
      <c r="G46" s="31"/>
      <c r="H46" s="31"/>
      <c r="I46" s="31"/>
      <c r="J46" s="44"/>
      <c r="K46" s="44"/>
      <c r="L46" s="37">
        <f t="shared" si="0"/>
        <v>6</v>
      </c>
    </row>
    <row r="47" spans="2:12">
      <c r="B47" s="11">
        <v>1111064</v>
      </c>
      <c r="C47" s="15" t="s">
        <v>37</v>
      </c>
      <c r="D47" s="31">
        <v>6</v>
      </c>
      <c r="E47" s="31"/>
      <c r="F47" s="31"/>
      <c r="G47" s="31"/>
      <c r="H47" s="31"/>
      <c r="I47" s="31"/>
      <c r="J47" s="44"/>
      <c r="K47" s="44"/>
      <c r="L47" s="37">
        <f t="shared" si="0"/>
        <v>6</v>
      </c>
    </row>
    <row r="48" spans="2:12">
      <c r="B48" s="11">
        <v>1111065</v>
      </c>
      <c r="C48" s="15" t="s">
        <v>38</v>
      </c>
      <c r="D48" s="31">
        <v>6</v>
      </c>
      <c r="E48" s="31"/>
      <c r="F48" s="31"/>
      <c r="G48" s="31"/>
      <c r="H48" s="31"/>
      <c r="I48" s="31"/>
      <c r="J48" s="44"/>
      <c r="K48" s="44"/>
      <c r="L48" s="37">
        <f t="shared" si="0"/>
        <v>6</v>
      </c>
    </row>
    <row r="49" spans="2:12">
      <c r="B49" s="11">
        <v>1111066</v>
      </c>
      <c r="C49" s="15" t="s">
        <v>39</v>
      </c>
      <c r="D49" s="31">
        <v>6</v>
      </c>
      <c r="E49" s="31"/>
      <c r="F49" s="31"/>
      <c r="G49" s="31"/>
      <c r="H49" s="31"/>
      <c r="I49" s="31"/>
      <c r="J49" s="44"/>
      <c r="K49" s="44"/>
      <c r="L49" s="37">
        <f t="shared" si="0"/>
        <v>6</v>
      </c>
    </row>
    <row r="50" spans="2:12">
      <c r="B50" s="11">
        <v>1111067</v>
      </c>
      <c r="C50" s="15" t="s">
        <v>40</v>
      </c>
      <c r="D50" s="31">
        <v>6</v>
      </c>
      <c r="E50" s="31"/>
      <c r="F50" s="31"/>
      <c r="G50" s="31"/>
      <c r="H50" s="31"/>
      <c r="I50" s="31"/>
      <c r="J50" s="44"/>
      <c r="K50" s="44"/>
      <c r="L50" s="37">
        <f t="shared" si="0"/>
        <v>6</v>
      </c>
    </row>
    <row r="51" spans="2:12">
      <c r="B51" s="11">
        <v>1111068</v>
      </c>
      <c r="C51" s="15" t="s">
        <v>41</v>
      </c>
      <c r="D51" s="31">
        <v>6</v>
      </c>
      <c r="E51" s="31"/>
      <c r="F51" s="31"/>
      <c r="G51" s="31"/>
      <c r="H51" s="31"/>
      <c r="I51" s="31"/>
      <c r="J51" s="44"/>
      <c r="K51" s="44"/>
      <c r="L51" s="37">
        <f t="shared" si="0"/>
        <v>6</v>
      </c>
    </row>
    <row r="52" spans="2:12">
      <c r="B52" s="11">
        <v>1111069</v>
      </c>
      <c r="C52" s="15" t="s">
        <v>42</v>
      </c>
      <c r="D52" s="31">
        <v>6</v>
      </c>
      <c r="E52" s="31"/>
      <c r="F52" s="31"/>
      <c r="G52" s="31"/>
      <c r="H52" s="31"/>
      <c r="I52" s="31"/>
      <c r="J52" s="44"/>
      <c r="K52" s="44"/>
      <c r="L52" s="37">
        <f t="shared" si="0"/>
        <v>6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>
        <v>11</v>
      </c>
      <c r="E56" s="31">
        <v>1</v>
      </c>
      <c r="F56" s="31"/>
      <c r="G56" s="31">
        <v>1</v>
      </c>
      <c r="H56" s="31"/>
      <c r="I56" s="31"/>
      <c r="J56" s="44"/>
      <c r="K56" s="44"/>
      <c r="L56" s="37">
        <f t="shared" si="0"/>
        <v>13</v>
      </c>
    </row>
    <row r="57" spans="2:12">
      <c r="B57" s="11">
        <v>1111075</v>
      </c>
      <c r="C57" s="15" t="s">
        <v>45</v>
      </c>
      <c r="D57" s="31">
        <v>11</v>
      </c>
      <c r="E57" s="31">
        <v>1</v>
      </c>
      <c r="F57" s="31"/>
      <c r="G57" s="31">
        <v>1</v>
      </c>
      <c r="H57" s="31"/>
      <c r="I57" s="31"/>
      <c r="J57" s="44"/>
      <c r="K57" s="44"/>
      <c r="L57" s="37">
        <f t="shared" si="0"/>
        <v>13</v>
      </c>
    </row>
    <row r="58" spans="2:12">
      <c r="B58" s="11">
        <v>1111076</v>
      </c>
      <c r="C58" s="15" t="s">
        <v>46</v>
      </c>
      <c r="D58" s="31">
        <v>11</v>
      </c>
      <c r="E58" s="31">
        <v>1</v>
      </c>
      <c r="F58" s="31"/>
      <c r="G58" s="31"/>
      <c r="H58" s="31"/>
      <c r="I58" s="31"/>
      <c r="J58" s="44"/>
      <c r="K58" s="44"/>
      <c r="L58" s="37">
        <f t="shared" si="0"/>
        <v>12</v>
      </c>
    </row>
    <row r="59" spans="2:12">
      <c r="B59" s="11">
        <v>1111077</v>
      </c>
      <c r="C59" s="15" t="s">
        <v>47</v>
      </c>
      <c r="D59" s="31">
        <v>11</v>
      </c>
      <c r="E59" s="31">
        <v>1</v>
      </c>
      <c r="F59" s="31"/>
      <c r="G59" s="31"/>
      <c r="H59" s="31"/>
      <c r="I59" s="31"/>
      <c r="J59" s="44"/>
      <c r="K59" s="44"/>
      <c r="L59" s="37">
        <f t="shared" si="0"/>
        <v>12</v>
      </c>
    </row>
    <row r="60" spans="2:12">
      <c r="B60" s="11">
        <v>1111078</v>
      </c>
      <c r="C60" s="15" t="s">
        <v>48</v>
      </c>
      <c r="D60" s="31">
        <v>11</v>
      </c>
      <c r="E60" s="31">
        <v>1</v>
      </c>
      <c r="F60" s="31"/>
      <c r="G60" s="31"/>
      <c r="H60" s="31"/>
      <c r="I60" s="31"/>
      <c r="J60" s="44"/>
      <c r="K60" s="44"/>
      <c r="L60" s="37">
        <f t="shared" si="0"/>
        <v>12</v>
      </c>
    </row>
    <row r="61" spans="2:12">
      <c r="B61" s="11">
        <v>1111079</v>
      </c>
      <c r="C61" s="15" t="s">
        <v>49</v>
      </c>
      <c r="D61" s="31">
        <v>11</v>
      </c>
      <c r="E61" s="31">
        <v>1</v>
      </c>
      <c r="F61" s="31"/>
      <c r="G61" s="31"/>
      <c r="H61" s="31"/>
      <c r="I61" s="31"/>
      <c r="J61" s="44"/>
      <c r="K61" s="44"/>
      <c r="L61" s="37">
        <f t="shared" si="0"/>
        <v>12</v>
      </c>
    </row>
    <row r="62" spans="2:12">
      <c r="B62" s="11">
        <v>1111080</v>
      </c>
      <c r="C62" s="15" t="s">
        <v>50</v>
      </c>
      <c r="D62" s="31">
        <v>11</v>
      </c>
      <c r="E62" s="31">
        <v>1</v>
      </c>
      <c r="F62" s="31"/>
      <c r="G62" s="31"/>
      <c r="H62" s="31"/>
      <c r="I62" s="31"/>
      <c r="J62" s="44"/>
      <c r="K62" s="44"/>
      <c r="L62" s="37">
        <f t="shared" si="0"/>
        <v>12</v>
      </c>
    </row>
    <row r="63" spans="2:12">
      <c r="B63" s="11">
        <v>1111081</v>
      </c>
      <c r="C63" s="15" t="s">
        <v>51</v>
      </c>
      <c r="D63" s="31">
        <v>11</v>
      </c>
      <c r="E63" s="31">
        <v>1</v>
      </c>
      <c r="F63" s="31"/>
      <c r="G63" s="31"/>
      <c r="H63" s="31"/>
      <c r="I63" s="31"/>
      <c r="J63" s="44"/>
      <c r="K63" s="44"/>
      <c r="L63" s="37">
        <f t="shared" si="0"/>
        <v>12</v>
      </c>
    </row>
    <row r="64" spans="2:12">
      <c r="B64" s="11">
        <v>1111082</v>
      </c>
      <c r="C64" s="15" t="s">
        <v>52</v>
      </c>
      <c r="D64" s="31">
        <v>11</v>
      </c>
      <c r="E64" s="31">
        <v>1</v>
      </c>
      <c r="F64" s="31"/>
      <c r="G64" s="31"/>
      <c r="H64" s="31"/>
      <c r="I64" s="31"/>
      <c r="J64" s="44"/>
      <c r="K64" s="44"/>
      <c r="L64" s="37">
        <f t="shared" si="0"/>
        <v>12</v>
      </c>
    </row>
    <row r="65" spans="2:12">
      <c r="B65" s="11">
        <v>1111083</v>
      </c>
      <c r="C65" s="15" t="s">
        <v>53</v>
      </c>
      <c r="D65" s="31">
        <v>10</v>
      </c>
      <c r="E65" s="31">
        <v>1</v>
      </c>
      <c r="F65" s="31"/>
      <c r="G65" s="31"/>
      <c r="H65" s="31"/>
      <c r="I65" s="31"/>
      <c r="J65" s="44"/>
      <c r="K65" s="44"/>
      <c r="L65" s="37">
        <f t="shared" si="0"/>
        <v>11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14</v>
      </c>
      <c r="E69" s="31">
        <v>5</v>
      </c>
      <c r="F69" s="31">
        <v>1</v>
      </c>
      <c r="G69" s="31">
        <v>1</v>
      </c>
      <c r="H69" s="31"/>
      <c r="I69" s="31"/>
      <c r="J69" s="44"/>
      <c r="K69" s="44"/>
      <c r="L69" s="37">
        <f t="shared" ref="L69:L76" si="1">SUM(D69:K69)</f>
        <v>21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2</v>
      </c>
      <c r="F87" s="31"/>
      <c r="G87" s="31">
        <v>40</v>
      </c>
      <c r="H87" s="31"/>
      <c r="I87" s="31"/>
      <c r="J87" s="44"/>
      <c r="K87" s="44"/>
      <c r="L87" s="37">
        <f t="shared" si="2"/>
        <v>42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2</v>
      </c>
      <c r="E90" s="31">
        <v>5</v>
      </c>
      <c r="F90" s="31">
        <v>8</v>
      </c>
      <c r="G90" s="31">
        <v>16</v>
      </c>
      <c r="H90" s="31"/>
      <c r="I90" s="31"/>
      <c r="J90" s="44"/>
      <c r="K90" s="44"/>
      <c r="L90" s="37">
        <f t="shared" ref="L90:L99" si="3">SUM(D90:K90)</f>
        <v>31</v>
      </c>
    </row>
    <row r="91" spans="2:12">
      <c r="B91" s="11">
        <v>1112011</v>
      </c>
      <c r="C91" s="20" t="s">
        <v>76</v>
      </c>
      <c r="D91" s="31">
        <v>6</v>
      </c>
      <c r="E91" s="31">
        <v>5</v>
      </c>
      <c r="F91" s="31">
        <v>10</v>
      </c>
      <c r="G91" s="31">
        <v>16</v>
      </c>
      <c r="H91" s="31"/>
      <c r="I91" s="31"/>
      <c r="J91" s="44"/>
      <c r="K91" s="44"/>
      <c r="L91" s="37">
        <f t="shared" si="3"/>
        <v>37</v>
      </c>
    </row>
    <row r="92" spans="2:12">
      <c r="B92" s="11">
        <v>1112003</v>
      </c>
      <c r="C92" s="20" t="s">
        <v>77</v>
      </c>
      <c r="D92" s="31">
        <v>3</v>
      </c>
      <c r="E92" s="31"/>
      <c r="F92" s="31"/>
      <c r="G92" s="31">
        <v>9</v>
      </c>
      <c r="H92" s="31"/>
      <c r="I92" s="31"/>
      <c r="J92" s="44"/>
      <c r="K92" s="44"/>
      <c r="L92" s="37">
        <f t="shared" si="3"/>
        <v>12</v>
      </c>
    </row>
    <row r="93" spans="2:12">
      <c r="B93" s="11">
        <v>1112005</v>
      </c>
      <c r="C93" s="20" t="s">
        <v>78</v>
      </c>
      <c r="D93" s="31">
        <v>3</v>
      </c>
      <c r="E93" s="31"/>
      <c r="F93" s="31"/>
      <c r="G93" s="31">
        <v>9</v>
      </c>
      <c r="H93" s="31"/>
      <c r="I93" s="31"/>
      <c r="J93" s="44"/>
      <c r="K93" s="44"/>
      <c r="L93" s="37">
        <f t="shared" si="3"/>
        <v>12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>
        <v>3</v>
      </c>
      <c r="E97" s="31"/>
      <c r="F97" s="31"/>
      <c r="G97" s="31">
        <v>8</v>
      </c>
      <c r="H97" s="31"/>
      <c r="I97" s="31"/>
      <c r="J97" s="44"/>
      <c r="K97" s="44"/>
      <c r="L97" s="37">
        <f t="shared" si="3"/>
        <v>11</v>
      </c>
    </row>
    <row r="98" spans="2:12">
      <c r="B98" s="11">
        <v>1112013</v>
      </c>
      <c r="C98" s="20" t="s">
        <v>83</v>
      </c>
      <c r="D98" s="31">
        <v>3</v>
      </c>
      <c r="E98" s="31">
        <v>5</v>
      </c>
      <c r="F98" s="31">
        <v>8</v>
      </c>
      <c r="G98" s="31">
        <v>16</v>
      </c>
      <c r="H98" s="31"/>
      <c r="I98" s="31"/>
      <c r="J98" s="44"/>
      <c r="K98" s="44"/>
      <c r="L98" s="37">
        <f t="shared" si="3"/>
        <v>32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10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10</v>
      </c>
    </row>
    <row r="115" spans="2:12">
      <c r="B115" s="11">
        <v>1113171</v>
      </c>
      <c r="C115" s="22" t="s">
        <v>88</v>
      </c>
      <c r="D115" s="31">
        <v>5</v>
      </c>
      <c r="E115" s="31"/>
      <c r="F115" s="31"/>
      <c r="G115" s="31"/>
      <c r="H115" s="31"/>
      <c r="I115" s="31"/>
      <c r="J115" s="44"/>
      <c r="K115" s="44"/>
      <c r="L115" s="37">
        <f t="shared" si="6"/>
        <v>5</v>
      </c>
    </row>
    <row r="116" spans="2:12">
      <c r="B116" s="11">
        <v>1113172</v>
      </c>
      <c r="C116" s="22" t="s">
        <v>89</v>
      </c>
      <c r="D116" s="31">
        <v>10</v>
      </c>
      <c r="E116" s="31"/>
      <c r="F116" s="31"/>
      <c r="G116" s="31"/>
      <c r="H116" s="31"/>
      <c r="I116" s="31"/>
      <c r="J116" s="44"/>
      <c r="K116" s="44"/>
      <c r="L116" s="37">
        <f t="shared" si="6"/>
        <v>10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4"/>
      <c r="K119" s="44"/>
      <c r="L119" s="37">
        <f t="shared" si="6"/>
        <v>1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>
        <v>1</v>
      </c>
      <c r="H120" s="31"/>
      <c r="I120" s="31"/>
      <c r="J120" s="44"/>
      <c r="K120" s="44"/>
      <c r="L120" s="37">
        <f t="shared" si="6"/>
        <v>1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>
        <v>6</v>
      </c>
      <c r="G122" s="31"/>
      <c r="H122" s="31"/>
      <c r="I122" s="31"/>
      <c r="J122" s="44"/>
      <c r="K122" s="44"/>
      <c r="L122" s="37">
        <f t="shared" si="6"/>
        <v>6</v>
      </c>
    </row>
    <row r="123" spans="2:12">
      <c r="B123" s="11">
        <v>1114501</v>
      </c>
      <c r="C123" s="22" t="s">
        <v>95</v>
      </c>
      <c r="D123" s="31"/>
      <c r="E123" s="31">
        <v>1</v>
      </c>
      <c r="F123" s="31"/>
      <c r="G123" s="31">
        <v>25</v>
      </c>
      <c r="H123" s="31"/>
      <c r="I123" s="31"/>
      <c r="J123" s="44"/>
      <c r="K123" s="44"/>
      <c r="L123" s="37">
        <f t="shared" si="6"/>
        <v>26</v>
      </c>
    </row>
    <row r="124" spans="2:12">
      <c r="B124" s="11">
        <v>1114502</v>
      </c>
      <c r="C124" s="22" t="s">
        <v>96</v>
      </c>
      <c r="D124" s="31"/>
      <c r="E124" s="31">
        <v>1</v>
      </c>
      <c r="F124" s="31"/>
      <c r="G124" s="31">
        <v>25</v>
      </c>
      <c r="H124" s="31"/>
      <c r="I124" s="31"/>
      <c r="J124" s="44"/>
      <c r="K124" s="44"/>
      <c r="L124" s="37">
        <f t="shared" si="6"/>
        <v>26</v>
      </c>
    </row>
    <row r="125" spans="2:12">
      <c r="B125" s="11">
        <v>1114503</v>
      </c>
      <c r="C125" s="22" t="s">
        <v>97</v>
      </c>
      <c r="D125" s="31"/>
      <c r="E125" s="31">
        <v>1</v>
      </c>
      <c r="F125" s="31">
        <v>2</v>
      </c>
      <c r="G125" s="31">
        <v>25</v>
      </c>
      <c r="H125" s="31"/>
      <c r="I125" s="31"/>
      <c r="J125" s="44"/>
      <c r="K125" s="44"/>
      <c r="L125" s="37">
        <f t="shared" si="6"/>
        <v>28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120" zoomScale="50" zoomScaleNormal="50" workbookViewId="0">
      <selection activeCell="B1" sqref="B1:Q140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66" t="s">
        <v>141</v>
      </c>
      <c r="P2" s="66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67"/>
      <c r="P3" s="67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68"/>
      <c r="P4" s="68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9"/>
    </row>
    <row r="7" spans="2:17">
      <c r="B7" s="11">
        <v>1111002</v>
      </c>
      <c r="C7" s="15" t="s">
        <v>107</v>
      </c>
      <c r="D7" s="31">
        <f>'เย็น '!D7+'เช้า '!D7+บ่าย!D7</f>
        <v>47</v>
      </c>
      <c r="E7" s="31">
        <f>'เย็น '!E7+'เช้า '!E7+บ่าย!E7</f>
        <v>76</v>
      </c>
      <c r="F7" s="31">
        <f>'เย็น '!F7+'เช้า '!F7+บ่าย!F7</f>
        <v>274</v>
      </c>
      <c r="G7" s="31">
        <f>'เย็น '!G7+'เช้า '!G7+บ่าย!G7</f>
        <v>4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20</v>
      </c>
      <c r="L7" s="37">
        <f>SUM(D7:K7)</f>
        <v>421</v>
      </c>
      <c r="M7" s="11"/>
      <c r="N7" s="11"/>
      <c r="O7" s="11"/>
      <c r="P7" s="11"/>
      <c r="Q7" s="45">
        <f>(M7+N7+O7+P7)-L7</f>
        <v>-421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7</v>
      </c>
      <c r="E25" s="31">
        <f>'เย็น '!E25+'เช้า '!E25+บ่าย!E25</f>
        <v>8</v>
      </c>
      <c r="F25" s="31">
        <f>'เย็น '!F25+'เช้า '!F25+บ่าย!F25</f>
        <v>32</v>
      </c>
      <c r="G25" s="31">
        <f>'เย็น '!G25+'เช้า '!G25+บ่าย!G25</f>
        <v>10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10</v>
      </c>
      <c r="L25" s="37">
        <f t="shared" si="0"/>
        <v>67</v>
      </c>
      <c r="M25" s="11"/>
      <c r="N25" s="11"/>
      <c r="O25" s="11"/>
      <c r="P25" s="11"/>
      <c r="Q25" s="45">
        <f t="shared" si="1"/>
        <v>-67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44</v>
      </c>
      <c r="F26" s="31">
        <f>'เย็น '!F26+'เช้า '!F26+บ่าย!F26</f>
        <v>36</v>
      </c>
      <c r="G26" s="31">
        <f>'เย็น '!G26+'เช้า '!G26+บ่าย!G26</f>
        <v>180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275</v>
      </c>
      <c r="M26" s="11"/>
      <c r="N26" s="11"/>
      <c r="O26" s="11"/>
      <c r="P26" s="11"/>
      <c r="Q26" s="45">
        <f t="shared" si="1"/>
        <v>-275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8</v>
      </c>
      <c r="E40" s="31">
        <f>'เย็น '!E40+'เช้า '!E40+บ่าย!E40</f>
        <v>2</v>
      </c>
      <c r="F40" s="31">
        <f>'เย็น '!F40+'เช้า '!F40+บ่าย!F40</f>
        <v>2</v>
      </c>
      <c r="G40" s="31">
        <f>'เย็น '!G40+'เช้า '!G40+บ่าย!G40</f>
        <v>4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16</v>
      </c>
      <c r="M40" s="11"/>
      <c r="N40" s="11"/>
      <c r="O40" s="11"/>
      <c r="P40" s="11"/>
      <c r="Q40" s="45">
        <f t="shared" si="1"/>
        <v>-16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6</v>
      </c>
      <c r="E41" s="31">
        <f>'เย็น '!E41+'เช้า '!E41+บ่าย!E41</f>
        <v>2</v>
      </c>
      <c r="F41" s="31">
        <f>'เย็น '!F41+'เช้า '!F41+บ่าย!F41</f>
        <v>1</v>
      </c>
      <c r="G41" s="31">
        <f>'เย็น '!G41+'เช้า '!G41+บ่าย!G41</f>
        <v>4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13</v>
      </c>
      <c r="M41" s="11"/>
      <c r="N41" s="11"/>
      <c r="O41" s="11"/>
      <c r="P41" s="11"/>
      <c r="Q41" s="45">
        <f t="shared" si="1"/>
        <v>-13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8</v>
      </c>
      <c r="E42" s="31">
        <f>'เย็น '!E42+'เช้า '!E42+บ่าย!E42</f>
        <v>2</v>
      </c>
      <c r="F42" s="31">
        <f>'เย็น '!F42+'เช้า '!F42+บ่าย!F42</f>
        <v>0</v>
      </c>
      <c r="G42" s="31">
        <f>'เย็น '!G42+'เช้า '!G42+บ่าย!G42</f>
        <v>4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14</v>
      </c>
      <c r="M42" s="11"/>
      <c r="N42" s="11"/>
      <c r="O42" s="11"/>
      <c r="P42" s="11"/>
      <c r="Q42" s="45">
        <f t="shared" si="1"/>
        <v>-14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6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6</v>
      </c>
      <c r="M43" s="11"/>
      <c r="N43" s="11"/>
      <c r="O43" s="11"/>
      <c r="P43" s="11"/>
      <c r="Q43" s="45">
        <f t="shared" si="1"/>
        <v>-6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6</v>
      </c>
      <c r="E44" s="31">
        <f>'เย็น '!E44+'เช้า '!E44+บ่าย!E44</f>
        <v>2</v>
      </c>
      <c r="F44" s="31">
        <f>'เย็น '!F44+'เช้า '!F44+บ่าย!F44</f>
        <v>0</v>
      </c>
      <c r="G44" s="31">
        <f>'เย็น '!G44+'เช้า '!G44+บ่าย!G44</f>
        <v>4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12</v>
      </c>
      <c r="M44" s="11"/>
      <c r="N44" s="11"/>
      <c r="O44" s="11"/>
      <c r="P44" s="11"/>
      <c r="Q44" s="45">
        <f t="shared" si="1"/>
        <v>-12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6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6</v>
      </c>
      <c r="M45" s="11"/>
      <c r="N45" s="11"/>
      <c r="O45" s="11"/>
      <c r="P45" s="11"/>
      <c r="Q45" s="45">
        <f t="shared" si="1"/>
        <v>-6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6</v>
      </c>
      <c r="E46" s="31">
        <f>'เย็น '!E46+'เช้า '!E46+บ่าย!E46</f>
        <v>2</v>
      </c>
      <c r="F46" s="31">
        <f>'เย็น '!F46+'เช้า '!F46+บ่าย!F46</f>
        <v>0</v>
      </c>
      <c r="G46" s="31">
        <f>'เย็น '!G46+'เช้า '!G46+บ่าย!G46</f>
        <v>4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12</v>
      </c>
      <c r="M46" s="11"/>
      <c r="N46" s="11"/>
      <c r="O46" s="11"/>
      <c r="P46" s="11"/>
      <c r="Q46" s="45">
        <f t="shared" si="1"/>
        <v>-12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6</v>
      </c>
      <c r="E47" s="31">
        <f>'เย็น '!E47+'เช้า '!E47+บ่าย!E47</f>
        <v>2</v>
      </c>
      <c r="F47" s="31">
        <f>'เย็น '!F47+'เช้า '!F47+บ่าย!F47</f>
        <v>0</v>
      </c>
      <c r="G47" s="31">
        <f>'เย็น '!G47+'เช้า '!G47+บ่าย!G47</f>
        <v>4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12</v>
      </c>
      <c r="M47" s="11"/>
      <c r="N47" s="11"/>
      <c r="O47" s="11"/>
      <c r="P47" s="11"/>
      <c r="Q47" s="45">
        <f t="shared" si="1"/>
        <v>-12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6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6</v>
      </c>
      <c r="M48" s="11"/>
      <c r="N48" s="11"/>
      <c r="O48" s="11"/>
      <c r="P48" s="11"/>
      <c r="Q48" s="45">
        <f t="shared" si="1"/>
        <v>-6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6</v>
      </c>
      <c r="E49" s="31">
        <f>'เย็น '!E49+'เช้า '!E49+บ่าย!E49</f>
        <v>2</v>
      </c>
      <c r="F49" s="31">
        <f>'เย็น '!F49+'เช้า '!F49+บ่าย!F49</f>
        <v>0</v>
      </c>
      <c r="G49" s="31">
        <f>'เย็น '!G49+'เช้า '!G49+บ่าย!G49</f>
        <v>4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12</v>
      </c>
      <c r="M49" s="11"/>
      <c r="N49" s="11"/>
      <c r="O49" s="11"/>
      <c r="P49" s="11"/>
      <c r="Q49" s="45">
        <f t="shared" si="1"/>
        <v>-12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6</v>
      </c>
      <c r="E50" s="31">
        <f>'เย็น '!E50+'เช้า '!E50+บ่าย!E50</f>
        <v>2</v>
      </c>
      <c r="F50" s="31">
        <f>'เย็น '!F50+'เช้า '!F50+บ่าย!F50</f>
        <v>0</v>
      </c>
      <c r="G50" s="31">
        <f>'เย็น '!G50+'เช้า '!G50+บ่าย!G50</f>
        <v>4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12</v>
      </c>
      <c r="M50" s="11"/>
      <c r="N50" s="11"/>
      <c r="O50" s="11"/>
      <c r="P50" s="11"/>
      <c r="Q50" s="45">
        <f t="shared" si="1"/>
        <v>-12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6</v>
      </c>
      <c r="E51" s="31">
        <f>'เย็น '!E51+'เช้า '!E51+บ่าย!E51</f>
        <v>2</v>
      </c>
      <c r="F51" s="31">
        <f>'เย็น '!F51+'เช้า '!F51+บ่าย!F51</f>
        <v>0</v>
      </c>
      <c r="G51" s="31">
        <f>'เย็น '!G51+'เช้า '!G51+บ่าย!G51</f>
        <v>4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12</v>
      </c>
      <c r="M51" s="11"/>
      <c r="N51" s="11"/>
      <c r="O51" s="11"/>
      <c r="P51" s="11"/>
      <c r="Q51" s="45">
        <f t="shared" si="1"/>
        <v>-12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6</v>
      </c>
      <c r="E52" s="31">
        <f>'เย็น '!E52+'เช้า '!E52+บ่าย!E52</f>
        <v>2</v>
      </c>
      <c r="F52" s="31">
        <f>'เย็น '!F52+'เช้า '!F52+บ่าย!F52</f>
        <v>0</v>
      </c>
      <c r="G52" s="31">
        <f>'เย็น '!G52+'เช้า '!G52+บ่าย!G52</f>
        <v>4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12</v>
      </c>
      <c r="M52" s="11"/>
      <c r="N52" s="11"/>
      <c r="O52" s="11"/>
      <c r="P52" s="11"/>
      <c r="Q52" s="45">
        <f t="shared" si="1"/>
        <v>-12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11</v>
      </c>
      <c r="E56" s="31">
        <f>'เย็น '!E56+'เช้า '!E56+บ่าย!E56</f>
        <v>1</v>
      </c>
      <c r="F56" s="31">
        <f>'เย็น '!F56+'เช้า '!F56+บ่าย!F56</f>
        <v>5</v>
      </c>
      <c r="G56" s="31">
        <f>'เย็น '!G56+'เช้า '!G56+บ่าย!G56</f>
        <v>4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21</v>
      </c>
      <c r="M56" s="11"/>
      <c r="N56" s="11"/>
      <c r="O56" s="11"/>
      <c r="P56" s="11"/>
      <c r="Q56" s="45">
        <f t="shared" si="1"/>
        <v>-21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11</v>
      </c>
      <c r="E57" s="31">
        <f>'เย็น '!E57+'เช้า '!E57+บ่าย!E57</f>
        <v>1</v>
      </c>
      <c r="F57" s="31">
        <f>'เย็น '!F57+'เช้า '!F57+บ่าย!F57</f>
        <v>5</v>
      </c>
      <c r="G57" s="31">
        <f>'เย็น '!G57+'เช้า '!G57+บ่าย!G57</f>
        <v>4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21</v>
      </c>
      <c r="M57" s="11"/>
      <c r="N57" s="11"/>
      <c r="O57" s="11"/>
      <c r="P57" s="11"/>
      <c r="Q57" s="45">
        <f t="shared" si="1"/>
        <v>-21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11</v>
      </c>
      <c r="E58" s="31">
        <f>'เย็น '!E58+'เช้า '!E58+บ่าย!E58</f>
        <v>1</v>
      </c>
      <c r="F58" s="31">
        <f>'เย็น '!F58+'เช้า '!F58+บ่าย!F58</f>
        <v>5</v>
      </c>
      <c r="G58" s="31">
        <f>'เย็น '!G58+'เช้า '!G58+บ่าย!G58</f>
        <v>3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20</v>
      </c>
      <c r="M58" s="11"/>
      <c r="N58" s="11"/>
      <c r="O58" s="11"/>
      <c r="P58" s="11"/>
      <c r="Q58" s="45">
        <f t="shared" si="1"/>
        <v>-20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11</v>
      </c>
      <c r="E59" s="31">
        <f>'เย็น '!E59+'เช้า '!E59+บ่าย!E59</f>
        <v>1</v>
      </c>
      <c r="F59" s="31">
        <f>'เย็น '!F59+'เช้า '!F59+บ่าย!F59</f>
        <v>5</v>
      </c>
      <c r="G59" s="31">
        <f>'เย็น '!G59+'เช้า '!G59+บ่าย!G59</f>
        <v>3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20</v>
      </c>
      <c r="M59" s="11"/>
      <c r="N59" s="11"/>
      <c r="O59" s="11"/>
      <c r="P59" s="11"/>
      <c r="Q59" s="45">
        <f t="shared" si="1"/>
        <v>-20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11</v>
      </c>
      <c r="E60" s="31">
        <f>'เย็น '!E60+'เช้า '!E60+บ่าย!E60</f>
        <v>1</v>
      </c>
      <c r="F60" s="31">
        <f>'เย็น '!F60+'เช้า '!F60+บ่าย!F60</f>
        <v>5</v>
      </c>
      <c r="G60" s="31">
        <f>'เย็น '!G60+'เช้า '!G60+บ่าย!G60</f>
        <v>3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20</v>
      </c>
      <c r="M60" s="11"/>
      <c r="N60" s="11"/>
      <c r="O60" s="11"/>
      <c r="P60" s="11"/>
      <c r="Q60" s="45">
        <f t="shared" si="1"/>
        <v>-20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11</v>
      </c>
      <c r="E61" s="31">
        <f>'เย็น '!E61+'เช้า '!E61+บ่าย!E61</f>
        <v>1</v>
      </c>
      <c r="F61" s="31">
        <f>'เย็น '!F61+'เช้า '!F61+บ่าย!F61</f>
        <v>5</v>
      </c>
      <c r="G61" s="31">
        <f>'เย็น '!G61+'เช้า '!G61+บ่าย!G61</f>
        <v>3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20</v>
      </c>
      <c r="M61" s="11"/>
      <c r="N61" s="11"/>
      <c r="O61" s="11"/>
      <c r="P61" s="11"/>
      <c r="Q61" s="45">
        <f t="shared" si="1"/>
        <v>-20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11</v>
      </c>
      <c r="E62" s="31">
        <f>'เย็น '!E62+'เช้า '!E62+บ่าย!E62</f>
        <v>1</v>
      </c>
      <c r="F62" s="31">
        <f>'เย็น '!F62+'เช้า '!F62+บ่าย!F62</f>
        <v>5</v>
      </c>
      <c r="G62" s="31">
        <f>'เย็น '!G62+'เช้า '!G62+บ่าย!G62</f>
        <v>3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20</v>
      </c>
      <c r="M62" s="11"/>
      <c r="N62" s="11"/>
      <c r="O62" s="11"/>
      <c r="P62" s="11"/>
      <c r="Q62" s="45">
        <f t="shared" si="1"/>
        <v>-20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11</v>
      </c>
      <c r="E63" s="31">
        <f>'เย็น '!E63+'เช้า '!E63+บ่าย!E63</f>
        <v>1</v>
      </c>
      <c r="F63" s="31">
        <f>'เย็น '!F63+'เช้า '!F63+บ่าย!F63</f>
        <v>5</v>
      </c>
      <c r="G63" s="31">
        <f>'เย็น '!G63+'เช้า '!G63+บ่าย!G63</f>
        <v>3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20</v>
      </c>
      <c r="M63" s="11"/>
      <c r="N63" s="11"/>
      <c r="O63" s="11"/>
      <c r="P63" s="11"/>
      <c r="Q63" s="45">
        <f t="shared" si="1"/>
        <v>-20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11</v>
      </c>
      <c r="E64" s="31">
        <f>'เย็น '!E64+'เช้า '!E64+บ่าย!E64</f>
        <v>1</v>
      </c>
      <c r="F64" s="31">
        <f>'เย็น '!F64+'เช้า '!F64+บ่าย!F64</f>
        <v>5</v>
      </c>
      <c r="G64" s="31">
        <f>'เย็น '!G64+'เช้า '!G64+บ่าย!G64</f>
        <v>3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20</v>
      </c>
      <c r="M64" s="11"/>
      <c r="N64" s="11"/>
      <c r="O64" s="11"/>
      <c r="P64" s="11"/>
      <c r="Q64" s="45">
        <f t="shared" si="1"/>
        <v>-20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10</v>
      </c>
      <c r="E65" s="31">
        <f>'เย็น '!E65+'เช้า '!E65+บ่าย!E65</f>
        <v>1</v>
      </c>
      <c r="F65" s="31">
        <f>'เย็น '!F65+'เช้า '!F65+บ่าย!F65</f>
        <v>5</v>
      </c>
      <c r="G65" s="31">
        <f>'เย็น '!G65+'เช้า '!G65+บ่าย!G65</f>
        <v>3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19</v>
      </c>
      <c r="M65" s="11"/>
      <c r="N65" s="11"/>
      <c r="O65" s="11"/>
      <c r="P65" s="11"/>
      <c r="Q65" s="45">
        <f t="shared" si="1"/>
        <v>-19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9"/>
    </row>
    <row r="69" spans="2:20">
      <c r="B69" s="11">
        <v>1111009</v>
      </c>
      <c r="C69" s="20" t="s">
        <v>56</v>
      </c>
      <c r="D69" s="31">
        <f>'เย็น '!D69+'เช้า '!D69+บ่าย!D69</f>
        <v>14</v>
      </c>
      <c r="E69" s="31">
        <f>'เย็น '!E69+'เช้า '!E69+บ่าย!E69</f>
        <v>6</v>
      </c>
      <c r="F69" s="31">
        <f>'เย็น '!F69+'เช้า '!F69+บ่าย!F69</f>
        <v>38</v>
      </c>
      <c r="G69" s="31">
        <f>'เย็น '!G69+'เช้า '!G69+บ่าย!G69</f>
        <v>6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5</v>
      </c>
      <c r="L69" s="37">
        <f t="shared" ref="L69:L76" si="4">SUM(D69:K69)</f>
        <v>69</v>
      </c>
      <c r="M69" s="11"/>
      <c r="N69" s="11"/>
      <c r="O69" s="11"/>
      <c r="P69" s="11"/>
      <c r="Q69" s="45">
        <f t="shared" ref="Q69:Q76" si="5">(M69+N69+O69+P69)-L69</f>
        <v>-69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9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11</v>
      </c>
      <c r="F87" s="31">
        <f>'เย็น '!F87+'เช้า '!F87+บ่าย!F87</f>
        <v>0</v>
      </c>
      <c r="G87" s="31">
        <f>'เย็น '!G87+'เช้า '!G87+บ่าย!G87</f>
        <v>206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3</v>
      </c>
      <c r="L87" s="37">
        <f t="shared" si="7"/>
        <v>220</v>
      </c>
      <c r="M87" s="11"/>
      <c r="N87" s="11"/>
      <c r="O87" s="11"/>
      <c r="P87" s="11"/>
      <c r="Q87" s="45">
        <f t="shared" si="8"/>
        <v>-220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9"/>
    </row>
    <row r="90" spans="2:17">
      <c r="B90" s="11">
        <v>1112009</v>
      </c>
      <c r="C90" s="20" t="s">
        <v>75</v>
      </c>
      <c r="D90" s="31">
        <f>'เย็น '!D90+'เช้า '!D90+บ่าย!D90</f>
        <v>2</v>
      </c>
      <c r="E90" s="31">
        <f>'เย็น '!E90+'เช้า '!E90+บ่าย!E90</f>
        <v>13</v>
      </c>
      <c r="F90" s="31">
        <f>'เย็น '!F90+'เช้า '!F90+บ่าย!F90</f>
        <v>13</v>
      </c>
      <c r="G90" s="31">
        <f>'เย็น '!G90+'เช้า '!G90+บ่าย!G90</f>
        <v>74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8</v>
      </c>
      <c r="L90" s="37">
        <f t="shared" ref="L90:L99" si="9">SUM(D90:K90)</f>
        <v>110</v>
      </c>
      <c r="M90" s="11"/>
      <c r="N90" s="11"/>
      <c r="O90" s="11"/>
      <c r="P90" s="11"/>
      <c r="Q90" s="45">
        <f t="shared" ref="Q90:Q99" si="10">(M90+N90+O90+P90)-L90</f>
        <v>-110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6</v>
      </c>
      <c r="E91" s="31">
        <f>'เย็น '!E91+'เช้า '!E91+บ่าย!E91</f>
        <v>15</v>
      </c>
      <c r="F91" s="31">
        <f>'เย็น '!F91+'เช้า '!F91+บ่าย!F91</f>
        <v>25</v>
      </c>
      <c r="G91" s="31">
        <f>'เย็น '!G91+'เช้า '!G91+บ่าย!G91</f>
        <v>74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6</v>
      </c>
      <c r="L91" s="37">
        <f t="shared" si="9"/>
        <v>126</v>
      </c>
      <c r="M91" s="11"/>
      <c r="N91" s="11"/>
      <c r="O91" s="11"/>
      <c r="P91" s="11"/>
      <c r="Q91" s="45">
        <f t="shared" si="10"/>
        <v>-126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3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52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55</v>
      </c>
      <c r="M92" s="11"/>
      <c r="N92" s="11"/>
      <c r="O92" s="11"/>
      <c r="P92" s="11"/>
      <c r="Q92" s="45">
        <f t="shared" si="10"/>
        <v>-55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3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52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55</v>
      </c>
      <c r="M93" s="11"/>
      <c r="N93" s="11"/>
      <c r="O93" s="11"/>
      <c r="P93" s="11"/>
      <c r="Q93" s="45">
        <f t="shared" si="10"/>
        <v>-55</v>
      </c>
    </row>
    <row r="94" spans="2:17" hidden="1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3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51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54</v>
      </c>
      <c r="M97" s="11"/>
      <c r="N97" s="11"/>
      <c r="O97" s="11"/>
      <c r="P97" s="11"/>
      <c r="Q97" s="45">
        <f t="shared" si="10"/>
        <v>-54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3</v>
      </c>
      <c r="E98" s="31">
        <f>'เย็น '!E98+'เช้า '!E98+บ่าย!E98</f>
        <v>13</v>
      </c>
      <c r="F98" s="31">
        <f>'เย็น '!F98+'เช้า '!F98+บ่าย!F98</f>
        <v>13</v>
      </c>
      <c r="G98" s="31">
        <f>'เย็น '!G98+'เช้า '!G98+บ่าย!G98</f>
        <v>74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9</v>
      </c>
      <c r="L98" s="37">
        <f t="shared" si="9"/>
        <v>112</v>
      </c>
      <c r="M98" s="11"/>
      <c r="N98" s="11"/>
      <c r="O98" s="11"/>
      <c r="P98" s="11"/>
      <c r="Q98" s="45">
        <f t="shared" si="10"/>
        <v>-112</v>
      </c>
    </row>
    <row r="99" spans="2:17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512</v>
      </c>
      <c r="M100" s="11"/>
      <c r="N100" s="11"/>
      <c r="O100" s="11"/>
      <c r="P100" s="11"/>
      <c r="Q100" s="45"/>
    </row>
    <row r="101" spans="2:17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9"/>
    </row>
    <row r="102" spans="2:17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9"/>
    </row>
    <row r="114" spans="2:17">
      <c r="B114" s="11">
        <v>1113170</v>
      </c>
      <c r="C114" s="22" t="s">
        <v>87</v>
      </c>
      <c r="D114" s="31">
        <f>'เย็น '!D114+'เช้า '!D114+บ่าย!D114</f>
        <v>10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10</v>
      </c>
      <c r="M114" s="11"/>
      <c r="N114" s="11"/>
      <c r="O114" s="11"/>
      <c r="P114" s="11"/>
      <c r="Q114" s="45">
        <f t="shared" ref="Q114:Q139" si="16">(M114+N114+O114+P114)-L114</f>
        <v>-10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5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5</v>
      </c>
      <c r="M115" s="11"/>
      <c r="N115" s="11"/>
      <c r="O115" s="11"/>
      <c r="P115" s="11"/>
      <c r="Q115" s="45">
        <f t="shared" si="16"/>
        <v>-5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10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10</v>
      </c>
      <c r="M116" s="11"/>
      <c r="N116" s="11"/>
      <c r="O116" s="11"/>
      <c r="P116" s="11"/>
      <c r="Q116" s="45">
        <f t="shared" si="16"/>
        <v>-10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7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7</v>
      </c>
      <c r="M118" s="11"/>
      <c r="N118" s="11"/>
      <c r="O118" s="11"/>
      <c r="P118" s="11"/>
      <c r="Q118" s="45">
        <f t="shared" si="16"/>
        <v>-7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</v>
      </c>
      <c r="M119" s="11"/>
      <c r="N119" s="11"/>
      <c r="O119" s="11"/>
      <c r="P119" s="11"/>
      <c r="Q119" s="45">
        <f t="shared" si="16"/>
        <v>-1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5</v>
      </c>
      <c r="F120" s="31">
        <f>'เย็น '!F120+'เช้า '!F120+บ่าย!F120</f>
        <v>0</v>
      </c>
      <c r="G120" s="31">
        <f>'เย็น '!G120+'เช้า '!G120+บ่าย!G120</f>
        <v>1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6</v>
      </c>
      <c r="M120" s="11"/>
      <c r="N120" s="11"/>
      <c r="O120" s="11"/>
      <c r="P120" s="11"/>
      <c r="Q120" s="45">
        <f t="shared" si="16"/>
        <v>-6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6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6</v>
      </c>
      <c r="M122" s="11"/>
      <c r="N122" s="11"/>
      <c r="O122" s="11"/>
      <c r="P122" s="11"/>
      <c r="Q122" s="45">
        <f t="shared" si="16"/>
        <v>-6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4</v>
      </c>
      <c r="F123" s="31">
        <f>'เย็น '!F123+'เช้า '!F123+บ่าย!F123</f>
        <v>7</v>
      </c>
      <c r="G123" s="31">
        <f>'เย็น '!G123+'เช้า '!G123+บ่าย!G123</f>
        <v>103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114</v>
      </c>
      <c r="M123" s="11"/>
      <c r="N123" s="11"/>
      <c r="O123" s="11"/>
      <c r="P123" s="11"/>
      <c r="Q123" s="45">
        <f t="shared" si="16"/>
        <v>-114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3</v>
      </c>
      <c r="F124" s="31">
        <f>'เย็น '!F124+'เช้า '!F124+บ่าย!F124</f>
        <v>9</v>
      </c>
      <c r="G124" s="31">
        <f>'เย็น '!G124+'เช้า '!G124+บ่าย!G124</f>
        <v>103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115</v>
      </c>
      <c r="M124" s="11"/>
      <c r="N124" s="11"/>
      <c r="O124" s="11"/>
      <c r="P124" s="11"/>
      <c r="Q124" s="45">
        <f t="shared" si="16"/>
        <v>-115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4</v>
      </c>
      <c r="F125" s="31">
        <f>'เย็น '!F125+'เช้า '!F125+บ่าย!F125</f>
        <v>9</v>
      </c>
      <c r="G125" s="31">
        <f>'เย็น '!G125+'เช้า '!G125+บ่าย!G125</f>
        <v>103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116</v>
      </c>
      <c r="M125" s="11"/>
      <c r="N125" s="11"/>
      <c r="O125" s="11"/>
      <c r="P125" s="11"/>
      <c r="Q125" s="45">
        <f t="shared" si="16"/>
        <v>-116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107</v>
      </c>
      <c r="F126" s="31">
        <f>'เย็น '!F126+'เช้า '!F126+บ่าย!F126</f>
        <v>178</v>
      </c>
      <c r="G126" s="31">
        <f>'เย็น '!G126+'เช้า '!G126+บ่าย!G126</f>
        <v>69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354</v>
      </c>
      <c r="M126" s="11"/>
      <c r="N126" s="11"/>
      <c r="O126" s="11"/>
      <c r="P126" s="11"/>
      <c r="Q126" s="45">
        <f t="shared" si="16"/>
        <v>-354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1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1</v>
      </c>
      <c r="M130" s="11"/>
      <c r="N130" s="11"/>
      <c r="O130" s="11"/>
      <c r="P130" s="11"/>
      <c r="Q130" s="45">
        <f t="shared" si="16"/>
        <v>-1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304</v>
      </c>
      <c r="E140" s="37">
        <f t="shared" ref="E140:K140" si="17">SUM(E114:E139,E90:E99,E79:E87,E69:E76,E7:E66,E102:E111)</f>
        <v>347</v>
      </c>
      <c r="F140" s="37">
        <f t="shared" si="17"/>
        <v>694</v>
      </c>
      <c r="G140" s="37">
        <f t="shared" si="17"/>
        <v>1234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76</v>
      </c>
      <c r="L140" s="37">
        <f>SUM(L114:L139,L90:L99,L79:L87,L69:L76,L7:L66,L102:L111)</f>
        <v>2655</v>
      </c>
      <c r="M140" s="31">
        <f>SUM(M114:M136,M90:M98,M79:M87,M69:M76,M7:M66)</f>
        <v>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-2655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2025-01-08T00:44:46Z</cp:lastPrinted>
  <dcterms:created xsi:type="dcterms:W3CDTF">2024-04-30T05:21:27Z</dcterms:created>
  <dcterms:modified xsi:type="dcterms:W3CDTF">2025-01-08T00:44:47Z</dcterms:modified>
</cp:coreProperties>
</file>