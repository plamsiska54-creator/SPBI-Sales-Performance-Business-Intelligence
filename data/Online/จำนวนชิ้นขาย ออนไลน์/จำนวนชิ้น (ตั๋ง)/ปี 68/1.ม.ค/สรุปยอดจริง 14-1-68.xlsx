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รวมสรุปยอดจริง 66\"/>
    </mc:Choice>
  </mc:AlternateContent>
  <xr:revisionPtr revIDLastSave="0" documentId="13_ncr:1_{6ED2884C-9353-4010-91FB-0673B8D09419}" xr6:coauthVersionLast="47" xr6:coauthVersionMax="47" xr10:uidLastSave="{00000000-0000-0000-0000-000000000000}"/>
  <bookViews>
    <workbookView xWindow="7860" yWindow="1605" windowWidth="19080" windowHeight="13425" activeTab="4" xr2:uid="{55C9AAA3-F459-48EC-A639-AACFFC6390F5}"/>
  </bookViews>
  <sheets>
    <sheet name="เย็น " sheetId="6" r:id="rId1"/>
    <sheet name="เช้า " sheetId="3" r:id="rId2"/>
    <sheet name="บ่าย" sheetId="4" r:id="rId3"/>
    <sheet name="บ่าย (2)" sheetId="7" r:id="rId4"/>
    <sheet name="รวม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5" i="5" l="1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E114" i="5"/>
  <c r="F114" i="5"/>
  <c r="G114" i="5"/>
  <c r="D114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G97" i="5"/>
  <c r="D98" i="5"/>
  <c r="E98" i="5"/>
  <c r="F98" i="5"/>
  <c r="G98" i="5"/>
  <c r="E90" i="5"/>
  <c r="F90" i="5"/>
  <c r="G90" i="5"/>
  <c r="D90" i="5"/>
  <c r="E87" i="5"/>
  <c r="F87" i="5"/>
  <c r="G87" i="5"/>
  <c r="H87" i="5"/>
  <c r="I87" i="5"/>
  <c r="J87" i="5"/>
  <c r="K87" i="5"/>
  <c r="D87" i="5"/>
  <c r="D70" i="5"/>
  <c r="E70" i="5"/>
  <c r="F70" i="5"/>
  <c r="G70" i="5"/>
  <c r="D71" i="5"/>
  <c r="E71" i="5"/>
  <c r="F71" i="5"/>
  <c r="G71" i="5"/>
  <c r="D72" i="5"/>
  <c r="E72" i="5"/>
  <c r="F72" i="5"/>
  <c r="G72" i="5"/>
  <c r="D73" i="5"/>
  <c r="E73" i="5"/>
  <c r="F73" i="5"/>
  <c r="G73" i="5"/>
  <c r="D74" i="5"/>
  <c r="E74" i="5"/>
  <c r="F74" i="5"/>
  <c r="G74" i="5"/>
  <c r="D75" i="5"/>
  <c r="E75" i="5"/>
  <c r="F75" i="5"/>
  <c r="G75" i="5"/>
  <c r="D76" i="5"/>
  <c r="E76" i="5"/>
  <c r="F76" i="5"/>
  <c r="G76" i="5"/>
  <c r="E69" i="5"/>
  <c r="F69" i="5"/>
  <c r="G69" i="5"/>
  <c r="D69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D52" i="5"/>
  <c r="E52" i="5"/>
  <c r="F52" i="5"/>
  <c r="G52" i="5"/>
  <c r="D53" i="5"/>
  <c r="E53" i="5"/>
  <c r="F53" i="5"/>
  <c r="G53" i="5"/>
  <c r="D54" i="5"/>
  <c r="E54" i="5"/>
  <c r="F54" i="5"/>
  <c r="G54" i="5"/>
  <c r="D55" i="5"/>
  <c r="E55" i="5"/>
  <c r="F55" i="5"/>
  <c r="G55" i="5"/>
  <c r="D56" i="5"/>
  <c r="E56" i="5"/>
  <c r="F56" i="5"/>
  <c r="G56" i="5"/>
  <c r="D57" i="5"/>
  <c r="E57" i="5"/>
  <c r="F57" i="5"/>
  <c r="G57" i="5"/>
  <c r="D58" i="5"/>
  <c r="E58" i="5"/>
  <c r="F58" i="5"/>
  <c r="G58" i="5"/>
  <c r="D59" i="5"/>
  <c r="E59" i="5"/>
  <c r="F59" i="5"/>
  <c r="G59" i="5"/>
  <c r="D60" i="5"/>
  <c r="E60" i="5"/>
  <c r="F60" i="5"/>
  <c r="G60" i="5"/>
  <c r="D61" i="5"/>
  <c r="E61" i="5"/>
  <c r="F61" i="5"/>
  <c r="G61" i="5"/>
  <c r="D62" i="5"/>
  <c r="E62" i="5"/>
  <c r="F62" i="5"/>
  <c r="G62" i="5"/>
  <c r="D63" i="5"/>
  <c r="E63" i="5"/>
  <c r="F63" i="5"/>
  <c r="G63" i="5"/>
  <c r="D64" i="5"/>
  <c r="E64" i="5"/>
  <c r="F64" i="5"/>
  <c r="G64" i="5"/>
  <c r="D65" i="5"/>
  <c r="E65" i="5"/>
  <c r="F65" i="5"/>
  <c r="G65" i="5"/>
  <c r="E7" i="5"/>
  <c r="F7" i="5"/>
  <c r="G7" i="5"/>
  <c r="D7" i="5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1" i="7"/>
  <c r="L110" i="7"/>
  <c r="L109" i="7"/>
  <c r="L108" i="7"/>
  <c r="L107" i="7"/>
  <c r="L112" i="7" s="1"/>
  <c r="L106" i="7"/>
  <c r="L105" i="7"/>
  <c r="L104" i="7"/>
  <c r="L103" i="7"/>
  <c r="L102" i="7"/>
  <c r="L100" i="7"/>
  <c r="L99" i="7"/>
  <c r="L98" i="7"/>
  <c r="L97" i="7"/>
  <c r="L96" i="7"/>
  <c r="L95" i="7"/>
  <c r="L94" i="7"/>
  <c r="L93" i="7"/>
  <c r="L92" i="7"/>
  <c r="L91" i="7"/>
  <c r="L90" i="7"/>
  <c r="L87" i="7"/>
  <c r="L86" i="7"/>
  <c r="L85" i="7"/>
  <c r="L84" i="7"/>
  <c r="L83" i="7"/>
  <c r="L82" i="7"/>
  <c r="L81" i="7"/>
  <c r="L80" i="7"/>
  <c r="L79" i="7"/>
  <c r="L76" i="7"/>
  <c r="L75" i="7"/>
  <c r="L74" i="7"/>
  <c r="L73" i="7"/>
  <c r="L72" i="7"/>
  <c r="L71" i="7"/>
  <c r="L70" i="7"/>
  <c r="L69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H137" i="5"/>
  <c r="I137" i="5"/>
  <c r="J137" i="5"/>
  <c r="K137" i="5"/>
  <c r="H138" i="5"/>
  <c r="I138" i="5"/>
  <c r="J138" i="5"/>
  <c r="K138" i="5"/>
  <c r="H139" i="5"/>
  <c r="I139" i="5"/>
  <c r="J139" i="5"/>
  <c r="K139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H97" i="5"/>
  <c r="I97" i="5"/>
  <c r="J97" i="5"/>
  <c r="K97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E79" i="5"/>
  <c r="F79" i="5"/>
  <c r="G79" i="5"/>
  <c r="H79" i="5"/>
  <c r="I79" i="5"/>
  <c r="J79" i="5"/>
  <c r="K79" i="5"/>
  <c r="D79" i="5"/>
  <c r="H70" i="5"/>
  <c r="I70" i="5"/>
  <c r="J70" i="5"/>
  <c r="K70" i="5"/>
  <c r="H71" i="5"/>
  <c r="I71" i="5"/>
  <c r="J71" i="5"/>
  <c r="K71" i="5"/>
  <c r="H72" i="5"/>
  <c r="I72" i="5"/>
  <c r="J72" i="5"/>
  <c r="K72" i="5"/>
  <c r="H73" i="5"/>
  <c r="I73" i="5"/>
  <c r="J73" i="5"/>
  <c r="K73" i="5"/>
  <c r="H74" i="5"/>
  <c r="I74" i="5"/>
  <c r="J74" i="5"/>
  <c r="K74" i="5"/>
  <c r="H75" i="5"/>
  <c r="I75" i="5"/>
  <c r="J75" i="5"/>
  <c r="K75" i="5"/>
  <c r="H76" i="5"/>
  <c r="I76" i="5"/>
  <c r="J76" i="5"/>
  <c r="K76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H52" i="5"/>
  <c r="I52" i="5"/>
  <c r="J52" i="5"/>
  <c r="K52" i="5"/>
  <c r="H53" i="5"/>
  <c r="I53" i="5"/>
  <c r="J53" i="5"/>
  <c r="K53" i="5"/>
  <c r="H54" i="5"/>
  <c r="I54" i="5"/>
  <c r="J54" i="5"/>
  <c r="K54" i="5"/>
  <c r="H55" i="5"/>
  <c r="I55" i="5"/>
  <c r="J55" i="5"/>
  <c r="K55" i="5"/>
  <c r="H56" i="5"/>
  <c r="I56" i="5"/>
  <c r="J56" i="5"/>
  <c r="K56" i="5"/>
  <c r="H57" i="5"/>
  <c r="I57" i="5"/>
  <c r="J57" i="5"/>
  <c r="K57" i="5"/>
  <c r="H58" i="5"/>
  <c r="I58" i="5"/>
  <c r="J58" i="5"/>
  <c r="K58" i="5"/>
  <c r="H59" i="5"/>
  <c r="I59" i="5"/>
  <c r="J59" i="5"/>
  <c r="K59" i="5"/>
  <c r="H60" i="5"/>
  <c r="I60" i="5"/>
  <c r="J60" i="5"/>
  <c r="K60" i="5"/>
  <c r="H61" i="5"/>
  <c r="I61" i="5"/>
  <c r="J61" i="5"/>
  <c r="K61" i="5"/>
  <c r="H62" i="5"/>
  <c r="I62" i="5"/>
  <c r="J62" i="5"/>
  <c r="K62" i="5"/>
  <c r="H63" i="5"/>
  <c r="I63" i="5"/>
  <c r="J63" i="5"/>
  <c r="K63" i="5"/>
  <c r="H64" i="5"/>
  <c r="I64" i="5"/>
  <c r="J64" i="5"/>
  <c r="K64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5" i="5" l="1"/>
  <c r="Q135" i="5" s="1"/>
  <c r="L112" i="3"/>
  <c r="L112" i="6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<sst xmlns="http://schemas.openxmlformats.org/spreadsheetml/2006/main" count="765" uniqueCount="145">
  <si>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</si>
  <si>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</si>
  <si>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</si>
  <si>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</si>
  <si>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</si>
  <si>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</si>
  <si>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</si>
  <si>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</si>
  <si>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</si>
  <si>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</si>
  <si>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</si>
  <si>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</si>
  <si>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</si>
  <si>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</si>
  <si>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</si>
  <si>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</si>
  <si>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</si>
  <si>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</si>
  <si>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</si>
  <si>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</si>
  <si>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</si>
  <si>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</si>
  <si>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</si>
  <si>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</si>
  <si>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</si>
  <si>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</si>
  <si>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</si>
  <si>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</si>
  <si>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</si>
  <si>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</si>
  <si>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</si>
  <si>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</si>
  <si>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</si>
  <si>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</si>
  <si>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</si>
  <si>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</si>
  <si>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</si>
  <si>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</si>
  <si>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</si>
  <si>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</si>
  <si>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</si>
  <si>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</si>
  <si>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</si>
  <si>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</si>
  <si>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</si>
  <si>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</si>
  <si>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</si>
  <si>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</si>
  <si>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</si>
  <si>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</si>
  <si>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</si>
  <si>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</si>
  <si>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</si>
  <si>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</si>
  <si>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</si>
  <si>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</si>
  <si>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</si>
  <si>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</si>
  <si>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</si>
  <si>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</si>
  <si>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</si>
  <si>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</si>
  <si>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</si>
  <si>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</si>
  <si>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</si>
  <si>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</si>
  <si>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</si>
  <si>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</si>
  <si>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</si>
  <si>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</si>
  <si>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</si>
  <si>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</si>
  <si>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</si>
  <si>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</si>
  <si>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</si>
  <si>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</si>
  <si>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</si>
  <si>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</si>
  <si>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</si>
  <si>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</si>
  <si>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</si>
  <si>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</si>
  <si>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</si>
  <si>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</si>
  <si>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</si>
  <si>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</si>
  <si>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</si>
  <si>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</si>
  <si>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</si>
  <si>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</si>
  <si>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</si>
  <si>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</si>
  <si>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</si>
  <si>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</si>
  <si>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</si>
  <si>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</si>
  <si>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</si>
  <si>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</si>
  <si>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</si>
  <si>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</si>
  <si>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</si>
  <si>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</si>
  <si>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</si>
  <si>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</si>
  <si>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</si>
  <si>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</si>
  <si>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</si>
  <si>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</si>
  <si>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</si>
  <si>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</si>
  <si>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</si>
  <si>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</si>
  <si>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</si>
  <si>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</si>
  <si>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</si>
  <si>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</si>
  <si>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</si>
  <si>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</si>
  <si>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</si>
  <si>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</si>
  <si>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</si>
  <si>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</si>
  <si>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</si>
  <si>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</si>
  <si>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</si>
  <si>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</si>
  <si>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</si>
  <si>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</si>
  <si>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</si>
  <si>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</si>
  <si>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</si>
  <si>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</si>
  <si>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</si>
  <si>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</si>
  <si>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</si>
  <si>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</si>
  <si>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</si>
  <si>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</si>
  <si>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</si>
  <si>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</si>
  <si>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</si>
  <si>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</si>
  <si>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14/1/2568 - เย็น</t>
  </si>
  <si>
    <t>ยอดจริง ออนไลน์ วันที่ 14/1/68  รวม</t>
  </si>
  <si>
    <t>ยอดจริง ออนไลน์ วันที่ 14/1/2568 -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</si>
</sst>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12" zoomScale="60" zoomScaleNormal="60" workbookViewId="0">
      <selection activeCell="E136" sqref="E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142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>
        <v>6</v>
      </c>
      <c r="F7" s="31">
        <v>5</v>
      </c>
      <c r="G7" s="31"/>
      <c r="H7" s="31"/>
      <c r="I7" s="31"/>
      <c r="J7" s="44"/>
      <c r="K7" s="44"/>
      <c r="L7" s="37">
        <f>SUM(D7:K7)</f>
        <v>11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>
        <v>2</v>
      </c>
      <c r="G25" s="31"/>
      <c r="H25" s="31"/>
      <c r="I25" s="31"/>
      <c r="J25" s="44"/>
      <c r="K25" s="44"/>
      <c r="L25" s="37">
        <f t="shared" si="0"/>
        <v>2</v>
      </c>
    </row>
    <row r="26" spans="2:12" x14ac:dyDescent="0.2">
      <c r="B26" s="11">
        <v>1004055</v>
      </c>
      <c r="C26" s="15" t="s">
        <v>108</v>
      </c>
      <c r="D26" s="31"/>
      <c r="E26" s="31">
        <v>21</v>
      </c>
      <c r="F26" s="31">
        <v>5</v>
      </c>
      <c r="G26" s="31">
        <v>69</v>
      </c>
      <c r="H26" s="31"/>
      <c r="I26" s="31"/>
      <c r="J26" s="44"/>
      <c r="K26" s="44"/>
      <c r="L26" s="37">
        <f t="shared" si="0"/>
        <v>95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>
        <v>1</v>
      </c>
      <c r="G40" s="31"/>
      <c r="H40" s="31"/>
      <c r="I40" s="31"/>
      <c r="J40" s="44"/>
      <c r="K40" s="44"/>
      <c r="L40" s="37">
        <f t="shared" si="0"/>
        <v>1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4</v>
      </c>
      <c r="F69" s="31">
        <v>5</v>
      </c>
      <c r="G69" s="31"/>
      <c r="H69" s="31"/>
      <c r="I69" s="31"/>
      <c r="J69" s="44"/>
      <c r="K69" s="44"/>
      <c r="L69" s="37">
        <f t="shared" ref="L69:L76" si="1">SUM(D69:K69)</f>
        <v>9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60</v>
      </c>
      <c r="H87" s="31"/>
      <c r="I87" s="31"/>
      <c r="J87" s="44"/>
      <c r="K87" s="44"/>
      <c r="L87" s="37">
        <f t="shared" si="2"/>
        <v>60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>
        <v>8</v>
      </c>
      <c r="G90" s="31">
        <v>21</v>
      </c>
      <c r="H90" s="31"/>
      <c r="I90" s="31"/>
      <c r="J90" s="44"/>
      <c r="K90" s="44"/>
      <c r="L90" s="37">
        <f t="shared" ref="L90:L99" si="3">SUM(D90:K90)</f>
        <v>30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>
        <v>8</v>
      </c>
      <c r="G91" s="31">
        <v>21</v>
      </c>
      <c r="H91" s="31"/>
      <c r="I91" s="31"/>
      <c r="J91" s="44"/>
      <c r="K91" s="44"/>
      <c r="L91" s="37">
        <f t="shared" si="3"/>
        <v>30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18</v>
      </c>
      <c r="H92" s="31"/>
      <c r="I92" s="31"/>
      <c r="J92" s="44"/>
      <c r="K92" s="44"/>
      <c r="L92" s="37">
        <f t="shared" si="3"/>
        <v>18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18</v>
      </c>
      <c r="H93" s="31"/>
      <c r="I93" s="31"/>
      <c r="J93" s="44"/>
      <c r="K93" s="44"/>
      <c r="L93" s="37">
        <f t="shared" si="3"/>
        <v>18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17</v>
      </c>
      <c r="H97" s="31"/>
      <c r="I97" s="31"/>
      <c r="J97" s="44"/>
      <c r="K97" s="44"/>
      <c r="L97" s="37">
        <f t="shared" si="3"/>
        <v>17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>
        <v>6</v>
      </c>
      <c r="G98" s="31">
        <v>21</v>
      </c>
      <c r="H98" s="31"/>
      <c r="I98" s="31"/>
      <c r="J98" s="44"/>
      <c r="K98" s="44"/>
      <c r="L98" s="37">
        <f t="shared" si="3"/>
        <v>28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3</v>
      </c>
      <c r="F123" s="31">
        <v>8</v>
      </c>
      <c r="G123" s="31">
        <v>31</v>
      </c>
      <c r="H123" s="31"/>
      <c r="I123" s="31"/>
      <c r="J123" s="44"/>
      <c r="K123" s="44"/>
      <c r="L123" s="37">
        <f t="shared" si="6"/>
        <v>42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8</v>
      </c>
      <c r="G124" s="31">
        <v>31</v>
      </c>
      <c r="H124" s="31"/>
      <c r="I124" s="31"/>
      <c r="J124" s="44"/>
      <c r="K124" s="44"/>
      <c r="L124" s="37">
        <f t="shared" si="6"/>
        <v>42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8</v>
      </c>
      <c r="G125" s="31">
        <v>31</v>
      </c>
      <c r="H125" s="31"/>
      <c r="I125" s="31"/>
      <c r="J125" s="44"/>
      <c r="K125" s="44"/>
      <c r="L125" s="37">
        <f t="shared" si="6"/>
        <v>40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>
        <v>3</v>
      </c>
      <c r="G126" s="31">
        <v>18</v>
      </c>
      <c r="H126" s="31"/>
      <c r="I126" s="31"/>
      <c r="J126" s="44"/>
      <c r="K126" s="44"/>
      <c r="L126" s="37">
        <f t="shared" si="6"/>
        <v>27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3</v>
      </c>
      <c r="F135" s="31"/>
      <c r="G135" s="31"/>
      <c r="H135" s="31"/>
      <c r="I135" s="31"/>
      <c r="J135" s="44"/>
      <c r="K135" s="44"/>
      <c r="L135" s="37">
        <f t="shared" si="6"/>
        <v>3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G57" sqref="G5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136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13</v>
      </c>
      <c r="E7" s="31">
        <v>7</v>
      </c>
      <c r="F7" s="31">
        <v>4</v>
      </c>
      <c r="G7" s="31"/>
      <c r="H7" s="31"/>
      <c r="I7" s="31"/>
      <c r="J7" s="44"/>
      <c r="K7" s="44"/>
      <c r="L7" s="37">
        <f>SUM(D7:K7)</f>
        <v>24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7</v>
      </c>
      <c r="E25" s="31">
        <v>2</v>
      </c>
      <c r="F25" s="31">
        <v>3</v>
      </c>
      <c r="G25" s="31"/>
      <c r="H25" s="31"/>
      <c r="I25" s="31"/>
      <c r="J25" s="44"/>
      <c r="K25" s="44"/>
      <c r="L25" s="37">
        <f t="shared" si="0"/>
        <v>12</v>
      </c>
    </row>
    <row r="26" spans="2:12" x14ac:dyDescent="0.2">
      <c r="B26" s="11">
        <v>1004055</v>
      </c>
      <c r="C26" s="15" t="s">
        <v>108</v>
      </c>
      <c r="D26" s="31">
        <v>13</v>
      </c>
      <c r="E26" s="31"/>
      <c r="F26" s="31"/>
      <c r="G26" s="31">
        <v>26</v>
      </c>
      <c r="H26" s="31"/>
      <c r="I26" s="31"/>
      <c r="J26" s="44"/>
      <c r="K26" s="44"/>
      <c r="L26" s="37">
        <f t="shared" si="0"/>
        <v>39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>
        <v>1</v>
      </c>
      <c r="G40" s="31"/>
      <c r="H40" s="31"/>
      <c r="I40" s="31"/>
      <c r="J40" s="44"/>
      <c r="K40" s="44"/>
      <c r="L40" s="37">
        <f t="shared" si="0"/>
        <v>1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>
        <v>2</v>
      </c>
      <c r="F56" s="31"/>
      <c r="G56" s="31">
        <v>3</v>
      </c>
      <c r="H56" s="31"/>
      <c r="I56" s="31"/>
      <c r="J56" s="44"/>
      <c r="K56" s="44"/>
      <c r="L56" s="37">
        <f t="shared" si="0"/>
        <v>5</v>
      </c>
    </row>
    <row r="57" spans="2:12" x14ac:dyDescent="0.2">
      <c r="B57" s="11">
        <v>1111075</v>
      </c>
      <c r="C57" s="15" t="s">
        <v>45</v>
      </c>
      <c r="D57" s="31"/>
      <c r="E57" s="31">
        <v>2</v>
      </c>
      <c r="F57" s="31"/>
      <c r="G57" s="31">
        <v>2</v>
      </c>
      <c r="H57" s="31"/>
      <c r="I57" s="31"/>
      <c r="J57" s="44"/>
      <c r="K57" s="44"/>
      <c r="L57" s="37">
        <f t="shared" si="0"/>
        <v>4</v>
      </c>
    </row>
    <row r="58" spans="2:12" x14ac:dyDescent="0.2">
      <c r="B58" s="11">
        <v>1111076</v>
      </c>
      <c r="C58" s="15" t="s">
        <v>46</v>
      </c>
      <c r="D58" s="31"/>
      <c r="E58" s="31">
        <v>2</v>
      </c>
      <c r="F58" s="31"/>
      <c r="G58" s="31">
        <v>2</v>
      </c>
      <c r="H58" s="31"/>
      <c r="I58" s="31"/>
      <c r="J58" s="44"/>
      <c r="K58" s="44"/>
      <c r="L58" s="37">
        <f t="shared" si="0"/>
        <v>4</v>
      </c>
    </row>
    <row r="59" spans="2:12" x14ac:dyDescent="0.2">
      <c r="B59" s="11">
        <v>1111077</v>
      </c>
      <c r="C59" s="15" t="s">
        <v>47</v>
      </c>
      <c r="D59" s="31"/>
      <c r="E59" s="31">
        <v>2</v>
      </c>
      <c r="F59" s="31"/>
      <c r="G59" s="31">
        <v>2</v>
      </c>
      <c r="H59" s="31"/>
      <c r="I59" s="31"/>
      <c r="J59" s="44"/>
      <c r="K59" s="44"/>
      <c r="L59" s="37">
        <f t="shared" si="0"/>
        <v>4</v>
      </c>
    </row>
    <row r="60" spans="2:12" x14ac:dyDescent="0.2">
      <c r="B60" s="11">
        <v>1111078</v>
      </c>
      <c r="C60" s="15" t="s">
        <v>48</v>
      </c>
      <c r="D60" s="31"/>
      <c r="E60" s="31">
        <v>2</v>
      </c>
      <c r="F60" s="31"/>
      <c r="G60" s="31">
        <v>2</v>
      </c>
      <c r="H60" s="31"/>
      <c r="I60" s="31"/>
      <c r="J60" s="44"/>
      <c r="K60" s="44"/>
      <c r="L60" s="37">
        <f t="shared" si="0"/>
        <v>4</v>
      </c>
    </row>
    <row r="61" spans="2:12" x14ac:dyDescent="0.2">
      <c r="B61" s="11">
        <v>1111079</v>
      </c>
      <c r="C61" s="15" t="s">
        <v>49</v>
      </c>
      <c r="D61" s="31"/>
      <c r="E61" s="31">
        <v>2</v>
      </c>
      <c r="F61" s="31"/>
      <c r="G61" s="31">
        <v>2</v>
      </c>
      <c r="H61" s="31"/>
      <c r="I61" s="31"/>
      <c r="J61" s="44"/>
      <c r="K61" s="44"/>
      <c r="L61" s="37">
        <f t="shared" si="0"/>
        <v>4</v>
      </c>
    </row>
    <row r="62" spans="2:12" x14ac:dyDescent="0.2">
      <c r="B62" s="11">
        <v>1111080</v>
      </c>
      <c r="C62" s="15" t="s">
        <v>50</v>
      </c>
      <c r="D62" s="31"/>
      <c r="E62" s="31">
        <v>2</v>
      </c>
      <c r="F62" s="31"/>
      <c r="G62" s="31">
        <v>2</v>
      </c>
      <c r="H62" s="31"/>
      <c r="I62" s="31"/>
      <c r="J62" s="44"/>
      <c r="K62" s="44"/>
      <c r="L62" s="37">
        <f t="shared" si="0"/>
        <v>4</v>
      </c>
    </row>
    <row r="63" spans="2:12" x14ac:dyDescent="0.2">
      <c r="B63" s="11">
        <v>1111081</v>
      </c>
      <c r="C63" s="15" t="s">
        <v>51</v>
      </c>
      <c r="D63" s="31"/>
      <c r="E63" s="31">
        <v>2</v>
      </c>
      <c r="F63" s="31"/>
      <c r="G63" s="31">
        <v>2</v>
      </c>
      <c r="H63" s="31"/>
      <c r="I63" s="31"/>
      <c r="J63" s="44"/>
      <c r="K63" s="44"/>
      <c r="L63" s="37">
        <f t="shared" si="0"/>
        <v>4</v>
      </c>
    </row>
    <row r="64" spans="2:12" x14ac:dyDescent="0.2">
      <c r="B64" s="11">
        <v>1111082</v>
      </c>
      <c r="C64" s="15" t="s">
        <v>52</v>
      </c>
      <c r="D64" s="31"/>
      <c r="E64" s="31">
        <v>2</v>
      </c>
      <c r="F64" s="31"/>
      <c r="G64" s="31">
        <v>2</v>
      </c>
      <c r="H64" s="31"/>
      <c r="I64" s="31"/>
      <c r="J64" s="44"/>
      <c r="K64" s="44"/>
      <c r="L64" s="37">
        <f t="shared" si="0"/>
        <v>4</v>
      </c>
    </row>
    <row r="65" spans="2:12" x14ac:dyDescent="0.2">
      <c r="B65" s="11">
        <v>1111083</v>
      </c>
      <c r="C65" s="15" t="s">
        <v>53</v>
      </c>
      <c r="D65" s="31"/>
      <c r="E65" s="31">
        <v>2</v>
      </c>
      <c r="F65" s="31"/>
      <c r="G65" s="31">
        <v>2</v>
      </c>
      <c r="H65" s="31"/>
      <c r="I65" s="31"/>
      <c r="J65" s="44"/>
      <c r="K65" s="44"/>
      <c r="L65" s="37">
        <f t="shared" si="0"/>
        <v>4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28</v>
      </c>
      <c r="E69" s="31">
        <v>1</v>
      </c>
      <c r="F69" s="31">
        <v>5</v>
      </c>
      <c r="G69" s="31">
        <v>6</v>
      </c>
      <c r="H69" s="31"/>
      <c r="I69" s="31"/>
      <c r="J69" s="44"/>
      <c r="K69" s="44"/>
      <c r="L69" s="37">
        <f t="shared" ref="L69:L76" si="1">SUM(D69:K69)</f>
        <v>40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>
        <v>5</v>
      </c>
      <c r="E76" s="31"/>
      <c r="F76" s="31"/>
      <c r="G76" s="31"/>
      <c r="H76" s="31"/>
      <c r="I76" s="31"/>
      <c r="J76" s="44"/>
      <c r="K76" s="44"/>
      <c r="L76" s="37">
        <f t="shared" si="1"/>
        <v>5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4</v>
      </c>
      <c r="E87" s="31"/>
      <c r="F87" s="31"/>
      <c r="G87" s="31">
        <v>27</v>
      </c>
      <c r="H87" s="31"/>
      <c r="I87" s="31"/>
      <c r="J87" s="44"/>
      <c r="K87" s="44"/>
      <c r="L87" s="37">
        <f t="shared" si="2"/>
        <v>31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5</v>
      </c>
      <c r="E90" s="31"/>
      <c r="F90" s="31">
        <v>5</v>
      </c>
      <c r="G90" s="31">
        <v>25</v>
      </c>
      <c r="H90" s="31"/>
      <c r="I90" s="31"/>
      <c r="J90" s="44"/>
      <c r="K90" s="44"/>
      <c r="L90" s="37">
        <f t="shared" ref="L90:L99" si="3">SUM(D90:K90)</f>
        <v>35</v>
      </c>
    </row>
    <row r="91" spans="2:12" x14ac:dyDescent="0.2">
      <c r="B91" s="11">
        <v>1112011</v>
      </c>
      <c r="C91" s="20" t="s">
        <v>76</v>
      </c>
      <c r="D91" s="31">
        <v>4</v>
      </c>
      <c r="E91" s="31"/>
      <c r="F91" s="31">
        <v>7</v>
      </c>
      <c r="G91" s="31">
        <v>25</v>
      </c>
      <c r="H91" s="31"/>
      <c r="I91" s="31"/>
      <c r="J91" s="44"/>
      <c r="K91" s="44"/>
      <c r="L91" s="37">
        <f t="shared" si="3"/>
        <v>36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24</v>
      </c>
      <c r="H92" s="31"/>
      <c r="I92" s="31"/>
      <c r="J92" s="44"/>
      <c r="K92" s="44"/>
      <c r="L92" s="37">
        <f t="shared" si="3"/>
        <v>24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23</v>
      </c>
      <c r="H93" s="31"/>
      <c r="I93" s="31"/>
      <c r="J93" s="44"/>
      <c r="K93" s="44"/>
      <c r="L93" s="37">
        <f t="shared" si="3"/>
        <v>23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23</v>
      </c>
      <c r="H97" s="31"/>
      <c r="I97" s="31"/>
      <c r="J97" s="44"/>
      <c r="K97" s="44"/>
      <c r="L97" s="37">
        <f t="shared" si="3"/>
        <v>23</v>
      </c>
    </row>
    <row r="98" spans="2:12" x14ac:dyDescent="0.2">
      <c r="B98" s="11">
        <v>1112013</v>
      </c>
      <c r="C98" s="20" t="s">
        <v>83</v>
      </c>
      <c r="D98" s="31">
        <v>5</v>
      </c>
      <c r="E98" s="31"/>
      <c r="F98" s="31">
        <v>3</v>
      </c>
      <c r="G98" s="31">
        <v>25</v>
      </c>
      <c r="H98" s="31"/>
      <c r="I98" s="31"/>
      <c r="J98" s="44"/>
      <c r="K98" s="44"/>
      <c r="L98" s="37">
        <f t="shared" si="3"/>
        <v>33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>
        <v>6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6</v>
      </c>
    </row>
    <row r="115" spans="2:12" x14ac:dyDescent="0.2">
      <c r="B115" s="11">
        <v>1113171</v>
      </c>
      <c r="C115" s="22" t="s">
        <v>88</v>
      </c>
      <c r="D115" s="31">
        <v>15</v>
      </c>
      <c r="E115" s="31"/>
      <c r="F115" s="31"/>
      <c r="G115" s="31"/>
      <c r="H115" s="31"/>
      <c r="I115" s="31"/>
      <c r="J115" s="44"/>
      <c r="K115" s="44"/>
      <c r="L115" s="37">
        <f t="shared" si="6"/>
        <v>15</v>
      </c>
    </row>
    <row r="116" spans="2:12" x14ac:dyDescent="0.2">
      <c r="B116" s="11">
        <v>1113172</v>
      </c>
      <c r="C116" s="22" t="s">
        <v>89</v>
      </c>
      <c r="D116" s="31">
        <v>6</v>
      </c>
      <c r="E116" s="31"/>
      <c r="F116" s="31"/>
      <c r="G116" s="31"/>
      <c r="H116" s="31"/>
      <c r="I116" s="31"/>
      <c r="J116" s="44"/>
      <c r="K116" s="44"/>
      <c r="L116" s="37">
        <f t="shared" si="6"/>
        <v>6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2</v>
      </c>
      <c r="E123" s="31">
        <v>1</v>
      </c>
      <c r="F123" s="31">
        <v>4</v>
      </c>
      <c r="G123" s="31">
        <v>17</v>
      </c>
      <c r="H123" s="31"/>
      <c r="I123" s="31"/>
      <c r="J123" s="44"/>
      <c r="K123" s="44"/>
      <c r="L123" s="37">
        <f t="shared" si="6"/>
        <v>24</v>
      </c>
    </row>
    <row r="124" spans="2:12" x14ac:dyDescent="0.2">
      <c r="B124" s="11">
        <v>1114502</v>
      </c>
      <c r="C124" s="22" t="s">
        <v>96</v>
      </c>
      <c r="D124" s="31">
        <v>3</v>
      </c>
      <c r="E124" s="31"/>
      <c r="F124" s="31">
        <v>3</v>
      </c>
      <c r="G124" s="31">
        <v>17</v>
      </c>
      <c r="H124" s="31"/>
      <c r="I124" s="31"/>
      <c r="J124" s="44"/>
      <c r="K124" s="44"/>
      <c r="L124" s="37">
        <f t="shared" si="6"/>
        <v>23</v>
      </c>
    </row>
    <row r="125" spans="2:12" x14ac:dyDescent="0.2">
      <c r="B125" s="11">
        <v>1114503</v>
      </c>
      <c r="C125" s="22" t="s">
        <v>97</v>
      </c>
      <c r="D125" s="31">
        <v>2</v>
      </c>
      <c r="E125" s="31"/>
      <c r="F125" s="31">
        <v>2</v>
      </c>
      <c r="G125" s="31">
        <v>17</v>
      </c>
      <c r="H125" s="31"/>
      <c r="I125" s="31"/>
      <c r="J125" s="44"/>
      <c r="K125" s="44"/>
      <c r="L125" s="37">
        <f t="shared" si="6"/>
        <v>21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12" zoomScale="60" zoomScaleNormal="60" workbookViewId="0">
      <selection activeCell="E123" sqref="E123:G12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>
        <v>4</v>
      </c>
      <c r="F7" s="31">
        <v>13</v>
      </c>
      <c r="G7" s="31"/>
      <c r="H7" s="31"/>
      <c r="I7" s="31"/>
      <c r="J7" s="44"/>
      <c r="K7" s="44"/>
      <c r="L7" s="37">
        <f>SUM(D7:K7)</f>
        <v>17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1</v>
      </c>
      <c r="F25" s="31"/>
      <c r="G25" s="31"/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34</v>
      </c>
      <c r="H26" s="31"/>
      <c r="I26" s="31"/>
      <c r="J26" s="44"/>
      <c r="K26" s="44"/>
      <c r="L26" s="37">
        <f t="shared" si="0"/>
        <v>34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58</v>
      </c>
      <c r="H87" s="31"/>
      <c r="I87" s="31"/>
      <c r="J87" s="44"/>
      <c r="K87" s="44"/>
      <c r="L87" s="37">
        <f t="shared" si="2"/>
        <v>58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>
        <v>1</v>
      </c>
      <c r="G90" s="31">
        <v>22</v>
      </c>
      <c r="H90" s="31"/>
      <c r="I90" s="31"/>
      <c r="J90" s="44"/>
      <c r="K90" s="44"/>
      <c r="L90" s="37">
        <f t="shared" ref="L90:L99" si="3">SUM(D90:K90)</f>
        <v>24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>
        <v>1</v>
      </c>
      <c r="G91" s="31">
        <v>22</v>
      </c>
      <c r="H91" s="31"/>
      <c r="I91" s="31"/>
      <c r="J91" s="44"/>
      <c r="K91" s="44"/>
      <c r="L91" s="37">
        <f t="shared" si="3"/>
        <v>24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12</v>
      </c>
      <c r="H92" s="31"/>
      <c r="I92" s="31"/>
      <c r="J92" s="44"/>
      <c r="K92" s="44"/>
      <c r="L92" s="37">
        <f t="shared" si="3"/>
        <v>12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12</v>
      </c>
      <c r="H93" s="31"/>
      <c r="I93" s="31"/>
      <c r="J93" s="44"/>
      <c r="K93" s="44"/>
      <c r="L93" s="37">
        <f t="shared" si="3"/>
        <v>12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12</v>
      </c>
      <c r="H97" s="31"/>
      <c r="I97" s="31"/>
      <c r="J97" s="44"/>
      <c r="K97" s="44"/>
      <c r="L97" s="37">
        <f t="shared" si="3"/>
        <v>12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>
        <v>1</v>
      </c>
      <c r="G98" s="31">
        <v>22</v>
      </c>
      <c r="H98" s="31"/>
      <c r="I98" s="31"/>
      <c r="J98" s="44"/>
      <c r="K98" s="44"/>
      <c r="L98" s="37">
        <f t="shared" si="3"/>
        <v>24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2</v>
      </c>
      <c r="F123" s="31">
        <v>7</v>
      </c>
      <c r="G123" s="31">
        <v>11</v>
      </c>
      <c r="H123" s="31"/>
      <c r="I123" s="31"/>
      <c r="J123" s="44"/>
      <c r="K123" s="44"/>
      <c r="L123" s="37">
        <f t="shared" si="6"/>
        <v>20</v>
      </c>
    </row>
    <row r="124" spans="2:12" x14ac:dyDescent="0.2">
      <c r="B124" s="11">
        <v>1114502</v>
      </c>
      <c r="C124" s="22" t="s">
        <v>96</v>
      </c>
      <c r="D124" s="31"/>
      <c r="E124" s="31">
        <v>2</v>
      </c>
      <c r="F124" s="31">
        <v>5</v>
      </c>
      <c r="G124" s="31">
        <v>11</v>
      </c>
      <c r="H124" s="31"/>
      <c r="I124" s="31"/>
      <c r="J124" s="44"/>
      <c r="K124" s="44"/>
      <c r="L124" s="37">
        <f t="shared" si="6"/>
        <v>18</v>
      </c>
    </row>
    <row r="125" spans="2:12" x14ac:dyDescent="0.2">
      <c r="B125" s="11">
        <v>1114503</v>
      </c>
      <c r="C125" s="22" t="s">
        <v>97</v>
      </c>
      <c r="D125" s="31"/>
      <c r="E125" s="31">
        <v>2</v>
      </c>
      <c r="F125" s="31">
        <v>4</v>
      </c>
      <c r="G125" s="31">
        <v>11</v>
      </c>
      <c r="H125" s="31"/>
      <c r="I125" s="31"/>
      <c r="J125" s="44"/>
      <c r="K125" s="44"/>
      <c r="L125" s="37">
        <f t="shared" si="6"/>
        <v>17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/>
      <c r="G126" s="31">
        <v>18</v>
      </c>
      <c r="H126" s="31"/>
      <c r="I126" s="31"/>
      <c r="J126" s="44"/>
      <c r="K126" s="44"/>
      <c r="L126" s="37">
        <f t="shared" si="6"/>
        <v>24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1266-94D9-4023-AE3F-46E2D22F91A1}">
  <sheetPr>
    <pageSetUpPr fitToPage="1"/>
  </sheetPr>
  <dimension ref="B1:L160"/>
  <sheetViews>
    <sheetView topLeftCell="A109" zoomScale="60" zoomScaleNormal="60" workbookViewId="0">
      <selection activeCell="E127" sqref="E12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>
        <v>2</v>
      </c>
      <c r="F7" s="31">
        <v>1</v>
      </c>
      <c r="G7" s="31"/>
      <c r="H7" s="31"/>
      <c r="I7" s="31"/>
      <c r="J7" s="44"/>
      <c r="K7" s="44"/>
      <c r="L7" s="37">
        <f>SUM(D7:K7)</f>
        <v>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>
        <v>1</v>
      </c>
      <c r="G25" s="31"/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9</v>
      </c>
      <c r="H26" s="31"/>
      <c r="I26" s="31"/>
      <c r="J26" s="44"/>
      <c r="K26" s="44"/>
      <c r="L26" s="37">
        <f t="shared" si="0"/>
        <v>9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1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15</v>
      </c>
      <c r="H87" s="31"/>
      <c r="I87" s="31"/>
      <c r="J87" s="44"/>
      <c r="K87" s="44"/>
      <c r="L87" s="37">
        <f t="shared" si="2"/>
        <v>15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>
        <v>1</v>
      </c>
      <c r="G90" s="31">
        <v>12</v>
      </c>
      <c r="H90" s="31"/>
      <c r="I90" s="31"/>
      <c r="J90" s="44"/>
      <c r="K90" s="44"/>
      <c r="L90" s="37">
        <f t="shared" ref="L90:L99" si="3">SUM(D90:K90)</f>
        <v>14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>
        <v>1</v>
      </c>
      <c r="G91" s="31">
        <v>12</v>
      </c>
      <c r="H91" s="31"/>
      <c r="I91" s="31"/>
      <c r="J91" s="44"/>
      <c r="K91" s="44"/>
      <c r="L91" s="37">
        <f t="shared" si="3"/>
        <v>14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7</v>
      </c>
      <c r="H92" s="31"/>
      <c r="I92" s="31"/>
      <c r="J92" s="44"/>
      <c r="K92" s="44"/>
      <c r="L92" s="37">
        <f t="shared" si="3"/>
        <v>7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7</v>
      </c>
      <c r="H93" s="31"/>
      <c r="I93" s="31"/>
      <c r="J93" s="44"/>
      <c r="K93" s="44"/>
      <c r="L93" s="37">
        <f t="shared" si="3"/>
        <v>7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6</v>
      </c>
      <c r="H97" s="31"/>
      <c r="I97" s="31"/>
      <c r="J97" s="44"/>
      <c r="K97" s="44"/>
      <c r="L97" s="37">
        <f t="shared" si="3"/>
        <v>6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>
        <v>2</v>
      </c>
      <c r="G98" s="31">
        <v>11</v>
      </c>
      <c r="H98" s="31"/>
      <c r="I98" s="31"/>
      <c r="J98" s="44"/>
      <c r="K98" s="44"/>
      <c r="L98" s="37">
        <f t="shared" si="3"/>
        <v>14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2</v>
      </c>
      <c r="H116" s="31"/>
      <c r="I116" s="31"/>
      <c r="J116" s="44"/>
      <c r="K116" s="44"/>
      <c r="L116" s="37">
        <f t="shared" si="6"/>
        <v>2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11</v>
      </c>
      <c r="H123" s="31"/>
      <c r="I123" s="31"/>
      <c r="J123" s="44"/>
      <c r="K123" s="44"/>
      <c r="L123" s="37">
        <f t="shared" si="6"/>
        <v>11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11</v>
      </c>
      <c r="H124" s="31"/>
      <c r="I124" s="31"/>
      <c r="J124" s="44"/>
      <c r="K124" s="44"/>
      <c r="L124" s="37">
        <f t="shared" si="6"/>
        <v>11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>
        <v>11</v>
      </c>
      <c r="H125" s="31"/>
      <c r="I125" s="31"/>
      <c r="J125" s="44"/>
      <c r="K125" s="44"/>
      <c r="L125" s="37">
        <f t="shared" si="6"/>
        <v>11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>
        <v>20</v>
      </c>
      <c r="G126" s="31">
        <v>12</v>
      </c>
      <c r="H126" s="31"/>
      <c r="I126" s="31"/>
      <c r="J126" s="44"/>
      <c r="K126" s="44"/>
      <c r="L126" s="37">
        <f t="shared" si="6"/>
        <v>38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89:L89"/>
    <mergeCell ref="B101:L101"/>
    <mergeCell ref="B113:L113"/>
    <mergeCell ref="B142:C142"/>
    <mergeCell ref="E142:F142"/>
    <mergeCell ref="I142:L142"/>
    <mergeCell ref="B1:L1"/>
    <mergeCell ref="B2:C3"/>
    <mergeCell ref="E2:F3"/>
    <mergeCell ref="B6:L6"/>
    <mergeCell ref="B68:L68"/>
    <mergeCell ref="B78:L7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62" zoomScale="50" zoomScaleNormal="50" workbookViewId="0">
      <selection activeCell="F126" sqref="F12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9" t="s">
        <v>143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140</v>
      </c>
      <c r="P2" s="68" t="s">
        <v>141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'!D7+บ่าย!D7+'บ่าย (2)'!D7</f>
        <v>13</v>
      </c>
      <c r="E7" s="57">
        <f>'เย็น '!E7+'เช้า '!E7+บ่าย!E7+'บ่าย (2)'!E7</f>
        <v>19</v>
      </c>
      <c r="F7" s="57">
        <f>'เย็น '!F7+'เช้า '!F7+บ่าย!F7+'บ่าย (2)'!F7</f>
        <v>23</v>
      </c>
      <c r="G7" s="31">
        <f>'เย็น '!G7+'เช้า '!G7+บ่าย!G7+'บ่าย (2)'!G7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55</v>
      </c>
      <c r="M7" s="11">
        <v>500</v>
      </c>
      <c r="N7" s="11">
        <v>1384</v>
      </c>
      <c r="O7" s="11"/>
      <c r="P7" s="11"/>
      <c r="Q7" s="45">
        <f>(M7+N7+O7+P7)-L7</f>
        <v>1829</v>
      </c>
    </row>
    <row r="8" spans="2:17" hidden="1" x14ac:dyDescent="0.2">
      <c r="B8" s="11"/>
      <c r="C8" s="15" t="s">
        <v>126</v>
      </c>
      <c r="D8" s="31">
        <f>'เย็น '!D8+'เช้า '!D8+บ่าย!D8+'บ่าย (2)'!D8</f>
        <v>0</v>
      </c>
      <c r="E8" s="57">
        <f>'เย็น '!E8+'เช้า '!E8+บ่าย!E8+'บ่าย (2)'!E8</f>
        <v>0</v>
      </c>
      <c r="F8" s="31">
        <f>'เย็น '!F8+'เช้า '!F8+บ่าย!F8+'บ่าย (2)'!F8</f>
        <v>0</v>
      </c>
      <c r="G8" s="31">
        <f>'เย็น '!G8+'เช้า '!G8+บ่าย!G8+'บ่าย (2)'!G8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'!D9+บ่าย!D9+'บ่าย (2)'!D9</f>
        <v>0</v>
      </c>
      <c r="E9" s="57">
        <f>'เย็น '!E9+'เช้า '!E9+บ่าย!E9+'บ่าย (2)'!E9</f>
        <v>0</v>
      </c>
      <c r="F9" s="31">
        <f>'เย็น '!F9+'เช้า '!F9+บ่าย!F9+'บ่าย (2)'!F9</f>
        <v>0</v>
      </c>
      <c r="G9" s="31">
        <f>'เย็น '!G9+'เช้า '!G9+บ่าย!G9+'บ่าย (2)'!G9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'!D10+บ่าย!D10+'บ่าย (2)'!D10</f>
        <v>0</v>
      </c>
      <c r="E10" s="57">
        <f>'เย็น '!E10+'เช้า '!E10+บ่าย!E10+'บ่าย (2)'!E10</f>
        <v>0</v>
      </c>
      <c r="F10" s="31">
        <f>'เย็น '!F10+'เช้า '!F10+บ่าย!F10+'บ่าย (2)'!F10</f>
        <v>0</v>
      </c>
      <c r="G10" s="31">
        <f>'เย็น '!G10+'เช้า '!G10+บ่าย!G10+'บ่าย (2)'!G10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'!D11+บ่าย!D11+'บ่าย (2)'!D11</f>
        <v>0</v>
      </c>
      <c r="E11" s="57">
        <f>'เย็น '!E11+'เช้า '!E11+บ่าย!E11+'บ่าย (2)'!E11</f>
        <v>0</v>
      </c>
      <c r="F11" s="31">
        <f>'เย็น '!F11+'เช้า '!F11+บ่าย!F11+'บ่าย (2)'!F11</f>
        <v>0</v>
      </c>
      <c r="G11" s="31">
        <f>'เย็น '!G11+'เช้า '!G11+บ่าย!G11+'บ่าย (2)'!G11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'!D12+บ่าย!D12+'บ่าย (2)'!D12</f>
        <v>0</v>
      </c>
      <c r="E12" s="57">
        <f>'เย็น '!E12+'เช้า '!E12+บ่าย!E12+'บ่าย (2)'!E12</f>
        <v>0</v>
      </c>
      <c r="F12" s="31">
        <f>'เย็น '!F12+'เช้า '!F12+บ่าย!F12+'บ่าย (2)'!F12</f>
        <v>0</v>
      </c>
      <c r="G12" s="31">
        <f>'เย็น '!G12+'เช้า '!G12+บ่าย!G12+'บ่าย (2)'!G12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'!D13+บ่าย!D13+'บ่าย (2)'!D13</f>
        <v>0</v>
      </c>
      <c r="E13" s="57">
        <f>'เย็น '!E13+'เช้า '!E13+บ่าย!E13+'บ่าย (2)'!E13</f>
        <v>0</v>
      </c>
      <c r="F13" s="31">
        <f>'เย็น '!F13+'เช้า '!F13+บ่าย!F13+'บ่าย (2)'!F13</f>
        <v>0</v>
      </c>
      <c r="G13" s="31">
        <f>'เย็น '!G13+'เช้า '!G13+บ่าย!G13+'บ่าย (2)'!G13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'!D14+บ่าย!D14+'บ่าย (2)'!D14</f>
        <v>0</v>
      </c>
      <c r="E14" s="57">
        <f>'เย็น '!E14+'เช้า '!E14+บ่าย!E14+'บ่าย (2)'!E14</f>
        <v>0</v>
      </c>
      <c r="F14" s="31">
        <f>'เย็น '!F14+'เช้า '!F14+บ่าย!F14+'บ่าย (2)'!F14</f>
        <v>0</v>
      </c>
      <c r="G14" s="31">
        <f>'เย็น '!G14+'เช้า '!G14+บ่าย!G14+'บ่าย (2)'!G14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'!D15+บ่าย!D15+'บ่าย (2)'!D15</f>
        <v>0</v>
      </c>
      <c r="E15" s="57">
        <f>'เย็น '!E15+'เช้า '!E15+บ่าย!E15+'บ่าย (2)'!E15</f>
        <v>0</v>
      </c>
      <c r="F15" s="31">
        <f>'เย็น '!F15+'เช้า '!F15+บ่าย!F15+'บ่าย (2)'!F15</f>
        <v>0</v>
      </c>
      <c r="G15" s="31">
        <f>'เย็น '!G15+'เช้า '!G15+บ่าย!G15+'บ่าย (2)'!G15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'!D16+บ่าย!D16+'บ่าย (2)'!D16</f>
        <v>0</v>
      </c>
      <c r="E16" s="57">
        <f>'เย็น '!E16+'เช้า '!E16+บ่าย!E16+'บ่าย (2)'!E16</f>
        <v>0</v>
      </c>
      <c r="F16" s="31">
        <f>'เย็น '!F16+'เช้า '!F16+บ่าย!F16+'บ่าย (2)'!F16</f>
        <v>0</v>
      </c>
      <c r="G16" s="31">
        <f>'เย็น '!G16+'เช้า '!G16+บ่าย!G16+'บ่าย (2)'!G16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'!D17+บ่าย!D17+'บ่าย (2)'!D17</f>
        <v>0</v>
      </c>
      <c r="E17" s="57">
        <f>'เย็น '!E17+'เช้า '!E17+บ่าย!E17+'บ่าย (2)'!E17</f>
        <v>0</v>
      </c>
      <c r="F17" s="31">
        <f>'เย็น '!F17+'เช้า '!F17+บ่าย!F17+'บ่าย (2)'!F17</f>
        <v>0</v>
      </c>
      <c r="G17" s="31">
        <f>'เย็น '!G17+'เช้า '!G17+บ่าย!G17+'บ่าย (2)'!G17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'!D18+บ่าย!D18+'บ่าย (2)'!D18</f>
        <v>0</v>
      </c>
      <c r="E18" s="57">
        <f>'เย็น '!E18+'เช้า '!E18+บ่าย!E18+'บ่าย (2)'!E18</f>
        <v>0</v>
      </c>
      <c r="F18" s="31">
        <f>'เย็น '!F18+'เช้า '!F18+บ่าย!F18+'บ่าย (2)'!F18</f>
        <v>0</v>
      </c>
      <c r="G18" s="31">
        <f>'เย็น '!G18+'เช้า '!G18+บ่าย!G18+'บ่าย (2)'!G18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'!D19+บ่าย!D19+'บ่าย (2)'!D19</f>
        <v>0</v>
      </c>
      <c r="E19" s="57">
        <f>'เย็น '!E19+'เช้า '!E19+บ่าย!E19+'บ่าย (2)'!E19</f>
        <v>0</v>
      </c>
      <c r="F19" s="31">
        <f>'เย็น '!F19+'เช้า '!F19+บ่าย!F19+'บ่าย (2)'!F19</f>
        <v>0</v>
      </c>
      <c r="G19" s="31">
        <f>'เย็น '!G19+'เช้า '!G19+บ่าย!G19+'บ่าย (2)'!G19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'!D20+บ่าย!D20+'บ่าย (2)'!D20</f>
        <v>0</v>
      </c>
      <c r="E20" s="57">
        <f>'เย็น '!E20+'เช้า '!E20+บ่าย!E20+'บ่าย (2)'!E20</f>
        <v>0</v>
      </c>
      <c r="F20" s="31">
        <f>'เย็น '!F20+'เช้า '!F20+บ่าย!F20+'บ่าย (2)'!F20</f>
        <v>0</v>
      </c>
      <c r="G20" s="31">
        <f>'เย็น '!G20+'เช้า '!G20+บ่าย!G20+'บ่าย (2)'!G20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'!D21+บ่าย!D21+'บ่าย (2)'!D21</f>
        <v>0</v>
      </c>
      <c r="E21" s="57">
        <f>'เย็น '!E21+'เช้า '!E21+บ่าย!E21+'บ่าย (2)'!E21</f>
        <v>0</v>
      </c>
      <c r="F21" s="31">
        <f>'เย็น '!F21+'เช้า '!F21+บ่าย!F21+'บ่าย (2)'!F21</f>
        <v>0</v>
      </c>
      <c r="G21" s="31">
        <f>'เย็น '!G21+'เช้า '!G21+บ่าย!G21+'บ่าย (2)'!G21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'!D22+บ่าย!D22+'บ่าย (2)'!D22</f>
        <v>0</v>
      </c>
      <c r="E22" s="57">
        <f>'เย็น '!E22+'เช้า '!E22+บ่าย!E22+'บ่าย (2)'!E22</f>
        <v>0</v>
      </c>
      <c r="F22" s="31">
        <f>'เย็น '!F22+'เช้า '!F22+บ่าย!F22+'บ่าย (2)'!F22</f>
        <v>0</v>
      </c>
      <c r="G22" s="31">
        <f>'เย็น '!G22+'เช้า '!G22+บ่าย!G22+'บ่าย (2)'!G22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'!D23+บ่าย!D23+'บ่าย (2)'!D23</f>
        <v>0</v>
      </c>
      <c r="E23" s="57">
        <f>'เย็น '!E23+'เช้า '!E23+บ่าย!E23+'บ่าย (2)'!E23</f>
        <v>0</v>
      </c>
      <c r="F23" s="31">
        <f>'เย็น '!F23+'เช้า '!F23+บ่าย!F23+'บ่าย (2)'!F23</f>
        <v>0</v>
      </c>
      <c r="G23" s="31">
        <f>'เย็น '!G23+'เช้า '!G23+บ่าย!G23+'บ่าย (2)'!G23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'!D24+บ่าย!D24+'บ่าย (2)'!D24</f>
        <v>0</v>
      </c>
      <c r="E24" s="57">
        <f>'เย็น '!E24+'เช้า '!E24+บ่าย!E24+'บ่าย (2)'!E24</f>
        <v>0</v>
      </c>
      <c r="F24" s="31">
        <f>'เย็น '!F24+'เช้า '!F24+บ่าย!F24+'บ่าย (2)'!F24</f>
        <v>0</v>
      </c>
      <c r="G24" s="31">
        <f>'เย็น '!G24+'เช้า '!G24+บ่าย!G24+'บ่าย (2)'!G24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'!D25+บ่าย!D25+'บ่าย (2)'!D25</f>
        <v>7</v>
      </c>
      <c r="E25" s="57">
        <f>'เย็น '!E25+'เช้า '!E25+บ่าย!E25+'บ่าย (2)'!E25</f>
        <v>3</v>
      </c>
      <c r="F25" s="57">
        <f>'เย็น '!F25+'เช้า '!F25+บ่าย!F25+'บ่าย (2)'!F25</f>
        <v>6</v>
      </c>
      <c r="G25" s="31">
        <f>'เย็น '!G25+'เช้า '!G25+บ่าย!G25+'บ่าย (2)'!G25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16</v>
      </c>
      <c r="M25" s="11">
        <v>80</v>
      </c>
      <c r="N25" s="11">
        <v>99</v>
      </c>
      <c r="O25" s="11"/>
      <c r="P25" s="11"/>
      <c r="Q25" s="45">
        <f t="shared" si="1"/>
        <v>163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'!D26+บ่าย!D26+'บ่าย (2)'!D26</f>
        <v>13</v>
      </c>
      <c r="E26" s="31">
        <f>'เย็น '!E26+'เช้า '!E26+บ่าย!E26+'บ่าย (2)'!E26</f>
        <v>21</v>
      </c>
      <c r="F26" s="31">
        <f>'เย็น '!F26+'เช้า '!F26+บ่าย!F26+'บ่าย (2)'!F26</f>
        <v>5</v>
      </c>
      <c r="G26" s="57">
        <f>'เย็น '!G26+'เช้า '!G26+บ่าย!G26+'บ่าย (2)'!G26</f>
        <v>138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177</v>
      </c>
      <c r="M26" s="11">
        <v>500</v>
      </c>
      <c r="N26" s="11">
        <v>645</v>
      </c>
      <c r="O26" s="11"/>
      <c r="P26" s="11"/>
      <c r="Q26" s="45">
        <f t="shared" si="1"/>
        <v>968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'!D27+บ่าย!D27+'บ่าย (2)'!D27</f>
        <v>0</v>
      </c>
      <c r="E27" s="31">
        <f>'เย็น '!E27+'เช้า '!E27+บ่าย!E27+'บ่าย (2)'!E27</f>
        <v>0</v>
      </c>
      <c r="F27" s="31">
        <f>'เย็น '!F27+'เช้า '!F27+บ่าย!F27+'บ่าย (2)'!F27</f>
        <v>0</v>
      </c>
      <c r="G27" s="31">
        <f>'เย็น '!G27+'เช้า '!G27+บ่าย!G27+'บ่าย (2)'!G27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'!D28+บ่าย!D28+'บ่าย (2)'!D28</f>
        <v>0</v>
      </c>
      <c r="E28" s="31">
        <f>'เย็น '!E28+'เช้า '!E28+บ่าย!E28+'บ่าย (2)'!E28</f>
        <v>0</v>
      </c>
      <c r="F28" s="31">
        <f>'เย็น '!F28+'เช้า '!F28+บ่าย!F28+'บ่าย (2)'!F28</f>
        <v>0</v>
      </c>
      <c r="G28" s="31">
        <f>'เย็น '!G28+'เช้า '!G28+บ่าย!G28+'บ่าย (2)'!G28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'!D29+บ่าย!D29+'บ่าย (2)'!D29</f>
        <v>0</v>
      </c>
      <c r="E29" s="31">
        <f>'เย็น '!E29+'เช้า '!E29+บ่าย!E29+'บ่าย (2)'!E29</f>
        <v>0</v>
      </c>
      <c r="F29" s="31">
        <f>'เย็น '!F29+'เช้า '!F29+บ่าย!F29+'บ่าย (2)'!F29</f>
        <v>0</v>
      </c>
      <c r="G29" s="31">
        <f>'เย็น '!G29+'เช้า '!G29+บ่าย!G29+'บ่าย (2)'!G29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'!D30+บ่าย!D30+'บ่าย (2)'!D30</f>
        <v>0</v>
      </c>
      <c r="E30" s="31">
        <f>'เย็น '!E30+'เช้า '!E30+บ่าย!E30+'บ่าย (2)'!E30</f>
        <v>0</v>
      </c>
      <c r="F30" s="31">
        <f>'เย็น '!F30+'เช้า '!F30+บ่าย!F30+'บ่าย (2)'!F30</f>
        <v>0</v>
      </c>
      <c r="G30" s="31">
        <f>'เย็น '!G30+'เช้า '!G30+บ่าย!G30+'บ่าย (2)'!G30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'!D31+บ่าย!D31+'บ่าย (2)'!D31</f>
        <v>0</v>
      </c>
      <c r="E31" s="31">
        <f>'เย็น '!E31+'เช้า '!E31+บ่าย!E31+'บ่าย (2)'!E31</f>
        <v>0</v>
      </c>
      <c r="F31" s="31">
        <f>'เย็น '!F31+'เช้า '!F31+บ่าย!F31+'บ่าย (2)'!F31</f>
        <v>0</v>
      </c>
      <c r="G31" s="31">
        <f>'เย็น '!G31+'เช้า '!G31+บ่าย!G31+'บ่าย (2)'!G31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'!D32+บ่าย!D32+'บ่าย (2)'!D32</f>
        <v>0</v>
      </c>
      <c r="E32" s="31">
        <f>'เย็น '!E32+'เช้า '!E32+บ่าย!E32+'บ่าย (2)'!E32</f>
        <v>0</v>
      </c>
      <c r="F32" s="31">
        <f>'เย็น '!F32+'เช้า '!F32+บ่าย!F32+'บ่าย (2)'!F32</f>
        <v>0</v>
      </c>
      <c r="G32" s="31">
        <f>'เย็น '!G32+'เช้า '!G32+บ่าย!G32+'บ่าย (2)'!G32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'!D33+บ่าย!D33+'บ่าย (2)'!D33</f>
        <v>0</v>
      </c>
      <c r="E33" s="31">
        <f>'เย็น '!E33+'เช้า '!E33+บ่าย!E33+'บ่าย (2)'!E33</f>
        <v>0</v>
      </c>
      <c r="F33" s="31">
        <f>'เย็น '!F33+'เช้า '!F33+บ่าย!F33+'บ่าย (2)'!F33</f>
        <v>0</v>
      </c>
      <c r="G33" s="31">
        <f>'เย็น '!G33+'เช้า '!G33+บ่าย!G33+'บ่าย (2)'!G33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'!D34+บ่าย!D34+'บ่าย (2)'!D34</f>
        <v>0</v>
      </c>
      <c r="E34" s="31">
        <f>'เย็น '!E34+'เช้า '!E34+บ่าย!E34+'บ่าย (2)'!E34</f>
        <v>0</v>
      </c>
      <c r="F34" s="31">
        <f>'เย็น '!F34+'เช้า '!F34+บ่าย!F34+'บ่าย (2)'!F34</f>
        <v>0</v>
      </c>
      <c r="G34" s="31">
        <f>'เย็น '!G34+'เช้า '!G34+บ่าย!G34+'บ่าย (2)'!G34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'!D35+บ่าย!D35+'บ่าย (2)'!D35</f>
        <v>0</v>
      </c>
      <c r="E35" s="31">
        <f>'เย็น '!E35+'เช้า '!E35+บ่าย!E35+'บ่าย (2)'!E35</f>
        <v>0</v>
      </c>
      <c r="F35" s="31">
        <f>'เย็น '!F35+'เช้า '!F35+บ่าย!F35+'บ่าย (2)'!F35</f>
        <v>0</v>
      </c>
      <c r="G35" s="31">
        <f>'เย็น '!G35+'เช้า '!G35+บ่าย!G35+'บ่าย (2)'!G35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'!D36+บ่าย!D36+'บ่าย (2)'!D36</f>
        <v>0</v>
      </c>
      <c r="E36" s="31">
        <f>'เย็น '!E36+'เช้า '!E36+บ่าย!E36+'บ่าย (2)'!E36</f>
        <v>0</v>
      </c>
      <c r="F36" s="31">
        <f>'เย็น '!F36+'เช้า '!F36+บ่าย!F36+'บ่าย (2)'!F36</f>
        <v>0</v>
      </c>
      <c r="G36" s="31">
        <f>'เย็น '!G36+'เช้า '!G36+บ่าย!G36+'บ่าย (2)'!G36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'!D37+บ่าย!D37+'บ่าย (2)'!D37</f>
        <v>0</v>
      </c>
      <c r="E37" s="31">
        <f>'เย็น '!E37+'เช้า '!E37+บ่าย!E37+'บ่าย (2)'!E37</f>
        <v>0</v>
      </c>
      <c r="F37" s="31">
        <f>'เย็น '!F37+'เช้า '!F37+บ่าย!F37+'บ่าย (2)'!F37</f>
        <v>0</v>
      </c>
      <c r="G37" s="31">
        <f>'เย็น '!G37+'เช้า '!G37+บ่าย!G37+'บ่าย (2)'!G37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'!D38+บ่าย!D38+'บ่าย (2)'!D38</f>
        <v>0</v>
      </c>
      <c r="E38" s="31">
        <f>'เย็น '!E38+'เช้า '!E38+บ่าย!E38+'บ่าย (2)'!E38</f>
        <v>0</v>
      </c>
      <c r="F38" s="31">
        <f>'เย็น '!F38+'เช้า '!F38+บ่าย!F38+'บ่าย (2)'!F38</f>
        <v>0</v>
      </c>
      <c r="G38" s="31">
        <f>'เย็น '!G38+'เช้า '!G38+บ่าย!G38+'บ่าย (2)'!G38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'!D39+บ่าย!D39+'บ่าย (2)'!D39</f>
        <v>0</v>
      </c>
      <c r="E39" s="31">
        <f>'เย็น '!E39+'เช้า '!E39+บ่าย!E39+'บ่าย (2)'!E39</f>
        <v>0</v>
      </c>
      <c r="F39" s="31">
        <f>'เย็น '!F39+'เช้า '!F39+บ่าย!F39+'บ่าย (2)'!F39</f>
        <v>0</v>
      </c>
      <c r="G39" s="31">
        <f>'เย็น '!G39+'เช้า '!G39+บ่าย!G39+'บ่าย (2)'!G39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'!D40+บ่าย!D40+'บ่าย (2)'!D40</f>
        <v>0</v>
      </c>
      <c r="E40" s="31">
        <f>'เย็น '!E40+'เช้า '!E40+บ่าย!E40+'บ่าย (2)'!E40</f>
        <v>0</v>
      </c>
      <c r="F40" s="31">
        <f>'เย็น '!F40+'เช้า '!F40+บ่าย!F40+'บ่าย (2)'!F40</f>
        <v>2</v>
      </c>
      <c r="G40" s="31">
        <f>'เย็น '!G40+'เช้า '!G40+บ่าย!G40+'บ่าย (2)'!G40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</v>
      </c>
      <c r="M40" s="11">
        <v>100</v>
      </c>
      <c r="N40" s="11">
        <v>195</v>
      </c>
      <c r="O40" s="11"/>
      <c r="P40" s="11"/>
      <c r="Q40" s="45">
        <f t="shared" si="1"/>
        <v>293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'!D41+บ่าย!D41+'บ่าย (2)'!D41</f>
        <v>0</v>
      </c>
      <c r="E41" s="31">
        <f>'เย็น '!E41+'เช้า '!E41+บ่าย!E41+'บ่าย (2)'!E41</f>
        <v>0</v>
      </c>
      <c r="F41" s="31">
        <f>'เย็น '!F41+'เช้า '!F41+บ่าย!F41+'บ่าย (2)'!F41</f>
        <v>0</v>
      </c>
      <c r="G41" s="31">
        <f>'เย็น '!G41+'เช้า '!G41+บ่าย!G41+'บ่าย (2)'!G41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'!D42+บ่าย!D42+'บ่าย (2)'!D42</f>
        <v>0</v>
      </c>
      <c r="E42" s="31">
        <f>'เย็น '!E42+'เช้า '!E42+บ่าย!E42+'บ่าย (2)'!E42</f>
        <v>0</v>
      </c>
      <c r="F42" s="31">
        <f>'เย็น '!F42+'เช้า '!F42+บ่าย!F42+'บ่าย (2)'!F42</f>
        <v>0</v>
      </c>
      <c r="G42" s="31">
        <f>'เย็น '!G42+'เช้า '!G42+บ่าย!G42+'บ่าย (2)'!G42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>
        <v>100</v>
      </c>
      <c r="N42" s="11">
        <v>199</v>
      </c>
      <c r="O42" s="11"/>
      <c r="P42" s="11"/>
      <c r="Q42" s="45">
        <f t="shared" si="1"/>
        <v>299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'!D43+บ่าย!D43+'บ่าย (2)'!D43</f>
        <v>0</v>
      </c>
      <c r="E43" s="31">
        <f>'เย็น '!E43+'เช้า '!E43+บ่าย!E43+'บ่าย (2)'!E43</f>
        <v>0</v>
      </c>
      <c r="F43" s="31">
        <f>'เย็น '!F43+'เช้า '!F43+บ่าย!F43+'บ่าย (2)'!F43</f>
        <v>0</v>
      </c>
      <c r="G43" s="31">
        <f>'เย็น '!G43+'เช้า '!G43+บ่าย!G43+'บ่าย (2)'!G43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>
        <v>229</v>
      </c>
      <c r="O43" s="11"/>
      <c r="P43" s="11"/>
      <c r="Q43" s="45">
        <f t="shared" si="1"/>
        <v>229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'!D44+บ่าย!D44+'บ่าย (2)'!D44</f>
        <v>0</v>
      </c>
      <c r="E44" s="31">
        <f>'เย็น '!E44+'เช้า '!E44+บ่าย!E44+'บ่าย (2)'!E44</f>
        <v>0</v>
      </c>
      <c r="F44" s="31">
        <f>'เย็น '!F44+'เช้า '!F44+บ่าย!F44+'บ่าย (2)'!F44</f>
        <v>0</v>
      </c>
      <c r="G44" s="31">
        <f>'เย็น '!G44+'เช้า '!G44+บ่าย!G44+'บ่าย (2)'!G44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>
        <v>100</v>
      </c>
      <c r="N44" s="11">
        <v>198</v>
      </c>
      <c r="O44" s="11"/>
      <c r="P44" s="11"/>
      <c r="Q44" s="45">
        <f t="shared" si="1"/>
        <v>298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'!D45+บ่าย!D45+'บ่าย (2)'!D45</f>
        <v>0</v>
      </c>
      <c r="E45" s="31">
        <f>'เย็น '!E45+'เช้า '!E45+บ่าย!E45+'บ่าย (2)'!E45</f>
        <v>0</v>
      </c>
      <c r="F45" s="31">
        <f>'เย็น '!F45+'เช้า '!F45+บ่าย!F45+'บ่าย (2)'!F45</f>
        <v>0</v>
      </c>
      <c r="G45" s="31">
        <f>'เย็น '!G45+'เช้า '!G45+บ่าย!G45+'บ่าย (2)'!G45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>
        <v>98</v>
      </c>
      <c r="O45" s="11"/>
      <c r="P45" s="11"/>
      <c r="Q45" s="45">
        <f t="shared" si="1"/>
        <v>98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'!D46+บ่าย!D46+'บ่าย (2)'!D46</f>
        <v>0</v>
      </c>
      <c r="E46" s="31">
        <f>'เย็น '!E46+'เช้า '!E46+บ่าย!E46+'บ่าย (2)'!E46</f>
        <v>0</v>
      </c>
      <c r="F46" s="31">
        <f>'เย็น '!F46+'เช้า '!F46+บ่าย!F46+'บ่าย (2)'!F46</f>
        <v>0</v>
      </c>
      <c r="G46" s="31">
        <f>'เย็น '!G46+'เช้า '!G46+บ่าย!G46+'บ่าย (2)'!G46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>
        <v>100</v>
      </c>
      <c r="N46" s="11">
        <v>227</v>
      </c>
      <c r="O46" s="11"/>
      <c r="P46" s="11"/>
      <c r="Q46" s="45">
        <f t="shared" si="1"/>
        <v>327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'!D47+บ่าย!D47+'บ่าย (2)'!D47</f>
        <v>0</v>
      </c>
      <c r="E47" s="31">
        <f>'เย็น '!E47+'เช้า '!E47+บ่าย!E47+'บ่าย (2)'!E47</f>
        <v>0</v>
      </c>
      <c r="F47" s="31">
        <f>'เย็น '!F47+'เช้า '!F47+บ่าย!F47+'บ่าย (2)'!F47</f>
        <v>0</v>
      </c>
      <c r="G47" s="31">
        <f>'เย็น '!G47+'เช้า '!G47+บ่าย!G47+'บ่าย (2)'!G47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>
        <v>100</v>
      </c>
      <c r="O47" s="11"/>
      <c r="P47" s="11"/>
      <c r="Q47" s="45">
        <f t="shared" si="1"/>
        <v>100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'!D48+บ่าย!D48+'บ่าย (2)'!D48</f>
        <v>0</v>
      </c>
      <c r="E48" s="31">
        <f>'เย็น '!E48+'เช้า '!E48+บ่าย!E48+'บ่าย (2)'!E48</f>
        <v>0</v>
      </c>
      <c r="F48" s="31">
        <f>'เย็น '!F48+'เช้า '!F48+บ่าย!F48+'บ่าย (2)'!F48</f>
        <v>0</v>
      </c>
      <c r="G48" s="31">
        <f>'เย็น '!G48+'เช้า '!G48+บ่าย!G48+'บ่าย (2)'!G48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'!D49+บ่าย!D49+'บ่าย (2)'!D49</f>
        <v>0</v>
      </c>
      <c r="E49" s="31">
        <f>'เย็น '!E49+'เช้า '!E49+บ่าย!E49+'บ่าย (2)'!E49</f>
        <v>0</v>
      </c>
      <c r="F49" s="31">
        <f>'เย็น '!F49+'เช้า '!F49+บ่าย!F49+'บ่าย (2)'!F49</f>
        <v>0</v>
      </c>
      <c r="G49" s="31">
        <f>'เย็น '!G49+'เช้า '!G49+บ่าย!G49+'บ่าย (2)'!G49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>
        <v>100</v>
      </c>
      <c r="N49" s="11">
        <v>198</v>
      </c>
      <c r="O49" s="11"/>
      <c r="P49" s="11"/>
      <c r="Q49" s="45">
        <f t="shared" si="1"/>
        <v>298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'!D50+บ่าย!D50+'บ่าย (2)'!D50</f>
        <v>0</v>
      </c>
      <c r="E50" s="31">
        <f>'เย็น '!E50+'เช้า '!E50+บ่าย!E50+'บ่าย (2)'!E50</f>
        <v>0</v>
      </c>
      <c r="F50" s="31">
        <f>'เย็น '!F50+'เช้า '!F50+บ่าย!F50+'บ่าย (2)'!F50</f>
        <v>0</v>
      </c>
      <c r="G50" s="31">
        <f>'เย็น '!G50+'เช้า '!G50+บ่าย!G50+'บ่าย (2)'!G50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>
        <v>100</v>
      </c>
      <c r="N50" s="11">
        <v>199</v>
      </c>
      <c r="O50" s="11"/>
      <c r="P50" s="11"/>
      <c r="Q50" s="45">
        <f t="shared" si="1"/>
        <v>299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'!D51+บ่าย!D51+'บ่าย (2)'!D51</f>
        <v>0</v>
      </c>
      <c r="E51" s="31">
        <f>'เย็น '!E51+'เช้า '!E51+บ่าย!E51+'บ่าย (2)'!E51</f>
        <v>0</v>
      </c>
      <c r="F51" s="31">
        <f>'เย็น '!F51+'เช้า '!F51+บ่าย!F51+'บ่าย (2)'!F51</f>
        <v>0</v>
      </c>
      <c r="G51" s="31">
        <f>'เย็น '!G51+'เช้า '!G51+บ่าย!G51+'บ่าย (2)'!G51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>
        <v>100</v>
      </c>
      <c r="N51" s="11">
        <v>298</v>
      </c>
      <c r="O51" s="11"/>
      <c r="P51" s="11"/>
      <c r="Q51" s="45">
        <f t="shared" si="1"/>
        <v>398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'!D52+บ่าย!D52+'บ่าย (2)'!D52</f>
        <v>0</v>
      </c>
      <c r="E52" s="31">
        <f>'เย็น '!E52+'เช้า '!E52+บ่าย!E52+'บ่าย (2)'!E52</f>
        <v>0</v>
      </c>
      <c r="F52" s="31">
        <f>'เย็น '!F52+'เช้า '!F52+บ่าย!F52+'บ่าย (2)'!F52</f>
        <v>0</v>
      </c>
      <c r="G52" s="31">
        <f>'เย็น '!G52+'เช้า '!G52+บ่าย!G52+'บ่าย (2)'!G52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>
        <v>100</v>
      </c>
      <c r="N52" s="11"/>
      <c r="O52" s="11"/>
      <c r="P52" s="11"/>
      <c r="Q52" s="45">
        <f t="shared" si="1"/>
        <v>100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'!D53+บ่าย!D53+'บ่าย (2)'!D53</f>
        <v>0</v>
      </c>
      <c r="E53" s="31">
        <f>'เย็น '!E53+'เช้า '!E53+บ่าย!E53+'บ่าย (2)'!E53</f>
        <v>0</v>
      </c>
      <c r="F53" s="31">
        <f>'เย็น '!F53+'เช้า '!F53+บ่าย!F53+'บ่าย (2)'!F53</f>
        <v>0</v>
      </c>
      <c r="G53" s="31">
        <f>'เย็น '!G53+'เช้า '!G53+บ่าย!G53+'บ่าย (2)'!G53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'!D54+บ่าย!D54+'บ่าย (2)'!D54</f>
        <v>0</v>
      </c>
      <c r="E54" s="31">
        <f>'เย็น '!E54+'เช้า '!E54+บ่าย!E54+'บ่าย (2)'!E54</f>
        <v>0</v>
      </c>
      <c r="F54" s="31">
        <f>'เย็น '!F54+'เช้า '!F54+บ่าย!F54+'บ่าย (2)'!F54</f>
        <v>0</v>
      </c>
      <c r="G54" s="31">
        <f>'เย็น '!G54+'เช้า '!G54+บ่าย!G54+'บ่าย (2)'!G54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'!D55+บ่าย!D55+'บ่าย (2)'!D55</f>
        <v>0</v>
      </c>
      <c r="E55" s="31">
        <f>'เย็น '!E55+'เช้า '!E55+บ่าย!E55+'บ่าย (2)'!E55</f>
        <v>0</v>
      </c>
      <c r="F55" s="31">
        <f>'เย็น '!F55+'เช้า '!F55+บ่าย!F55+'บ่าย (2)'!F55</f>
        <v>0</v>
      </c>
      <c r="G55" s="31">
        <f>'เย็น '!G55+'เช้า '!G55+บ่าย!G55+'บ่าย (2)'!G55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'!D56+บ่าย!D56+'บ่าย (2)'!D56</f>
        <v>0</v>
      </c>
      <c r="E56" s="31">
        <f>'เย็น '!E56+'เช้า '!E56+บ่าย!E56+'บ่าย (2)'!E56</f>
        <v>2</v>
      </c>
      <c r="F56" s="31">
        <f>'เย็น '!F56+'เช้า '!F56+บ่าย!F56+'บ่าย (2)'!F56</f>
        <v>1</v>
      </c>
      <c r="G56" s="31">
        <f>'เย็น '!G56+'เช้า '!G56+บ่าย!G56+'บ่าย (2)'!G56</f>
        <v>3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6</v>
      </c>
      <c r="M56" s="11">
        <v>200</v>
      </c>
      <c r="N56" s="11">
        <v>242</v>
      </c>
      <c r="O56" s="11"/>
      <c r="P56" s="11"/>
      <c r="Q56" s="45">
        <f t="shared" si="1"/>
        <v>436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'!D57+บ่าย!D57+'บ่าย (2)'!D57</f>
        <v>0</v>
      </c>
      <c r="E57" s="31">
        <f>'เย็น '!E57+'เช้า '!E57+บ่าย!E57+'บ่าย (2)'!E57</f>
        <v>2</v>
      </c>
      <c r="F57" s="31">
        <f>'เย็น '!F57+'เช้า '!F57+บ่าย!F57+'บ่าย (2)'!F57</f>
        <v>1</v>
      </c>
      <c r="G57" s="31">
        <f>'เย็น '!G57+'เช้า '!G57+บ่าย!G57+'บ่าย (2)'!G57</f>
        <v>2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5</v>
      </c>
      <c r="M57" s="11">
        <v>200</v>
      </c>
      <c r="N57" s="11">
        <v>282</v>
      </c>
      <c r="O57" s="11"/>
      <c r="P57" s="11"/>
      <c r="Q57" s="45">
        <f t="shared" si="1"/>
        <v>477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'!D58+บ่าย!D58+'บ่าย (2)'!D58</f>
        <v>0</v>
      </c>
      <c r="E58" s="31">
        <f>'เย็น '!E58+'เช้า '!E58+บ่าย!E58+'บ่าย (2)'!E58</f>
        <v>2</v>
      </c>
      <c r="F58" s="31">
        <f>'เย็น '!F58+'เช้า '!F58+บ่าย!F58+'บ่าย (2)'!F58</f>
        <v>1</v>
      </c>
      <c r="G58" s="31">
        <f>'เย็น '!G58+'เช้า '!G58+บ่าย!G58+'บ่าย (2)'!G58</f>
        <v>2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5</v>
      </c>
      <c r="M58" s="11">
        <v>200</v>
      </c>
      <c r="N58" s="11">
        <v>255</v>
      </c>
      <c r="O58" s="11"/>
      <c r="P58" s="11"/>
      <c r="Q58" s="45">
        <f t="shared" si="1"/>
        <v>450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'!D59+บ่าย!D59+'บ่าย (2)'!D59</f>
        <v>0</v>
      </c>
      <c r="E59" s="31">
        <f>'เย็น '!E59+'เช้า '!E59+บ่าย!E59+'บ่าย (2)'!E59</f>
        <v>2</v>
      </c>
      <c r="F59" s="31">
        <f>'เย็น '!F59+'เช้า '!F59+บ่าย!F59+'บ่าย (2)'!F59</f>
        <v>1</v>
      </c>
      <c r="G59" s="31">
        <f>'เย็น '!G59+'เช้า '!G59+บ่าย!G59+'บ่าย (2)'!G59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5</v>
      </c>
      <c r="M59" s="11">
        <v>200</v>
      </c>
      <c r="N59" s="11">
        <v>270</v>
      </c>
      <c r="O59" s="11"/>
      <c r="P59" s="11"/>
      <c r="Q59" s="45">
        <f t="shared" si="1"/>
        <v>465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'!D60+บ่าย!D60+'บ่าย (2)'!D60</f>
        <v>0</v>
      </c>
      <c r="E60" s="31">
        <f>'เย็น '!E60+'เช้า '!E60+บ่าย!E60+'บ่าย (2)'!E60</f>
        <v>2</v>
      </c>
      <c r="F60" s="31">
        <f>'เย็น '!F60+'เช้า '!F60+บ่าย!F60+'บ่าย (2)'!F60</f>
        <v>1</v>
      </c>
      <c r="G60" s="31">
        <f>'เย็น '!G60+'เช้า '!G60+บ่าย!G60+'บ่าย (2)'!G60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5</v>
      </c>
      <c r="M60" s="11"/>
      <c r="N60" s="11"/>
      <c r="O60" s="11"/>
      <c r="P60" s="11"/>
      <c r="Q60" s="45">
        <f t="shared" si="1"/>
        <v>-5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'!D61+บ่าย!D61+'บ่าย (2)'!D61</f>
        <v>0</v>
      </c>
      <c r="E61" s="31">
        <f>'เย็น '!E61+'เช้า '!E61+บ่าย!E61+'บ่าย (2)'!E61</f>
        <v>2</v>
      </c>
      <c r="F61" s="31">
        <f>'เย็น '!F61+'เช้า '!F61+บ่าย!F61+'บ่าย (2)'!F61</f>
        <v>1</v>
      </c>
      <c r="G61" s="31">
        <f>'เย็น '!G61+'เช้า '!G61+บ่าย!G61+'บ่าย (2)'!G61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5</v>
      </c>
      <c r="M61" s="11">
        <v>200</v>
      </c>
      <c r="N61" s="11">
        <v>337</v>
      </c>
      <c r="O61" s="11"/>
      <c r="P61" s="11"/>
      <c r="Q61" s="45">
        <f t="shared" si="1"/>
        <v>532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'!D62+บ่าย!D62+'บ่าย (2)'!D62</f>
        <v>0</v>
      </c>
      <c r="E62" s="31">
        <f>'เย็น '!E62+'เช้า '!E62+บ่าย!E62+'บ่าย (2)'!E62</f>
        <v>2</v>
      </c>
      <c r="F62" s="31">
        <f>'เย็น '!F62+'เช้า '!F62+บ่าย!F62+'บ่าย (2)'!F62</f>
        <v>1</v>
      </c>
      <c r="G62" s="31">
        <f>'เย็น '!G62+'เช้า '!G62+บ่าย!G62+'บ่าย (2)'!G62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5</v>
      </c>
      <c r="M62" s="11"/>
      <c r="N62" s="11">
        <v>27</v>
      </c>
      <c r="O62" s="11"/>
      <c r="P62" s="11"/>
      <c r="Q62" s="45">
        <f t="shared" si="1"/>
        <v>22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'!D63+บ่าย!D63+'บ่าย (2)'!D63</f>
        <v>0</v>
      </c>
      <c r="E63" s="31">
        <f>'เย็น '!E63+'เช้า '!E63+บ่าย!E63+'บ่าย (2)'!E63</f>
        <v>2</v>
      </c>
      <c r="F63" s="31">
        <f>'เย็น '!F63+'เช้า '!F63+บ่าย!F63+'บ่าย (2)'!F63</f>
        <v>1</v>
      </c>
      <c r="G63" s="31">
        <f>'เย็น '!G63+'เช้า '!G63+บ่าย!G63+'บ่าย (2)'!G63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5</v>
      </c>
      <c r="M63" s="11"/>
      <c r="N63" s="11"/>
      <c r="O63" s="11"/>
      <c r="P63" s="11"/>
      <c r="Q63" s="45">
        <f t="shared" si="1"/>
        <v>-5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'!D64+บ่าย!D64+'บ่าย (2)'!D64</f>
        <v>0</v>
      </c>
      <c r="E64" s="31">
        <f>'เย็น '!E64+'เช้า '!E64+บ่าย!E64+'บ่าย (2)'!E64</f>
        <v>2</v>
      </c>
      <c r="F64" s="31">
        <f>'เย็น '!F64+'เช้า '!F64+บ่าย!F64+'บ่าย (2)'!F64</f>
        <v>1</v>
      </c>
      <c r="G64" s="31">
        <f>'เย็น '!G64+'เช้า '!G64+บ่าย!G64+'บ่าย (2)'!G64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5</v>
      </c>
      <c r="M64" s="11"/>
      <c r="N64" s="11"/>
      <c r="O64" s="11"/>
      <c r="P64" s="11"/>
      <c r="Q64" s="45">
        <f t="shared" si="1"/>
        <v>-5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'!D65+บ่าย!D65+'บ่าย (2)'!D65</f>
        <v>0</v>
      </c>
      <c r="E65" s="31">
        <f>'เย็น '!E65+'เช้า '!E65+บ่าย!E65+'บ่าย (2)'!E65</f>
        <v>2</v>
      </c>
      <c r="F65" s="31">
        <f>'เย็น '!F65+'เช้า '!F65+บ่าย!F65+'บ่าย (2)'!F65</f>
        <v>1</v>
      </c>
      <c r="G65" s="31">
        <f>'เย็น '!G65+'เช้า '!G65+บ่าย!G65+'บ่าย (2)'!G65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5</v>
      </c>
      <c r="M65" s="11">
        <v>200</v>
      </c>
      <c r="N65" s="11">
        <v>200</v>
      </c>
      <c r="O65" s="11"/>
      <c r="P65" s="11"/>
      <c r="Q65" s="45">
        <f t="shared" si="1"/>
        <v>395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'!D69+บ่าย!D69+'บ่าย (2)'!D69</f>
        <v>28</v>
      </c>
      <c r="E69" s="31">
        <f>'เย็น '!E69+'เช้า '!E69+บ่าย!E69+'บ่าย (2)'!E69</f>
        <v>5</v>
      </c>
      <c r="F69" s="57">
        <f>'เย็น '!F69+'เช้า '!F69+บ่าย!F69+'บ่าย (2)'!F69</f>
        <v>11</v>
      </c>
      <c r="G69" s="31">
        <f>'เย็น '!G69+'เช้า '!G69+บ่าย!G69+'บ่าย (2)'!G69</f>
        <v>6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50</v>
      </c>
      <c r="M69" s="11">
        <v>130</v>
      </c>
      <c r="N69" s="11">
        <v>177</v>
      </c>
      <c r="O69" s="11"/>
      <c r="P69" s="11"/>
      <c r="Q69" s="45">
        <f t="shared" ref="Q69:Q76" si="5">(M69+N69+O69+P69)-L69</f>
        <v>257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'!D70+บ่าย!D70+'บ่าย (2)'!D70</f>
        <v>0</v>
      </c>
      <c r="E70" s="31">
        <f>'เย็น '!E70+'เช้า '!E70+บ่าย!E70+'บ่าย (2)'!E70</f>
        <v>0</v>
      </c>
      <c r="F70" s="31">
        <f>'เย็น '!F70+'เช้า '!F70+บ่าย!F70+'บ่าย (2)'!F70</f>
        <v>0</v>
      </c>
      <c r="G70" s="31">
        <f>'เย็น '!G70+'เช้า '!G70+บ่าย!G70+'บ่าย (2)'!G70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'!D71+บ่าย!D71+'บ่าย (2)'!D71</f>
        <v>0</v>
      </c>
      <c r="E71" s="31">
        <f>'เย็น '!E71+'เช้า '!E71+บ่าย!E71+'บ่าย (2)'!E71</f>
        <v>0</v>
      </c>
      <c r="F71" s="31">
        <f>'เย็น '!F71+'เช้า '!F71+บ่าย!F71+'บ่าย (2)'!F71</f>
        <v>0</v>
      </c>
      <c r="G71" s="31">
        <f>'เย็น '!G71+'เช้า '!G71+บ่าย!G71+'บ่าย (2)'!G71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'!D72+บ่าย!D72+'บ่าย (2)'!D72</f>
        <v>0</v>
      </c>
      <c r="E72" s="31">
        <f>'เย็น '!E72+'เช้า '!E72+บ่าย!E72+'บ่าย (2)'!E72</f>
        <v>0</v>
      </c>
      <c r="F72" s="31">
        <f>'เย็น '!F72+'เช้า '!F72+บ่าย!F72+'บ่าย (2)'!F72</f>
        <v>0</v>
      </c>
      <c r="G72" s="31">
        <f>'เย็น '!G72+'เช้า '!G72+บ่าย!G72+'บ่าย (2)'!G72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'!D73+บ่าย!D73+'บ่าย (2)'!D73</f>
        <v>0</v>
      </c>
      <c r="E73" s="31">
        <f>'เย็น '!E73+'เช้า '!E73+บ่าย!E73+'บ่าย (2)'!E73</f>
        <v>0</v>
      </c>
      <c r="F73" s="31">
        <f>'เย็น '!F73+'เช้า '!F73+บ่าย!F73+'บ่าย (2)'!F73</f>
        <v>0</v>
      </c>
      <c r="G73" s="31">
        <f>'เย็น '!G73+'เช้า '!G73+บ่าย!G73+'บ่าย (2)'!G73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'!D74+บ่าย!D74+'บ่าย (2)'!D74</f>
        <v>0</v>
      </c>
      <c r="E74" s="31">
        <f>'เย็น '!E74+'เช้า '!E74+บ่าย!E74+'บ่าย (2)'!E74</f>
        <v>0</v>
      </c>
      <c r="F74" s="31">
        <f>'เย็น '!F74+'เช้า '!F74+บ่าย!F74+'บ่าย (2)'!F74</f>
        <v>0</v>
      </c>
      <c r="G74" s="31">
        <f>'เย็น '!G74+'เช้า '!G74+บ่าย!G74+'บ่าย (2)'!G74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'!D75+บ่าย!D75+'บ่าย (2)'!D75</f>
        <v>0</v>
      </c>
      <c r="E75" s="31">
        <f>'เย็น '!E75+'เช้า '!E75+บ่าย!E75+'บ่าย (2)'!E75</f>
        <v>0</v>
      </c>
      <c r="F75" s="31">
        <f>'เย็น '!F75+'เช้า '!F75+บ่าย!F75+'บ่าย (2)'!F75</f>
        <v>0</v>
      </c>
      <c r="G75" s="31">
        <f>'เย็น '!G75+'เช้า '!G75+บ่าย!G75+'บ่าย (2)'!G75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'!D76+บ่าย!D76+'บ่าย (2)'!D76</f>
        <v>5</v>
      </c>
      <c r="E76" s="31">
        <f>'เย็น '!E76+'เช้า '!E76+บ่าย!E76+'บ่าย (2)'!E76</f>
        <v>0</v>
      </c>
      <c r="F76" s="31">
        <f>'เย็น '!F76+'เช้า '!F76+บ่าย!F76+'บ่าย (2)'!F76</f>
        <v>0</v>
      </c>
      <c r="G76" s="31">
        <f>'เย็น '!G76+'เช้า '!G76+บ่าย!G76+'บ่าย (2)'!G76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5</v>
      </c>
      <c r="M76" s="11"/>
      <c r="N76" s="11"/>
      <c r="O76" s="11"/>
      <c r="P76" s="11"/>
      <c r="Q76" s="45">
        <f t="shared" si="5"/>
        <v>-5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'!D87+บ่าย!D87+'บ่าย (2)'!D87</f>
        <v>4</v>
      </c>
      <c r="E87" s="31">
        <f>'เย็น '!E87+'เช้า '!E87+บ่าย!E87+'บ่าย (2)'!E87</f>
        <v>0</v>
      </c>
      <c r="F87" s="31">
        <f>'เย็น '!F87+'เช้า '!F87+บ่าย!F87+'บ่าย (2)'!F87</f>
        <v>0</v>
      </c>
      <c r="G87" s="57">
        <f>'เย็น '!G87+'เช้า '!G87+บ่าย!G87+'บ่าย (2)'!G87</f>
        <v>160</v>
      </c>
      <c r="H87" s="31">
        <f>'เย็น '!H87+'เช้า '!H87+บ่าย!H87+'บ่าย (2)'!H87</f>
        <v>0</v>
      </c>
      <c r="I87" s="31">
        <f>'เย็น '!I87+'เช้า '!I87+บ่าย!I87+'บ่าย (2)'!I87</f>
        <v>0</v>
      </c>
      <c r="J87" s="31">
        <f>'เย็น '!J87+'เช้า '!J87+บ่าย!J87+'บ่าย (2)'!J87</f>
        <v>0</v>
      </c>
      <c r="K87" s="31">
        <f>'เย็น '!K87+'เช้า '!K87+บ่าย!K87+'บ่าย (2)'!K87</f>
        <v>0</v>
      </c>
      <c r="L87" s="37">
        <f t="shared" si="7"/>
        <v>164</v>
      </c>
      <c r="M87" s="11">
        <v>300</v>
      </c>
      <c r="N87" s="11">
        <v>602</v>
      </c>
      <c r="O87" s="11"/>
      <c r="P87" s="11"/>
      <c r="Q87" s="45">
        <f t="shared" si="8"/>
        <v>738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'!D90+บ่าย!D90+'บ่าย (2)'!D90</f>
        <v>5</v>
      </c>
      <c r="E90" s="57">
        <f>'เย็น '!E90+'เช้า '!E90+บ่าย!E90+'บ่าย (2)'!E90</f>
        <v>3</v>
      </c>
      <c r="F90" s="57">
        <f>'เย็น '!F90+'เช้า '!F90+บ่าย!F90+'บ่าย (2)'!F90</f>
        <v>15</v>
      </c>
      <c r="G90" s="57">
        <f>'เย็น '!G90+'เช้า '!G90+บ่าย!G90+'บ่าย (2)'!G90</f>
        <v>80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103</v>
      </c>
      <c r="M90" s="11">
        <v>300</v>
      </c>
      <c r="N90" s="11">
        <v>938</v>
      </c>
      <c r="O90" s="11"/>
      <c r="P90" s="11">
        <v>300</v>
      </c>
      <c r="Q90" s="45">
        <f t="shared" ref="Q90:Q99" si="10">(M90+N90+O90+P90)-L90</f>
        <v>1435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'!D91+บ่าย!D91+'บ่าย (2)'!D91</f>
        <v>4</v>
      </c>
      <c r="E91" s="57">
        <f>'เย็น '!E91+'เช้า '!E91+บ่าย!E91+'บ่าย (2)'!E91</f>
        <v>3</v>
      </c>
      <c r="F91" s="57">
        <f>'เย็น '!F91+'เช้า '!F91+บ่าย!F91+'บ่าย (2)'!F91</f>
        <v>17</v>
      </c>
      <c r="G91" s="57">
        <f>'เย็น '!G91+'เช้า '!G91+บ่าย!G91+'บ่าย (2)'!G91</f>
        <v>80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104</v>
      </c>
      <c r="M91" s="11">
        <v>300</v>
      </c>
      <c r="N91" s="11">
        <v>527</v>
      </c>
      <c r="O91" s="11"/>
      <c r="P91" s="11">
        <v>300</v>
      </c>
      <c r="Q91" s="45">
        <f t="shared" si="10"/>
        <v>1023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'!D92+บ่าย!D92+'บ่าย (2)'!D92</f>
        <v>0</v>
      </c>
      <c r="E92" s="31">
        <f>'เย็น '!E92+'เช้า '!E92+บ่าย!E92+'บ่าย (2)'!E92</f>
        <v>0</v>
      </c>
      <c r="F92" s="31">
        <f>'เย็น '!F92+'เช้า '!F92+บ่าย!F92+'บ่าย (2)'!F92</f>
        <v>0</v>
      </c>
      <c r="G92" s="57">
        <f>'เย็น '!G92+'เช้า '!G92+บ่าย!G92+'บ่าย (2)'!G92</f>
        <v>61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61</v>
      </c>
      <c r="M92" s="11">
        <v>300</v>
      </c>
      <c r="N92" s="11">
        <v>659</v>
      </c>
      <c r="O92" s="11"/>
      <c r="P92" s="11">
        <v>300</v>
      </c>
      <c r="Q92" s="45">
        <f t="shared" si="10"/>
        <v>1198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'!D93+บ่าย!D93+'บ่าย (2)'!D93</f>
        <v>0</v>
      </c>
      <c r="E93" s="31">
        <f>'เย็น '!E93+'เช้า '!E93+บ่าย!E93+'บ่าย (2)'!E93</f>
        <v>0</v>
      </c>
      <c r="F93" s="31">
        <f>'เย็น '!F93+'เช้า '!F93+บ่าย!F93+'บ่าย (2)'!F93</f>
        <v>0</v>
      </c>
      <c r="G93" s="57">
        <f>'เย็น '!G93+'เช้า '!G93+บ่าย!G93+'บ่าย (2)'!G93</f>
        <v>60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60</v>
      </c>
      <c r="M93" s="11">
        <v>300</v>
      </c>
      <c r="N93" s="11">
        <v>526</v>
      </c>
      <c r="O93" s="11"/>
      <c r="P93" s="11">
        <v>300</v>
      </c>
      <c r="Q93" s="45">
        <f t="shared" si="10"/>
        <v>1066</v>
      </c>
    </row>
    <row r="94" spans="2:17" hidden="1" x14ac:dyDescent="0.2">
      <c r="B94" s="11">
        <v>1112007</v>
      </c>
      <c r="C94" s="20" t="s">
        <v>79</v>
      </c>
      <c r="D94" s="31">
        <f>'เย็น '!D94+'เช้า '!D94+บ่าย!D94+'บ่าย (2)'!D94</f>
        <v>0</v>
      </c>
      <c r="E94" s="31">
        <f>'เย็น '!E94+'เช้า '!E94+บ่าย!E94+'บ่าย (2)'!E94</f>
        <v>0</v>
      </c>
      <c r="F94" s="31">
        <f>'เย็น '!F94+'เช้า '!F94+บ่าย!F94+'บ่าย (2)'!F94</f>
        <v>0</v>
      </c>
      <c r="G94" s="57">
        <f>'เย็น '!G94+'เช้า '!G94+บ่าย!G94+'บ่าย (2)'!G94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 x14ac:dyDescent="0.2">
      <c r="B95" s="11">
        <v>1112019</v>
      </c>
      <c r="C95" s="20" t="s">
        <v>80</v>
      </c>
      <c r="D95" s="31">
        <f>'เย็น '!D95+'เช้า '!D95+บ่าย!D95+'บ่าย (2)'!D95</f>
        <v>0</v>
      </c>
      <c r="E95" s="31">
        <f>'เย็น '!E95+'เช้า '!E95+บ่าย!E95+'บ่าย (2)'!E95</f>
        <v>0</v>
      </c>
      <c r="F95" s="31">
        <f>'เย็น '!F95+'เช้า '!F95+บ่าย!F95+'บ่าย (2)'!F95</f>
        <v>0</v>
      </c>
      <c r="G95" s="57">
        <f>'เย็น '!G95+'เช้า '!G95+บ่าย!G95+'บ่าย (2)'!G95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 x14ac:dyDescent="0.2">
      <c r="B96" s="11">
        <v>1112017</v>
      </c>
      <c r="C96" s="20" t="s">
        <v>81</v>
      </c>
      <c r="D96" s="31">
        <f>'เย็น '!D96+'เช้า '!D96+บ่าย!D96+'บ่าย (2)'!D96</f>
        <v>0</v>
      </c>
      <c r="E96" s="31">
        <f>'เย็น '!E96+'เช้า '!E96+บ่าย!E96+'บ่าย (2)'!E96</f>
        <v>0</v>
      </c>
      <c r="F96" s="31">
        <f>'เย็น '!F96+'เช้า '!F96+บ่าย!F96+'บ่าย (2)'!F96</f>
        <v>0</v>
      </c>
      <c r="G96" s="57">
        <f>'เย็น '!G96+'เช้า '!G96+บ่าย!G96+'บ่าย (2)'!G96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'!D97+บ่าย!D97+'บ่าย (2)'!D97</f>
        <v>0</v>
      </c>
      <c r="E97" s="31">
        <f>'เย็น '!E97+'เช้า '!E97+บ่าย!E97+'บ่าย (2)'!E97</f>
        <v>0</v>
      </c>
      <c r="F97" s="31">
        <f>'เย็น '!F97+'เช้า '!F97+บ่าย!F97+'บ่าย (2)'!F97</f>
        <v>0</v>
      </c>
      <c r="G97" s="57">
        <f>'เย็น '!G97+'เช้า '!G97+บ่าย!G97+'บ่าย (2)'!G97</f>
        <v>58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58</v>
      </c>
      <c r="M97" s="11">
        <v>300</v>
      </c>
      <c r="N97" s="11">
        <v>290</v>
      </c>
      <c r="O97" s="11"/>
      <c r="P97" s="11">
        <v>300</v>
      </c>
      <c r="Q97" s="45">
        <f t="shared" si="10"/>
        <v>832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'!D98+บ่าย!D98+'บ่าย (2)'!D98</f>
        <v>5</v>
      </c>
      <c r="E98" s="57">
        <f>'เย็น '!E98+'เช้า '!E98+บ่าย!E98+'บ่าย (2)'!E98</f>
        <v>3</v>
      </c>
      <c r="F98" s="57">
        <f>'เย็น '!F98+'เช้า '!F98+บ่าย!F98+'บ่าย (2)'!F98</f>
        <v>12</v>
      </c>
      <c r="G98" s="57">
        <f>'เย็น '!G98+'เช้า '!G98+บ่าย!G98+'บ่าย (2)'!G98</f>
        <v>79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99</v>
      </c>
      <c r="M98" s="11">
        <v>300</v>
      </c>
      <c r="N98" s="11">
        <v>423</v>
      </c>
      <c r="O98" s="11"/>
      <c r="P98" s="11">
        <v>300</v>
      </c>
      <c r="Q98" s="45">
        <f t="shared" si="10"/>
        <v>924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485</v>
      </c>
      <c r="M100" s="11"/>
      <c r="N100" s="11"/>
      <c r="O100" s="11"/>
      <c r="P100" s="11"/>
      <c r="Q100" s="45"/>
    </row>
    <row r="101" spans="2:17" ht="19.5" hidden="1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7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'!D114+บ่าย!D114+'บ่าย (2)'!D114</f>
        <v>6</v>
      </c>
      <c r="E114" s="31">
        <f>'เย็น '!E114+'เช้า '!E114+บ่าย!E114+'บ่าย (2)'!E114</f>
        <v>0</v>
      </c>
      <c r="F114" s="31">
        <f>'เย็น '!F114+'เช้า '!F114+บ่าย!F114+'บ่าย (2)'!F114</f>
        <v>0</v>
      </c>
      <c r="G114" s="31">
        <f>'เย็น '!G114+'เช้า '!G114+บ่าย!G114+'บ่าย (2)'!G114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6</v>
      </c>
      <c r="M114" s="11"/>
      <c r="N114" s="11">
        <v>70</v>
      </c>
      <c r="O114" s="11"/>
      <c r="P114" s="11"/>
      <c r="Q114" s="45">
        <f t="shared" ref="Q114:Q139" si="16">(M114+N114+O114+P114)-L114</f>
        <v>64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'!D115+บ่าย!D115+'บ่าย (2)'!D115</f>
        <v>15</v>
      </c>
      <c r="E115" s="31">
        <f>'เย็น '!E115+'เช้า '!E115+บ่าย!E115+'บ่าย (2)'!E115</f>
        <v>0</v>
      </c>
      <c r="F115" s="31">
        <f>'เย็น '!F115+'เช้า '!F115+บ่าย!F115+'บ่าย (2)'!F115</f>
        <v>0</v>
      </c>
      <c r="G115" s="57">
        <f>'เย็น '!G115+'เช้า '!G115+บ่าย!G115+'บ่าย (2)'!G115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16</v>
      </c>
      <c r="M115" s="11"/>
      <c r="N115" s="11">
        <v>65</v>
      </c>
      <c r="O115" s="11"/>
      <c r="P115" s="11"/>
      <c r="Q115" s="45">
        <f t="shared" si="16"/>
        <v>49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'!D116+บ่าย!D116+'บ่าย (2)'!D116</f>
        <v>6</v>
      </c>
      <c r="E116" s="31">
        <f>'เย็น '!E116+'เช้า '!E116+บ่าย!E116+'บ่าย (2)'!E116</f>
        <v>0</v>
      </c>
      <c r="F116" s="31">
        <f>'เย็น '!F116+'เช้า '!F116+บ่าย!F116+'บ่าย (2)'!F116</f>
        <v>0</v>
      </c>
      <c r="G116" s="57">
        <f>'เย็น '!G116+'เช้า '!G116+บ่าย!G116+'บ่าย (2)'!G116</f>
        <v>3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9</v>
      </c>
      <c r="M116" s="11"/>
      <c r="N116" s="11">
        <v>59</v>
      </c>
      <c r="O116" s="11"/>
      <c r="P116" s="11"/>
      <c r="Q116" s="45">
        <f t="shared" si="16"/>
        <v>50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'!D117+บ่าย!D117+'บ่าย (2)'!D117</f>
        <v>0</v>
      </c>
      <c r="E117" s="31">
        <f>'เย็น '!E117+'เช้า '!E117+บ่าย!E117+'บ่าย (2)'!E117</f>
        <v>0</v>
      </c>
      <c r="F117" s="31">
        <f>'เย็น '!F117+'เช้า '!F117+บ่าย!F117+'บ่าย (2)'!F117</f>
        <v>0</v>
      </c>
      <c r="G117" s="31">
        <f>'เย็น '!G117+'เช้า '!G117+บ่าย!G117+'บ่าย (2)'!G117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'!D118+บ่าย!D118+'บ่าย (2)'!D118</f>
        <v>0</v>
      </c>
      <c r="E118" s="31">
        <f>'เย็น '!E118+'เช้า '!E118+บ่าย!E118+'บ่าย (2)'!E118</f>
        <v>0</v>
      </c>
      <c r="F118" s="31">
        <f>'เย็น '!F118+'เช้า '!F118+บ่าย!F118+'บ่าย (2)'!F118</f>
        <v>0</v>
      </c>
      <c r="G118" s="31">
        <f>'เย็น '!G118+'เช้า '!G118+บ่าย!G118+'บ่าย (2)'!G118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55</v>
      </c>
      <c r="O118" s="11"/>
      <c r="P118" s="11"/>
      <c r="Q118" s="45">
        <f t="shared" si="16"/>
        <v>55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'!D119+บ่าย!D119+'บ่าย (2)'!D119</f>
        <v>0</v>
      </c>
      <c r="E119" s="31">
        <f>'เย็น '!E119+'เช้า '!E119+บ่าย!E119+'บ่าย (2)'!E119</f>
        <v>0</v>
      </c>
      <c r="F119" s="31">
        <f>'เย็น '!F119+'เช้า '!F119+บ่าย!F119+'บ่าย (2)'!F119</f>
        <v>0</v>
      </c>
      <c r="G119" s="31">
        <f>'เย็น '!G119+'เช้า '!G119+บ่าย!G119+'บ่าย (2)'!G119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398</v>
      </c>
      <c r="O119" s="11"/>
      <c r="P119" s="11"/>
      <c r="Q119" s="45">
        <f t="shared" si="16"/>
        <v>398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'!D120+บ่าย!D120+'บ่าย (2)'!D120</f>
        <v>0</v>
      </c>
      <c r="E120" s="31">
        <f>'เย็น '!E120+'เช้า '!E120+บ่าย!E120+'บ่าย (2)'!E120</f>
        <v>0</v>
      </c>
      <c r="F120" s="31">
        <f>'เย็น '!F120+'เช้า '!F120+บ่าย!F120+'บ่าย (2)'!F120</f>
        <v>0</v>
      </c>
      <c r="G120" s="31">
        <f>'เย็น '!G120+'เช้า '!G120+บ่าย!G120+'บ่าย (2)'!G120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25</v>
      </c>
      <c r="O120" s="11"/>
      <c r="P120" s="11"/>
      <c r="Q120" s="45">
        <f t="shared" si="16"/>
        <v>25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'!D121+บ่าย!D121+'บ่าย (2)'!D121</f>
        <v>0</v>
      </c>
      <c r="E121" s="31">
        <f>'เย็น '!E121+'เช้า '!E121+บ่าย!E121+'บ่าย (2)'!E121</f>
        <v>0</v>
      </c>
      <c r="F121" s="31">
        <f>'เย็น '!F121+'เช้า '!F121+บ่าย!F121+'บ่าย (2)'!F121</f>
        <v>0</v>
      </c>
      <c r="G121" s="31">
        <f>'เย็น '!G121+'เช้า '!G121+บ่าย!G121+'บ่าย (2)'!G121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102</v>
      </c>
      <c r="O121" s="11"/>
      <c r="P121" s="11"/>
      <c r="Q121" s="45">
        <f t="shared" si="16"/>
        <v>102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'!D122+บ่าย!D122+'บ่าย (2)'!D122</f>
        <v>0</v>
      </c>
      <c r="E122" s="31">
        <f>'เย็น '!E122+'เช้า '!E122+บ่าย!E122+'บ่าย (2)'!E122</f>
        <v>0</v>
      </c>
      <c r="F122" s="31">
        <f>'เย็น '!F122+'เช้า '!F122+บ่าย!F122+'บ่าย (2)'!F122</f>
        <v>0</v>
      </c>
      <c r="G122" s="31">
        <f>'เย็น '!G122+'เช้า '!G122+บ่าย!G122+'บ่าย (2)'!G122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>
        <v>5</v>
      </c>
      <c r="O122" s="11"/>
      <c r="P122" s="11"/>
      <c r="Q122" s="45">
        <f t="shared" si="16"/>
        <v>5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'!D123+บ่าย!D123+'บ่าย (2)'!D123</f>
        <v>2</v>
      </c>
      <c r="E123" s="57">
        <f>'เย็น '!E123+'เช้า '!E123+บ่าย!E123+'บ่าย (2)'!E123</f>
        <v>6</v>
      </c>
      <c r="F123" s="57">
        <f>'เย็น '!F123+'เช้า '!F123+บ่าย!F123+'บ่าย (2)'!F123</f>
        <v>19</v>
      </c>
      <c r="G123" s="57">
        <f>'เย็น '!G123+'เช้า '!G123+บ่าย!G123+'บ่าย (2)'!G123</f>
        <v>70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97</v>
      </c>
      <c r="M123" s="11"/>
      <c r="N123" s="11">
        <v>266</v>
      </c>
      <c r="O123" s="11"/>
      <c r="P123" s="11">
        <v>300</v>
      </c>
      <c r="Q123" s="45">
        <f t="shared" si="16"/>
        <v>469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'!D124+บ่าย!D124+'บ่าย (2)'!D124</f>
        <v>3</v>
      </c>
      <c r="E124" s="57">
        <f>'เย็น '!E124+'เช้า '!E124+บ่าย!E124+'บ่าย (2)'!E124</f>
        <v>5</v>
      </c>
      <c r="F124" s="57">
        <f>'เย็น '!F124+'เช้า '!F124+บ่าย!F124+'บ่าย (2)'!F124</f>
        <v>16</v>
      </c>
      <c r="G124" s="57">
        <f>'เย็น '!G124+'เช้า '!G124+บ่าย!G124+'บ่าย (2)'!G124</f>
        <v>70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94</v>
      </c>
      <c r="M124" s="11"/>
      <c r="N124" s="11">
        <v>8</v>
      </c>
      <c r="O124" s="11"/>
      <c r="P124" s="11">
        <v>300</v>
      </c>
      <c r="Q124" s="45">
        <f t="shared" si="16"/>
        <v>214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'!D125+บ่าย!D125+'บ่าย (2)'!D125</f>
        <v>2</v>
      </c>
      <c r="E125" s="57">
        <f>'เย็น '!E125+'เช้า '!E125+บ่าย!E125+'บ่าย (2)'!E125</f>
        <v>3</v>
      </c>
      <c r="F125" s="57">
        <f>'เย็น '!F125+'เช้า '!F125+บ่าย!F125+'บ่าย (2)'!F125</f>
        <v>14</v>
      </c>
      <c r="G125" s="57">
        <f>'เย็น '!G125+'เช้า '!G125+บ่าย!G125+'บ่าย (2)'!G125</f>
        <v>70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89</v>
      </c>
      <c r="M125" s="11"/>
      <c r="N125" s="11">
        <v>40</v>
      </c>
      <c r="O125" s="11"/>
      <c r="P125" s="11">
        <v>300</v>
      </c>
      <c r="Q125" s="45">
        <f t="shared" si="16"/>
        <v>251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'!D126+บ่าย!D126+'บ่าย (2)'!D126</f>
        <v>0</v>
      </c>
      <c r="E126" s="57">
        <f>'เย็น '!E126+'เช้า '!E126+บ่าย!E126+'บ่าย (2)'!E126</f>
        <v>18</v>
      </c>
      <c r="F126" s="57">
        <f>'เย็น '!F126+'เช้า '!F126+บ่าย!F126+'บ่าย (2)'!F126</f>
        <v>23</v>
      </c>
      <c r="G126" s="57">
        <f>'เย็น '!G126+'เช้า '!G126+บ่าย!G126+'บ่าย (2)'!G126</f>
        <v>48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89</v>
      </c>
      <c r="M126" s="11">
        <v>150</v>
      </c>
      <c r="N126" s="11">
        <v>105</v>
      </c>
      <c r="O126" s="11"/>
      <c r="P126" s="11">
        <v>150</v>
      </c>
      <c r="Q126" s="45">
        <f t="shared" si="16"/>
        <v>316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'!D127+บ่าย!D127+'บ่าย (2)'!D127</f>
        <v>0</v>
      </c>
      <c r="E127" s="31">
        <f>'เย็น '!E127+'เช้า '!E127+บ่าย!E127+'บ่าย (2)'!E127</f>
        <v>0</v>
      </c>
      <c r="F127" s="31">
        <f>'เย็น '!F127+'เช้า '!F127+บ่าย!F127+'บ่าย (2)'!F127</f>
        <v>0</v>
      </c>
      <c r="G127" s="31">
        <f>'เย็น '!G127+'เช้า '!G127+บ่าย!G127+'บ่าย (2)'!G127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'!D128+บ่าย!D128+'บ่าย (2)'!D128</f>
        <v>0</v>
      </c>
      <c r="E128" s="31">
        <f>'เย็น '!E128+'เช้า '!E128+บ่าย!E128+'บ่าย (2)'!E128</f>
        <v>0</v>
      </c>
      <c r="F128" s="31">
        <f>'เย็น '!F128+'เช้า '!F128+บ่าย!F128+'บ่าย (2)'!F128</f>
        <v>0</v>
      </c>
      <c r="G128" s="31">
        <f>'เย็น '!G128+'เช้า '!G128+บ่าย!G128+'บ่าย (2)'!G128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'!D129+บ่าย!D129+'บ่าย (2)'!D129</f>
        <v>0</v>
      </c>
      <c r="E129" s="31">
        <f>'เย็น '!E129+'เช้า '!E129+บ่าย!E129+'บ่าย (2)'!E129</f>
        <v>0</v>
      </c>
      <c r="F129" s="31">
        <f>'เย็น '!F129+'เช้า '!F129+บ่าย!F129+'บ่าย (2)'!F129</f>
        <v>0</v>
      </c>
      <c r="G129" s="31">
        <f>'เย็น '!G129+'เช้า '!G129+บ่าย!G129+'บ่าย (2)'!G129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'!D130+บ่าย!D130+'บ่าย (2)'!D130</f>
        <v>0</v>
      </c>
      <c r="E130" s="31">
        <f>'เย็น '!E130+'เช้า '!E130+บ่าย!E130+'บ่าย (2)'!E130</f>
        <v>0</v>
      </c>
      <c r="F130" s="31">
        <f>'เย็น '!F130+'เช้า '!F130+บ่าย!F130+'บ่าย (2)'!F130</f>
        <v>0</v>
      </c>
      <c r="G130" s="31">
        <f>'เย็น '!G130+'เช้า '!G130+บ่าย!G130+'บ่าย (2)'!G130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18</v>
      </c>
      <c r="O130" s="11"/>
      <c r="P130" s="11"/>
      <c r="Q130" s="45">
        <f t="shared" si="16"/>
        <v>18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'!D131+บ่าย!D131+'บ่าย (2)'!D131</f>
        <v>0</v>
      </c>
      <c r="E131" s="31">
        <f>'เย็น '!E131+'เช้า '!E131+บ่าย!E131+'บ่าย (2)'!E131</f>
        <v>0</v>
      </c>
      <c r="F131" s="31">
        <f>'เย็น '!F131+'เช้า '!F131+บ่าย!F131+'บ่าย (2)'!F131</f>
        <v>0</v>
      </c>
      <c r="G131" s="31">
        <f>'เย็น '!G131+'เช้า '!G131+บ่าย!G131+'บ่าย (2)'!G131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'!D132+บ่าย!D132+'บ่าย (2)'!D132</f>
        <v>0</v>
      </c>
      <c r="E132" s="31">
        <f>'เย็น '!E132+'เช้า '!E132+บ่าย!E132+'บ่าย (2)'!E132</f>
        <v>0</v>
      </c>
      <c r="F132" s="31">
        <f>'เย็น '!F132+'เช้า '!F132+บ่าย!F132+'บ่าย (2)'!F132</f>
        <v>0</v>
      </c>
      <c r="G132" s="31">
        <f>'เย็น '!G132+'เช้า '!G132+บ่าย!G132+'บ่าย (2)'!G132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'!D133+บ่าย!D133+'บ่าย (2)'!D133</f>
        <v>0</v>
      </c>
      <c r="E133" s="31">
        <f>'เย็น '!E133+'เช้า '!E133+บ่าย!E133+'บ่าย (2)'!E133</f>
        <v>0</v>
      </c>
      <c r="F133" s="31">
        <f>'เย็น '!F133+'เช้า '!F133+บ่าย!F133+'บ่าย (2)'!F133</f>
        <v>0</v>
      </c>
      <c r="G133" s="31">
        <f>'เย็น '!G133+'เช้า '!G133+บ่าย!G133+'บ่าย (2)'!G133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'!D134+บ่าย!D134+'บ่าย (2)'!D134</f>
        <v>0</v>
      </c>
      <c r="E134" s="31">
        <f>'เย็น '!E134+'เช้า '!E134+บ่าย!E134+'บ่าย (2)'!E134</f>
        <v>0</v>
      </c>
      <c r="F134" s="31">
        <f>'เย็น '!F134+'เช้า '!F134+บ่าย!F134+'บ่าย (2)'!F134</f>
        <v>0</v>
      </c>
      <c r="G134" s="31">
        <f>'เย็น '!G134+'เช้า '!G134+บ่าย!G134+'บ่าย (2)'!G134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'!D135+บ่าย!D135+'บ่าย (2)'!D135</f>
        <v>0</v>
      </c>
      <c r="E135" s="57">
        <f>'เย็น '!E135+'เช้า '!E135+บ่าย!E135+'บ่าย (2)'!E135</f>
        <v>5</v>
      </c>
      <c r="F135" s="31">
        <f>'เย็น '!F135+'เช้า '!F135+บ่าย!F135+'บ่าย (2)'!F135</f>
        <v>0</v>
      </c>
      <c r="G135" s="31">
        <f>'เย็น '!G135+'เช้า '!G135+บ่าย!G135+'บ่าย (2)'!G135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5</v>
      </c>
      <c r="M135" s="11"/>
      <c r="N135" s="11"/>
      <c r="O135" s="11"/>
      <c r="P135" s="11"/>
      <c r="Q135" s="45">
        <f t="shared" si="16"/>
        <v>-5</v>
      </c>
    </row>
    <row r="136" spans="2:17" x14ac:dyDescent="0.2">
      <c r="B136" s="23"/>
      <c r="C136" s="22" t="s">
        <v>125</v>
      </c>
      <c r="D136" s="31">
        <f>'เย็น '!D136+'เช้า '!D136+บ่าย!D136+'บ่าย (2)'!D136</f>
        <v>0</v>
      </c>
      <c r="E136" s="31">
        <f>'เย็น '!E136+'เช้า '!E136+บ่าย!E136+'บ่าย (2)'!E136</f>
        <v>0</v>
      </c>
      <c r="F136" s="31">
        <f>'เย็น '!F136+'เช้า '!F136+บ่าย!F136+'บ่าย (2)'!F136</f>
        <v>0</v>
      </c>
      <c r="G136" s="31">
        <f>'เย็น '!G136+'เช้า '!G136+บ่าย!G136+'บ่าย (2)'!G136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51"/>
      <c r="C137" s="50" t="s">
        <v>137</v>
      </c>
      <c r="D137" s="31">
        <f>'เย็น '!D137+'เช้า '!D137+บ่าย!D137+'บ่าย (2)'!D137</f>
        <v>0</v>
      </c>
      <c r="E137" s="31">
        <f>'เย็น '!E137+'เช้า '!E137+บ่าย!E137+'บ่าย (2)'!E137</f>
        <v>0</v>
      </c>
      <c r="F137" s="31">
        <f>'เย็น '!F137+'เช้า '!F137+บ่าย!F137+'บ่าย (2)'!F137</f>
        <v>0</v>
      </c>
      <c r="G137" s="31">
        <f>'เย็น '!G137+'เช้า '!G137+บ่าย!G137+'บ่าย (2)'!G137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'!D138+บ่าย!D138+'บ่าย (2)'!D138</f>
        <v>0</v>
      </c>
      <c r="E138" s="31">
        <f>'เย็น '!E138+'เช้า '!E138+บ่าย!E138+'บ่าย (2)'!E138</f>
        <v>0</v>
      </c>
      <c r="F138" s="31">
        <f>'เย็น '!F138+'เช้า '!F138+บ่าย!F138+'บ่าย (2)'!F138</f>
        <v>0</v>
      </c>
      <c r="G138" s="31">
        <f>'เย็น '!G138+'เช้า '!G138+บ่าย!G138+'บ่าย (2)'!G138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'!D139+บ่าย!D139+'บ่าย (2)'!D139</f>
        <v>0</v>
      </c>
      <c r="E139" s="31">
        <f>'เย็น '!E139+'เช้า '!E139+บ่าย!E139+'บ่าย (2)'!E139</f>
        <v>0</v>
      </c>
      <c r="F139" s="31">
        <f>'เย็น '!F139+'เช้า '!F139+บ่าย!F139+'บ่าย (2)'!F139</f>
        <v>0</v>
      </c>
      <c r="G139" s="31">
        <f>'เย็น '!G139+'เช้า '!G139+บ่าย!G139+'บ่าย (2)'!G139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118</v>
      </c>
      <c r="E140" s="37">
        <f t="shared" ref="E140:K140" si="17">SUM(E114:E139,E90:E99,E79:E87,E69:E76,E7:E66,E102:E111)</f>
        <v>114</v>
      </c>
      <c r="F140" s="37">
        <f t="shared" si="17"/>
        <v>173</v>
      </c>
      <c r="G140" s="37">
        <f t="shared" si="17"/>
        <v>1005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1410</v>
      </c>
      <c r="M140" s="31">
        <f>SUM(M114:M136,M90:M98,M79:M87,M69:M76,M7:M66)</f>
        <v>5460</v>
      </c>
      <c r="N140" s="31">
        <f>SUM(N114:N136,N90:N98,N79:N87,N69:N76,N7:N66)</f>
        <v>11040</v>
      </c>
      <c r="O140" s="31"/>
      <c r="P140" s="31"/>
      <c r="Q140" s="45">
        <f t="shared" ref="Q140" si="18">(M140+N140)-L140</f>
        <v>15090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2"/>
      <c r="F143" s="62"/>
      <c r="G143" s="27"/>
      <c r="L143" s="41"/>
    </row>
    <row r="144" spans="2:17" x14ac:dyDescent="0.2">
      <c r="B144" s="62" t="s">
        <v>104</v>
      </c>
      <c r="C144" s="62"/>
      <c r="D144" s="33"/>
      <c r="E144" s="58"/>
      <c r="F144" s="58"/>
      <c r="G144" s="28"/>
      <c r="H144" s="27"/>
      <c r="I144" s="62" t="s">
        <v>104</v>
      </c>
      <c r="J144" s="62"/>
      <c r="K144" s="62"/>
      <c r="L144" s="62"/>
    </row>
    <row r="145" spans="2:12" x14ac:dyDescent="0.2">
      <c r="B145" s="58" t="s">
        <v>105</v>
      </c>
      <c r="C145" s="58"/>
      <c r="D145" s="34"/>
      <c r="E145" s="34"/>
      <c r="F145" s="34"/>
      <c r="G145" s="34"/>
      <c r="H145" s="34"/>
      <c r="I145" s="58" t="s">
        <v>106</v>
      </c>
      <c r="J145" s="58"/>
      <c r="K145" s="58"/>
      <c r="L145" s="58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เย็น </vt:lpstr>
      <vt:lpstr>เช้า </vt:lpstr>
      <vt:lpstr>บ่าย</vt:lpstr>
      <vt:lpstr>บ่าย (2)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2025-01-14T00:49:08Z</cp:lastPrinted>
  <dcterms:created xsi:type="dcterms:W3CDTF">2024-04-30T05:21:27Z</dcterms:created>
  <dcterms:modified xsi:type="dcterms:W3CDTF">2025-01-14T06:28:55Z</dcterms:modified>
</cp:coreProperties>
</file>