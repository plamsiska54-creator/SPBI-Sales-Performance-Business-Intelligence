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1501583-D24D-4CEE-B70D-295A418C34CE}" xr6:coauthVersionLast="47" xr6:coauthVersionMax="47" xr10:uidLastSave="{00000000-0000-0000-0000-000000000000}"/>
  <bookViews>
    <workbookView xWindow="9420" yWindow="1920" windowWidth="19080" windowHeight="13425" firstSheet="1" activeTab="3" xr2:uid="{55C9AAA3-F459-48EC-A639-AACFFC6390F5}"/>
  </bookViews>
  <sheets>
    <sheet name="เช้า " sheetId="3" state="hidden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E7" i="5"/>
  <c r="F7" i="5"/>
  <c r="G7" i="5"/>
  <c r="H7" i="5"/>
  <c r="D8" i="5"/>
  <c r="E8" i="5"/>
  <c r="F8" i="5"/>
  <c r="G8" i="5"/>
  <c r="H8" i="5"/>
  <c r="D9" i="5"/>
  <c r="E9" i="5"/>
  <c r="F9" i="5"/>
  <c r="G9" i="5"/>
  <c r="H9" i="5"/>
  <c r="D10" i="5"/>
  <c r="E10" i="5"/>
  <c r="F10" i="5"/>
  <c r="G10" i="5"/>
  <c r="H10" i="5"/>
  <c r="D11" i="5"/>
  <c r="E11" i="5"/>
  <c r="F11" i="5"/>
  <c r="G11" i="5"/>
  <c r="H11" i="5"/>
  <c r="D12" i="5"/>
  <c r="E12" i="5"/>
  <c r="F12" i="5"/>
  <c r="G12" i="5"/>
  <c r="H12" i="5"/>
  <c r="D13" i="5"/>
  <c r="E13" i="5"/>
  <c r="F13" i="5"/>
  <c r="G13" i="5"/>
  <c r="H13" i="5"/>
  <c r="D14" i="5"/>
  <c r="E14" i="5"/>
  <c r="F14" i="5"/>
  <c r="G14" i="5"/>
  <c r="H14" i="5"/>
  <c r="D15" i="5"/>
  <c r="E15" i="5"/>
  <c r="F15" i="5"/>
  <c r="G15" i="5"/>
  <c r="H15" i="5"/>
  <c r="D16" i="5"/>
  <c r="E16" i="5"/>
  <c r="F16" i="5"/>
  <c r="G16" i="5"/>
  <c r="H16" i="5"/>
  <c r="D17" i="5"/>
  <c r="E17" i="5"/>
  <c r="F17" i="5"/>
  <c r="G17" i="5"/>
  <c r="H17" i="5"/>
  <c r="D18" i="5"/>
  <c r="E18" i="5"/>
  <c r="F18" i="5"/>
  <c r="G18" i="5"/>
  <c r="H18" i="5"/>
  <c r="D19" i="5"/>
  <c r="E19" i="5"/>
  <c r="F19" i="5"/>
  <c r="G19" i="5"/>
  <c r="H19" i="5"/>
  <c r="D20" i="5"/>
  <c r="E20" i="5"/>
  <c r="F20" i="5"/>
  <c r="G20" i="5"/>
  <c r="H20" i="5"/>
  <c r="D21" i="5"/>
  <c r="E21" i="5"/>
  <c r="F21" i="5"/>
  <c r="G21" i="5"/>
  <c r="H21" i="5"/>
  <c r="D22" i="5"/>
  <c r="E22" i="5"/>
  <c r="F22" i="5"/>
  <c r="G22" i="5"/>
  <c r="H22" i="5"/>
  <c r="D23" i="5"/>
  <c r="E23" i="5"/>
  <c r="F23" i="5"/>
  <c r="G23" i="5"/>
  <c r="H23" i="5"/>
  <c r="D24" i="5"/>
  <c r="E24" i="5"/>
  <c r="F24" i="5"/>
  <c r="G24" i="5"/>
  <c r="H24" i="5"/>
  <c r="D25" i="5"/>
  <c r="E25" i="5"/>
  <c r="F25" i="5"/>
  <c r="G25" i="5"/>
  <c r="H25" i="5"/>
  <c r="D26" i="5"/>
  <c r="E26" i="5"/>
  <c r="F26" i="5"/>
  <c r="G26" i="5"/>
  <c r="H26" i="5"/>
  <c r="D27" i="5"/>
  <c r="E27" i="5"/>
  <c r="F27" i="5"/>
  <c r="G27" i="5"/>
  <c r="H27" i="5"/>
  <c r="D28" i="5"/>
  <c r="E28" i="5"/>
  <c r="F28" i="5"/>
  <c r="G28" i="5"/>
  <c r="H28" i="5"/>
  <c r="D29" i="5"/>
  <c r="E29" i="5"/>
  <c r="F29" i="5"/>
  <c r="G29" i="5"/>
  <c r="H29" i="5"/>
  <c r="D30" i="5"/>
  <c r="E30" i="5"/>
  <c r="F30" i="5"/>
  <c r="G30" i="5"/>
  <c r="H30" i="5"/>
  <c r="D31" i="5"/>
  <c r="E31" i="5"/>
  <c r="F31" i="5"/>
  <c r="G31" i="5"/>
  <c r="H31" i="5"/>
  <c r="D32" i="5"/>
  <c r="E32" i="5"/>
  <c r="F32" i="5"/>
  <c r="G32" i="5"/>
  <c r="H32" i="5"/>
  <c r="D33" i="5"/>
  <c r="E33" i="5"/>
  <c r="F33" i="5"/>
  <c r="G33" i="5"/>
  <c r="H33" i="5"/>
  <c r="D34" i="5"/>
  <c r="E34" i="5"/>
  <c r="F34" i="5"/>
  <c r="G34" i="5"/>
  <c r="H34" i="5"/>
  <c r="D35" i="5"/>
  <c r="E35" i="5"/>
  <c r="F35" i="5"/>
  <c r="G35" i="5"/>
  <c r="H35" i="5"/>
  <c r="D36" i="5"/>
  <c r="E36" i="5"/>
  <c r="F36" i="5"/>
  <c r="G36" i="5"/>
  <c r="H36" i="5"/>
  <c r="D37" i="5"/>
  <c r="E37" i="5"/>
  <c r="F37" i="5"/>
  <c r="G37" i="5"/>
  <c r="H37" i="5"/>
  <c r="D38" i="5"/>
  <c r="E38" i="5"/>
  <c r="F38" i="5"/>
  <c r="G38" i="5"/>
  <c r="H38" i="5"/>
  <c r="D39" i="5"/>
  <c r="E39" i="5"/>
  <c r="F39" i="5"/>
  <c r="G39" i="5"/>
  <c r="H39" i="5"/>
  <c r="D40" i="5"/>
  <c r="E40" i="5"/>
  <c r="F40" i="5"/>
  <c r="G40" i="5"/>
  <c r="H40" i="5"/>
  <c r="D41" i="5"/>
  <c r="E41" i="5"/>
  <c r="F41" i="5"/>
  <c r="G41" i="5"/>
  <c r="H41" i="5"/>
  <c r="D42" i="5"/>
  <c r="E42" i="5"/>
  <c r="F42" i="5"/>
  <c r="G42" i="5"/>
  <c r="H42" i="5"/>
  <c r="D43" i="5"/>
  <c r="E43" i="5"/>
  <c r="F43" i="5"/>
  <c r="G43" i="5"/>
  <c r="H43" i="5"/>
  <c r="D44" i="5"/>
  <c r="E44" i="5"/>
  <c r="F44" i="5"/>
  <c r="G44" i="5"/>
  <c r="H44" i="5"/>
  <c r="D45" i="5"/>
  <c r="E45" i="5"/>
  <c r="F45" i="5"/>
  <c r="G45" i="5"/>
  <c r="H45" i="5"/>
  <c r="D46" i="5"/>
  <c r="E46" i="5"/>
  <c r="F46" i="5"/>
  <c r="G46" i="5"/>
  <c r="H46" i="5"/>
  <c r="D47" i="5"/>
  <c r="E47" i="5"/>
  <c r="F47" i="5"/>
  <c r="G47" i="5"/>
  <c r="H47" i="5"/>
  <c r="D48" i="5"/>
  <c r="E48" i="5"/>
  <c r="F48" i="5"/>
  <c r="G48" i="5"/>
  <c r="H48" i="5"/>
  <c r="D49" i="5"/>
  <c r="E49" i="5"/>
  <c r="F49" i="5"/>
  <c r="G49" i="5"/>
  <c r="H49" i="5"/>
  <c r="D50" i="5"/>
  <c r="E50" i="5"/>
  <c r="F50" i="5"/>
  <c r="G50" i="5"/>
  <c r="H50" i="5"/>
  <c r="D51" i="5"/>
  <c r="E51" i="5"/>
  <c r="F51" i="5"/>
  <c r="G51" i="5"/>
  <c r="H51" i="5"/>
  <c r="D52" i="5"/>
  <c r="E52" i="5"/>
  <c r="F52" i="5"/>
  <c r="G52" i="5"/>
  <c r="H52" i="5"/>
  <c r="D53" i="5"/>
  <c r="E53" i="5"/>
  <c r="F53" i="5"/>
  <c r="G53" i="5"/>
  <c r="H53" i="5"/>
  <c r="D54" i="5"/>
  <c r="E54" i="5"/>
  <c r="F54" i="5"/>
  <c r="G54" i="5"/>
  <c r="H54" i="5"/>
  <c r="D55" i="5"/>
  <c r="E55" i="5"/>
  <c r="F55" i="5"/>
  <c r="G55" i="5"/>
  <c r="H55" i="5"/>
  <c r="D56" i="5"/>
  <c r="E56" i="5"/>
  <c r="F56" i="5"/>
  <c r="G56" i="5"/>
  <c r="H56" i="5"/>
  <c r="D57" i="5"/>
  <c r="E57" i="5"/>
  <c r="F57" i="5"/>
  <c r="G57" i="5"/>
  <c r="H57" i="5"/>
  <c r="D58" i="5"/>
  <c r="E58" i="5"/>
  <c r="F58" i="5"/>
  <c r="G58" i="5"/>
  <c r="H58" i="5"/>
  <c r="D59" i="5"/>
  <c r="E59" i="5"/>
  <c r="F59" i="5"/>
  <c r="G59" i="5"/>
  <c r="H59" i="5"/>
  <c r="D60" i="5"/>
  <c r="E60" i="5"/>
  <c r="F60" i="5"/>
  <c r="G60" i="5"/>
  <c r="H60" i="5"/>
  <c r="D61" i="5"/>
  <c r="E61" i="5"/>
  <c r="F61" i="5"/>
  <c r="G61" i="5"/>
  <c r="H61" i="5"/>
  <c r="D62" i="5"/>
  <c r="E62" i="5"/>
  <c r="F62" i="5"/>
  <c r="G62" i="5"/>
  <c r="H62" i="5"/>
  <c r="D63" i="5"/>
  <c r="E63" i="5"/>
  <c r="F63" i="5"/>
  <c r="G63" i="5"/>
  <c r="H63" i="5"/>
  <c r="D64" i="5"/>
  <c r="E64" i="5"/>
  <c r="F64" i="5"/>
  <c r="G64" i="5"/>
  <c r="H64" i="5"/>
  <c r="D65" i="5"/>
  <c r="E65" i="5"/>
  <c r="F65" i="5"/>
  <c r="G65" i="5"/>
  <c r="H65" i="5"/>
  <c r="D69" i="5"/>
  <c r="E69" i="5"/>
  <c r="F69" i="5"/>
  <c r="G69" i="5"/>
  <c r="H69" i="5"/>
  <c r="I69" i="5"/>
  <c r="J69" i="5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K69" i="5"/>
  <c r="I8" i="5"/>
  <c r="J8" i="5"/>
  <c r="K8" i="5"/>
  <c r="I9" i="5"/>
  <c r="J9" i="5"/>
  <c r="K9" i="5"/>
  <c r="I10" i="5"/>
  <c r="J10" i="5"/>
  <c r="K10" i="5"/>
  <c r="I11" i="5"/>
  <c r="J11" i="5"/>
  <c r="K11" i="5"/>
  <c r="I12" i="5"/>
  <c r="J12" i="5"/>
  <c r="K12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I51" i="5"/>
  <c r="J51" i="5"/>
  <c r="K51" i="5"/>
  <c r="I52" i="5"/>
  <c r="J52" i="5"/>
  <c r="K52" i="5"/>
  <c r="I53" i="5"/>
  <c r="J53" i="5"/>
  <c r="K53" i="5"/>
  <c r="I54" i="5"/>
  <c r="J54" i="5"/>
  <c r="K54" i="5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1" i="5"/>
  <c r="J61" i="5"/>
  <c r="K61" i="5"/>
  <c r="I62" i="5"/>
  <c r="J62" i="5"/>
  <c r="K62" i="5"/>
  <c r="I63" i="5"/>
  <c r="J63" i="5"/>
  <c r="K63" i="5"/>
  <c r="I64" i="5"/>
  <c r="J64" i="5"/>
  <c r="K64" i="5"/>
  <c r="I65" i="5"/>
  <c r="J65" i="5"/>
  <c r="K65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L135" i="5"/>
  <c r="Q135" i="5" s="1"/>
  <c r="L112" i="3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<sst xmlns="http://schemas.openxmlformats.org/spreadsheetml/2006/main" count="613" uniqueCount="145">
  <si>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</si>
  <si>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</si>
  <si>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</si>
  <si>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</si>
  <si>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</si>
  <si>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</si>
  <si>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</si>
  <si>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</si>
  <si>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</si>
  <si>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</si>
  <si>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</si>
  <si>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</si>
  <si>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</si>
  <si>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</si>
  <si>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</si>
  <si>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</si>
  <si>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</si>
  <si>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</si>
  <si>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</si>
  <si>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</si>
  <si>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</si>
  <si>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</si>
  <si>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</si>
  <si>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</si>
  <si>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</si>
  <si>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</si>
  <si>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</si>
  <si>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</si>
  <si>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</si>
  <si>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</si>
  <si>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</si>
  <si>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</si>
  <si>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</si>
  <si>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</si>
  <si>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</si>
  <si>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</si>
  <si>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</si>
  <si>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</si>
  <si>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</si>
  <si>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</si>
  <si>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</si>
  <si>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</si>
  <si>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</si>
  <si>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</si>
  <si>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</si>
  <si>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</si>
  <si>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</si>
  <si>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</si>
  <si>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</si>
  <si>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</si>
  <si>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</si>
  <si>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</si>
  <si>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</si>
  <si>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</si>
  <si>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</si>
  <si>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</si>
  <si>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</si>
  <si>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</si>
  <si>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</si>
  <si>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</si>
  <si>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</si>
  <si>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</si>
  <si>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</si>
  <si>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</si>
  <si>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</si>
  <si>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</si>
  <si>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</si>
  <si>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</si>
  <si>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</si>
  <si>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</si>
  <si>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</si>
  <si>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</si>
  <si>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</si>
  <si>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</si>
  <si>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</si>
  <si>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</si>
  <si>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</si>
  <si>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</si>
  <si>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</si>
  <si>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</si>
  <si>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</si>
  <si>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</si>
  <si>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</si>
  <si>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</si>
  <si>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</si>
  <si>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</si>
  <si>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</si>
  <si>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</si>
  <si>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</si>
  <si>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</si>
  <si>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</si>
  <si>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</si>
  <si>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</si>
  <si>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</si>
  <si>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</si>
  <si>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</si>
  <si>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</si>
  <si>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</si>
  <si>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</si>
  <si>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</si>
  <si>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</si>
  <si>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</si>
  <si>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</si>
  <si>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</si>
  <si>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</si>
  <si>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</si>
  <si>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</si>
  <si>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</si>
  <si>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</si>
  <si>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</si>
  <si>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</si>
  <si>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</si>
  <si>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</si>
  <si>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</si>
  <si>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</si>
  <si>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</si>
  <si>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</si>
  <si>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</si>
  <si>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</si>
  <si>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</si>
  <si>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</si>
  <si>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</si>
  <si>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</si>
  <si>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</si>
  <si>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</si>
  <si>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</si>
  <si>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</si>
  <si>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</si>
  <si>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</si>
  <si>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</si>
  <si>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</si>
  <si>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</si>
  <si>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</si>
  <si>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</si>
  <si>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</si>
  <si>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</si>
  <si>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</si>
  <si>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</si>
  <si>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</si>
  <si>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</si>
  <si>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</si>
  <si>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</si>
  <si>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</si>
  <si>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20/1/68 รวม</t>
  </si>
  <si>
    <t>ยอดจริง ออนไลน์ วันที่  20/1/2568- บ่าย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</si>
</sst>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87" zoomScale="60" zoomScaleNormal="60" workbookViewId="0">
      <selection activeCell="H93" sqref="H93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5</v>
      </c>
      <c r="E7" s="31">
        <v>28</v>
      </c>
      <c r="F7" s="31">
        <v>7</v>
      </c>
      <c r="G7" s="31">
        <v>41</v>
      </c>
      <c r="H7" s="31">
        <v>16</v>
      </c>
      <c r="I7" s="31"/>
      <c r="J7" s="44"/>
      <c r="K7" s="44"/>
      <c r="L7" s="37">
        <f>SUM(D7:K7)</f>
        <v>97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5</v>
      </c>
      <c r="E25" s="31">
        <v>9</v>
      </c>
      <c r="F25" s="31">
        <v>4</v>
      </c>
      <c r="G25" s="31">
        <v>2</v>
      </c>
      <c r="H25" s="31">
        <v>1</v>
      </c>
      <c r="I25" s="31"/>
      <c r="J25" s="44"/>
      <c r="K25" s="44"/>
      <c r="L25" s="37">
        <f t="shared" si="0"/>
        <v>21</v>
      </c>
    </row>
    <row r="26" spans="2:12" x14ac:dyDescent="0.2">
      <c r="B26" s="11">
        <v>1004055</v>
      </c>
      <c r="C26" s="15" t="s">
        <v>108</v>
      </c>
      <c r="D26" s="31"/>
      <c r="E26" s="31">
        <v>21</v>
      </c>
      <c r="F26" s="31"/>
      <c r="G26" s="31">
        <v>24</v>
      </c>
      <c r="H26" s="31">
        <v>48</v>
      </c>
      <c r="I26" s="31"/>
      <c r="J26" s="44"/>
      <c r="K26" s="44"/>
      <c r="L26" s="37">
        <f t="shared" si="0"/>
        <v>93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>
        <v>6</v>
      </c>
      <c r="I40" s="31"/>
      <c r="J40" s="44"/>
      <c r="K40" s="44"/>
      <c r="L40" s="37">
        <f t="shared" si="0"/>
        <v>6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>
        <v>6</v>
      </c>
      <c r="I41" s="31"/>
      <c r="J41" s="44"/>
      <c r="K41" s="44"/>
      <c r="L41" s="37">
        <f t="shared" si="0"/>
        <v>6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>
        <v>15</v>
      </c>
      <c r="I42" s="31"/>
      <c r="J42" s="44"/>
      <c r="K42" s="44"/>
      <c r="L42" s="37">
        <f t="shared" si="0"/>
        <v>15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>
        <v>1</v>
      </c>
      <c r="I43" s="31"/>
      <c r="J43" s="44"/>
      <c r="K43" s="44"/>
      <c r="L43" s="37">
        <f t="shared" si="0"/>
        <v>1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>
        <v>4</v>
      </c>
      <c r="I44" s="31"/>
      <c r="J44" s="44"/>
      <c r="K44" s="44"/>
      <c r="L44" s="37">
        <f t="shared" si="0"/>
        <v>4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>
        <v>5</v>
      </c>
      <c r="I46" s="31"/>
      <c r="J46" s="44"/>
      <c r="K46" s="44"/>
      <c r="L46" s="37">
        <f t="shared" si="0"/>
        <v>5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>
        <v>4</v>
      </c>
      <c r="I47" s="31"/>
      <c r="J47" s="44"/>
      <c r="K47" s="44"/>
      <c r="L47" s="37">
        <f t="shared" si="0"/>
        <v>4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>
        <v>1</v>
      </c>
      <c r="I48" s="31"/>
      <c r="J48" s="44"/>
      <c r="K48" s="44"/>
      <c r="L48" s="37">
        <f t="shared" si="0"/>
        <v>1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>
        <v>5</v>
      </c>
      <c r="I49" s="31"/>
      <c r="J49" s="44"/>
      <c r="K49" s="44"/>
      <c r="L49" s="37">
        <f t="shared" si="0"/>
        <v>5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>
        <v>15</v>
      </c>
      <c r="I50" s="31"/>
      <c r="J50" s="44"/>
      <c r="K50" s="44"/>
      <c r="L50" s="37">
        <f t="shared" si="0"/>
        <v>15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>
        <v>5</v>
      </c>
      <c r="I51" s="31"/>
      <c r="J51" s="44"/>
      <c r="K51" s="44"/>
      <c r="L51" s="37">
        <f t="shared" si="0"/>
        <v>5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>
        <v>5</v>
      </c>
      <c r="I52" s="31"/>
      <c r="J52" s="44"/>
      <c r="K52" s="44"/>
      <c r="L52" s="37">
        <f t="shared" si="0"/>
        <v>5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8</v>
      </c>
      <c r="G56" s="31"/>
      <c r="H56" s="31">
        <v>2</v>
      </c>
      <c r="I56" s="31"/>
      <c r="J56" s="44"/>
      <c r="K56" s="44"/>
      <c r="L56" s="37">
        <f t="shared" si="0"/>
        <v>10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8</v>
      </c>
      <c r="G57" s="31"/>
      <c r="H57" s="31">
        <v>2</v>
      </c>
      <c r="I57" s="31"/>
      <c r="J57" s="44"/>
      <c r="K57" s="44"/>
      <c r="L57" s="37">
        <f t="shared" si="0"/>
        <v>10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8</v>
      </c>
      <c r="G58" s="31"/>
      <c r="H58" s="31">
        <v>2</v>
      </c>
      <c r="I58" s="31"/>
      <c r="J58" s="44"/>
      <c r="K58" s="44"/>
      <c r="L58" s="37">
        <f t="shared" si="0"/>
        <v>10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8</v>
      </c>
      <c r="G59" s="31"/>
      <c r="H59" s="31">
        <v>2</v>
      </c>
      <c r="I59" s="31"/>
      <c r="J59" s="44"/>
      <c r="K59" s="44"/>
      <c r="L59" s="37">
        <f t="shared" si="0"/>
        <v>10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8</v>
      </c>
      <c r="G60" s="31"/>
      <c r="H60" s="31">
        <v>2</v>
      </c>
      <c r="I60" s="31"/>
      <c r="J60" s="44"/>
      <c r="K60" s="44"/>
      <c r="L60" s="37">
        <f t="shared" si="0"/>
        <v>10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8</v>
      </c>
      <c r="G61" s="31"/>
      <c r="H61" s="31">
        <v>2</v>
      </c>
      <c r="I61" s="31"/>
      <c r="J61" s="44"/>
      <c r="K61" s="44"/>
      <c r="L61" s="37">
        <f t="shared" si="0"/>
        <v>10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8</v>
      </c>
      <c r="G62" s="31"/>
      <c r="H62" s="31">
        <v>2</v>
      </c>
      <c r="I62" s="31"/>
      <c r="J62" s="44"/>
      <c r="K62" s="44"/>
      <c r="L62" s="37">
        <f t="shared" si="0"/>
        <v>10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8</v>
      </c>
      <c r="G63" s="31"/>
      <c r="H63" s="31">
        <v>2</v>
      </c>
      <c r="I63" s="31"/>
      <c r="J63" s="44"/>
      <c r="K63" s="44"/>
      <c r="L63" s="37">
        <f t="shared" si="0"/>
        <v>10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8</v>
      </c>
      <c r="G64" s="31"/>
      <c r="H64" s="31">
        <v>2</v>
      </c>
      <c r="I64" s="31"/>
      <c r="J64" s="44"/>
      <c r="K64" s="44"/>
      <c r="L64" s="37">
        <f t="shared" si="0"/>
        <v>10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8</v>
      </c>
      <c r="G65" s="31"/>
      <c r="H65" s="31">
        <v>2</v>
      </c>
      <c r="I65" s="31"/>
      <c r="J65" s="44"/>
      <c r="K65" s="44"/>
      <c r="L65" s="37">
        <f t="shared" si="0"/>
        <v>10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5</v>
      </c>
      <c r="E69" s="31"/>
      <c r="F69" s="31">
        <v>4</v>
      </c>
      <c r="G69" s="31">
        <v>4</v>
      </c>
      <c r="H69" s="31">
        <v>7</v>
      </c>
      <c r="I69" s="31"/>
      <c r="J69" s="44"/>
      <c r="K69" s="44"/>
      <c r="L69" s="37">
        <f t="shared" ref="L69:L76" si="1">SUM(D69:K69)</f>
        <v>20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10</v>
      </c>
      <c r="E87" s="31">
        <v>9</v>
      </c>
      <c r="F87" s="31"/>
      <c r="G87" s="31">
        <v>21</v>
      </c>
      <c r="H87" s="31">
        <v>64</v>
      </c>
      <c r="I87" s="31"/>
      <c r="J87" s="44"/>
      <c r="K87" s="44"/>
      <c r="L87" s="37">
        <f t="shared" si="2"/>
        <v>104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>
        <v>10</v>
      </c>
      <c r="F90" s="31">
        <v>15</v>
      </c>
      <c r="G90" s="31">
        <v>23</v>
      </c>
      <c r="H90" s="31">
        <v>32</v>
      </c>
      <c r="I90" s="31"/>
      <c r="J90" s="44"/>
      <c r="K90" s="44"/>
      <c r="L90" s="37">
        <f t="shared" ref="L90:L99" si="3">SUM(D90:K90)</f>
        <v>80</v>
      </c>
    </row>
    <row r="91" spans="2:12" x14ac:dyDescent="0.2">
      <c r="B91" s="11">
        <v>1112011</v>
      </c>
      <c r="C91" s="20" t="s">
        <v>76</v>
      </c>
      <c r="D91" s="31"/>
      <c r="E91" s="31">
        <v>10</v>
      </c>
      <c r="F91" s="31">
        <v>17</v>
      </c>
      <c r="G91" s="31">
        <v>23</v>
      </c>
      <c r="H91" s="31">
        <v>32</v>
      </c>
      <c r="I91" s="31"/>
      <c r="J91" s="44"/>
      <c r="K91" s="44"/>
      <c r="L91" s="37">
        <f t="shared" si="3"/>
        <v>82</v>
      </c>
    </row>
    <row r="92" spans="2:12" x14ac:dyDescent="0.2">
      <c r="B92" s="11">
        <v>1112003</v>
      </c>
      <c r="C92" s="20" t="s">
        <v>77</v>
      </c>
      <c r="D92" s="31"/>
      <c r="E92" s="31"/>
      <c r="F92" s="31">
        <v>2</v>
      </c>
      <c r="G92" s="31">
        <v>21</v>
      </c>
      <c r="H92" s="31">
        <v>26</v>
      </c>
      <c r="I92" s="31"/>
      <c r="J92" s="44"/>
      <c r="K92" s="44"/>
      <c r="L92" s="37">
        <f t="shared" si="3"/>
        <v>49</v>
      </c>
    </row>
    <row r="93" spans="2:12" x14ac:dyDescent="0.2">
      <c r="B93" s="11">
        <v>1112005</v>
      </c>
      <c r="C93" s="20" t="s">
        <v>78</v>
      </c>
      <c r="D93" s="31"/>
      <c r="E93" s="31"/>
      <c r="F93" s="31">
        <v>2</v>
      </c>
      <c r="G93" s="31">
        <v>21</v>
      </c>
      <c r="H93" s="31">
        <v>25</v>
      </c>
      <c r="I93" s="31"/>
      <c r="J93" s="44"/>
      <c r="K93" s="44"/>
      <c r="L93" s="37">
        <f t="shared" si="3"/>
        <v>48</v>
      </c>
    </row>
    <row r="94" spans="2:12" hidden="1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>
        <v>2</v>
      </c>
      <c r="G97" s="31">
        <v>17</v>
      </c>
      <c r="H97" s="31">
        <v>25</v>
      </c>
      <c r="I97" s="31"/>
      <c r="J97" s="44"/>
      <c r="K97" s="44"/>
      <c r="L97" s="37">
        <f t="shared" si="3"/>
        <v>44</v>
      </c>
    </row>
    <row r="98" spans="2:12" x14ac:dyDescent="0.2">
      <c r="B98" s="11">
        <v>1112013</v>
      </c>
      <c r="C98" s="20" t="s">
        <v>83</v>
      </c>
      <c r="D98" s="31"/>
      <c r="E98" s="31">
        <v>10</v>
      </c>
      <c r="F98" s="31">
        <v>15</v>
      </c>
      <c r="G98" s="31">
        <v>22</v>
      </c>
      <c r="H98" s="31">
        <v>33</v>
      </c>
      <c r="I98" s="31"/>
      <c r="J98" s="44"/>
      <c r="K98" s="44"/>
      <c r="L98" s="37">
        <f t="shared" si="3"/>
        <v>80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>
        <v>1</v>
      </c>
      <c r="E114" s="31"/>
      <c r="F114" s="31"/>
      <c r="G114" s="31">
        <v>3</v>
      </c>
      <c r="H114" s="31">
        <v>10</v>
      </c>
      <c r="I114" s="31"/>
      <c r="J114" s="44"/>
      <c r="K114" s="44"/>
      <c r="L114" s="37">
        <f t="shared" ref="L114:L139" si="6">SUM(D114:K114)</f>
        <v>14</v>
      </c>
    </row>
    <row r="115" spans="2:12" x14ac:dyDescent="0.2">
      <c r="B115" s="11">
        <v>1113171</v>
      </c>
      <c r="C115" s="22" t="s">
        <v>88</v>
      </c>
      <c r="D115" s="31">
        <v>1</v>
      </c>
      <c r="E115" s="31"/>
      <c r="F115" s="31"/>
      <c r="G115" s="31">
        <v>1</v>
      </c>
      <c r="H115" s="31">
        <v>14</v>
      </c>
      <c r="I115" s="31"/>
      <c r="J115" s="44"/>
      <c r="K115" s="44"/>
      <c r="L115" s="37">
        <f t="shared" si="6"/>
        <v>16</v>
      </c>
    </row>
    <row r="116" spans="2:12" x14ac:dyDescent="0.2">
      <c r="B116" s="11">
        <v>1113172</v>
      </c>
      <c r="C116" s="22" t="s">
        <v>89</v>
      </c>
      <c r="D116" s="31">
        <v>1</v>
      </c>
      <c r="E116" s="31"/>
      <c r="F116" s="31"/>
      <c r="G116" s="31"/>
      <c r="H116" s="31">
        <v>9</v>
      </c>
      <c r="I116" s="31"/>
      <c r="J116" s="44"/>
      <c r="K116" s="44"/>
      <c r="L116" s="37">
        <f t="shared" si="6"/>
        <v>10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>
        <v>1</v>
      </c>
      <c r="G119" s="31"/>
      <c r="H119" s="31"/>
      <c r="I119" s="31"/>
      <c r="J119" s="44"/>
      <c r="K119" s="44"/>
      <c r="L119" s="37">
        <f t="shared" si="6"/>
        <v>1</v>
      </c>
    </row>
    <row r="120" spans="2:12" x14ac:dyDescent="0.2">
      <c r="B120" s="11">
        <v>1100002</v>
      </c>
      <c r="C120" s="22" t="s">
        <v>123</v>
      </c>
      <c r="D120" s="31"/>
      <c r="E120" s="31">
        <v>4</v>
      </c>
      <c r="F120" s="31"/>
      <c r="G120" s="31"/>
      <c r="H120" s="31"/>
      <c r="I120" s="31"/>
      <c r="J120" s="44"/>
      <c r="K120" s="44"/>
      <c r="L120" s="37">
        <f t="shared" si="6"/>
        <v>4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8</v>
      </c>
      <c r="F123" s="31"/>
      <c r="G123" s="31">
        <v>270</v>
      </c>
      <c r="H123" s="31">
        <v>52</v>
      </c>
      <c r="I123" s="31"/>
      <c r="J123" s="44"/>
      <c r="K123" s="44"/>
      <c r="L123" s="37">
        <f t="shared" si="6"/>
        <v>330</v>
      </c>
    </row>
    <row r="124" spans="2:12" x14ac:dyDescent="0.2">
      <c r="B124" s="11">
        <v>1114502</v>
      </c>
      <c r="C124" s="22" t="s">
        <v>96</v>
      </c>
      <c r="D124" s="31"/>
      <c r="E124" s="31">
        <v>4</v>
      </c>
      <c r="F124" s="31">
        <v>2</v>
      </c>
      <c r="G124" s="31">
        <v>176</v>
      </c>
      <c r="H124" s="31">
        <v>49</v>
      </c>
      <c r="I124" s="31"/>
      <c r="J124" s="44"/>
      <c r="K124" s="44"/>
      <c r="L124" s="37">
        <f t="shared" si="6"/>
        <v>231</v>
      </c>
    </row>
    <row r="125" spans="2:12" x14ac:dyDescent="0.2">
      <c r="B125" s="11">
        <v>1114503</v>
      </c>
      <c r="C125" s="22" t="s">
        <v>97</v>
      </c>
      <c r="D125" s="31"/>
      <c r="E125" s="31">
        <v>2</v>
      </c>
      <c r="F125" s="31">
        <v>3</v>
      </c>
      <c r="G125" s="31">
        <v>175</v>
      </c>
      <c r="H125" s="31">
        <v>54</v>
      </c>
      <c r="I125" s="31"/>
      <c r="J125" s="44"/>
      <c r="K125" s="44"/>
      <c r="L125" s="37">
        <f t="shared" si="6"/>
        <v>234</v>
      </c>
    </row>
    <row r="126" spans="2:12" x14ac:dyDescent="0.2">
      <c r="B126" s="11">
        <v>1124021</v>
      </c>
      <c r="C126" s="22" t="s">
        <v>98</v>
      </c>
      <c r="D126" s="31"/>
      <c r="E126" s="31">
        <v>12</v>
      </c>
      <c r="F126" s="31">
        <v>37</v>
      </c>
      <c r="G126" s="31">
        <v>3</v>
      </c>
      <c r="H126" s="31">
        <v>48</v>
      </c>
      <c r="I126" s="31"/>
      <c r="J126" s="44"/>
      <c r="K126" s="44"/>
      <c r="L126" s="37">
        <f t="shared" si="6"/>
        <v>100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85" zoomScale="60" zoomScaleNormal="60" workbookViewId="0">
      <selection activeCell="G99" sqref="G99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2</v>
      </c>
      <c r="E7" s="31">
        <v>13</v>
      </c>
      <c r="F7" s="31">
        <v>13</v>
      </c>
      <c r="G7" s="31"/>
      <c r="H7" s="31"/>
      <c r="I7" s="31"/>
      <c r="J7" s="44"/>
      <c r="K7" s="44"/>
      <c r="L7" s="37">
        <f>SUM(D7:K7)</f>
        <v>28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2</v>
      </c>
      <c r="E25" s="31">
        <v>12</v>
      </c>
      <c r="F25" s="31"/>
      <c r="G25" s="31"/>
      <c r="H25" s="31"/>
      <c r="I25" s="31"/>
      <c r="J25" s="44"/>
      <c r="K25" s="44"/>
      <c r="L25" s="37">
        <f t="shared" si="0"/>
        <v>14</v>
      </c>
    </row>
    <row r="26" spans="2:12" x14ac:dyDescent="0.2">
      <c r="B26" s="11">
        <v>1004055</v>
      </c>
      <c r="C26" s="15" t="s">
        <v>108</v>
      </c>
      <c r="D26" s="31">
        <v>15</v>
      </c>
      <c r="E26" s="31">
        <v>10</v>
      </c>
      <c r="F26" s="31">
        <v>6</v>
      </c>
      <c r="G26" s="31">
        <v>79</v>
      </c>
      <c r="H26" s="31"/>
      <c r="I26" s="31"/>
      <c r="J26" s="44"/>
      <c r="K26" s="44"/>
      <c r="L26" s="37">
        <f t="shared" si="0"/>
        <v>110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>
        <v>1</v>
      </c>
      <c r="H40" s="31"/>
      <c r="I40" s="31"/>
      <c r="J40" s="44"/>
      <c r="K40" s="44"/>
      <c r="L40" s="37">
        <f t="shared" si="0"/>
        <v>1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>
        <v>1</v>
      </c>
      <c r="H41" s="31"/>
      <c r="I41" s="31"/>
      <c r="J41" s="44"/>
      <c r="K41" s="44"/>
      <c r="L41" s="37">
        <f t="shared" si="0"/>
        <v>1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>
        <v>1</v>
      </c>
      <c r="H42" s="31"/>
      <c r="I42" s="31"/>
      <c r="J42" s="44"/>
      <c r="K42" s="44"/>
      <c r="L42" s="37">
        <f t="shared" si="0"/>
        <v>1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>
        <v>1</v>
      </c>
      <c r="H43" s="31"/>
      <c r="I43" s="31"/>
      <c r="J43" s="44"/>
      <c r="K43" s="44"/>
      <c r="L43" s="37">
        <f t="shared" si="0"/>
        <v>1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>
        <v>1</v>
      </c>
      <c r="H44" s="31"/>
      <c r="I44" s="31"/>
      <c r="J44" s="44"/>
      <c r="K44" s="44"/>
      <c r="L44" s="37">
        <f t="shared" si="0"/>
        <v>1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2</v>
      </c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2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15</v>
      </c>
      <c r="E87" s="31">
        <v>3</v>
      </c>
      <c r="F87" s="31">
        <v>3</v>
      </c>
      <c r="G87" s="31">
        <v>91</v>
      </c>
      <c r="H87" s="31"/>
      <c r="I87" s="31"/>
      <c r="J87" s="44"/>
      <c r="K87" s="44"/>
      <c r="L87" s="37">
        <f t="shared" si="2"/>
        <v>112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>
        <v>5</v>
      </c>
      <c r="F90" s="31">
        <v>9</v>
      </c>
      <c r="G90" s="31">
        <v>46</v>
      </c>
      <c r="H90" s="31"/>
      <c r="I90" s="31"/>
      <c r="J90" s="44"/>
      <c r="K90" s="44"/>
      <c r="L90" s="37">
        <f t="shared" ref="L90:L99" si="3">SUM(D90:K90)</f>
        <v>60</v>
      </c>
    </row>
    <row r="91" spans="2:12" x14ac:dyDescent="0.2">
      <c r="B91" s="11">
        <v>1112011</v>
      </c>
      <c r="C91" s="20" t="s">
        <v>76</v>
      </c>
      <c r="D91" s="31"/>
      <c r="E91" s="31">
        <v>5</v>
      </c>
      <c r="F91" s="31">
        <v>11</v>
      </c>
      <c r="G91" s="31">
        <v>46</v>
      </c>
      <c r="H91" s="31"/>
      <c r="I91" s="31"/>
      <c r="J91" s="44"/>
      <c r="K91" s="44"/>
      <c r="L91" s="37">
        <f t="shared" si="3"/>
        <v>62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41</v>
      </c>
      <c r="H92" s="31"/>
      <c r="I92" s="31"/>
      <c r="J92" s="44"/>
      <c r="K92" s="44"/>
      <c r="L92" s="37">
        <f t="shared" si="3"/>
        <v>41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41</v>
      </c>
      <c r="H93" s="31"/>
      <c r="I93" s="31"/>
      <c r="J93" s="44"/>
      <c r="K93" s="44"/>
      <c r="L93" s="37">
        <f t="shared" si="3"/>
        <v>41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34</v>
      </c>
      <c r="H97" s="31"/>
      <c r="I97" s="31"/>
      <c r="J97" s="44"/>
      <c r="K97" s="44"/>
      <c r="L97" s="37">
        <f t="shared" si="3"/>
        <v>34</v>
      </c>
    </row>
    <row r="98" spans="2:12" x14ac:dyDescent="0.2">
      <c r="B98" s="11">
        <v>1112013</v>
      </c>
      <c r="C98" s="20" t="s">
        <v>83</v>
      </c>
      <c r="D98" s="31"/>
      <c r="E98" s="31">
        <v>5</v>
      </c>
      <c r="F98" s="31">
        <v>9</v>
      </c>
      <c r="G98" s="31">
        <v>47</v>
      </c>
      <c r="H98" s="31"/>
      <c r="I98" s="31"/>
      <c r="J98" s="44"/>
      <c r="K98" s="44"/>
      <c r="L98" s="37">
        <f t="shared" si="3"/>
        <v>61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>
        <v>3</v>
      </c>
      <c r="H114" s="31"/>
      <c r="I114" s="31"/>
      <c r="J114" s="44"/>
      <c r="K114" s="44"/>
      <c r="L114" s="37">
        <f t="shared" ref="L114:L139" si="6">SUM(D114:K114)</f>
        <v>3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>
        <v>5</v>
      </c>
      <c r="H115" s="31"/>
      <c r="I115" s="31"/>
      <c r="J115" s="44"/>
      <c r="K115" s="44"/>
      <c r="L115" s="37">
        <f t="shared" si="6"/>
        <v>5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4</v>
      </c>
      <c r="H116" s="31"/>
      <c r="I116" s="31"/>
      <c r="J116" s="44"/>
      <c r="K116" s="44"/>
      <c r="L116" s="37">
        <f t="shared" si="6"/>
        <v>4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>
        <v>1</v>
      </c>
      <c r="G123" s="31">
        <v>79</v>
      </c>
      <c r="H123" s="31"/>
      <c r="I123" s="31"/>
      <c r="J123" s="44"/>
      <c r="K123" s="44"/>
      <c r="L123" s="37">
        <f t="shared" si="6"/>
        <v>80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>
        <v>2</v>
      </c>
      <c r="G124" s="31">
        <v>80</v>
      </c>
      <c r="H124" s="31"/>
      <c r="I124" s="31"/>
      <c r="J124" s="44"/>
      <c r="K124" s="44"/>
      <c r="L124" s="37">
        <f t="shared" si="6"/>
        <v>82</v>
      </c>
    </row>
    <row r="125" spans="2:12" x14ac:dyDescent="0.2">
      <c r="B125" s="11">
        <v>1114503</v>
      </c>
      <c r="C125" s="22" t="s">
        <v>97</v>
      </c>
      <c r="D125" s="31"/>
      <c r="E125" s="31"/>
      <c r="F125" s="31">
        <v>1</v>
      </c>
      <c r="G125" s="31">
        <v>135</v>
      </c>
      <c r="H125" s="31"/>
      <c r="I125" s="31"/>
      <c r="J125" s="44"/>
      <c r="K125" s="44"/>
      <c r="L125" s="37">
        <f t="shared" si="6"/>
        <v>136</v>
      </c>
    </row>
    <row r="126" spans="2:12" x14ac:dyDescent="0.2">
      <c r="B126" s="11">
        <v>1124021</v>
      </c>
      <c r="C126" s="22" t="s">
        <v>98</v>
      </c>
      <c r="D126" s="31"/>
      <c r="E126" s="31">
        <v>16</v>
      </c>
      <c r="F126" s="31">
        <v>68</v>
      </c>
      <c r="G126" s="31">
        <v>216</v>
      </c>
      <c r="H126" s="31"/>
      <c r="I126" s="31"/>
      <c r="J126" s="44"/>
      <c r="K126" s="44"/>
      <c r="L126" s="37">
        <f t="shared" si="6"/>
        <v>300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G94" sqref="G9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>
        <v>1</v>
      </c>
      <c r="H7" s="31"/>
      <c r="I7" s="31"/>
      <c r="J7" s="44"/>
      <c r="K7" s="44"/>
      <c r="L7" s="37">
        <f>SUM(D7:K7)</f>
        <v>1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>
        <v>1</v>
      </c>
      <c r="H25" s="31"/>
      <c r="I25" s="31"/>
      <c r="J25" s="44"/>
      <c r="K25" s="44"/>
      <c r="L25" s="37">
        <f t="shared" si="0"/>
        <v>1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6</v>
      </c>
      <c r="H26" s="31"/>
      <c r="I26" s="31"/>
      <c r="J26" s="44"/>
      <c r="K26" s="44"/>
      <c r="L26" s="37">
        <f t="shared" si="0"/>
        <v>6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>
        <v>4</v>
      </c>
      <c r="H69" s="31"/>
      <c r="I69" s="31"/>
      <c r="J69" s="44"/>
      <c r="K69" s="44"/>
      <c r="L69" s="37">
        <f t="shared" ref="L69:L76" si="1">SUM(D69:K69)</f>
        <v>4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3</v>
      </c>
      <c r="H87" s="31"/>
      <c r="I87" s="31"/>
      <c r="J87" s="44"/>
      <c r="K87" s="44"/>
      <c r="L87" s="37">
        <f t="shared" si="2"/>
        <v>3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>
        <v>3</v>
      </c>
      <c r="H90" s="31"/>
      <c r="I90" s="31"/>
      <c r="J90" s="44"/>
      <c r="K90" s="44"/>
      <c r="L90" s="37">
        <f t="shared" ref="L90:L99" si="3">SUM(D90:K90)</f>
        <v>3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>
        <v>3</v>
      </c>
      <c r="H91" s="31"/>
      <c r="I91" s="31"/>
      <c r="J91" s="44"/>
      <c r="K91" s="44"/>
      <c r="L91" s="37">
        <f t="shared" si="3"/>
        <v>3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4</v>
      </c>
      <c r="H92" s="31"/>
      <c r="I92" s="31"/>
      <c r="J92" s="44"/>
      <c r="K92" s="44"/>
      <c r="L92" s="37">
        <f t="shared" si="3"/>
        <v>4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7</v>
      </c>
      <c r="H93" s="31"/>
      <c r="I93" s="31"/>
      <c r="J93" s="44"/>
      <c r="K93" s="44"/>
      <c r="L93" s="37">
        <f t="shared" si="3"/>
        <v>7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3</v>
      </c>
      <c r="H97" s="31"/>
      <c r="I97" s="31"/>
      <c r="J97" s="44"/>
      <c r="K97" s="44"/>
      <c r="L97" s="37">
        <f t="shared" si="3"/>
        <v>3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>
        <v>4</v>
      </c>
      <c r="H98" s="31"/>
      <c r="I98" s="31"/>
      <c r="J98" s="44"/>
      <c r="K98" s="44"/>
      <c r="L98" s="37">
        <f t="shared" si="3"/>
        <v>4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>
        <v>1</v>
      </c>
      <c r="H123" s="31"/>
      <c r="I123" s="31"/>
      <c r="J123" s="44"/>
      <c r="K123" s="44"/>
      <c r="L123" s="37">
        <f t="shared" si="6"/>
        <v>1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>
        <v>1</v>
      </c>
      <c r="H124" s="31"/>
      <c r="I124" s="31"/>
      <c r="J124" s="44"/>
      <c r="K124" s="44"/>
      <c r="L124" s="37">
        <f t="shared" si="6"/>
        <v>1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>
        <v>13</v>
      </c>
      <c r="H125" s="31"/>
      <c r="I125" s="31"/>
      <c r="J125" s="44"/>
      <c r="K125" s="44"/>
      <c r="L125" s="37">
        <f t="shared" si="6"/>
        <v>13</v>
      </c>
    </row>
    <row r="126" spans="2:12" x14ac:dyDescent="0.2">
      <c r="B126" s="11">
        <v>1124021</v>
      </c>
      <c r="C126" s="22" t="s">
        <v>98</v>
      </c>
      <c r="D126" s="31"/>
      <c r="E126" s="31">
        <v>10</v>
      </c>
      <c r="F126" s="31">
        <v>9</v>
      </c>
      <c r="G126" s="31">
        <v>346</v>
      </c>
      <c r="H126" s="31"/>
      <c r="I126" s="31"/>
      <c r="J126" s="44"/>
      <c r="K126" s="44"/>
      <c r="L126" s="37">
        <f t="shared" si="6"/>
        <v>365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X162"/>
  <sheetViews>
    <sheetView tabSelected="1" zoomScale="50" zoomScaleNormal="50" workbookViewId="0">
      <selection activeCell="M1" sqref="M1"/>
    </sheetView>
  </sheetViews>
  <sheetFormatPr defaultRowHeight="22.5" x14ac:dyDescent="0.25"/>
  <cols>
    <col min="2" max="2" width="22.125" style="24" customWidth="1"/>
    <col min="3" max="3" width="59.125" style="24" customWidth="1"/>
    <col min="4" max="8" width="14.375" style="16" customWidth="1"/>
    <col min="9" max="11" width="14.375" style="16" hidden="1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hidden="1" customWidth="1"/>
    <col min="20" max="20" width="22.75" style="46" customWidth="1"/>
  </cols>
  <sheetData>
    <row r="1" spans="2:17" x14ac:dyDescent="0.25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5">
      <c r="B7" s="11">
        <v>1111002</v>
      </c>
      <c r="C7" s="15" t="s">
        <v>107</v>
      </c>
      <c r="D7" s="31">
        <f>'เย็น '!D7+'เช้า '!D7+บ่าย!D7</f>
        <v>7</v>
      </c>
      <c r="E7" s="31">
        <f>'เย็น '!E7+'เช้า '!E7+บ่าย!E7</f>
        <v>41</v>
      </c>
      <c r="F7" s="31">
        <f>'เย็น '!F7+'เช้า '!F7+บ่าย!F7</f>
        <v>20</v>
      </c>
      <c r="G7" s="31">
        <f>'เย็น '!G7+'เช้า '!G7+บ่าย!G7</f>
        <v>42</v>
      </c>
      <c r="H7" s="31">
        <f>'เย็น '!H7+'เช้า '!H7+บ่าย!H7</f>
        <v>16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126</v>
      </c>
      <c r="M7" s="11"/>
      <c r="N7" s="11">
        <v>1460</v>
      </c>
      <c r="O7" s="11"/>
      <c r="P7" s="11"/>
      <c r="Q7" s="45">
        <f>(M7+N7+O7+P7)-L7</f>
        <v>1334</v>
      </c>
    </row>
    <row r="8" spans="2:17" hidden="1" x14ac:dyDescent="0.2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5">
      <c r="B25" s="11">
        <v>1111056</v>
      </c>
      <c r="C25" s="15" t="s">
        <v>28</v>
      </c>
      <c r="D25" s="31">
        <f>'เย็น '!D25+'เช้า '!D25+บ่าย!D25</f>
        <v>7</v>
      </c>
      <c r="E25" s="31">
        <f>'เย็น '!E25+'เช้า '!E25+บ่าย!E25</f>
        <v>21</v>
      </c>
      <c r="F25" s="31">
        <f>'เย็น '!F25+'เช้า '!F25+บ่าย!F25</f>
        <v>4</v>
      </c>
      <c r="G25" s="31">
        <f>'เย็น '!G25+'เช้า '!G25+บ่าย!G25</f>
        <v>3</v>
      </c>
      <c r="H25" s="31">
        <f>'เย็น '!H25+'เช้า '!H25+บ่าย!H25</f>
        <v>1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36</v>
      </c>
      <c r="M25" s="11"/>
      <c r="N25" s="11">
        <v>67</v>
      </c>
      <c r="O25" s="11"/>
      <c r="P25" s="11"/>
      <c r="Q25" s="45">
        <f t="shared" si="1"/>
        <v>31</v>
      </c>
    </row>
    <row r="26" spans="2:17" x14ac:dyDescent="0.25">
      <c r="B26" s="11">
        <v>1004055</v>
      </c>
      <c r="C26" s="15" t="s">
        <v>108</v>
      </c>
      <c r="D26" s="31">
        <f>'เย็น '!D26+'เช้า '!D26+บ่าย!D26</f>
        <v>15</v>
      </c>
      <c r="E26" s="31">
        <f>'เย็น '!E26+'เช้า '!E26+บ่าย!E26</f>
        <v>31</v>
      </c>
      <c r="F26" s="31">
        <f>'เย็น '!F26+'เช้า '!F26+บ่าย!F26</f>
        <v>6</v>
      </c>
      <c r="G26" s="31">
        <f>'เย็น '!G26+'เช้า '!G26+บ่าย!G26</f>
        <v>109</v>
      </c>
      <c r="H26" s="31">
        <f>'เย็น '!H26+'เช้า '!H26+บ่าย!H26</f>
        <v>48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209</v>
      </c>
      <c r="M26" s="11"/>
      <c r="N26" s="11">
        <v>117</v>
      </c>
      <c r="O26" s="11"/>
      <c r="P26" s="11"/>
      <c r="Q26" s="45">
        <f t="shared" si="1"/>
        <v>-92</v>
      </c>
    </row>
    <row r="27" spans="2:17" hidden="1" x14ac:dyDescent="0.2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5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1</v>
      </c>
      <c r="H40" s="31">
        <f>'เย็น '!H40+'เช้า '!H40+บ่าย!H40</f>
        <v>6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7</v>
      </c>
      <c r="M40" s="11"/>
      <c r="N40" s="11">
        <v>229</v>
      </c>
      <c r="O40" s="11"/>
      <c r="P40" s="11"/>
      <c r="Q40" s="45">
        <f t="shared" si="1"/>
        <v>222</v>
      </c>
    </row>
    <row r="41" spans="2:17" x14ac:dyDescent="0.25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1</v>
      </c>
      <c r="H41" s="31">
        <f>'เย็น '!H41+'เช้า '!H41+บ่าย!H41</f>
        <v>6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7</v>
      </c>
      <c r="M41" s="11"/>
      <c r="N41" s="11"/>
      <c r="O41" s="11"/>
      <c r="P41" s="11"/>
      <c r="Q41" s="45">
        <f t="shared" si="1"/>
        <v>-7</v>
      </c>
    </row>
    <row r="42" spans="2:17" x14ac:dyDescent="0.25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1</v>
      </c>
      <c r="H42" s="31">
        <f>'เย็น '!H42+'เช้า '!H42+บ่าย!H42</f>
        <v>15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16</v>
      </c>
      <c r="M42" s="11"/>
      <c r="N42" s="11"/>
      <c r="O42" s="11"/>
      <c r="P42" s="11"/>
      <c r="Q42" s="45">
        <f t="shared" si="1"/>
        <v>-16</v>
      </c>
    </row>
    <row r="43" spans="2:17" x14ac:dyDescent="0.25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1</v>
      </c>
      <c r="H43" s="31">
        <f>'เย็น '!H43+'เช้า '!H43+บ่าย!H43</f>
        <v>1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2</v>
      </c>
      <c r="M43" s="11"/>
      <c r="N43" s="11"/>
      <c r="O43" s="11"/>
      <c r="P43" s="11"/>
      <c r="Q43" s="45">
        <f t="shared" si="1"/>
        <v>-2</v>
      </c>
    </row>
    <row r="44" spans="2:17" x14ac:dyDescent="0.25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1</v>
      </c>
      <c r="H44" s="31">
        <f>'เย็น '!H44+'เช้า '!H44+บ่าย!H44</f>
        <v>4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5</v>
      </c>
      <c r="M44" s="11"/>
      <c r="N44" s="11">
        <v>40</v>
      </c>
      <c r="O44" s="11"/>
      <c r="P44" s="11"/>
      <c r="Q44" s="45">
        <f t="shared" si="1"/>
        <v>35</v>
      </c>
    </row>
    <row r="45" spans="2:17" x14ac:dyDescent="0.25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x14ac:dyDescent="0.25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5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5</v>
      </c>
      <c r="M46" s="11"/>
      <c r="N46" s="11">
        <v>153</v>
      </c>
      <c r="O46" s="11"/>
      <c r="P46" s="11"/>
      <c r="Q46" s="45">
        <f t="shared" si="1"/>
        <v>148</v>
      </c>
    </row>
    <row r="47" spans="2:17" x14ac:dyDescent="0.25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4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4</v>
      </c>
      <c r="M47" s="11"/>
      <c r="N47" s="11"/>
      <c r="O47" s="11"/>
      <c r="P47" s="11"/>
      <c r="Q47" s="45">
        <f t="shared" si="1"/>
        <v>-4</v>
      </c>
    </row>
    <row r="48" spans="2:17" x14ac:dyDescent="0.25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1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1</v>
      </c>
      <c r="M48" s="11"/>
      <c r="N48" s="11"/>
      <c r="O48" s="11"/>
      <c r="P48" s="11"/>
      <c r="Q48" s="45">
        <f t="shared" si="1"/>
        <v>-1</v>
      </c>
    </row>
    <row r="49" spans="2:19" x14ac:dyDescent="0.25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5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5</v>
      </c>
      <c r="M49" s="11"/>
      <c r="N49" s="11">
        <v>228</v>
      </c>
      <c r="O49" s="11"/>
      <c r="P49" s="11"/>
      <c r="Q49" s="45">
        <f t="shared" si="1"/>
        <v>223</v>
      </c>
    </row>
    <row r="50" spans="2:19" x14ac:dyDescent="0.25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15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15</v>
      </c>
      <c r="M50" s="11"/>
      <c r="N50" s="11"/>
      <c r="O50" s="11"/>
      <c r="P50" s="11"/>
      <c r="Q50" s="45">
        <f t="shared" si="1"/>
        <v>-15</v>
      </c>
    </row>
    <row r="51" spans="2:19" x14ac:dyDescent="0.25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5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5</v>
      </c>
      <c r="M51" s="11"/>
      <c r="N51" s="11">
        <v>82</v>
      </c>
      <c r="O51" s="11"/>
      <c r="P51" s="11"/>
      <c r="Q51" s="45">
        <f t="shared" si="1"/>
        <v>77</v>
      </c>
    </row>
    <row r="52" spans="2:19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5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5</v>
      </c>
      <c r="M52" s="11"/>
      <c r="N52" s="11">
        <v>75</v>
      </c>
      <c r="O52" s="11"/>
      <c r="P52" s="11"/>
      <c r="Q52" s="45">
        <f t="shared" si="1"/>
        <v>70</v>
      </c>
      <c r="S52" s="47"/>
    </row>
    <row r="53" spans="2:19" x14ac:dyDescent="0.2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19" x14ac:dyDescent="0.2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19" hidden="1" x14ac:dyDescent="0.2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19" x14ac:dyDescent="0.25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8</v>
      </c>
      <c r="G56" s="31">
        <f>'เย็น '!G56+'เช้า '!G56+บ่าย!G56</f>
        <v>0</v>
      </c>
      <c r="H56" s="31">
        <f>'เย็น '!H56+'เช้า '!H56+บ่าย!H56</f>
        <v>2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10</v>
      </c>
      <c r="M56" s="11"/>
      <c r="N56" s="11">
        <v>62</v>
      </c>
      <c r="O56" s="11"/>
      <c r="P56" s="11"/>
      <c r="Q56" s="45">
        <f t="shared" si="1"/>
        <v>52</v>
      </c>
    </row>
    <row r="57" spans="2:19" x14ac:dyDescent="0.25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8</v>
      </c>
      <c r="G57" s="31">
        <f>'เย็น '!G57+'เช้า '!G57+บ่าย!G57</f>
        <v>0</v>
      </c>
      <c r="H57" s="31">
        <f>'เย็น '!H57+'เช้า '!H57+บ่าย!H57</f>
        <v>2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10</v>
      </c>
      <c r="M57" s="11"/>
      <c r="N57" s="11">
        <v>36</v>
      </c>
      <c r="O57" s="11"/>
      <c r="P57" s="11"/>
      <c r="Q57" s="45">
        <f t="shared" si="1"/>
        <v>26</v>
      </c>
    </row>
    <row r="58" spans="2:19" x14ac:dyDescent="0.25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8</v>
      </c>
      <c r="G58" s="31">
        <f>'เย็น '!G58+'เช้า '!G58+บ่าย!G58</f>
        <v>0</v>
      </c>
      <c r="H58" s="31">
        <f>'เย็น '!H58+'เช้า '!H58+บ่าย!H58</f>
        <v>2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10</v>
      </c>
      <c r="M58" s="11"/>
      <c r="N58" s="11">
        <v>41</v>
      </c>
      <c r="O58" s="11"/>
      <c r="P58" s="11"/>
      <c r="Q58" s="45">
        <f t="shared" si="1"/>
        <v>31</v>
      </c>
    </row>
    <row r="59" spans="2:19" x14ac:dyDescent="0.25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8</v>
      </c>
      <c r="G59" s="31">
        <f>'เย็น '!G59+'เช้า '!G59+บ่าย!G59</f>
        <v>0</v>
      </c>
      <c r="H59" s="31">
        <f>'เย็น '!H59+'เช้า '!H59+บ่าย!H59</f>
        <v>2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10</v>
      </c>
      <c r="M59" s="11"/>
      <c r="N59" s="11"/>
      <c r="O59" s="11"/>
      <c r="P59" s="11"/>
      <c r="Q59" s="45">
        <f t="shared" si="1"/>
        <v>-10</v>
      </c>
    </row>
    <row r="60" spans="2:19" x14ac:dyDescent="0.25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8</v>
      </c>
      <c r="G60" s="31">
        <f>'เย็น '!G60+'เช้า '!G60+บ่าย!G60</f>
        <v>0</v>
      </c>
      <c r="H60" s="31">
        <f>'เย็น '!H60+'เช้า '!H60+บ่าย!H60</f>
        <v>2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10</v>
      </c>
      <c r="M60" s="11"/>
      <c r="N60" s="11"/>
      <c r="O60" s="11"/>
      <c r="P60" s="11"/>
      <c r="Q60" s="45">
        <f t="shared" si="1"/>
        <v>-10</v>
      </c>
    </row>
    <row r="61" spans="2:19" x14ac:dyDescent="0.25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8</v>
      </c>
      <c r="G61" s="31">
        <f>'เย็น '!G61+'เช้า '!G61+บ่าย!G61</f>
        <v>0</v>
      </c>
      <c r="H61" s="31">
        <f>'เย็น '!H61+'เช้า '!H61+บ่าย!H61</f>
        <v>2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10</v>
      </c>
      <c r="M61" s="11"/>
      <c r="N61" s="11">
        <v>38</v>
      </c>
      <c r="O61" s="11"/>
      <c r="P61" s="11"/>
      <c r="Q61" s="45">
        <f t="shared" si="1"/>
        <v>28</v>
      </c>
    </row>
    <row r="62" spans="2:19" x14ac:dyDescent="0.25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8</v>
      </c>
      <c r="G62" s="31">
        <f>'เย็น '!G62+'เช้า '!G62+บ่าย!G62</f>
        <v>0</v>
      </c>
      <c r="H62" s="31">
        <f>'เย็น '!H62+'เช้า '!H62+บ่าย!H62</f>
        <v>2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10</v>
      </c>
      <c r="M62" s="11"/>
      <c r="N62" s="11"/>
      <c r="O62" s="11"/>
      <c r="P62" s="11"/>
      <c r="Q62" s="45">
        <f t="shared" si="1"/>
        <v>-10</v>
      </c>
    </row>
    <row r="63" spans="2:19" x14ac:dyDescent="0.25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8</v>
      </c>
      <c r="G63" s="31">
        <f>'เย็น '!G63+'เช้า '!G63+บ่าย!G63</f>
        <v>0</v>
      </c>
      <c r="H63" s="31">
        <f>'เย็น '!H63+'เช้า '!H63+บ่าย!H63</f>
        <v>2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10</v>
      </c>
      <c r="M63" s="11"/>
      <c r="N63" s="11"/>
      <c r="O63" s="11"/>
      <c r="P63" s="11"/>
      <c r="Q63" s="45">
        <f t="shared" si="1"/>
        <v>-10</v>
      </c>
    </row>
    <row r="64" spans="2:19" x14ac:dyDescent="0.25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8</v>
      </c>
      <c r="G64" s="31">
        <f>'เย็น '!G64+'เช้า '!G64+บ่าย!G64</f>
        <v>0</v>
      </c>
      <c r="H64" s="31">
        <f>'เย็น '!H64+'เช้า '!H64+บ่าย!H64</f>
        <v>2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10</v>
      </c>
      <c r="M64" s="11"/>
      <c r="N64" s="11"/>
      <c r="O64" s="11"/>
      <c r="P64" s="11"/>
      <c r="Q64" s="45">
        <f t="shared" si="1"/>
        <v>-10</v>
      </c>
    </row>
    <row r="65" spans="2:19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8</v>
      </c>
      <c r="G65" s="31">
        <f>'เย็น '!G65+'เช้า '!G65+บ่าย!G65</f>
        <v>0</v>
      </c>
      <c r="H65" s="31">
        <f>'เย็น '!H65+'เช้า '!H65+บ่าย!H65</f>
        <v>2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10</v>
      </c>
      <c r="M65" s="11"/>
      <c r="N65" s="11">
        <v>44</v>
      </c>
      <c r="O65" s="11"/>
      <c r="P65" s="11"/>
      <c r="Q65" s="45">
        <f t="shared" si="1"/>
        <v>34</v>
      </c>
      <c r="S65" s="48"/>
    </row>
    <row r="66" spans="2:19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19" hidden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19" ht="19.5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19" x14ac:dyDescent="0.25">
      <c r="B69" s="11">
        <v>1111009</v>
      </c>
      <c r="C69" s="20" t="s">
        <v>56</v>
      </c>
      <c r="D69" s="31">
        <f>'เย็น '!D69+'เช้า '!D69+บ่าย!D69</f>
        <v>7</v>
      </c>
      <c r="E69" s="31">
        <f>'เย็น '!E69+'เช้า '!E69+บ่าย!E69</f>
        <v>0</v>
      </c>
      <c r="F69" s="31">
        <f>'เย็น '!F69+'เช้า '!F69+บ่าย!F69</f>
        <v>4</v>
      </c>
      <c r="G69" s="31">
        <f>'เย็น '!G69+'เช้า '!G69+บ่าย!G69</f>
        <v>8</v>
      </c>
      <c r="H69" s="31">
        <f>'เย็น '!H69+'เช้า '!H69+บ่าย!H69</f>
        <v>7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26</v>
      </c>
      <c r="M69" s="11"/>
      <c r="N69" s="11">
        <v>330</v>
      </c>
      <c r="O69" s="11"/>
      <c r="P69" s="11"/>
      <c r="Q69" s="45">
        <f t="shared" ref="Q69:Q76" si="5">(M69+N69+O69+P69)-L69</f>
        <v>304</v>
      </c>
    </row>
    <row r="70" spans="2:19" hidden="1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19" hidden="1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19" hidden="1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19" hidden="1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19" hidden="1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19" hidden="1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19" hidden="1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19" hidden="1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19" ht="19.5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19" hidden="1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19" hidden="1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23" hidden="1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23" hidden="1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23" hidden="1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23" hidden="1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23" hidden="1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23" hidden="1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23" x14ac:dyDescent="0.25">
      <c r="B87" s="11">
        <v>1111008</v>
      </c>
      <c r="C87" s="20" t="s">
        <v>73</v>
      </c>
      <c r="D87" s="31">
        <f>'เย็น '!D87+'เช้า '!D87+บ่าย!D87</f>
        <v>25</v>
      </c>
      <c r="E87" s="31">
        <f>'เย็น '!E87+'เช้า '!E87+บ่าย!E87</f>
        <v>12</v>
      </c>
      <c r="F87" s="31">
        <f>'เย็น '!F87+'เช้า '!F87+บ่าย!F87</f>
        <v>3</v>
      </c>
      <c r="G87" s="31">
        <f>'เย็น '!G87+'เช้า '!G87+บ่าย!G87</f>
        <v>115</v>
      </c>
      <c r="H87" s="31">
        <f>'เย็น '!H87+'เช้า '!H87+บ่าย!H87</f>
        <v>64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219</v>
      </c>
      <c r="M87" s="11"/>
      <c r="N87" s="11">
        <v>783</v>
      </c>
      <c r="O87" s="11"/>
      <c r="P87" s="11"/>
      <c r="Q87" s="45">
        <f t="shared" si="8"/>
        <v>564</v>
      </c>
    </row>
    <row r="88" spans="2:23" hidden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23" ht="19.5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23" x14ac:dyDescent="0.25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15</v>
      </c>
      <c r="F90" s="31">
        <f>'เย็น '!F90+'เช้า '!F90+บ่าย!F90</f>
        <v>24</v>
      </c>
      <c r="G90" s="31">
        <f>'เย็น '!G90+'เช้า '!G90+บ่าย!G90</f>
        <v>72</v>
      </c>
      <c r="H90" s="31">
        <f>'เย็น '!H90+'เช้า '!H90+บ่าย!H90</f>
        <v>32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143</v>
      </c>
      <c r="M90" s="11"/>
      <c r="N90" s="11">
        <v>724</v>
      </c>
      <c r="O90" s="11"/>
      <c r="P90" s="11"/>
      <c r="Q90" s="45">
        <f t="shared" ref="Q90:Q99" si="10">(M90+N90+O90+P90)-L90</f>
        <v>581</v>
      </c>
      <c r="V90" s="46"/>
      <c r="W90" s="47"/>
    </row>
    <row r="91" spans="2:23" x14ac:dyDescent="0.25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15</v>
      </c>
      <c r="F91" s="31">
        <f>'เย็น '!F91+'เช้า '!F91+บ่าย!F91</f>
        <v>28</v>
      </c>
      <c r="G91" s="31">
        <f>'เย็น '!G91+'เช้า '!G91+บ่าย!G91</f>
        <v>72</v>
      </c>
      <c r="H91" s="31">
        <f>'เย็น '!H91+'เช้า '!H91+บ่าย!H91</f>
        <v>32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147</v>
      </c>
      <c r="M91" s="11"/>
      <c r="N91" s="11">
        <v>641</v>
      </c>
      <c r="O91" s="11"/>
      <c r="P91" s="11"/>
      <c r="Q91" s="45">
        <f t="shared" si="10"/>
        <v>494</v>
      </c>
      <c r="V91" s="46"/>
      <c r="W91" s="47"/>
    </row>
    <row r="92" spans="2:23" x14ac:dyDescent="0.25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66</v>
      </c>
      <c r="H92" s="31">
        <f>'เย็น '!H92+'เช้า '!H92+บ่าย!H92</f>
        <v>26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94</v>
      </c>
      <c r="M92" s="11"/>
      <c r="N92" s="11">
        <v>895</v>
      </c>
      <c r="O92" s="11"/>
      <c r="P92" s="11"/>
      <c r="Q92" s="45">
        <f t="shared" si="10"/>
        <v>801</v>
      </c>
      <c r="V92" s="46"/>
      <c r="W92" s="47"/>
    </row>
    <row r="93" spans="2:23" x14ac:dyDescent="0.25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2</v>
      </c>
      <c r="G93" s="31">
        <f>'เย็น '!G93+'เช้า '!G93+บ่าย!G93</f>
        <v>69</v>
      </c>
      <c r="H93" s="31">
        <f>'เย็น '!H93+'เช้า '!H93+บ่าย!H93</f>
        <v>25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96</v>
      </c>
      <c r="M93" s="11"/>
      <c r="N93" s="11">
        <v>1289</v>
      </c>
      <c r="O93" s="11"/>
      <c r="P93" s="11"/>
      <c r="Q93" s="45">
        <f t="shared" si="10"/>
        <v>1193</v>
      </c>
      <c r="V93" s="46"/>
      <c r="W93" s="47"/>
    </row>
    <row r="94" spans="2:23" hidden="1" x14ac:dyDescent="0.2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  <c r="V94" s="46"/>
      <c r="W94" s="47"/>
    </row>
    <row r="95" spans="2:23" hidden="1" x14ac:dyDescent="0.2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  <c r="V95" s="46"/>
      <c r="W95" s="47"/>
    </row>
    <row r="96" spans="2:23" hidden="1" x14ac:dyDescent="0.25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  <c r="V96" s="46"/>
      <c r="W96" s="47"/>
    </row>
    <row r="97" spans="2:23" x14ac:dyDescent="0.25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2</v>
      </c>
      <c r="G97" s="31">
        <f>'เย็น '!G97+'เช้า '!G97+บ่าย!G97</f>
        <v>54</v>
      </c>
      <c r="H97" s="31">
        <f>'เย็น '!H97+'เช้า '!H97+บ่าย!H97</f>
        <v>25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81</v>
      </c>
      <c r="M97" s="11"/>
      <c r="N97" s="11">
        <v>963</v>
      </c>
      <c r="O97" s="11"/>
      <c r="P97" s="11"/>
      <c r="Q97" s="45">
        <f t="shared" si="10"/>
        <v>882</v>
      </c>
      <c r="V97" s="46"/>
      <c r="W97" s="47"/>
    </row>
    <row r="98" spans="2:23" x14ac:dyDescent="0.25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15</v>
      </c>
      <c r="F98" s="31">
        <f>'เย็น '!F98+'เช้า '!F98+บ่าย!F98</f>
        <v>24</v>
      </c>
      <c r="G98" s="31">
        <f>'เย็น '!G98+'เช้า '!G98+บ่าย!G98</f>
        <v>73</v>
      </c>
      <c r="H98" s="31">
        <f>'เย็น '!H98+'เช้า '!H98+บ่าย!H98</f>
        <v>33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145</v>
      </c>
      <c r="M98" s="11"/>
      <c r="N98" s="11">
        <v>991</v>
      </c>
      <c r="O98" s="11"/>
      <c r="P98" s="11"/>
      <c r="Q98" s="45">
        <f t="shared" si="10"/>
        <v>846</v>
      </c>
      <c r="V98" s="46"/>
      <c r="W98" s="47"/>
    </row>
    <row r="99" spans="2:23" hidden="1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3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706</v>
      </c>
      <c r="M100" s="11"/>
      <c r="N100" s="11"/>
      <c r="O100" s="11"/>
      <c r="P100" s="11"/>
      <c r="Q100" s="45"/>
    </row>
    <row r="101" spans="2:23" ht="19.5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23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23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23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3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3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3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3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3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3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23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3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24" ht="19.5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  <c r="X113" s="47"/>
    </row>
    <row r="114" spans="2:24" x14ac:dyDescent="0.25">
      <c r="B114" s="11">
        <v>1113170</v>
      </c>
      <c r="C114" s="22" t="s">
        <v>87</v>
      </c>
      <c r="D114" s="31">
        <f>'เย็น '!D114+'เช้า '!D114+บ่าย!D114</f>
        <v>1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6</v>
      </c>
      <c r="H114" s="31">
        <f>'เย็น '!H114+'เช้า '!H114+บ่าย!H114</f>
        <v>10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17</v>
      </c>
      <c r="M114" s="11"/>
      <c r="N114" s="11">
        <v>174</v>
      </c>
      <c r="O114" s="11"/>
      <c r="P114" s="11"/>
      <c r="Q114" s="45">
        <f t="shared" ref="Q114:Q139" si="16">(M114+N114+O114+P114)-L114</f>
        <v>157</v>
      </c>
    </row>
    <row r="115" spans="2:24" x14ac:dyDescent="0.25">
      <c r="B115" s="11">
        <v>1113171</v>
      </c>
      <c r="C115" s="22" t="s">
        <v>88</v>
      </c>
      <c r="D115" s="31">
        <f>'เย็น '!D115+'เช้า '!D115+บ่าย!D115</f>
        <v>1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6</v>
      </c>
      <c r="H115" s="31">
        <f>'เย็น '!H115+'เช้า '!H115+บ่าย!H115</f>
        <v>14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21</v>
      </c>
      <c r="M115" s="11"/>
      <c r="N115" s="11">
        <v>201</v>
      </c>
      <c r="O115" s="11"/>
      <c r="P115" s="11"/>
      <c r="Q115" s="45">
        <f t="shared" si="16"/>
        <v>180</v>
      </c>
    </row>
    <row r="116" spans="2:24" x14ac:dyDescent="0.25">
      <c r="B116" s="11">
        <v>1113172</v>
      </c>
      <c r="C116" s="22" t="s">
        <v>89</v>
      </c>
      <c r="D116" s="31">
        <f>'เย็น '!D116+'เช้า '!D116+บ่าย!D116</f>
        <v>1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5</v>
      </c>
      <c r="H116" s="31">
        <f>'เย็น '!H116+'เช้า '!H116+บ่าย!H116</f>
        <v>9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15</v>
      </c>
      <c r="M116" s="11"/>
      <c r="N116" s="11">
        <v>153</v>
      </c>
      <c r="O116" s="11"/>
      <c r="P116" s="11"/>
      <c r="Q116" s="45">
        <f t="shared" si="16"/>
        <v>138</v>
      </c>
    </row>
    <row r="117" spans="2:24" x14ac:dyDescent="0.2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24" x14ac:dyDescent="0.2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>
        <v>49</v>
      </c>
      <c r="O118" s="11"/>
      <c r="P118" s="11"/>
      <c r="Q118" s="45">
        <f t="shared" si="16"/>
        <v>49</v>
      </c>
    </row>
    <row r="119" spans="2:24" x14ac:dyDescent="0.2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1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1</v>
      </c>
      <c r="M119" s="11"/>
      <c r="N119" s="11">
        <v>372</v>
      </c>
      <c r="O119" s="11"/>
      <c r="P119" s="11"/>
      <c r="Q119" s="45">
        <f t="shared" si="16"/>
        <v>371</v>
      </c>
    </row>
    <row r="120" spans="2:24" x14ac:dyDescent="0.2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4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4</v>
      </c>
      <c r="M120" s="11"/>
      <c r="N120" s="11"/>
      <c r="O120" s="11"/>
      <c r="P120" s="11"/>
      <c r="Q120" s="45">
        <f t="shared" si="16"/>
        <v>-4</v>
      </c>
    </row>
    <row r="121" spans="2:24" x14ac:dyDescent="0.25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2</v>
      </c>
      <c r="O121" s="11"/>
      <c r="P121" s="11"/>
      <c r="Q121" s="45">
        <f t="shared" si="16"/>
        <v>2</v>
      </c>
    </row>
    <row r="122" spans="2:24" x14ac:dyDescent="0.2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24" x14ac:dyDescent="0.25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8</v>
      </c>
      <c r="F123" s="31">
        <f>'เย็น '!F123+'เช้า '!F123+บ่าย!F123</f>
        <v>1</v>
      </c>
      <c r="G123" s="31">
        <f>'เย็น '!G123+'เช้า '!G123+บ่าย!G123</f>
        <v>350</v>
      </c>
      <c r="H123" s="31">
        <f>'เย็น '!H123+'เช้า '!H123+บ่าย!H123</f>
        <v>52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411</v>
      </c>
      <c r="M123" s="11"/>
      <c r="N123" s="11">
        <v>396</v>
      </c>
      <c r="O123" s="11"/>
      <c r="P123" s="11"/>
      <c r="Q123" s="45">
        <f t="shared" si="16"/>
        <v>-15</v>
      </c>
    </row>
    <row r="124" spans="2:24" x14ac:dyDescent="0.25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4</v>
      </c>
      <c r="F124" s="31">
        <f>'เย็น '!F124+'เช้า '!F124+บ่าย!F124</f>
        <v>4</v>
      </c>
      <c r="G124" s="31">
        <f>'เย็น '!G124+'เช้า '!G124+บ่าย!G124</f>
        <v>257</v>
      </c>
      <c r="H124" s="31">
        <f>'เย็น '!H124+'เช้า '!H124+บ่าย!H124</f>
        <v>49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314</v>
      </c>
      <c r="M124" s="11"/>
      <c r="N124" s="11">
        <v>302</v>
      </c>
      <c r="O124" s="11"/>
      <c r="P124" s="11"/>
      <c r="Q124" s="45">
        <f t="shared" si="16"/>
        <v>-12</v>
      </c>
    </row>
    <row r="125" spans="2:24" x14ac:dyDescent="0.25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2</v>
      </c>
      <c r="F125" s="31">
        <f>'เย็น '!F125+'เช้า '!F125+บ่าย!F125</f>
        <v>4</v>
      </c>
      <c r="G125" s="31">
        <f>'เย็น '!G125+'เช้า '!G125+บ่าย!G125</f>
        <v>323</v>
      </c>
      <c r="H125" s="31">
        <f>'เย็น '!H125+'เช้า '!H125+บ่าย!H125</f>
        <v>54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383</v>
      </c>
      <c r="M125" s="11"/>
      <c r="N125" s="11">
        <v>414</v>
      </c>
      <c r="O125" s="11"/>
      <c r="P125" s="11"/>
      <c r="Q125" s="45">
        <f t="shared" si="16"/>
        <v>31</v>
      </c>
    </row>
    <row r="126" spans="2:24" x14ac:dyDescent="0.25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38</v>
      </c>
      <c r="F126" s="31">
        <f>'เย็น '!F126+'เช้า '!F126+บ่าย!F126</f>
        <v>114</v>
      </c>
      <c r="G126" s="31">
        <f>'เย็น '!G126+'เช้า '!G126+บ่าย!G126</f>
        <v>565</v>
      </c>
      <c r="H126" s="31">
        <f>'เย็น '!H126+'เช้า '!H126+บ่าย!H126</f>
        <v>48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765</v>
      </c>
      <c r="M126" s="11"/>
      <c r="N126" s="11">
        <v>831</v>
      </c>
      <c r="O126" s="11"/>
      <c r="P126" s="11"/>
      <c r="Q126" s="45">
        <f t="shared" si="16"/>
        <v>66</v>
      </c>
    </row>
    <row r="127" spans="2:24" x14ac:dyDescent="0.2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24" x14ac:dyDescent="0.2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>
        <v>12</v>
      </c>
      <c r="O130" s="11"/>
      <c r="P130" s="11"/>
      <c r="Q130" s="45">
        <f t="shared" si="16"/>
        <v>12</v>
      </c>
    </row>
    <row r="131" spans="2:17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5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5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5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5">
      <c r="C140" s="36"/>
      <c r="D140" s="37">
        <f>SUM(D114:D139,D90:D99,D79:D87,D69:D76,D7:D66,D102:D111)</f>
        <v>64</v>
      </c>
      <c r="E140" s="37">
        <f t="shared" ref="E140:K140" si="17">SUM(E114:E139,E90:E99,E79:E87,E69:E76,E7:E66,E102:E111)</f>
        <v>206</v>
      </c>
      <c r="F140" s="37">
        <f t="shared" si="17"/>
        <v>323</v>
      </c>
      <c r="G140" s="37">
        <f t="shared" si="17"/>
        <v>2200</v>
      </c>
      <c r="H140" s="37">
        <f t="shared" si="17"/>
        <v>637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3430</v>
      </c>
      <c r="M140" s="31">
        <f>SUM(M114:M136,M90:M98,M79:M87,M69:M76,M7:M66)</f>
        <v>0</v>
      </c>
      <c r="N140" s="31">
        <f>SUM(N114:N136,N90:N98,N79:N87,N69:N76,N7:N66)</f>
        <v>12194</v>
      </c>
      <c r="O140" s="31"/>
      <c r="P140" s="31"/>
      <c r="Q140" s="45">
        <f t="shared" ref="Q140" si="18">(M140+N140)-L140</f>
        <v>8764</v>
      </c>
    </row>
    <row r="141" spans="2:17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5">
      <c r="C143" s="25"/>
      <c r="D143" s="32"/>
      <c r="E143" s="61"/>
      <c r="F143" s="61"/>
      <c r="G143" s="27"/>
      <c r="L143" s="41"/>
    </row>
    <row r="144" spans="2:17" x14ac:dyDescent="0.2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9.5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9.5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</sheetData>
  <mergeCells count="20"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2025-01-20T04:36:17Z</cp:lastPrinted>
  <dcterms:created xsi:type="dcterms:W3CDTF">2024-04-30T05:21:27Z</dcterms:created>
  <dcterms:modified xsi:type="dcterms:W3CDTF">2025-01-20T09:48:17Z</dcterms:modified>
</cp:coreProperties>
</file>