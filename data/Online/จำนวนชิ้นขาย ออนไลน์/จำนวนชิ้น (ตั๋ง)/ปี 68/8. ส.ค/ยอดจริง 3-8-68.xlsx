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ED6C8214-3C5E-4688-B58F-820EA9F0768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2" i="5" l="1"/>
  <c r="G143" i="5"/>
  <c r="G144" i="5"/>
  <c r="G145" i="5"/>
  <c r="D93" i="5"/>
  <c r="K120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H142" i="5"/>
  <c r="I142" i="5"/>
  <c r="J142" i="5"/>
  <c r="K142" i="5"/>
  <c r="D143" i="5"/>
  <c r="E143" i="5"/>
  <c r="F143" i="5"/>
  <c r="H143" i="5"/>
  <c r="I143" i="5"/>
  <c r="J143" i="5"/>
  <c r="K143" i="5"/>
  <c r="D144" i="5"/>
  <c r="E144" i="5"/>
  <c r="F144" i="5"/>
  <c r="H144" i="5"/>
  <c r="I144" i="5"/>
  <c r="J144" i="5"/>
  <c r="K144" i="5"/>
  <c r="D145" i="5"/>
  <c r="E145" i="5"/>
  <c r="F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L149" i="5"/>
  <c r="L147" i="5"/>
  <c r="Q147" i="5" s="1"/>
  <c r="L150" i="5"/>
  <c r="L148" i="5"/>
  <c r="Q148" i="5" s="1"/>
  <c r="L146" i="5"/>
  <c r="Q146" i="5" s="1"/>
  <c r="L140" i="5"/>
  <c r="Q140" i="5" s="1"/>
  <c r="L139" i="5"/>
  <c r="Q139" i="5" s="1"/>
  <c r="L141" i="5"/>
  <c r="Q141" i="5" s="1"/>
  <c r="L145" i="5"/>
  <c r="Q145" i="5" s="1"/>
  <c r="L144" i="5"/>
  <c r="Q144" i="5" s="1"/>
  <c r="L143" i="5"/>
  <c r="Q143" i="5" s="1"/>
  <c r="L142" i="5"/>
  <c r="Q142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52" i="5" l="1"/>
  <c r="I152" i="5"/>
  <c r="H152" i="5"/>
  <c r="G152" i="5"/>
  <c r="E152" i="5"/>
  <c r="D152" i="5"/>
  <c r="F152" i="5"/>
  <c r="Q129" i="5"/>
  <c r="Q114" i="5"/>
  <c r="Q90" i="5"/>
  <c r="Q100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<sst xmlns="http://schemas.openxmlformats.org/spreadsheetml/2006/main" count="637" uniqueCount="152">
  <si>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</si>
  <si>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</si>
  <si>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</si>
  <si>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</si>
  <si>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</si>
  <si>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</si>
  <si>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</si>
  <si>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</si>
  <si>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</si>
  <si>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</si>
  <si>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</si>
  <si>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</si>
  <si>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</si>
  <si>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</si>
  <si>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</si>
  <si>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</si>
  <si>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</si>
  <si>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</si>
  <si>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</si>
  <si>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</si>
  <si>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</si>
  <si>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</si>
  <si>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</si>
  <si>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</si>
  <si>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</si>
  <si>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</si>
  <si>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</si>
  <si>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</si>
  <si>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</si>
  <si>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</si>
  <si>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</si>
  <si>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</si>
  <si>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</si>
  <si>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</si>
  <si>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</si>
  <si>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</si>
  <si>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</si>
  <si>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</si>
  <si>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</si>
  <si>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</si>
  <si>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</si>
  <si>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</si>
  <si>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</si>
  <si>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</si>
  <si>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</si>
  <si>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</si>
  <si>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</si>
  <si>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</si>
  <si>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</si>
  <si>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</si>
  <si>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</si>
  <si>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</si>
  <si>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</si>
  <si>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</si>
  <si>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</si>
  <si>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</si>
  <si>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</si>
  <si>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</si>
  <si>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</si>
  <si>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</si>
  <si>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</si>
  <si>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</si>
  <si>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</si>
  <si>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</si>
  <si>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</si>
  <si>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</si>
  <si>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</si>
  <si>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</si>
  <si>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</si>
  <si>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</si>
  <si>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</si>
  <si>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</si>
  <si>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</si>
  <si>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</si>
  <si>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</si>
  <si>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</si>
  <si>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</si>
  <si>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</si>
  <si>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</si>
  <si>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</si>
  <si>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</si>
  <si>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</si>
  <si>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</si>
  <si>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</si>
  <si>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</si>
  <si>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</si>
  <si>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</si>
  <si>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</si>
  <si>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</si>
  <si>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</si>
  <si>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</si>
  <si>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</si>
  <si>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</si>
  <si>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</si>
  <si>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</si>
  <si>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</si>
  <si>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</si>
  <si>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</si>
  <si>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</si>
  <si>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</si>
  <si>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</si>
  <si>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</si>
  <si>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</si>
  <si>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</si>
  <si>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</si>
  <si>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</si>
  <si>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</si>
  <si>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</si>
  <si>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</si>
  <si>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</si>
  <si>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</si>
  <si>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</si>
  <si>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</si>
  <si>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</si>
  <si>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</si>
  <si>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</si>
  <si>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</si>
  <si>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</si>
  <si>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</si>
  <si>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</si>
  <si>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</si>
  <si>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</si>
  <si>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</si>
  <si>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</si>
  <si>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</si>
  <si>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</si>
  <si>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</si>
  <si>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</si>
  <si>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</si>
  <si>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</si>
  <si>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</si>
  <si>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</si>
  <si>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</si>
  <si>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</si>
  <si>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</si>
  <si>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</si>
  <si>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</si>
  <si>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</si>
  <si>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</si>
  <si>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</si>
  <si>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</si>
  <si>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</si>
  <si>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</si>
  <si>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</si>
  <si>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</si>
  <si>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</si>
  <si>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</si>
  <si>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</si>
  <si>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</si>
  <si>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</si>
  <si>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3/8/68 เช้า</t>
  </si>
  <si>
    <t>ยอดจริง ออนไลน์ วันที่ 3/8/68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</si>
</sst>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N40" sqref="N4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1" width="14.42578125" style="16" hidden="1" customWidth="1"/>
    <col min="12" max="12" width="17.5703125" style="25" customWidth="1"/>
  </cols>
  <sheetData>
    <row r="1" spans="2:12">
      <c r="B1" s="64" t="s">
        <v>150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/>
      <c r="E7" s="30">
        <v>2</v>
      </c>
      <c r="F7" s="30">
        <v>23</v>
      </c>
      <c r="G7" s="30">
        <v>9</v>
      </c>
      <c r="H7" s="30"/>
      <c r="I7" s="30"/>
      <c r="J7" s="43"/>
      <c r="K7" s="43"/>
      <c r="L7" s="36">
        <f>SUM(D7:K7)</f>
        <v>34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5</v>
      </c>
      <c r="F40" s="30">
        <v>10</v>
      </c>
      <c r="G40" s="30"/>
      <c r="H40" s="30"/>
      <c r="I40" s="30"/>
      <c r="J40" s="43"/>
      <c r="K40" s="43"/>
      <c r="L40" s="36">
        <f t="shared" si="0"/>
        <v>15</v>
      </c>
    </row>
    <row r="41" spans="2:12">
      <c r="B41" s="11">
        <v>1111058</v>
      </c>
      <c r="C41" s="15" t="s">
        <v>31</v>
      </c>
      <c r="D41" s="30"/>
      <c r="E41" s="30">
        <v>5</v>
      </c>
      <c r="F41" s="30">
        <v>10</v>
      </c>
      <c r="G41" s="30"/>
      <c r="H41" s="30"/>
      <c r="I41" s="30"/>
      <c r="J41" s="43"/>
      <c r="K41" s="43"/>
      <c r="L41" s="36">
        <f t="shared" si="0"/>
        <v>15</v>
      </c>
    </row>
    <row r="42" spans="2:12">
      <c r="B42" s="11">
        <v>1111059</v>
      </c>
      <c r="C42" s="15" t="s">
        <v>32</v>
      </c>
      <c r="D42" s="30"/>
      <c r="E42" s="30">
        <v>5</v>
      </c>
      <c r="F42" s="30">
        <v>10</v>
      </c>
      <c r="G42" s="30"/>
      <c r="H42" s="30"/>
      <c r="I42" s="30"/>
      <c r="J42" s="43"/>
      <c r="K42" s="43"/>
      <c r="L42" s="36">
        <f t="shared" si="0"/>
        <v>15</v>
      </c>
    </row>
    <row r="43" spans="2:12">
      <c r="B43" s="11">
        <v>1111060</v>
      </c>
      <c r="C43" s="15" t="s">
        <v>33</v>
      </c>
      <c r="D43" s="30"/>
      <c r="E43" s="30">
        <v>5</v>
      </c>
      <c r="F43" s="30">
        <v>10</v>
      </c>
      <c r="G43" s="30"/>
      <c r="H43" s="30"/>
      <c r="I43" s="30"/>
      <c r="J43" s="43"/>
      <c r="K43" s="43"/>
      <c r="L43" s="36">
        <f t="shared" si="0"/>
        <v>15</v>
      </c>
    </row>
    <row r="44" spans="2:12">
      <c r="B44" s="11">
        <v>1111061</v>
      </c>
      <c r="C44" s="15" t="s">
        <v>34</v>
      </c>
      <c r="D44" s="30"/>
      <c r="E44" s="30">
        <v>5</v>
      </c>
      <c r="F44" s="30">
        <v>10</v>
      </c>
      <c r="G44" s="30"/>
      <c r="H44" s="30"/>
      <c r="I44" s="30"/>
      <c r="J44" s="43"/>
      <c r="K44" s="43"/>
      <c r="L44" s="36">
        <f t="shared" si="0"/>
        <v>15</v>
      </c>
    </row>
    <row r="45" spans="2:12">
      <c r="B45" s="11">
        <v>1111062</v>
      </c>
      <c r="C45" s="15" t="s">
        <v>35</v>
      </c>
      <c r="D45" s="30"/>
      <c r="E45" s="30">
        <v>5</v>
      </c>
      <c r="F45" s="30">
        <v>10</v>
      </c>
      <c r="G45" s="30"/>
      <c r="H45" s="30"/>
      <c r="I45" s="30"/>
      <c r="J45" s="43"/>
      <c r="K45" s="43"/>
      <c r="L45" s="36">
        <f t="shared" si="0"/>
        <v>15</v>
      </c>
    </row>
    <row r="46" spans="2:12">
      <c r="B46" s="11">
        <v>1111063</v>
      </c>
      <c r="C46" s="15" t="s">
        <v>36</v>
      </c>
      <c r="D46" s="30"/>
      <c r="E46" s="30">
        <v>5</v>
      </c>
      <c r="F46" s="30">
        <v>10</v>
      </c>
      <c r="G46" s="30"/>
      <c r="H46" s="30"/>
      <c r="I46" s="30"/>
      <c r="J46" s="43"/>
      <c r="K46" s="43"/>
      <c r="L46" s="36">
        <f t="shared" si="0"/>
        <v>15</v>
      </c>
    </row>
    <row r="47" spans="2:12">
      <c r="B47" s="11">
        <v>1111064</v>
      </c>
      <c r="C47" s="15" t="s">
        <v>37</v>
      </c>
      <c r="D47" s="30"/>
      <c r="E47" s="30">
        <v>5</v>
      </c>
      <c r="F47" s="30">
        <v>10</v>
      </c>
      <c r="G47" s="30"/>
      <c r="H47" s="30"/>
      <c r="I47" s="30"/>
      <c r="J47" s="43"/>
      <c r="K47" s="43"/>
      <c r="L47" s="36">
        <f t="shared" si="0"/>
        <v>15</v>
      </c>
    </row>
    <row r="48" spans="2:12">
      <c r="B48" s="11">
        <v>1111065</v>
      </c>
      <c r="C48" s="15" t="s">
        <v>38</v>
      </c>
      <c r="D48" s="30"/>
      <c r="E48" s="30">
        <v>5</v>
      </c>
      <c r="F48" s="30">
        <v>10</v>
      </c>
      <c r="G48" s="30"/>
      <c r="H48" s="30"/>
      <c r="I48" s="30"/>
      <c r="J48" s="43"/>
      <c r="K48" s="43"/>
      <c r="L48" s="36">
        <f t="shared" si="0"/>
        <v>15</v>
      </c>
    </row>
    <row r="49" spans="2:12">
      <c r="B49" s="11">
        <v>1111066</v>
      </c>
      <c r="C49" s="15" t="s">
        <v>39</v>
      </c>
      <c r="D49" s="30"/>
      <c r="E49" s="30">
        <v>5</v>
      </c>
      <c r="F49" s="30">
        <v>10</v>
      </c>
      <c r="G49" s="30"/>
      <c r="H49" s="30"/>
      <c r="I49" s="30"/>
      <c r="J49" s="43"/>
      <c r="K49" s="43"/>
      <c r="L49" s="36">
        <f t="shared" si="0"/>
        <v>15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186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/>
      <c r="E69" s="30">
        <v>1</v>
      </c>
      <c r="F69" s="30">
        <v>6</v>
      </c>
      <c r="G69" s="30">
        <v>1</v>
      </c>
      <c r="H69" s="30"/>
      <c r="I69" s="30"/>
      <c r="J69" s="43"/>
      <c r="K69" s="43"/>
      <c r="L69" s="36">
        <f t="shared" ref="L69:L76" si="1">SUM(D69:K69)</f>
        <v>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3</v>
      </c>
      <c r="H87" s="30"/>
      <c r="I87" s="30"/>
      <c r="J87" s="43"/>
      <c r="K87" s="43"/>
      <c r="L87" s="36">
        <f t="shared" si="2"/>
        <v>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/>
      <c r="E90" s="30"/>
      <c r="F90" s="30"/>
      <c r="G90" s="30">
        <v>20</v>
      </c>
      <c r="H90" s="30"/>
      <c r="I90" s="30"/>
      <c r="J90" s="43"/>
      <c r="K90" s="43"/>
      <c r="L90" s="36">
        <f t="shared" ref="L90:L99" si="3">SUM(D90:K90)</f>
        <v>20</v>
      </c>
    </row>
    <row r="91" spans="2:12">
      <c r="B91" s="11">
        <v>1112011</v>
      </c>
      <c r="C91" s="19" t="s">
        <v>76</v>
      </c>
      <c r="D91" s="30"/>
      <c r="E91" s="30"/>
      <c r="F91" s="30">
        <v>6</v>
      </c>
      <c r="G91" s="30">
        <v>20</v>
      </c>
      <c r="H91" s="30"/>
      <c r="I91" s="30"/>
      <c r="J91" s="43"/>
      <c r="K91" s="43"/>
      <c r="L91" s="36">
        <f t="shared" si="3"/>
        <v>26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20</v>
      </c>
      <c r="H92" s="30"/>
      <c r="I92" s="30"/>
      <c r="J92" s="43"/>
      <c r="K92" s="43"/>
      <c r="L92" s="36">
        <f t="shared" si="3"/>
        <v>20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20</v>
      </c>
      <c r="H93" s="30"/>
      <c r="I93" s="30"/>
      <c r="J93" s="43"/>
      <c r="K93" s="43"/>
      <c r="L93" s="36">
        <f t="shared" si="3"/>
        <v>20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20</v>
      </c>
      <c r="H97" s="30"/>
      <c r="I97" s="30"/>
      <c r="J97" s="43"/>
      <c r="K97" s="43"/>
      <c r="L97" s="36">
        <f t="shared" si="3"/>
        <v>20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21</v>
      </c>
      <c r="H98" s="30"/>
      <c r="I98" s="30"/>
      <c r="J98" s="43"/>
      <c r="K98" s="43"/>
      <c r="L98" s="36">
        <f t="shared" si="3"/>
        <v>21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127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>
        <v>1</v>
      </c>
      <c r="G115" s="30"/>
      <c r="H115" s="30"/>
      <c r="I115" s="30"/>
      <c r="J115" s="43"/>
      <c r="K115" s="43"/>
      <c r="L115" s="36">
        <f t="shared" si="5"/>
        <v>1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4</v>
      </c>
      <c r="F123" s="30">
        <v>5</v>
      </c>
      <c r="G123" s="30">
        <v>30</v>
      </c>
      <c r="H123" s="30"/>
      <c r="I123" s="30"/>
      <c r="J123" s="43"/>
      <c r="K123" s="43"/>
      <c r="L123" s="36">
        <f t="shared" si="5"/>
        <v>39</v>
      </c>
    </row>
    <row r="124" spans="2:12">
      <c r="B124" s="11">
        <v>1114502</v>
      </c>
      <c r="C124" s="21" t="s">
        <v>96</v>
      </c>
      <c r="D124" s="30"/>
      <c r="E124" s="30">
        <v>2</v>
      </c>
      <c r="F124" s="30"/>
      <c r="G124" s="30">
        <v>30</v>
      </c>
      <c r="H124" s="30"/>
      <c r="I124" s="30"/>
      <c r="J124" s="43"/>
      <c r="K124" s="43"/>
      <c r="L124" s="36">
        <f t="shared" si="5"/>
        <v>32</v>
      </c>
    </row>
    <row r="125" spans="2:12">
      <c r="B125" s="11">
        <v>1114503</v>
      </c>
      <c r="C125" s="21" t="s">
        <v>97</v>
      </c>
      <c r="D125" s="30"/>
      <c r="E125" s="30">
        <v>2</v>
      </c>
      <c r="F125" s="30">
        <v>1</v>
      </c>
      <c r="G125" s="30">
        <v>30</v>
      </c>
      <c r="H125" s="30"/>
      <c r="I125" s="30"/>
      <c r="J125" s="43"/>
      <c r="K125" s="43"/>
      <c r="L125" s="36">
        <f t="shared" si="5"/>
        <v>33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62">
        <v>12</v>
      </c>
      <c r="H142" s="9"/>
      <c r="I142" s="9"/>
      <c r="J142" s="9"/>
      <c r="K142" s="9"/>
      <c r="L142" s="36">
        <f t="shared" si="6"/>
        <v>12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3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20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AD51" sqref="AD51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4" t="s">
        <v>151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7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  <c r="M2" s="73" t="s">
        <v>127</v>
      </c>
      <c r="N2" s="73" t="s">
        <v>130</v>
      </c>
      <c r="O2" s="73" t="s">
        <v>140</v>
      </c>
      <c r="P2" s="73" t="s">
        <v>141</v>
      </c>
      <c r="Q2" s="76" t="s">
        <v>1</v>
      </c>
    </row>
    <row r="3" spans="2:17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  <c r="M3" s="74"/>
      <c r="N3" s="74"/>
      <c r="O3" s="74"/>
      <c r="P3" s="74"/>
      <c r="Q3" s="77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5"/>
      <c r="N4" s="75"/>
      <c r="O4" s="75"/>
      <c r="P4" s="75"/>
      <c r="Q4" s="78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72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</v>
      </c>
      <c r="F7" s="30">
        <f>'เย็น '!F7+'เช้า '!F7+บ่าย!F7</f>
        <v>23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34</v>
      </c>
      <c r="M7" s="11"/>
      <c r="N7" s="11"/>
      <c r="O7" s="11"/>
      <c r="P7" s="11"/>
      <c r="Q7" s="44">
        <f>(M7+N7+O7+P7)-L7</f>
        <v>-34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/>
      <c r="N25" s="11"/>
      <c r="O25" s="11"/>
      <c r="P25" s="11"/>
      <c r="Q25" s="44">
        <f t="shared" si="1"/>
        <v>-2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0</v>
      </c>
      <c r="M26" s="11"/>
      <c r="N26" s="11"/>
      <c r="O26" s="11"/>
      <c r="P26" s="11"/>
      <c r="Q26" s="44">
        <f t="shared" si="1"/>
        <v>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5</v>
      </c>
      <c r="F40" s="30">
        <f>'เย็น '!F40+'เช้า '!F40+บ่าย!F40</f>
        <v>10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15</v>
      </c>
      <c r="M40" s="11"/>
      <c r="N40" s="11"/>
      <c r="O40" s="11"/>
      <c r="P40" s="11"/>
      <c r="Q40" s="44">
        <f t="shared" si="1"/>
        <v>-15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5</v>
      </c>
      <c r="F41" s="30">
        <f>'เย็น '!F41+'เช้า '!F41+บ่าย!F41</f>
        <v>10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15</v>
      </c>
      <c r="M41" s="11"/>
      <c r="N41" s="11"/>
      <c r="O41" s="11"/>
      <c r="P41" s="11"/>
      <c r="Q41" s="44">
        <f t="shared" si="1"/>
        <v>-15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5</v>
      </c>
      <c r="F42" s="30">
        <f>'เย็น '!F42+'เช้า '!F42+บ่าย!F42</f>
        <v>10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15</v>
      </c>
      <c r="M42" s="11"/>
      <c r="N42" s="11"/>
      <c r="O42" s="11"/>
      <c r="P42" s="11"/>
      <c r="Q42" s="44">
        <f t="shared" si="1"/>
        <v>-15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5</v>
      </c>
      <c r="F43" s="30">
        <f>'เย็น '!F43+'เช้า '!F43+บ่าย!F43</f>
        <v>10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15</v>
      </c>
      <c r="M43" s="11"/>
      <c r="N43" s="11"/>
      <c r="O43" s="11"/>
      <c r="P43" s="11"/>
      <c r="Q43" s="44">
        <f t="shared" si="1"/>
        <v>-15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5</v>
      </c>
      <c r="F44" s="30">
        <f>'เย็น '!F44+'เช้า '!F44+บ่าย!F44</f>
        <v>10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15</v>
      </c>
      <c r="M44" s="11"/>
      <c r="N44" s="11"/>
      <c r="O44" s="11"/>
      <c r="P44" s="11"/>
      <c r="Q44" s="44">
        <f t="shared" si="1"/>
        <v>-15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5</v>
      </c>
      <c r="F45" s="30">
        <f>'เย็น '!F45+'เช้า '!F45+บ่าย!F45</f>
        <v>10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15</v>
      </c>
      <c r="M45" s="11"/>
      <c r="N45" s="11"/>
      <c r="O45" s="11"/>
      <c r="P45" s="11"/>
      <c r="Q45" s="44">
        <f t="shared" si="1"/>
        <v>-15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5</v>
      </c>
      <c r="F46" s="30">
        <f>'เย็น '!F46+'เช้า '!F46+บ่าย!F46</f>
        <v>10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15</v>
      </c>
      <c r="M46" s="11"/>
      <c r="N46" s="11"/>
      <c r="O46" s="11"/>
      <c r="P46" s="11"/>
      <c r="Q46" s="44">
        <f t="shared" si="1"/>
        <v>-15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5</v>
      </c>
      <c r="F47" s="30">
        <f>'เย็น '!F47+'เช้า '!F47+บ่าย!F47</f>
        <v>10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15</v>
      </c>
      <c r="M47" s="11"/>
      <c r="N47" s="11"/>
      <c r="O47" s="11"/>
      <c r="P47" s="11"/>
      <c r="Q47" s="44">
        <f t="shared" si="1"/>
        <v>-15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5</v>
      </c>
      <c r="F48" s="30">
        <f>'เย็น '!F48+'เช้า '!F48+บ่าย!F48</f>
        <v>10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15</v>
      </c>
      <c r="M48" s="11"/>
      <c r="N48" s="11"/>
      <c r="O48" s="11"/>
      <c r="P48" s="11"/>
      <c r="Q48" s="44">
        <f t="shared" si="1"/>
        <v>-15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5</v>
      </c>
      <c r="F49" s="30">
        <f>'เย็น '!F49+'เช้า '!F49+บ่าย!F49</f>
        <v>10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15</v>
      </c>
      <c r="M49" s="11"/>
      <c r="N49" s="11"/>
      <c r="O49" s="11"/>
      <c r="P49" s="11"/>
      <c r="Q49" s="44">
        <f t="shared" si="1"/>
        <v>-15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72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/>
      <c r="N69" s="11"/>
      <c r="O69" s="11"/>
      <c r="P69" s="11"/>
      <c r="Q69" s="44">
        <f t="shared" ref="Q69:Q76" si="5">(M69+N69+O69+P69)-L69</f>
        <v>-8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72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</v>
      </c>
      <c r="M87" s="11"/>
      <c r="N87" s="11"/>
      <c r="O87" s="11"/>
      <c r="P87" s="11"/>
      <c r="Q87" s="44">
        <f t="shared" si="8"/>
        <v>-3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72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20</v>
      </c>
      <c r="M90" s="11"/>
      <c r="N90" s="11"/>
      <c r="O90" s="11"/>
      <c r="P90" s="11"/>
      <c r="Q90" s="44">
        <f t="shared" ref="Q90:Q99" si="10">(M90+N90+O90+P90)-L90</f>
        <v>-20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6</v>
      </c>
      <c r="G91" s="30">
        <f>'เย็น '!G91+'เช้า '!G91+บ่าย!G91</f>
        <v>20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26</v>
      </c>
      <c r="M91" s="11"/>
      <c r="N91" s="11"/>
      <c r="O91" s="11"/>
      <c r="P91" s="11"/>
      <c r="Q91" s="44">
        <f t="shared" si="10"/>
        <v>-26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20</v>
      </c>
      <c r="M92" s="11"/>
      <c r="N92" s="11"/>
      <c r="O92" s="11"/>
      <c r="P92" s="11"/>
      <c r="Q92" s="44">
        <f t="shared" si="10"/>
        <v>-20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20</v>
      </c>
      <c r="M93" s="11"/>
      <c r="N93" s="11"/>
      <c r="O93" s="11"/>
      <c r="P93" s="11"/>
      <c r="Q93" s="44">
        <f t="shared" si="10"/>
        <v>-20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20</v>
      </c>
      <c r="M97" s="11"/>
      <c r="N97" s="11"/>
      <c r="O97" s="11"/>
      <c r="P97" s="11"/>
      <c r="Q97" s="44">
        <f t="shared" si="10"/>
        <v>-20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21</v>
      </c>
      <c r="M98" s="11"/>
      <c r="N98" s="11"/>
      <c r="O98" s="11"/>
      <c r="P98" s="11"/>
      <c r="Q98" s="44">
        <f t="shared" si="10"/>
        <v>-21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127</v>
      </c>
      <c r="M100" s="11"/>
      <c r="N100" s="11"/>
      <c r="O100" s="11"/>
      <c r="P100" s="11"/>
      <c r="Q100" s="44">
        <f>SUM(Q90:Q99)</f>
        <v>-127</v>
      </c>
    </row>
    <row r="101" spans="2:17" ht="21" hidden="1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72"/>
    </row>
    <row r="102" spans="2:17" hidden="1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1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72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1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</v>
      </c>
      <c r="M115" s="11"/>
      <c r="N115" s="11"/>
      <c r="O115" s="11"/>
      <c r="P115" s="11"/>
      <c r="Q115" s="44">
        <f t="shared" si="14"/>
        <v>-1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4</v>
      </c>
      <c r="F123" s="30">
        <f>บ่าย!F123+'เช้า '!F123+'เย็น '!F123</f>
        <v>5</v>
      </c>
      <c r="G123" s="30">
        <f>บ่าย!G123+'เช้า '!G123+'เย็น '!G123</f>
        <v>30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39</v>
      </c>
      <c r="M123" s="11"/>
      <c r="N123" s="11"/>
      <c r="O123" s="11"/>
      <c r="P123" s="11"/>
      <c r="Q123" s="44">
        <f t="shared" si="14"/>
        <v>-39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0</v>
      </c>
      <c r="G124" s="30">
        <f>บ่าย!G124+'เช้า '!G124+'เย็น '!G124</f>
        <v>30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32</v>
      </c>
      <c r="M124" s="11"/>
      <c r="N124" s="11"/>
      <c r="O124" s="11"/>
      <c r="P124" s="11"/>
      <c r="Q124" s="44">
        <f t="shared" si="14"/>
        <v>-32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1</v>
      </c>
      <c r="G125" s="30">
        <f>บ่าย!G125+'เช้า '!G125+'เย็น '!G125</f>
        <v>30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33</v>
      </c>
      <c r="M125" s="11"/>
      <c r="N125" s="11"/>
      <c r="O125" s="11"/>
      <c r="P125" s="11"/>
      <c r="Q125" s="44">
        <f t="shared" si="14"/>
        <v>-33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0</v>
      </c>
      <c r="M126" s="11"/>
      <c r="N126" s="11"/>
      <c r="O126" s="11"/>
      <c r="P126" s="11"/>
      <c r="Q126" s="44">
        <f t="shared" si="14"/>
        <v>0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12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12</v>
      </c>
      <c r="M142" s="11"/>
      <c r="N142" s="11"/>
      <c r="O142" s="11"/>
      <c r="P142" s="11"/>
      <c r="Q142" s="44">
        <f t="shared" si="14"/>
        <v>-12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>
        <f t="shared" si="13"/>
        <v>0</v>
      </c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0</v>
      </c>
      <c r="E152" s="60">
        <f t="shared" ref="E152:Q152" si="15">SUM(E114:E151,E90:E99,E79:E87,E69:E76,E7:E66,E102:E111)</f>
        <v>64</v>
      </c>
      <c r="F152" s="60">
        <f t="shared" si="15"/>
        <v>142</v>
      </c>
      <c r="G152" s="60">
        <f t="shared" si="15"/>
        <v>237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443</v>
      </c>
      <c r="M152" s="60">
        <f t="shared" si="15"/>
        <v>0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-443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7"/>
      <c r="F155" s="67"/>
      <c r="G155" s="26"/>
      <c r="L155" s="40"/>
    </row>
    <row r="156" spans="2:17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7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2025-08-03T00:32:19Z</cp:lastPrinted>
  <dcterms:created xsi:type="dcterms:W3CDTF">2024-04-30T05:21:27Z</dcterms:created>
  <dcterms:modified xsi:type="dcterms:W3CDTF">2025-08-04T01:59:33Z</dcterms:modified>
</cp:coreProperties>
</file>