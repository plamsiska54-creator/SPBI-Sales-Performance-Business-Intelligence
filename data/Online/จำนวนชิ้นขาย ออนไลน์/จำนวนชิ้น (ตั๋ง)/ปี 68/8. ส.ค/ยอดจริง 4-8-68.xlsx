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626BC460-8584-48B7-9332-A659D3D970D6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บ่าย" sheetId="4" r:id="rId2"/>
    <sheet name="เย็น " sheetId="6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38" i="5" l="1"/>
  <c r="Q139" i="5"/>
  <c r="Q140" i="5"/>
  <c r="Q141" i="5"/>
  <c r="Q142" i="5"/>
  <c r="Q143" i="5"/>
  <c r="Q144" i="5"/>
  <c r="Q145" i="5"/>
  <c r="Q146" i="5"/>
  <c r="Q147" i="5"/>
  <c r="Q148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D103" i="5"/>
  <c r="E103" i="5"/>
  <c r="F103" i="5"/>
  <c r="G103" i="5"/>
  <c r="H103" i="5"/>
  <c r="I103" i="5"/>
  <c r="J103" i="5"/>
  <c r="K103" i="5"/>
  <c r="D104" i="5"/>
  <c r="E104" i="5"/>
  <c r="F104" i="5"/>
  <c r="G104" i="5"/>
  <c r="H104" i="5"/>
  <c r="I104" i="5"/>
  <c r="J104" i="5"/>
  <c r="K104" i="5"/>
  <c r="D105" i="5"/>
  <c r="E105" i="5"/>
  <c r="F105" i="5"/>
  <c r="G105" i="5"/>
  <c r="H105" i="5"/>
  <c r="I105" i="5"/>
  <c r="J105" i="5"/>
  <c r="K105" i="5"/>
  <c r="D106" i="5"/>
  <c r="E106" i="5"/>
  <c r="F106" i="5"/>
  <c r="G106" i="5"/>
  <c r="H106" i="5"/>
  <c r="I106" i="5"/>
  <c r="J106" i="5"/>
  <c r="K106" i="5"/>
  <c r="D107" i="5"/>
  <c r="E107" i="5"/>
  <c r="F107" i="5"/>
  <c r="G107" i="5"/>
  <c r="H107" i="5"/>
  <c r="I107" i="5"/>
  <c r="J107" i="5"/>
  <c r="K107" i="5"/>
  <c r="D108" i="5"/>
  <c r="E108" i="5"/>
  <c r="F108" i="5"/>
  <c r="G108" i="5"/>
  <c r="H108" i="5"/>
  <c r="I108" i="5"/>
  <c r="J108" i="5"/>
  <c r="K108" i="5"/>
  <c r="D109" i="5"/>
  <c r="E109" i="5"/>
  <c r="F109" i="5"/>
  <c r="G109" i="5"/>
  <c r="H109" i="5"/>
  <c r="I109" i="5"/>
  <c r="J109" i="5"/>
  <c r="K109" i="5"/>
  <c r="D110" i="5"/>
  <c r="E110" i="5"/>
  <c r="F110" i="5"/>
  <c r="G110" i="5"/>
  <c r="H110" i="5"/>
  <c r="I110" i="5"/>
  <c r="J110" i="5"/>
  <c r="K110" i="5"/>
  <c r="D111" i="5"/>
  <c r="E111" i="5"/>
  <c r="F111" i="5"/>
  <c r="G111" i="5"/>
  <c r="H111" i="5"/>
  <c r="I111" i="5"/>
  <c r="J111" i="5"/>
  <c r="K111" i="5"/>
  <c r="E102" i="5"/>
  <c r="F102" i="5"/>
  <c r="G102" i="5"/>
  <c r="H102" i="5"/>
  <c r="I102" i="5"/>
  <c r="J102" i="5"/>
  <c r="K102" i="5"/>
  <c r="D142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36" i="5"/>
  <c r="F136" i="5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D140" i="5"/>
  <c r="E140" i="5"/>
  <c r="F140" i="5"/>
  <c r="G140" i="5"/>
  <c r="H140" i="5"/>
  <c r="I140" i="5"/>
  <c r="J140" i="5"/>
  <c r="K140" i="5"/>
  <c r="D141" i="5"/>
  <c r="E141" i="5"/>
  <c r="F141" i="5"/>
  <c r="G141" i="5"/>
  <c r="H141" i="5"/>
  <c r="I141" i="5"/>
  <c r="J141" i="5"/>
  <c r="K141" i="5"/>
  <c r="E142" i="5"/>
  <c r="F142" i="5"/>
  <c r="G142" i="5"/>
  <c r="H142" i="5"/>
  <c r="I142" i="5"/>
  <c r="J142" i="5"/>
  <c r="K142" i="5"/>
  <c r="D143" i="5"/>
  <c r="E143" i="5"/>
  <c r="F143" i="5"/>
  <c r="G143" i="5"/>
  <c r="H143" i="5"/>
  <c r="I143" i="5"/>
  <c r="J143" i="5"/>
  <c r="K143" i="5"/>
  <c r="D144" i="5"/>
  <c r="E144" i="5"/>
  <c r="F144" i="5"/>
  <c r="G144" i="5"/>
  <c r="H144" i="5"/>
  <c r="I144" i="5"/>
  <c r="J144" i="5"/>
  <c r="K144" i="5"/>
  <c r="D145" i="5"/>
  <c r="E145" i="5"/>
  <c r="F145" i="5"/>
  <c r="G145" i="5"/>
  <c r="H145" i="5"/>
  <c r="I145" i="5"/>
  <c r="J145" i="5"/>
  <c r="K145" i="5"/>
  <c r="D146" i="5"/>
  <c r="E146" i="5"/>
  <c r="F146" i="5"/>
  <c r="G146" i="5"/>
  <c r="H146" i="5"/>
  <c r="I146" i="5"/>
  <c r="J146" i="5"/>
  <c r="K146" i="5"/>
  <c r="D147" i="5"/>
  <c r="E147" i="5"/>
  <c r="F147" i="5"/>
  <c r="G147" i="5"/>
  <c r="H147" i="5"/>
  <c r="I147" i="5"/>
  <c r="J147" i="5"/>
  <c r="K147" i="5"/>
  <c r="D148" i="5"/>
  <c r="E148" i="5"/>
  <c r="F148" i="5"/>
  <c r="G148" i="5"/>
  <c r="H148" i="5"/>
  <c r="I148" i="5"/>
  <c r="J148" i="5"/>
  <c r="K148" i="5"/>
  <c r="D149" i="5"/>
  <c r="E149" i="5"/>
  <c r="F149" i="5"/>
  <c r="G149" i="5"/>
  <c r="H149" i="5"/>
  <c r="I149" i="5"/>
  <c r="J149" i="5"/>
  <c r="K149" i="5"/>
  <c r="D150" i="5"/>
  <c r="E150" i="5"/>
  <c r="F150" i="5"/>
  <c r="G150" i="5"/>
  <c r="H150" i="5"/>
  <c r="I150" i="5"/>
  <c r="J150" i="5"/>
  <c r="K150" i="5"/>
  <c r="D151" i="5"/>
  <c r="E151" i="5"/>
  <c r="L151" i="5" s="1"/>
  <c r="Q151" i="5" s="1"/>
  <c r="F151" i="5"/>
  <c r="G151" i="5"/>
  <c r="H151" i="5"/>
  <c r="I151" i="5"/>
  <c r="J151" i="5"/>
  <c r="K151" i="5"/>
  <c r="E114" i="5"/>
  <c r="F114" i="5"/>
  <c r="G114" i="5"/>
  <c r="H114" i="5"/>
  <c r="I114" i="5"/>
  <c r="J114" i="5"/>
  <c r="K114" i="5"/>
  <c r="D114" i="5"/>
  <c r="M152" i="5"/>
  <c r="N152" i="5"/>
  <c r="O152" i="5"/>
  <c r="P152" i="5"/>
  <c r="L151" i="6"/>
  <c r="L149" i="3"/>
  <c r="L150" i="3"/>
  <c r="L151" i="3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2" i="3"/>
  <c r="L143" i="3"/>
  <c r="L144" i="3"/>
  <c r="L145" i="3"/>
  <c r="L146" i="3"/>
  <c r="L147" i="3"/>
  <c r="L148" i="3"/>
  <c r="L141" i="4"/>
  <c r="L141" i="3"/>
  <c r="L141" i="6"/>
  <c r="P100" i="5"/>
  <c r="O100" i="5"/>
  <c r="N100" i="5"/>
  <c r="M100" i="5"/>
  <c r="P112" i="5"/>
  <c r="O112" i="5"/>
  <c r="N112" i="5"/>
  <c r="M112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K152" i="5" l="1"/>
  <c r="H152" i="5"/>
  <c r="L100" i="4"/>
  <c r="L77" i="4"/>
  <c r="L88" i="4"/>
  <c r="L67" i="4"/>
  <c r="L112" i="4"/>
  <c r="L112" i="6"/>
  <c r="L77" i="6"/>
  <c r="L67" i="6"/>
  <c r="L100" i="6"/>
  <c r="L88" i="6"/>
  <c r="L100" i="3"/>
  <c r="L77" i="3"/>
  <c r="L88" i="3"/>
  <c r="L112" i="3"/>
  <c r="L67" i="3"/>
  <c r="L137" i="5"/>
  <c r="Q137" i="5" s="1"/>
  <c r="L135" i="5"/>
  <c r="Q135" i="5" s="1"/>
  <c r="L136" i="5"/>
  <c r="Q136" i="5" s="1"/>
  <c r="L131" i="5"/>
  <c r="Q131" i="5" s="1"/>
  <c r="L132" i="5"/>
  <c r="Q132" i="5" s="1"/>
  <c r="L133" i="5"/>
  <c r="Q133" i="5" s="1"/>
  <c r="L134" i="5"/>
  <c r="Q134" i="5" s="1"/>
  <c r="L130" i="5"/>
  <c r="Q130" i="5" s="1"/>
  <c r="L129" i="5"/>
  <c r="L90" i="5"/>
  <c r="L93" i="5"/>
  <c r="Q93" i="5" s="1"/>
  <c r="L95" i="5"/>
  <c r="Q95" i="5" s="1"/>
  <c r="L127" i="5"/>
  <c r="Q127" i="5" s="1"/>
  <c r="L118" i="5"/>
  <c r="Q118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22" i="5"/>
  <c r="Q122" i="5" s="1"/>
  <c r="L116" i="5"/>
  <c r="Q116" i="5" s="1"/>
  <c r="L114" i="5"/>
  <c r="D102" i="5"/>
  <c r="D99" i="5"/>
  <c r="D152" i="5" s="1"/>
  <c r="E99" i="5"/>
  <c r="E152" i="5" s="1"/>
  <c r="F99" i="5"/>
  <c r="G99" i="5"/>
  <c r="G152" i="5" s="1"/>
  <c r="H99" i="5"/>
  <c r="I99" i="5"/>
  <c r="I152" i="5" s="1"/>
  <c r="J99" i="5"/>
  <c r="J152" i="5" s="1"/>
  <c r="D66" i="5"/>
  <c r="E66" i="5"/>
  <c r="F66" i="5"/>
  <c r="F152" i="5" s="1"/>
  <c r="G66" i="5"/>
  <c r="H66" i="5"/>
  <c r="I66" i="5"/>
  <c r="J66" i="5"/>
  <c r="Q129" i="5" l="1"/>
  <c r="Q114" i="5"/>
  <c r="Q90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52" i="5" l="1"/>
  <c r="L152" i="5"/>
  <c r="L100" i="5"/>
  <c r="Q100" i="5" s="1"/>
  <c r="Q102" i="5"/>
  <c r="L112" i="5"/>
  <c r="Q112" i="5" s="1"/>
  <c r="L88" i="5"/>
  <c r="Q88" i="5" s="1"/>
  <c r="L67" i="5"/>
  <c r="Q67" i="5" s="1"/>
</calcChain>
</file>

<file path=xl/sharedStrings.xml><?xml version="1.0" encoding="utf-8"?>
<sst xmlns="http://schemas.openxmlformats.org/spreadsheetml/2006/main" count="637" uniqueCount="152">
  <si>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</si>
  <si>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</si>
  <si>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</si>
  <si>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</si>
  <si>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</si>
  <si>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</si>
  <si>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</si>
  <si>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</si>
  <si>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</si>
  <si>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</si>
  <si>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</si>
  <si>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</si>
  <si>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</si>
  <si>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</si>
  <si>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</si>
  <si>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</si>
  <si>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</si>
  <si>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</si>
  <si>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</si>
  <si>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</si>
  <si>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</si>
  <si>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</si>
  <si>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</si>
  <si>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</si>
  <si>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</si>
  <si>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</si>
  <si>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</si>
  <si>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</si>
  <si>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</si>
  <si>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</si>
  <si>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</si>
  <si>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</si>
  <si>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</si>
  <si>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</si>
  <si>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</si>
  <si>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</si>
  <si>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</si>
  <si>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</si>
  <si>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</si>
  <si>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</si>
  <si>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</si>
  <si>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</si>
  <si>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</si>
  <si>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</si>
  <si>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</si>
  <si>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</si>
  <si>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</si>
  <si>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</si>
  <si>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</si>
  <si>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</si>
  <si>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</si>
  <si>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</si>
  <si>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</si>
  <si>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</si>
  <si>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</si>
  <si>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</si>
  <si>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</si>
  <si>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</si>
  <si>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</si>
  <si>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</si>
  <si>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</si>
  <si>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</si>
  <si>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</si>
  <si>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</si>
  <si>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</si>
  <si>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</si>
  <si>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</si>
  <si>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</si>
  <si>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</si>
  <si>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</si>
  <si>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</si>
  <si>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</si>
  <si>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</si>
  <si>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</si>
  <si>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</si>
  <si>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</si>
  <si>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</si>
  <si>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</si>
  <si>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</si>
  <si>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</si>
  <si>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</si>
  <si>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</si>
  <si>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</si>
  <si>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</si>
  <si>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</si>
  <si>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</si>
  <si>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</si>
  <si>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</si>
  <si>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</si>
  <si>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</si>
  <si>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</si>
  <si>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</si>
  <si>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</si>
  <si>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</si>
  <si>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</si>
  <si>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</si>
  <si>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</si>
  <si>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</si>
  <si>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</si>
  <si>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</si>
  <si>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</si>
  <si>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</si>
  <si>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</si>
  <si>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</si>
  <si>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</si>
  <si>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</si>
  <si>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</si>
  <si>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</si>
  <si>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</si>
  <si>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</si>
  <si>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</si>
  <si>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</si>
  <si>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</si>
  <si>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</si>
  <si>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</si>
  <si>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</si>
  <si>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</si>
  <si>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</si>
  <si>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</si>
  <si>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</si>
  <si>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</si>
  <si>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</si>
  <si>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</si>
  <si>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</si>
  <si>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</si>
  <si>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</si>
  <si>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</si>
  <si>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</si>
  <si>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</si>
  <si>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</si>
  <si>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</si>
  <si>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</si>
  <si>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</si>
  <si>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</si>
  <si>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</si>
  <si>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</si>
  <si>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</si>
  <si>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</si>
  <si>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</si>
  <si>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</si>
  <si>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</si>
  <si>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</si>
  <si>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</si>
  <si>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</si>
  <si>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</si>
  <si>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</si>
  <si>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หมีกรอบโบราณ</t>
  </si>
  <si>
    <t>หมี่กรอบโบราณ</t>
  </si>
  <si>
    <t>ชิฟฟ่อน 8 ชิ้น ขนุนล้วน</t>
  </si>
  <si>
    <t>ปังเนยนิ่ม 3 ชิ้น</t>
  </si>
  <si>
    <t>ยอดจริง ออนไลน์ วันที่ 4/8/68เช้า</t>
  </si>
  <si>
    <t>ยอดจริง ออนไลน์ วันที่4/8/68 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</si>
</sst>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164" fontId="6" fillId="5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10" fillId="0" borderId="2" xfId="0" applyFont="1" applyBorder="1" applyAlignment="1">
      <alignment horizontal="center" vertical="center"/>
    </xf>
    <xf numFmtId="164" fontId="3" fillId="5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71"/>
  <sheetViews>
    <sheetView topLeftCell="A124" zoomScale="60" zoomScaleNormal="60" workbookViewId="0">
      <selection activeCell="E158" sqref="E15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5" t="s">
        <v>150</v>
      </c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2:12">
      <c r="B2" s="69"/>
      <c r="C2" s="70"/>
      <c r="D2" s="1"/>
      <c r="E2" s="71"/>
      <c r="F2" s="71"/>
      <c r="G2" s="2"/>
      <c r="H2" s="2"/>
      <c r="I2" s="2"/>
      <c r="J2" s="2"/>
      <c r="K2" s="2"/>
      <c r="L2" s="3" t="s">
        <v>0</v>
      </c>
    </row>
    <row r="3" spans="2:12">
      <c r="B3" s="69"/>
      <c r="C3" s="70"/>
      <c r="D3" s="4"/>
      <c r="E3" s="72"/>
      <c r="F3" s="72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6" t="s">
        <v>11</v>
      </c>
      <c r="C6" s="67"/>
      <c r="D6" s="67"/>
      <c r="E6" s="67"/>
      <c r="F6" s="67"/>
      <c r="G6" s="67"/>
      <c r="H6" s="67"/>
      <c r="I6" s="67"/>
      <c r="J6" s="67"/>
      <c r="K6" s="67"/>
      <c r="L6" s="67"/>
    </row>
    <row r="7" spans="2:12">
      <c r="B7" s="11">
        <v>1111002</v>
      </c>
      <c r="C7" s="15" t="s">
        <v>107</v>
      </c>
      <c r="D7" s="30"/>
      <c r="E7" s="30">
        <v>11</v>
      </c>
      <c r="F7" s="30">
        <v>39</v>
      </c>
      <c r="G7" s="30">
        <v>8</v>
      </c>
      <c r="H7" s="30"/>
      <c r="I7" s="30"/>
      <c r="J7" s="43"/>
      <c r="K7" s="43"/>
      <c r="L7" s="36">
        <f>SUM(D7:K7)</f>
        <v>58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>
        <v>6</v>
      </c>
      <c r="H25" s="30"/>
      <c r="I25" s="30"/>
      <c r="J25" s="43"/>
      <c r="K25" s="43"/>
      <c r="L25" s="36">
        <f t="shared" si="0"/>
        <v>6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>
        <v>4</v>
      </c>
      <c r="F40" s="30"/>
      <c r="G40" s="30"/>
      <c r="H40" s="30"/>
      <c r="I40" s="30"/>
      <c r="J40" s="43"/>
      <c r="K40" s="43"/>
      <c r="L40" s="36">
        <f t="shared" si="0"/>
        <v>4</v>
      </c>
    </row>
    <row r="41" spans="2:12">
      <c r="B41" s="11">
        <v>1111058</v>
      </c>
      <c r="C41" s="15" t="s">
        <v>31</v>
      </c>
      <c r="D41" s="30"/>
      <c r="E41" s="30">
        <v>4</v>
      </c>
      <c r="F41" s="30"/>
      <c r="G41" s="30"/>
      <c r="H41" s="30"/>
      <c r="I41" s="30"/>
      <c r="J41" s="43"/>
      <c r="K41" s="43"/>
      <c r="L41" s="36">
        <f t="shared" si="0"/>
        <v>4</v>
      </c>
    </row>
    <row r="42" spans="2:12">
      <c r="B42" s="11">
        <v>1111059</v>
      </c>
      <c r="C42" s="15" t="s">
        <v>32</v>
      </c>
      <c r="D42" s="30"/>
      <c r="E42" s="30">
        <v>4</v>
      </c>
      <c r="F42" s="30"/>
      <c r="G42" s="30"/>
      <c r="H42" s="30"/>
      <c r="I42" s="30"/>
      <c r="J42" s="43"/>
      <c r="K42" s="43"/>
      <c r="L42" s="36">
        <f t="shared" si="0"/>
        <v>4</v>
      </c>
    </row>
    <row r="43" spans="2:12">
      <c r="B43" s="11">
        <v>1111060</v>
      </c>
      <c r="C43" s="15" t="s">
        <v>33</v>
      </c>
      <c r="D43" s="30"/>
      <c r="E43" s="30">
        <v>4</v>
      </c>
      <c r="F43" s="30"/>
      <c r="G43" s="30"/>
      <c r="H43" s="30"/>
      <c r="I43" s="30"/>
      <c r="J43" s="43"/>
      <c r="K43" s="43"/>
      <c r="L43" s="36">
        <f t="shared" si="0"/>
        <v>4</v>
      </c>
    </row>
    <row r="44" spans="2:12">
      <c r="B44" s="11">
        <v>1111061</v>
      </c>
      <c r="C44" s="15" t="s">
        <v>34</v>
      </c>
      <c r="D44" s="30"/>
      <c r="E44" s="30">
        <v>4</v>
      </c>
      <c r="F44" s="30"/>
      <c r="G44" s="30"/>
      <c r="H44" s="30"/>
      <c r="I44" s="30"/>
      <c r="J44" s="43"/>
      <c r="K44" s="43"/>
      <c r="L44" s="36">
        <f t="shared" si="0"/>
        <v>4</v>
      </c>
    </row>
    <row r="45" spans="2:12">
      <c r="B45" s="11">
        <v>1111062</v>
      </c>
      <c r="C45" s="15" t="s">
        <v>35</v>
      </c>
      <c r="D45" s="30"/>
      <c r="E45" s="30">
        <v>4</v>
      </c>
      <c r="F45" s="30"/>
      <c r="G45" s="30"/>
      <c r="H45" s="30"/>
      <c r="I45" s="30"/>
      <c r="J45" s="43"/>
      <c r="K45" s="43"/>
      <c r="L45" s="36">
        <f t="shared" si="0"/>
        <v>4</v>
      </c>
    </row>
    <row r="46" spans="2:12">
      <c r="B46" s="11">
        <v>1111063</v>
      </c>
      <c r="C46" s="15" t="s">
        <v>36</v>
      </c>
      <c r="D46" s="30"/>
      <c r="E46" s="30">
        <v>4</v>
      </c>
      <c r="F46" s="30"/>
      <c r="G46" s="30"/>
      <c r="H46" s="30"/>
      <c r="I46" s="30"/>
      <c r="J46" s="43"/>
      <c r="K46" s="43"/>
      <c r="L46" s="36">
        <f t="shared" si="0"/>
        <v>4</v>
      </c>
    </row>
    <row r="47" spans="2:12">
      <c r="B47" s="11">
        <v>1111064</v>
      </c>
      <c r="C47" s="15" t="s">
        <v>37</v>
      </c>
      <c r="D47" s="30"/>
      <c r="E47" s="30">
        <v>4</v>
      </c>
      <c r="F47" s="30"/>
      <c r="G47" s="30"/>
      <c r="H47" s="30"/>
      <c r="I47" s="30"/>
      <c r="J47" s="43"/>
      <c r="K47" s="43"/>
      <c r="L47" s="36">
        <f t="shared" si="0"/>
        <v>4</v>
      </c>
    </row>
    <row r="48" spans="2:12">
      <c r="B48" s="11">
        <v>1111065</v>
      </c>
      <c r="C48" s="15" t="s">
        <v>38</v>
      </c>
      <c r="D48" s="30"/>
      <c r="E48" s="30">
        <v>4</v>
      </c>
      <c r="F48" s="30"/>
      <c r="G48" s="30"/>
      <c r="H48" s="30"/>
      <c r="I48" s="30"/>
      <c r="J48" s="43"/>
      <c r="K48" s="43"/>
      <c r="L48" s="36">
        <f t="shared" si="0"/>
        <v>4</v>
      </c>
    </row>
    <row r="49" spans="2:12">
      <c r="B49" s="11">
        <v>1111066</v>
      </c>
      <c r="C49" s="15" t="s">
        <v>39</v>
      </c>
      <c r="D49" s="30"/>
      <c r="E49" s="30">
        <v>4</v>
      </c>
      <c r="F49" s="30"/>
      <c r="G49" s="30"/>
      <c r="H49" s="30"/>
      <c r="I49" s="30"/>
      <c r="J49" s="43"/>
      <c r="K49" s="43"/>
      <c r="L49" s="36">
        <f t="shared" si="0"/>
        <v>4</v>
      </c>
    </row>
    <row r="50" spans="2:12">
      <c r="B50" s="11">
        <v>1111067</v>
      </c>
      <c r="C50" s="15" t="s">
        <v>40</v>
      </c>
      <c r="D50" s="30"/>
      <c r="E50" s="30">
        <v>4</v>
      </c>
      <c r="F50" s="30"/>
      <c r="G50" s="30"/>
      <c r="H50" s="30"/>
      <c r="I50" s="30"/>
      <c r="J50" s="43"/>
      <c r="K50" s="43"/>
      <c r="L50" s="36">
        <f t="shared" si="0"/>
        <v>4</v>
      </c>
    </row>
    <row r="51" spans="2:12">
      <c r="B51" s="11">
        <v>1111068</v>
      </c>
      <c r="C51" s="15" t="s">
        <v>41</v>
      </c>
      <c r="D51" s="30"/>
      <c r="E51" s="30">
        <v>3</v>
      </c>
      <c r="F51" s="30"/>
      <c r="G51" s="30"/>
      <c r="H51" s="30"/>
      <c r="I51" s="30"/>
      <c r="J51" s="43"/>
      <c r="K51" s="43"/>
      <c r="L51" s="36">
        <f t="shared" si="0"/>
        <v>3</v>
      </c>
    </row>
    <row r="52" spans="2:12">
      <c r="B52" s="11">
        <v>1111069</v>
      </c>
      <c r="C52" s="15" t="s">
        <v>42</v>
      </c>
      <c r="D52" s="30"/>
      <c r="E52" s="30">
        <v>3</v>
      </c>
      <c r="F52" s="30"/>
      <c r="G52" s="30"/>
      <c r="H52" s="30"/>
      <c r="I52" s="30"/>
      <c r="J52" s="43"/>
      <c r="K52" s="43"/>
      <c r="L52" s="36">
        <f t="shared" si="0"/>
        <v>3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>
        <v>1</v>
      </c>
      <c r="F56" s="30"/>
      <c r="G56" s="30"/>
      <c r="H56" s="30"/>
      <c r="I56" s="30"/>
      <c r="J56" s="43"/>
      <c r="K56" s="43"/>
      <c r="L56" s="36">
        <f t="shared" si="0"/>
        <v>1</v>
      </c>
    </row>
    <row r="57" spans="2:12">
      <c r="B57" s="11">
        <v>1111075</v>
      </c>
      <c r="C57" s="15" t="s">
        <v>45</v>
      </c>
      <c r="D57" s="30"/>
      <c r="E57" s="30">
        <v>1</v>
      </c>
      <c r="F57" s="30"/>
      <c r="G57" s="30"/>
      <c r="H57" s="30"/>
      <c r="I57" s="30"/>
      <c r="J57" s="43"/>
      <c r="K57" s="43"/>
      <c r="L57" s="36">
        <f t="shared" si="0"/>
        <v>1</v>
      </c>
    </row>
    <row r="58" spans="2:12">
      <c r="B58" s="11">
        <v>1111076</v>
      </c>
      <c r="C58" s="15" t="s">
        <v>46</v>
      </c>
      <c r="D58" s="30"/>
      <c r="E58" s="30">
        <v>1</v>
      </c>
      <c r="F58" s="30"/>
      <c r="G58" s="30"/>
      <c r="H58" s="30"/>
      <c r="I58" s="30"/>
      <c r="J58" s="43"/>
      <c r="K58" s="43"/>
      <c r="L58" s="36">
        <f t="shared" si="0"/>
        <v>1</v>
      </c>
    </row>
    <row r="59" spans="2:12">
      <c r="B59" s="11">
        <v>1111077</v>
      </c>
      <c r="C59" s="15" t="s">
        <v>47</v>
      </c>
      <c r="D59" s="30"/>
      <c r="E59" s="30">
        <v>1</v>
      </c>
      <c r="F59" s="30"/>
      <c r="G59" s="30"/>
      <c r="H59" s="30"/>
      <c r="I59" s="30"/>
      <c r="J59" s="43"/>
      <c r="K59" s="43"/>
      <c r="L59" s="36">
        <f t="shared" si="0"/>
        <v>1</v>
      </c>
    </row>
    <row r="60" spans="2:12">
      <c r="B60" s="11">
        <v>1111078</v>
      </c>
      <c r="C60" s="15" t="s">
        <v>48</v>
      </c>
      <c r="D60" s="30"/>
      <c r="E60" s="30">
        <v>1</v>
      </c>
      <c r="F60" s="30"/>
      <c r="G60" s="30"/>
      <c r="H60" s="30"/>
      <c r="I60" s="30"/>
      <c r="J60" s="43"/>
      <c r="K60" s="43"/>
      <c r="L60" s="36">
        <f t="shared" si="0"/>
        <v>1</v>
      </c>
    </row>
    <row r="61" spans="2:12">
      <c r="B61" s="11">
        <v>1111079</v>
      </c>
      <c r="C61" s="15" t="s">
        <v>49</v>
      </c>
      <c r="D61" s="30"/>
      <c r="E61" s="30">
        <v>1</v>
      </c>
      <c r="F61" s="30"/>
      <c r="G61" s="30"/>
      <c r="H61" s="30"/>
      <c r="I61" s="30"/>
      <c r="J61" s="43"/>
      <c r="K61" s="43"/>
      <c r="L61" s="36">
        <f t="shared" si="0"/>
        <v>1</v>
      </c>
    </row>
    <row r="62" spans="2:12">
      <c r="B62" s="11">
        <v>1111080</v>
      </c>
      <c r="C62" s="15" t="s">
        <v>50</v>
      </c>
      <c r="D62" s="30"/>
      <c r="E62" s="30">
        <v>1</v>
      </c>
      <c r="F62" s="30"/>
      <c r="G62" s="30"/>
      <c r="H62" s="30"/>
      <c r="I62" s="30"/>
      <c r="J62" s="43"/>
      <c r="K62" s="43"/>
      <c r="L62" s="36">
        <f t="shared" si="0"/>
        <v>1</v>
      </c>
    </row>
    <row r="63" spans="2:12">
      <c r="B63" s="11">
        <v>1111081</v>
      </c>
      <c r="C63" s="15" t="s">
        <v>51</v>
      </c>
      <c r="D63" s="30"/>
      <c r="E63" s="30">
        <v>1</v>
      </c>
      <c r="F63" s="30"/>
      <c r="G63" s="30"/>
      <c r="H63" s="30"/>
      <c r="I63" s="30"/>
      <c r="J63" s="43"/>
      <c r="K63" s="43"/>
      <c r="L63" s="36">
        <f t="shared" si="0"/>
        <v>1</v>
      </c>
    </row>
    <row r="64" spans="2:12">
      <c r="B64" s="11">
        <v>1111082</v>
      </c>
      <c r="C64" s="15" t="s">
        <v>52</v>
      </c>
      <c r="D64" s="30"/>
      <c r="E64" s="30">
        <v>1</v>
      </c>
      <c r="F64" s="30"/>
      <c r="G64" s="30"/>
      <c r="H64" s="30"/>
      <c r="I64" s="30"/>
      <c r="J64" s="43"/>
      <c r="K64" s="43"/>
      <c r="L64" s="36">
        <f t="shared" si="0"/>
        <v>1</v>
      </c>
    </row>
    <row r="65" spans="2:12">
      <c r="B65" s="11">
        <v>1111083</v>
      </c>
      <c r="C65" s="15" t="s">
        <v>53</v>
      </c>
      <c r="D65" s="30"/>
      <c r="E65" s="30">
        <v>1</v>
      </c>
      <c r="F65" s="30"/>
      <c r="G65" s="30"/>
      <c r="H65" s="30"/>
      <c r="I65" s="30"/>
      <c r="J65" s="43"/>
      <c r="K65" s="43"/>
      <c r="L65" s="36">
        <f t="shared" si="0"/>
        <v>1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124</v>
      </c>
    </row>
    <row r="68" spans="2:12" ht="21">
      <c r="B68" s="66" t="s">
        <v>55</v>
      </c>
      <c r="C68" s="67"/>
      <c r="D68" s="67"/>
      <c r="E68" s="67"/>
      <c r="F68" s="67"/>
      <c r="G68" s="67"/>
      <c r="H68" s="67"/>
      <c r="I68" s="67"/>
      <c r="J68" s="67"/>
      <c r="K68" s="67"/>
      <c r="L68" s="67"/>
    </row>
    <row r="69" spans="2:12">
      <c r="B69" s="11">
        <v>1111009</v>
      </c>
      <c r="C69" s="19" t="s">
        <v>56</v>
      </c>
      <c r="D69" s="30"/>
      <c r="E69" s="30">
        <v>1</v>
      </c>
      <c r="F69" s="30">
        <v>1</v>
      </c>
      <c r="G69" s="30">
        <v>2</v>
      </c>
      <c r="H69" s="30"/>
      <c r="I69" s="30"/>
      <c r="J69" s="43"/>
      <c r="K69" s="43"/>
      <c r="L69" s="36">
        <f t="shared" ref="L69:L76" si="1">SUM(D69:K69)</f>
        <v>4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4</v>
      </c>
    </row>
    <row r="78" spans="2:12" ht="21">
      <c r="B78" s="66" t="s">
        <v>64</v>
      </c>
      <c r="C78" s="67"/>
      <c r="D78" s="67"/>
      <c r="E78" s="67"/>
      <c r="F78" s="67"/>
      <c r="G78" s="67"/>
      <c r="H78" s="67"/>
      <c r="I78" s="67"/>
      <c r="J78" s="67"/>
      <c r="K78" s="67"/>
      <c r="L78" s="67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>
        <v>12</v>
      </c>
      <c r="H87" s="30"/>
      <c r="I87" s="30"/>
      <c r="J87" s="43"/>
      <c r="K87" s="43"/>
      <c r="L87" s="36">
        <f t="shared" si="2"/>
        <v>12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12</v>
      </c>
    </row>
    <row r="89" spans="2:12" ht="21">
      <c r="B89" s="66" t="s">
        <v>74</v>
      </c>
      <c r="C89" s="67"/>
      <c r="D89" s="67"/>
      <c r="E89" s="67"/>
      <c r="F89" s="67"/>
      <c r="G89" s="67"/>
      <c r="H89" s="67"/>
      <c r="I89" s="67"/>
      <c r="J89" s="67"/>
      <c r="K89" s="67"/>
      <c r="L89" s="67"/>
    </row>
    <row r="90" spans="2:12">
      <c r="B90" s="11">
        <v>1112009</v>
      </c>
      <c r="C90" s="19" t="s">
        <v>75</v>
      </c>
      <c r="D90" s="30"/>
      <c r="E90" s="30"/>
      <c r="F90" s="30"/>
      <c r="G90" s="30">
        <v>26</v>
      </c>
      <c r="H90" s="30"/>
      <c r="I90" s="30"/>
      <c r="J90" s="43"/>
      <c r="K90" s="43"/>
      <c r="L90" s="36">
        <f t="shared" ref="L90:L99" si="3">SUM(D90:K90)</f>
        <v>26</v>
      </c>
    </row>
    <row r="91" spans="2:12">
      <c r="B91" s="11">
        <v>1112011</v>
      </c>
      <c r="C91" s="19" t="s">
        <v>76</v>
      </c>
      <c r="D91" s="30"/>
      <c r="E91" s="30"/>
      <c r="F91" s="30"/>
      <c r="G91" s="30">
        <v>26</v>
      </c>
      <c r="H91" s="30"/>
      <c r="I91" s="30"/>
      <c r="J91" s="43"/>
      <c r="K91" s="43"/>
      <c r="L91" s="36">
        <f t="shared" si="3"/>
        <v>26</v>
      </c>
    </row>
    <row r="92" spans="2:12">
      <c r="B92" s="11">
        <v>1112003</v>
      </c>
      <c r="C92" s="19" t="s">
        <v>77</v>
      </c>
      <c r="D92" s="30"/>
      <c r="E92" s="30"/>
      <c r="F92" s="30"/>
      <c r="G92" s="30">
        <v>26</v>
      </c>
      <c r="H92" s="30"/>
      <c r="I92" s="30"/>
      <c r="J92" s="43"/>
      <c r="K92" s="43"/>
      <c r="L92" s="36">
        <f t="shared" si="3"/>
        <v>26</v>
      </c>
    </row>
    <row r="93" spans="2:12">
      <c r="B93" s="11">
        <v>1112005</v>
      </c>
      <c r="C93" s="19" t="s">
        <v>78</v>
      </c>
      <c r="D93" s="30"/>
      <c r="E93" s="30"/>
      <c r="F93" s="30"/>
      <c r="G93" s="30">
        <v>26</v>
      </c>
      <c r="H93" s="30"/>
      <c r="I93" s="30"/>
      <c r="J93" s="43"/>
      <c r="K93" s="43"/>
      <c r="L93" s="36">
        <f t="shared" si="3"/>
        <v>26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>
        <v>27</v>
      </c>
      <c r="H97" s="30"/>
      <c r="I97" s="30"/>
      <c r="J97" s="43"/>
      <c r="K97" s="43"/>
      <c r="L97" s="36">
        <f t="shared" si="3"/>
        <v>27</v>
      </c>
    </row>
    <row r="98" spans="2:12">
      <c r="B98" s="11">
        <v>1112013</v>
      </c>
      <c r="C98" s="19" t="s">
        <v>83</v>
      </c>
      <c r="D98" s="30"/>
      <c r="E98" s="30"/>
      <c r="F98" s="30">
        <v>1</v>
      </c>
      <c r="G98" s="30">
        <v>26</v>
      </c>
      <c r="H98" s="30"/>
      <c r="I98" s="30"/>
      <c r="J98" s="43"/>
      <c r="K98" s="43"/>
      <c r="L98" s="36">
        <f t="shared" si="3"/>
        <v>27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158</v>
      </c>
    </row>
    <row r="101" spans="2:12" ht="21">
      <c r="B101" s="66" t="s">
        <v>85</v>
      </c>
      <c r="C101" s="67"/>
      <c r="D101" s="67"/>
      <c r="E101" s="67"/>
      <c r="F101" s="67"/>
      <c r="G101" s="67"/>
      <c r="H101" s="67"/>
      <c r="I101" s="67"/>
      <c r="J101" s="67"/>
      <c r="K101" s="67"/>
      <c r="L101" s="67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6" t="s">
        <v>86</v>
      </c>
      <c r="C113" s="67"/>
      <c r="D113" s="67"/>
      <c r="E113" s="67"/>
      <c r="F113" s="67"/>
      <c r="G113" s="67"/>
      <c r="H113" s="67"/>
      <c r="I113" s="67"/>
      <c r="J113" s="67"/>
      <c r="K113" s="67"/>
      <c r="L113" s="67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>
        <v>8</v>
      </c>
      <c r="F123" s="30">
        <v>6</v>
      </c>
      <c r="G123" s="30">
        <v>73</v>
      </c>
      <c r="H123" s="30"/>
      <c r="I123" s="30"/>
      <c r="J123" s="43"/>
      <c r="K123" s="43"/>
      <c r="L123" s="36">
        <f t="shared" si="5"/>
        <v>87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>
        <v>73</v>
      </c>
      <c r="H124" s="30"/>
      <c r="I124" s="30"/>
      <c r="J124" s="43"/>
      <c r="K124" s="43"/>
      <c r="L124" s="36">
        <f t="shared" si="5"/>
        <v>73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>
        <v>73</v>
      </c>
      <c r="H125" s="30"/>
      <c r="I125" s="30"/>
      <c r="J125" s="43"/>
      <c r="K125" s="43"/>
      <c r="L125" s="36">
        <f t="shared" si="5"/>
        <v>73</v>
      </c>
    </row>
    <row r="126" spans="2:12">
      <c r="B126" s="11">
        <v>1124021</v>
      </c>
      <c r="C126" s="21" t="s">
        <v>98</v>
      </c>
      <c r="D126" s="30"/>
      <c r="E126" s="30">
        <v>16</v>
      </c>
      <c r="F126" s="30"/>
      <c r="G126" s="30"/>
      <c r="H126" s="30"/>
      <c r="I126" s="30"/>
      <c r="J126" s="43"/>
      <c r="K126" s="43"/>
      <c r="L126" s="36">
        <f t="shared" si="5"/>
        <v>16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>
        <v>3</v>
      </c>
      <c r="G135" s="30"/>
      <c r="H135" s="30"/>
      <c r="I135" s="30"/>
      <c r="J135" s="43"/>
      <c r="K135" s="43"/>
      <c r="L135" s="36">
        <f t="shared" si="5"/>
        <v>3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48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48"/>
      <c r="F141" s="51"/>
      <c r="G141" s="52"/>
      <c r="H141" s="9"/>
      <c r="I141" s="9"/>
      <c r="J141" s="9"/>
      <c r="K141" s="9"/>
      <c r="L141" s="36">
        <f t="shared" ref="L141:L148" si="6">SUM(D141:K141)</f>
        <v>0</v>
      </c>
    </row>
    <row r="142" spans="2:12">
      <c r="B142" s="50">
        <v>20054646</v>
      </c>
      <c r="C142" s="49" t="s">
        <v>145</v>
      </c>
      <c r="D142" s="21"/>
      <c r="E142" s="48"/>
      <c r="F142" s="51"/>
      <c r="G142" s="62">
        <v>6</v>
      </c>
      <c r="H142" s="9"/>
      <c r="I142" s="9"/>
      <c r="J142" s="9"/>
      <c r="K142" s="9"/>
      <c r="L142" s="36">
        <f t="shared" si="6"/>
        <v>6</v>
      </c>
    </row>
    <row r="143" spans="2:12">
      <c r="B143" s="50">
        <v>1100044</v>
      </c>
      <c r="C143" s="49" t="s">
        <v>146</v>
      </c>
      <c r="D143" s="51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>
      <c r="B144" s="50">
        <v>1100045</v>
      </c>
      <c r="C144" s="49" t="s">
        <v>148</v>
      </c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>
      <c r="B145" s="50">
        <v>20039042</v>
      </c>
      <c r="C145" s="49" t="s">
        <v>149</v>
      </c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ref="L149:L151" si="7">SUM(D149:K149)</f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>
      <c r="B152" s="53"/>
      <c r="C152" s="54"/>
      <c r="D152" s="31"/>
      <c r="E152" s="31"/>
      <c r="F152" s="31"/>
      <c r="G152" s="26"/>
      <c r="L152" s="39"/>
    </row>
    <row r="153" spans="2:12">
      <c r="B153" s="68" t="s">
        <v>104</v>
      </c>
      <c r="C153" s="68"/>
      <c r="D153" s="32"/>
      <c r="E153" s="64"/>
      <c r="F153" s="64"/>
      <c r="G153" s="27"/>
      <c r="H153" s="26"/>
      <c r="I153" s="68" t="s">
        <v>104</v>
      </c>
      <c r="J153" s="68"/>
      <c r="K153" s="68"/>
      <c r="L153" s="68"/>
    </row>
    <row r="154" spans="2:12">
      <c r="B154" s="64" t="s">
        <v>105</v>
      </c>
      <c r="C154" s="64"/>
      <c r="D154" s="33"/>
      <c r="E154" s="33"/>
      <c r="F154" s="33"/>
      <c r="G154" s="33"/>
      <c r="H154" s="33"/>
      <c r="I154" s="64" t="s">
        <v>106</v>
      </c>
      <c r="J154" s="64"/>
      <c r="K154" s="64"/>
      <c r="L154" s="64"/>
    </row>
    <row r="155" spans="2:12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  <row r="164" spans="4:8">
      <c r="D164" s="31"/>
      <c r="E164" s="31"/>
      <c r="F164" s="31"/>
      <c r="G164" s="31"/>
      <c r="H164" s="31"/>
    </row>
    <row r="165" spans="4:8">
      <c r="D165" s="31"/>
      <c r="E165" s="31"/>
      <c r="F165" s="31"/>
      <c r="G165" s="31"/>
      <c r="H165" s="31"/>
    </row>
    <row r="166" spans="4:8">
      <c r="D166" s="31"/>
      <c r="E166" s="31"/>
      <c r="F166" s="31"/>
      <c r="G166" s="31"/>
      <c r="H166" s="31"/>
    </row>
    <row r="167" spans="4:8">
      <c r="D167" s="31"/>
      <c r="E167" s="31"/>
      <c r="F167" s="31"/>
      <c r="G167" s="31"/>
      <c r="H167" s="31"/>
    </row>
    <row r="168" spans="4:8">
      <c r="D168" s="31"/>
      <c r="E168" s="31"/>
      <c r="F168" s="31"/>
      <c r="G168" s="31"/>
      <c r="H168" s="31"/>
    </row>
    <row r="169" spans="4:8">
      <c r="D169" s="31"/>
      <c r="E169" s="31"/>
      <c r="F169" s="31"/>
      <c r="G169" s="31"/>
      <c r="H169" s="31"/>
    </row>
    <row r="170" spans="4:8">
      <c r="D170" s="31"/>
      <c r="E170" s="31"/>
      <c r="F170" s="31"/>
      <c r="G170" s="31"/>
      <c r="H170" s="31"/>
    </row>
    <row r="171" spans="4:8">
      <c r="D171" s="31"/>
      <c r="E171" s="31"/>
      <c r="F171" s="31"/>
      <c r="G171" s="31"/>
      <c r="H171" s="31"/>
    </row>
  </sheetData>
  <mergeCells count="14">
    <mergeCell ref="B154:C154"/>
    <mergeCell ref="I154:L154"/>
    <mergeCell ref="B1:L1"/>
    <mergeCell ref="B6:L6"/>
    <mergeCell ref="B68:L68"/>
    <mergeCell ref="B153:C153"/>
    <mergeCell ref="E153:F153"/>
    <mergeCell ref="I153:L15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topLeftCell="A58" zoomScale="60" zoomScaleNormal="60" workbookViewId="0">
      <selection activeCell="I124" sqref="I124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5" t="s">
        <v>135</v>
      </c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2:12">
      <c r="B2" s="69"/>
      <c r="C2" s="70"/>
      <c r="D2" s="1"/>
      <c r="E2" s="71"/>
      <c r="F2" s="71"/>
      <c r="G2" s="2"/>
      <c r="H2" s="2"/>
      <c r="I2" s="2"/>
      <c r="J2" s="2"/>
      <c r="K2" s="2"/>
      <c r="L2" s="3" t="s">
        <v>0</v>
      </c>
    </row>
    <row r="3" spans="2:12">
      <c r="B3" s="69"/>
      <c r="C3" s="70"/>
      <c r="D3" s="4"/>
      <c r="E3" s="72"/>
      <c r="F3" s="72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6" t="s">
        <v>11</v>
      </c>
      <c r="C6" s="67"/>
      <c r="D6" s="67"/>
      <c r="E6" s="67"/>
      <c r="F6" s="67"/>
      <c r="G6" s="67"/>
      <c r="H6" s="67"/>
      <c r="I6" s="67"/>
      <c r="J6" s="67"/>
      <c r="K6" s="67"/>
      <c r="L6" s="67"/>
    </row>
    <row r="7" spans="2:12">
      <c r="B7" s="11">
        <v>1111002</v>
      </c>
      <c r="C7" s="15" t="s">
        <v>107</v>
      </c>
      <c r="D7" s="30"/>
      <c r="E7" s="30">
        <v>11</v>
      </c>
      <c r="F7" s="30">
        <v>7</v>
      </c>
      <c r="G7" s="30">
        <v>3</v>
      </c>
      <c r="H7" s="30"/>
      <c r="I7" s="30"/>
      <c r="J7" s="43"/>
      <c r="K7" s="43"/>
      <c r="L7" s="36">
        <f>SUM(D7:K7)</f>
        <v>21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>
        <v>1</v>
      </c>
      <c r="G25" s="30">
        <v>1</v>
      </c>
      <c r="H25" s="30"/>
      <c r="I25" s="30"/>
      <c r="J25" s="43"/>
      <c r="K25" s="43"/>
      <c r="L25" s="36">
        <f t="shared" si="0"/>
        <v>2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23</v>
      </c>
    </row>
    <row r="68" spans="2:12" ht="21">
      <c r="B68" s="66" t="s">
        <v>55</v>
      </c>
      <c r="C68" s="67"/>
      <c r="D68" s="67"/>
      <c r="E68" s="67"/>
      <c r="F68" s="67"/>
      <c r="G68" s="67"/>
      <c r="H68" s="67"/>
      <c r="I68" s="67"/>
      <c r="J68" s="67"/>
      <c r="K68" s="67"/>
      <c r="L68" s="67"/>
    </row>
    <row r="69" spans="2:12">
      <c r="B69" s="11">
        <v>1111009</v>
      </c>
      <c r="C69" s="19" t="s">
        <v>56</v>
      </c>
      <c r="D69" s="30"/>
      <c r="E69" s="30"/>
      <c r="F69" s="30">
        <v>3</v>
      </c>
      <c r="G69" s="30">
        <v>1</v>
      </c>
      <c r="H69" s="30"/>
      <c r="I69" s="30"/>
      <c r="J69" s="43"/>
      <c r="K69" s="43"/>
      <c r="L69" s="36">
        <f t="shared" ref="L69:L76" si="1">SUM(D69:K69)</f>
        <v>4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4</v>
      </c>
    </row>
    <row r="78" spans="2:12" ht="21">
      <c r="B78" s="66" t="s">
        <v>64</v>
      </c>
      <c r="C78" s="67"/>
      <c r="D78" s="67"/>
      <c r="E78" s="67"/>
      <c r="F78" s="67"/>
      <c r="G78" s="67"/>
      <c r="H78" s="67"/>
      <c r="I78" s="67"/>
      <c r="J78" s="67"/>
      <c r="K78" s="67"/>
      <c r="L78" s="67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>
        <v>9</v>
      </c>
      <c r="H87" s="30"/>
      <c r="I87" s="30"/>
      <c r="J87" s="43"/>
      <c r="K87" s="43"/>
      <c r="L87" s="36">
        <f t="shared" si="2"/>
        <v>9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9</v>
      </c>
    </row>
    <row r="89" spans="2:12" ht="21">
      <c r="B89" s="66" t="s">
        <v>74</v>
      </c>
      <c r="C89" s="67"/>
      <c r="D89" s="67"/>
      <c r="E89" s="67"/>
      <c r="F89" s="67"/>
      <c r="G89" s="67"/>
      <c r="H89" s="67"/>
      <c r="I89" s="67"/>
      <c r="J89" s="67"/>
      <c r="K89" s="67"/>
      <c r="L89" s="67"/>
    </row>
    <row r="90" spans="2:12">
      <c r="B90" s="11">
        <v>1112009</v>
      </c>
      <c r="C90" s="19" t="s">
        <v>75</v>
      </c>
      <c r="D90" s="30"/>
      <c r="E90" s="30"/>
      <c r="F90" s="30"/>
      <c r="G90" s="30">
        <v>10</v>
      </c>
      <c r="H90" s="30"/>
      <c r="I90" s="30"/>
      <c r="J90" s="43"/>
      <c r="K90" s="43"/>
      <c r="L90" s="36">
        <f t="shared" ref="L90:L99" si="3">SUM(D90:K90)</f>
        <v>10</v>
      </c>
    </row>
    <row r="91" spans="2:12">
      <c r="B91" s="11">
        <v>1112011</v>
      </c>
      <c r="C91" s="19" t="s">
        <v>76</v>
      </c>
      <c r="D91" s="30"/>
      <c r="E91" s="30"/>
      <c r="F91" s="30"/>
      <c r="G91" s="30">
        <v>10</v>
      </c>
      <c r="H91" s="30"/>
      <c r="I91" s="30"/>
      <c r="J91" s="43"/>
      <c r="K91" s="43"/>
      <c r="L91" s="36">
        <f t="shared" si="3"/>
        <v>10</v>
      </c>
    </row>
    <row r="92" spans="2:12">
      <c r="B92" s="11">
        <v>1112003</v>
      </c>
      <c r="C92" s="19" t="s">
        <v>77</v>
      </c>
      <c r="D92" s="30"/>
      <c r="E92" s="30"/>
      <c r="F92" s="30"/>
      <c r="G92" s="30">
        <v>10</v>
      </c>
      <c r="H92" s="30"/>
      <c r="I92" s="30"/>
      <c r="J92" s="43"/>
      <c r="K92" s="43"/>
      <c r="L92" s="36">
        <f t="shared" si="3"/>
        <v>10</v>
      </c>
    </row>
    <row r="93" spans="2:12">
      <c r="B93" s="11">
        <v>1112005</v>
      </c>
      <c r="C93" s="19" t="s">
        <v>78</v>
      </c>
      <c r="D93" s="30"/>
      <c r="E93" s="30"/>
      <c r="F93" s="30"/>
      <c r="G93" s="30">
        <v>11</v>
      </c>
      <c r="H93" s="30"/>
      <c r="I93" s="30"/>
      <c r="J93" s="43"/>
      <c r="K93" s="43"/>
      <c r="L93" s="36">
        <f t="shared" si="3"/>
        <v>11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>
        <v>11</v>
      </c>
      <c r="H97" s="30"/>
      <c r="I97" s="30"/>
      <c r="J97" s="43"/>
      <c r="K97" s="43"/>
      <c r="L97" s="36">
        <f t="shared" si="3"/>
        <v>11</v>
      </c>
    </row>
    <row r="98" spans="2:12">
      <c r="B98" s="11">
        <v>1112013</v>
      </c>
      <c r="C98" s="19" t="s">
        <v>83</v>
      </c>
      <c r="D98" s="30"/>
      <c r="E98" s="30"/>
      <c r="F98" s="30"/>
      <c r="G98" s="30">
        <v>11</v>
      </c>
      <c r="H98" s="30"/>
      <c r="I98" s="30"/>
      <c r="J98" s="43"/>
      <c r="K98" s="43"/>
      <c r="L98" s="36">
        <f t="shared" si="3"/>
        <v>11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63</v>
      </c>
    </row>
    <row r="101" spans="2:12" ht="21">
      <c r="B101" s="66" t="s">
        <v>85</v>
      </c>
      <c r="C101" s="67"/>
      <c r="D101" s="67"/>
      <c r="E101" s="67"/>
      <c r="F101" s="67"/>
      <c r="G101" s="67"/>
      <c r="H101" s="67"/>
      <c r="I101" s="67"/>
      <c r="J101" s="67"/>
      <c r="K101" s="67"/>
      <c r="L101" s="67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6" t="s">
        <v>86</v>
      </c>
      <c r="C113" s="67"/>
      <c r="D113" s="67"/>
      <c r="E113" s="67"/>
      <c r="F113" s="67"/>
      <c r="G113" s="67"/>
      <c r="H113" s="67"/>
      <c r="I113" s="67"/>
      <c r="J113" s="67"/>
      <c r="K113" s="67"/>
      <c r="L113" s="67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>
        <v>1</v>
      </c>
      <c r="F126" s="30"/>
      <c r="G126" s="30">
        <v>6</v>
      </c>
      <c r="H126" s="30"/>
      <c r="I126" s="30"/>
      <c r="J126" s="43"/>
      <c r="K126" s="43"/>
      <c r="L126" s="36">
        <f t="shared" si="5"/>
        <v>7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ref="L141" si="6">SUM(D141:K141)</f>
        <v>0</v>
      </c>
    </row>
    <row r="142" spans="2:12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1" si="7">SUM(D142:K142)</f>
        <v>0</v>
      </c>
    </row>
    <row r="143" spans="2:12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7"/>
        <v>0</v>
      </c>
    </row>
    <row r="144" spans="2:12">
      <c r="B144" s="50">
        <v>1100045</v>
      </c>
      <c r="C144" s="49" t="s">
        <v>148</v>
      </c>
      <c r="D144" s="51"/>
      <c r="E144" s="51"/>
      <c r="F144" s="51"/>
      <c r="G144" s="52"/>
      <c r="H144" s="9"/>
      <c r="I144" s="9"/>
      <c r="J144" s="9"/>
      <c r="K144" s="9"/>
      <c r="L144" s="36">
        <f t="shared" si="7"/>
        <v>0</v>
      </c>
    </row>
    <row r="145" spans="2:12">
      <c r="B145" s="50">
        <v>20039042</v>
      </c>
      <c r="C145" s="49" t="s">
        <v>149</v>
      </c>
      <c r="D145" s="51"/>
      <c r="E145" s="51"/>
      <c r="F145" s="51"/>
      <c r="G145" s="52"/>
      <c r="H145" s="9"/>
      <c r="I145" s="9"/>
      <c r="J145" s="9"/>
      <c r="K145" s="9"/>
      <c r="L145" s="36">
        <f t="shared" si="7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7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7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7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7"/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>
      <c r="B152" s="53"/>
      <c r="C152" s="54"/>
      <c r="D152" s="31"/>
      <c r="E152" s="31"/>
      <c r="F152" s="31"/>
      <c r="G152" s="26"/>
      <c r="L152" s="55"/>
    </row>
    <row r="153" spans="2:12">
      <c r="B153" s="68" t="s">
        <v>104</v>
      </c>
      <c r="C153" s="68"/>
      <c r="D153" s="32"/>
      <c r="E153" s="64"/>
      <c r="F153" s="64"/>
      <c r="G153" s="27"/>
      <c r="H153" s="26"/>
      <c r="I153" s="68" t="s">
        <v>104</v>
      </c>
      <c r="J153" s="68"/>
      <c r="K153" s="68"/>
      <c r="L153" s="68"/>
    </row>
    <row r="154" spans="2:12">
      <c r="B154" s="64" t="s">
        <v>105</v>
      </c>
      <c r="C154" s="64"/>
      <c r="D154" s="33"/>
      <c r="E154" s="33"/>
      <c r="F154" s="33"/>
      <c r="G154" s="33"/>
      <c r="H154" s="33"/>
      <c r="I154" s="64" t="s">
        <v>106</v>
      </c>
      <c r="J154" s="64"/>
      <c r="K154" s="64"/>
      <c r="L154" s="64"/>
    </row>
    <row r="155" spans="2:12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  <row r="164" spans="4:8">
      <c r="D164" s="31"/>
      <c r="E164" s="31"/>
      <c r="F164" s="31"/>
      <c r="G164" s="31"/>
      <c r="H164" s="31"/>
    </row>
    <row r="165" spans="4:8">
      <c r="D165" s="31"/>
      <c r="E165" s="31"/>
      <c r="F165" s="31"/>
      <c r="G165" s="31"/>
      <c r="H165" s="31"/>
    </row>
    <row r="166" spans="4:8">
      <c r="D166" s="31"/>
      <c r="E166" s="31"/>
      <c r="F166" s="31"/>
      <c r="G166" s="31"/>
      <c r="H166" s="31"/>
    </row>
    <row r="167" spans="4:8">
      <c r="D167" s="31"/>
      <c r="E167" s="31"/>
      <c r="F167" s="31"/>
      <c r="G167" s="31"/>
      <c r="H167" s="31"/>
    </row>
    <row r="168" spans="4:8">
      <c r="D168" s="31"/>
      <c r="E168" s="31"/>
      <c r="F168" s="31"/>
      <c r="G168" s="31"/>
      <c r="H168" s="31"/>
    </row>
    <row r="169" spans="4:8">
      <c r="D169" s="31"/>
      <c r="E169" s="31"/>
      <c r="F169" s="31"/>
      <c r="G169" s="31"/>
      <c r="H169" s="31"/>
    </row>
    <row r="170" spans="4:8">
      <c r="D170" s="31"/>
      <c r="E170" s="31"/>
      <c r="F170" s="31"/>
      <c r="G170" s="31"/>
      <c r="H170" s="31"/>
    </row>
    <row r="171" spans="4:8">
      <c r="D171" s="31"/>
      <c r="E171" s="31"/>
      <c r="F171" s="31"/>
      <c r="G171" s="31"/>
      <c r="H171" s="31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topLeftCell="A115" zoomScale="60" zoomScaleNormal="60" workbookViewId="0">
      <selection activeCell="B145" sqref="B145:C145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5" t="s">
        <v>137</v>
      </c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2:12">
      <c r="B2" s="69"/>
      <c r="C2" s="70"/>
      <c r="D2" s="1"/>
      <c r="E2" s="71"/>
      <c r="F2" s="71"/>
      <c r="G2" s="2"/>
      <c r="H2" s="2"/>
      <c r="I2" s="2"/>
      <c r="J2" s="2"/>
      <c r="K2" s="2"/>
      <c r="L2" s="3" t="s">
        <v>0</v>
      </c>
    </row>
    <row r="3" spans="2:12">
      <c r="B3" s="69"/>
      <c r="C3" s="70"/>
      <c r="D3" s="4"/>
      <c r="E3" s="72"/>
      <c r="F3" s="72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6" t="s">
        <v>11</v>
      </c>
      <c r="C6" s="67"/>
      <c r="D6" s="67"/>
      <c r="E6" s="67"/>
      <c r="F6" s="67"/>
      <c r="G6" s="67"/>
      <c r="H6" s="67"/>
      <c r="I6" s="67"/>
      <c r="J6" s="67"/>
      <c r="K6" s="67"/>
      <c r="L6" s="67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66" t="s">
        <v>55</v>
      </c>
      <c r="C68" s="67"/>
      <c r="D68" s="67"/>
      <c r="E68" s="67"/>
      <c r="F68" s="67"/>
      <c r="G68" s="67"/>
      <c r="H68" s="67"/>
      <c r="I68" s="67"/>
      <c r="J68" s="67"/>
      <c r="K68" s="67"/>
      <c r="L68" s="67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66" t="s">
        <v>64</v>
      </c>
      <c r="C78" s="67"/>
      <c r="D78" s="67"/>
      <c r="E78" s="67"/>
      <c r="F78" s="67"/>
      <c r="G78" s="67"/>
      <c r="H78" s="67"/>
      <c r="I78" s="67"/>
      <c r="J78" s="67"/>
      <c r="K78" s="67"/>
      <c r="L78" s="67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66" t="s">
        <v>74</v>
      </c>
      <c r="C89" s="67"/>
      <c r="D89" s="67"/>
      <c r="E89" s="67"/>
      <c r="F89" s="67"/>
      <c r="G89" s="67"/>
      <c r="H89" s="67"/>
      <c r="I89" s="67"/>
      <c r="J89" s="67"/>
      <c r="K89" s="67"/>
      <c r="L89" s="67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66" t="s">
        <v>85</v>
      </c>
      <c r="C101" s="67"/>
      <c r="D101" s="67"/>
      <c r="E101" s="67"/>
      <c r="F101" s="67"/>
      <c r="G101" s="67"/>
      <c r="H101" s="67"/>
      <c r="I101" s="67"/>
      <c r="J101" s="67"/>
      <c r="K101" s="67"/>
      <c r="L101" s="67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6" t="s">
        <v>86</v>
      </c>
      <c r="C113" s="67"/>
      <c r="D113" s="67"/>
      <c r="E113" s="67"/>
      <c r="F113" s="67"/>
      <c r="G113" s="67"/>
      <c r="H113" s="67"/>
      <c r="I113" s="67"/>
      <c r="J113" s="67"/>
      <c r="K113" s="67"/>
      <c r="L113" s="67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1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si="5"/>
        <v>0</v>
      </c>
    </row>
    <row r="142" spans="2:12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0" si="6">SUM(D142:K142)</f>
        <v>0</v>
      </c>
    </row>
    <row r="143" spans="2:12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>
      <c r="B144" s="50">
        <v>1100045</v>
      </c>
      <c r="C144" s="49" t="s">
        <v>148</v>
      </c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>
      <c r="B145" s="50">
        <v>20039042</v>
      </c>
      <c r="C145" s="49" t="s">
        <v>149</v>
      </c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6"/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6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ref="L151" si="7">SUM(D151:K151)</f>
        <v>0</v>
      </c>
    </row>
    <row r="152" spans="2:12">
      <c r="B152" s="53"/>
      <c r="C152" s="54"/>
      <c r="D152" s="31"/>
      <c r="E152" s="31"/>
      <c r="F152" s="31"/>
      <c r="G152" s="26"/>
      <c r="L152" s="39"/>
    </row>
    <row r="153" spans="2:12">
      <c r="B153" s="53"/>
      <c r="C153" s="54"/>
      <c r="D153" s="31"/>
      <c r="E153" s="31"/>
      <c r="F153" s="31"/>
      <c r="G153" s="26"/>
      <c r="L153" s="39"/>
    </row>
    <row r="154" spans="2:12">
      <c r="B154" s="53"/>
      <c r="C154" s="54"/>
      <c r="D154" s="31"/>
      <c r="E154" s="31"/>
      <c r="F154" s="31"/>
      <c r="G154" s="26"/>
      <c r="L154" s="39"/>
    </row>
    <row r="155" spans="2:12">
      <c r="B155" s="53"/>
      <c r="C155" s="54"/>
      <c r="D155" s="31"/>
      <c r="E155" s="31"/>
      <c r="F155" s="31"/>
      <c r="G155" s="26"/>
      <c r="L155" s="55"/>
    </row>
    <row r="156" spans="2:12">
      <c r="B156" s="68" t="s">
        <v>104</v>
      </c>
      <c r="C156" s="68"/>
      <c r="D156" s="32"/>
      <c r="E156" s="64"/>
      <c r="F156" s="64"/>
      <c r="G156" s="27"/>
      <c r="H156" s="26"/>
      <c r="I156" s="68" t="s">
        <v>104</v>
      </c>
      <c r="J156" s="68"/>
      <c r="K156" s="68"/>
      <c r="L156" s="68"/>
    </row>
    <row r="157" spans="2:12">
      <c r="B157" s="64" t="s">
        <v>105</v>
      </c>
      <c r="C157" s="64"/>
      <c r="D157" s="33"/>
      <c r="E157" s="33"/>
      <c r="F157" s="33"/>
      <c r="G157" s="33"/>
      <c r="H157" s="33"/>
      <c r="I157" s="64" t="s">
        <v>106</v>
      </c>
      <c r="J157" s="64"/>
      <c r="K157" s="64"/>
      <c r="L157" s="64"/>
    </row>
    <row r="158" spans="2:12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1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1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1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>
      <c r="D164" s="31"/>
      <c r="E164" s="31"/>
      <c r="F164" s="31"/>
      <c r="G164" s="31"/>
      <c r="H164" s="31"/>
    </row>
    <row r="165" spans="2:12">
      <c r="D165" s="31"/>
      <c r="E165" s="31"/>
      <c r="F165" s="31"/>
      <c r="G165" s="31"/>
      <c r="H165" s="31"/>
    </row>
    <row r="166" spans="2:12">
      <c r="D166" s="31"/>
      <c r="E166" s="31"/>
      <c r="F166" s="31"/>
      <c r="G166" s="31"/>
      <c r="H166" s="31"/>
    </row>
    <row r="167" spans="2:12">
      <c r="D167" s="31"/>
      <c r="E167" s="31"/>
      <c r="F167" s="31"/>
      <c r="G167" s="31"/>
      <c r="H167" s="31"/>
    </row>
    <row r="168" spans="2:12">
      <c r="D168" s="31"/>
      <c r="E168" s="31"/>
      <c r="F168" s="31"/>
      <c r="G168" s="31"/>
      <c r="H168" s="31"/>
    </row>
    <row r="169" spans="2:12">
      <c r="D169" s="31"/>
      <c r="E169" s="31"/>
      <c r="F169" s="31"/>
      <c r="G169" s="31"/>
      <c r="H169" s="31"/>
    </row>
    <row r="170" spans="2:12">
      <c r="D170" s="31"/>
      <c r="E170" s="31"/>
      <c r="F170" s="31"/>
      <c r="G170" s="31"/>
      <c r="H170" s="31"/>
    </row>
    <row r="171" spans="2:12">
      <c r="D171" s="31"/>
      <c r="E171" s="31"/>
      <c r="F171" s="31"/>
      <c r="G171" s="31"/>
      <c r="H171" s="31"/>
    </row>
    <row r="172" spans="2:12">
      <c r="D172" s="31"/>
      <c r="E172" s="31"/>
      <c r="F172" s="31"/>
      <c r="G172" s="31"/>
      <c r="H172" s="31"/>
    </row>
    <row r="173" spans="2:12">
      <c r="D173" s="31"/>
      <c r="E173" s="31"/>
      <c r="F173" s="31"/>
      <c r="G173" s="31"/>
      <c r="H173" s="31"/>
    </row>
    <row r="174" spans="2:12">
      <c r="D174" s="31"/>
      <c r="E174" s="31"/>
      <c r="F174" s="31"/>
      <c r="G174" s="31"/>
      <c r="H174" s="31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74"/>
  <sheetViews>
    <sheetView tabSelected="1" topLeftCell="B43" zoomScale="50" zoomScaleNormal="50" workbookViewId="0">
      <selection activeCell="AI65" sqref="AI65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65" t="s">
        <v>151</v>
      </c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2:17">
      <c r="B2" s="69"/>
      <c r="C2" s="70"/>
      <c r="D2" s="1"/>
      <c r="E2" s="71"/>
      <c r="F2" s="71"/>
      <c r="G2" s="2"/>
      <c r="H2" s="2"/>
      <c r="I2" s="2"/>
      <c r="J2" s="2"/>
      <c r="K2" s="2"/>
      <c r="L2" s="3" t="s">
        <v>0</v>
      </c>
      <c r="M2" s="74" t="s">
        <v>127</v>
      </c>
      <c r="N2" s="74" t="s">
        <v>130</v>
      </c>
      <c r="O2" s="74" t="s">
        <v>140</v>
      </c>
      <c r="P2" s="74" t="s">
        <v>141</v>
      </c>
      <c r="Q2" s="77" t="s">
        <v>1</v>
      </c>
    </row>
    <row r="3" spans="2:17">
      <c r="B3" s="69"/>
      <c r="C3" s="70"/>
      <c r="D3" s="4"/>
      <c r="E3" s="72"/>
      <c r="F3" s="72"/>
      <c r="G3" s="5"/>
      <c r="H3" s="5"/>
      <c r="I3" s="5"/>
      <c r="J3" s="41"/>
      <c r="K3" s="41"/>
      <c r="L3" s="6" t="s">
        <v>2</v>
      </c>
      <c r="M3" s="75"/>
      <c r="N3" s="75"/>
      <c r="O3" s="75"/>
      <c r="P3" s="75"/>
      <c r="Q3" s="78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76"/>
      <c r="N4" s="76"/>
      <c r="O4" s="76"/>
      <c r="P4" s="76"/>
      <c r="Q4" s="79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66" t="s">
        <v>11</v>
      </c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73"/>
    </row>
    <row r="7" spans="2:17">
      <c r="B7" s="11">
        <v>1111002</v>
      </c>
      <c r="C7" s="15" t="s">
        <v>107</v>
      </c>
      <c r="D7" s="30">
        <f>'เย็น '!D7+'เช้า '!D7+บ่าย!D7</f>
        <v>0</v>
      </c>
      <c r="E7" s="63">
        <f>'เย็น '!E7+'เช้า '!E7+บ่าย!E7</f>
        <v>22</v>
      </c>
      <c r="F7" s="63">
        <f>'เย็น '!F7+'เช้า '!F7+บ่าย!F7</f>
        <v>46</v>
      </c>
      <c r="G7" s="30">
        <f>'เย็น '!G7+'เช้า '!G7+บ่าย!G7</f>
        <v>11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0</v>
      </c>
      <c r="L7" s="36">
        <f>SUM(D7:K7)</f>
        <v>79</v>
      </c>
      <c r="M7" s="11">
        <v>50</v>
      </c>
      <c r="N7" s="11">
        <v>36</v>
      </c>
      <c r="O7" s="11"/>
      <c r="P7" s="11">
        <v>50</v>
      </c>
      <c r="Q7" s="44">
        <f>(M7+N7+O7+P7)-L7</f>
        <v>57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0</v>
      </c>
      <c r="F25" s="63">
        <f>'เย็น '!F25+'เช้า '!F25+บ่าย!F25</f>
        <v>1</v>
      </c>
      <c r="G25" s="63">
        <f>'เย็น '!G25+'เช้า '!G25+บ่าย!G25</f>
        <v>7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8</v>
      </c>
      <c r="M25" s="11"/>
      <c r="N25" s="11">
        <v>19</v>
      </c>
      <c r="O25" s="11"/>
      <c r="P25" s="11"/>
      <c r="Q25" s="44">
        <f t="shared" si="1"/>
        <v>11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0</v>
      </c>
      <c r="F26" s="30">
        <f>'เย็น '!F26+'เช้า '!F26+บ่าย!F26</f>
        <v>0</v>
      </c>
      <c r="G26" s="30">
        <f>'เย็น '!G26+'เช้า '!G26+บ่าย!G26</f>
        <v>0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0</v>
      </c>
      <c r="M26" s="11">
        <v>40</v>
      </c>
      <c r="N26" s="11">
        <v>91</v>
      </c>
      <c r="O26" s="11"/>
      <c r="P26" s="11">
        <v>40</v>
      </c>
      <c r="Q26" s="44">
        <f t="shared" si="1"/>
        <v>171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4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4</v>
      </c>
      <c r="M40" s="11"/>
      <c r="N40" s="11"/>
      <c r="O40" s="11"/>
      <c r="P40" s="11"/>
      <c r="Q40" s="44">
        <f t="shared" si="1"/>
        <v>-4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4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4</v>
      </c>
      <c r="M41" s="11"/>
      <c r="N41" s="11"/>
      <c r="O41" s="11"/>
      <c r="P41" s="11"/>
      <c r="Q41" s="44">
        <f t="shared" si="1"/>
        <v>-4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4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4</v>
      </c>
      <c r="M42" s="11"/>
      <c r="N42" s="11"/>
      <c r="O42" s="11"/>
      <c r="P42" s="11"/>
      <c r="Q42" s="44">
        <f t="shared" si="1"/>
        <v>-4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4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4</v>
      </c>
      <c r="M43" s="11"/>
      <c r="N43" s="11"/>
      <c r="O43" s="11"/>
      <c r="P43" s="11"/>
      <c r="Q43" s="44">
        <f t="shared" si="1"/>
        <v>-4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4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4</v>
      </c>
      <c r="M44" s="11"/>
      <c r="N44" s="11"/>
      <c r="O44" s="11"/>
      <c r="P44" s="11"/>
      <c r="Q44" s="44">
        <f t="shared" si="1"/>
        <v>-4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4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4</v>
      </c>
      <c r="M45" s="11"/>
      <c r="N45" s="11"/>
      <c r="O45" s="11"/>
      <c r="P45" s="11"/>
      <c r="Q45" s="44">
        <f t="shared" si="1"/>
        <v>-4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4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4</v>
      </c>
      <c r="M46" s="11"/>
      <c r="N46" s="11"/>
      <c r="O46" s="11"/>
      <c r="P46" s="11"/>
      <c r="Q46" s="44">
        <f t="shared" si="1"/>
        <v>-4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4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4</v>
      </c>
      <c r="M47" s="11"/>
      <c r="N47" s="11"/>
      <c r="O47" s="11"/>
      <c r="P47" s="11"/>
      <c r="Q47" s="44">
        <f t="shared" si="1"/>
        <v>-4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4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4</v>
      </c>
      <c r="M48" s="11"/>
      <c r="N48" s="11"/>
      <c r="O48" s="11"/>
      <c r="P48" s="11"/>
      <c r="Q48" s="44">
        <f t="shared" si="1"/>
        <v>-4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4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4</v>
      </c>
      <c r="M49" s="11"/>
      <c r="N49" s="11"/>
      <c r="O49" s="11"/>
      <c r="P49" s="11"/>
      <c r="Q49" s="44">
        <f t="shared" si="1"/>
        <v>-4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4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4</v>
      </c>
      <c r="M50" s="11"/>
      <c r="N50" s="11"/>
      <c r="O50" s="11"/>
      <c r="P50" s="11"/>
      <c r="Q50" s="44">
        <f t="shared" si="1"/>
        <v>-4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3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3</v>
      </c>
      <c r="M51" s="11"/>
      <c r="N51" s="11"/>
      <c r="O51" s="11"/>
      <c r="P51" s="11"/>
      <c r="Q51" s="44">
        <f t="shared" si="1"/>
        <v>-3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3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3</v>
      </c>
      <c r="M52" s="11"/>
      <c r="N52" s="11"/>
      <c r="O52" s="11"/>
      <c r="P52" s="11"/>
      <c r="Q52" s="44">
        <f t="shared" si="1"/>
        <v>-3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1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1</v>
      </c>
      <c r="M56" s="11"/>
      <c r="N56" s="11"/>
      <c r="O56" s="11"/>
      <c r="P56" s="11"/>
      <c r="Q56" s="44">
        <f t="shared" si="1"/>
        <v>-1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1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1</v>
      </c>
      <c r="M57" s="11"/>
      <c r="N57" s="11"/>
      <c r="O57" s="11"/>
      <c r="P57" s="11"/>
      <c r="Q57" s="44">
        <f t="shared" si="1"/>
        <v>-1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1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1</v>
      </c>
      <c r="M58" s="11"/>
      <c r="N58" s="11"/>
      <c r="O58" s="11"/>
      <c r="P58" s="11"/>
      <c r="Q58" s="44">
        <f t="shared" si="1"/>
        <v>-1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1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1</v>
      </c>
      <c r="M59" s="11"/>
      <c r="N59" s="11"/>
      <c r="O59" s="11"/>
      <c r="P59" s="11"/>
      <c r="Q59" s="44">
        <f t="shared" si="1"/>
        <v>-1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1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1</v>
      </c>
      <c r="M60" s="11"/>
      <c r="N60" s="11"/>
      <c r="O60" s="11"/>
      <c r="P60" s="11"/>
      <c r="Q60" s="44">
        <f t="shared" si="1"/>
        <v>-1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1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1</v>
      </c>
      <c r="M61" s="11"/>
      <c r="N61" s="11"/>
      <c r="O61" s="11"/>
      <c r="P61" s="11"/>
      <c r="Q61" s="44">
        <f t="shared" si="1"/>
        <v>-1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1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1</v>
      </c>
      <c r="M62" s="11"/>
      <c r="N62" s="11"/>
      <c r="O62" s="11"/>
      <c r="P62" s="11"/>
      <c r="Q62" s="44">
        <f t="shared" si="1"/>
        <v>-1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1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1</v>
      </c>
      <c r="M63" s="11"/>
      <c r="N63" s="11"/>
      <c r="O63" s="11"/>
      <c r="P63" s="11"/>
      <c r="Q63" s="44">
        <f t="shared" si="1"/>
        <v>-1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1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1</v>
      </c>
      <c r="M64" s="11"/>
      <c r="N64" s="11"/>
      <c r="O64" s="11"/>
      <c r="P64" s="11"/>
      <c r="Q64" s="44">
        <f t="shared" si="1"/>
        <v>-1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1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1</v>
      </c>
      <c r="M65" s="11"/>
      <c r="N65" s="11"/>
      <c r="O65" s="11"/>
      <c r="P65" s="11"/>
      <c r="Q65" s="44">
        <f t="shared" si="1"/>
        <v>-1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66" t="s">
        <v>55</v>
      </c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73"/>
    </row>
    <row r="69" spans="2:20">
      <c r="B69" s="11">
        <v>1111009</v>
      </c>
      <c r="C69" s="19" t="s">
        <v>56</v>
      </c>
      <c r="D69" s="30">
        <f>'เย็น '!D69+'เช้า '!D69+บ่าย!D69</f>
        <v>0</v>
      </c>
      <c r="E69" s="30">
        <f>'เย็น '!E69+'เช้า '!E69+บ่าย!E69</f>
        <v>1</v>
      </c>
      <c r="F69" s="63">
        <f>'เย็น '!F69+'เช้า '!F69+บ่าย!F69</f>
        <v>4</v>
      </c>
      <c r="G69" s="63">
        <f>'เย็น '!G69+'เช้า '!G69+บ่าย!G69</f>
        <v>3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8</v>
      </c>
      <c r="M69" s="11">
        <v>10</v>
      </c>
      <c r="N69" s="11">
        <v>3</v>
      </c>
      <c r="O69" s="11"/>
      <c r="P69" s="11">
        <v>10</v>
      </c>
      <c r="Q69" s="44">
        <f t="shared" ref="Q69:Q76" si="5">(M69+N69+O69+P69)-L69</f>
        <v>15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66" t="s">
        <v>64</v>
      </c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73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0</v>
      </c>
      <c r="E87" s="30">
        <f>'เย็น '!E87+'เช้า '!E87+บ่าย!E87</f>
        <v>0</v>
      </c>
      <c r="F87" s="30">
        <f>'เย็น '!F87+'เช้า '!F87+บ่าย!F87</f>
        <v>0</v>
      </c>
      <c r="G87" s="63">
        <f>'เย็น '!G87+'เช้า '!G87+บ่าย!G87</f>
        <v>21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21</v>
      </c>
      <c r="M87" s="11">
        <v>30</v>
      </c>
      <c r="N87" s="11">
        <v>35</v>
      </c>
      <c r="O87" s="11"/>
      <c r="P87" s="11">
        <v>30</v>
      </c>
      <c r="Q87" s="44">
        <f t="shared" si="8"/>
        <v>74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66" t="s">
        <v>74</v>
      </c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73"/>
    </row>
    <row r="90" spans="2:17">
      <c r="B90" s="11">
        <v>1112009</v>
      </c>
      <c r="C90" s="19" t="s">
        <v>75</v>
      </c>
      <c r="D90" s="30">
        <f>'เย็น '!D90+'เช้า '!D90+บ่าย!D90</f>
        <v>0</v>
      </c>
      <c r="E90" s="30">
        <f>'เย็น '!E90+'เช้า '!E90+บ่าย!E90</f>
        <v>0</v>
      </c>
      <c r="F90" s="30">
        <f>'เย็น '!F90+'เช้า '!F90+บ่าย!F90</f>
        <v>0</v>
      </c>
      <c r="G90" s="63">
        <f>'เย็น '!G90+'เช้า '!G90+บ่าย!G90</f>
        <v>36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0</v>
      </c>
      <c r="L90" s="36">
        <f t="shared" ref="L90:L99" si="9">SUM(D90:K90)</f>
        <v>36</v>
      </c>
      <c r="M90" s="11">
        <v>34</v>
      </c>
      <c r="N90" s="11">
        <v>15</v>
      </c>
      <c r="O90" s="11"/>
      <c r="P90" s="11">
        <v>30</v>
      </c>
      <c r="Q90" s="44">
        <f t="shared" ref="Q90:Q100" si="10">(M90+N90+O90+P90)-L90</f>
        <v>43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0</v>
      </c>
      <c r="E91" s="30">
        <f>'เย็น '!E91+'เช้า '!E91+บ่าย!E91</f>
        <v>0</v>
      </c>
      <c r="F91" s="30">
        <f>'เย็น '!F91+'เช้า '!F91+บ่าย!F91</f>
        <v>0</v>
      </c>
      <c r="G91" s="63">
        <f>'เย็น '!G91+'เช้า '!G91+บ่าย!G91</f>
        <v>36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36</v>
      </c>
      <c r="M91" s="11">
        <v>30</v>
      </c>
      <c r="N91" s="11">
        <v>11</v>
      </c>
      <c r="O91" s="11"/>
      <c r="P91" s="11">
        <v>30</v>
      </c>
      <c r="Q91" s="44">
        <f t="shared" si="10"/>
        <v>35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0</v>
      </c>
      <c r="E92" s="30">
        <f>'เย็น '!E92+'เช้า '!E92+บ่าย!E92</f>
        <v>0</v>
      </c>
      <c r="F92" s="30">
        <f>'เย็น '!F92+'เช้า '!F92+บ่าย!F92</f>
        <v>0</v>
      </c>
      <c r="G92" s="63">
        <f>'เย็น '!G92+'เช้า '!G92+บ่าย!G92</f>
        <v>36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36</v>
      </c>
      <c r="M92" s="11">
        <v>37</v>
      </c>
      <c r="N92" s="11">
        <v>12</v>
      </c>
      <c r="O92" s="11"/>
      <c r="P92" s="11">
        <v>30</v>
      </c>
      <c r="Q92" s="44">
        <f t="shared" si="10"/>
        <v>43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0</v>
      </c>
      <c r="E93" s="30">
        <f>'เย็น '!E93+'เช้า '!E93+บ่าย!E93</f>
        <v>0</v>
      </c>
      <c r="F93" s="30">
        <f>'เย็น '!F93+'เช้า '!F93+บ่าย!F93</f>
        <v>0</v>
      </c>
      <c r="G93" s="63">
        <f>'เย็น '!G93+'เช้า '!G93+บ่าย!G93</f>
        <v>37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37</v>
      </c>
      <c r="M93" s="11">
        <v>30</v>
      </c>
      <c r="N93" s="11">
        <v>17</v>
      </c>
      <c r="O93" s="11"/>
      <c r="P93" s="11">
        <v>30</v>
      </c>
      <c r="Q93" s="44">
        <f t="shared" si="10"/>
        <v>40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0</v>
      </c>
      <c r="E97" s="30">
        <f>'เย็น '!E97+'เช้า '!E97+บ่าย!E97</f>
        <v>0</v>
      </c>
      <c r="F97" s="30">
        <f>'เย็น '!F97+'เช้า '!F97+บ่าย!F97</f>
        <v>0</v>
      </c>
      <c r="G97" s="63">
        <f>'เย็น '!G97+'เช้า '!G97+บ่าย!G97</f>
        <v>38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38</v>
      </c>
      <c r="M97" s="11">
        <v>31</v>
      </c>
      <c r="N97" s="11">
        <v>15</v>
      </c>
      <c r="O97" s="11"/>
      <c r="P97" s="11">
        <v>30</v>
      </c>
      <c r="Q97" s="44">
        <f t="shared" si="10"/>
        <v>38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0</v>
      </c>
      <c r="E98" s="30">
        <f>'เย็น '!E98+'เช้า '!E98+บ่าย!E98</f>
        <v>0</v>
      </c>
      <c r="F98" s="30">
        <f>'เย็น '!F98+'เช้า '!F98+บ่าย!F98</f>
        <v>1</v>
      </c>
      <c r="G98" s="63">
        <f>'เย็น '!G98+'เช้า '!G98+บ่าย!G98</f>
        <v>37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38</v>
      </c>
      <c r="M98" s="11">
        <v>42</v>
      </c>
      <c r="N98" s="11">
        <v>8</v>
      </c>
      <c r="O98" s="11"/>
      <c r="P98" s="11">
        <v>30</v>
      </c>
      <c r="Q98" s="44">
        <f t="shared" si="10"/>
        <v>42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221</v>
      </c>
      <c r="M100" s="11">
        <f>SUM(M90:M99)</f>
        <v>204</v>
      </c>
      <c r="N100" s="11">
        <f>SUM(N90:N99)</f>
        <v>78</v>
      </c>
      <c r="O100" s="11">
        <f>SUM(O90:O99)</f>
        <v>0</v>
      </c>
      <c r="P100" s="11">
        <f>SUM(P90:P99)</f>
        <v>180</v>
      </c>
      <c r="Q100" s="44">
        <f t="shared" si="10"/>
        <v>241</v>
      </c>
    </row>
    <row r="101" spans="2:17" ht="21">
      <c r="B101" s="66" t="s">
        <v>85</v>
      </c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73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30">
        <f>บ่าย!K102+'เช้า '!K102+'เย็น '!K102</f>
        <v>0</v>
      </c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30">
        <f>บ่าย!K103+'เช้า '!K103+'เย็น '!K103</f>
        <v>0</v>
      </c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30">
        <f>บ่าย!K104+'เช้า '!K104+'เย็น '!K104</f>
        <v>0</v>
      </c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30">
        <f>บ่าย!K105+'เช้า '!K105+'เย็น '!K105</f>
        <v>0</v>
      </c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30">
        <f>บ่าย!K106+'เช้า '!K106+'เย็น '!K106</f>
        <v>0</v>
      </c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30">
        <f>บ่าย!K107+'เช้า '!K107+'เย็น '!K107</f>
        <v>0</v>
      </c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30">
        <f>บ่าย!K108+'เช้า '!K108+'เย็น '!K108</f>
        <v>0</v>
      </c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30">
        <f>บ่าย!K109+'เช้า '!K109+'เย็น '!K109</f>
        <v>0</v>
      </c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30">
        <f>บ่าย!K110+'เช้า '!K110+'เย็น '!K110</f>
        <v>0</v>
      </c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30">
        <f>บ่าย!K111+'เช้า '!K111+'เย็น '!K111</f>
        <v>0</v>
      </c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>
        <f>SUM(M102:M111)</f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21">
      <c r="B113" s="66" t="s">
        <v>86</v>
      </c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73"/>
    </row>
    <row r="114" spans="2:17">
      <c r="B114" s="11">
        <v>1113170</v>
      </c>
      <c r="C114" s="21" t="s">
        <v>87</v>
      </c>
      <c r="D114" s="30">
        <f>บ่าย!D114+'เช้า '!D114+'เย็น '!D114</f>
        <v>0</v>
      </c>
      <c r="E114" s="30">
        <f>บ่าย!E114+'เช้า '!E114+'เย็น '!E114</f>
        <v>0</v>
      </c>
      <c r="F114" s="30">
        <f>บ่าย!F114+'เช้า '!F114+'เย็น '!F114</f>
        <v>0</v>
      </c>
      <c r="G114" s="30">
        <f>บ่าย!G114+'เช้า '!G114+'เย็น '!G114</f>
        <v>0</v>
      </c>
      <c r="H114" s="30">
        <f>บ่าย!H114+'เช้า '!H114+'เย็น '!H114</f>
        <v>0</v>
      </c>
      <c r="I114" s="30">
        <f>บ่าย!I114+'เช้า '!I114+'เย็น '!I114</f>
        <v>0</v>
      </c>
      <c r="J114" s="30">
        <f>บ่าย!J114+'เช้า '!J114+'เย็น '!J114</f>
        <v>0</v>
      </c>
      <c r="K114" s="30">
        <f>บ่าย!K114+'เช้า '!K114+'เย็น '!K114</f>
        <v>0</v>
      </c>
      <c r="L114" s="36">
        <f t="shared" ref="L114:L151" si="13">SUM(D114:K114)</f>
        <v>0</v>
      </c>
      <c r="M114" s="11">
        <v>15</v>
      </c>
      <c r="N114" s="11"/>
      <c r="O114" s="11"/>
      <c r="P114" s="11"/>
      <c r="Q114" s="44">
        <f t="shared" ref="Q114:Q151" si="14">(M114+N114+O114+P114)-L114</f>
        <v>15</v>
      </c>
    </row>
    <row r="115" spans="2:17">
      <c r="B115" s="11">
        <v>1113171</v>
      </c>
      <c r="C115" s="21" t="s">
        <v>88</v>
      </c>
      <c r="D115" s="30">
        <f>บ่าย!D115+'เช้า '!D115+'เย็น '!D115</f>
        <v>0</v>
      </c>
      <c r="E115" s="30">
        <f>บ่าย!E115+'เช้า '!E115+'เย็น '!E115</f>
        <v>0</v>
      </c>
      <c r="F115" s="30">
        <f>บ่าย!F115+'เช้า '!F115+'เย็น '!F115</f>
        <v>0</v>
      </c>
      <c r="G115" s="30">
        <f>บ่าย!G115+'เช้า '!G115+'เย็น '!G115</f>
        <v>0</v>
      </c>
      <c r="H115" s="30">
        <f>บ่าย!H115+'เช้า '!H115+'เย็น '!H115</f>
        <v>0</v>
      </c>
      <c r="I115" s="30">
        <f>บ่าย!I115+'เช้า '!I115+'เย็น '!I115</f>
        <v>0</v>
      </c>
      <c r="J115" s="30">
        <f>บ่าย!J115+'เช้า '!J115+'เย็น '!J115</f>
        <v>0</v>
      </c>
      <c r="K115" s="30">
        <f>บ่าย!K115+'เช้า '!K115+'เย็น '!K115</f>
        <v>0</v>
      </c>
      <c r="L115" s="36">
        <f t="shared" si="13"/>
        <v>0</v>
      </c>
      <c r="M115" s="11">
        <v>9</v>
      </c>
      <c r="N115" s="11"/>
      <c r="O115" s="11"/>
      <c r="P115" s="11"/>
      <c r="Q115" s="44">
        <f t="shared" si="14"/>
        <v>9</v>
      </c>
    </row>
    <row r="116" spans="2:17">
      <c r="B116" s="11">
        <v>1113172</v>
      </c>
      <c r="C116" s="21" t="s">
        <v>89</v>
      </c>
      <c r="D116" s="30">
        <f>บ่าย!D116+'เช้า '!D116+'เย็น '!D116</f>
        <v>0</v>
      </c>
      <c r="E116" s="30">
        <f>บ่าย!E116+'เช้า '!E116+'เย็น '!E116</f>
        <v>0</v>
      </c>
      <c r="F116" s="30">
        <f>บ่าย!F116+'เช้า '!F116+'เย็น '!F116</f>
        <v>0</v>
      </c>
      <c r="G116" s="30">
        <f>บ่าย!G116+'เช้า '!G116+'เย็น '!G116</f>
        <v>0</v>
      </c>
      <c r="H116" s="30">
        <f>บ่าย!H116+'เช้า '!H116+'เย็น '!H116</f>
        <v>0</v>
      </c>
      <c r="I116" s="30">
        <f>บ่าย!I116+'เช้า '!I116+'เย็น '!I116</f>
        <v>0</v>
      </c>
      <c r="J116" s="30">
        <f>บ่าย!J116+'เช้า '!J116+'เย็น '!J116</f>
        <v>0</v>
      </c>
      <c r="K116" s="30">
        <f>บ่าย!K116+'เช้า '!K116+'เย็น '!K116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บ่าย!D117+'เช้า '!D117+'เย็น '!D117</f>
        <v>0</v>
      </c>
      <c r="E117" s="30">
        <f>บ่าย!E117+'เช้า '!E117+'เย็น '!E117</f>
        <v>0</v>
      </c>
      <c r="F117" s="30">
        <f>บ่าย!F117+'เช้า '!F117+'เย็น '!F117</f>
        <v>0</v>
      </c>
      <c r="G117" s="30">
        <f>บ่าย!G117+'เช้า '!G117+'เย็น '!G117</f>
        <v>0</v>
      </c>
      <c r="H117" s="30">
        <f>บ่าย!H117+'เช้า '!H117+'เย็น '!H117</f>
        <v>0</v>
      </c>
      <c r="I117" s="30">
        <f>บ่าย!I117+'เช้า '!I117+'เย็น '!I117</f>
        <v>0</v>
      </c>
      <c r="J117" s="30">
        <f>บ่าย!J117+'เช้า '!J117+'เย็น '!J117</f>
        <v>0</v>
      </c>
      <c r="K117" s="30">
        <f>บ่าย!K117+'เช้า '!K117+'เย็น '!K117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บ่าย!D118+'เช้า '!D118+'เย็น '!D118</f>
        <v>0</v>
      </c>
      <c r="E118" s="30">
        <f>บ่าย!E118+'เช้า '!E118+'เย็น '!E118</f>
        <v>0</v>
      </c>
      <c r="F118" s="30">
        <f>บ่าย!F118+'เช้า '!F118+'เย็น '!F118</f>
        <v>0</v>
      </c>
      <c r="G118" s="30">
        <f>บ่าย!G118+'เช้า '!G118+'เย็น '!G118</f>
        <v>0</v>
      </c>
      <c r="H118" s="30">
        <f>บ่าย!H118+'เช้า '!H118+'เย็น '!H118</f>
        <v>0</v>
      </c>
      <c r="I118" s="30">
        <f>บ่าย!I118+'เช้า '!I118+'เย็น '!I118</f>
        <v>0</v>
      </c>
      <c r="J118" s="30">
        <f>บ่าย!J118+'เช้า '!J118+'เย็น '!J118</f>
        <v>0</v>
      </c>
      <c r="K118" s="30">
        <f>บ่าย!K118+'เช้า '!K118+'เย็น '!K118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บ่าย!D119+'เช้า '!D119+'เย็น '!D119</f>
        <v>0</v>
      </c>
      <c r="E119" s="30">
        <f>บ่าย!E119+'เช้า '!E119+'เย็น '!E119</f>
        <v>0</v>
      </c>
      <c r="F119" s="30">
        <f>บ่าย!F119+'เช้า '!F119+'เย็น '!F119</f>
        <v>0</v>
      </c>
      <c r="G119" s="30">
        <f>บ่าย!G119+'เช้า '!G119+'เย็น '!G119</f>
        <v>0</v>
      </c>
      <c r="H119" s="30">
        <f>บ่าย!H119+'เช้า '!H119+'เย็น '!H119</f>
        <v>0</v>
      </c>
      <c r="I119" s="30">
        <f>บ่าย!I119+'เช้า '!I119+'เย็น '!I119</f>
        <v>0</v>
      </c>
      <c r="J119" s="30">
        <f>บ่าย!J119+'เช้า '!J119+'เย็น '!J119</f>
        <v>0</v>
      </c>
      <c r="K119" s="30">
        <f>บ่าย!K119+'เช้า '!K119+'เย็น '!K119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บ่าย!D120+'เช้า '!D120+'เย็น '!D120</f>
        <v>0</v>
      </c>
      <c r="E120" s="30">
        <f>บ่าย!E120+'เช้า '!E120+'เย็น '!E120</f>
        <v>0</v>
      </c>
      <c r="F120" s="30">
        <f>บ่าย!F120+'เช้า '!F120+'เย็น '!F120</f>
        <v>0</v>
      </c>
      <c r="G120" s="30">
        <f>บ่าย!G120+'เช้า '!G120+'เย็น '!G120</f>
        <v>0</v>
      </c>
      <c r="H120" s="30">
        <f>บ่าย!H120+'เช้า '!H120+'เย็น '!H120</f>
        <v>0</v>
      </c>
      <c r="I120" s="30">
        <f>บ่าย!I120+'เช้า '!I120+'เย็น '!I120</f>
        <v>0</v>
      </c>
      <c r="J120" s="30">
        <f>บ่าย!J120+'เช้า '!J120+'เย็น '!J120</f>
        <v>0</v>
      </c>
      <c r="K120" s="30">
        <f>บ่าย!K120+'เช้า '!K120+'เย็น '!K120</f>
        <v>0</v>
      </c>
      <c r="L120" s="36">
        <f t="shared" si="13"/>
        <v>0</v>
      </c>
      <c r="M120" s="11"/>
      <c r="N120" s="11"/>
      <c r="O120" s="11"/>
      <c r="P120" s="11"/>
      <c r="Q120" s="44">
        <f t="shared" si="14"/>
        <v>0</v>
      </c>
    </row>
    <row r="121" spans="2:17">
      <c r="B121" s="11">
        <v>1200001</v>
      </c>
      <c r="C121" s="21" t="s">
        <v>93</v>
      </c>
      <c r="D121" s="30">
        <f>บ่าย!D121+'เช้า '!D121+'เย็น '!D121</f>
        <v>0</v>
      </c>
      <c r="E121" s="30">
        <f>บ่าย!E121+'เช้า '!E121+'เย็น '!E121</f>
        <v>0</v>
      </c>
      <c r="F121" s="30">
        <f>บ่าย!F121+'เช้า '!F121+'เย็น '!F121</f>
        <v>0</v>
      </c>
      <c r="G121" s="30">
        <f>บ่าย!G121+'เช้า '!G121+'เย็น '!G121</f>
        <v>0</v>
      </c>
      <c r="H121" s="30">
        <f>บ่าย!H121+'เช้า '!H121+'เย็น '!H121</f>
        <v>0</v>
      </c>
      <c r="I121" s="30">
        <f>บ่าย!I121+'เช้า '!I121+'เย็น '!I121</f>
        <v>0</v>
      </c>
      <c r="J121" s="30">
        <f>บ่าย!J121+'เช้า '!J121+'เย็น '!J121</f>
        <v>0</v>
      </c>
      <c r="K121" s="30">
        <f>บ่าย!K121+'เช้า '!K121+'เย็น '!K121</f>
        <v>0</v>
      </c>
      <c r="L121" s="36">
        <f t="shared" si="13"/>
        <v>0</v>
      </c>
      <c r="M121" s="11"/>
      <c r="N121" s="11"/>
      <c r="O121" s="11"/>
      <c r="P121" s="11"/>
      <c r="Q121" s="44">
        <f t="shared" si="14"/>
        <v>0</v>
      </c>
    </row>
    <row r="122" spans="2:17">
      <c r="B122" s="11">
        <v>1005761</v>
      </c>
      <c r="C122" s="21" t="s">
        <v>94</v>
      </c>
      <c r="D122" s="30">
        <f>บ่าย!D122+'เช้า '!D122+'เย็น '!D122</f>
        <v>0</v>
      </c>
      <c r="E122" s="30">
        <f>บ่าย!E122+'เช้า '!E122+'เย็น '!E122</f>
        <v>0</v>
      </c>
      <c r="F122" s="30">
        <f>บ่าย!F122+'เช้า '!F122+'เย็น '!F122</f>
        <v>0</v>
      </c>
      <c r="G122" s="30">
        <f>บ่าย!G122+'เช้า '!G122+'เย็น '!G122</f>
        <v>0</v>
      </c>
      <c r="H122" s="30">
        <f>บ่าย!H122+'เช้า '!H122+'เย็น '!H122</f>
        <v>0</v>
      </c>
      <c r="I122" s="30">
        <f>บ่าย!I122+'เช้า '!I122+'เย็น '!I122</f>
        <v>0</v>
      </c>
      <c r="J122" s="30">
        <f>บ่าย!J122+'เช้า '!J122+'เย็น '!J122</f>
        <v>0</v>
      </c>
      <c r="K122" s="30">
        <f>บ่าย!K122+'เช้า '!K122+'เย็น '!K122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บ่าย!D123+'เช้า '!D123+'เย็น '!D123</f>
        <v>0</v>
      </c>
      <c r="E123" s="30">
        <f>บ่าย!E123+'เช้า '!E123+'เย็น '!E123</f>
        <v>8</v>
      </c>
      <c r="F123" s="30">
        <f>บ่าย!F123+'เช้า '!F123+'เย็น '!F123</f>
        <v>6</v>
      </c>
      <c r="G123" s="30">
        <f>บ่าย!G123+'เช้า '!G123+'เย็น '!G123</f>
        <v>73</v>
      </c>
      <c r="H123" s="30">
        <f>บ่าย!H123+'เช้า '!H123+'เย็น '!H123</f>
        <v>0</v>
      </c>
      <c r="I123" s="30">
        <f>บ่าย!I123+'เช้า '!I123+'เย็น '!I123</f>
        <v>0</v>
      </c>
      <c r="J123" s="30">
        <f>บ่าย!J123+'เช้า '!J123+'เย็น '!J123</f>
        <v>0</v>
      </c>
      <c r="K123" s="30">
        <f>บ่าย!K123+'เช้า '!K123+'เย็น '!K123</f>
        <v>0</v>
      </c>
      <c r="L123" s="36">
        <f t="shared" si="13"/>
        <v>87</v>
      </c>
      <c r="M123" s="11"/>
      <c r="N123" s="11">
        <v>142</v>
      </c>
      <c r="O123" s="11"/>
      <c r="P123" s="11"/>
      <c r="Q123" s="44">
        <f t="shared" si="14"/>
        <v>55</v>
      </c>
    </row>
    <row r="124" spans="2:17">
      <c r="B124" s="11">
        <v>1114502</v>
      </c>
      <c r="C124" s="21" t="s">
        <v>96</v>
      </c>
      <c r="D124" s="30">
        <f>บ่าย!D124+'เช้า '!D124+'เย็น '!D124</f>
        <v>0</v>
      </c>
      <c r="E124" s="30">
        <f>บ่าย!E124+'เช้า '!E124+'เย็น '!E124</f>
        <v>0</v>
      </c>
      <c r="F124" s="30">
        <f>บ่าย!F124+'เช้า '!F124+'เย็น '!F124</f>
        <v>0</v>
      </c>
      <c r="G124" s="30">
        <f>บ่าย!G124+'เช้า '!G124+'เย็น '!G124</f>
        <v>73</v>
      </c>
      <c r="H124" s="30">
        <f>บ่าย!H124+'เช้า '!H124+'เย็น '!H124</f>
        <v>0</v>
      </c>
      <c r="I124" s="30">
        <f>บ่าย!I124+'เช้า '!I124+'เย็น '!I124</f>
        <v>0</v>
      </c>
      <c r="J124" s="30">
        <f>บ่าย!J124+'เช้า '!J124+'เย็น '!J124</f>
        <v>0</v>
      </c>
      <c r="K124" s="30">
        <f>บ่าย!K124+'เช้า '!K124+'เย็น '!K124</f>
        <v>0</v>
      </c>
      <c r="L124" s="36">
        <f t="shared" si="13"/>
        <v>73</v>
      </c>
      <c r="M124" s="11">
        <v>24</v>
      </c>
      <c r="N124" s="11">
        <v>54</v>
      </c>
      <c r="O124" s="11"/>
      <c r="P124" s="11"/>
      <c r="Q124" s="44">
        <f t="shared" si="14"/>
        <v>5</v>
      </c>
    </row>
    <row r="125" spans="2:17">
      <c r="B125" s="11">
        <v>1114503</v>
      </c>
      <c r="C125" s="21" t="s">
        <v>97</v>
      </c>
      <c r="D125" s="30">
        <f>บ่าย!D125+'เช้า '!D125+'เย็น '!D125</f>
        <v>0</v>
      </c>
      <c r="E125" s="30">
        <f>บ่าย!E125+'เช้า '!E125+'เย็น '!E125</f>
        <v>0</v>
      </c>
      <c r="F125" s="30">
        <f>บ่าย!F125+'เช้า '!F125+'เย็น '!F125</f>
        <v>0</v>
      </c>
      <c r="G125" s="30">
        <f>บ่าย!G125+'เช้า '!G125+'เย็น '!G125</f>
        <v>73</v>
      </c>
      <c r="H125" s="30">
        <f>บ่าย!H125+'เช้า '!H125+'เย็น '!H125</f>
        <v>0</v>
      </c>
      <c r="I125" s="30">
        <f>บ่าย!I125+'เช้า '!I125+'เย็น '!I125</f>
        <v>0</v>
      </c>
      <c r="J125" s="30">
        <f>บ่าย!J125+'เช้า '!J125+'เย็น '!J125</f>
        <v>0</v>
      </c>
      <c r="K125" s="30">
        <f>บ่าย!K125+'เช้า '!K125+'เย็น '!K125</f>
        <v>0</v>
      </c>
      <c r="L125" s="36">
        <f t="shared" si="13"/>
        <v>73</v>
      </c>
      <c r="M125" s="11">
        <v>29</v>
      </c>
      <c r="N125" s="11">
        <v>20</v>
      </c>
      <c r="O125" s="11"/>
      <c r="P125" s="11"/>
      <c r="Q125" s="44">
        <f t="shared" si="14"/>
        <v>-24</v>
      </c>
    </row>
    <row r="126" spans="2:17">
      <c r="B126" s="11">
        <v>1124021</v>
      </c>
      <c r="C126" s="21" t="s">
        <v>98</v>
      </c>
      <c r="D126" s="30">
        <f>บ่าย!D126+'เช้า '!D126+'เย็น '!D126</f>
        <v>0</v>
      </c>
      <c r="E126" s="63">
        <f>บ่าย!E126+'เช้า '!E126+'เย็น '!E126</f>
        <v>17</v>
      </c>
      <c r="F126" s="30">
        <f>บ่าย!F126+'เช้า '!F126+'เย็น '!F126</f>
        <v>0</v>
      </c>
      <c r="G126" s="63">
        <f>บ่าย!G126+'เช้า '!G126+'เย็น '!G126</f>
        <v>6</v>
      </c>
      <c r="H126" s="30">
        <f>บ่าย!H126+'เช้า '!H126+'เย็น '!H126</f>
        <v>0</v>
      </c>
      <c r="I126" s="30">
        <f>บ่าย!I126+'เช้า '!I126+'เย็น '!I126</f>
        <v>0</v>
      </c>
      <c r="J126" s="30">
        <f>บ่าย!J126+'เช้า '!J126+'เย็น '!J126</f>
        <v>0</v>
      </c>
      <c r="K126" s="30">
        <f>บ่าย!K126+'เช้า '!K126+'เย็น '!K126</f>
        <v>0</v>
      </c>
      <c r="L126" s="36">
        <f t="shared" si="13"/>
        <v>23</v>
      </c>
      <c r="M126" s="11">
        <v>20</v>
      </c>
      <c r="N126" s="11">
        <v>25</v>
      </c>
      <c r="O126" s="11"/>
      <c r="P126" s="11">
        <v>20</v>
      </c>
      <c r="Q126" s="44">
        <f t="shared" si="14"/>
        <v>42</v>
      </c>
    </row>
    <row r="127" spans="2:17">
      <c r="B127" s="11">
        <v>1113084</v>
      </c>
      <c r="C127" s="21" t="s">
        <v>99</v>
      </c>
      <c r="D127" s="30">
        <f>บ่าย!D127+'เช้า '!D127+'เย็น '!D127</f>
        <v>0</v>
      </c>
      <c r="E127" s="30">
        <f>บ่าย!E127+'เช้า '!E127+'เย็น '!E127</f>
        <v>0</v>
      </c>
      <c r="F127" s="30">
        <f>บ่าย!F127+'เช้า '!F127+'เย็น '!F127</f>
        <v>0</v>
      </c>
      <c r="G127" s="30">
        <f>บ่าย!G127+'เช้า '!G127+'เย็น '!G127</f>
        <v>0</v>
      </c>
      <c r="H127" s="30">
        <f>บ่าย!H127+'เช้า '!H127+'เย็น '!H127</f>
        <v>0</v>
      </c>
      <c r="I127" s="30">
        <f>บ่าย!I127+'เช้า '!I127+'เย็น '!I127</f>
        <v>0</v>
      </c>
      <c r="J127" s="30">
        <f>บ่าย!J127+'เช้า '!J127+'เย็น '!J127</f>
        <v>0</v>
      </c>
      <c r="K127" s="30">
        <f>บ่าย!K127+'เช้า '!K127+'เย็น '!K127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บ่าย!D128+'เช้า '!D128+'เย็น '!D128</f>
        <v>0</v>
      </c>
      <c r="E128" s="30">
        <f>บ่าย!E128+'เช้า '!E128+'เย็น '!E128</f>
        <v>0</v>
      </c>
      <c r="F128" s="30">
        <f>บ่าย!F128+'เช้า '!F128+'เย็น '!F128</f>
        <v>0</v>
      </c>
      <c r="G128" s="30">
        <f>บ่าย!G128+'เช้า '!G128+'เย็น '!G128</f>
        <v>0</v>
      </c>
      <c r="H128" s="30">
        <f>บ่าย!H128+'เช้า '!H128+'เย็น '!H128</f>
        <v>0</v>
      </c>
      <c r="I128" s="30">
        <f>บ่าย!I128+'เช้า '!I128+'เย็น '!I128</f>
        <v>0</v>
      </c>
      <c r="J128" s="30">
        <f>บ่าย!J128+'เช้า '!J128+'เย็น '!J128</f>
        <v>0</v>
      </c>
      <c r="K128" s="30">
        <f>บ่าย!K128+'เช้า '!K128+'เย็น '!K128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8">
      <c r="B129" s="11">
        <v>900004</v>
      </c>
      <c r="C129" s="21" t="s">
        <v>100</v>
      </c>
      <c r="D129" s="30">
        <f>บ่าย!D129+'เช้า '!D129+'เย็น '!D129</f>
        <v>0</v>
      </c>
      <c r="E129" s="30">
        <f>บ่าย!E129+'เช้า '!E129+'เย็น '!E129</f>
        <v>0</v>
      </c>
      <c r="F129" s="30">
        <f>บ่าย!F129+'เช้า '!F129+'เย็น '!F129</f>
        <v>0</v>
      </c>
      <c r="G129" s="30">
        <f>บ่าย!G129+'เช้า '!G129+'เย็น '!G129</f>
        <v>0</v>
      </c>
      <c r="H129" s="30">
        <f>บ่าย!H129+'เช้า '!H129+'เย็น '!H129</f>
        <v>0</v>
      </c>
      <c r="I129" s="30">
        <f>บ่าย!I129+'เช้า '!I129+'เย็น '!I129</f>
        <v>0</v>
      </c>
      <c r="J129" s="30">
        <f>บ่าย!J129+'เช้า '!J129+'เย็น '!J129</f>
        <v>0</v>
      </c>
      <c r="K129" s="30">
        <f>บ่าย!K129+'เช้า '!K129+'เย็น '!K129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8">
      <c r="B130" s="11">
        <v>1200002</v>
      </c>
      <c r="C130" s="21" t="s">
        <v>101</v>
      </c>
      <c r="D130" s="30">
        <f>บ่าย!D130+'เช้า '!D130+'เย็น '!D130</f>
        <v>0</v>
      </c>
      <c r="E130" s="30">
        <f>บ่าย!E130+'เช้า '!E130+'เย็น '!E130</f>
        <v>0</v>
      </c>
      <c r="F130" s="30">
        <f>บ่าย!F130+'เช้า '!F130+'เย็น '!F130</f>
        <v>0</v>
      </c>
      <c r="G130" s="30">
        <f>บ่าย!G130+'เช้า '!G130+'เย็น '!G130</f>
        <v>0</v>
      </c>
      <c r="H130" s="30">
        <f>บ่าย!H130+'เช้า '!H130+'เย็น '!H130</f>
        <v>0</v>
      </c>
      <c r="I130" s="30">
        <f>บ่าย!I130+'เช้า '!I130+'เย็น '!I130</f>
        <v>0</v>
      </c>
      <c r="J130" s="30">
        <f>บ่าย!J130+'เช้า '!J130+'เย็น '!J130</f>
        <v>0</v>
      </c>
      <c r="K130" s="30">
        <f>บ่าย!K130+'เช้า '!K130+'เย็น '!K130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8">
      <c r="B131" s="11">
        <v>1200003</v>
      </c>
      <c r="C131" s="21" t="s">
        <v>102</v>
      </c>
      <c r="D131" s="30">
        <f>บ่าย!D131+'เช้า '!D131+'เย็น '!D131</f>
        <v>0</v>
      </c>
      <c r="E131" s="30">
        <f>บ่าย!E131+'เช้า '!E131+'เย็น '!E131</f>
        <v>0</v>
      </c>
      <c r="F131" s="30">
        <f>บ่าย!F131+'เช้า '!F131+'เย็น '!F131</f>
        <v>0</v>
      </c>
      <c r="G131" s="30">
        <f>บ่าย!G131+'เช้า '!G131+'เย็น '!G131</f>
        <v>0</v>
      </c>
      <c r="H131" s="30">
        <f>บ่าย!H131+'เช้า '!H131+'เย็น '!H131</f>
        <v>0</v>
      </c>
      <c r="I131" s="30">
        <f>บ่าย!I131+'เช้า '!I131+'เย็น '!I131</f>
        <v>0</v>
      </c>
      <c r="J131" s="30">
        <f>บ่าย!J131+'เช้า '!J131+'เย็น '!J131</f>
        <v>0</v>
      </c>
      <c r="K131" s="30">
        <f>บ่าย!K131+'เช้า '!K131+'เย็น '!K131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8">
      <c r="B132" s="11">
        <v>1200004</v>
      </c>
      <c r="C132" s="21" t="s">
        <v>103</v>
      </c>
      <c r="D132" s="30">
        <f>บ่าย!D132+'เช้า '!D132+'เย็น '!D132</f>
        <v>0</v>
      </c>
      <c r="E132" s="30">
        <f>บ่าย!E132+'เช้า '!E132+'เย็น '!E132</f>
        <v>0</v>
      </c>
      <c r="F132" s="30">
        <f>บ่าย!F132+'เช้า '!F132+'เย็น '!F132</f>
        <v>0</v>
      </c>
      <c r="G132" s="30">
        <f>บ่าย!G132+'เช้า '!G132+'เย็น '!G132</f>
        <v>0</v>
      </c>
      <c r="H132" s="30">
        <f>บ่าย!H132+'เช้า '!H132+'เย็น '!H132</f>
        <v>0</v>
      </c>
      <c r="I132" s="30">
        <f>บ่าย!I132+'เช้า '!I132+'เย็น '!I132</f>
        <v>0</v>
      </c>
      <c r="J132" s="30">
        <f>บ่าย!J132+'เช้า '!J132+'เย็น '!J132</f>
        <v>0</v>
      </c>
      <c r="K132" s="30">
        <f>บ่าย!K132+'เช้า '!K132+'เย็น '!K132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8">
      <c r="B133" s="11">
        <v>1200093</v>
      </c>
      <c r="C133" s="21" t="s">
        <v>91</v>
      </c>
      <c r="D133" s="30">
        <f>บ่าย!D133+'เช้า '!D133+'เย็น '!D133</f>
        <v>0</v>
      </c>
      <c r="E133" s="30">
        <f>บ่าย!E133+'เช้า '!E133+'เย็น '!E133</f>
        <v>0</v>
      </c>
      <c r="F133" s="30">
        <f>บ่าย!F133+'เช้า '!F133+'เย็น '!F133</f>
        <v>0</v>
      </c>
      <c r="G133" s="30">
        <f>บ่าย!G133+'เช้า '!G133+'เย็น '!G133</f>
        <v>0</v>
      </c>
      <c r="H133" s="30">
        <f>บ่าย!H133+'เช้า '!H133+'เย็น '!H133</f>
        <v>0</v>
      </c>
      <c r="I133" s="30">
        <f>บ่าย!I133+'เช้า '!I133+'เย็น '!I133</f>
        <v>0</v>
      </c>
      <c r="J133" s="30">
        <f>บ่าย!J133+'เช้า '!J133+'เย็น '!J133</f>
        <v>0</v>
      </c>
      <c r="K133" s="30">
        <f>บ่าย!K133+'เช้า '!K133+'เย็น '!K133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8">
      <c r="B134" s="11">
        <v>1200092</v>
      </c>
      <c r="C134" s="19" t="s">
        <v>92</v>
      </c>
      <c r="D134" s="30">
        <f>บ่าย!D134+'เช้า '!D134+'เย็น '!D134</f>
        <v>0</v>
      </c>
      <c r="E134" s="30">
        <f>บ่าย!E134+'เช้า '!E134+'เย็น '!E134</f>
        <v>0</v>
      </c>
      <c r="F134" s="30">
        <f>บ่าย!F134+'เช้า '!F134+'เย็น '!F134</f>
        <v>0</v>
      </c>
      <c r="G134" s="30">
        <f>บ่าย!G134+'เช้า '!G134+'เย็น '!G134</f>
        <v>0</v>
      </c>
      <c r="H134" s="30">
        <f>บ่าย!H134+'เช้า '!H134+'เย็น '!H134</f>
        <v>0</v>
      </c>
      <c r="I134" s="30">
        <f>บ่าย!I134+'เช้า '!I134+'เย็น '!I134</f>
        <v>0</v>
      </c>
      <c r="J134" s="30">
        <f>บ่าย!J134+'เช้า '!J134+'เย็น '!J134</f>
        <v>0</v>
      </c>
      <c r="K134" s="30">
        <f>บ่าย!K134+'เช้า '!K134+'เย็น '!K134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8">
      <c r="B135" s="22"/>
      <c r="C135" s="21" t="s">
        <v>124</v>
      </c>
      <c r="D135" s="30">
        <f>บ่าย!D135+'เช้า '!D135+'เย็น '!D135</f>
        <v>0</v>
      </c>
      <c r="E135" s="30">
        <f>บ่าย!E135+'เช้า '!E135+'เย็น '!E135</f>
        <v>0</v>
      </c>
      <c r="F135" s="30">
        <f>บ่าย!F135+'เช้า '!F135+'เย็น '!F135</f>
        <v>3</v>
      </c>
      <c r="G135" s="30">
        <f>บ่าย!G135+'เช้า '!G135+'เย็น '!G135</f>
        <v>0</v>
      </c>
      <c r="H135" s="30">
        <f>บ่าย!H135+'เช้า '!H135+'เย็น '!H135</f>
        <v>0</v>
      </c>
      <c r="I135" s="30">
        <f>บ่าย!I135+'เช้า '!I135+'เย็น '!I135</f>
        <v>0</v>
      </c>
      <c r="J135" s="30">
        <f>บ่าย!J135+'เช้า '!J135+'เย็น '!J135</f>
        <v>0</v>
      </c>
      <c r="K135" s="30">
        <f>บ่าย!K135+'เช้า '!K135+'เย็น '!K135</f>
        <v>0</v>
      </c>
      <c r="L135" s="36">
        <f t="shared" si="13"/>
        <v>3</v>
      </c>
      <c r="M135" s="11"/>
      <c r="N135" s="11"/>
      <c r="O135" s="11"/>
      <c r="P135" s="11"/>
      <c r="Q135" s="44">
        <f t="shared" si="14"/>
        <v>-3</v>
      </c>
    </row>
    <row r="136" spans="2:18">
      <c r="B136" s="22"/>
      <c r="C136" s="21" t="s">
        <v>125</v>
      </c>
      <c r="D136" s="30">
        <f>บ่าย!D136+'เช้า '!D136+'เย็น '!D136</f>
        <v>0</v>
      </c>
      <c r="E136" s="30">
        <f>บ่าย!E136+'เช้า '!E136+'เย็น '!E136</f>
        <v>0</v>
      </c>
      <c r="F136" s="30">
        <f>บ่าย!F136+'เช้า '!F136+'เย็น '!F136</f>
        <v>0</v>
      </c>
      <c r="G136" s="30">
        <f>บ่าย!G136+'เช้า '!G136+'เย็น '!G136</f>
        <v>0</v>
      </c>
      <c r="H136" s="30">
        <f>บ่าย!H136+'เช้า '!H136+'เย็น '!H136</f>
        <v>0</v>
      </c>
      <c r="I136" s="30">
        <f>บ่าย!I136+'เช้า '!I136+'เย็น '!I136</f>
        <v>0</v>
      </c>
      <c r="J136" s="30">
        <f>บ่าย!J136+'เช้า '!J136+'เย็น '!J136</f>
        <v>0</v>
      </c>
      <c r="K136" s="30">
        <f>บ่าย!K136+'เช้า '!K136+'เย็น '!K136</f>
        <v>0</v>
      </c>
      <c r="L136" s="36">
        <f t="shared" si="13"/>
        <v>0</v>
      </c>
      <c r="M136" s="11"/>
      <c r="N136" s="11"/>
      <c r="O136" s="11"/>
      <c r="P136" s="11"/>
      <c r="Q136" s="44">
        <f t="shared" si="14"/>
        <v>0</v>
      </c>
    </row>
    <row r="137" spans="2:18">
      <c r="B137" s="22">
        <v>20052721</v>
      </c>
      <c r="C137" s="21" t="s">
        <v>142</v>
      </c>
      <c r="D137" s="30">
        <f>บ่าย!D137+'เช้า '!D137+'เย็น '!D137</f>
        <v>0</v>
      </c>
      <c r="E137" s="30">
        <f>บ่าย!E137+'เช้า '!E137+'เย็น '!E137</f>
        <v>0</v>
      </c>
      <c r="F137" s="30">
        <f>บ่าย!F137+'เช้า '!F137+'เย็น '!F137</f>
        <v>0</v>
      </c>
      <c r="G137" s="30">
        <f>บ่าย!G137+'เช้า '!G137+'เย็น '!G137</f>
        <v>0</v>
      </c>
      <c r="H137" s="30">
        <f>บ่าย!H137+'เช้า '!H137+'เย็น '!H137</f>
        <v>0</v>
      </c>
      <c r="I137" s="30">
        <f>บ่าย!I137+'เช้า '!I137+'เย็น '!I137</f>
        <v>0</v>
      </c>
      <c r="J137" s="30">
        <f>บ่าย!J137+'เช้า '!J137+'เย็น '!J137</f>
        <v>0</v>
      </c>
      <c r="K137" s="30">
        <f>บ่าย!K137+'เช้า '!K137+'เย็น '!K137</f>
        <v>0</v>
      </c>
      <c r="L137" s="36">
        <f t="shared" si="13"/>
        <v>0</v>
      </c>
      <c r="M137" s="11"/>
      <c r="N137" s="11"/>
      <c r="O137" s="11"/>
      <c r="P137" s="11"/>
      <c r="Q137" s="44">
        <f t="shared" si="14"/>
        <v>0</v>
      </c>
    </row>
    <row r="138" spans="2:18">
      <c r="B138" s="50">
        <v>1004046</v>
      </c>
      <c r="C138" s="49" t="s">
        <v>143</v>
      </c>
      <c r="D138" s="30">
        <f>บ่าย!D138+'เช้า '!D138+'เย็น '!D138</f>
        <v>0</v>
      </c>
      <c r="E138" s="30">
        <f>บ่าย!E138+'เช้า '!E138+'เย็น '!E138</f>
        <v>0</v>
      </c>
      <c r="F138" s="30">
        <f>บ่าย!F138+'เช้า '!F138+'เย็น '!F138</f>
        <v>0</v>
      </c>
      <c r="G138" s="30">
        <f>บ่าย!G138+'เช้า '!G138+'เย็น '!G138</f>
        <v>0</v>
      </c>
      <c r="H138" s="30">
        <f>บ่าย!H138+'เช้า '!H138+'เย็น '!H138</f>
        <v>0</v>
      </c>
      <c r="I138" s="30">
        <f>บ่าย!I138+'เช้า '!I138+'เย็น '!I138</f>
        <v>0</v>
      </c>
      <c r="J138" s="30">
        <f>บ่าย!J138+'เช้า '!J138+'เย็น '!J138</f>
        <v>0</v>
      </c>
      <c r="K138" s="30">
        <f>บ่าย!K138+'เช้า '!K138+'เย็น '!K138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8">
      <c r="B139" s="50"/>
      <c r="C139" s="49" t="s">
        <v>138</v>
      </c>
      <c r="D139" s="30">
        <f>บ่าย!D139+'เช้า '!D139+'เย็น '!D139</f>
        <v>0</v>
      </c>
      <c r="E139" s="30">
        <f>บ่าย!E139+'เช้า '!E139+'เย็น '!E139</f>
        <v>0</v>
      </c>
      <c r="F139" s="30">
        <f>บ่าย!F139+'เช้า '!F139+'เย็น '!F139</f>
        <v>0</v>
      </c>
      <c r="G139" s="30">
        <f>บ่าย!G139+'เช้า '!G139+'เย็น '!G139</f>
        <v>0</v>
      </c>
      <c r="H139" s="30">
        <f>บ่าย!H139+'เช้า '!H139+'เย็น '!H139</f>
        <v>0</v>
      </c>
      <c r="I139" s="30">
        <f>บ่าย!I139+'เช้า '!I139+'เย็น '!I139</f>
        <v>0</v>
      </c>
      <c r="J139" s="30">
        <f>บ่าย!J139+'เช้า '!J139+'เย็น '!J139</f>
        <v>0</v>
      </c>
      <c r="K139" s="30">
        <f>บ่าย!K139+'เช้า '!K139+'เย็น '!K139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8">
      <c r="B140" s="58"/>
      <c r="C140" s="59" t="s">
        <v>139</v>
      </c>
      <c r="D140" s="30">
        <f>บ่าย!D140+'เช้า '!D140+'เย็น '!D140</f>
        <v>0</v>
      </c>
      <c r="E140" s="30">
        <f>บ่าย!E140+'เช้า '!E140+'เย็น '!E140</f>
        <v>0</v>
      </c>
      <c r="F140" s="30">
        <f>บ่าย!F140+'เช้า '!F140+'เย็น '!F140</f>
        <v>0</v>
      </c>
      <c r="G140" s="30">
        <f>บ่าย!G140+'เช้า '!G140+'เย็น '!G140</f>
        <v>0</v>
      </c>
      <c r="H140" s="30">
        <f>บ่าย!H140+'เช้า '!H140+'เย็น '!H140</f>
        <v>0</v>
      </c>
      <c r="I140" s="30">
        <f>บ่าย!I140+'เช้า '!I140+'เย็น '!I140</f>
        <v>0</v>
      </c>
      <c r="J140" s="30">
        <f>บ่าย!J140+'เช้า '!J140+'เย็น '!J140</f>
        <v>0</v>
      </c>
      <c r="K140" s="30">
        <f>บ่าย!K140+'เช้า '!K140+'เย็น '!K140</f>
        <v>0</v>
      </c>
      <c r="L140" s="36">
        <f t="shared" si="13"/>
        <v>0</v>
      </c>
      <c r="M140" s="57"/>
      <c r="N140" s="57"/>
      <c r="O140" s="57"/>
      <c r="P140" s="57"/>
      <c r="Q140" s="44">
        <f t="shared" si="14"/>
        <v>0</v>
      </c>
    </row>
    <row r="141" spans="2:18">
      <c r="B141" s="50">
        <v>20059548</v>
      </c>
      <c r="C141" s="49" t="s">
        <v>144</v>
      </c>
      <c r="D141" s="30">
        <f>บ่าย!D141+'เช้า '!D141+'เย็น '!D141</f>
        <v>0</v>
      </c>
      <c r="E141" s="30">
        <f>บ่าย!E141+'เช้า '!E141+'เย็น '!E141</f>
        <v>0</v>
      </c>
      <c r="F141" s="30">
        <f>บ่าย!F141+'เช้า '!F141+'เย็น '!F141</f>
        <v>0</v>
      </c>
      <c r="G141" s="30">
        <f>บ่าย!G141+'เช้า '!G141+'เย็น '!G141</f>
        <v>0</v>
      </c>
      <c r="H141" s="30">
        <f>บ่าย!H141+'เช้า '!H141+'เย็น '!H141</f>
        <v>0</v>
      </c>
      <c r="I141" s="30">
        <f>บ่าย!I141+'เช้า '!I141+'เย็น '!I141</f>
        <v>0</v>
      </c>
      <c r="J141" s="30">
        <f>บ่าย!J141+'เช้า '!J141+'เย็น '!J141</f>
        <v>0</v>
      </c>
      <c r="K141" s="30">
        <f>บ่าย!K141+'เช้า '!K141+'เย็น '!K141</f>
        <v>0</v>
      </c>
      <c r="L141" s="36">
        <f t="shared" si="13"/>
        <v>0</v>
      </c>
      <c r="M141" s="11"/>
      <c r="N141" s="11"/>
      <c r="O141" s="11"/>
      <c r="P141" s="11"/>
      <c r="Q141" s="44">
        <f t="shared" si="14"/>
        <v>0</v>
      </c>
      <c r="R141" s="61"/>
    </row>
    <row r="142" spans="2:18">
      <c r="B142" s="50">
        <v>20054646</v>
      </c>
      <c r="C142" s="49" t="s">
        <v>145</v>
      </c>
      <c r="D142" s="30">
        <f>บ่าย!D142+'เช้า '!D142+'เย็น '!D142</f>
        <v>0</v>
      </c>
      <c r="E142" s="30">
        <f>บ่าย!E142+'เช้า '!E142+'เย็น '!E142</f>
        <v>0</v>
      </c>
      <c r="F142" s="30">
        <f>บ่าย!F142+'เช้า '!F142+'เย็น '!F142</f>
        <v>0</v>
      </c>
      <c r="G142" s="30">
        <f>บ่าย!G142+'เช้า '!G142+'เย็น '!G142</f>
        <v>6</v>
      </c>
      <c r="H142" s="30">
        <f>บ่าย!H142+'เช้า '!H142+'เย็น '!H142</f>
        <v>0</v>
      </c>
      <c r="I142" s="30">
        <f>บ่าย!I142+'เช้า '!I142+'เย็น '!I142</f>
        <v>0</v>
      </c>
      <c r="J142" s="30">
        <f>บ่าย!J142+'เช้า '!J142+'เย็น '!J142</f>
        <v>0</v>
      </c>
      <c r="K142" s="30">
        <f>บ่าย!K142+'เช้า '!K142+'เย็น '!K142</f>
        <v>0</v>
      </c>
      <c r="L142" s="36">
        <f t="shared" si="13"/>
        <v>6</v>
      </c>
      <c r="M142" s="11"/>
      <c r="N142" s="11">
        <v>111</v>
      </c>
      <c r="O142" s="11"/>
      <c r="P142" s="11"/>
      <c r="Q142" s="44">
        <f t="shared" si="14"/>
        <v>105</v>
      </c>
    </row>
    <row r="143" spans="2:18">
      <c r="B143" s="50">
        <v>1100044</v>
      </c>
      <c r="C143" s="49" t="s">
        <v>147</v>
      </c>
      <c r="D143" s="30">
        <f>บ่าย!D143+'เช้า '!D143+'เย็น '!D143</f>
        <v>0</v>
      </c>
      <c r="E143" s="30">
        <f>บ่าย!E143+'เช้า '!E143+'เย็น '!E143</f>
        <v>0</v>
      </c>
      <c r="F143" s="30">
        <f>บ่าย!F143+'เช้า '!F143+'เย็น '!F143</f>
        <v>0</v>
      </c>
      <c r="G143" s="30">
        <f>บ่าย!G143+'เช้า '!G143+'เย็น '!G143</f>
        <v>0</v>
      </c>
      <c r="H143" s="30">
        <f>บ่าย!H143+'เช้า '!H143+'เย็น '!H143</f>
        <v>0</v>
      </c>
      <c r="I143" s="30">
        <f>บ่าย!I143+'เช้า '!I143+'เย็น '!I143</f>
        <v>0</v>
      </c>
      <c r="J143" s="30">
        <f>บ่าย!J143+'เช้า '!J143+'เย็น '!J143</f>
        <v>0</v>
      </c>
      <c r="K143" s="30">
        <f>บ่าย!K143+'เช้า '!K143+'เย็น '!K143</f>
        <v>0</v>
      </c>
      <c r="L143" s="36">
        <f t="shared" si="13"/>
        <v>0</v>
      </c>
      <c r="M143" s="11"/>
      <c r="N143" s="11"/>
      <c r="O143" s="11"/>
      <c r="P143" s="11"/>
      <c r="Q143" s="44">
        <f t="shared" si="14"/>
        <v>0</v>
      </c>
    </row>
    <row r="144" spans="2:18">
      <c r="B144" s="50">
        <v>1100045</v>
      </c>
      <c r="C144" s="49" t="s">
        <v>148</v>
      </c>
      <c r="D144" s="30">
        <f>บ่าย!D144+'เช้า '!D144+'เย็น '!D144</f>
        <v>0</v>
      </c>
      <c r="E144" s="30">
        <f>บ่าย!E144+'เช้า '!E144+'เย็น '!E144</f>
        <v>0</v>
      </c>
      <c r="F144" s="30">
        <f>บ่าย!F144+'เช้า '!F144+'เย็น '!F144</f>
        <v>0</v>
      </c>
      <c r="G144" s="30">
        <f>บ่าย!G144+'เช้า '!G144+'เย็น '!G144</f>
        <v>0</v>
      </c>
      <c r="H144" s="30">
        <f>บ่าย!H144+'เช้า '!H144+'เย็น '!H144</f>
        <v>0</v>
      </c>
      <c r="I144" s="30">
        <f>บ่าย!I144+'เช้า '!I144+'เย็น '!I144</f>
        <v>0</v>
      </c>
      <c r="J144" s="30">
        <f>บ่าย!J144+'เช้า '!J144+'เย็น '!J144</f>
        <v>0</v>
      </c>
      <c r="K144" s="30">
        <f>บ่าย!K144+'เช้า '!K144+'เย็น '!K144</f>
        <v>0</v>
      </c>
      <c r="L144" s="36">
        <f t="shared" si="13"/>
        <v>0</v>
      </c>
      <c r="M144" s="11"/>
      <c r="N144" s="11"/>
      <c r="O144" s="11"/>
      <c r="P144" s="11"/>
      <c r="Q144" s="44">
        <f t="shared" si="14"/>
        <v>0</v>
      </c>
    </row>
    <row r="145" spans="2:17">
      <c r="B145" s="50">
        <v>20039042</v>
      </c>
      <c r="C145" s="49" t="s">
        <v>149</v>
      </c>
      <c r="D145" s="30">
        <f>บ่าย!D145+'เช้า '!D145+'เย็น '!D145</f>
        <v>0</v>
      </c>
      <c r="E145" s="30">
        <f>บ่าย!E145+'เช้า '!E145+'เย็น '!E145</f>
        <v>0</v>
      </c>
      <c r="F145" s="30">
        <f>บ่าย!F145+'เช้า '!F145+'เย็น '!F145</f>
        <v>0</v>
      </c>
      <c r="G145" s="30">
        <f>บ่าย!G145+'เช้า '!G145+'เย็น '!G145</f>
        <v>0</v>
      </c>
      <c r="H145" s="30">
        <f>บ่าย!H145+'เช้า '!H145+'เย็น '!H145</f>
        <v>0</v>
      </c>
      <c r="I145" s="30">
        <f>บ่าย!I145+'เช้า '!I145+'เย็น '!I145</f>
        <v>0</v>
      </c>
      <c r="J145" s="30">
        <f>บ่าย!J145+'เช้า '!J145+'เย็น '!J145</f>
        <v>0</v>
      </c>
      <c r="K145" s="30">
        <f>บ่าย!K145+'เช้า '!K145+'เย็น '!K145</f>
        <v>0</v>
      </c>
      <c r="L145" s="36">
        <f t="shared" si="13"/>
        <v>0</v>
      </c>
      <c r="M145" s="11"/>
      <c r="N145" s="11"/>
      <c r="O145" s="11"/>
      <c r="P145" s="11"/>
      <c r="Q145" s="44">
        <f t="shared" si="14"/>
        <v>0</v>
      </c>
    </row>
    <row r="146" spans="2:17">
      <c r="B146" s="50"/>
      <c r="C146" s="49"/>
      <c r="D146" s="30">
        <f>บ่าย!D146+'เช้า '!D146+'เย็น '!D146</f>
        <v>0</v>
      </c>
      <c r="E146" s="30">
        <f>บ่าย!E146+'เช้า '!E146+'เย็น '!E146</f>
        <v>0</v>
      </c>
      <c r="F146" s="30">
        <f>บ่าย!F146+'เช้า '!F146+'เย็น '!F146</f>
        <v>0</v>
      </c>
      <c r="G146" s="30">
        <f>บ่าย!G146+'เช้า '!G146+'เย็น '!G146</f>
        <v>0</v>
      </c>
      <c r="H146" s="30">
        <f>บ่าย!H146+'เช้า '!H146+'เย็น '!H146</f>
        <v>0</v>
      </c>
      <c r="I146" s="30">
        <f>บ่าย!I146+'เช้า '!I146+'เย็น '!I146</f>
        <v>0</v>
      </c>
      <c r="J146" s="30">
        <f>บ่าย!J146+'เช้า '!J146+'เย็น '!J146</f>
        <v>0</v>
      </c>
      <c r="K146" s="30">
        <f>บ่าย!K146+'เช้า '!K146+'เย็น '!K146</f>
        <v>0</v>
      </c>
      <c r="L146" s="36">
        <f t="shared" si="13"/>
        <v>0</v>
      </c>
      <c r="M146" s="11"/>
      <c r="N146" s="11"/>
      <c r="O146" s="11"/>
      <c r="P146" s="11"/>
      <c r="Q146" s="44">
        <f t="shared" si="14"/>
        <v>0</v>
      </c>
    </row>
    <row r="147" spans="2:17">
      <c r="B147" s="50"/>
      <c r="C147" s="49"/>
      <c r="D147" s="30">
        <f>บ่าย!D147+'เช้า '!D147+'เย็น '!D147</f>
        <v>0</v>
      </c>
      <c r="E147" s="30">
        <f>บ่าย!E147+'เช้า '!E147+'เย็น '!E147</f>
        <v>0</v>
      </c>
      <c r="F147" s="30">
        <f>บ่าย!F147+'เช้า '!F147+'เย็น '!F147</f>
        <v>0</v>
      </c>
      <c r="G147" s="30">
        <f>บ่าย!G147+'เช้า '!G147+'เย็น '!G147</f>
        <v>0</v>
      </c>
      <c r="H147" s="30">
        <f>บ่าย!H147+'เช้า '!H147+'เย็น '!H147</f>
        <v>0</v>
      </c>
      <c r="I147" s="30">
        <f>บ่าย!I147+'เช้า '!I147+'เย็น '!I147</f>
        <v>0</v>
      </c>
      <c r="J147" s="30">
        <f>บ่าย!J147+'เช้า '!J147+'เย็น '!J147</f>
        <v>0</v>
      </c>
      <c r="K147" s="30">
        <f>บ่าย!K147+'เช้า '!K147+'เย็น '!K147</f>
        <v>0</v>
      </c>
      <c r="L147" s="36">
        <f t="shared" si="13"/>
        <v>0</v>
      </c>
      <c r="M147" s="11"/>
      <c r="N147" s="11"/>
      <c r="O147" s="11"/>
      <c r="P147" s="11"/>
      <c r="Q147" s="44">
        <f t="shared" si="14"/>
        <v>0</v>
      </c>
    </row>
    <row r="148" spans="2:17">
      <c r="B148" s="50"/>
      <c r="C148" s="49"/>
      <c r="D148" s="30">
        <f>บ่าย!D148+'เช้า '!D148+'เย็น '!D148</f>
        <v>0</v>
      </c>
      <c r="E148" s="30">
        <f>บ่าย!E148+'เช้า '!E148+'เย็น '!E148</f>
        <v>0</v>
      </c>
      <c r="F148" s="30">
        <f>บ่าย!F148+'เช้า '!F148+'เย็น '!F148</f>
        <v>0</v>
      </c>
      <c r="G148" s="30">
        <f>บ่าย!G148+'เช้า '!G148+'เย็น '!G148</f>
        <v>0</v>
      </c>
      <c r="H148" s="30">
        <f>บ่าย!H148+'เช้า '!H148+'เย็น '!H148</f>
        <v>0</v>
      </c>
      <c r="I148" s="30">
        <f>บ่าย!I148+'เช้า '!I148+'เย็น '!I148</f>
        <v>0</v>
      </c>
      <c r="J148" s="30">
        <f>บ่าย!J148+'เช้า '!J148+'เย็น '!J148</f>
        <v>0</v>
      </c>
      <c r="K148" s="30">
        <f>บ่าย!K148+'เช้า '!K148+'เย็น '!K148</f>
        <v>0</v>
      </c>
      <c r="L148" s="36">
        <f t="shared" si="13"/>
        <v>0</v>
      </c>
      <c r="M148" s="11"/>
      <c r="N148" s="11"/>
      <c r="O148" s="11"/>
      <c r="P148" s="11"/>
      <c r="Q148" s="44">
        <f t="shared" si="14"/>
        <v>0</v>
      </c>
    </row>
    <row r="149" spans="2:17">
      <c r="B149" s="50"/>
      <c r="C149" s="49"/>
      <c r="D149" s="30">
        <f>บ่าย!D149+'เช้า '!D149+'เย็น '!D149</f>
        <v>0</v>
      </c>
      <c r="E149" s="30">
        <f>บ่าย!E149+'เช้า '!E149+'เย็น '!E149</f>
        <v>0</v>
      </c>
      <c r="F149" s="30">
        <f>บ่าย!F149+'เช้า '!F149+'เย็น '!F149</f>
        <v>0</v>
      </c>
      <c r="G149" s="30">
        <f>บ่าย!G149+'เช้า '!G149+'เย็น '!G149</f>
        <v>0</v>
      </c>
      <c r="H149" s="30">
        <f>บ่าย!H149+'เช้า '!H149+'เย็น '!H149</f>
        <v>0</v>
      </c>
      <c r="I149" s="30">
        <f>บ่าย!I149+'เช้า '!I149+'เย็น '!I149</f>
        <v>0</v>
      </c>
      <c r="J149" s="30">
        <f>บ่าย!J149+'เช้า '!J149+'เย็น '!J149</f>
        <v>0</v>
      </c>
      <c r="K149" s="30">
        <f>บ่าย!K149+'เช้า '!K149+'เย็น '!K149</f>
        <v>0</v>
      </c>
      <c r="L149" s="36">
        <f t="shared" si="13"/>
        <v>0</v>
      </c>
      <c r="M149" s="11"/>
      <c r="N149" s="11"/>
      <c r="O149" s="11"/>
      <c r="P149" s="11"/>
      <c r="Q149" s="44"/>
    </row>
    <row r="150" spans="2:17">
      <c r="B150" s="50"/>
      <c r="C150" s="49"/>
      <c r="D150" s="30">
        <f>บ่าย!D150+'เช้า '!D150+'เย็น '!D150</f>
        <v>0</v>
      </c>
      <c r="E150" s="30">
        <f>บ่าย!E150+'เช้า '!E150+'เย็น '!E150</f>
        <v>0</v>
      </c>
      <c r="F150" s="30">
        <f>บ่าย!F150+'เช้า '!F150+'เย็น '!F150</f>
        <v>0</v>
      </c>
      <c r="G150" s="30">
        <f>บ่าย!G150+'เช้า '!G150+'เย็น '!G150</f>
        <v>0</v>
      </c>
      <c r="H150" s="30">
        <f>บ่าย!H150+'เช้า '!H150+'เย็น '!H150</f>
        <v>0</v>
      </c>
      <c r="I150" s="30">
        <f>บ่าย!I150+'เช้า '!I150+'เย็น '!I150</f>
        <v>0</v>
      </c>
      <c r="J150" s="30">
        <f>บ่าย!J150+'เช้า '!J150+'เย็น '!J150</f>
        <v>0</v>
      </c>
      <c r="K150" s="30">
        <f>บ่าย!K150+'เช้า '!K150+'เย็น '!K150</f>
        <v>0</v>
      </c>
      <c r="L150" s="36"/>
      <c r="M150" s="11"/>
      <c r="N150" s="11"/>
      <c r="O150" s="11"/>
      <c r="P150" s="11"/>
      <c r="Q150" s="44"/>
    </row>
    <row r="151" spans="2:17">
      <c r="B151" s="50"/>
      <c r="C151" s="49"/>
      <c r="D151" s="30">
        <f>บ่าย!D151+'เช้า '!D151+'เย็น '!D151</f>
        <v>0</v>
      </c>
      <c r="E151" s="30">
        <f>บ่าย!E151+'เช้า '!E151+'เย็น '!E151</f>
        <v>0</v>
      </c>
      <c r="F151" s="30">
        <f>บ่าย!F151+'เช้า '!F151+'เย็น '!F151</f>
        <v>0</v>
      </c>
      <c r="G151" s="30">
        <f>บ่าย!G151+'เช้า '!G151+'เย็น '!G151</f>
        <v>0</v>
      </c>
      <c r="H151" s="30">
        <f>บ่าย!H151+'เช้า '!H151+'เย็น '!H151</f>
        <v>0</v>
      </c>
      <c r="I151" s="30">
        <f>บ่าย!I151+'เช้า '!I151+'เย็น '!I151</f>
        <v>0</v>
      </c>
      <c r="J151" s="30">
        <f>บ่าย!J151+'เช้า '!J151+'เย็น '!J151</f>
        <v>0</v>
      </c>
      <c r="K151" s="30">
        <f>บ่าย!K151+'เช้า '!K151+'เย็น '!K151</f>
        <v>0</v>
      </c>
      <c r="L151" s="36">
        <f t="shared" si="13"/>
        <v>0</v>
      </c>
      <c r="M151" s="11"/>
      <c r="N151" s="11"/>
      <c r="O151" s="11"/>
      <c r="P151" s="11"/>
      <c r="Q151" s="44">
        <f t="shared" si="14"/>
        <v>0</v>
      </c>
    </row>
    <row r="152" spans="2:17" ht="40.5" customHeight="1">
      <c r="B152" s="11"/>
      <c r="C152" s="21"/>
      <c r="D152" s="60">
        <f>SUM(D114:D151,D90:D99,D79:D87,D69:D76,D7:D66,D102:D111)</f>
        <v>0</v>
      </c>
      <c r="E152" s="60">
        <f t="shared" ref="E152:Q152" si="15">SUM(E114:E151,E90:E99,E79:E87,E69:E76,E7:E66,E102:E111)</f>
        <v>108</v>
      </c>
      <c r="F152" s="60">
        <f t="shared" si="15"/>
        <v>61</v>
      </c>
      <c r="G152" s="60">
        <f t="shared" si="15"/>
        <v>493</v>
      </c>
      <c r="H152" s="60">
        <f t="shared" si="15"/>
        <v>0</v>
      </c>
      <c r="I152" s="60">
        <f t="shared" si="15"/>
        <v>0</v>
      </c>
      <c r="J152" s="60">
        <f t="shared" si="15"/>
        <v>0</v>
      </c>
      <c r="K152" s="60">
        <f t="shared" si="15"/>
        <v>0</v>
      </c>
      <c r="L152" s="60">
        <f t="shared" si="15"/>
        <v>662</v>
      </c>
      <c r="M152" s="60">
        <f t="shared" si="15"/>
        <v>431</v>
      </c>
      <c r="N152" s="60">
        <f t="shared" si="15"/>
        <v>614</v>
      </c>
      <c r="O152" s="60">
        <f t="shared" si="15"/>
        <v>0</v>
      </c>
      <c r="P152" s="60">
        <f t="shared" si="15"/>
        <v>330</v>
      </c>
      <c r="Q152" s="60">
        <f t="shared" si="15"/>
        <v>713</v>
      </c>
    </row>
    <row r="153" spans="2:17">
      <c r="B153" s="37"/>
      <c r="C153" s="35"/>
      <c r="D153" s="38"/>
      <c r="E153" s="38"/>
      <c r="F153" s="38"/>
      <c r="G153" s="38"/>
      <c r="H153" s="38"/>
      <c r="I153" s="38"/>
      <c r="J153" s="38"/>
      <c r="K153" s="38"/>
      <c r="L153" s="39"/>
    </row>
    <row r="154" spans="2:17">
      <c r="B154" s="37"/>
      <c r="C154" s="35"/>
      <c r="D154" s="38"/>
      <c r="E154" s="38"/>
      <c r="F154" s="38"/>
      <c r="G154" s="38"/>
      <c r="H154" s="38"/>
      <c r="I154" s="38"/>
      <c r="J154" s="38"/>
      <c r="K154" s="38"/>
      <c r="L154" s="39"/>
    </row>
    <row r="155" spans="2:17">
      <c r="C155" s="24"/>
      <c r="D155" s="31"/>
      <c r="E155" s="68"/>
      <c r="F155" s="68"/>
      <c r="G155" s="26"/>
      <c r="L155" s="40"/>
    </row>
    <row r="156" spans="2:17">
      <c r="B156" s="68" t="s">
        <v>104</v>
      </c>
      <c r="C156" s="68"/>
      <c r="D156" s="32"/>
      <c r="E156" s="64"/>
      <c r="F156" s="64"/>
      <c r="G156" s="27"/>
      <c r="H156" s="26"/>
      <c r="I156" s="68" t="s">
        <v>104</v>
      </c>
      <c r="J156" s="68"/>
      <c r="K156" s="68"/>
      <c r="L156" s="68"/>
    </row>
    <row r="157" spans="2:17">
      <c r="B157" s="64" t="s">
        <v>105</v>
      </c>
      <c r="C157" s="64"/>
      <c r="D157" s="33"/>
      <c r="E157" s="33"/>
      <c r="F157" s="33"/>
      <c r="G157" s="33"/>
      <c r="H157" s="33"/>
      <c r="I157" s="64" t="s">
        <v>106</v>
      </c>
      <c r="J157" s="64"/>
      <c r="K157" s="64"/>
      <c r="L157" s="64"/>
    </row>
    <row r="158" spans="2:17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7" ht="21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7" ht="21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21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21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21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>
      <c r="D164" s="31"/>
      <c r="E164" s="31"/>
      <c r="F164" s="31"/>
      <c r="G164" s="31"/>
      <c r="H164" s="31"/>
    </row>
    <row r="165" spans="2:12">
      <c r="D165" s="31"/>
      <c r="E165" s="31"/>
      <c r="F165" s="31"/>
      <c r="G165" s="31"/>
      <c r="H165" s="31"/>
    </row>
    <row r="166" spans="2:12">
      <c r="D166" s="31"/>
      <c r="E166" s="31"/>
      <c r="F166" s="31"/>
      <c r="G166" s="31"/>
      <c r="H166" s="31"/>
    </row>
    <row r="167" spans="2:12">
      <c r="D167" s="31"/>
      <c r="E167" s="31"/>
      <c r="F167" s="31"/>
      <c r="G167" s="31"/>
      <c r="H167" s="31"/>
    </row>
    <row r="168" spans="2:12">
      <c r="D168" s="31"/>
      <c r="E168" s="31"/>
      <c r="F168" s="31"/>
      <c r="G168" s="31"/>
      <c r="H168" s="31"/>
    </row>
    <row r="169" spans="2:12">
      <c r="D169" s="31"/>
      <c r="E169" s="31"/>
      <c r="F169" s="31"/>
      <c r="G169" s="31"/>
      <c r="H169" s="31"/>
    </row>
    <row r="170" spans="2:12">
      <c r="D170" s="31"/>
      <c r="E170" s="31"/>
      <c r="F170" s="31"/>
      <c r="G170" s="31"/>
      <c r="H170" s="31"/>
    </row>
    <row r="171" spans="2:12">
      <c r="D171" s="31"/>
      <c r="E171" s="31"/>
      <c r="F171" s="31"/>
      <c r="G171" s="31"/>
      <c r="H171" s="31"/>
    </row>
    <row r="172" spans="2:12">
      <c r="D172" s="31"/>
      <c r="E172" s="31"/>
      <c r="F172" s="31"/>
      <c r="G172" s="31"/>
      <c r="H172" s="31"/>
    </row>
    <row r="173" spans="2:12">
      <c r="D173" s="31"/>
      <c r="E173" s="31"/>
      <c r="F173" s="31"/>
      <c r="G173" s="31"/>
      <c r="H173" s="31"/>
    </row>
    <row r="174" spans="2:12">
      <c r="D174" s="31"/>
      <c r="E174" s="31"/>
      <c r="F174" s="31"/>
      <c r="G174" s="31"/>
      <c r="H174" s="31"/>
    </row>
  </sheetData>
  <mergeCells count="20">
    <mergeCell ref="B157:C157"/>
    <mergeCell ref="I157:L157"/>
    <mergeCell ref="B101:Q101"/>
    <mergeCell ref="B113:Q113"/>
    <mergeCell ref="E155:F155"/>
    <mergeCell ref="B156:C156"/>
    <mergeCell ref="E156:F156"/>
    <mergeCell ref="I156:L156"/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บ่าย</vt:lpstr>
      <vt:lpstr>เย็น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2025-08-04T00:36:09Z</cp:lastPrinted>
  <dcterms:created xsi:type="dcterms:W3CDTF">2024-04-30T05:21:27Z</dcterms:created>
  <dcterms:modified xsi:type="dcterms:W3CDTF">2025-08-04T08:22:54Z</dcterms:modified>
</cp:coreProperties>
</file>