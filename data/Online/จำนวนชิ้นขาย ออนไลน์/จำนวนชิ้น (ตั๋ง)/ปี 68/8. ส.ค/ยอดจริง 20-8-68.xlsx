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35C42ACA-5488-42E4-90CE-22A09DC0354F}" xr6:coauthVersionLast="47" xr6:coauthVersionMax="47" xr10:uidLastSave="{00000000-0000-0000-0000-000000000000}"/>
  <bookViews>
    <workbookView xWindow="-120" yWindow="-120" windowWidth="29040" windowHeight="15720" firstSheet="2" activeTab="2" xr2:uid="{55C9AAA3-F459-48EC-A639-AACFFC6390F5}"/>
  </bookViews>
  <sheets>
    <sheet name="บ่าย" sheetId="4" state="hidden" r:id="rId1"/>
    <sheet name="เย็น " sheetId="6" state="hidden" r:id="rId2"/>
    <sheet name="ฟอร์ม" sheetId="5" r:id="rId3"/>
  </sheets>
  <definedNames>
    <definedName name="_xlnm._FilterDatabase" localSheetId="2" hidden="1">ฟอร์ม!$B$2:$Y$2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5" l="1"/>
  <c r="S5" i="5"/>
  <c r="S4" i="5"/>
  <c r="V4" i="5" s="1"/>
  <c r="T100" i="5"/>
  <c r="U100" i="5"/>
  <c r="W100" i="5"/>
  <c r="E100" i="5"/>
  <c r="D101" i="5" s="1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R101" i="5" s="1"/>
  <c r="V5" i="5"/>
  <c r="S6" i="5"/>
  <c r="V6" i="5" s="1"/>
  <c r="S7" i="5"/>
  <c r="V7" i="5" s="1"/>
  <c r="S8" i="5"/>
  <c r="V8" i="5" s="1"/>
  <c r="S9" i="5"/>
  <c r="V9" i="5" s="1"/>
  <c r="S10" i="5"/>
  <c r="V10" i="5" s="1"/>
  <c r="S11" i="5"/>
  <c r="V11" i="5" s="1"/>
  <c r="S12" i="5"/>
  <c r="V12" i="5" s="1"/>
  <c r="S13" i="5"/>
  <c r="V13" i="5" s="1"/>
  <c r="S14" i="5"/>
  <c r="V14" i="5" s="1"/>
  <c r="S15" i="5"/>
  <c r="V15" i="5" s="1"/>
  <c r="S16" i="5"/>
  <c r="V16" i="5" s="1"/>
  <c r="S17" i="5"/>
  <c r="V17" i="5" s="1"/>
  <c r="S18" i="5"/>
  <c r="V18" i="5" s="1"/>
  <c r="S19" i="5"/>
  <c r="V19" i="5" s="1"/>
  <c r="S20" i="5"/>
  <c r="V20" i="5" s="1"/>
  <c r="S21" i="5"/>
  <c r="V21" i="5" s="1"/>
  <c r="S22" i="5"/>
  <c r="V22" i="5" s="1"/>
  <c r="S23" i="5"/>
  <c r="V23" i="5" s="1"/>
  <c r="S24" i="5"/>
  <c r="V24" i="5" s="1"/>
  <c r="S25" i="5"/>
  <c r="V25" i="5" s="1"/>
  <c r="S26" i="5"/>
  <c r="V26" i="5" s="1"/>
  <c r="S27" i="5"/>
  <c r="V27" i="5" s="1"/>
  <c r="S28" i="5"/>
  <c r="V28" i="5" s="1"/>
  <c r="S29" i="5"/>
  <c r="V29" i="5" s="1"/>
  <c r="S30" i="5"/>
  <c r="V30" i="5" s="1"/>
  <c r="S31" i="5"/>
  <c r="V31" i="5" s="1"/>
  <c r="S32" i="5"/>
  <c r="V32" i="5" s="1"/>
  <c r="S33" i="5"/>
  <c r="V33" i="5" s="1"/>
  <c r="S34" i="5"/>
  <c r="V34" i="5" s="1"/>
  <c r="S35" i="5"/>
  <c r="V35" i="5" s="1"/>
  <c r="S36" i="5"/>
  <c r="V36" i="5" s="1"/>
  <c r="S37" i="5"/>
  <c r="V37" i="5" s="1"/>
  <c r="S38" i="5"/>
  <c r="V38" i="5" s="1"/>
  <c r="S39" i="5"/>
  <c r="V39" i="5" s="1"/>
  <c r="S40" i="5"/>
  <c r="V40" i="5" s="1"/>
  <c r="S41" i="5"/>
  <c r="V41" i="5" s="1"/>
  <c r="S42" i="5"/>
  <c r="V42" i="5" s="1"/>
  <c r="S43" i="5"/>
  <c r="V43" i="5" s="1"/>
  <c r="S44" i="5"/>
  <c r="V44" i="5" s="1"/>
  <c r="S45" i="5"/>
  <c r="V45" i="5" s="1"/>
  <c r="S46" i="5"/>
  <c r="V46" i="5" s="1"/>
  <c r="S47" i="5"/>
  <c r="V47" i="5" s="1"/>
  <c r="S48" i="5"/>
  <c r="V48" i="5" s="1"/>
  <c r="S49" i="5"/>
  <c r="V49" i="5" s="1"/>
  <c r="S50" i="5"/>
  <c r="V50" i="5" s="1"/>
  <c r="S51" i="5"/>
  <c r="V51" i="5" s="1"/>
  <c r="S52" i="5"/>
  <c r="V52" i="5" s="1"/>
  <c r="S53" i="5"/>
  <c r="V53" i="5" s="1"/>
  <c r="S54" i="5"/>
  <c r="V54" i="5" s="1"/>
  <c r="S55" i="5"/>
  <c r="V55" i="5" s="1"/>
  <c r="S56" i="5"/>
  <c r="V56" i="5" s="1"/>
  <c r="S57" i="5"/>
  <c r="V57" i="5" s="1"/>
  <c r="S58" i="5"/>
  <c r="V58" i="5" s="1"/>
  <c r="S59" i="5"/>
  <c r="V59" i="5" s="1"/>
  <c r="S60" i="5"/>
  <c r="V60" i="5" s="1"/>
  <c r="S61" i="5"/>
  <c r="V61" i="5" s="1"/>
  <c r="S62" i="5"/>
  <c r="V62" i="5" s="1"/>
  <c r="S63" i="5"/>
  <c r="V63" i="5" s="1"/>
  <c r="S64" i="5"/>
  <c r="V64" i="5" s="1"/>
  <c r="S65" i="5"/>
  <c r="V65" i="5" s="1"/>
  <c r="S66" i="5"/>
  <c r="V66" i="5" s="1"/>
  <c r="S67" i="5"/>
  <c r="V67" i="5" s="1"/>
  <c r="S68" i="5"/>
  <c r="V68" i="5" s="1"/>
  <c r="S69" i="5"/>
  <c r="V69" i="5" s="1"/>
  <c r="S70" i="5"/>
  <c r="V70" i="5" s="1"/>
  <c r="S71" i="5"/>
  <c r="V71" i="5" s="1"/>
  <c r="S72" i="5"/>
  <c r="V72" i="5" s="1"/>
  <c r="S73" i="5"/>
  <c r="V73" i="5" s="1"/>
  <c r="S74" i="5"/>
  <c r="V74" i="5" s="1"/>
  <c r="S75" i="5"/>
  <c r="V75" i="5" s="1"/>
  <c r="S76" i="5"/>
  <c r="V76" i="5" s="1"/>
  <c r="S77" i="5"/>
  <c r="V77" i="5" s="1"/>
  <c r="S78" i="5"/>
  <c r="V78" i="5" s="1"/>
  <c r="S79" i="5"/>
  <c r="V79" i="5" s="1"/>
  <c r="S80" i="5"/>
  <c r="V80" i="5" s="1"/>
  <c r="S81" i="5"/>
  <c r="V81" i="5" s="1"/>
  <c r="S82" i="5"/>
  <c r="V82" i="5" s="1"/>
  <c r="S83" i="5"/>
  <c r="V83" i="5" s="1"/>
  <c r="S84" i="5"/>
  <c r="V84" i="5" s="1"/>
  <c r="S85" i="5"/>
  <c r="V85" i="5" s="1"/>
  <c r="S86" i="5"/>
  <c r="V86" i="5" s="1"/>
  <c r="S87" i="5"/>
  <c r="V87" i="5" s="1"/>
  <c r="S88" i="5"/>
  <c r="V88" i="5" s="1"/>
  <c r="S89" i="5"/>
  <c r="V89" i="5" s="1"/>
  <c r="S90" i="5"/>
  <c r="V90" i="5" s="1"/>
  <c r="S91" i="5"/>
  <c r="V91" i="5" s="1"/>
  <c r="S92" i="5"/>
  <c r="V92" i="5" s="1"/>
  <c r="S93" i="5"/>
  <c r="V93" i="5" s="1"/>
  <c r="S94" i="5"/>
  <c r="V94" i="5" s="1"/>
  <c r="S95" i="5"/>
  <c r="V95" i="5" s="1"/>
  <c r="S96" i="5"/>
  <c r="V96" i="5" s="1"/>
  <c r="S97" i="5"/>
  <c r="V97" i="5" s="1"/>
  <c r="S98" i="5"/>
  <c r="V98" i="5" s="1"/>
  <c r="S99" i="5"/>
  <c r="V99" i="5" s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1" i="5" l="1"/>
  <c r="J101" i="5"/>
  <c r="P101" i="5"/>
  <c r="N101" i="5"/>
  <c r="F101" i="5"/>
  <c r="H101" i="5"/>
  <c r="S100" i="5"/>
  <c r="V100" i="5"/>
  <c r="L100" i="4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<sst xmlns="http://schemas.openxmlformats.org/spreadsheetml/2006/main" count="443" uniqueCount="207">
  <si>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</si>
  <si>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</si>
  <si>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</si>
  <si>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</si>
  <si>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</si>
  <si>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</si>
  <si>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</si>
  <si>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</si>
  <si>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</si>
  <si>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</si>
  <si>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</si>
  <si>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</si>
  <si>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</si>
  <si>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</si>
  <si>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</si>
  <si>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</si>
  <si>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</si>
  <si>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</si>
  <si>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</si>
  <si>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</si>
  <si>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</si>
  <si>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</si>
  <si>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</si>
  <si>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</si>
  <si>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</si>
  <si>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</si>
  <si>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</si>
  <si>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</si>
  <si>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</si>
  <si>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</si>
  <si>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</si>
  <si>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</si>
  <si>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</si>
  <si>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</si>
  <si>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</si>
  <si>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</si>
  <si>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</si>
  <si>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</si>
  <si>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</si>
  <si>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</si>
  <si>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</si>
  <si>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</si>
  <si>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</si>
  <si>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</si>
  <si>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</si>
  <si>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</si>
  <si>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</si>
  <si>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</si>
  <si>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</si>
  <si>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</si>
  <si>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</si>
  <si>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</si>
  <si>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</si>
  <si>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</si>
  <si>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</si>
  <si>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</si>
  <si>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</si>
  <si>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</si>
  <si>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</si>
  <si>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</si>
  <si>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</si>
  <si>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</si>
  <si>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</si>
  <si>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</si>
  <si>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</si>
  <si>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</si>
  <si>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</si>
  <si>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</si>
  <si>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</si>
  <si>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</si>
  <si>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</si>
  <si>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</si>
  <si>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</si>
  <si>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</si>
  <si>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</si>
  <si>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</si>
  <si>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</si>
  <si>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</si>
  <si>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</si>
  <si>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</si>
  <si>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</si>
  <si>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</si>
  <si>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</si>
  <si>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</si>
  <si>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</si>
  <si>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</si>
  <si>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</si>
  <si>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</si>
  <si>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</si>
  <si>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</si>
  <si>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</si>
  <si>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</si>
  <si>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</si>
  <si>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</si>
  <si>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</si>
  <si>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</si>
  <si>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</si>
  <si>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</si>
  <si>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</si>
  <si>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</si>
  <si>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</si>
  <si>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</si>
  <si>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</si>
  <si>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</si>
  <si>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</si>
  <si>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</si>
  <si>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</si>
  <si>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</si>
  <si>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</si>
  <si>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</si>
  <si>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</si>
  <si>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</si>
  <si>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</si>
  <si>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</si>
  <si>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</si>
  <si>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</si>
  <si>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</si>
  <si>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</si>
  <si>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</si>
  <si>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</si>
  <si>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</si>
  <si>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</si>
  <si>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</si>
  <si>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</si>
  <si>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</si>
  <si>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</si>
  <si>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</si>
  <si>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</si>
  <si>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</si>
  <si>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</si>
  <si>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</si>
  <si>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</si>
  <si>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</si>
  <si>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</si>
  <si>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</si>
  <si>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</si>
  <si>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</si>
  <si>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</si>
  <si>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</si>
  <si>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</si>
  <si>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</si>
  <si>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</si>
  <si>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</si>
  <si>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</si>
  <si>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</si>
  <si>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</si>
  <si>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</si>
  <si>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</si>
  <si>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</si>
  <si>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</si>
  <si>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</si>
  <si>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</si>
  <si>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</si>
  <si>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</si>
  <si>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</si>
  <si>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</si>
  <si>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</si>
  <si>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</si>
  <si>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</si>
  <si>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</si>
  <si>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</si>
  <si>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</si>
  <si>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</si>
  <si>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</si>
  <si>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</si>
  <si>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</si>
  <si>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</si>
  <si>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</si>
  <si>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</si>
  <si>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</si>
  <si>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</si>
  <si>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</si>
  <si>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</si>
  <si>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</si>
  <si>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</si>
  <si>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</si>
  <si>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</si>
  <si>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</si>
  <si>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</si>
  <si>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</si>
  <si>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</si>
  <si>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</si>
  <si>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</si>
  <si>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</si>
  <si>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</si>
  <si>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</si>
  <si>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</si>
  <si>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</si>
  <si>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</si>
  <si>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</si>
  <si>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</si>
  <si>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</si>
  <si>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</si>
  <si>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</si>
  <si>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</si>
  <si>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</si>
  <si>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</si>
  <si>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</si>
  <si>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</si>
  <si>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</si>
  <si>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</si>
  <si>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(BC) ขนมปังเนยนิ่ม 3 ชิ้น</t>
  </si>
  <si>
    <t>ยอดรวม</t>
  </si>
  <si>
    <t>เช้า</t>
  </si>
  <si>
    <t>บ่าย</t>
  </si>
  <si>
    <t>ยอดรวมผลิต(กล่อง)</t>
  </si>
  <si>
    <t>ยอดจริง ออนไลน์ วันที่ 20/8/2568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</si>
</sst>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68" t="s">
        <v>133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74" t="s">
        <v>104</v>
      </c>
      <c r="C153" s="74"/>
      <c r="D153" s="29"/>
      <c r="E153" s="73"/>
      <c r="F153" s="73"/>
      <c r="G153" s="26"/>
      <c r="H153" s="25"/>
      <c r="I153" s="74" t="s">
        <v>104</v>
      </c>
      <c r="J153" s="74"/>
      <c r="K153" s="74"/>
      <c r="L153" s="74"/>
    </row>
    <row r="154" spans="2:12">
      <c r="B154" s="73" t="s">
        <v>105</v>
      </c>
      <c r="C154" s="73"/>
      <c r="D154" s="30"/>
      <c r="E154" s="30"/>
      <c r="F154" s="30"/>
      <c r="G154" s="30"/>
      <c r="H154" s="30"/>
      <c r="I154" s="73" t="s">
        <v>106</v>
      </c>
      <c r="J154" s="73"/>
      <c r="K154" s="73"/>
      <c r="L154" s="73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68" t="s">
        <v>135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74" t="s">
        <v>104</v>
      </c>
      <c r="C156" s="74"/>
      <c r="D156" s="29"/>
      <c r="E156" s="73"/>
      <c r="F156" s="73"/>
      <c r="G156" s="26"/>
      <c r="H156" s="25"/>
      <c r="I156" s="74" t="s">
        <v>104</v>
      </c>
      <c r="J156" s="74"/>
      <c r="K156" s="74"/>
      <c r="L156" s="74"/>
    </row>
    <row r="157" spans="2:12">
      <c r="B157" s="73" t="s">
        <v>105</v>
      </c>
      <c r="C157" s="73"/>
      <c r="D157" s="30"/>
      <c r="E157" s="30"/>
      <c r="F157" s="30"/>
      <c r="G157" s="30"/>
      <c r="H157" s="30"/>
      <c r="I157" s="73" t="s">
        <v>106</v>
      </c>
      <c r="J157" s="73"/>
      <c r="K157" s="73"/>
      <c r="L157" s="73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13"/>
  <sheetViews>
    <sheetView tabSelected="1" zoomScale="50" zoomScaleNormal="50" workbookViewId="0">
      <selection activeCell="X79" sqref="X7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11" width="14.28515625" style="57" customWidth="1"/>
    <col min="12" max="17" width="14.28515625" style="57" hidden="1" customWidth="1"/>
    <col min="18" max="18" width="14.28515625" style="57" customWidth="1"/>
    <col min="19" max="19" width="19.5703125" style="58" bestFit="1" customWidth="1"/>
    <col min="20" max="23" width="20.7109375" style="48" customWidth="1"/>
    <col min="24" max="24" width="9.140625" style="49" customWidth="1"/>
    <col min="25" max="25" width="7.28515625" style="49" customWidth="1"/>
    <col min="26" max="26" width="22.7109375" style="49" customWidth="1"/>
    <col min="27" max="16384" width="8.85546875" style="49"/>
  </cols>
  <sheetData>
    <row r="1" spans="2:23" ht="68.25">
      <c r="B1" s="77" t="s">
        <v>206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spans="2:23" ht="49.9" customHeight="1">
      <c r="B2" s="78" t="s">
        <v>3</v>
      </c>
      <c r="C2" s="78" t="s">
        <v>4</v>
      </c>
      <c r="D2" s="80" t="s">
        <v>5</v>
      </c>
      <c r="E2" s="81"/>
      <c r="F2" s="80" t="s">
        <v>6</v>
      </c>
      <c r="G2" s="81"/>
      <c r="H2" s="80" t="s">
        <v>7</v>
      </c>
      <c r="I2" s="81"/>
      <c r="J2" s="80" t="s">
        <v>8</v>
      </c>
      <c r="K2" s="81"/>
      <c r="L2" s="80" t="s">
        <v>132</v>
      </c>
      <c r="M2" s="81"/>
      <c r="N2" s="80" t="s">
        <v>9</v>
      </c>
      <c r="O2" s="81"/>
      <c r="P2" s="80" t="s">
        <v>131</v>
      </c>
      <c r="Q2" s="81"/>
      <c r="R2" s="82" t="s">
        <v>134</v>
      </c>
      <c r="S2" s="84" t="s">
        <v>205</v>
      </c>
      <c r="T2" s="86" t="s">
        <v>145</v>
      </c>
      <c r="U2" s="86" t="s">
        <v>146</v>
      </c>
      <c r="V2" s="90" t="s">
        <v>147</v>
      </c>
      <c r="W2" s="88" t="s">
        <v>148</v>
      </c>
    </row>
    <row r="3" spans="2:23" ht="49.9" customHeight="1">
      <c r="B3" s="79"/>
      <c r="C3" s="79"/>
      <c r="D3" s="61" t="s">
        <v>203</v>
      </c>
      <c r="E3" s="61" t="s">
        <v>204</v>
      </c>
      <c r="F3" s="61" t="s">
        <v>203</v>
      </c>
      <c r="G3" s="61" t="s">
        <v>204</v>
      </c>
      <c r="H3" s="61" t="s">
        <v>203</v>
      </c>
      <c r="I3" s="61" t="s">
        <v>204</v>
      </c>
      <c r="J3" s="61" t="s">
        <v>203</v>
      </c>
      <c r="K3" s="61" t="s">
        <v>204</v>
      </c>
      <c r="L3" s="61" t="s">
        <v>203</v>
      </c>
      <c r="M3" s="61" t="s">
        <v>204</v>
      </c>
      <c r="N3" s="61" t="s">
        <v>203</v>
      </c>
      <c r="O3" s="61" t="s">
        <v>204</v>
      </c>
      <c r="P3" s="61" t="s">
        <v>203</v>
      </c>
      <c r="Q3" s="61" t="s">
        <v>204</v>
      </c>
      <c r="R3" s="83"/>
      <c r="S3" s="85"/>
      <c r="T3" s="87"/>
      <c r="U3" s="87"/>
      <c r="V3" s="91"/>
      <c r="W3" s="89"/>
    </row>
    <row r="4" spans="2:23">
      <c r="B4" s="50">
        <v>1004055</v>
      </c>
      <c r="C4" s="51" t="s">
        <v>149</v>
      </c>
      <c r="D4" s="52"/>
      <c r="E4" s="52"/>
      <c r="F4" s="52">
        <v>1</v>
      </c>
      <c r="G4" s="52"/>
      <c r="H4" s="52"/>
      <c r="I4" s="52"/>
      <c r="J4" s="52">
        <v>45</v>
      </c>
      <c r="K4" s="52"/>
      <c r="L4" s="52"/>
      <c r="M4" s="52"/>
      <c r="N4" s="52"/>
      <c r="O4" s="52"/>
      <c r="P4" s="52"/>
      <c r="Q4" s="52"/>
      <c r="R4" s="52">
        <v>13</v>
      </c>
      <c r="S4" s="64">
        <f>SUM(D4:R4)</f>
        <v>59</v>
      </c>
      <c r="T4" s="50">
        <v>58</v>
      </c>
      <c r="U4" s="50">
        <v>1</v>
      </c>
      <c r="V4" s="62">
        <f>+T4+U4-S4</f>
        <v>0</v>
      </c>
      <c r="W4" s="50">
        <v>45</v>
      </c>
    </row>
    <row r="5" spans="2:23">
      <c r="B5" s="50">
        <v>1111002</v>
      </c>
      <c r="C5" s="51" t="s">
        <v>150</v>
      </c>
      <c r="D5" s="52"/>
      <c r="E5" s="52"/>
      <c r="F5" s="52">
        <v>25</v>
      </c>
      <c r="G5" s="52"/>
      <c r="H5" s="52">
        <v>10</v>
      </c>
      <c r="I5" s="52"/>
      <c r="J5" s="52">
        <v>6</v>
      </c>
      <c r="K5" s="52"/>
      <c r="L5" s="52"/>
      <c r="M5" s="52"/>
      <c r="N5" s="52"/>
      <c r="O5" s="52"/>
      <c r="P5" s="52"/>
      <c r="Q5" s="52"/>
      <c r="R5" s="52">
        <v>13</v>
      </c>
      <c r="S5" s="64">
        <f>SUM(D5:R5)</f>
        <v>54</v>
      </c>
      <c r="T5" s="59">
        <v>83</v>
      </c>
      <c r="U5" s="59">
        <v>24</v>
      </c>
      <c r="V5" s="62">
        <f t="shared" ref="V5:V68" si="0">+T5+U5-S5</f>
        <v>53</v>
      </c>
      <c r="W5" s="59">
        <v>70</v>
      </c>
    </row>
    <row r="6" spans="2:23" hidden="1">
      <c r="B6" s="50">
        <v>1111055</v>
      </c>
      <c r="C6" s="51" t="s">
        <v>151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64">
        <f t="shared" ref="S6:S68" si="1">SUM(D6:R6)</f>
        <v>0</v>
      </c>
      <c r="T6" s="50"/>
      <c r="U6" s="50"/>
      <c r="V6" s="62">
        <f t="shared" si="0"/>
        <v>0</v>
      </c>
      <c r="W6" s="50"/>
    </row>
    <row r="7" spans="2:23" hidden="1">
      <c r="B7" s="50">
        <v>1111084</v>
      </c>
      <c r="C7" s="51" t="s">
        <v>152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64">
        <f t="shared" si="1"/>
        <v>0</v>
      </c>
      <c r="T7" s="50"/>
      <c r="U7" s="50"/>
      <c r="V7" s="62">
        <f t="shared" si="0"/>
        <v>0</v>
      </c>
      <c r="W7" s="50"/>
    </row>
    <row r="8" spans="2:23" hidden="1">
      <c r="B8" s="50">
        <v>1111043</v>
      </c>
      <c r="C8" s="51" t="s">
        <v>153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64">
        <f t="shared" si="1"/>
        <v>0</v>
      </c>
      <c r="T8" s="50"/>
      <c r="U8" s="50"/>
      <c r="V8" s="62">
        <f t="shared" si="0"/>
        <v>0</v>
      </c>
      <c r="W8" s="50"/>
    </row>
    <row r="9" spans="2:23">
      <c r="B9" s="50">
        <v>1111057</v>
      </c>
      <c r="C9" s="51" t="s">
        <v>30</v>
      </c>
      <c r="D9" s="52"/>
      <c r="E9" s="52"/>
      <c r="F9" s="52">
        <v>3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64">
        <f t="shared" si="1"/>
        <v>3</v>
      </c>
      <c r="T9" s="50"/>
      <c r="U9" s="50"/>
      <c r="V9" s="62">
        <f t="shared" si="0"/>
        <v>-3</v>
      </c>
      <c r="W9" s="50"/>
    </row>
    <row r="10" spans="2:23">
      <c r="B10" s="50">
        <v>1111058</v>
      </c>
      <c r="C10" s="51" t="s">
        <v>154</v>
      </c>
      <c r="D10" s="52"/>
      <c r="E10" s="52"/>
      <c r="F10" s="52">
        <v>3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4">
        <f t="shared" si="1"/>
        <v>3</v>
      </c>
      <c r="T10" s="50"/>
      <c r="U10" s="50"/>
      <c r="V10" s="62">
        <f t="shared" si="0"/>
        <v>-3</v>
      </c>
      <c r="W10" s="50"/>
    </row>
    <row r="11" spans="2:23">
      <c r="B11" s="50">
        <v>1111059</v>
      </c>
      <c r="C11" s="51" t="s">
        <v>32</v>
      </c>
      <c r="D11" s="52"/>
      <c r="E11" s="52"/>
      <c r="F11" s="52">
        <v>3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4">
        <f t="shared" si="1"/>
        <v>3</v>
      </c>
      <c r="T11" s="50"/>
      <c r="U11" s="50"/>
      <c r="V11" s="62">
        <f t="shared" si="0"/>
        <v>-3</v>
      </c>
      <c r="W11" s="50"/>
    </row>
    <row r="12" spans="2:23">
      <c r="B12" s="50">
        <v>1111060</v>
      </c>
      <c r="C12" s="51" t="s">
        <v>33</v>
      </c>
      <c r="D12" s="52"/>
      <c r="E12" s="52"/>
      <c r="F12" s="52">
        <v>3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64">
        <f t="shared" si="1"/>
        <v>3</v>
      </c>
      <c r="T12" s="50"/>
      <c r="U12" s="50"/>
      <c r="V12" s="62">
        <f t="shared" si="0"/>
        <v>-3</v>
      </c>
      <c r="W12" s="50"/>
    </row>
    <row r="13" spans="2:23">
      <c r="B13" s="50">
        <v>1111061</v>
      </c>
      <c r="C13" s="51" t="s">
        <v>34</v>
      </c>
      <c r="D13" s="52"/>
      <c r="E13" s="52"/>
      <c r="F13" s="52">
        <v>2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64">
        <f t="shared" si="1"/>
        <v>2</v>
      </c>
      <c r="T13" s="50"/>
      <c r="U13" s="50"/>
      <c r="V13" s="62">
        <f t="shared" si="0"/>
        <v>-2</v>
      </c>
      <c r="W13" s="50"/>
    </row>
    <row r="14" spans="2:23">
      <c r="B14" s="50">
        <v>1111062</v>
      </c>
      <c r="C14" s="51" t="s">
        <v>35</v>
      </c>
      <c r="D14" s="52"/>
      <c r="E14" s="52"/>
      <c r="F14" s="52">
        <v>2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64">
        <f t="shared" si="1"/>
        <v>2</v>
      </c>
      <c r="T14" s="50"/>
      <c r="U14" s="50"/>
      <c r="V14" s="62">
        <f t="shared" si="0"/>
        <v>-2</v>
      </c>
      <c r="W14" s="50"/>
    </row>
    <row r="15" spans="2:23">
      <c r="B15" s="50">
        <v>1111063</v>
      </c>
      <c r="C15" s="51" t="s">
        <v>36</v>
      </c>
      <c r="D15" s="52"/>
      <c r="E15" s="52"/>
      <c r="F15" s="52">
        <v>2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64">
        <f t="shared" si="1"/>
        <v>2</v>
      </c>
      <c r="T15" s="50"/>
      <c r="U15" s="50"/>
      <c r="V15" s="62">
        <f t="shared" si="0"/>
        <v>-2</v>
      </c>
      <c r="W15" s="50"/>
    </row>
    <row r="16" spans="2:23">
      <c r="B16" s="50">
        <v>1111064</v>
      </c>
      <c r="C16" s="51" t="s">
        <v>37</v>
      </c>
      <c r="D16" s="52"/>
      <c r="E16" s="52"/>
      <c r="F16" s="52">
        <v>2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64">
        <f t="shared" si="1"/>
        <v>2</v>
      </c>
      <c r="T16" s="50"/>
      <c r="U16" s="50"/>
      <c r="V16" s="62">
        <f t="shared" si="0"/>
        <v>-2</v>
      </c>
      <c r="W16" s="50"/>
    </row>
    <row r="17" spans="2:23">
      <c r="B17" s="50">
        <v>1111065</v>
      </c>
      <c r="C17" s="51" t="s">
        <v>38</v>
      </c>
      <c r="D17" s="52"/>
      <c r="E17" s="52"/>
      <c r="F17" s="52">
        <v>2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64">
        <f t="shared" si="1"/>
        <v>2</v>
      </c>
      <c r="T17" s="50"/>
      <c r="U17" s="50"/>
      <c r="V17" s="62">
        <f t="shared" si="0"/>
        <v>-2</v>
      </c>
      <c r="W17" s="50"/>
    </row>
    <row r="18" spans="2:23">
      <c r="B18" s="50">
        <v>1111066</v>
      </c>
      <c r="C18" s="51" t="s">
        <v>39</v>
      </c>
      <c r="D18" s="52"/>
      <c r="E18" s="52"/>
      <c r="F18" s="52">
        <v>2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64">
        <f t="shared" si="1"/>
        <v>2</v>
      </c>
      <c r="T18" s="50"/>
      <c r="U18" s="50"/>
      <c r="V18" s="62">
        <f t="shared" si="0"/>
        <v>-2</v>
      </c>
      <c r="W18" s="50"/>
    </row>
    <row r="19" spans="2:23">
      <c r="B19" s="50">
        <v>1111067</v>
      </c>
      <c r="C19" s="51" t="s">
        <v>40</v>
      </c>
      <c r="D19" s="52"/>
      <c r="E19" s="52"/>
      <c r="F19" s="52">
        <v>2</v>
      </c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64">
        <f t="shared" si="1"/>
        <v>2</v>
      </c>
      <c r="T19" s="50"/>
      <c r="U19" s="50"/>
      <c r="V19" s="62">
        <f t="shared" si="0"/>
        <v>-2</v>
      </c>
      <c r="W19" s="50"/>
    </row>
    <row r="20" spans="2:23">
      <c r="B20" s="50">
        <v>1111068</v>
      </c>
      <c r="C20" s="51" t="s">
        <v>41</v>
      </c>
      <c r="D20" s="52"/>
      <c r="E20" s="52"/>
      <c r="F20" s="52">
        <v>2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64">
        <f t="shared" si="1"/>
        <v>2</v>
      </c>
      <c r="T20" s="50"/>
      <c r="U20" s="50"/>
      <c r="V20" s="62">
        <f t="shared" si="0"/>
        <v>-2</v>
      </c>
      <c r="W20" s="50"/>
    </row>
    <row r="21" spans="2:23">
      <c r="B21" s="50">
        <v>1111069</v>
      </c>
      <c r="C21" s="51" t="s">
        <v>42</v>
      </c>
      <c r="D21" s="52"/>
      <c r="E21" s="52"/>
      <c r="F21" s="52">
        <v>2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64">
        <f t="shared" si="1"/>
        <v>2</v>
      </c>
      <c r="T21" s="50"/>
      <c r="U21" s="50"/>
      <c r="V21" s="62">
        <f t="shared" si="0"/>
        <v>-2</v>
      </c>
      <c r="W21" s="50"/>
    </row>
    <row r="22" spans="2:23" hidden="1">
      <c r="B22" s="50">
        <v>1111070</v>
      </c>
      <c r="C22" s="51" t="s">
        <v>127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64">
        <f t="shared" si="1"/>
        <v>0</v>
      </c>
      <c r="T22" s="50"/>
      <c r="U22" s="50"/>
      <c r="V22" s="62">
        <f t="shared" si="0"/>
        <v>0</v>
      </c>
      <c r="W22" s="50"/>
    </row>
    <row r="23" spans="2:23" hidden="1">
      <c r="B23" s="50">
        <v>1111071</v>
      </c>
      <c r="C23" s="51" t="s">
        <v>128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64">
        <f t="shared" si="1"/>
        <v>0</v>
      </c>
      <c r="T23" s="50"/>
      <c r="U23" s="50"/>
      <c r="V23" s="62">
        <f t="shared" si="0"/>
        <v>0</v>
      </c>
      <c r="W23" s="50"/>
    </row>
    <row r="24" spans="2:23" hidden="1">
      <c r="B24" s="50">
        <v>1111010</v>
      </c>
      <c r="C24" s="51" t="s">
        <v>155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64">
        <f t="shared" si="1"/>
        <v>0</v>
      </c>
      <c r="T24" s="50"/>
      <c r="U24" s="50"/>
      <c r="V24" s="62">
        <f t="shared" si="0"/>
        <v>0</v>
      </c>
      <c r="W24" s="50"/>
    </row>
    <row r="25" spans="2:23">
      <c r="B25" s="50">
        <v>1111008</v>
      </c>
      <c r="C25" s="51" t="s">
        <v>156</v>
      </c>
      <c r="D25" s="52"/>
      <c r="E25" s="52"/>
      <c r="F25" s="52">
        <v>1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64">
        <f t="shared" si="1"/>
        <v>1</v>
      </c>
      <c r="T25" s="50">
        <v>40</v>
      </c>
      <c r="U25" s="50">
        <v>17</v>
      </c>
      <c r="V25" s="62">
        <f t="shared" si="0"/>
        <v>56</v>
      </c>
      <c r="W25" s="50">
        <v>40</v>
      </c>
    </row>
    <row r="26" spans="2:23">
      <c r="B26" s="50">
        <v>1111009</v>
      </c>
      <c r="C26" s="51" t="s">
        <v>157</v>
      </c>
      <c r="D26" s="52"/>
      <c r="E26" s="52"/>
      <c r="F26" s="52">
        <v>2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64">
        <f t="shared" si="1"/>
        <v>2</v>
      </c>
      <c r="T26" s="50">
        <v>20</v>
      </c>
      <c r="U26" s="50">
        <v>10</v>
      </c>
      <c r="V26" s="62">
        <f t="shared" si="0"/>
        <v>28</v>
      </c>
      <c r="W26" s="50">
        <v>20</v>
      </c>
    </row>
    <row r="27" spans="2:23" hidden="1">
      <c r="B27" s="50">
        <v>1111011</v>
      </c>
      <c r="C27" s="51" t="s">
        <v>158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64">
        <f t="shared" si="1"/>
        <v>0</v>
      </c>
      <c r="T27" s="50"/>
      <c r="U27" s="50"/>
      <c r="V27" s="62">
        <f t="shared" si="0"/>
        <v>0</v>
      </c>
      <c r="W27" s="50"/>
    </row>
    <row r="28" spans="2:23" hidden="1">
      <c r="B28" s="50">
        <v>1111012</v>
      </c>
      <c r="C28" s="51" t="s">
        <v>159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64">
        <f t="shared" si="1"/>
        <v>0</v>
      </c>
      <c r="T28" s="50"/>
      <c r="U28" s="50"/>
      <c r="V28" s="62">
        <f t="shared" si="0"/>
        <v>0</v>
      </c>
      <c r="W28" s="50"/>
    </row>
    <row r="29" spans="2:23" hidden="1">
      <c r="B29" s="50">
        <v>1111013</v>
      </c>
      <c r="C29" s="51" t="s">
        <v>160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64">
        <f t="shared" si="1"/>
        <v>0</v>
      </c>
      <c r="T29" s="50"/>
      <c r="U29" s="50"/>
      <c r="V29" s="62">
        <f t="shared" si="0"/>
        <v>0</v>
      </c>
      <c r="W29" s="50"/>
    </row>
    <row r="30" spans="2:23" hidden="1">
      <c r="B30" s="50">
        <v>1111014</v>
      </c>
      <c r="C30" s="51" t="s">
        <v>161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64">
        <f t="shared" si="1"/>
        <v>0</v>
      </c>
      <c r="T30" s="50"/>
      <c r="U30" s="50"/>
      <c r="V30" s="62">
        <f t="shared" si="0"/>
        <v>0</v>
      </c>
      <c r="W30" s="50"/>
    </row>
    <row r="31" spans="2:23" hidden="1">
      <c r="B31" s="50">
        <v>1111015</v>
      </c>
      <c r="C31" s="51" t="s">
        <v>162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64">
        <f t="shared" si="1"/>
        <v>0</v>
      </c>
      <c r="T31" s="50"/>
      <c r="U31" s="50"/>
      <c r="V31" s="62">
        <f t="shared" si="0"/>
        <v>0</v>
      </c>
      <c r="W31" s="50"/>
    </row>
    <row r="32" spans="2:23">
      <c r="B32" s="50">
        <v>1111016</v>
      </c>
      <c r="C32" s="51" t="s">
        <v>163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>
        <v>5</v>
      </c>
      <c r="S32" s="64">
        <f t="shared" si="1"/>
        <v>5</v>
      </c>
      <c r="T32" s="50">
        <v>5</v>
      </c>
      <c r="U32" s="50"/>
      <c r="V32" s="62">
        <f t="shared" si="0"/>
        <v>0</v>
      </c>
      <c r="W32" s="50"/>
    </row>
    <row r="33" spans="2:23" hidden="1">
      <c r="B33" s="50">
        <v>1111017</v>
      </c>
      <c r="C33" s="51" t="s">
        <v>164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64">
        <f t="shared" si="1"/>
        <v>0</v>
      </c>
      <c r="T33" s="50"/>
      <c r="U33" s="50"/>
      <c r="V33" s="62">
        <f t="shared" si="0"/>
        <v>0</v>
      </c>
      <c r="W33" s="50"/>
    </row>
    <row r="34" spans="2:23" hidden="1">
      <c r="B34" s="50">
        <v>1111018</v>
      </c>
      <c r="C34" s="51" t="s">
        <v>165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64">
        <f t="shared" si="1"/>
        <v>0</v>
      </c>
      <c r="T34" s="50"/>
      <c r="U34" s="50"/>
      <c r="V34" s="62">
        <f t="shared" si="0"/>
        <v>0</v>
      </c>
      <c r="W34" s="50"/>
    </row>
    <row r="35" spans="2:23" hidden="1">
      <c r="B35" s="50">
        <v>1111019</v>
      </c>
      <c r="C35" s="51" t="s">
        <v>166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64">
        <f t="shared" si="1"/>
        <v>0</v>
      </c>
      <c r="T35" s="50"/>
      <c r="U35" s="50"/>
      <c r="V35" s="62">
        <f t="shared" si="0"/>
        <v>0</v>
      </c>
      <c r="W35" s="50"/>
    </row>
    <row r="36" spans="2:23" hidden="1">
      <c r="B36" s="50">
        <v>1111020</v>
      </c>
      <c r="C36" s="51" t="s">
        <v>167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64">
        <f t="shared" si="1"/>
        <v>0</v>
      </c>
      <c r="T36" s="50"/>
      <c r="U36" s="50"/>
      <c r="V36" s="62">
        <f t="shared" si="0"/>
        <v>0</v>
      </c>
      <c r="W36" s="50"/>
    </row>
    <row r="37" spans="2:23" hidden="1">
      <c r="B37" s="50">
        <v>1111022</v>
      </c>
      <c r="C37" s="51" t="s">
        <v>168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64">
        <f t="shared" si="1"/>
        <v>0</v>
      </c>
      <c r="T37" s="50"/>
      <c r="U37" s="50"/>
      <c r="V37" s="62">
        <f t="shared" si="0"/>
        <v>0</v>
      </c>
      <c r="W37" s="50"/>
    </row>
    <row r="38" spans="2:23" hidden="1">
      <c r="B38" s="50">
        <v>1111023</v>
      </c>
      <c r="C38" s="51" t="s">
        <v>169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4">
        <f t="shared" si="1"/>
        <v>0</v>
      </c>
      <c r="T38" s="50"/>
      <c r="U38" s="50"/>
      <c r="V38" s="62">
        <f t="shared" si="0"/>
        <v>0</v>
      </c>
      <c r="W38" s="50"/>
    </row>
    <row r="39" spans="2:23" hidden="1">
      <c r="B39" s="50">
        <v>1111024</v>
      </c>
      <c r="C39" s="51" t="s">
        <v>170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64">
        <f t="shared" si="1"/>
        <v>0</v>
      </c>
      <c r="T39" s="50"/>
      <c r="U39" s="50"/>
      <c r="V39" s="62">
        <f t="shared" si="0"/>
        <v>0</v>
      </c>
      <c r="W39" s="50"/>
    </row>
    <row r="40" spans="2:23" hidden="1">
      <c r="B40" s="50">
        <v>1111025</v>
      </c>
      <c r="C40" s="51" t="s">
        <v>171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64">
        <f t="shared" si="1"/>
        <v>0</v>
      </c>
      <c r="T40" s="50"/>
      <c r="U40" s="50"/>
      <c r="V40" s="62">
        <f t="shared" si="0"/>
        <v>0</v>
      </c>
      <c r="W40" s="50"/>
    </row>
    <row r="41" spans="2:23">
      <c r="B41" s="50">
        <v>1111056</v>
      </c>
      <c r="C41" s="51" t="s">
        <v>172</v>
      </c>
      <c r="D41" s="52"/>
      <c r="E41" s="52"/>
      <c r="F41" s="52">
        <v>1</v>
      </c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64">
        <f t="shared" si="1"/>
        <v>1</v>
      </c>
      <c r="T41" s="50">
        <v>10</v>
      </c>
      <c r="U41" s="50">
        <v>14</v>
      </c>
      <c r="V41" s="62">
        <f t="shared" si="0"/>
        <v>23</v>
      </c>
      <c r="W41" s="50"/>
    </row>
    <row r="42" spans="2:23">
      <c r="B42" s="50">
        <v>1111074</v>
      </c>
      <c r="C42" s="51" t="s">
        <v>44</v>
      </c>
      <c r="D42" s="52"/>
      <c r="E42" s="52"/>
      <c r="F42" s="52">
        <v>8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64">
        <f t="shared" si="1"/>
        <v>8</v>
      </c>
      <c r="T42" s="50"/>
      <c r="U42" s="50"/>
      <c r="V42" s="62">
        <f t="shared" si="0"/>
        <v>-8</v>
      </c>
      <c r="W42" s="50"/>
    </row>
    <row r="43" spans="2:23">
      <c r="B43" s="50">
        <v>1111075</v>
      </c>
      <c r="C43" s="51" t="s">
        <v>45</v>
      </c>
      <c r="D43" s="52"/>
      <c r="E43" s="52"/>
      <c r="F43" s="52">
        <v>8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64">
        <f t="shared" si="1"/>
        <v>8</v>
      </c>
      <c r="T43" s="50"/>
      <c r="U43" s="50"/>
      <c r="V43" s="62">
        <f t="shared" si="0"/>
        <v>-8</v>
      </c>
      <c r="W43" s="50"/>
    </row>
    <row r="44" spans="2:23">
      <c r="B44" s="50">
        <v>1111076</v>
      </c>
      <c r="C44" s="51" t="s">
        <v>46</v>
      </c>
      <c r="D44" s="52"/>
      <c r="E44" s="52"/>
      <c r="F44" s="52">
        <v>8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64">
        <f t="shared" si="1"/>
        <v>8</v>
      </c>
      <c r="T44" s="50"/>
      <c r="U44" s="50"/>
      <c r="V44" s="62">
        <f t="shared" si="0"/>
        <v>-8</v>
      </c>
      <c r="W44" s="50"/>
    </row>
    <row r="45" spans="2:23">
      <c r="B45" s="50">
        <v>1111077</v>
      </c>
      <c r="C45" s="51" t="s">
        <v>47</v>
      </c>
      <c r="D45" s="52"/>
      <c r="E45" s="52"/>
      <c r="F45" s="52">
        <v>8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64">
        <f t="shared" si="1"/>
        <v>8</v>
      </c>
      <c r="T45" s="50"/>
      <c r="U45" s="50"/>
      <c r="V45" s="62">
        <f t="shared" si="0"/>
        <v>-8</v>
      </c>
      <c r="W45" s="50"/>
    </row>
    <row r="46" spans="2:23">
      <c r="B46" s="50">
        <v>1111078</v>
      </c>
      <c r="C46" s="51" t="s">
        <v>48</v>
      </c>
      <c r="D46" s="52"/>
      <c r="E46" s="52"/>
      <c r="F46" s="52">
        <v>8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64">
        <f t="shared" si="1"/>
        <v>8</v>
      </c>
      <c r="T46" s="50"/>
      <c r="U46" s="50"/>
      <c r="V46" s="62">
        <f t="shared" si="0"/>
        <v>-8</v>
      </c>
      <c r="W46" s="50"/>
    </row>
    <row r="47" spans="2:23">
      <c r="B47" s="50">
        <v>1111079</v>
      </c>
      <c r="C47" s="51" t="s">
        <v>49</v>
      </c>
      <c r="D47" s="52"/>
      <c r="E47" s="52"/>
      <c r="F47" s="52">
        <v>8</v>
      </c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64">
        <f t="shared" si="1"/>
        <v>8</v>
      </c>
      <c r="T47" s="50"/>
      <c r="U47" s="50"/>
      <c r="V47" s="62">
        <f t="shared" si="0"/>
        <v>-8</v>
      </c>
      <c r="W47" s="50"/>
    </row>
    <row r="48" spans="2:23">
      <c r="B48" s="50">
        <v>1111080</v>
      </c>
      <c r="C48" s="51" t="s">
        <v>50</v>
      </c>
      <c r="D48" s="52"/>
      <c r="E48" s="52"/>
      <c r="F48" s="52">
        <v>8</v>
      </c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64">
        <f t="shared" si="1"/>
        <v>8</v>
      </c>
      <c r="T48" s="50"/>
      <c r="U48" s="50"/>
      <c r="V48" s="62">
        <f t="shared" si="0"/>
        <v>-8</v>
      </c>
      <c r="W48" s="50"/>
    </row>
    <row r="49" spans="2:25">
      <c r="B49" s="50">
        <v>1111081</v>
      </c>
      <c r="C49" s="51" t="s">
        <v>51</v>
      </c>
      <c r="D49" s="52"/>
      <c r="E49" s="52"/>
      <c r="F49" s="52">
        <v>8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64">
        <f t="shared" si="1"/>
        <v>8</v>
      </c>
      <c r="T49" s="50"/>
      <c r="U49" s="50"/>
      <c r="V49" s="62">
        <f t="shared" si="0"/>
        <v>-8</v>
      </c>
      <c r="W49" s="50"/>
      <c r="Y49" s="53"/>
    </row>
    <row r="50" spans="2:25">
      <c r="B50" s="50">
        <v>1111082</v>
      </c>
      <c r="C50" s="51" t="s">
        <v>52</v>
      </c>
      <c r="D50" s="52"/>
      <c r="E50" s="52"/>
      <c r="F50" s="52">
        <v>8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64">
        <f t="shared" si="1"/>
        <v>8</v>
      </c>
      <c r="T50" s="50"/>
      <c r="U50" s="50"/>
      <c r="V50" s="62">
        <f t="shared" si="0"/>
        <v>-8</v>
      </c>
      <c r="W50" s="50"/>
    </row>
    <row r="51" spans="2:25">
      <c r="B51" s="50">
        <v>1111083</v>
      </c>
      <c r="C51" s="51" t="s">
        <v>53</v>
      </c>
      <c r="D51" s="52"/>
      <c r="E51" s="52"/>
      <c r="F51" s="52">
        <v>8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64">
        <f t="shared" si="1"/>
        <v>8</v>
      </c>
      <c r="T51" s="50"/>
      <c r="U51" s="50"/>
      <c r="V51" s="62">
        <f t="shared" si="0"/>
        <v>-8</v>
      </c>
      <c r="W51" s="50"/>
    </row>
    <row r="52" spans="2:25">
      <c r="B52" s="50">
        <v>1112002</v>
      </c>
      <c r="C52" s="51" t="s">
        <v>173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>
        <v>10</v>
      </c>
      <c r="S52" s="64">
        <f t="shared" si="1"/>
        <v>10</v>
      </c>
      <c r="T52" s="50">
        <v>10</v>
      </c>
      <c r="U52" s="50"/>
      <c r="V52" s="62">
        <f t="shared" si="0"/>
        <v>0</v>
      </c>
      <c r="W52" s="50"/>
    </row>
    <row r="53" spans="2:25">
      <c r="B53" s="50">
        <v>1112003</v>
      </c>
      <c r="C53" s="51" t="s">
        <v>174</v>
      </c>
      <c r="D53" s="52"/>
      <c r="E53" s="52"/>
      <c r="F53" s="52">
        <v>3</v>
      </c>
      <c r="G53" s="52"/>
      <c r="H53" s="52">
        <v>1</v>
      </c>
      <c r="I53" s="52"/>
      <c r="J53" s="52">
        <v>61</v>
      </c>
      <c r="K53" s="52"/>
      <c r="L53" s="52"/>
      <c r="M53" s="52"/>
      <c r="N53" s="52"/>
      <c r="O53" s="52"/>
      <c r="P53" s="52"/>
      <c r="Q53" s="52"/>
      <c r="R53" s="52">
        <v>2</v>
      </c>
      <c r="S53" s="64">
        <f t="shared" si="1"/>
        <v>67</v>
      </c>
      <c r="T53" s="50">
        <v>62</v>
      </c>
      <c r="U53" s="50">
        <v>81</v>
      </c>
      <c r="V53" s="62">
        <f t="shared" si="0"/>
        <v>76</v>
      </c>
      <c r="W53" s="50">
        <v>45</v>
      </c>
    </row>
    <row r="54" spans="2:25">
      <c r="B54" s="50">
        <v>1112004</v>
      </c>
      <c r="C54" s="51" t="s">
        <v>175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>
        <v>100</v>
      </c>
      <c r="S54" s="64">
        <f t="shared" si="1"/>
        <v>100</v>
      </c>
      <c r="T54" s="50">
        <v>100</v>
      </c>
      <c r="U54" s="50"/>
      <c r="V54" s="62">
        <f t="shared" si="0"/>
        <v>0</v>
      </c>
      <c r="W54" s="50"/>
    </row>
    <row r="55" spans="2:25">
      <c r="B55" s="50">
        <v>1112005</v>
      </c>
      <c r="C55" s="51" t="s">
        <v>176</v>
      </c>
      <c r="D55" s="52"/>
      <c r="E55" s="52"/>
      <c r="F55" s="52">
        <v>2</v>
      </c>
      <c r="G55" s="52"/>
      <c r="H55" s="52">
        <v>1</v>
      </c>
      <c r="I55" s="52"/>
      <c r="J55" s="52">
        <v>61</v>
      </c>
      <c r="K55" s="52"/>
      <c r="L55" s="52"/>
      <c r="M55" s="52"/>
      <c r="N55" s="52"/>
      <c r="O55" s="52"/>
      <c r="P55" s="52"/>
      <c r="Q55" s="52"/>
      <c r="R55" s="52"/>
      <c r="S55" s="64">
        <f t="shared" si="1"/>
        <v>64</v>
      </c>
      <c r="T55" s="50">
        <v>60</v>
      </c>
      <c r="U55" s="50">
        <v>78</v>
      </c>
      <c r="V55" s="62">
        <f t="shared" si="0"/>
        <v>74</v>
      </c>
      <c r="W55" s="50">
        <v>45</v>
      </c>
    </row>
    <row r="56" spans="2:25">
      <c r="B56" s="50">
        <v>1112008</v>
      </c>
      <c r="C56" s="51" t="s">
        <v>177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>
        <v>20</v>
      </c>
      <c r="S56" s="64">
        <f t="shared" si="1"/>
        <v>20</v>
      </c>
      <c r="T56" s="50">
        <v>20</v>
      </c>
      <c r="U56" s="50"/>
      <c r="V56" s="62">
        <f t="shared" si="0"/>
        <v>0</v>
      </c>
      <c r="W56" s="50"/>
    </row>
    <row r="57" spans="2:25">
      <c r="B57" s="50">
        <v>1112009</v>
      </c>
      <c r="C57" s="51" t="s">
        <v>178</v>
      </c>
      <c r="D57" s="52"/>
      <c r="E57" s="52"/>
      <c r="F57" s="52">
        <v>2</v>
      </c>
      <c r="G57" s="52"/>
      <c r="H57" s="52">
        <v>1</v>
      </c>
      <c r="I57" s="52"/>
      <c r="J57" s="52">
        <v>61</v>
      </c>
      <c r="K57" s="52"/>
      <c r="L57" s="52"/>
      <c r="M57" s="52"/>
      <c r="N57" s="52"/>
      <c r="O57" s="52"/>
      <c r="P57" s="52"/>
      <c r="Q57" s="52"/>
      <c r="R57" s="52">
        <v>5</v>
      </c>
      <c r="S57" s="64">
        <f t="shared" si="1"/>
        <v>69</v>
      </c>
      <c r="T57" s="50">
        <v>65</v>
      </c>
      <c r="U57" s="50">
        <v>68</v>
      </c>
      <c r="V57" s="62">
        <f t="shared" si="0"/>
        <v>64</v>
      </c>
      <c r="W57" s="50">
        <v>45</v>
      </c>
    </row>
    <row r="58" spans="2:25">
      <c r="B58" s="50">
        <v>1112010</v>
      </c>
      <c r="C58" s="51" t="s">
        <v>179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>
        <v>20</v>
      </c>
      <c r="S58" s="64">
        <f t="shared" si="1"/>
        <v>20</v>
      </c>
      <c r="T58" s="50">
        <v>20</v>
      </c>
      <c r="U58" s="50"/>
      <c r="V58" s="62">
        <f t="shared" si="0"/>
        <v>0</v>
      </c>
      <c r="W58" s="50"/>
    </row>
    <row r="59" spans="2:25">
      <c r="B59" s="50">
        <v>1112011</v>
      </c>
      <c r="C59" s="51" t="s">
        <v>180</v>
      </c>
      <c r="D59" s="52"/>
      <c r="E59" s="52"/>
      <c r="F59" s="52">
        <v>2</v>
      </c>
      <c r="G59" s="52"/>
      <c r="H59" s="52">
        <v>5</v>
      </c>
      <c r="I59" s="52"/>
      <c r="J59" s="52">
        <v>61</v>
      </c>
      <c r="K59" s="52"/>
      <c r="L59" s="52"/>
      <c r="M59" s="52"/>
      <c r="N59" s="52"/>
      <c r="O59" s="52"/>
      <c r="P59" s="52"/>
      <c r="Q59" s="52"/>
      <c r="R59" s="52">
        <v>5</v>
      </c>
      <c r="S59" s="64">
        <f t="shared" si="1"/>
        <v>73</v>
      </c>
      <c r="T59" s="50">
        <v>65</v>
      </c>
      <c r="U59" s="50">
        <v>89</v>
      </c>
      <c r="V59" s="62">
        <f t="shared" si="0"/>
        <v>81</v>
      </c>
      <c r="W59" s="50">
        <v>45</v>
      </c>
    </row>
    <row r="60" spans="2:25">
      <c r="B60" s="50">
        <v>1112012</v>
      </c>
      <c r="C60" s="51" t="s">
        <v>181</v>
      </c>
      <c r="D60" s="52"/>
      <c r="E60" s="52"/>
      <c r="F60" s="52"/>
      <c r="G60" s="52"/>
      <c r="H60" s="52"/>
      <c r="I60" s="52"/>
      <c r="J60" s="52">
        <v>2</v>
      </c>
      <c r="K60" s="52"/>
      <c r="L60" s="52"/>
      <c r="M60" s="52"/>
      <c r="N60" s="52"/>
      <c r="O60" s="52"/>
      <c r="P60" s="52"/>
      <c r="Q60" s="52"/>
      <c r="R60" s="52"/>
      <c r="S60" s="64">
        <f t="shared" si="1"/>
        <v>2</v>
      </c>
      <c r="T60" s="50"/>
      <c r="U60" s="50">
        <v>40</v>
      </c>
      <c r="V60" s="62">
        <f t="shared" si="0"/>
        <v>38</v>
      </c>
      <c r="W60" s="50"/>
    </row>
    <row r="61" spans="2:25">
      <c r="B61" s="50">
        <v>1112013</v>
      </c>
      <c r="C61" s="51" t="s">
        <v>182</v>
      </c>
      <c r="D61" s="52"/>
      <c r="E61" s="52"/>
      <c r="F61" s="52">
        <v>3</v>
      </c>
      <c r="G61" s="52"/>
      <c r="H61" s="52">
        <v>1</v>
      </c>
      <c r="I61" s="52"/>
      <c r="J61" s="52">
        <v>57</v>
      </c>
      <c r="K61" s="52"/>
      <c r="L61" s="52"/>
      <c r="M61" s="52"/>
      <c r="N61" s="52"/>
      <c r="O61" s="52"/>
      <c r="P61" s="52"/>
      <c r="Q61" s="52"/>
      <c r="R61" s="52">
        <v>5</v>
      </c>
      <c r="S61" s="64">
        <f t="shared" si="1"/>
        <v>66</v>
      </c>
      <c r="T61" s="50">
        <v>65</v>
      </c>
      <c r="U61" s="50">
        <v>66</v>
      </c>
      <c r="V61" s="62">
        <f t="shared" si="0"/>
        <v>65</v>
      </c>
      <c r="W61" s="50">
        <v>45</v>
      </c>
    </row>
    <row r="62" spans="2:25">
      <c r="B62" s="50">
        <v>1112014</v>
      </c>
      <c r="C62" s="51" t="s">
        <v>183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64">
        <f t="shared" si="1"/>
        <v>0</v>
      </c>
      <c r="T62" s="50"/>
      <c r="U62" s="50"/>
      <c r="V62" s="62">
        <f t="shared" si="0"/>
        <v>0</v>
      </c>
      <c r="W62" s="50"/>
      <c r="Y62" s="53"/>
    </row>
    <row r="63" spans="2:25">
      <c r="B63" s="50">
        <v>1112015</v>
      </c>
      <c r="C63" s="51" t="s">
        <v>184</v>
      </c>
      <c r="D63" s="52"/>
      <c r="E63" s="52"/>
      <c r="F63" s="52">
        <v>3</v>
      </c>
      <c r="G63" s="52"/>
      <c r="H63" s="52">
        <v>1</v>
      </c>
      <c r="I63" s="52"/>
      <c r="J63" s="52">
        <v>65</v>
      </c>
      <c r="K63" s="52"/>
      <c r="L63" s="52"/>
      <c r="M63" s="52"/>
      <c r="N63" s="52"/>
      <c r="O63" s="52"/>
      <c r="P63" s="52"/>
      <c r="Q63" s="52"/>
      <c r="R63" s="52"/>
      <c r="S63" s="64">
        <f t="shared" si="1"/>
        <v>69</v>
      </c>
      <c r="T63" s="50">
        <v>60</v>
      </c>
      <c r="U63" s="50">
        <v>69</v>
      </c>
      <c r="V63" s="62">
        <f t="shared" si="0"/>
        <v>60</v>
      </c>
      <c r="W63" s="50">
        <v>45</v>
      </c>
    </row>
    <row r="64" spans="2:25">
      <c r="B64" s="50">
        <v>1112017</v>
      </c>
      <c r="C64" s="54" t="s">
        <v>185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64">
        <f t="shared" si="1"/>
        <v>0</v>
      </c>
      <c r="T64" s="50"/>
      <c r="U64" s="50"/>
      <c r="V64" s="62">
        <f t="shared" si="0"/>
        <v>0</v>
      </c>
      <c r="W64" s="50"/>
    </row>
    <row r="65" spans="2:23">
      <c r="B65" s="50">
        <v>1100003</v>
      </c>
      <c r="C65" s="54" t="s">
        <v>186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64">
        <f t="shared" si="1"/>
        <v>0</v>
      </c>
      <c r="T65" s="59"/>
      <c r="U65" s="59"/>
      <c r="V65" s="62">
        <f t="shared" si="0"/>
        <v>0</v>
      </c>
      <c r="W65" s="59"/>
    </row>
    <row r="66" spans="2:23">
      <c r="B66" s="50">
        <v>1113086</v>
      </c>
      <c r="C66" s="54" t="s">
        <v>201</v>
      </c>
      <c r="D66" s="52"/>
      <c r="E66" s="52"/>
      <c r="F66" s="52"/>
      <c r="G66" s="52"/>
      <c r="H66" s="52"/>
      <c r="I66" s="52"/>
      <c r="J66" s="52">
        <v>21</v>
      </c>
      <c r="K66" s="52"/>
      <c r="L66" s="52"/>
      <c r="M66" s="52"/>
      <c r="N66" s="52"/>
      <c r="O66" s="52"/>
      <c r="P66" s="52"/>
      <c r="Q66" s="52"/>
      <c r="R66" s="52"/>
      <c r="S66" s="64">
        <f t="shared" si="1"/>
        <v>21</v>
      </c>
      <c r="T66" s="50">
        <v>60</v>
      </c>
      <c r="U66" s="50">
        <v>19</v>
      </c>
      <c r="V66" s="62">
        <f t="shared" si="0"/>
        <v>58</v>
      </c>
      <c r="W66" s="50"/>
    </row>
    <row r="67" spans="2:23">
      <c r="B67" s="50">
        <v>1114501</v>
      </c>
      <c r="C67" s="54" t="s">
        <v>187</v>
      </c>
      <c r="D67" s="52"/>
      <c r="E67" s="52"/>
      <c r="F67" s="52">
        <v>7</v>
      </c>
      <c r="G67" s="52"/>
      <c r="H67" s="52">
        <v>3</v>
      </c>
      <c r="I67" s="52"/>
      <c r="J67" s="52">
        <v>26</v>
      </c>
      <c r="K67" s="52"/>
      <c r="L67" s="52"/>
      <c r="M67" s="52"/>
      <c r="N67" s="52"/>
      <c r="O67" s="52"/>
      <c r="P67" s="52"/>
      <c r="Q67" s="52"/>
      <c r="R67" s="52"/>
      <c r="S67" s="64">
        <f t="shared" si="1"/>
        <v>36</v>
      </c>
      <c r="T67" s="50"/>
      <c r="U67" s="50"/>
      <c r="V67" s="62">
        <f t="shared" si="0"/>
        <v>-36</v>
      </c>
      <c r="W67" s="50">
        <v>150</v>
      </c>
    </row>
    <row r="68" spans="2:23">
      <c r="B68" s="50">
        <v>1114502</v>
      </c>
      <c r="C68" s="54" t="s">
        <v>188</v>
      </c>
      <c r="D68" s="52"/>
      <c r="E68" s="52"/>
      <c r="F68" s="52">
        <v>1</v>
      </c>
      <c r="G68" s="52"/>
      <c r="H68" s="52">
        <v>2</v>
      </c>
      <c r="I68" s="52"/>
      <c r="J68" s="52">
        <v>26</v>
      </c>
      <c r="K68" s="52"/>
      <c r="L68" s="52"/>
      <c r="M68" s="52"/>
      <c r="N68" s="52"/>
      <c r="O68" s="52"/>
      <c r="P68" s="52"/>
      <c r="Q68" s="52"/>
      <c r="R68" s="52"/>
      <c r="S68" s="64">
        <f t="shared" si="1"/>
        <v>29</v>
      </c>
      <c r="T68" s="50"/>
      <c r="U68" s="50">
        <v>35</v>
      </c>
      <c r="V68" s="62">
        <f t="shared" si="0"/>
        <v>6</v>
      </c>
      <c r="W68" s="50">
        <v>150</v>
      </c>
    </row>
    <row r="69" spans="2:23">
      <c r="B69" s="50">
        <v>1114503</v>
      </c>
      <c r="C69" s="54" t="s">
        <v>189</v>
      </c>
      <c r="D69" s="52"/>
      <c r="E69" s="52"/>
      <c r="F69" s="52">
        <v>1</v>
      </c>
      <c r="G69" s="52"/>
      <c r="H69" s="52"/>
      <c r="I69" s="52"/>
      <c r="J69" s="52">
        <v>41</v>
      </c>
      <c r="K69" s="52"/>
      <c r="L69" s="52"/>
      <c r="M69" s="52"/>
      <c r="N69" s="52"/>
      <c r="O69" s="52"/>
      <c r="P69" s="52"/>
      <c r="Q69" s="52"/>
      <c r="R69" s="52"/>
      <c r="S69" s="64">
        <f t="shared" ref="S69:S99" si="2">SUM(D69:R69)</f>
        <v>42</v>
      </c>
      <c r="T69" s="50"/>
      <c r="U69" s="50">
        <v>16</v>
      </c>
      <c r="V69" s="62">
        <f t="shared" ref="V69:V99" si="3">+T69+U69-S69</f>
        <v>-26</v>
      </c>
      <c r="W69" s="50">
        <v>150</v>
      </c>
    </row>
    <row r="70" spans="2:23">
      <c r="B70" s="50">
        <v>1124021</v>
      </c>
      <c r="C70" s="54" t="s">
        <v>190</v>
      </c>
      <c r="D70" s="52">
        <v>3</v>
      </c>
      <c r="E70" s="52"/>
      <c r="F70" s="52">
        <v>13</v>
      </c>
      <c r="G70" s="52"/>
      <c r="H70" s="52"/>
      <c r="I70" s="52"/>
      <c r="J70" s="52">
        <v>16</v>
      </c>
      <c r="K70" s="52"/>
      <c r="L70" s="52"/>
      <c r="M70" s="52"/>
      <c r="N70" s="52"/>
      <c r="O70" s="52"/>
      <c r="P70" s="52"/>
      <c r="Q70" s="52"/>
      <c r="R70" s="52"/>
      <c r="S70" s="64">
        <f t="shared" si="2"/>
        <v>32</v>
      </c>
      <c r="T70" s="50">
        <v>20</v>
      </c>
      <c r="U70" s="50">
        <v>20</v>
      </c>
      <c r="V70" s="62">
        <f t="shared" si="3"/>
        <v>8</v>
      </c>
      <c r="W70" s="50">
        <v>50</v>
      </c>
    </row>
    <row r="71" spans="2:23" hidden="1">
      <c r="B71" s="50">
        <v>1005761</v>
      </c>
      <c r="C71" s="54" t="s">
        <v>191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64">
        <f t="shared" si="2"/>
        <v>0</v>
      </c>
      <c r="T71" s="50"/>
      <c r="U71" s="50"/>
      <c r="V71" s="62">
        <f t="shared" si="3"/>
        <v>0</v>
      </c>
      <c r="W71" s="50"/>
    </row>
    <row r="72" spans="2:23" hidden="1">
      <c r="B72" s="50">
        <v>1100001</v>
      </c>
      <c r="C72" s="54" t="s">
        <v>192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64">
        <f t="shared" si="2"/>
        <v>0</v>
      </c>
      <c r="T72" s="50"/>
      <c r="U72" s="50"/>
      <c r="V72" s="62">
        <f t="shared" si="3"/>
        <v>0</v>
      </c>
      <c r="W72" s="50"/>
    </row>
    <row r="73" spans="2:23" hidden="1">
      <c r="B73" s="50">
        <v>1100002</v>
      </c>
      <c r="C73" s="54" t="s">
        <v>193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64">
        <f t="shared" si="2"/>
        <v>0</v>
      </c>
      <c r="T73" s="50"/>
      <c r="U73" s="50"/>
      <c r="V73" s="62">
        <f t="shared" si="3"/>
        <v>0</v>
      </c>
      <c r="W73" s="50"/>
    </row>
    <row r="74" spans="2:23" hidden="1">
      <c r="B74" s="50">
        <v>20052721</v>
      </c>
      <c r="C74" s="54" t="s">
        <v>194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64">
        <f t="shared" si="2"/>
        <v>0</v>
      </c>
      <c r="T74" s="59"/>
      <c r="U74" s="59"/>
      <c r="V74" s="62">
        <f t="shared" si="3"/>
        <v>0</v>
      </c>
      <c r="W74" s="59"/>
    </row>
    <row r="75" spans="2:23">
      <c r="B75" s="50">
        <v>1113170</v>
      </c>
      <c r="C75" s="54" t="s">
        <v>87</v>
      </c>
      <c r="D75" s="52"/>
      <c r="E75" s="52"/>
      <c r="F75" s="52"/>
      <c r="G75" s="52"/>
      <c r="H75" s="52"/>
      <c r="I75" s="52"/>
      <c r="J75" s="52">
        <v>4</v>
      </c>
      <c r="K75" s="52"/>
      <c r="L75" s="52"/>
      <c r="M75" s="52"/>
      <c r="N75" s="52"/>
      <c r="O75" s="52"/>
      <c r="P75" s="52"/>
      <c r="Q75" s="52"/>
      <c r="R75" s="52"/>
      <c r="S75" s="64">
        <f t="shared" si="2"/>
        <v>4</v>
      </c>
      <c r="T75" s="50"/>
      <c r="U75" s="50">
        <v>20</v>
      </c>
      <c r="V75" s="62">
        <f t="shared" si="3"/>
        <v>16</v>
      </c>
      <c r="W75" s="50"/>
    </row>
    <row r="76" spans="2:23">
      <c r="B76" s="50">
        <v>1113171</v>
      </c>
      <c r="C76" s="54" t="s">
        <v>88</v>
      </c>
      <c r="D76" s="52"/>
      <c r="E76" s="52"/>
      <c r="F76" s="52"/>
      <c r="G76" s="52"/>
      <c r="H76" s="52">
        <v>1</v>
      </c>
      <c r="I76" s="52"/>
      <c r="J76" s="52">
        <v>3</v>
      </c>
      <c r="K76" s="52"/>
      <c r="L76" s="52"/>
      <c r="M76" s="52"/>
      <c r="N76" s="52"/>
      <c r="O76" s="52"/>
      <c r="P76" s="52"/>
      <c r="Q76" s="52"/>
      <c r="R76" s="52"/>
      <c r="S76" s="64">
        <f t="shared" si="2"/>
        <v>4</v>
      </c>
      <c r="T76" s="50"/>
      <c r="U76" s="50">
        <v>22</v>
      </c>
      <c r="V76" s="62">
        <f t="shared" si="3"/>
        <v>18</v>
      </c>
      <c r="W76" s="50"/>
    </row>
    <row r="77" spans="2:23">
      <c r="B77" s="50">
        <v>1113172</v>
      </c>
      <c r="C77" s="54" t="s">
        <v>89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64">
        <f t="shared" si="2"/>
        <v>0</v>
      </c>
      <c r="T77" s="50"/>
      <c r="U77" s="50"/>
      <c r="V77" s="62">
        <f t="shared" si="3"/>
        <v>0</v>
      </c>
      <c r="W77" s="50"/>
    </row>
    <row r="78" spans="2:23">
      <c r="B78" s="50">
        <v>1113173</v>
      </c>
      <c r="C78" s="54" t="s">
        <v>90</v>
      </c>
      <c r="D78" s="52"/>
      <c r="E78" s="52"/>
      <c r="F78" s="52"/>
      <c r="G78" s="52"/>
      <c r="H78" s="52"/>
      <c r="I78" s="52"/>
      <c r="J78" s="52">
        <v>3</v>
      </c>
      <c r="K78" s="52"/>
      <c r="L78" s="52"/>
      <c r="M78" s="52"/>
      <c r="N78" s="52"/>
      <c r="O78" s="52"/>
      <c r="P78" s="52"/>
      <c r="Q78" s="52"/>
      <c r="R78" s="52"/>
      <c r="S78" s="64">
        <f t="shared" si="2"/>
        <v>3</v>
      </c>
      <c r="T78" s="50"/>
      <c r="U78" s="50">
        <v>24</v>
      </c>
      <c r="V78" s="62">
        <f t="shared" si="3"/>
        <v>21</v>
      </c>
      <c r="W78" s="50"/>
    </row>
    <row r="79" spans="2:23">
      <c r="B79" s="50">
        <v>1200001</v>
      </c>
      <c r="C79" s="54" t="s">
        <v>195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>
        <v>5</v>
      </c>
      <c r="S79" s="64">
        <f t="shared" si="2"/>
        <v>5</v>
      </c>
      <c r="T79" s="50">
        <v>5</v>
      </c>
      <c r="U79" s="50"/>
      <c r="V79" s="62">
        <f t="shared" si="3"/>
        <v>0</v>
      </c>
      <c r="W79" s="50"/>
    </row>
    <row r="80" spans="2:23" hidden="1">
      <c r="B80" s="50">
        <v>1200002</v>
      </c>
      <c r="C80" s="54" t="s">
        <v>196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64">
        <f t="shared" si="2"/>
        <v>0</v>
      </c>
      <c r="T80" s="50"/>
      <c r="U80" s="50"/>
      <c r="V80" s="62">
        <f t="shared" si="3"/>
        <v>0</v>
      </c>
      <c r="W80" s="50"/>
    </row>
    <row r="81" spans="2:23" hidden="1">
      <c r="B81" s="50">
        <v>20054646</v>
      </c>
      <c r="C81" s="54" t="s">
        <v>141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64">
        <f t="shared" si="2"/>
        <v>0</v>
      </c>
      <c r="T81" s="50"/>
      <c r="U81" s="50"/>
      <c r="V81" s="62">
        <f t="shared" si="3"/>
        <v>0</v>
      </c>
      <c r="W81" s="50"/>
    </row>
    <row r="82" spans="2:23" hidden="1">
      <c r="B82" s="50">
        <v>300</v>
      </c>
      <c r="C82" s="54" t="s">
        <v>197</v>
      </c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64">
        <f t="shared" si="2"/>
        <v>0</v>
      </c>
      <c r="T82" s="50"/>
      <c r="U82" s="50"/>
      <c r="V82" s="62">
        <f t="shared" si="3"/>
        <v>0</v>
      </c>
      <c r="W82" s="50"/>
    </row>
    <row r="83" spans="2:23">
      <c r="B83" s="50">
        <v>200</v>
      </c>
      <c r="C83" s="54" t="s">
        <v>198</v>
      </c>
      <c r="D83" s="52"/>
      <c r="E83" s="52"/>
      <c r="F83" s="52">
        <v>19</v>
      </c>
      <c r="G83" s="52"/>
      <c r="H83" s="52">
        <v>6</v>
      </c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64">
        <f t="shared" si="2"/>
        <v>25</v>
      </c>
      <c r="T83" s="50"/>
      <c r="U83" s="50"/>
      <c r="V83" s="62">
        <f t="shared" si="3"/>
        <v>-25</v>
      </c>
      <c r="W83" s="50"/>
    </row>
    <row r="84" spans="2:23" hidden="1">
      <c r="B84" s="50">
        <v>1111087</v>
      </c>
      <c r="C84" s="54" t="s">
        <v>15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64">
        <f t="shared" si="2"/>
        <v>0</v>
      </c>
      <c r="T84" s="50"/>
      <c r="U84" s="50"/>
      <c r="V84" s="62">
        <f t="shared" si="3"/>
        <v>0</v>
      </c>
      <c r="W84" s="50"/>
    </row>
    <row r="85" spans="2:23" hidden="1">
      <c r="B85" s="50"/>
      <c r="C85" s="54" t="s">
        <v>110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64">
        <f t="shared" si="2"/>
        <v>0</v>
      </c>
      <c r="T85" s="50"/>
      <c r="U85" s="50"/>
      <c r="V85" s="62">
        <f t="shared" si="3"/>
        <v>0</v>
      </c>
      <c r="W85" s="50"/>
    </row>
    <row r="86" spans="2:23" hidden="1">
      <c r="B86" s="50"/>
      <c r="C86" s="54" t="s">
        <v>112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64">
        <f t="shared" si="2"/>
        <v>0</v>
      </c>
      <c r="T86" s="50"/>
      <c r="U86" s="50"/>
      <c r="V86" s="62">
        <f t="shared" si="3"/>
        <v>0</v>
      </c>
      <c r="W86" s="50"/>
    </row>
    <row r="87" spans="2:23" hidden="1">
      <c r="B87" s="50"/>
      <c r="C87" s="54" t="s">
        <v>118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64">
        <f t="shared" si="2"/>
        <v>0</v>
      </c>
      <c r="T87" s="50"/>
      <c r="U87" s="50"/>
      <c r="V87" s="62">
        <f t="shared" si="3"/>
        <v>0</v>
      </c>
      <c r="W87" s="50"/>
    </row>
    <row r="88" spans="2:23" hidden="1">
      <c r="B88" s="50"/>
      <c r="C88" s="54" t="s">
        <v>113</v>
      </c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64">
        <f t="shared" si="2"/>
        <v>0</v>
      </c>
      <c r="T88" s="50"/>
      <c r="U88" s="50"/>
      <c r="V88" s="62">
        <f t="shared" si="3"/>
        <v>0</v>
      </c>
      <c r="W88" s="50"/>
    </row>
    <row r="89" spans="2:23" hidden="1">
      <c r="B89" s="50">
        <v>1111092</v>
      </c>
      <c r="C89" s="54" t="s">
        <v>20</v>
      </c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64">
        <f t="shared" si="2"/>
        <v>0</v>
      </c>
      <c r="T89" s="50"/>
      <c r="U89" s="50"/>
      <c r="V89" s="62">
        <f t="shared" si="3"/>
        <v>0</v>
      </c>
      <c r="W89" s="50"/>
    </row>
    <row r="90" spans="2:23" hidden="1">
      <c r="B90" s="50">
        <v>1111093</v>
      </c>
      <c r="C90" s="54" t="s">
        <v>21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64">
        <f t="shared" si="2"/>
        <v>0</v>
      </c>
      <c r="T90" s="50"/>
      <c r="U90" s="50"/>
      <c r="V90" s="62">
        <f t="shared" si="3"/>
        <v>0</v>
      </c>
      <c r="W90" s="50"/>
    </row>
    <row r="91" spans="2:23" hidden="1">
      <c r="B91" s="50">
        <v>1111088</v>
      </c>
      <c r="C91" s="54" t="s">
        <v>16</v>
      </c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64">
        <f t="shared" si="2"/>
        <v>0</v>
      </c>
      <c r="T91" s="50"/>
      <c r="U91" s="50"/>
      <c r="V91" s="62">
        <f t="shared" si="3"/>
        <v>0</v>
      </c>
      <c r="W91" s="50"/>
    </row>
    <row r="92" spans="2:23" hidden="1">
      <c r="B92" s="50">
        <v>1111089</v>
      </c>
      <c r="C92" s="54" t="s">
        <v>17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64">
        <f t="shared" si="2"/>
        <v>0</v>
      </c>
      <c r="T92" s="50"/>
      <c r="U92" s="50"/>
      <c r="V92" s="62">
        <f t="shared" si="3"/>
        <v>0</v>
      </c>
      <c r="W92" s="50"/>
    </row>
    <row r="93" spans="2:23" hidden="1">
      <c r="B93" s="50">
        <v>1111094</v>
      </c>
      <c r="C93" s="54" t="s">
        <v>22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64">
        <f t="shared" si="2"/>
        <v>0</v>
      </c>
      <c r="T93" s="50"/>
      <c r="U93" s="50"/>
      <c r="V93" s="62">
        <f t="shared" si="3"/>
        <v>0</v>
      </c>
      <c r="W93" s="50"/>
    </row>
    <row r="94" spans="2:23" hidden="1">
      <c r="B94" s="50">
        <v>1111095</v>
      </c>
      <c r="C94" s="54" t="s">
        <v>23</v>
      </c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64">
        <f t="shared" si="2"/>
        <v>0</v>
      </c>
      <c r="T94" s="50"/>
      <c r="U94" s="50"/>
      <c r="V94" s="62">
        <f t="shared" si="3"/>
        <v>0</v>
      </c>
      <c r="W94" s="50"/>
    </row>
    <row r="95" spans="2:23" hidden="1">
      <c r="B95" s="50">
        <v>1111091</v>
      </c>
      <c r="C95" s="54" t="s">
        <v>19</v>
      </c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64">
        <f t="shared" si="2"/>
        <v>0</v>
      </c>
      <c r="T95" s="59"/>
      <c r="U95" s="59"/>
      <c r="V95" s="62">
        <f t="shared" si="3"/>
        <v>0</v>
      </c>
      <c r="W95" s="59"/>
    </row>
    <row r="96" spans="2:23" hidden="1">
      <c r="B96" s="50">
        <v>1111086</v>
      </c>
      <c r="C96" s="54" t="s">
        <v>14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64">
        <f t="shared" si="2"/>
        <v>0</v>
      </c>
      <c r="T96" s="50"/>
      <c r="U96" s="50"/>
      <c r="V96" s="62">
        <f t="shared" si="3"/>
        <v>0</v>
      </c>
      <c r="W96" s="50"/>
    </row>
    <row r="97" spans="2:23" hidden="1">
      <c r="B97" s="50">
        <v>20059548</v>
      </c>
      <c r="C97" s="54" t="s">
        <v>199</v>
      </c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64">
        <f t="shared" si="2"/>
        <v>0</v>
      </c>
      <c r="T97" s="50"/>
      <c r="U97" s="50"/>
      <c r="V97" s="62">
        <f t="shared" si="3"/>
        <v>0</v>
      </c>
      <c r="W97" s="50"/>
    </row>
    <row r="98" spans="2:23" hidden="1">
      <c r="B98" s="50">
        <v>1100044</v>
      </c>
      <c r="C98" s="54" t="s">
        <v>142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64">
        <f t="shared" si="2"/>
        <v>0</v>
      </c>
      <c r="T98" s="50"/>
      <c r="U98" s="50"/>
      <c r="V98" s="62">
        <f t="shared" si="3"/>
        <v>0</v>
      </c>
      <c r="W98" s="50"/>
    </row>
    <row r="99" spans="2:23" hidden="1">
      <c r="B99" s="50">
        <v>1100045</v>
      </c>
      <c r="C99" s="54" t="s">
        <v>200</v>
      </c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64">
        <f t="shared" si="2"/>
        <v>0</v>
      </c>
      <c r="T99" s="50"/>
      <c r="U99" s="50"/>
      <c r="V99" s="62">
        <f t="shared" si="3"/>
        <v>0</v>
      </c>
      <c r="W99" s="50"/>
    </row>
    <row r="100" spans="2:23" s="60" customFormat="1" ht="51.75">
      <c r="B100" s="75" t="s">
        <v>202</v>
      </c>
      <c r="C100" s="7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3</v>
      </c>
      <c r="E100" s="63">
        <f t="shared" ref="E100:S100" si="4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63">
        <f t="shared" si="4"/>
        <v>196</v>
      </c>
      <c r="G100" s="63">
        <f t="shared" si="4"/>
        <v>0</v>
      </c>
      <c r="H100" s="63">
        <f t="shared" si="4"/>
        <v>32</v>
      </c>
      <c r="I100" s="63">
        <f t="shared" si="4"/>
        <v>0</v>
      </c>
      <c r="J100" s="63">
        <f t="shared" si="4"/>
        <v>559</v>
      </c>
      <c r="K100" s="63">
        <f t="shared" si="4"/>
        <v>0</v>
      </c>
      <c r="L100" s="63">
        <f t="shared" si="4"/>
        <v>0</v>
      </c>
      <c r="M100" s="63">
        <f t="shared" si="4"/>
        <v>0</v>
      </c>
      <c r="N100" s="63">
        <f t="shared" si="4"/>
        <v>0</v>
      </c>
      <c r="O100" s="63">
        <f t="shared" si="4"/>
        <v>0</v>
      </c>
      <c r="P100" s="63">
        <f t="shared" si="4"/>
        <v>0</v>
      </c>
      <c r="Q100" s="63">
        <f t="shared" si="4"/>
        <v>0</v>
      </c>
      <c r="R100" s="63">
        <f t="shared" si="4"/>
        <v>203</v>
      </c>
      <c r="S100" s="63">
        <f t="shared" si="4"/>
        <v>993</v>
      </c>
      <c r="T100" s="63">
        <f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828</v>
      </c>
      <c r="U100" s="63">
        <f t="shared" ref="U100" si="5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713</v>
      </c>
      <c r="V100" s="63">
        <f t="shared" ref="V100" si="6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548</v>
      </c>
      <c r="W100" s="63">
        <f t="shared" ref="W100" si="7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945</v>
      </c>
    </row>
    <row r="101" spans="2:23">
      <c r="B101" s="55"/>
      <c r="D101" s="92">
        <f>D100+E100</f>
        <v>3</v>
      </c>
      <c r="E101" s="93"/>
      <c r="F101" s="92">
        <f t="shared" ref="F101" si="8">F100+G100</f>
        <v>196</v>
      </c>
      <c r="G101" s="93"/>
      <c r="H101" s="92">
        <f t="shared" ref="H101" si="9">H100+I100</f>
        <v>32</v>
      </c>
      <c r="I101" s="93"/>
      <c r="J101" s="92">
        <f t="shared" ref="J101" si="10">J100+K100</f>
        <v>559</v>
      </c>
      <c r="K101" s="93"/>
      <c r="L101" s="92">
        <f t="shared" ref="L101" si="11">L100+M100</f>
        <v>0</v>
      </c>
      <c r="M101" s="93"/>
      <c r="N101" s="92">
        <f>N100+O100</f>
        <v>0</v>
      </c>
      <c r="O101" s="93"/>
      <c r="P101" s="92">
        <f>P100+Q100</f>
        <v>0</v>
      </c>
      <c r="Q101" s="93"/>
      <c r="R101" s="65">
        <f>R100</f>
        <v>203</v>
      </c>
      <c r="S101" s="55"/>
    </row>
    <row r="102" spans="2:23">
      <c r="B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 spans="2:23"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2:23"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 spans="2:23">
      <c r="D105" s="55"/>
      <c r="E105" s="55"/>
      <c r="F105" s="55"/>
      <c r="G105" s="55"/>
      <c r="H105" s="55"/>
      <c r="I105" s="55"/>
      <c r="J105" s="55"/>
      <c r="K105" s="55"/>
      <c r="L105" s="55"/>
      <c r="M105" s="55"/>
    </row>
    <row r="106" spans="2:23">
      <c r="D106" s="55"/>
      <c r="E106" s="55"/>
      <c r="F106" s="55"/>
      <c r="G106" s="55"/>
      <c r="H106" s="55"/>
      <c r="I106" s="55"/>
      <c r="J106" s="55"/>
      <c r="K106" s="55"/>
      <c r="L106" s="55"/>
      <c r="M106" s="55"/>
    </row>
    <row r="107" spans="2:23">
      <c r="D107" s="55"/>
      <c r="E107" s="55"/>
      <c r="F107" s="55"/>
      <c r="G107" s="55"/>
      <c r="H107" s="55"/>
      <c r="I107" s="55"/>
      <c r="J107" s="55"/>
      <c r="K107" s="55"/>
      <c r="L107" s="55"/>
      <c r="M107" s="55"/>
    </row>
    <row r="108" spans="2:23"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2:23">
      <c r="D109" s="55"/>
      <c r="E109" s="55"/>
      <c r="F109" s="55"/>
      <c r="G109" s="55"/>
      <c r="H109" s="55"/>
      <c r="I109" s="55"/>
      <c r="J109" s="55"/>
      <c r="K109" s="55"/>
      <c r="L109" s="55"/>
      <c r="M109" s="55"/>
    </row>
    <row r="110" spans="2:23">
      <c r="D110" s="55"/>
      <c r="E110" s="55"/>
      <c r="F110" s="55"/>
      <c r="G110" s="55"/>
      <c r="H110" s="55"/>
      <c r="I110" s="55"/>
      <c r="J110" s="55"/>
      <c r="K110" s="55"/>
      <c r="L110" s="55"/>
      <c r="M110" s="55"/>
    </row>
    <row r="111" spans="2:23">
      <c r="D111" s="55"/>
      <c r="E111" s="55"/>
      <c r="F111" s="55"/>
      <c r="G111" s="55"/>
      <c r="H111" s="55"/>
      <c r="I111" s="55"/>
      <c r="J111" s="55"/>
      <c r="K111" s="55"/>
      <c r="L111" s="55"/>
      <c r="M111" s="55"/>
    </row>
    <row r="112" spans="2:23">
      <c r="D112" s="55"/>
      <c r="E112" s="55"/>
      <c r="F112" s="55"/>
      <c r="G112" s="55"/>
      <c r="H112" s="55"/>
      <c r="I112" s="55"/>
      <c r="J112" s="55"/>
      <c r="K112" s="55"/>
      <c r="L112" s="55"/>
      <c r="M112" s="55"/>
    </row>
    <row r="113" spans="4:13">
      <c r="D113" s="55"/>
      <c r="E113" s="55"/>
      <c r="F113" s="55"/>
      <c r="G113" s="55"/>
      <c r="H113" s="55"/>
      <c r="I113" s="55"/>
      <c r="J113" s="55"/>
      <c r="K113" s="55"/>
      <c r="L113" s="55"/>
      <c r="M113" s="55"/>
    </row>
  </sheetData>
  <autoFilter ref="B2:Y2" xr:uid="{3C47631F-A4FA-44D7-ADD8-57CE043BB388}"/>
  <mergeCells count="24">
    <mergeCell ref="V2:V3"/>
    <mergeCell ref="D101:E101"/>
    <mergeCell ref="F101:G101"/>
    <mergeCell ref="H101:I101"/>
    <mergeCell ref="J101:K101"/>
    <mergeCell ref="L101:M101"/>
    <mergeCell ref="N101:O101"/>
    <mergeCell ref="P101:Q101"/>
    <mergeCell ref="B100:C100"/>
    <mergeCell ref="B1:W1"/>
    <mergeCell ref="B2:B3"/>
    <mergeCell ref="C2:C3"/>
    <mergeCell ref="D2:E2"/>
    <mergeCell ref="P2:Q2"/>
    <mergeCell ref="N2:O2"/>
    <mergeCell ref="L2:M2"/>
    <mergeCell ref="J2:K2"/>
    <mergeCell ref="H2:I2"/>
    <mergeCell ref="F2:G2"/>
    <mergeCell ref="R2:R3"/>
    <mergeCell ref="S2:S3"/>
    <mergeCell ref="T2:T3"/>
    <mergeCell ref="U2:U3"/>
    <mergeCell ref="W2:W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บ่าย</vt:lpstr>
      <vt:lpstr>เย็น </vt:lpstr>
      <vt:lpstr>ฟอร์ม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2025-08-20T00:50:41Z</cp:lastPrinted>
  <dcterms:created xsi:type="dcterms:W3CDTF">2024-04-30T05:21:27Z</dcterms:created>
  <dcterms:modified xsi:type="dcterms:W3CDTF">2025-08-20T00:55:56Z</dcterms:modified>
</cp:coreProperties>
</file>