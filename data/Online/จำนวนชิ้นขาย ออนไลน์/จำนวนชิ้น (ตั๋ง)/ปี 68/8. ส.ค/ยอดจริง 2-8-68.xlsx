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8. ส.ค\"/>
    </mc:Choice>
  </mc:AlternateContent>
  <xr:revisionPtr revIDLastSave="0" documentId="13_ncr:1_{287FE866-19E7-46EC-A7D0-5133AF8A3BE3}" xr6:coauthVersionLast="47" xr6:coauthVersionMax="47" xr10:uidLastSave="{00000000-0000-0000-0000-000000000000}"/>
  <bookViews>
    <workbookView xWindow="-108" yWindow="-108" windowWidth="23256" windowHeight="13896" activeTab="3" xr2:uid="{55C9AAA3-F459-48EC-A639-AACFFC6390F5}"/>
  </bookViews>
  <sheets>
    <sheet name="เช้า " sheetId="3" r:id="rId1"/>
    <sheet name="บ่าย" sheetId="4" state="hidden" r:id="rId2"/>
    <sheet name="เย็น " sheetId="6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1" i="5" l="1"/>
  <c r="G142" i="5"/>
  <c r="G143" i="5"/>
  <c r="G144" i="5"/>
  <c r="D93" i="5"/>
  <c r="K120" i="5"/>
  <c r="D103" i="5" l="1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H141" i="5"/>
  <c r="I141" i="5"/>
  <c r="J141" i="5"/>
  <c r="K141" i="5"/>
  <c r="E142" i="5"/>
  <c r="F142" i="5"/>
  <c r="H142" i="5"/>
  <c r="I142" i="5"/>
  <c r="J142" i="5"/>
  <c r="K142" i="5"/>
  <c r="D143" i="5"/>
  <c r="E143" i="5"/>
  <c r="F143" i="5"/>
  <c r="H143" i="5"/>
  <c r="I143" i="5"/>
  <c r="J143" i="5"/>
  <c r="K143" i="5"/>
  <c r="D144" i="5"/>
  <c r="E144" i="5"/>
  <c r="F144" i="5"/>
  <c r="H144" i="5"/>
  <c r="I144" i="5"/>
  <c r="J144" i="5"/>
  <c r="K144" i="5"/>
  <c r="D145" i="5"/>
  <c r="E145" i="5"/>
  <c r="F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51" i="5" l="1"/>
  <c r="Q151" i="5" s="1"/>
  <c r="L149" i="5"/>
  <c r="L147" i="5"/>
  <c r="Q147" i="5" s="1"/>
  <c r="L146" i="5"/>
  <c r="Q146" i="5" s="1"/>
  <c r="L150" i="5"/>
  <c r="L148" i="5"/>
  <c r="Q148" i="5" s="1"/>
  <c r="L140" i="5"/>
  <c r="Q140" i="5" s="1"/>
  <c r="L139" i="5"/>
  <c r="Q139" i="5" s="1"/>
  <c r="L141" i="5"/>
  <c r="Q141" i="5" s="1"/>
  <c r="L145" i="5"/>
  <c r="Q145" i="5" s="1"/>
  <c r="L144" i="5"/>
  <c r="Q144" i="5" s="1"/>
  <c r="L143" i="5"/>
  <c r="Q143" i="5" s="1"/>
  <c r="L142" i="5"/>
  <c r="Q142" i="5" s="1"/>
  <c r="K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52" i="5" l="1"/>
  <c r="I152" i="5"/>
  <c r="G152" i="5"/>
  <c r="E152" i="5"/>
  <c r="H152" i="5"/>
  <c r="D152" i="5"/>
  <c r="F152" i="5"/>
  <c r="Q129" i="5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99" i="5" l="1"/>
  <c r="Q100" i="5" s="1"/>
  <c r="L152" i="5"/>
  <c r="L100" i="5"/>
  <c r="Q102" i="5"/>
  <c r="L112" i="5"/>
  <c r="Q112" i="5" s="1"/>
  <c r="L88" i="5"/>
  <c r="Q88" i="5" s="1"/>
  <c r="L67" i="5"/>
  <c r="Q67" i="5" s="1"/>
  <c r="Q152" i="5" l="1"/>
</calcChain>
</file>

<file path=xl/sharedStrings.xml><?xml version="1.0" encoding="utf-8"?>
<sst xmlns="http://schemas.openxmlformats.org/spreadsheetml/2006/main" count="637" uniqueCount="152">
  <si>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</si>
  <si>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</si>
  <si>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</si>
  <si>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</si>
  <si>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</si>
  <si>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</si>
  <si>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</si>
  <si>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</si>
  <si>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</si>
  <si>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</si>
  <si>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</si>
  <si>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</si>
  <si>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</si>
  <si>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</si>
  <si>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</si>
  <si>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</si>
  <si>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</si>
  <si>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</si>
  <si>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</si>
  <si>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</si>
  <si>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</si>
  <si>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</si>
  <si>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</si>
  <si>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</si>
  <si>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</si>
  <si>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</si>
  <si>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</si>
  <si>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</si>
  <si>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</si>
  <si>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</si>
  <si>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</si>
  <si>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</si>
  <si>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</si>
  <si>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</si>
  <si>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</si>
  <si>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</si>
  <si>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</si>
  <si>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</si>
  <si>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</si>
  <si>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</si>
  <si>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</si>
  <si>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</si>
  <si>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</si>
  <si>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</si>
  <si>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</si>
  <si>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</si>
  <si>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</si>
  <si>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</si>
  <si>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</si>
  <si>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</si>
  <si>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</si>
  <si>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</si>
  <si>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</si>
  <si>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</si>
  <si>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</si>
  <si>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</si>
  <si>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</si>
  <si>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</si>
  <si>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</si>
  <si>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</si>
  <si>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</si>
  <si>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</si>
  <si>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</si>
  <si>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</si>
  <si>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</si>
  <si>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</si>
  <si>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</si>
  <si>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</si>
  <si>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</si>
  <si>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</si>
  <si>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</si>
  <si>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</si>
  <si>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</si>
  <si>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</si>
  <si>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</si>
  <si>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</si>
  <si>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</si>
  <si>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</si>
  <si>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</si>
  <si>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</si>
  <si>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</si>
  <si>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</si>
  <si>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</si>
  <si>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</si>
  <si>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</si>
  <si>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</si>
  <si>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</si>
  <si>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</si>
  <si>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</si>
  <si>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</si>
  <si>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</si>
  <si>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</si>
  <si>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</si>
  <si>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</si>
  <si>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</si>
  <si>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</si>
  <si>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</si>
  <si>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</si>
  <si>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</si>
  <si>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</si>
  <si>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</si>
  <si>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</si>
  <si>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</si>
  <si>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</si>
  <si>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</si>
  <si>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</si>
  <si>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</si>
  <si>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</si>
  <si>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</si>
  <si>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</si>
  <si>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</si>
  <si>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</si>
  <si>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</si>
  <si>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</si>
  <si>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</si>
  <si>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</si>
  <si>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</si>
  <si>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</si>
  <si>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</si>
  <si>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</si>
  <si>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</si>
  <si>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</si>
  <si>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</si>
  <si>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</si>
  <si>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</si>
  <si>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</si>
  <si>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</si>
  <si>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</si>
  <si>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</si>
  <si>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</si>
  <si>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</si>
  <si>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</si>
  <si>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</si>
  <si>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</si>
  <si>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</si>
  <si>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</si>
  <si>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</si>
  <si>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</si>
  <si>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</si>
  <si>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</si>
  <si>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</si>
  <si>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</si>
  <si>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</si>
  <si>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</si>
  <si>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</si>
  <si>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</si>
  <si>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</si>
  <si>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</si>
  <si>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</si>
  <si>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ปังเนยนิ่ม 3 ชิ้น</t>
  </si>
  <si>
    <t>ยอดจริง ออนไลน์ วันที่ 2/8/68 เช้า</t>
  </si>
  <si>
    <t>ยอดจริง ออนไลน์ วันที่ 2/8/68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</si>
</sst>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zoomScale="60" zoomScaleNormal="60" workbookViewId="0">
      <selection activeCell="H2" sqref="H1:K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7" width="14.3984375" style="16" customWidth="1"/>
    <col min="8" max="11" width="14.3984375" style="16" hidden="1" customWidth="1"/>
    <col min="12" max="12" width="17.59765625" style="25" customWidth="1"/>
  </cols>
  <sheetData>
    <row r="1" spans="2:12" x14ac:dyDescent="0.25">
      <c r="B1" s="64" t="s">
        <v>150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>
        <v>4</v>
      </c>
      <c r="F7" s="30">
        <v>10</v>
      </c>
      <c r="G7" s="30">
        <v>18</v>
      </c>
      <c r="H7" s="30"/>
      <c r="I7" s="30"/>
      <c r="J7" s="43"/>
      <c r="K7" s="43"/>
      <c r="L7" s="36">
        <f>SUM(D7:K7)</f>
        <v>32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1</v>
      </c>
      <c r="F25" s="30"/>
      <c r="G25" s="30">
        <v>1</v>
      </c>
      <c r="H25" s="30"/>
      <c r="I25" s="30"/>
      <c r="J25" s="43"/>
      <c r="K25" s="43"/>
      <c r="L25" s="36">
        <f t="shared" si="0"/>
        <v>2</v>
      </c>
    </row>
    <row r="26" spans="2:12" x14ac:dyDescent="0.25">
      <c r="B26" s="11">
        <v>1004055</v>
      </c>
      <c r="C26" s="15" t="s">
        <v>108</v>
      </c>
      <c r="D26" s="30"/>
      <c r="E26" s="30">
        <v>3</v>
      </c>
      <c r="F26" s="30"/>
      <c r="G26" s="30"/>
      <c r="H26" s="30"/>
      <c r="I26" s="30"/>
      <c r="J26" s="43"/>
      <c r="K26" s="43"/>
      <c r="L26" s="36">
        <f t="shared" si="0"/>
        <v>3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37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>
        <v>1</v>
      </c>
      <c r="F69" s="30">
        <v>5</v>
      </c>
      <c r="G69" s="30">
        <v>2</v>
      </c>
      <c r="H69" s="30"/>
      <c r="I69" s="30"/>
      <c r="J69" s="43"/>
      <c r="K69" s="43"/>
      <c r="L69" s="36">
        <f t="shared" ref="L69:L76" si="1">SUM(D69:K69)</f>
        <v>8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8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>
        <v>27</v>
      </c>
      <c r="H87" s="30"/>
      <c r="I87" s="30"/>
      <c r="J87" s="43"/>
      <c r="K87" s="43"/>
      <c r="L87" s="36">
        <f t="shared" si="2"/>
        <v>27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27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>
        <v>1</v>
      </c>
      <c r="F90" s="30"/>
      <c r="G90" s="30">
        <v>36</v>
      </c>
      <c r="H90" s="30"/>
      <c r="I90" s="30"/>
      <c r="J90" s="43"/>
      <c r="K90" s="43"/>
      <c r="L90" s="36">
        <f t="shared" ref="L90:L99" si="3">SUM(D90:K90)</f>
        <v>37</v>
      </c>
    </row>
    <row r="91" spans="2:12" x14ac:dyDescent="0.25">
      <c r="B91" s="11">
        <v>1112011</v>
      </c>
      <c r="C91" s="19" t="s">
        <v>76</v>
      </c>
      <c r="D91" s="30"/>
      <c r="E91" s="30">
        <v>1</v>
      </c>
      <c r="F91" s="30">
        <v>10</v>
      </c>
      <c r="G91" s="30">
        <v>35</v>
      </c>
      <c r="H91" s="30"/>
      <c r="I91" s="30"/>
      <c r="J91" s="43"/>
      <c r="K91" s="43"/>
      <c r="L91" s="36">
        <f t="shared" si="3"/>
        <v>46</v>
      </c>
    </row>
    <row r="92" spans="2:12" x14ac:dyDescent="0.25">
      <c r="B92" s="11">
        <v>1112003</v>
      </c>
      <c r="C92" s="19" t="s">
        <v>77</v>
      </c>
      <c r="D92" s="30"/>
      <c r="E92" s="30">
        <v>1</v>
      </c>
      <c r="F92" s="30"/>
      <c r="G92" s="30">
        <v>36</v>
      </c>
      <c r="H92" s="30"/>
      <c r="I92" s="30"/>
      <c r="J92" s="43"/>
      <c r="K92" s="43"/>
      <c r="L92" s="36">
        <f t="shared" si="3"/>
        <v>37</v>
      </c>
    </row>
    <row r="93" spans="2:12" x14ac:dyDescent="0.25">
      <c r="B93" s="11">
        <v>1112005</v>
      </c>
      <c r="C93" s="19" t="s">
        <v>78</v>
      </c>
      <c r="D93" s="30"/>
      <c r="E93" s="30">
        <v>1</v>
      </c>
      <c r="F93" s="30"/>
      <c r="G93" s="30">
        <v>36</v>
      </c>
      <c r="H93" s="30"/>
      <c r="I93" s="30"/>
      <c r="J93" s="43"/>
      <c r="K93" s="43"/>
      <c r="L93" s="36">
        <f t="shared" si="3"/>
        <v>37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>
        <v>36</v>
      </c>
      <c r="H97" s="30"/>
      <c r="I97" s="30"/>
      <c r="J97" s="43"/>
      <c r="K97" s="43"/>
      <c r="L97" s="36">
        <f t="shared" si="3"/>
        <v>36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>
        <v>36</v>
      </c>
      <c r="H98" s="30"/>
      <c r="I98" s="30"/>
      <c r="J98" s="43"/>
      <c r="K98" s="43"/>
      <c r="L98" s="36">
        <f t="shared" si="3"/>
        <v>36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229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>
        <v>1</v>
      </c>
      <c r="F123" s="30">
        <v>3</v>
      </c>
      <c r="G123" s="30">
        <v>45</v>
      </c>
      <c r="H123" s="30"/>
      <c r="I123" s="30"/>
      <c r="J123" s="43"/>
      <c r="K123" s="43"/>
      <c r="L123" s="36">
        <f t="shared" si="5"/>
        <v>49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>
        <v>1</v>
      </c>
      <c r="G124" s="30">
        <v>45</v>
      </c>
      <c r="H124" s="30"/>
      <c r="I124" s="30"/>
      <c r="J124" s="43"/>
      <c r="K124" s="43"/>
      <c r="L124" s="36">
        <f t="shared" si="5"/>
        <v>46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>
        <v>1</v>
      </c>
      <c r="G125" s="30">
        <v>45</v>
      </c>
      <c r="H125" s="30"/>
      <c r="I125" s="30"/>
      <c r="J125" s="43"/>
      <c r="K125" s="43"/>
      <c r="L125" s="36">
        <f t="shared" si="5"/>
        <v>46</v>
      </c>
    </row>
    <row r="126" spans="2:12" x14ac:dyDescent="0.25">
      <c r="B126" s="11">
        <v>1124021</v>
      </c>
      <c r="C126" s="21" t="s">
        <v>98</v>
      </c>
      <c r="D126" s="30"/>
      <c r="E126" s="30">
        <v>17</v>
      </c>
      <c r="F126" s="30"/>
      <c r="G126" s="30"/>
      <c r="H126" s="30"/>
      <c r="I126" s="30"/>
      <c r="J126" s="43"/>
      <c r="K126" s="43"/>
      <c r="L126" s="36">
        <f t="shared" si="5"/>
        <v>17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>
        <v>1</v>
      </c>
      <c r="F135" s="30"/>
      <c r="G135" s="30"/>
      <c r="H135" s="30"/>
      <c r="I135" s="30"/>
      <c r="J135" s="43"/>
      <c r="K135" s="43"/>
      <c r="L135" s="36">
        <f t="shared" si="5"/>
        <v>1</v>
      </c>
    </row>
    <row r="136" spans="2:12" x14ac:dyDescent="0.25">
      <c r="B136" s="22"/>
      <c r="C136" s="21" t="s">
        <v>125</v>
      </c>
      <c r="D136" s="30"/>
      <c r="E136" s="30">
        <v>18</v>
      </c>
      <c r="F136" s="30"/>
      <c r="G136" s="30"/>
      <c r="H136" s="30"/>
      <c r="I136" s="30"/>
      <c r="J136" s="43"/>
      <c r="K136" s="43"/>
      <c r="L136" s="36">
        <f t="shared" si="5"/>
        <v>18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62">
        <v>9</v>
      </c>
      <c r="H142" s="9"/>
      <c r="I142" s="9"/>
      <c r="J142" s="9"/>
      <c r="K142" s="9"/>
      <c r="L142" s="36">
        <f t="shared" si="6"/>
        <v>9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35" zoomScale="60" zoomScaleNormal="60" workbookViewId="0">
      <selection activeCell="B145" sqref="B145:C145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135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20" zoomScale="60" zoomScaleNormal="60" workbookViewId="0">
      <selection activeCell="B145" sqref="B145:C145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2" x14ac:dyDescent="0.25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zoomScale="50" zoomScaleNormal="50" workbookViewId="0">
      <selection activeCell="P15" sqref="P15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7" width="14.3984375" style="16" customWidth="1"/>
    <col min="8" max="10" width="14.3984375" style="16" hidden="1" customWidth="1"/>
    <col min="11" max="11" width="14.3984375" style="16" customWidth="1"/>
    <col min="12" max="12" width="17.59765625" style="25" customWidth="1"/>
    <col min="13" max="13" width="16.09765625" style="23" customWidth="1"/>
    <col min="14" max="15" width="15.3984375" style="23" customWidth="1"/>
    <col min="16" max="16" width="25.3984375" style="23" customWidth="1"/>
    <col min="17" max="17" width="14.3984375" style="28" customWidth="1"/>
    <col min="18" max="18" width="9.09765625" customWidth="1"/>
    <col min="19" max="19" width="7.3984375" customWidth="1"/>
    <col min="20" max="20" width="22.69921875" customWidth="1"/>
    <col min="21" max="23" width="9" customWidth="1"/>
  </cols>
  <sheetData>
    <row r="1" spans="2:17" x14ac:dyDescent="0.25">
      <c r="B1" s="64" t="s">
        <v>151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7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  <c r="M2" s="73" t="s">
        <v>127</v>
      </c>
      <c r="N2" s="73" t="s">
        <v>130</v>
      </c>
      <c r="O2" s="73" t="s">
        <v>140</v>
      </c>
      <c r="P2" s="73" t="s">
        <v>141</v>
      </c>
      <c r="Q2" s="76" t="s">
        <v>1</v>
      </c>
    </row>
    <row r="3" spans="2:17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  <c r="M3" s="74"/>
      <c r="N3" s="74"/>
      <c r="O3" s="74"/>
      <c r="P3" s="74"/>
      <c r="Q3" s="77"/>
    </row>
    <row r="4" spans="2:17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5"/>
      <c r="N4" s="75"/>
      <c r="O4" s="75"/>
      <c r="P4" s="75"/>
      <c r="Q4" s="78"/>
    </row>
    <row r="5" spans="2:17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72"/>
    </row>
    <row r="7" spans="2:17" x14ac:dyDescent="0.25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4</v>
      </c>
      <c r="F7" s="30">
        <f>'เย็น '!F7+'เช้า '!F7+บ่าย!F7</f>
        <v>10</v>
      </c>
      <c r="G7" s="30">
        <f>'เย็น '!G7+'เช้า '!G7+บ่าย!G7</f>
        <v>18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32</v>
      </c>
      <c r="M7" s="11">
        <v>53</v>
      </c>
      <c r="N7" s="11">
        <v>6</v>
      </c>
      <c r="O7" s="11"/>
      <c r="P7" s="11">
        <v>55</v>
      </c>
      <c r="Q7" s="44">
        <f>(M7+N7+O7+P7)-L7</f>
        <v>82</v>
      </c>
    </row>
    <row r="8" spans="2:17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2</v>
      </c>
      <c r="M25" s="11">
        <v>10</v>
      </c>
      <c r="N25" s="11">
        <v>3</v>
      </c>
      <c r="O25" s="11"/>
      <c r="P25" s="11">
        <v>10</v>
      </c>
      <c r="Q25" s="44">
        <f t="shared" si="1"/>
        <v>21</v>
      </c>
    </row>
    <row r="26" spans="2:17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3</v>
      </c>
      <c r="F26" s="30">
        <f>'เย็น '!F26+'เช้า '!F26+บ่าย!F26</f>
        <v>0</v>
      </c>
      <c r="G26" s="30">
        <f>'เย็น '!G26+'เช้า '!G26+บ่าย!G26</f>
        <v>0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3</v>
      </c>
      <c r="M26" s="11">
        <v>40</v>
      </c>
      <c r="N26" s="11">
        <v>52</v>
      </c>
      <c r="O26" s="11"/>
      <c r="P26" s="11">
        <v>40</v>
      </c>
      <c r="Q26" s="44">
        <f t="shared" si="1"/>
        <v>129</v>
      </c>
    </row>
    <row r="27" spans="2:17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72"/>
    </row>
    <row r="69" spans="2:20" x14ac:dyDescent="0.25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1</v>
      </c>
      <c r="F69" s="30">
        <f>'เย็น '!F69+'เช้า '!F69+บ่าย!F69</f>
        <v>5</v>
      </c>
      <c r="G69" s="30">
        <f>'เย็น '!G69+'เช้า '!G69+บ่าย!G69</f>
        <v>2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8</v>
      </c>
      <c r="M69" s="11">
        <v>10</v>
      </c>
      <c r="N69" s="11"/>
      <c r="O69" s="11"/>
      <c r="P69" s="11">
        <v>10</v>
      </c>
      <c r="Q69" s="44">
        <f t="shared" ref="Q69:Q76" si="5">(M69+N69+O69+P69)-L69</f>
        <v>12</v>
      </c>
    </row>
    <row r="70" spans="2:20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72"/>
    </row>
    <row r="79" spans="2:20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27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27</v>
      </c>
      <c r="M87" s="11">
        <v>30</v>
      </c>
      <c r="N87" s="11">
        <v>7</v>
      </c>
      <c r="O87" s="11"/>
      <c r="P87" s="11">
        <v>30</v>
      </c>
      <c r="Q87" s="44">
        <f t="shared" si="8"/>
        <v>40</v>
      </c>
    </row>
    <row r="88" spans="2:17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72"/>
    </row>
    <row r="90" spans="2:17" x14ac:dyDescent="0.25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36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37</v>
      </c>
      <c r="M90" s="11">
        <v>30</v>
      </c>
      <c r="N90" s="11">
        <v>17</v>
      </c>
      <c r="O90" s="11"/>
      <c r="P90" s="11">
        <v>30</v>
      </c>
      <c r="Q90" s="44">
        <f t="shared" ref="Q90:Q98" si="10">(M90+N90+O90+P90)-L90</f>
        <v>40</v>
      </c>
    </row>
    <row r="91" spans="2:17" x14ac:dyDescent="0.25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1</v>
      </c>
      <c r="F91" s="30">
        <f>'เย็น '!F91+'เช้า '!F91+บ่าย!F91</f>
        <v>10</v>
      </c>
      <c r="G91" s="30">
        <f>'เย็น '!G91+'เช้า '!G91+บ่าย!G91</f>
        <v>35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46</v>
      </c>
      <c r="M91" s="11">
        <v>30</v>
      </c>
      <c r="N91" s="11">
        <v>3</v>
      </c>
      <c r="O91" s="11"/>
      <c r="P91" s="11">
        <v>30</v>
      </c>
      <c r="Q91" s="44">
        <f t="shared" si="10"/>
        <v>17</v>
      </c>
    </row>
    <row r="92" spans="2:17" x14ac:dyDescent="0.25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36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37</v>
      </c>
      <c r="M92" s="11">
        <v>30</v>
      </c>
      <c r="N92" s="11">
        <v>12</v>
      </c>
      <c r="O92" s="11"/>
      <c r="P92" s="11">
        <v>30</v>
      </c>
      <c r="Q92" s="44">
        <f t="shared" si="10"/>
        <v>35</v>
      </c>
    </row>
    <row r="93" spans="2:17" x14ac:dyDescent="0.25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36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37</v>
      </c>
      <c r="M93" s="11">
        <v>30</v>
      </c>
      <c r="N93" s="11"/>
      <c r="O93" s="11"/>
      <c r="P93" s="11">
        <v>30</v>
      </c>
      <c r="Q93" s="44">
        <f t="shared" si="10"/>
        <v>23</v>
      </c>
    </row>
    <row r="94" spans="2:17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>
        <v>44</v>
      </c>
      <c r="O96" s="11"/>
      <c r="P96" s="11"/>
      <c r="Q96" s="44">
        <f t="shared" si="10"/>
        <v>44</v>
      </c>
    </row>
    <row r="97" spans="2:17" x14ac:dyDescent="0.25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36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36</v>
      </c>
      <c r="M97" s="11">
        <v>30</v>
      </c>
      <c r="N97" s="11">
        <v>3</v>
      </c>
      <c r="O97" s="11"/>
      <c r="P97" s="11">
        <v>30</v>
      </c>
      <c r="Q97" s="44">
        <f t="shared" si="10"/>
        <v>27</v>
      </c>
    </row>
    <row r="98" spans="2:17" x14ac:dyDescent="0.25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36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36</v>
      </c>
      <c r="M98" s="11">
        <v>30</v>
      </c>
      <c r="N98" s="11">
        <v>19</v>
      </c>
      <c r="O98" s="11"/>
      <c r="P98" s="11">
        <v>30</v>
      </c>
      <c r="Q98" s="44">
        <f t="shared" si="10"/>
        <v>43</v>
      </c>
    </row>
    <row r="99" spans="2:17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>SUM(Q90:Q98)</f>
        <v>229</v>
      </c>
    </row>
    <row r="100" spans="2:17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229</v>
      </c>
      <c r="M100" s="11"/>
      <c r="N100" s="11"/>
      <c r="O100" s="11"/>
      <c r="P100" s="11"/>
      <c r="Q100" s="44">
        <f>SUM(Q90:Q99)</f>
        <v>458</v>
      </c>
    </row>
    <row r="101" spans="2:17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72"/>
    </row>
    <row r="102" spans="2:17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</row>
    <row r="113" spans="2:17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72"/>
    </row>
    <row r="114" spans="2:17" x14ac:dyDescent="0.25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0</v>
      </c>
      <c r="M114" s="11"/>
      <c r="N114" s="11"/>
      <c r="O114" s="11"/>
      <c r="P114" s="11"/>
      <c r="Q114" s="44">
        <f t="shared" ref="Q114:Q151" si="14">(M114+N114+O114+P114)-L114</f>
        <v>0</v>
      </c>
    </row>
    <row r="115" spans="2:17" x14ac:dyDescent="0.25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0</v>
      </c>
      <c r="M115" s="11"/>
      <c r="N115" s="11">
        <v>2</v>
      </c>
      <c r="O115" s="11"/>
      <c r="P115" s="11"/>
      <c r="Q115" s="44">
        <f t="shared" si="14"/>
        <v>2</v>
      </c>
    </row>
    <row r="116" spans="2:17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5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1</v>
      </c>
      <c r="F123" s="30">
        <f>บ่าย!F123+'เช้า '!F123+'เย็น '!F123</f>
        <v>3</v>
      </c>
      <c r="G123" s="30">
        <f>บ่าย!G123+'เช้า '!G123+'เย็น '!G123</f>
        <v>45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49</v>
      </c>
      <c r="M123" s="11">
        <v>200</v>
      </c>
      <c r="N123" s="11">
        <v>44</v>
      </c>
      <c r="O123" s="11"/>
      <c r="P123" s="11"/>
      <c r="Q123" s="44">
        <f t="shared" si="14"/>
        <v>195</v>
      </c>
    </row>
    <row r="124" spans="2:17" x14ac:dyDescent="0.25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0</v>
      </c>
      <c r="F124" s="30">
        <f>บ่าย!F124+'เช้า '!F124+'เย็น '!F124</f>
        <v>1</v>
      </c>
      <c r="G124" s="30">
        <f>บ่าย!G124+'เช้า '!G124+'เย็น '!G124</f>
        <v>45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46</v>
      </c>
      <c r="M124" s="11">
        <v>160</v>
      </c>
      <c r="N124" s="11"/>
      <c r="O124" s="11"/>
      <c r="P124" s="11"/>
      <c r="Q124" s="44">
        <f t="shared" si="14"/>
        <v>114</v>
      </c>
    </row>
    <row r="125" spans="2:17" x14ac:dyDescent="0.25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0</v>
      </c>
      <c r="F125" s="30">
        <f>บ่าย!F125+'เช้า '!F125+'เย็น '!F125</f>
        <v>1</v>
      </c>
      <c r="G125" s="30">
        <f>บ่าย!G125+'เช้า '!G125+'เย็น '!G125</f>
        <v>45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46</v>
      </c>
      <c r="M125" s="11">
        <v>130</v>
      </c>
      <c r="N125" s="11"/>
      <c r="O125" s="11"/>
      <c r="P125" s="11"/>
      <c r="Q125" s="44">
        <f t="shared" si="14"/>
        <v>84</v>
      </c>
    </row>
    <row r="126" spans="2:17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17</v>
      </c>
      <c r="F126" s="30">
        <f>บ่าย!F126+'เช้า '!F126+'เย็น '!F126</f>
        <v>0</v>
      </c>
      <c r="G126" s="30">
        <f>บ่าย!G126+'เช้า '!G126+'เย็น '!G126</f>
        <v>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17</v>
      </c>
      <c r="M126" s="11">
        <v>15</v>
      </c>
      <c r="N126" s="11">
        <v>7</v>
      </c>
      <c r="O126" s="11"/>
      <c r="P126" s="11">
        <v>20</v>
      </c>
      <c r="Q126" s="44">
        <f t="shared" si="14"/>
        <v>25</v>
      </c>
    </row>
    <row r="127" spans="2:17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1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1</v>
      </c>
      <c r="M135" s="11"/>
      <c r="N135" s="11"/>
      <c r="O135" s="11"/>
      <c r="P135" s="11"/>
      <c r="Q135" s="44">
        <f t="shared" si="14"/>
        <v>-1</v>
      </c>
    </row>
    <row r="136" spans="2:18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18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18</v>
      </c>
      <c r="M136" s="11"/>
      <c r="N136" s="11"/>
      <c r="O136" s="11"/>
      <c r="P136" s="11"/>
      <c r="Q136" s="44">
        <f t="shared" si="14"/>
        <v>-18</v>
      </c>
    </row>
    <row r="137" spans="2:18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9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9</v>
      </c>
      <c r="M142" s="11"/>
      <c r="N142" s="11">
        <v>132</v>
      </c>
      <c r="O142" s="11"/>
      <c r="P142" s="11"/>
      <c r="Q142" s="44">
        <f t="shared" si="14"/>
        <v>123</v>
      </c>
    </row>
    <row r="143" spans="2:18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 x14ac:dyDescent="0.25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 x14ac:dyDescent="0.25">
      <c r="B145" s="50">
        <v>20039042</v>
      </c>
      <c r="C145" s="49" t="s">
        <v>149</v>
      </c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/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>
        <f t="shared" si="14"/>
        <v>0</v>
      </c>
    </row>
    <row r="149" spans="2:17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>
        <f t="shared" si="13"/>
        <v>0</v>
      </c>
      <c r="M149" s="11"/>
      <c r="N149" s="11"/>
      <c r="O149" s="11"/>
      <c r="P149" s="11"/>
      <c r="Q149" s="44"/>
    </row>
    <row r="150" spans="2:17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>
        <f t="shared" si="13"/>
        <v>0</v>
      </c>
      <c r="M150" s="11"/>
      <c r="N150" s="11"/>
      <c r="O150" s="11"/>
      <c r="P150" s="11"/>
      <c r="Q150" s="44"/>
    </row>
    <row r="151" spans="2:17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 x14ac:dyDescent="0.25">
      <c r="B152" s="11"/>
      <c r="C152" s="21"/>
      <c r="D152" s="60">
        <f>SUM(D114:D151,D90:D99,D79:D87,D69:D76,D7:D66,D102:D111)</f>
        <v>0</v>
      </c>
      <c r="E152" s="60">
        <f t="shared" ref="E152:Q152" si="15">SUM(E114:E151,E90:E99,E79:E87,E69:E76,E7:E66,E102:E111)</f>
        <v>50</v>
      </c>
      <c r="F152" s="60">
        <f t="shared" si="15"/>
        <v>30</v>
      </c>
      <c r="G152" s="60">
        <f t="shared" si="15"/>
        <v>407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0</v>
      </c>
      <c r="L152" s="60">
        <f t="shared" si="15"/>
        <v>487</v>
      </c>
      <c r="M152" s="60">
        <f t="shared" si="15"/>
        <v>828</v>
      </c>
      <c r="N152" s="60">
        <f t="shared" si="15"/>
        <v>351</v>
      </c>
      <c r="O152" s="60">
        <f t="shared" si="15"/>
        <v>0</v>
      </c>
      <c r="P152" s="60">
        <f t="shared" si="15"/>
        <v>345</v>
      </c>
      <c r="Q152" s="60">
        <f t="shared" si="15"/>
        <v>1266</v>
      </c>
    </row>
    <row r="153" spans="2:17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 x14ac:dyDescent="0.25">
      <c r="C155" s="24"/>
      <c r="D155" s="31"/>
      <c r="E155" s="67"/>
      <c r="F155" s="67"/>
      <c r="G155" s="26"/>
      <c r="L155" s="40"/>
    </row>
    <row r="156" spans="2:17" x14ac:dyDescent="0.25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7" x14ac:dyDescent="0.25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7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2025-08-02T00:45:12Z</cp:lastPrinted>
  <dcterms:created xsi:type="dcterms:W3CDTF">2024-04-30T05:21:27Z</dcterms:created>
  <dcterms:modified xsi:type="dcterms:W3CDTF">2025-09-03T04:30:23Z</dcterms:modified>
</cp:coreProperties>
</file>