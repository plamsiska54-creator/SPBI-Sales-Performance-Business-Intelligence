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FB0836CA-B0A2-43A5-9242-40EB12C584E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5" l="1"/>
  <c r="K104" i="5"/>
  <c r="K105" i="5"/>
  <c r="K106" i="5"/>
  <c r="K107" i="5"/>
  <c r="K108" i="5"/>
  <c r="K109" i="5"/>
  <c r="G24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90" i="5"/>
  <c r="K91" i="5"/>
  <c r="K92" i="5"/>
  <c r="K93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H99" i="5"/>
  <c r="H152" i="5" s="1"/>
  <c r="I99" i="5"/>
  <c r="J99" i="5"/>
  <c r="J152" i="5" s="1"/>
  <c r="D66" i="5"/>
  <c r="E66" i="5"/>
  <c r="F66" i="5"/>
  <c r="F152" i="5" s="1"/>
  <c r="G66" i="5"/>
  <c r="H66" i="5"/>
  <c r="I66" i="5"/>
  <c r="J66" i="5"/>
  <c r="I152" i="5" l="1"/>
  <c r="E152" i="5"/>
  <c r="D152" i="5"/>
  <c r="G152" i="5"/>
  <c r="Q129" i="5"/>
  <c r="Q114" i="5"/>
  <c r="Q90" i="5"/>
  <c r="Q100" i="5" s="1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<sst xmlns="http://schemas.openxmlformats.org/spreadsheetml/2006/main" count="637" uniqueCount="152">
  <si>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</si>
  <si>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</si>
  <si>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</si>
  <si>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</si>
  <si>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</si>
  <si>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</si>
  <si>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</si>
  <si>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</si>
  <si>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</si>
  <si>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</si>
  <si>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</si>
  <si>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</si>
  <si>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</si>
  <si>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</si>
  <si>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</si>
  <si>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</si>
  <si>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</si>
  <si>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</si>
  <si>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</si>
  <si>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</si>
  <si>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</si>
  <si>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</si>
  <si>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</si>
  <si>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</si>
  <si>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</si>
  <si>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</si>
  <si>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</si>
  <si>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</si>
  <si>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</si>
  <si>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</si>
  <si>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</si>
  <si>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</si>
  <si>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</si>
  <si>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</si>
  <si>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</si>
  <si>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</si>
  <si>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</si>
  <si>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</si>
  <si>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</si>
  <si>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</si>
  <si>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</si>
  <si>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</si>
  <si>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</si>
  <si>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</si>
  <si>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</si>
  <si>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</si>
  <si>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</si>
  <si>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</si>
  <si>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</si>
  <si>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</si>
  <si>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</si>
  <si>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</si>
  <si>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</si>
  <si>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</si>
  <si>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</si>
  <si>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</si>
  <si>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</si>
  <si>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</si>
  <si>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</si>
  <si>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</si>
  <si>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</si>
  <si>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</si>
  <si>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</si>
  <si>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</si>
  <si>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</si>
  <si>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</si>
  <si>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</si>
  <si>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</si>
  <si>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</si>
  <si>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</si>
  <si>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</si>
  <si>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</si>
  <si>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</si>
  <si>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</si>
  <si>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</si>
  <si>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</si>
  <si>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</si>
  <si>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</si>
  <si>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</si>
  <si>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</si>
  <si>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</si>
  <si>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</si>
  <si>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</si>
  <si>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</si>
  <si>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</si>
  <si>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</si>
  <si>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</si>
  <si>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</si>
  <si>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</si>
  <si>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</si>
  <si>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</si>
  <si>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</si>
  <si>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</si>
  <si>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</si>
  <si>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</si>
  <si>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</si>
  <si>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</si>
  <si>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</si>
  <si>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</si>
  <si>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</si>
  <si>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</si>
  <si>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</si>
  <si>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</si>
  <si>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</si>
  <si>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</si>
  <si>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</si>
  <si>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</si>
  <si>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</si>
  <si>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</si>
  <si>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</si>
  <si>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</si>
  <si>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</si>
  <si>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</si>
  <si>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</si>
  <si>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</si>
  <si>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</si>
  <si>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</si>
  <si>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</si>
  <si>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</si>
  <si>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</si>
  <si>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</si>
  <si>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</si>
  <si>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</si>
  <si>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</si>
  <si>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</si>
  <si>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</si>
  <si>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</si>
  <si>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</si>
  <si>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</si>
  <si>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</si>
  <si>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</si>
  <si>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</si>
  <si>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</si>
  <si>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</si>
  <si>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</si>
  <si>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</si>
  <si>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</si>
  <si>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</si>
  <si>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</si>
  <si>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</si>
  <si>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</si>
  <si>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</si>
  <si>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</si>
  <si>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</si>
  <si>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</si>
  <si>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</si>
  <si>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</si>
  <si>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</si>
  <si>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</si>
  <si>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</si>
  <si>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8/8/68 รวม</t>
  </si>
  <si>
    <t>ยอดจริง ออนไลน์ วันที่ 8/8/68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</si>
</sst>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0" zoomScale="60" zoomScaleNormal="60" workbookViewId="0">
      <selection activeCell="G143" sqref="G143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4</v>
      </c>
      <c r="E7" s="30">
        <v>27</v>
      </c>
      <c r="F7" s="30">
        <v>7</v>
      </c>
      <c r="G7" s="30">
        <v>9</v>
      </c>
      <c r="H7" s="30"/>
      <c r="I7" s="30"/>
      <c r="J7" s="43"/>
      <c r="K7" s="43"/>
      <c r="L7" s="36">
        <f>SUM(D7:K7)</f>
        <v>47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>
        <v>175</v>
      </c>
      <c r="E24" s="30">
        <v>3</v>
      </c>
      <c r="F24" s="30"/>
      <c r="G24" s="30">
        <v>126</v>
      </c>
      <c r="H24" s="30"/>
      <c r="I24" s="30"/>
      <c r="J24" s="43"/>
      <c r="K24" s="43"/>
      <c r="L24" s="36">
        <f t="shared" si="0"/>
        <v>304</v>
      </c>
    </row>
    <row r="25" spans="2:12">
      <c r="B25" s="11">
        <v>1111056</v>
      </c>
      <c r="C25" s="15" t="s">
        <v>28</v>
      </c>
      <c r="D25" s="30">
        <v>1</v>
      </c>
      <c r="E25" s="30">
        <v>5</v>
      </c>
      <c r="F25" s="30">
        <v>9</v>
      </c>
      <c r="G25" s="30"/>
      <c r="H25" s="30"/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>
        <v>2</v>
      </c>
      <c r="E26" s="30"/>
      <c r="F26" s="30"/>
      <c r="G26" s="30">
        <v>102</v>
      </c>
      <c r="H26" s="30"/>
      <c r="I26" s="30"/>
      <c r="J26" s="43"/>
      <c r="K26" s="43"/>
      <c r="L26" s="36">
        <f t="shared" si="0"/>
        <v>104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29</v>
      </c>
      <c r="F40" s="30"/>
      <c r="G40" s="30"/>
      <c r="H40" s="30"/>
      <c r="I40" s="30"/>
      <c r="J40" s="43"/>
      <c r="K40" s="43"/>
      <c r="L40" s="36">
        <f t="shared" si="0"/>
        <v>29</v>
      </c>
    </row>
    <row r="41" spans="2:12">
      <c r="B41" s="11">
        <v>1111058</v>
      </c>
      <c r="C41" s="15" t="s">
        <v>31</v>
      </c>
      <c r="D41" s="30"/>
      <c r="E41" s="30">
        <v>29</v>
      </c>
      <c r="F41" s="30"/>
      <c r="G41" s="30"/>
      <c r="H41" s="30"/>
      <c r="I41" s="30"/>
      <c r="J41" s="43"/>
      <c r="K41" s="43"/>
      <c r="L41" s="36">
        <f t="shared" si="0"/>
        <v>29</v>
      </c>
    </row>
    <row r="42" spans="2:12">
      <c r="B42" s="11">
        <v>1111059</v>
      </c>
      <c r="C42" s="15" t="s">
        <v>32</v>
      </c>
      <c r="D42" s="30"/>
      <c r="E42" s="30">
        <v>29</v>
      </c>
      <c r="F42" s="30"/>
      <c r="G42" s="30"/>
      <c r="H42" s="30"/>
      <c r="I42" s="30"/>
      <c r="J42" s="43"/>
      <c r="K42" s="43"/>
      <c r="L42" s="36">
        <f t="shared" si="0"/>
        <v>29</v>
      </c>
    </row>
    <row r="43" spans="2:12">
      <c r="B43" s="11">
        <v>1111060</v>
      </c>
      <c r="C43" s="15" t="s">
        <v>33</v>
      </c>
      <c r="D43" s="30"/>
      <c r="E43" s="30">
        <v>29</v>
      </c>
      <c r="F43" s="30"/>
      <c r="G43" s="30"/>
      <c r="H43" s="30"/>
      <c r="I43" s="30"/>
      <c r="J43" s="43"/>
      <c r="K43" s="43"/>
      <c r="L43" s="36">
        <f t="shared" si="0"/>
        <v>29</v>
      </c>
    </row>
    <row r="44" spans="2:12">
      <c r="B44" s="11">
        <v>1111061</v>
      </c>
      <c r="C44" s="15" t="s">
        <v>34</v>
      </c>
      <c r="D44" s="30"/>
      <c r="E44" s="30">
        <v>29</v>
      </c>
      <c r="F44" s="30"/>
      <c r="G44" s="30"/>
      <c r="H44" s="30"/>
      <c r="I44" s="30"/>
      <c r="J44" s="43"/>
      <c r="K44" s="43"/>
      <c r="L44" s="36">
        <f t="shared" si="0"/>
        <v>29</v>
      </c>
    </row>
    <row r="45" spans="2:12">
      <c r="B45" s="11">
        <v>1111062</v>
      </c>
      <c r="C45" s="15" t="s">
        <v>35</v>
      </c>
      <c r="D45" s="30"/>
      <c r="E45" s="30">
        <v>29</v>
      </c>
      <c r="F45" s="30"/>
      <c r="G45" s="30"/>
      <c r="H45" s="30"/>
      <c r="I45" s="30"/>
      <c r="J45" s="43"/>
      <c r="K45" s="43"/>
      <c r="L45" s="36">
        <f t="shared" si="0"/>
        <v>29</v>
      </c>
    </row>
    <row r="46" spans="2:12">
      <c r="B46" s="11">
        <v>1111063</v>
      </c>
      <c r="C46" s="15" t="s">
        <v>36</v>
      </c>
      <c r="D46" s="30"/>
      <c r="E46" s="30">
        <v>29</v>
      </c>
      <c r="F46" s="30"/>
      <c r="G46" s="30"/>
      <c r="H46" s="30"/>
      <c r="I46" s="30"/>
      <c r="J46" s="43"/>
      <c r="K46" s="43"/>
      <c r="L46" s="36">
        <f t="shared" si="0"/>
        <v>29</v>
      </c>
    </row>
    <row r="47" spans="2:12">
      <c r="B47" s="11">
        <v>1111064</v>
      </c>
      <c r="C47" s="15" t="s">
        <v>37</v>
      </c>
      <c r="D47" s="30"/>
      <c r="E47" s="30">
        <v>29</v>
      </c>
      <c r="F47" s="30"/>
      <c r="G47" s="30"/>
      <c r="H47" s="30"/>
      <c r="I47" s="30"/>
      <c r="J47" s="43"/>
      <c r="K47" s="43"/>
      <c r="L47" s="36">
        <f t="shared" si="0"/>
        <v>29</v>
      </c>
    </row>
    <row r="48" spans="2:12">
      <c r="B48" s="11">
        <v>1111065</v>
      </c>
      <c r="C48" s="15" t="s">
        <v>38</v>
      </c>
      <c r="D48" s="30"/>
      <c r="E48" s="30">
        <v>29</v>
      </c>
      <c r="F48" s="30"/>
      <c r="G48" s="30"/>
      <c r="H48" s="30"/>
      <c r="I48" s="30"/>
      <c r="J48" s="43"/>
      <c r="K48" s="43"/>
      <c r="L48" s="36">
        <f t="shared" si="0"/>
        <v>29</v>
      </c>
    </row>
    <row r="49" spans="2:12">
      <c r="B49" s="11">
        <v>1111066</v>
      </c>
      <c r="C49" s="15" t="s">
        <v>39</v>
      </c>
      <c r="D49" s="30"/>
      <c r="E49" s="30">
        <v>29</v>
      </c>
      <c r="F49" s="30"/>
      <c r="G49" s="30"/>
      <c r="H49" s="30"/>
      <c r="I49" s="30"/>
      <c r="J49" s="43"/>
      <c r="K49" s="43"/>
      <c r="L49" s="36">
        <f t="shared" si="0"/>
        <v>29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25</v>
      </c>
      <c r="F56" s="30"/>
      <c r="G56" s="30"/>
      <c r="H56" s="30"/>
      <c r="I56" s="30"/>
      <c r="J56" s="43"/>
      <c r="K56" s="43"/>
      <c r="L56" s="36">
        <f t="shared" si="0"/>
        <v>25</v>
      </c>
    </row>
    <row r="57" spans="2:12">
      <c r="B57" s="11">
        <v>1111075</v>
      </c>
      <c r="C57" s="15" t="s">
        <v>45</v>
      </c>
      <c r="D57" s="30"/>
      <c r="E57" s="30">
        <v>25</v>
      </c>
      <c r="F57" s="30"/>
      <c r="G57" s="30"/>
      <c r="H57" s="30"/>
      <c r="I57" s="30"/>
      <c r="J57" s="43"/>
      <c r="K57" s="43"/>
      <c r="L57" s="36">
        <f t="shared" si="0"/>
        <v>25</v>
      </c>
    </row>
    <row r="58" spans="2:12">
      <c r="B58" s="11">
        <v>1111076</v>
      </c>
      <c r="C58" s="15" t="s">
        <v>46</v>
      </c>
      <c r="D58" s="30"/>
      <c r="E58" s="30">
        <v>25</v>
      </c>
      <c r="F58" s="30"/>
      <c r="G58" s="30"/>
      <c r="H58" s="30"/>
      <c r="I58" s="30"/>
      <c r="J58" s="43"/>
      <c r="K58" s="43"/>
      <c r="L58" s="36">
        <f t="shared" si="0"/>
        <v>25</v>
      </c>
    </row>
    <row r="59" spans="2:12">
      <c r="B59" s="11">
        <v>1111077</v>
      </c>
      <c r="C59" s="15" t="s">
        <v>47</v>
      </c>
      <c r="D59" s="30"/>
      <c r="E59" s="30">
        <v>25</v>
      </c>
      <c r="F59" s="30"/>
      <c r="G59" s="30"/>
      <c r="H59" s="30"/>
      <c r="I59" s="30"/>
      <c r="J59" s="43"/>
      <c r="K59" s="43"/>
      <c r="L59" s="36">
        <f t="shared" si="0"/>
        <v>25</v>
      </c>
    </row>
    <row r="60" spans="2:12">
      <c r="B60" s="11">
        <v>1111078</v>
      </c>
      <c r="C60" s="15" t="s">
        <v>48</v>
      </c>
      <c r="D60" s="30"/>
      <c r="E60" s="30">
        <v>25</v>
      </c>
      <c r="F60" s="30"/>
      <c r="G60" s="30"/>
      <c r="H60" s="30"/>
      <c r="I60" s="30"/>
      <c r="J60" s="43"/>
      <c r="K60" s="43"/>
      <c r="L60" s="36">
        <f t="shared" si="0"/>
        <v>25</v>
      </c>
    </row>
    <row r="61" spans="2:12">
      <c r="B61" s="11">
        <v>1111079</v>
      </c>
      <c r="C61" s="15" t="s">
        <v>49</v>
      </c>
      <c r="D61" s="30"/>
      <c r="E61" s="30">
        <v>25</v>
      </c>
      <c r="F61" s="30"/>
      <c r="G61" s="30"/>
      <c r="H61" s="30"/>
      <c r="I61" s="30"/>
      <c r="J61" s="43"/>
      <c r="K61" s="43"/>
      <c r="L61" s="36">
        <f t="shared" si="0"/>
        <v>25</v>
      </c>
    </row>
    <row r="62" spans="2:12">
      <c r="B62" s="11">
        <v>1111080</v>
      </c>
      <c r="C62" s="15" t="s">
        <v>50</v>
      </c>
      <c r="D62" s="30"/>
      <c r="E62" s="30">
        <v>25</v>
      </c>
      <c r="F62" s="30"/>
      <c r="G62" s="30"/>
      <c r="H62" s="30"/>
      <c r="I62" s="30"/>
      <c r="J62" s="43"/>
      <c r="K62" s="43"/>
      <c r="L62" s="36">
        <f t="shared" si="0"/>
        <v>25</v>
      </c>
    </row>
    <row r="63" spans="2:12">
      <c r="B63" s="11">
        <v>1111081</v>
      </c>
      <c r="C63" s="15" t="s">
        <v>51</v>
      </c>
      <c r="D63" s="30"/>
      <c r="E63" s="30">
        <v>25</v>
      </c>
      <c r="F63" s="30"/>
      <c r="G63" s="30"/>
      <c r="H63" s="30"/>
      <c r="I63" s="30"/>
      <c r="J63" s="43"/>
      <c r="K63" s="43"/>
      <c r="L63" s="36">
        <f t="shared" si="0"/>
        <v>25</v>
      </c>
    </row>
    <row r="64" spans="2:12">
      <c r="B64" s="11">
        <v>1111082</v>
      </c>
      <c r="C64" s="15" t="s">
        <v>52</v>
      </c>
      <c r="D64" s="30"/>
      <c r="E64" s="30">
        <v>25</v>
      </c>
      <c r="F64" s="30"/>
      <c r="G64" s="30"/>
      <c r="H64" s="30"/>
      <c r="I64" s="30"/>
      <c r="J64" s="43"/>
      <c r="K64" s="43"/>
      <c r="L64" s="36">
        <f t="shared" si="0"/>
        <v>25</v>
      </c>
    </row>
    <row r="65" spans="2:12">
      <c r="B65" s="11">
        <v>1111083</v>
      </c>
      <c r="C65" s="15" t="s">
        <v>53</v>
      </c>
      <c r="D65" s="30"/>
      <c r="E65" s="30">
        <v>25</v>
      </c>
      <c r="F65" s="30"/>
      <c r="G65" s="30"/>
      <c r="H65" s="30"/>
      <c r="I65" s="30"/>
      <c r="J65" s="43"/>
      <c r="K65" s="43"/>
      <c r="L65" s="36">
        <f t="shared" si="0"/>
        <v>25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1010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4</v>
      </c>
      <c r="F69" s="30">
        <v>2</v>
      </c>
      <c r="G69" s="30">
        <v>5</v>
      </c>
      <c r="H69" s="30"/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6</v>
      </c>
      <c r="E87" s="30"/>
      <c r="F87" s="30"/>
      <c r="G87" s="30">
        <v>54</v>
      </c>
      <c r="H87" s="30"/>
      <c r="I87" s="30"/>
      <c r="J87" s="43"/>
      <c r="K87" s="43"/>
      <c r="L87" s="36">
        <f t="shared" si="2"/>
        <v>60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7</v>
      </c>
      <c r="E90" s="30">
        <v>1</v>
      </c>
      <c r="F90" s="30"/>
      <c r="G90" s="30">
        <v>62</v>
      </c>
      <c r="H90" s="30"/>
      <c r="I90" s="30"/>
      <c r="J90" s="43"/>
      <c r="K90" s="43"/>
      <c r="L90" s="36">
        <f t="shared" ref="L90:L99" si="3">SUM(D90:K90)</f>
        <v>70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4</v>
      </c>
      <c r="G91" s="30">
        <v>62</v>
      </c>
      <c r="H91" s="30"/>
      <c r="I91" s="30"/>
      <c r="J91" s="43"/>
      <c r="K91" s="43"/>
      <c r="L91" s="36">
        <f t="shared" si="3"/>
        <v>68</v>
      </c>
    </row>
    <row r="92" spans="2:12">
      <c r="B92" s="11">
        <v>1112003</v>
      </c>
      <c r="C92" s="19" t="s">
        <v>77</v>
      </c>
      <c r="D92" s="30">
        <v>8</v>
      </c>
      <c r="E92" s="30">
        <v>1</v>
      </c>
      <c r="F92" s="30"/>
      <c r="G92" s="30">
        <v>62</v>
      </c>
      <c r="H92" s="30"/>
      <c r="I92" s="30"/>
      <c r="J92" s="43"/>
      <c r="K92" s="43"/>
      <c r="L92" s="36">
        <f t="shared" si="3"/>
        <v>71</v>
      </c>
    </row>
    <row r="93" spans="2:12">
      <c r="B93" s="11">
        <v>1112005</v>
      </c>
      <c r="C93" s="19" t="s">
        <v>78</v>
      </c>
      <c r="D93" s="30">
        <v>4</v>
      </c>
      <c r="E93" s="30">
        <v>1</v>
      </c>
      <c r="F93" s="30"/>
      <c r="G93" s="30">
        <v>63</v>
      </c>
      <c r="H93" s="30"/>
      <c r="I93" s="30"/>
      <c r="J93" s="43"/>
      <c r="K93" s="43"/>
      <c r="L93" s="36">
        <f t="shared" si="3"/>
        <v>68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63</v>
      </c>
      <c r="H97" s="30"/>
      <c r="I97" s="30"/>
      <c r="J97" s="43"/>
      <c r="K97" s="43"/>
      <c r="L97" s="36">
        <f t="shared" si="3"/>
        <v>63</v>
      </c>
    </row>
    <row r="98" spans="2:12">
      <c r="B98" s="11">
        <v>1112013</v>
      </c>
      <c r="C98" s="19" t="s">
        <v>83</v>
      </c>
      <c r="D98" s="30">
        <v>4</v>
      </c>
      <c r="E98" s="30"/>
      <c r="F98" s="30"/>
      <c r="G98" s="30">
        <v>63</v>
      </c>
      <c r="H98" s="30"/>
      <c r="I98" s="30"/>
      <c r="J98" s="43"/>
      <c r="K98" s="43"/>
      <c r="L98" s="36">
        <f t="shared" si="3"/>
        <v>67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407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11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11</v>
      </c>
    </row>
    <row r="115" spans="2:12">
      <c r="B115" s="11">
        <v>1113171</v>
      </c>
      <c r="C115" s="21" t="s">
        <v>88</v>
      </c>
      <c r="D115" s="30">
        <v>8</v>
      </c>
      <c r="E115" s="30"/>
      <c r="F115" s="30"/>
      <c r="G115" s="30"/>
      <c r="H115" s="30"/>
      <c r="I115" s="30"/>
      <c r="J115" s="43"/>
      <c r="K115" s="43"/>
      <c r="L115" s="36">
        <f t="shared" si="5"/>
        <v>8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3</v>
      </c>
      <c r="F123" s="30">
        <v>6</v>
      </c>
      <c r="G123" s="30">
        <v>91</v>
      </c>
      <c r="H123" s="30"/>
      <c r="I123" s="30"/>
      <c r="J123" s="43"/>
      <c r="K123" s="43"/>
      <c r="L123" s="36">
        <f t="shared" si="5"/>
        <v>100</v>
      </c>
    </row>
    <row r="124" spans="2:12">
      <c r="B124" s="11">
        <v>1114502</v>
      </c>
      <c r="C124" s="21" t="s">
        <v>96</v>
      </c>
      <c r="D124" s="30"/>
      <c r="E124" s="30"/>
      <c r="F124" s="30">
        <v>2</v>
      </c>
      <c r="G124" s="30">
        <v>70</v>
      </c>
      <c r="H124" s="30"/>
      <c r="I124" s="30"/>
      <c r="J124" s="43"/>
      <c r="K124" s="43"/>
      <c r="L124" s="36">
        <f t="shared" si="5"/>
        <v>72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67</v>
      </c>
      <c r="H125" s="30"/>
      <c r="I125" s="30"/>
      <c r="J125" s="43"/>
      <c r="K125" s="43"/>
      <c r="L125" s="36">
        <f t="shared" si="5"/>
        <v>67</v>
      </c>
    </row>
    <row r="126" spans="2:12">
      <c r="B126" s="11">
        <v>1124021</v>
      </c>
      <c r="C126" s="21" t="s">
        <v>98</v>
      </c>
      <c r="D126" s="30"/>
      <c r="E126" s="30">
        <v>6</v>
      </c>
      <c r="F126" s="30">
        <v>12</v>
      </c>
      <c r="G126" s="30">
        <v>6</v>
      </c>
      <c r="H126" s="30"/>
      <c r="I126" s="30"/>
      <c r="J126" s="43"/>
      <c r="K126" s="43"/>
      <c r="L126" s="36">
        <f t="shared" si="5"/>
        <v>24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>
        <v>57</v>
      </c>
      <c r="H142" s="9"/>
      <c r="I142" s="9"/>
      <c r="J142" s="9"/>
      <c r="K142" s="9"/>
      <c r="L142" s="36">
        <f t="shared" si="6"/>
        <v>57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AC26" sqref="AC2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27</v>
      </c>
      <c r="F7" s="30">
        <f>'เย็น '!F7+'เช้า '!F7+บ่าย!F7</f>
        <v>7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47</v>
      </c>
      <c r="M7" s="11">
        <v>30</v>
      </c>
      <c r="N7" s="11">
        <v>4</v>
      </c>
      <c r="O7" s="11"/>
      <c r="P7" s="11"/>
      <c r="Q7" s="44">
        <f>(M7+N7+O7+P7)-L7</f>
        <v>-13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175</v>
      </c>
      <c r="E24" s="30">
        <f>'เย็น '!E24+'เช้า '!E24+บ่าย!E24</f>
        <v>3</v>
      </c>
      <c r="F24" s="30">
        <f>'เย็น '!F24+'เช้า '!F24+บ่าย!F24</f>
        <v>0</v>
      </c>
      <c r="G24" s="30">
        <f>'เย็น '!G24+'เช้า '!G24+บ่าย!G24</f>
        <v>126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304</v>
      </c>
      <c r="M24" s="11">
        <v>305</v>
      </c>
      <c r="N24" s="11"/>
      <c r="O24" s="11"/>
      <c r="P24" s="11"/>
      <c r="Q24" s="44">
        <f t="shared" si="1"/>
        <v>1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5</v>
      </c>
      <c r="F25" s="30">
        <f>'เย็น '!F25+'เช้า '!F25+บ่าย!F25</f>
        <v>9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/>
      <c r="N25" s="11">
        <v>3</v>
      </c>
      <c r="O25" s="11"/>
      <c r="P25" s="11"/>
      <c r="Q25" s="44">
        <f t="shared" si="1"/>
        <v>-12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2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102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104</v>
      </c>
      <c r="M26" s="11">
        <v>18</v>
      </c>
      <c r="N26" s="11">
        <v>59</v>
      </c>
      <c r="O26" s="11"/>
      <c r="P26" s="11"/>
      <c r="Q26" s="44">
        <f t="shared" si="1"/>
        <v>-27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29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29</v>
      </c>
      <c r="M40" s="11"/>
      <c r="N40" s="11"/>
      <c r="O40" s="11"/>
      <c r="P40" s="11"/>
      <c r="Q40" s="44">
        <f t="shared" si="1"/>
        <v>-29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29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29</v>
      </c>
      <c r="M41" s="11"/>
      <c r="N41" s="11"/>
      <c r="O41" s="11"/>
      <c r="P41" s="11"/>
      <c r="Q41" s="44">
        <f t="shared" si="1"/>
        <v>-29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29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29</v>
      </c>
      <c r="M42" s="11"/>
      <c r="N42" s="11"/>
      <c r="O42" s="11"/>
      <c r="P42" s="11"/>
      <c r="Q42" s="44">
        <f t="shared" si="1"/>
        <v>-29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29</v>
      </c>
      <c r="M43" s="11"/>
      <c r="N43" s="11"/>
      <c r="O43" s="11"/>
      <c r="P43" s="11"/>
      <c r="Q43" s="44">
        <f t="shared" si="1"/>
        <v>-29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29</v>
      </c>
      <c r="M44" s="11"/>
      <c r="N44" s="11"/>
      <c r="O44" s="11"/>
      <c r="P44" s="11"/>
      <c r="Q44" s="44">
        <f t="shared" si="1"/>
        <v>-29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29</v>
      </c>
      <c r="M45" s="11"/>
      <c r="N45" s="11"/>
      <c r="O45" s="11"/>
      <c r="P45" s="11"/>
      <c r="Q45" s="44">
        <f t="shared" si="1"/>
        <v>-29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29</v>
      </c>
      <c r="M46" s="11"/>
      <c r="N46" s="11"/>
      <c r="O46" s="11"/>
      <c r="P46" s="11"/>
      <c r="Q46" s="44">
        <f t="shared" si="1"/>
        <v>-29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29</v>
      </c>
      <c r="M47" s="11"/>
      <c r="N47" s="11"/>
      <c r="O47" s="11"/>
      <c r="P47" s="11"/>
      <c r="Q47" s="44">
        <f t="shared" si="1"/>
        <v>-29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29</v>
      </c>
      <c r="M48" s="11"/>
      <c r="N48" s="11"/>
      <c r="O48" s="11"/>
      <c r="P48" s="11"/>
      <c r="Q48" s="44">
        <f t="shared" si="1"/>
        <v>-29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29</v>
      </c>
      <c r="M49" s="11"/>
      <c r="N49" s="11"/>
      <c r="O49" s="11"/>
      <c r="P49" s="11"/>
      <c r="Q49" s="44">
        <f t="shared" si="1"/>
        <v>-29</v>
      </c>
    </row>
    <row r="50" spans="2:20" hidden="1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25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25</v>
      </c>
      <c r="M56" s="11"/>
      <c r="N56" s="11"/>
      <c r="O56" s="11"/>
      <c r="P56" s="11"/>
      <c r="Q56" s="44">
        <f t="shared" si="1"/>
        <v>-25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25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25</v>
      </c>
      <c r="M57" s="11"/>
      <c r="N57" s="11"/>
      <c r="O57" s="11"/>
      <c r="P57" s="11"/>
      <c r="Q57" s="44">
        <f t="shared" si="1"/>
        <v>-25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25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25</v>
      </c>
      <c r="M58" s="11"/>
      <c r="N58" s="11"/>
      <c r="O58" s="11"/>
      <c r="P58" s="11"/>
      <c r="Q58" s="44">
        <f t="shared" si="1"/>
        <v>-25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25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25</v>
      </c>
      <c r="M59" s="11"/>
      <c r="N59" s="11"/>
      <c r="O59" s="11"/>
      <c r="P59" s="11"/>
      <c r="Q59" s="44">
        <f t="shared" si="1"/>
        <v>-25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25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25</v>
      </c>
      <c r="M60" s="11"/>
      <c r="N60" s="11"/>
      <c r="O60" s="11"/>
      <c r="P60" s="11"/>
      <c r="Q60" s="44">
        <f t="shared" si="1"/>
        <v>-25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25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25</v>
      </c>
      <c r="M61" s="11"/>
      <c r="N61" s="11"/>
      <c r="O61" s="11"/>
      <c r="P61" s="11"/>
      <c r="Q61" s="44">
        <f t="shared" si="1"/>
        <v>-25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25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25</v>
      </c>
      <c r="M62" s="11"/>
      <c r="N62" s="11"/>
      <c r="O62" s="11"/>
      <c r="P62" s="11"/>
      <c r="Q62" s="44">
        <f t="shared" si="1"/>
        <v>-25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25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25</v>
      </c>
      <c r="M63" s="11"/>
      <c r="N63" s="11"/>
      <c r="O63" s="11"/>
      <c r="P63" s="11"/>
      <c r="Q63" s="44">
        <f t="shared" si="1"/>
        <v>-25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25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25</v>
      </c>
      <c r="M64" s="11"/>
      <c r="N64" s="11"/>
      <c r="O64" s="11"/>
      <c r="P64" s="11"/>
      <c r="Q64" s="44">
        <f t="shared" si="1"/>
        <v>-25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25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25</v>
      </c>
      <c r="M65" s="11"/>
      <c r="N65" s="11"/>
      <c r="O65" s="11"/>
      <c r="P65" s="11"/>
      <c r="Q65" s="44">
        <f t="shared" si="1"/>
        <v>-25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2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>
        <v>10</v>
      </c>
      <c r="N69" s="11"/>
      <c r="O69" s="11"/>
      <c r="P69" s="11"/>
      <c r="Q69" s="44">
        <f t="shared" ref="Q69:Q76" si="5">(M69+N69+O69+P69)-L69</f>
        <v>-1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6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60</v>
      </c>
      <c r="M87" s="11">
        <v>30</v>
      </c>
      <c r="N87" s="11"/>
      <c r="O87" s="11"/>
      <c r="P87" s="11"/>
      <c r="Q87" s="44">
        <f t="shared" si="8"/>
        <v>-30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62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70</v>
      </c>
      <c r="M90" s="11">
        <v>30</v>
      </c>
      <c r="N90" s="11">
        <v>18</v>
      </c>
      <c r="O90" s="11"/>
      <c r="P90" s="11"/>
      <c r="Q90" s="44">
        <f t="shared" ref="Q90:Q99" si="10">(M90+N90+O90+P90)-L90</f>
        <v>-22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4</v>
      </c>
      <c r="G91" s="30">
        <f>'เย็น '!G91+'เช้า '!G91+บ่าย!G91</f>
        <v>62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68</v>
      </c>
      <c r="M91" s="11">
        <v>54</v>
      </c>
      <c r="N91" s="11">
        <v>1</v>
      </c>
      <c r="O91" s="11"/>
      <c r="P91" s="11"/>
      <c r="Q91" s="44">
        <f t="shared" si="10"/>
        <v>-13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62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71</v>
      </c>
      <c r="M92" s="11">
        <v>30</v>
      </c>
      <c r="N92" s="11">
        <v>17</v>
      </c>
      <c r="O92" s="11"/>
      <c r="P92" s="11"/>
      <c r="Q92" s="44">
        <f t="shared" si="10"/>
        <v>-24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63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68</v>
      </c>
      <c r="M93" s="11">
        <v>30</v>
      </c>
      <c r="N93" s="11">
        <v>19</v>
      </c>
      <c r="O93" s="11"/>
      <c r="P93" s="11"/>
      <c r="Q93" s="44">
        <f t="shared" si="10"/>
        <v>-19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63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63</v>
      </c>
      <c r="M97" s="11">
        <v>30</v>
      </c>
      <c r="N97" s="11">
        <v>18</v>
      </c>
      <c r="O97" s="11"/>
      <c r="P97" s="11"/>
      <c r="Q97" s="44">
        <f t="shared" si="10"/>
        <v>-15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63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67</v>
      </c>
      <c r="M98" s="11">
        <v>30</v>
      </c>
      <c r="N98" s="11">
        <v>17</v>
      </c>
      <c r="O98" s="11"/>
      <c r="P98" s="11"/>
      <c r="Q98" s="44">
        <f t="shared" si="10"/>
        <v>-20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407</v>
      </c>
      <c r="M100" s="11"/>
      <c r="N100" s="11"/>
      <c r="O100" s="11"/>
      <c r="P100" s="11"/>
      <c r="Q100" s="44">
        <f>SUM(Q90:Q99)</f>
        <v>-113</v>
      </c>
    </row>
    <row r="101" spans="2:17" ht="21" hidden="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 hidden="1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11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11</v>
      </c>
      <c r="M114" s="11">
        <v>10</v>
      </c>
      <c r="N114" s="11">
        <v>7</v>
      </c>
      <c r="O114" s="11"/>
      <c r="P114" s="11"/>
      <c r="Q114" s="44">
        <f t="shared" ref="Q114:Q151" si="14">(M114+N114+O114+P114)-L114</f>
        <v>6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8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8</v>
      </c>
      <c r="M115" s="11">
        <v>10</v>
      </c>
      <c r="N115" s="11">
        <v>6</v>
      </c>
      <c r="O115" s="11"/>
      <c r="P115" s="11"/>
      <c r="Q115" s="44">
        <f t="shared" si="14"/>
        <v>8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3</v>
      </c>
      <c r="F123" s="30">
        <f>บ่าย!F123+'เช้า '!F123+'เย็น '!F123</f>
        <v>6</v>
      </c>
      <c r="G123" s="30">
        <f>บ่าย!G123+'เช้า '!G123+'เย็น '!G123</f>
        <v>91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100</v>
      </c>
      <c r="M123" s="11">
        <v>1</v>
      </c>
      <c r="N123" s="11">
        <v>86</v>
      </c>
      <c r="O123" s="11"/>
      <c r="P123" s="11"/>
      <c r="Q123" s="44">
        <f t="shared" si="14"/>
        <v>-13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2</v>
      </c>
      <c r="G124" s="30">
        <f>บ่าย!G124+'เช้า '!G124+'เย็น '!G124</f>
        <v>70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72</v>
      </c>
      <c r="M124" s="11"/>
      <c r="N124" s="11">
        <v>62</v>
      </c>
      <c r="O124" s="11"/>
      <c r="P124" s="11"/>
      <c r="Q124" s="44">
        <f t="shared" si="14"/>
        <v>-10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67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67</v>
      </c>
      <c r="M125" s="11"/>
      <c r="N125" s="11">
        <v>62</v>
      </c>
      <c r="O125" s="11"/>
      <c r="P125" s="11"/>
      <c r="Q125" s="44">
        <f t="shared" si="14"/>
        <v>-5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6</v>
      </c>
      <c r="F126" s="30">
        <f>บ่าย!F126+'เช้า '!F126+'เย็น '!F126</f>
        <v>12</v>
      </c>
      <c r="G126" s="30">
        <f>บ่าย!G126+'เช้า '!G126+'เย็น '!G126</f>
        <v>6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24</v>
      </c>
      <c r="M126" s="11">
        <v>20</v>
      </c>
      <c r="N126" s="11"/>
      <c r="O126" s="11"/>
      <c r="P126" s="11"/>
      <c r="Q126" s="44">
        <f t="shared" si="14"/>
        <v>-4</v>
      </c>
    </row>
    <row r="127" spans="2:17" hidden="1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hidden="1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 hidden="1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 hidden="1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 hidden="1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 hidden="1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 hidden="1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 hidden="1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10</v>
      </c>
      <c r="L137" s="36">
        <f t="shared" si="13"/>
        <v>10</v>
      </c>
      <c r="M137" s="11">
        <v>4</v>
      </c>
      <c r="N137" s="11"/>
      <c r="O137" s="11"/>
      <c r="P137" s="11"/>
      <c r="Q137" s="44">
        <f t="shared" si="14"/>
        <v>-6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57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>
        <v>30</v>
      </c>
      <c r="O142" s="11"/>
      <c r="P142" s="11"/>
      <c r="Q142" s="44"/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 hidden="1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 hidden="1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 hidden="1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 hidden="1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 hidden="1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 hidden="1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231</v>
      </c>
      <c r="E152" s="60">
        <f t="shared" ref="E152:Q152" si="15">SUM(E114:E151,E90:E99,E79:E87,E69:E76,E7:E66,E102:E111)</f>
        <v>593</v>
      </c>
      <c r="F152" s="60">
        <f t="shared" si="15"/>
        <v>42</v>
      </c>
      <c r="G152" s="60">
        <f t="shared" si="15"/>
        <v>962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10</v>
      </c>
      <c r="L152" s="60">
        <f t="shared" si="15"/>
        <v>1781</v>
      </c>
      <c r="M152" s="60">
        <f t="shared" si="15"/>
        <v>642</v>
      </c>
      <c r="N152" s="60">
        <f t="shared" si="15"/>
        <v>409</v>
      </c>
      <c r="O152" s="60">
        <f t="shared" si="15"/>
        <v>0</v>
      </c>
      <c r="P152" s="60">
        <f t="shared" si="15"/>
        <v>0</v>
      </c>
      <c r="Q152" s="60">
        <f t="shared" si="15"/>
        <v>-760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2025-08-08T00:51:04Z</cp:lastPrinted>
  <dcterms:created xsi:type="dcterms:W3CDTF">2024-04-30T05:21:27Z</dcterms:created>
  <dcterms:modified xsi:type="dcterms:W3CDTF">2025-08-09T02:59:32Z</dcterms:modified>
</cp:coreProperties>
</file>