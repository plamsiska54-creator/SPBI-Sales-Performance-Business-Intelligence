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A4B9490B-9A48-4AA4-86DB-87D498C0DD87}" xr6:coauthVersionLast="47" xr6:coauthVersionMax="47" xr10:uidLastSave="{00000000-0000-0000-0000-000000000000}"/>
  <bookViews>
    <workbookView xWindow="9105" yWindow="1545" windowWidth="19245" windowHeight="12585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63" i="5" l="1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4" i="5"/>
  <c r="D100" i="5" l="1"/>
  <c r="S5" i="5"/>
  <c r="V5" i="5" s="1"/>
  <c r="S4" i="5"/>
  <c r="V4" i="5" s="1"/>
  <c r="T100" i="5"/>
  <c r="U100" i="5"/>
  <c r="W100" i="5"/>
  <c r="Z100" i="5" s="1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R101" i="5" s="1"/>
  <c r="S6" i="5"/>
  <c r="V6" i="5" s="1"/>
  <c r="S7" i="5"/>
  <c r="V7" i="5" s="1"/>
  <c r="S8" i="5"/>
  <c r="V8" i="5" s="1"/>
  <c r="S9" i="5"/>
  <c r="V9" i="5" s="1"/>
  <c r="S10" i="5"/>
  <c r="V10" i="5" s="1"/>
  <c r="S11" i="5"/>
  <c r="V11" i="5" s="1"/>
  <c r="S12" i="5"/>
  <c r="V12" i="5" s="1"/>
  <c r="S13" i="5"/>
  <c r="V13" i="5" s="1"/>
  <c r="S14" i="5"/>
  <c r="V14" i="5" s="1"/>
  <c r="S15" i="5"/>
  <c r="V15" i="5" s="1"/>
  <c r="S16" i="5"/>
  <c r="V16" i="5" s="1"/>
  <c r="S17" i="5"/>
  <c r="V17" i="5" s="1"/>
  <c r="S18" i="5"/>
  <c r="V18" i="5" s="1"/>
  <c r="S19" i="5"/>
  <c r="V19" i="5" s="1"/>
  <c r="S20" i="5"/>
  <c r="V20" i="5" s="1"/>
  <c r="S21" i="5"/>
  <c r="V21" i="5" s="1"/>
  <c r="S22" i="5"/>
  <c r="V22" i="5" s="1"/>
  <c r="S23" i="5"/>
  <c r="V23" i="5" s="1"/>
  <c r="S24" i="5"/>
  <c r="V24" i="5" s="1"/>
  <c r="S25" i="5"/>
  <c r="V25" i="5" s="1"/>
  <c r="S26" i="5"/>
  <c r="V26" i="5" s="1"/>
  <c r="S27" i="5"/>
  <c r="V27" i="5" s="1"/>
  <c r="S28" i="5"/>
  <c r="V28" i="5" s="1"/>
  <c r="S29" i="5"/>
  <c r="V29" i="5" s="1"/>
  <c r="S30" i="5"/>
  <c r="V30" i="5" s="1"/>
  <c r="S31" i="5"/>
  <c r="V31" i="5" s="1"/>
  <c r="S32" i="5"/>
  <c r="V32" i="5" s="1"/>
  <c r="S33" i="5"/>
  <c r="V33" i="5" s="1"/>
  <c r="S34" i="5"/>
  <c r="V34" i="5" s="1"/>
  <c r="S35" i="5"/>
  <c r="V35" i="5" s="1"/>
  <c r="S36" i="5"/>
  <c r="V36" i="5" s="1"/>
  <c r="S37" i="5"/>
  <c r="V37" i="5" s="1"/>
  <c r="S38" i="5"/>
  <c r="V38" i="5" s="1"/>
  <c r="S39" i="5"/>
  <c r="V39" i="5" s="1"/>
  <c r="S40" i="5"/>
  <c r="V40" i="5" s="1"/>
  <c r="S41" i="5"/>
  <c r="V41" i="5" s="1"/>
  <c r="S42" i="5"/>
  <c r="V42" i="5" s="1"/>
  <c r="S43" i="5"/>
  <c r="V43" i="5" s="1"/>
  <c r="S44" i="5"/>
  <c r="V44" i="5" s="1"/>
  <c r="S45" i="5"/>
  <c r="V45" i="5" s="1"/>
  <c r="S46" i="5"/>
  <c r="V46" i="5" s="1"/>
  <c r="S47" i="5"/>
  <c r="V47" i="5" s="1"/>
  <c r="S48" i="5"/>
  <c r="V48" i="5" s="1"/>
  <c r="S49" i="5"/>
  <c r="V49" i="5" s="1"/>
  <c r="S50" i="5"/>
  <c r="V50" i="5" s="1"/>
  <c r="S51" i="5"/>
  <c r="V51" i="5" s="1"/>
  <c r="S52" i="5"/>
  <c r="V52" i="5" s="1"/>
  <c r="S53" i="5"/>
  <c r="V53" i="5" s="1"/>
  <c r="S54" i="5"/>
  <c r="V54" i="5" s="1"/>
  <c r="S55" i="5"/>
  <c r="V55" i="5" s="1"/>
  <c r="S56" i="5"/>
  <c r="V56" i="5" s="1"/>
  <c r="S57" i="5"/>
  <c r="V57" i="5" s="1"/>
  <c r="S58" i="5"/>
  <c r="V58" i="5" s="1"/>
  <c r="S59" i="5"/>
  <c r="V59" i="5" s="1"/>
  <c r="S60" i="5"/>
  <c r="V60" i="5" s="1"/>
  <c r="S61" i="5"/>
  <c r="V61" i="5" s="1"/>
  <c r="S62" i="5"/>
  <c r="V62" i="5" s="1"/>
  <c r="S63" i="5"/>
  <c r="V63" i="5" s="1"/>
  <c r="S64" i="5"/>
  <c r="V64" i="5" s="1"/>
  <c r="S65" i="5"/>
  <c r="V65" i="5" s="1"/>
  <c r="S66" i="5"/>
  <c r="V66" i="5" s="1"/>
  <c r="S67" i="5"/>
  <c r="V67" i="5" s="1"/>
  <c r="S68" i="5"/>
  <c r="V68" i="5" s="1"/>
  <c r="S69" i="5"/>
  <c r="V69" i="5" s="1"/>
  <c r="S70" i="5"/>
  <c r="V70" i="5" s="1"/>
  <c r="S71" i="5"/>
  <c r="V71" i="5" s="1"/>
  <c r="S72" i="5"/>
  <c r="V72" i="5" s="1"/>
  <c r="S73" i="5"/>
  <c r="V73" i="5" s="1"/>
  <c r="S74" i="5"/>
  <c r="V74" i="5" s="1"/>
  <c r="S75" i="5"/>
  <c r="V75" i="5" s="1"/>
  <c r="S76" i="5"/>
  <c r="V76" i="5" s="1"/>
  <c r="S77" i="5"/>
  <c r="V77" i="5" s="1"/>
  <c r="S78" i="5"/>
  <c r="V78" i="5" s="1"/>
  <c r="S79" i="5"/>
  <c r="V79" i="5" s="1"/>
  <c r="S80" i="5"/>
  <c r="V80" i="5" s="1"/>
  <c r="S81" i="5"/>
  <c r="V81" i="5" s="1"/>
  <c r="S82" i="5"/>
  <c r="V82" i="5" s="1"/>
  <c r="S83" i="5"/>
  <c r="V83" i="5" s="1"/>
  <c r="S84" i="5"/>
  <c r="V84" i="5" s="1"/>
  <c r="S85" i="5"/>
  <c r="V85" i="5" s="1"/>
  <c r="S86" i="5"/>
  <c r="V86" i="5" s="1"/>
  <c r="S87" i="5"/>
  <c r="V87" i="5" s="1"/>
  <c r="S88" i="5"/>
  <c r="V88" i="5" s="1"/>
  <c r="S89" i="5"/>
  <c r="V89" i="5" s="1"/>
  <c r="S90" i="5"/>
  <c r="V90" i="5" s="1"/>
  <c r="S91" i="5"/>
  <c r="V91" i="5" s="1"/>
  <c r="S92" i="5"/>
  <c r="V92" i="5" s="1"/>
  <c r="S93" i="5"/>
  <c r="V93" i="5" s="1"/>
  <c r="S94" i="5"/>
  <c r="V94" i="5" s="1"/>
  <c r="S95" i="5"/>
  <c r="V95" i="5" s="1"/>
  <c r="S96" i="5"/>
  <c r="V96" i="5" s="1"/>
  <c r="S97" i="5"/>
  <c r="V97" i="5" s="1"/>
  <c r="S98" i="5"/>
  <c r="V98" i="5" s="1"/>
  <c r="S99" i="5"/>
  <c r="V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D101" i="5" l="1"/>
  <c r="L101" i="5"/>
  <c r="J101" i="5"/>
  <c r="P101" i="5"/>
  <c r="N101" i="5"/>
  <c r="F101" i="5"/>
  <c r="H101" i="5"/>
  <c r="S100" i="5"/>
  <c r="V100" i="5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<sst xmlns="http://schemas.openxmlformats.org/spreadsheetml/2006/main" count="443" uniqueCount="207">
  <si>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</si>
  <si>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</si>
  <si>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</si>
  <si>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</si>
  <si>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</si>
  <si>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</si>
  <si>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</si>
  <si>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</si>
  <si>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</si>
  <si>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</si>
  <si>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</si>
  <si>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</si>
  <si>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</si>
  <si>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</si>
  <si>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</si>
  <si>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</si>
  <si>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</si>
  <si>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</si>
  <si>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</si>
  <si>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</si>
  <si>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</si>
  <si>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</si>
  <si>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</si>
  <si>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</si>
  <si>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</si>
  <si>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</si>
  <si>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</si>
  <si>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</si>
  <si>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</si>
  <si>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</si>
  <si>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</si>
  <si>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</si>
  <si>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</si>
  <si>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</si>
  <si>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</si>
  <si>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</si>
  <si>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</si>
  <si>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</si>
  <si>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</si>
  <si>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</si>
  <si>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</si>
  <si>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</si>
  <si>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</si>
  <si>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</si>
  <si>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</si>
  <si>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</si>
  <si>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</si>
  <si>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</si>
  <si>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</si>
  <si>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</si>
  <si>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</si>
  <si>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</si>
  <si>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</si>
  <si>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</si>
  <si>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</si>
  <si>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</si>
  <si>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</si>
  <si>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</si>
  <si>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</si>
  <si>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</si>
  <si>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</si>
  <si>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</si>
  <si>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</si>
  <si>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</si>
  <si>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</si>
  <si>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</si>
  <si>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</si>
  <si>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</si>
  <si>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</si>
  <si>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</si>
  <si>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</si>
  <si>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</si>
  <si>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</si>
  <si>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</si>
  <si>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</si>
  <si>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</si>
  <si>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</si>
  <si>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</si>
  <si>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</si>
  <si>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</si>
  <si>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</si>
  <si>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</si>
  <si>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</si>
  <si>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</si>
  <si>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</si>
  <si>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</si>
  <si>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</si>
  <si>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</si>
  <si>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</si>
  <si>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</si>
  <si>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</si>
  <si>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</si>
  <si>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</si>
  <si>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</si>
  <si>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</si>
  <si>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</si>
  <si>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</si>
  <si>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</si>
  <si>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</si>
  <si>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</si>
  <si>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</si>
  <si>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</si>
  <si>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</si>
  <si>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</si>
  <si>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</si>
  <si>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</si>
  <si>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</si>
  <si>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</si>
  <si>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</si>
  <si>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</si>
  <si>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</si>
  <si>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</si>
  <si>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</si>
  <si>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</si>
  <si>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</si>
  <si>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</si>
  <si>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</si>
  <si>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</si>
  <si>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</si>
  <si>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</si>
  <si>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</si>
  <si>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</si>
  <si>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</si>
  <si>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</si>
  <si>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</si>
  <si>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</si>
  <si>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</si>
  <si>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</si>
  <si>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</si>
  <si>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</si>
  <si>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</si>
  <si>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</si>
  <si>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</si>
  <si>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</si>
  <si>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</si>
  <si>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</si>
  <si>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</si>
  <si>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</si>
  <si>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</si>
  <si>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</si>
  <si>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</si>
  <si>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</si>
  <si>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</si>
  <si>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</si>
  <si>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</si>
  <si>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</si>
  <si>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</si>
  <si>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</si>
  <si>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</si>
  <si>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</si>
  <si>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</si>
  <si>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</si>
  <si>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</si>
  <si>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</si>
  <si>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</si>
  <si>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</si>
  <si>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</si>
  <si>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</si>
  <si>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</si>
  <si>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</si>
  <si>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</si>
  <si>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</si>
  <si>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</si>
  <si>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</si>
  <si>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</si>
  <si>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</si>
  <si>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</si>
  <si>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</si>
  <si>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</si>
  <si>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</si>
  <si>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</si>
  <si>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</si>
  <si>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</si>
  <si>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</si>
  <si>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</si>
  <si>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</si>
  <si>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</si>
  <si>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</si>
  <si>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</si>
  <si>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</si>
  <si>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</si>
  <si>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</si>
  <si>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</si>
  <si>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</si>
  <si>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</si>
  <si>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</si>
  <si>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</si>
  <si>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</si>
  <si>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</si>
  <si>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</si>
  <si>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</si>
  <si>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</si>
  <si>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</si>
  <si>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</si>
  <si>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</si>
  <si>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</si>
  <si>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</si>
  <si>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</si>
  <si>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</si>
  <si>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</si>
  <si>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</si>
  <si>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</si>
  <si>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</si>
  <si>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</si>
  <si>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</si>
  <si>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</si>
  <si>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21/8/2568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</si>
</sst>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87" fontId="12" fillId="2" borderId="2" xfId="0" applyNumberFormat="1" applyFont="1" applyFill="1" applyBorder="1" applyAlignment="1">
      <alignment horizontal="center" vertical="center"/>
    </xf>
    <xf numFmtId="187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87" fontId="10" fillId="5" borderId="2" xfId="0" applyNumberFormat="1" applyFont="1" applyFill="1" applyBorder="1" applyAlignment="1">
      <alignment horizontal="center" vertical="center"/>
    </xf>
    <xf numFmtId="187" fontId="17" fillId="5" borderId="2" xfId="0" applyNumberFormat="1" applyFont="1" applyFill="1" applyBorder="1" applyAlignment="1">
      <alignment horizontal="center" vertical="center"/>
    </xf>
    <xf numFmtId="187" fontId="18" fillId="5" borderId="3" xfId="0" applyNumberFormat="1" applyFont="1" applyFill="1" applyBorder="1" applyAlignment="1">
      <alignment horizontal="center" vertical="center"/>
    </xf>
    <xf numFmtId="187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87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25" style="16" customWidth="1"/>
    <col min="12" max="12" width="17.75" style="24" customWidth="1"/>
  </cols>
  <sheetData>
    <row r="1" spans="2:12" x14ac:dyDescent="0.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 x14ac:dyDescent="0.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19.5" x14ac:dyDescent="0.2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 x14ac:dyDescent="0.2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 x14ac:dyDescent="0.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 x14ac:dyDescent="0.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 x14ac:dyDescent="0.2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 x14ac:dyDescent="0.2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 x14ac:dyDescent="0.2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 x14ac:dyDescent="0.2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 x14ac:dyDescent="0.2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 x14ac:dyDescent="0.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 x14ac:dyDescent="0.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 x14ac:dyDescent="0.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 x14ac:dyDescent="0.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 x14ac:dyDescent="0.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 x14ac:dyDescent="0.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 x14ac:dyDescent="0.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 x14ac:dyDescent="0.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 x14ac:dyDescent="0.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 x14ac:dyDescent="0.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 x14ac:dyDescent="0.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 x14ac:dyDescent="0.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 x14ac:dyDescent="0.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 x14ac:dyDescent="0.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 x14ac:dyDescent="0.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 x14ac:dyDescent="0.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 x14ac:dyDescent="0.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 x14ac:dyDescent="0.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 x14ac:dyDescent="0.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 x14ac:dyDescent="0.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 x14ac:dyDescent="0.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 x14ac:dyDescent="0.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 x14ac:dyDescent="0.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 x14ac:dyDescent="0.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 x14ac:dyDescent="0.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 x14ac:dyDescent="0.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 x14ac:dyDescent="0.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19.5" x14ac:dyDescent="0.2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 x14ac:dyDescent="0.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 x14ac:dyDescent="0.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 x14ac:dyDescent="0.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 x14ac:dyDescent="0.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 x14ac:dyDescent="0.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 x14ac:dyDescent="0.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19.5" x14ac:dyDescent="0.2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 x14ac:dyDescent="0.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 x14ac:dyDescent="0.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 x14ac:dyDescent="0.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 x14ac:dyDescent="0.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 x14ac:dyDescent="0.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 x14ac:dyDescent="0.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 x14ac:dyDescent="0.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19.5" x14ac:dyDescent="0.2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 x14ac:dyDescent="0.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 x14ac:dyDescent="0.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 x14ac:dyDescent="0.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 x14ac:dyDescent="0.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 x14ac:dyDescent="0.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 x14ac:dyDescent="0.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 x14ac:dyDescent="0.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 x14ac:dyDescent="0.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19.5" x14ac:dyDescent="0.2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 x14ac:dyDescent="0.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 x14ac:dyDescent="0.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 x14ac:dyDescent="0.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 x14ac:dyDescent="0.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 x14ac:dyDescent="0.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 x14ac:dyDescent="0.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 x14ac:dyDescent="0.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 x14ac:dyDescent="0.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19.5" x14ac:dyDescent="0.2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 x14ac:dyDescent="0.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 x14ac:dyDescent="0.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 x14ac:dyDescent="0.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 x14ac:dyDescent="0.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 x14ac:dyDescent="0.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 x14ac:dyDescent="0.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 x14ac:dyDescent="0.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 x14ac:dyDescent="0.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 x14ac:dyDescent="0.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 x14ac:dyDescent="0.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 x14ac:dyDescent="0.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 x14ac:dyDescent="0.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 x14ac:dyDescent="0.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 x14ac:dyDescent="0.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 x14ac:dyDescent="0.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 x14ac:dyDescent="0.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 x14ac:dyDescent="0.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 x14ac:dyDescent="0.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 x14ac:dyDescent="0.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 x14ac:dyDescent="0.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 x14ac:dyDescent="0.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 x14ac:dyDescent="0.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 x14ac:dyDescent="0.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 x14ac:dyDescent="0.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 x14ac:dyDescent="0.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 x14ac:dyDescent="0.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 x14ac:dyDescent="0.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 x14ac:dyDescent="0.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 x14ac:dyDescent="0.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 x14ac:dyDescent="0.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 x14ac:dyDescent="0.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 x14ac:dyDescent="0.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 x14ac:dyDescent="0.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 x14ac:dyDescent="0.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 x14ac:dyDescent="0.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 x14ac:dyDescent="0.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 x14ac:dyDescent="0.2">
      <c r="B152" s="42"/>
      <c r="C152" s="43"/>
      <c r="D152" s="28"/>
      <c r="E152" s="28"/>
      <c r="F152" s="28"/>
      <c r="G152" s="25"/>
      <c r="L152" s="44"/>
    </row>
    <row r="153" spans="2:12" x14ac:dyDescent="0.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 x14ac:dyDescent="0.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 x14ac:dyDescent="0.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4.25" x14ac:dyDescent="0.2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4.25" x14ac:dyDescent="0.2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4.25" x14ac:dyDescent="0.2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4.25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4.25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 x14ac:dyDescent="0.2">
      <c r="D161" s="28"/>
      <c r="E161" s="28"/>
      <c r="F161" s="28"/>
      <c r="G161" s="28"/>
      <c r="H161" s="28"/>
    </row>
    <row r="162" spans="4:8" x14ac:dyDescent="0.2">
      <c r="D162" s="28"/>
      <c r="E162" s="28"/>
      <c r="F162" s="28"/>
      <c r="G162" s="28"/>
      <c r="H162" s="28"/>
    </row>
    <row r="163" spans="4:8" x14ac:dyDescent="0.2">
      <c r="D163" s="28"/>
      <c r="E163" s="28"/>
      <c r="F163" s="28"/>
      <c r="G163" s="28"/>
      <c r="H163" s="28"/>
    </row>
    <row r="164" spans="4:8" x14ac:dyDescent="0.2">
      <c r="D164" s="28"/>
      <c r="E164" s="28"/>
      <c r="F164" s="28"/>
      <c r="G164" s="28"/>
      <c r="H164" s="28"/>
    </row>
    <row r="165" spans="4:8" x14ac:dyDescent="0.2">
      <c r="D165" s="28"/>
      <c r="E165" s="28"/>
      <c r="F165" s="28"/>
      <c r="G165" s="28"/>
      <c r="H165" s="28"/>
    </row>
    <row r="166" spans="4:8" x14ac:dyDescent="0.2">
      <c r="D166" s="28"/>
      <c r="E166" s="28"/>
      <c r="F166" s="28"/>
      <c r="G166" s="28"/>
      <c r="H166" s="28"/>
    </row>
    <row r="167" spans="4:8" x14ac:dyDescent="0.2">
      <c r="D167" s="28"/>
      <c r="E167" s="28"/>
      <c r="F167" s="28"/>
      <c r="G167" s="28"/>
      <c r="H167" s="28"/>
    </row>
    <row r="168" spans="4:8" x14ac:dyDescent="0.2">
      <c r="D168" s="28"/>
      <c r="E168" s="28"/>
      <c r="F168" s="28"/>
      <c r="G168" s="28"/>
      <c r="H168" s="28"/>
    </row>
    <row r="169" spans="4:8" x14ac:dyDescent="0.2">
      <c r="D169" s="28"/>
      <c r="E169" s="28"/>
      <c r="F169" s="28"/>
      <c r="G169" s="28"/>
      <c r="H169" s="28"/>
    </row>
    <row r="170" spans="4:8" x14ac:dyDescent="0.2">
      <c r="D170" s="28"/>
      <c r="E170" s="28"/>
      <c r="F170" s="28"/>
      <c r="G170" s="28"/>
      <c r="H170" s="28"/>
    </row>
    <row r="171" spans="4:8" x14ac:dyDescent="0.2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25" style="16" customWidth="1"/>
    <col min="12" max="12" width="17.75" style="24" customWidth="1"/>
  </cols>
  <sheetData>
    <row r="1" spans="2:12" x14ac:dyDescent="0.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 x14ac:dyDescent="0.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19.5" x14ac:dyDescent="0.2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 x14ac:dyDescent="0.2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 x14ac:dyDescent="0.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 x14ac:dyDescent="0.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 x14ac:dyDescent="0.2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 x14ac:dyDescent="0.2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 x14ac:dyDescent="0.2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 x14ac:dyDescent="0.2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 x14ac:dyDescent="0.2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 x14ac:dyDescent="0.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 x14ac:dyDescent="0.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 x14ac:dyDescent="0.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 x14ac:dyDescent="0.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 x14ac:dyDescent="0.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 x14ac:dyDescent="0.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 x14ac:dyDescent="0.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 x14ac:dyDescent="0.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 x14ac:dyDescent="0.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 x14ac:dyDescent="0.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 x14ac:dyDescent="0.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 x14ac:dyDescent="0.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 x14ac:dyDescent="0.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 x14ac:dyDescent="0.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 x14ac:dyDescent="0.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 x14ac:dyDescent="0.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 x14ac:dyDescent="0.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 x14ac:dyDescent="0.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 x14ac:dyDescent="0.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 x14ac:dyDescent="0.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 x14ac:dyDescent="0.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 x14ac:dyDescent="0.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 x14ac:dyDescent="0.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 x14ac:dyDescent="0.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 x14ac:dyDescent="0.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 x14ac:dyDescent="0.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 x14ac:dyDescent="0.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19.5" x14ac:dyDescent="0.2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 x14ac:dyDescent="0.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 x14ac:dyDescent="0.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 x14ac:dyDescent="0.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 x14ac:dyDescent="0.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 x14ac:dyDescent="0.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 x14ac:dyDescent="0.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19.5" x14ac:dyDescent="0.2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 x14ac:dyDescent="0.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 x14ac:dyDescent="0.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 x14ac:dyDescent="0.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 x14ac:dyDescent="0.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 x14ac:dyDescent="0.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 x14ac:dyDescent="0.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 x14ac:dyDescent="0.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19.5" x14ac:dyDescent="0.2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 x14ac:dyDescent="0.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 x14ac:dyDescent="0.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 x14ac:dyDescent="0.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 x14ac:dyDescent="0.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 x14ac:dyDescent="0.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 x14ac:dyDescent="0.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 x14ac:dyDescent="0.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 x14ac:dyDescent="0.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19.5" x14ac:dyDescent="0.2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 x14ac:dyDescent="0.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 x14ac:dyDescent="0.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 x14ac:dyDescent="0.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 x14ac:dyDescent="0.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 x14ac:dyDescent="0.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 x14ac:dyDescent="0.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 x14ac:dyDescent="0.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 x14ac:dyDescent="0.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19.5" x14ac:dyDescent="0.2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 x14ac:dyDescent="0.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 x14ac:dyDescent="0.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 x14ac:dyDescent="0.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 x14ac:dyDescent="0.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 x14ac:dyDescent="0.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 x14ac:dyDescent="0.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 x14ac:dyDescent="0.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 x14ac:dyDescent="0.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 x14ac:dyDescent="0.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 x14ac:dyDescent="0.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 x14ac:dyDescent="0.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 x14ac:dyDescent="0.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 x14ac:dyDescent="0.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 x14ac:dyDescent="0.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 x14ac:dyDescent="0.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 x14ac:dyDescent="0.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 x14ac:dyDescent="0.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 x14ac:dyDescent="0.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 x14ac:dyDescent="0.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 x14ac:dyDescent="0.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 x14ac:dyDescent="0.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 x14ac:dyDescent="0.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 x14ac:dyDescent="0.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 x14ac:dyDescent="0.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 x14ac:dyDescent="0.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 x14ac:dyDescent="0.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 x14ac:dyDescent="0.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 x14ac:dyDescent="0.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 x14ac:dyDescent="0.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 x14ac:dyDescent="0.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 x14ac:dyDescent="0.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 x14ac:dyDescent="0.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 x14ac:dyDescent="0.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 x14ac:dyDescent="0.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 x14ac:dyDescent="0.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 x14ac:dyDescent="0.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 x14ac:dyDescent="0.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 x14ac:dyDescent="0.2">
      <c r="B152" s="42"/>
      <c r="C152" s="43"/>
      <c r="D152" s="28"/>
      <c r="E152" s="28"/>
      <c r="F152" s="28"/>
      <c r="G152" s="25"/>
      <c r="L152" s="33"/>
    </row>
    <row r="153" spans="2:12" x14ac:dyDescent="0.2">
      <c r="B153" s="42"/>
      <c r="C153" s="43"/>
      <c r="D153" s="28"/>
      <c r="E153" s="28"/>
      <c r="F153" s="28"/>
      <c r="G153" s="25"/>
      <c r="L153" s="33"/>
    </row>
    <row r="154" spans="2:12" x14ac:dyDescent="0.2">
      <c r="B154" s="42"/>
      <c r="C154" s="43"/>
      <c r="D154" s="28"/>
      <c r="E154" s="28"/>
      <c r="F154" s="28"/>
      <c r="G154" s="25"/>
      <c r="L154" s="33"/>
    </row>
    <row r="155" spans="2:12" x14ac:dyDescent="0.2">
      <c r="B155" s="42"/>
      <c r="C155" s="43"/>
      <c r="D155" s="28"/>
      <c r="E155" s="28"/>
      <c r="F155" s="28"/>
      <c r="G155" s="25"/>
      <c r="L155" s="44"/>
    </row>
    <row r="156" spans="2:12" x14ac:dyDescent="0.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 x14ac:dyDescent="0.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 x14ac:dyDescent="0.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4.25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4.25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4.25" x14ac:dyDescent="0.2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4.25" x14ac:dyDescent="0.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4.25" x14ac:dyDescent="0.2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 x14ac:dyDescent="0.2">
      <c r="D164" s="28"/>
      <c r="E164" s="28"/>
      <c r="F164" s="28"/>
      <c r="G164" s="28"/>
      <c r="H164" s="28"/>
    </row>
    <row r="165" spans="2:12" x14ac:dyDescent="0.2">
      <c r="D165" s="28"/>
      <c r="E165" s="28"/>
      <c r="F165" s="28"/>
      <c r="G165" s="28"/>
      <c r="H165" s="28"/>
    </row>
    <row r="166" spans="2:12" x14ac:dyDescent="0.2">
      <c r="D166" s="28"/>
      <c r="E166" s="28"/>
      <c r="F166" s="28"/>
      <c r="G166" s="28"/>
      <c r="H166" s="28"/>
    </row>
    <row r="167" spans="2:12" x14ac:dyDescent="0.2">
      <c r="D167" s="28"/>
      <c r="E167" s="28"/>
      <c r="F167" s="28"/>
      <c r="G167" s="28"/>
      <c r="H167" s="28"/>
    </row>
    <row r="168" spans="2:12" x14ac:dyDescent="0.2">
      <c r="D168" s="28"/>
      <c r="E168" s="28"/>
      <c r="F168" s="28"/>
      <c r="G168" s="28"/>
      <c r="H168" s="28"/>
    </row>
    <row r="169" spans="2:12" x14ac:dyDescent="0.2">
      <c r="D169" s="28"/>
      <c r="E169" s="28"/>
      <c r="F169" s="28"/>
      <c r="G169" s="28"/>
      <c r="H169" s="28"/>
    </row>
    <row r="170" spans="2:12" x14ac:dyDescent="0.2">
      <c r="D170" s="28"/>
      <c r="E170" s="28"/>
      <c r="F170" s="28"/>
      <c r="G170" s="28"/>
      <c r="H170" s="28"/>
    </row>
    <row r="171" spans="2:12" x14ac:dyDescent="0.2">
      <c r="D171" s="28"/>
      <c r="E171" s="28"/>
      <c r="F171" s="28"/>
      <c r="G171" s="28"/>
      <c r="H171" s="28"/>
    </row>
    <row r="172" spans="2:12" x14ac:dyDescent="0.2">
      <c r="D172" s="28"/>
      <c r="E172" s="28"/>
      <c r="F172" s="28"/>
      <c r="G172" s="28"/>
      <c r="H172" s="28"/>
    </row>
    <row r="173" spans="2:12" x14ac:dyDescent="0.2">
      <c r="D173" s="28"/>
      <c r="E173" s="28"/>
      <c r="F173" s="28"/>
      <c r="G173" s="28"/>
      <c r="H173" s="28"/>
    </row>
    <row r="174" spans="2:12" x14ac:dyDescent="0.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B113"/>
  <sheetViews>
    <sheetView tabSelected="1" topLeftCell="D1" zoomScale="50" zoomScaleNormal="50" workbookViewId="0">
      <selection activeCell="T2" sqref="T1:AE1048576"/>
    </sheetView>
  </sheetViews>
  <sheetFormatPr defaultColWidth="8.875" defaultRowHeight="39.75" x14ac:dyDescent="0.8"/>
  <cols>
    <col min="1" max="1" width="8.875" style="49"/>
    <col min="2" max="2" width="22.125" style="48" customWidth="1"/>
    <col min="3" max="3" width="77" style="56" bestFit="1" customWidth="1"/>
    <col min="4" max="4" width="14.25" style="57" customWidth="1"/>
    <col min="5" max="5" width="14.25" style="57" hidden="1" customWidth="1"/>
    <col min="6" max="6" width="14.25" style="57" customWidth="1"/>
    <col min="7" max="7" width="14.25" style="57" hidden="1" customWidth="1"/>
    <col min="8" max="8" width="14.25" style="57" customWidth="1"/>
    <col min="9" max="9" width="14.25" style="57" hidden="1" customWidth="1"/>
    <col min="10" max="10" width="14.25" style="57" customWidth="1"/>
    <col min="11" max="17" width="14.25" style="57" hidden="1" customWidth="1"/>
    <col min="18" max="18" width="14.25" style="57" customWidth="1"/>
    <col min="19" max="19" width="19.625" style="58" bestFit="1" customWidth="1"/>
    <col min="20" max="23" width="20.75" style="48" hidden="1" customWidth="1"/>
    <col min="24" max="24" width="20.875" style="49" hidden="1" customWidth="1"/>
    <col min="25" max="25" width="7.25" style="49" hidden="1" customWidth="1"/>
    <col min="26" max="26" width="22.75" style="49" hidden="1" customWidth="1"/>
    <col min="27" max="31" width="0" style="49" hidden="1" customWidth="1"/>
    <col min="32" max="16384" width="8.875" style="49"/>
  </cols>
  <sheetData>
    <row r="1" spans="2:26" ht="68.25" x14ac:dyDescent="0.8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6" ht="49.9" customHeight="1" x14ac:dyDescent="0.8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6" ht="49.9" customHeight="1" x14ac:dyDescent="0.8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6" x14ac:dyDescent="0.8">
      <c r="B4" s="50">
        <v>1004055</v>
      </c>
      <c r="C4" s="51" t="s">
        <v>149</v>
      </c>
      <c r="D4" s="52"/>
      <c r="E4" s="52"/>
      <c r="F4" s="52">
        <v>1</v>
      </c>
      <c r="G4" s="52"/>
      <c r="H4" s="52"/>
      <c r="I4" s="52"/>
      <c r="J4" s="52">
        <v>30</v>
      </c>
      <c r="K4" s="52"/>
      <c r="L4" s="52"/>
      <c r="M4" s="52"/>
      <c r="N4" s="52"/>
      <c r="O4" s="52"/>
      <c r="P4" s="52"/>
      <c r="Q4" s="52"/>
      <c r="R4" s="52"/>
      <c r="S4" s="64">
        <f>SUM(D4:R4)</f>
        <v>31</v>
      </c>
      <c r="T4" s="50">
        <v>45</v>
      </c>
      <c r="U4" s="50"/>
      <c r="V4" s="62">
        <f>+T4+U4-S4</f>
        <v>14</v>
      </c>
      <c r="W4" s="50">
        <v>75</v>
      </c>
      <c r="Z4" s="53">
        <f>W4+V4</f>
        <v>89</v>
      </c>
    </row>
    <row r="5" spans="2:26" x14ac:dyDescent="0.8">
      <c r="B5" s="50">
        <v>1111002</v>
      </c>
      <c r="C5" s="51" t="s">
        <v>150</v>
      </c>
      <c r="D5" s="52">
        <v>2</v>
      </c>
      <c r="E5" s="52"/>
      <c r="F5" s="52">
        <v>26</v>
      </c>
      <c r="G5" s="52"/>
      <c r="H5" s="52">
        <v>18</v>
      </c>
      <c r="I5" s="52"/>
      <c r="J5" s="52">
        <v>24</v>
      </c>
      <c r="K5" s="52"/>
      <c r="L5" s="52"/>
      <c r="M5" s="52"/>
      <c r="N5" s="52"/>
      <c r="O5" s="52"/>
      <c r="P5" s="52"/>
      <c r="Q5" s="52"/>
      <c r="R5" s="52">
        <v>2</v>
      </c>
      <c r="S5" s="64">
        <f>SUM(D5:R5)</f>
        <v>72</v>
      </c>
      <c r="T5" s="59">
        <v>120</v>
      </c>
      <c r="U5" s="59">
        <v>54</v>
      </c>
      <c r="V5" s="62">
        <f t="shared" ref="V5:V68" si="0">+T5+U5-S5</f>
        <v>102</v>
      </c>
      <c r="W5" s="59">
        <v>70</v>
      </c>
      <c r="Z5" s="53">
        <f t="shared" ref="Z5:Z68" si="1">W5+V5</f>
        <v>172</v>
      </c>
    </row>
    <row r="6" spans="2:26" hidden="1" x14ac:dyDescent="0.8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2">SUM(D6:R6)</f>
        <v>0</v>
      </c>
      <c r="T6" s="50"/>
      <c r="U6" s="50"/>
      <c r="V6" s="62">
        <f t="shared" si="0"/>
        <v>0</v>
      </c>
      <c r="W6" s="50"/>
      <c r="Z6" s="53">
        <f t="shared" si="1"/>
        <v>0</v>
      </c>
    </row>
    <row r="7" spans="2:26" hidden="1" x14ac:dyDescent="0.8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2"/>
        <v>0</v>
      </c>
      <c r="T7" s="50"/>
      <c r="U7" s="50"/>
      <c r="V7" s="62">
        <f t="shared" si="0"/>
        <v>0</v>
      </c>
      <c r="W7" s="50"/>
      <c r="Z7" s="53">
        <f t="shared" si="1"/>
        <v>0</v>
      </c>
    </row>
    <row r="8" spans="2:26" hidden="1" x14ac:dyDescent="0.8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2"/>
        <v>0</v>
      </c>
      <c r="T8" s="50"/>
      <c r="U8" s="50"/>
      <c r="V8" s="62">
        <f t="shared" si="0"/>
        <v>0</v>
      </c>
      <c r="W8" s="50"/>
      <c r="Z8" s="53">
        <f t="shared" si="1"/>
        <v>0</v>
      </c>
    </row>
    <row r="9" spans="2:26" x14ac:dyDescent="0.8">
      <c r="B9" s="50">
        <v>1111057</v>
      </c>
      <c r="C9" s="51" t="s">
        <v>30</v>
      </c>
      <c r="D9" s="52"/>
      <c r="E9" s="52"/>
      <c r="F9" s="52">
        <v>22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2"/>
        <v>22</v>
      </c>
      <c r="T9" s="50"/>
      <c r="U9" s="50"/>
      <c r="V9" s="62">
        <f t="shared" si="0"/>
        <v>-22</v>
      </c>
      <c r="W9" s="50"/>
      <c r="Z9" s="53">
        <f t="shared" si="1"/>
        <v>-22</v>
      </c>
    </row>
    <row r="10" spans="2:26" x14ac:dyDescent="0.8">
      <c r="B10" s="50">
        <v>1111058</v>
      </c>
      <c r="C10" s="51" t="s">
        <v>154</v>
      </c>
      <c r="D10" s="52"/>
      <c r="E10" s="52"/>
      <c r="F10" s="52">
        <v>22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2"/>
        <v>22</v>
      </c>
      <c r="T10" s="50"/>
      <c r="U10" s="50"/>
      <c r="V10" s="62">
        <f t="shared" si="0"/>
        <v>-22</v>
      </c>
      <c r="W10" s="50"/>
      <c r="Z10" s="53">
        <f t="shared" si="1"/>
        <v>-22</v>
      </c>
    </row>
    <row r="11" spans="2:26" x14ac:dyDescent="0.8">
      <c r="B11" s="50">
        <v>1111059</v>
      </c>
      <c r="C11" s="51" t="s">
        <v>32</v>
      </c>
      <c r="D11" s="52"/>
      <c r="E11" s="52"/>
      <c r="F11" s="52">
        <v>22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2"/>
        <v>22</v>
      </c>
      <c r="T11" s="50"/>
      <c r="U11" s="50"/>
      <c r="V11" s="62">
        <f t="shared" si="0"/>
        <v>-22</v>
      </c>
      <c r="W11" s="50"/>
      <c r="Z11" s="53">
        <f t="shared" si="1"/>
        <v>-22</v>
      </c>
    </row>
    <row r="12" spans="2:26" x14ac:dyDescent="0.8">
      <c r="B12" s="50">
        <v>1111060</v>
      </c>
      <c r="C12" s="51" t="s">
        <v>33</v>
      </c>
      <c r="D12" s="52"/>
      <c r="E12" s="52"/>
      <c r="F12" s="52">
        <v>22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2"/>
        <v>22</v>
      </c>
      <c r="T12" s="50"/>
      <c r="U12" s="50"/>
      <c r="V12" s="62">
        <f t="shared" si="0"/>
        <v>-22</v>
      </c>
      <c r="W12" s="50"/>
      <c r="Z12" s="53">
        <f t="shared" si="1"/>
        <v>-22</v>
      </c>
    </row>
    <row r="13" spans="2:26" x14ac:dyDescent="0.8">
      <c r="B13" s="50">
        <v>1111061</v>
      </c>
      <c r="C13" s="51" t="s">
        <v>34</v>
      </c>
      <c r="D13" s="52"/>
      <c r="E13" s="52"/>
      <c r="F13" s="52">
        <v>22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2"/>
        <v>22</v>
      </c>
      <c r="T13" s="50"/>
      <c r="U13" s="50"/>
      <c r="V13" s="62">
        <f t="shared" si="0"/>
        <v>-22</v>
      </c>
      <c r="W13" s="50"/>
      <c r="Z13" s="53">
        <f t="shared" si="1"/>
        <v>-22</v>
      </c>
    </row>
    <row r="14" spans="2:26" x14ac:dyDescent="0.8">
      <c r="B14" s="50">
        <v>1111062</v>
      </c>
      <c r="C14" s="51" t="s">
        <v>35</v>
      </c>
      <c r="D14" s="52"/>
      <c r="E14" s="52"/>
      <c r="F14" s="52">
        <v>22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2"/>
        <v>22</v>
      </c>
      <c r="T14" s="50"/>
      <c r="U14" s="50"/>
      <c r="V14" s="62">
        <f t="shared" si="0"/>
        <v>-22</v>
      </c>
      <c r="W14" s="50"/>
      <c r="Z14" s="53">
        <f t="shared" si="1"/>
        <v>-22</v>
      </c>
    </row>
    <row r="15" spans="2:26" x14ac:dyDescent="0.8">
      <c r="B15" s="50">
        <v>1111063</v>
      </c>
      <c r="C15" s="51" t="s">
        <v>36</v>
      </c>
      <c r="D15" s="52"/>
      <c r="E15" s="52"/>
      <c r="F15" s="52">
        <v>22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2"/>
        <v>22</v>
      </c>
      <c r="T15" s="50"/>
      <c r="U15" s="50"/>
      <c r="V15" s="62">
        <f t="shared" si="0"/>
        <v>-22</v>
      </c>
      <c r="W15" s="50"/>
      <c r="Z15" s="53">
        <f t="shared" si="1"/>
        <v>-22</v>
      </c>
    </row>
    <row r="16" spans="2:26" x14ac:dyDescent="0.8">
      <c r="B16" s="50">
        <v>1111064</v>
      </c>
      <c r="C16" s="51" t="s">
        <v>37</v>
      </c>
      <c r="D16" s="52"/>
      <c r="E16" s="52"/>
      <c r="F16" s="52">
        <v>22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2"/>
        <v>22</v>
      </c>
      <c r="T16" s="50"/>
      <c r="U16" s="50"/>
      <c r="V16" s="62">
        <f t="shared" si="0"/>
        <v>-22</v>
      </c>
      <c r="W16" s="50"/>
      <c r="Z16" s="53">
        <f t="shared" si="1"/>
        <v>-22</v>
      </c>
    </row>
    <row r="17" spans="2:26" x14ac:dyDescent="0.8">
      <c r="B17" s="50">
        <v>1111065</v>
      </c>
      <c r="C17" s="51" t="s">
        <v>38</v>
      </c>
      <c r="D17" s="52"/>
      <c r="E17" s="52"/>
      <c r="F17" s="52">
        <v>22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2"/>
        <v>22</v>
      </c>
      <c r="T17" s="50"/>
      <c r="U17" s="50"/>
      <c r="V17" s="62">
        <f t="shared" si="0"/>
        <v>-22</v>
      </c>
      <c r="W17" s="50"/>
      <c r="Z17" s="53">
        <f t="shared" si="1"/>
        <v>-22</v>
      </c>
    </row>
    <row r="18" spans="2:26" x14ac:dyDescent="0.8">
      <c r="B18" s="50">
        <v>1111066</v>
      </c>
      <c r="C18" s="51" t="s">
        <v>39</v>
      </c>
      <c r="D18" s="52"/>
      <c r="E18" s="52"/>
      <c r="F18" s="52">
        <v>22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2"/>
        <v>22</v>
      </c>
      <c r="T18" s="50"/>
      <c r="U18" s="50"/>
      <c r="V18" s="62">
        <f t="shared" si="0"/>
        <v>-22</v>
      </c>
      <c r="W18" s="50"/>
      <c r="Z18" s="53">
        <f t="shared" si="1"/>
        <v>-22</v>
      </c>
    </row>
    <row r="19" spans="2:26" x14ac:dyDescent="0.8">
      <c r="B19" s="50">
        <v>1111067</v>
      </c>
      <c r="C19" s="51" t="s">
        <v>40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2"/>
        <v>0</v>
      </c>
      <c r="T19" s="50"/>
      <c r="U19" s="50"/>
      <c r="V19" s="62">
        <f t="shared" si="0"/>
        <v>0</v>
      </c>
      <c r="W19" s="50"/>
      <c r="Z19" s="53">
        <f t="shared" si="1"/>
        <v>0</v>
      </c>
    </row>
    <row r="20" spans="2:26" x14ac:dyDescent="0.8">
      <c r="B20" s="50">
        <v>1111068</v>
      </c>
      <c r="C20" s="51" t="s">
        <v>41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2"/>
        <v>0</v>
      </c>
      <c r="T20" s="50"/>
      <c r="U20" s="50"/>
      <c r="V20" s="62">
        <f t="shared" si="0"/>
        <v>0</v>
      </c>
      <c r="W20" s="50"/>
      <c r="Z20" s="53">
        <f t="shared" si="1"/>
        <v>0</v>
      </c>
    </row>
    <row r="21" spans="2:26" x14ac:dyDescent="0.8">
      <c r="B21" s="50">
        <v>1111069</v>
      </c>
      <c r="C21" s="51" t="s">
        <v>42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2"/>
        <v>0</v>
      </c>
      <c r="T21" s="50"/>
      <c r="U21" s="50"/>
      <c r="V21" s="62">
        <f t="shared" si="0"/>
        <v>0</v>
      </c>
      <c r="W21" s="50"/>
      <c r="Z21" s="53">
        <f t="shared" si="1"/>
        <v>0</v>
      </c>
    </row>
    <row r="22" spans="2:26" hidden="1" x14ac:dyDescent="0.8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2"/>
        <v>0</v>
      </c>
      <c r="T22" s="50"/>
      <c r="U22" s="50"/>
      <c r="V22" s="62">
        <f t="shared" si="0"/>
        <v>0</v>
      </c>
      <c r="W22" s="50"/>
      <c r="Z22" s="53">
        <f t="shared" si="1"/>
        <v>0</v>
      </c>
    </row>
    <row r="23" spans="2:26" hidden="1" x14ac:dyDescent="0.8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2"/>
        <v>0</v>
      </c>
      <c r="T23" s="50"/>
      <c r="U23" s="50"/>
      <c r="V23" s="62">
        <f t="shared" si="0"/>
        <v>0</v>
      </c>
      <c r="W23" s="50"/>
      <c r="Z23" s="53">
        <f t="shared" si="1"/>
        <v>0</v>
      </c>
    </row>
    <row r="24" spans="2:26" hidden="1" x14ac:dyDescent="0.8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2"/>
        <v>0</v>
      </c>
      <c r="T24" s="50"/>
      <c r="U24" s="50"/>
      <c r="V24" s="62">
        <f t="shared" si="0"/>
        <v>0</v>
      </c>
      <c r="W24" s="50"/>
      <c r="Z24" s="53">
        <f t="shared" si="1"/>
        <v>0</v>
      </c>
    </row>
    <row r="25" spans="2:26" x14ac:dyDescent="0.8">
      <c r="B25" s="50">
        <v>1111008</v>
      </c>
      <c r="C25" s="51" t="s">
        <v>156</v>
      </c>
      <c r="D25" s="52"/>
      <c r="E25" s="52"/>
      <c r="F25" s="52"/>
      <c r="G25" s="52"/>
      <c r="H25" s="52"/>
      <c r="I25" s="52"/>
      <c r="J25" s="52">
        <v>51</v>
      </c>
      <c r="K25" s="52"/>
      <c r="L25" s="52"/>
      <c r="M25" s="52"/>
      <c r="N25" s="52"/>
      <c r="O25" s="52"/>
      <c r="P25" s="52"/>
      <c r="Q25" s="52"/>
      <c r="R25" s="52"/>
      <c r="S25" s="64">
        <f t="shared" si="2"/>
        <v>51</v>
      </c>
      <c r="T25" s="50">
        <v>40</v>
      </c>
      <c r="U25" s="50">
        <v>28</v>
      </c>
      <c r="V25" s="62">
        <f t="shared" si="0"/>
        <v>17</v>
      </c>
      <c r="W25" s="50">
        <v>40</v>
      </c>
      <c r="Z25" s="53">
        <f t="shared" si="1"/>
        <v>57</v>
      </c>
    </row>
    <row r="26" spans="2:26" x14ac:dyDescent="0.8">
      <c r="B26" s="50">
        <v>1111009</v>
      </c>
      <c r="C26" s="51" t="s">
        <v>157</v>
      </c>
      <c r="D26" s="52">
        <v>2</v>
      </c>
      <c r="E26" s="52"/>
      <c r="F26" s="52">
        <v>5</v>
      </c>
      <c r="G26" s="52"/>
      <c r="H26" s="52">
        <v>1</v>
      </c>
      <c r="I26" s="52"/>
      <c r="J26" s="52">
        <v>2</v>
      </c>
      <c r="K26" s="52"/>
      <c r="L26" s="52"/>
      <c r="M26" s="52"/>
      <c r="N26" s="52"/>
      <c r="O26" s="52"/>
      <c r="P26" s="52"/>
      <c r="Q26" s="52"/>
      <c r="R26" s="52"/>
      <c r="S26" s="64">
        <f t="shared" si="2"/>
        <v>10</v>
      </c>
      <c r="T26" s="50">
        <v>20</v>
      </c>
      <c r="U26" s="50">
        <v>23</v>
      </c>
      <c r="V26" s="62">
        <f t="shared" si="0"/>
        <v>33</v>
      </c>
      <c r="W26" s="50">
        <v>20</v>
      </c>
      <c r="Z26" s="53">
        <f t="shared" si="1"/>
        <v>53</v>
      </c>
    </row>
    <row r="27" spans="2:26" hidden="1" x14ac:dyDescent="0.8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2"/>
        <v>0</v>
      </c>
      <c r="T27" s="50"/>
      <c r="U27" s="50"/>
      <c r="V27" s="62">
        <f t="shared" si="0"/>
        <v>0</v>
      </c>
      <c r="W27" s="50"/>
      <c r="Z27" s="53">
        <f t="shared" si="1"/>
        <v>0</v>
      </c>
    </row>
    <row r="28" spans="2:26" hidden="1" x14ac:dyDescent="0.8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2"/>
        <v>0</v>
      </c>
      <c r="T28" s="50"/>
      <c r="U28" s="50"/>
      <c r="V28" s="62">
        <f t="shared" si="0"/>
        <v>0</v>
      </c>
      <c r="W28" s="50"/>
      <c r="Z28" s="53">
        <f t="shared" si="1"/>
        <v>0</v>
      </c>
    </row>
    <row r="29" spans="2:26" hidden="1" x14ac:dyDescent="0.8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2"/>
        <v>0</v>
      </c>
      <c r="T29" s="50"/>
      <c r="U29" s="50"/>
      <c r="V29" s="62">
        <f t="shared" si="0"/>
        <v>0</v>
      </c>
      <c r="W29" s="50"/>
      <c r="Z29" s="53">
        <f t="shared" si="1"/>
        <v>0</v>
      </c>
    </row>
    <row r="30" spans="2:26" hidden="1" x14ac:dyDescent="0.8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2"/>
        <v>0</v>
      </c>
      <c r="T30" s="50"/>
      <c r="U30" s="50"/>
      <c r="V30" s="62">
        <f t="shared" si="0"/>
        <v>0</v>
      </c>
      <c r="W30" s="50"/>
      <c r="Z30" s="53">
        <f t="shared" si="1"/>
        <v>0</v>
      </c>
    </row>
    <row r="31" spans="2:26" hidden="1" x14ac:dyDescent="0.8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2"/>
        <v>0</v>
      </c>
      <c r="T31" s="50"/>
      <c r="U31" s="50"/>
      <c r="V31" s="62">
        <f t="shared" si="0"/>
        <v>0</v>
      </c>
      <c r="W31" s="50"/>
      <c r="Z31" s="53">
        <f t="shared" si="1"/>
        <v>0</v>
      </c>
    </row>
    <row r="32" spans="2:26" x14ac:dyDescent="0.8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4">
        <f t="shared" si="2"/>
        <v>0</v>
      </c>
      <c r="T32" s="50"/>
      <c r="U32" s="50"/>
      <c r="V32" s="62">
        <f t="shared" si="0"/>
        <v>0</v>
      </c>
      <c r="W32" s="50"/>
      <c r="Z32" s="53">
        <f t="shared" si="1"/>
        <v>0</v>
      </c>
    </row>
    <row r="33" spans="2:26" hidden="1" x14ac:dyDescent="0.8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2"/>
        <v>0</v>
      </c>
      <c r="T33" s="50"/>
      <c r="U33" s="50"/>
      <c r="V33" s="62">
        <f t="shared" si="0"/>
        <v>0</v>
      </c>
      <c r="W33" s="50"/>
      <c r="Z33" s="53">
        <f t="shared" si="1"/>
        <v>0</v>
      </c>
    </row>
    <row r="34" spans="2:26" hidden="1" x14ac:dyDescent="0.8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2"/>
        <v>0</v>
      </c>
      <c r="T34" s="50"/>
      <c r="U34" s="50"/>
      <c r="V34" s="62">
        <f t="shared" si="0"/>
        <v>0</v>
      </c>
      <c r="W34" s="50"/>
      <c r="Z34" s="53">
        <f t="shared" si="1"/>
        <v>0</v>
      </c>
    </row>
    <row r="35" spans="2:26" hidden="1" x14ac:dyDescent="0.8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2"/>
        <v>0</v>
      </c>
      <c r="T35" s="50"/>
      <c r="U35" s="50"/>
      <c r="V35" s="62">
        <f t="shared" si="0"/>
        <v>0</v>
      </c>
      <c r="W35" s="50"/>
      <c r="Z35" s="53">
        <f t="shared" si="1"/>
        <v>0</v>
      </c>
    </row>
    <row r="36" spans="2:26" hidden="1" x14ac:dyDescent="0.8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2"/>
        <v>0</v>
      </c>
      <c r="T36" s="50"/>
      <c r="U36" s="50"/>
      <c r="V36" s="62">
        <f t="shared" si="0"/>
        <v>0</v>
      </c>
      <c r="W36" s="50"/>
      <c r="Z36" s="53">
        <f t="shared" si="1"/>
        <v>0</v>
      </c>
    </row>
    <row r="37" spans="2:26" hidden="1" x14ac:dyDescent="0.8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2"/>
        <v>0</v>
      </c>
      <c r="T37" s="50"/>
      <c r="U37" s="50"/>
      <c r="V37" s="62">
        <f t="shared" si="0"/>
        <v>0</v>
      </c>
      <c r="W37" s="50"/>
      <c r="Z37" s="53">
        <f t="shared" si="1"/>
        <v>0</v>
      </c>
    </row>
    <row r="38" spans="2:26" hidden="1" x14ac:dyDescent="0.8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2"/>
        <v>0</v>
      </c>
      <c r="T38" s="50"/>
      <c r="U38" s="50"/>
      <c r="V38" s="62">
        <f t="shared" si="0"/>
        <v>0</v>
      </c>
      <c r="W38" s="50"/>
      <c r="Z38" s="53">
        <f t="shared" si="1"/>
        <v>0</v>
      </c>
    </row>
    <row r="39" spans="2:26" hidden="1" x14ac:dyDescent="0.8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2"/>
        <v>0</v>
      </c>
      <c r="T39" s="50"/>
      <c r="U39" s="50"/>
      <c r="V39" s="62">
        <f t="shared" si="0"/>
        <v>0</v>
      </c>
      <c r="W39" s="50"/>
      <c r="Z39" s="53">
        <f t="shared" si="1"/>
        <v>0</v>
      </c>
    </row>
    <row r="40" spans="2:26" hidden="1" x14ac:dyDescent="0.8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2"/>
        <v>0</v>
      </c>
      <c r="T40" s="50"/>
      <c r="U40" s="50"/>
      <c r="V40" s="62">
        <f t="shared" si="0"/>
        <v>0</v>
      </c>
      <c r="W40" s="50"/>
      <c r="Z40" s="53">
        <f t="shared" si="1"/>
        <v>0</v>
      </c>
    </row>
    <row r="41" spans="2:26" x14ac:dyDescent="0.8">
      <c r="B41" s="50">
        <v>1111056</v>
      </c>
      <c r="C41" s="51" t="s">
        <v>172</v>
      </c>
      <c r="D41" s="52">
        <v>7</v>
      </c>
      <c r="E41" s="52"/>
      <c r="F41" s="52">
        <v>9</v>
      </c>
      <c r="G41" s="52"/>
      <c r="H41" s="52">
        <v>1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64">
        <f t="shared" si="2"/>
        <v>17</v>
      </c>
      <c r="T41" s="50"/>
      <c r="U41" s="50">
        <v>13</v>
      </c>
      <c r="V41" s="62">
        <f t="shared" si="0"/>
        <v>-4</v>
      </c>
      <c r="W41" s="50">
        <v>10</v>
      </c>
      <c r="Z41" s="53">
        <f t="shared" si="1"/>
        <v>6</v>
      </c>
    </row>
    <row r="42" spans="2:26" x14ac:dyDescent="0.8">
      <c r="B42" s="50">
        <v>1111074</v>
      </c>
      <c r="C42" s="51" t="s">
        <v>44</v>
      </c>
      <c r="D42" s="52"/>
      <c r="E42" s="52"/>
      <c r="F42" s="52">
        <v>8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2"/>
        <v>8</v>
      </c>
      <c r="T42" s="50"/>
      <c r="U42" s="50"/>
      <c r="V42" s="62">
        <f t="shared" si="0"/>
        <v>-8</v>
      </c>
      <c r="W42" s="50"/>
      <c r="Z42" s="53">
        <f t="shared" si="1"/>
        <v>-8</v>
      </c>
    </row>
    <row r="43" spans="2:26" x14ac:dyDescent="0.8">
      <c r="B43" s="50">
        <v>1111075</v>
      </c>
      <c r="C43" s="51" t="s">
        <v>45</v>
      </c>
      <c r="D43" s="52"/>
      <c r="E43" s="52"/>
      <c r="F43" s="52">
        <v>8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2"/>
        <v>8</v>
      </c>
      <c r="T43" s="50"/>
      <c r="U43" s="50"/>
      <c r="V43" s="62">
        <f t="shared" si="0"/>
        <v>-8</v>
      </c>
      <c r="W43" s="50"/>
      <c r="Z43" s="53">
        <f t="shared" si="1"/>
        <v>-8</v>
      </c>
    </row>
    <row r="44" spans="2:26" x14ac:dyDescent="0.8">
      <c r="B44" s="50">
        <v>1111076</v>
      </c>
      <c r="C44" s="51" t="s">
        <v>46</v>
      </c>
      <c r="D44" s="52"/>
      <c r="E44" s="52"/>
      <c r="F44" s="52">
        <v>8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2"/>
        <v>8</v>
      </c>
      <c r="T44" s="50"/>
      <c r="U44" s="50"/>
      <c r="V44" s="62">
        <f t="shared" si="0"/>
        <v>-8</v>
      </c>
      <c r="W44" s="50"/>
      <c r="Z44" s="53">
        <f t="shared" si="1"/>
        <v>-8</v>
      </c>
    </row>
    <row r="45" spans="2:26" x14ac:dyDescent="0.8">
      <c r="B45" s="50">
        <v>1111077</v>
      </c>
      <c r="C45" s="51" t="s">
        <v>47</v>
      </c>
      <c r="D45" s="52"/>
      <c r="E45" s="52"/>
      <c r="F45" s="52">
        <v>8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2"/>
        <v>8</v>
      </c>
      <c r="T45" s="50"/>
      <c r="U45" s="50"/>
      <c r="V45" s="62">
        <f t="shared" si="0"/>
        <v>-8</v>
      </c>
      <c r="W45" s="50"/>
      <c r="Z45" s="53">
        <f t="shared" si="1"/>
        <v>-8</v>
      </c>
    </row>
    <row r="46" spans="2:26" x14ac:dyDescent="0.8">
      <c r="B46" s="50">
        <v>1111078</v>
      </c>
      <c r="C46" s="51" t="s">
        <v>48</v>
      </c>
      <c r="D46" s="52"/>
      <c r="E46" s="52"/>
      <c r="F46" s="52">
        <v>8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2"/>
        <v>8</v>
      </c>
      <c r="T46" s="50"/>
      <c r="U46" s="50"/>
      <c r="V46" s="62">
        <f t="shared" si="0"/>
        <v>-8</v>
      </c>
      <c r="W46" s="50"/>
      <c r="Z46" s="53">
        <f t="shared" si="1"/>
        <v>-8</v>
      </c>
    </row>
    <row r="47" spans="2:26" x14ac:dyDescent="0.8">
      <c r="B47" s="50">
        <v>1111079</v>
      </c>
      <c r="C47" s="51" t="s">
        <v>49</v>
      </c>
      <c r="D47" s="52"/>
      <c r="E47" s="52"/>
      <c r="F47" s="52">
        <v>8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2"/>
        <v>8</v>
      </c>
      <c r="T47" s="50"/>
      <c r="U47" s="50"/>
      <c r="V47" s="62">
        <f t="shared" si="0"/>
        <v>-8</v>
      </c>
      <c r="W47" s="50"/>
      <c r="Z47" s="53">
        <f t="shared" si="1"/>
        <v>-8</v>
      </c>
    </row>
    <row r="48" spans="2:26" x14ac:dyDescent="0.8">
      <c r="B48" s="50">
        <v>1111080</v>
      </c>
      <c r="C48" s="51" t="s">
        <v>50</v>
      </c>
      <c r="D48" s="52"/>
      <c r="E48" s="52"/>
      <c r="F48" s="52">
        <v>8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2"/>
        <v>8</v>
      </c>
      <c r="T48" s="50"/>
      <c r="U48" s="50"/>
      <c r="V48" s="62">
        <f t="shared" si="0"/>
        <v>-8</v>
      </c>
      <c r="W48" s="50"/>
      <c r="Z48" s="53">
        <f t="shared" si="1"/>
        <v>-8</v>
      </c>
    </row>
    <row r="49" spans="2:28" x14ac:dyDescent="0.8">
      <c r="B49" s="50">
        <v>1111081</v>
      </c>
      <c r="C49" s="51" t="s">
        <v>51</v>
      </c>
      <c r="D49" s="52"/>
      <c r="E49" s="52"/>
      <c r="F49" s="52">
        <v>8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2"/>
        <v>8</v>
      </c>
      <c r="T49" s="50"/>
      <c r="U49" s="50"/>
      <c r="V49" s="62">
        <f t="shared" si="0"/>
        <v>-8</v>
      </c>
      <c r="W49" s="50"/>
      <c r="Y49" s="53"/>
      <c r="Z49" s="53">
        <f t="shared" si="1"/>
        <v>-8</v>
      </c>
    </row>
    <row r="50" spans="2:28" x14ac:dyDescent="0.8">
      <c r="B50" s="50">
        <v>1111082</v>
      </c>
      <c r="C50" s="51" t="s">
        <v>52</v>
      </c>
      <c r="D50" s="52"/>
      <c r="E50" s="52"/>
      <c r="F50" s="52">
        <v>8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2"/>
        <v>8</v>
      </c>
      <c r="T50" s="50"/>
      <c r="U50" s="50"/>
      <c r="V50" s="62">
        <f t="shared" si="0"/>
        <v>-8</v>
      </c>
      <c r="W50" s="50"/>
      <c r="Z50" s="53">
        <f t="shared" si="1"/>
        <v>-8</v>
      </c>
    </row>
    <row r="51" spans="2:28" x14ac:dyDescent="0.8">
      <c r="B51" s="50">
        <v>1111083</v>
      </c>
      <c r="C51" s="51" t="s">
        <v>53</v>
      </c>
      <c r="D51" s="52"/>
      <c r="E51" s="52"/>
      <c r="F51" s="52">
        <v>8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2"/>
        <v>8</v>
      </c>
      <c r="T51" s="50"/>
      <c r="U51" s="50"/>
      <c r="V51" s="62">
        <f t="shared" si="0"/>
        <v>-8</v>
      </c>
      <c r="W51" s="50"/>
      <c r="Z51" s="53">
        <f t="shared" si="1"/>
        <v>-8</v>
      </c>
    </row>
    <row r="52" spans="2:28" x14ac:dyDescent="0.8">
      <c r="B52" s="50">
        <v>1112002</v>
      </c>
      <c r="C52" s="51" t="s">
        <v>173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64">
        <f t="shared" si="2"/>
        <v>0</v>
      </c>
      <c r="T52" s="50"/>
      <c r="U52" s="50"/>
      <c r="V52" s="62">
        <f t="shared" si="0"/>
        <v>0</v>
      </c>
      <c r="W52" s="50"/>
      <c r="Z52" s="53">
        <f t="shared" si="1"/>
        <v>0</v>
      </c>
    </row>
    <row r="53" spans="2:28" x14ac:dyDescent="0.8">
      <c r="B53" s="50">
        <v>1112003</v>
      </c>
      <c r="C53" s="51" t="s">
        <v>174</v>
      </c>
      <c r="D53" s="52">
        <v>2</v>
      </c>
      <c r="E53" s="52"/>
      <c r="F53" s="52">
        <v>1</v>
      </c>
      <c r="G53" s="52"/>
      <c r="H53" s="52">
        <v>1</v>
      </c>
      <c r="I53" s="52"/>
      <c r="J53" s="52">
        <v>80</v>
      </c>
      <c r="K53" s="52"/>
      <c r="L53" s="52"/>
      <c r="M53" s="52"/>
      <c r="N53" s="52"/>
      <c r="O53" s="52"/>
      <c r="P53" s="52"/>
      <c r="Q53" s="52"/>
      <c r="R53" s="52"/>
      <c r="S53" s="64">
        <f t="shared" si="2"/>
        <v>84</v>
      </c>
      <c r="T53" s="50">
        <v>45</v>
      </c>
      <c r="U53" s="50">
        <v>70</v>
      </c>
      <c r="V53" s="62">
        <f t="shared" si="0"/>
        <v>31</v>
      </c>
      <c r="W53" s="50">
        <v>45</v>
      </c>
      <c r="Z53" s="53">
        <f t="shared" si="1"/>
        <v>76</v>
      </c>
    </row>
    <row r="54" spans="2:28" x14ac:dyDescent="0.8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64">
        <f t="shared" si="2"/>
        <v>0</v>
      </c>
      <c r="T54" s="50"/>
      <c r="U54" s="50"/>
      <c r="V54" s="62">
        <f t="shared" si="0"/>
        <v>0</v>
      </c>
      <c r="W54" s="50"/>
      <c r="Z54" s="53">
        <f t="shared" si="1"/>
        <v>0</v>
      </c>
    </row>
    <row r="55" spans="2:28" x14ac:dyDescent="0.8">
      <c r="B55" s="50">
        <v>1112005</v>
      </c>
      <c r="C55" s="51" t="s">
        <v>176</v>
      </c>
      <c r="D55" s="52">
        <v>2</v>
      </c>
      <c r="E55" s="52"/>
      <c r="F55" s="52">
        <v>1</v>
      </c>
      <c r="G55" s="52"/>
      <c r="H55" s="52">
        <v>1</v>
      </c>
      <c r="I55" s="52"/>
      <c r="J55" s="52">
        <v>81</v>
      </c>
      <c r="K55" s="52"/>
      <c r="L55" s="52"/>
      <c r="M55" s="52"/>
      <c r="N55" s="52"/>
      <c r="O55" s="52"/>
      <c r="P55" s="52"/>
      <c r="Q55" s="52"/>
      <c r="R55" s="52"/>
      <c r="S55" s="64">
        <f t="shared" si="2"/>
        <v>85</v>
      </c>
      <c r="T55" s="50">
        <v>45</v>
      </c>
      <c r="U55" s="50">
        <v>67</v>
      </c>
      <c r="V55" s="62">
        <f t="shared" si="0"/>
        <v>27</v>
      </c>
      <c r="W55" s="50">
        <v>45</v>
      </c>
      <c r="Z55" s="53">
        <f t="shared" si="1"/>
        <v>72</v>
      </c>
    </row>
    <row r="56" spans="2:28" x14ac:dyDescent="0.8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64">
        <f t="shared" si="2"/>
        <v>0</v>
      </c>
      <c r="T56" s="50"/>
      <c r="U56" s="50"/>
      <c r="V56" s="62">
        <f t="shared" si="0"/>
        <v>0</v>
      </c>
      <c r="W56" s="50"/>
      <c r="Z56" s="53">
        <f t="shared" si="1"/>
        <v>0</v>
      </c>
    </row>
    <row r="57" spans="2:28" x14ac:dyDescent="0.8">
      <c r="B57" s="50">
        <v>1112009</v>
      </c>
      <c r="C57" s="51" t="s">
        <v>178</v>
      </c>
      <c r="D57" s="52">
        <v>4</v>
      </c>
      <c r="E57" s="52"/>
      <c r="F57" s="52">
        <v>1</v>
      </c>
      <c r="G57" s="52"/>
      <c r="H57" s="52">
        <v>1</v>
      </c>
      <c r="I57" s="52"/>
      <c r="J57" s="52">
        <v>80</v>
      </c>
      <c r="K57" s="52"/>
      <c r="L57" s="52"/>
      <c r="M57" s="52"/>
      <c r="N57" s="52"/>
      <c r="O57" s="52"/>
      <c r="P57" s="52"/>
      <c r="Q57" s="52"/>
      <c r="R57" s="52"/>
      <c r="S57" s="64">
        <f t="shared" si="2"/>
        <v>86</v>
      </c>
      <c r="T57" s="50">
        <v>45</v>
      </c>
      <c r="U57" s="50">
        <v>67</v>
      </c>
      <c r="V57" s="62">
        <f t="shared" si="0"/>
        <v>26</v>
      </c>
      <c r="W57" s="50">
        <v>45</v>
      </c>
      <c r="Z57" s="53">
        <f t="shared" si="1"/>
        <v>71</v>
      </c>
    </row>
    <row r="58" spans="2:28" x14ac:dyDescent="0.8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64">
        <f t="shared" si="2"/>
        <v>0</v>
      </c>
      <c r="T58" s="50"/>
      <c r="U58" s="50"/>
      <c r="V58" s="62">
        <f t="shared" si="0"/>
        <v>0</v>
      </c>
      <c r="W58" s="50"/>
      <c r="Z58" s="53">
        <f t="shared" si="1"/>
        <v>0</v>
      </c>
    </row>
    <row r="59" spans="2:28" x14ac:dyDescent="0.8">
      <c r="B59" s="50">
        <v>1112011</v>
      </c>
      <c r="C59" s="51" t="s">
        <v>180</v>
      </c>
      <c r="D59" s="52">
        <v>9</v>
      </c>
      <c r="E59" s="52"/>
      <c r="F59" s="52">
        <v>1</v>
      </c>
      <c r="G59" s="52"/>
      <c r="H59" s="52">
        <v>3</v>
      </c>
      <c r="I59" s="52"/>
      <c r="J59" s="52">
        <v>80</v>
      </c>
      <c r="K59" s="52"/>
      <c r="L59" s="52"/>
      <c r="M59" s="52"/>
      <c r="N59" s="52"/>
      <c r="O59" s="52"/>
      <c r="P59" s="52"/>
      <c r="Q59" s="52"/>
      <c r="R59" s="52"/>
      <c r="S59" s="64">
        <f t="shared" si="2"/>
        <v>93</v>
      </c>
      <c r="T59" s="50">
        <v>45</v>
      </c>
      <c r="U59" s="50">
        <v>78</v>
      </c>
      <c r="V59" s="62">
        <f t="shared" si="0"/>
        <v>30</v>
      </c>
      <c r="W59" s="50">
        <v>45</v>
      </c>
      <c r="Z59" s="53">
        <f t="shared" si="1"/>
        <v>75</v>
      </c>
    </row>
    <row r="60" spans="2:28" x14ac:dyDescent="0.8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>
        <v>1</v>
      </c>
      <c r="K60" s="52"/>
      <c r="L60" s="52"/>
      <c r="M60" s="52"/>
      <c r="N60" s="52"/>
      <c r="O60" s="52"/>
      <c r="P60" s="52"/>
      <c r="Q60" s="52"/>
      <c r="R60" s="52"/>
      <c r="S60" s="64">
        <f t="shared" si="2"/>
        <v>1</v>
      </c>
      <c r="T60" s="50"/>
      <c r="U60" s="50">
        <v>22</v>
      </c>
      <c r="V60" s="62">
        <f t="shared" si="0"/>
        <v>21</v>
      </c>
      <c r="W60" s="50"/>
      <c r="Z60" s="53">
        <f t="shared" si="1"/>
        <v>21</v>
      </c>
    </row>
    <row r="61" spans="2:28" x14ac:dyDescent="0.8">
      <c r="B61" s="50">
        <v>1112013</v>
      </c>
      <c r="C61" s="51" t="s">
        <v>182</v>
      </c>
      <c r="D61" s="52">
        <v>2</v>
      </c>
      <c r="E61" s="52"/>
      <c r="F61" s="52">
        <v>1</v>
      </c>
      <c r="G61" s="52"/>
      <c r="H61" s="52">
        <v>1</v>
      </c>
      <c r="I61" s="52"/>
      <c r="J61" s="52">
        <v>80</v>
      </c>
      <c r="K61" s="52"/>
      <c r="L61" s="52"/>
      <c r="M61" s="52"/>
      <c r="N61" s="52"/>
      <c r="O61" s="52"/>
      <c r="P61" s="52"/>
      <c r="Q61" s="52"/>
      <c r="R61" s="52"/>
      <c r="S61" s="64">
        <f t="shared" si="2"/>
        <v>84</v>
      </c>
      <c r="T61" s="50">
        <v>45</v>
      </c>
      <c r="U61" s="50">
        <v>6</v>
      </c>
      <c r="V61" s="62">
        <f t="shared" si="0"/>
        <v>-33</v>
      </c>
      <c r="W61" s="50">
        <v>45</v>
      </c>
      <c r="Z61" s="53">
        <f t="shared" si="1"/>
        <v>12</v>
      </c>
    </row>
    <row r="62" spans="2:28" x14ac:dyDescent="0.8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64">
        <f t="shared" si="2"/>
        <v>0</v>
      </c>
      <c r="T62" s="50"/>
      <c r="U62" s="50"/>
      <c r="V62" s="62">
        <f t="shared" si="0"/>
        <v>0</v>
      </c>
      <c r="W62" s="50"/>
      <c r="Y62" s="53"/>
      <c r="Z62" s="53">
        <f t="shared" si="1"/>
        <v>0</v>
      </c>
    </row>
    <row r="63" spans="2:28" x14ac:dyDescent="0.8">
      <c r="B63" s="50">
        <v>1112015</v>
      </c>
      <c r="C63" s="51" t="s">
        <v>184</v>
      </c>
      <c r="D63" s="52">
        <v>1</v>
      </c>
      <c r="E63" s="52"/>
      <c r="F63" s="52">
        <v>1</v>
      </c>
      <c r="G63" s="52"/>
      <c r="H63" s="52">
        <v>1</v>
      </c>
      <c r="I63" s="52"/>
      <c r="J63" s="52">
        <v>80</v>
      </c>
      <c r="K63" s="52"/>
      <c r="L63" s="52"/>
      <c r="M63" s="52"/>
      <c r="N63" s="52"/>
      <c r="O63" s="52"/>
      <c r="P63" s="52"/>
      <c r="Q63" s="52"/>
      <c r="R63" s="52"/>
      <c r="S63" s="64">
        <f t="shared" si="2"/>
        <v>83</v>
      </c>
      <c r="T63" s="50">
        <v>45</v>
      </c>
      <c r="U63" s="50">
        <v>6</v>
      </c>
      <c r="V63" s="62">
        <f t="shared" si="0"/>
        <v>-32</v>
      </c>
      <c r="W63" s="50">
        <v>45</v>
      </c>
      <c r="Z63" s="53">
        <f t="shared" si="1"/>
        <v>13</v>
      </c>
      <c r="AB63" s="53">
        <f>SUM(Z53:Z63)</f>
        <v>340</v>
      </c>
    </row>
    <row r="64" spans="2:28" x14ac:dyDescent="0.8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4">
        <f t="shared" si="2"/>
        <v>0</v>
      </c>
      <c r="T64" s="50"/>
      <c r="U64" s="50"/>
      <c r="V64" s="62">
        <f t="shared" si="0"/>
        <v>0</v>
      </c>
      <c r="W64" s="50"/>
      <c r="Z64" s="53">
        <f t="shared" si="1"/>
        <v>0</v>
      </c>
    </row>
    <row r="65" spans="2:26" x14ac:dyDescent="0.8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2"/>
        <v>0</v>
      </c>
      <c r="T65" s="59"/>
      <c r="U65" s="59"/>
      <c r="V65" s="62">
        <f t="shared" si="0"/>
        <v>0</v>
      </c>
      <c r="W65" s="59"/>
      <c r="Z65" s="53">
        <f t="shared" si="1"/>
        <v>0</v>
      </c>
    </row>
    <row r="66" spans="2:26" x14ac:dyDescent="0.8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>
        <v>24</v>
      </c>
      <c r="K66" s="52"/>
      <c r="L66" s="52"/>
      <c r="M66" s="52"/>
      <c r="N66" s="52"/>
      <c r="O66" s="52"/>
      <c r="P66" s="52"/>
      <c r="Q66" s="52"/>
      <c r="R66" s="52"/>
      <c r="S66" s="64">
        <f t="shared" si="2"/>
        <v>24</v>
      </c>
      <c r="T66" s="50"/>
      <c r="U66" s="50">
        <v>70</v>
      </c>
      <c r="V66" s="62">
        <f t="shared" si="0"/>
        <v>46</v>
      </c>
      <c r="W66" s="50"/>
      <c r="Z66" s="53">
        <f t="shared" si="1"/>
        <v>46</v>
      </c>
    </row>
    <row r="67" spans="2:26" x14ac:dyDescent="0.8">
      <c r="B67" s="50">
        <v>1114501</v>
      </c>
      <c r="C67" s="54" t="s">
        <v>187</v>
      </c>
      <c r="D67" s="52">
        <v>9</v>
      </c>
      <c r="E67" s="52"/>
      <c r="F67" s="52">
        <v>17</v>
      </c>
      <c r="G67" s="52"/>
      <c r="H67" s="52"/>
      <c r="I67" s="52"/>
      <c r="J67" s="52">
        <v>143</v>
      </c>
      <c r="K67" s="52"/>
      <c r="L67" s="52"/>
      <c r="M67" s="52"/>
      <c r="N67" s="52"/>
      <c r="O67" s="52"/>
      <c r="P67" s="52"/>
      <c r="Q67" s="52"/>
      <c r="R67" s="52"/>
      <c r="S67" s="64">
        <f t="shared" si="2"/>
        <v>169</v>
      </c>
      <c r="T67" s="50">
        <v>150</v>
      </c>
      <c r="U67" s="50">
        <v>144</v>
      </c>
      <c r="V67" s="62">
        <f t="shared" si="0"/>
        <v>125</v>
      </c>
      <c r="W67" s="50"/>
      <c r="Z67" s="53">
        <f t="shared" si="1"/>
        <v>125</v>
      </c>
    </row>
    <row r="68" spans="2:26" x14ac:dyDescent="0.8">
      <c r="B68" s="50">
        <v>1114502</v>
      </c>
      <c r="C68" s="54" t="s">
        <v>188</v>
      </c>
      <c r="D68" s="52">
        <v>3</v>
      </c>
      <c r="E68" s="52"/>
      <c r="F68" s="52">
        <v>16</v>
      </c>
      <c r="G68" s="52"/>
      <c r="H68" s="52"/>
      <c r="I68" s="52"/>
      <c r="J68" s="52">
        <v>143</v>
      </c>
      <c r="K68" s="52"/>
      <c r="L68" s="52"/>
      <c r="M68" s="52"/>
      <c r="N68" s="52"/>
      <c r="O68" s="52"/>
      <c r="P68" s="52"/>
      <c r="Q68" s="52"/>
      <c r="R68" s="52"/>
      <c r="S68" s="64">
        <f t="shared" si="2"/>
        <v>162</v>
      </c>
      <c r="T68" s="50">
        <v>150</v>
      </c>
      <c r="U68" s="50">
        <v>190</v>
      </c>
      <c r="V68" s="62">
        <f t="shared" si="0"/>
        <v>178</v>
      </c>
      <c r="W68" s="50"/>
      <c r="Z68" s="53">
        <f t="shared" si="1"/>
        <v>178</v>
      </c>
    </row>
    <row r="69" spans="2:26" x14ac:dyDescent="0.8">
      <c r="B69" s="50">
        <v>1114503</v>
      </c>
      <c r="C69" s="54" t="s">
        <v>189</v>
      </c>
      <c r="D69" s="52"/>
      <c r="E69" s="52"/>
      <c r="F69" s="52">
        <v>16</v>
      </c>
      <c r="G69" s="52"/>
      <c r="H69" s="52"/>
      <c r="I69" s="52"/>
      <c r="J69" s="52">
        <v>143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3">SUM(D69:R69)</f>
        <v>159</v>
      </c>
      <c r="T69" s="50">
        <v>150</v>
      </c>
      <c r="U69" s="50">
        <v>153</v>
      </c>
      <c r="V69" s="62">
        <f t="shared" ref="V69:V99" si="4">+T69+U69-S69</f>
        <v>144</v>
      </c>
      <c r="W69" s="50"/>
      <c r="Z69" s="53">
        <f t="shared" ref="Z69:Z100" si="5">W69+V69</f>
        <v>144</v>
      </c>
    </row>
    <row r="70" spans="2:26" x14ac:dyDescent="0.8">
      <c r="B70" s="50">
        <v>1124021</v>
      </c>
      <c r="C70" s="54" t="s">
        <v>190</v>
      </c>
      <c r="D70" s="52"/>
      <c r="E70" s="52"/>
      <c r="F70" s="52">
        <v>9</v>
      </c>
      <c r="G70" s="52"/>
      <c r="H70" s="52">
        <v>6</v>
      </c>
      <c r="I70" s="52"/>
      <c r="J70" s="52">
        <v>37</v>
      </c>
      <c r="K70" s="52"/>
      <c r="L70" s="52"/>
      <c r="M70" s="52"/>
      <c r="N70" s="52"/>
      <c r="O70" s="52"/>
      <c r="P70" s="52"/>
      <c r="Q70" s="52"/>
      <c r="R70" s="52"/>
      <c r="S70" s="64">
        <f t="shared" si="3"/>
        <v>52</v>
      </c>
      <c r="T70" s="50">
        <v>50</v>
      </c>
      <c r="U70" s="50">
        <v>6</v>
      </c>
      <c r="V70" s="62">
        <f t="shared" si="4"/>
        <v>4</v>
      </c>
      <c r="W70" s="50">
        <v>20</v>
      </c>
      <c r="Z70" s="53">
        <f t="shared" si="5"/>
        <v>24</v>
      </c>
    </row>
    <row r="71" spans="2:26" hidden="1" x14ac:dyDescent="0.8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3"/>
        <v>0</v>
      </c>
      <c r="T71" s="50"/>
      <c r="U71" s="50"/>
      <c r="V71" s="62">
        <f t="shared" si="4"/>
        <v>0</v>
      </c>
      <c r="W71" s="50"/>
      <c r="Z71" s="53">
        <f t="shared" si="5"/>
        <v>0</v>
      </c>
    </row>
    <row r="72" spans="2:26" hidden="1" x14ac:dyDescent="0.8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3"/>
        <v>0</v>
      </c>
      <c r="T72" s="50"/>
      <c r="U72" s="50"/>
      <c r="V72" s="62">
        <f t="shared" si="4"/>
        <v>0</v>
      </c>
      <c r="W72" s="50"/>
      <c r="Z72" s="53">
        <f t="shared" si="5"/>
        <v>0</v>
      </c>
    </row>
    <row r="73" spans="2:26" hidden="1" x14ac:dyDescent="0.8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3"/>
        <v>0</v>
      </c>
      <c r="T73" s="50"/>
      <c r="U73" s="50"/>
      <c r="V73" s="62">
        <f t="shared" si="4"/>
        <v>0</v>
      </c>
      <c r="W73" s="50"/>
      <c r="Z73" s="53">
        <f t="shared" si="5"/>
        <v>0</v>
      </c>
    </row>
    <row r="74" spans="2:26" hidden="1" x14ac:dyDescent="0.8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4">
        <f t="shared" si="3"/>
        <v>0</v>
      </c>
      <c r="T74" s="59"/>
      <c r="U74" s="59"/>
      <c r="V74" s="62">
        <f t="shared" si="4"/>
        <v>0</v>
      </c>
      <c r="W74" s="59"/>
      <c r="Z74" s="53">
        <f t="shared" si="5"/>
        <v>0</v>
      </c>
    </row>
    <row r="75" spans="2:26" x14ac:dyDescent="0.8">
      <c r="B75" s="50">
        <v>1113170</v>
      </c>
      <c r="C75" s="54" t="s">
        <v>87</v>
      </c>
      <c r="D75" s="52">
        <v>16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64">
        <f t="shared" si="3"/>
        <v>16</v>
      </c>
      <c r="T75" s="50"/>
      <c r="U75" s="50">
        <v>16</v>
      </c>
      <c r="V75" s="62">
        <f t="shared" si="4"/>
        <v>0</v>
      </c>
      <c r="W75" s="50">
        <v>20</v>
      </c>
      <c r="Z75" s="53">
        <f t="shared" si="5"/>
        <v>20</v>
      </c>
    </row>
    <row r="76" spans="2:26" x14ac:dyDescent="0.8">
      <c r="B76" s="50">
        <v>1113171</v>
      </c>
      <c r="C76" s="54" t="s">
        <v>88</v>
      </c>
      <c r="D76" s="52">
        <v>18</v>
      </c>
      <c r="E76" s="52"/>
      <c r="F76" s="52"/>
      <c r="G76" s="52"/>
      <c r="H76" s="52"/>
      <c r="I76" s="52"/>
      <c r="J76" s="52">
        <v>1</v>
      </c>
      <c r="K76" s="52"/>
      <c r="L76" s="52"/>
      <c r="M76" s="52"/>
      <c r="N76" s="52"/>
      <c r="O76" s="52"/>
      <c r="P76" s="52"/>
      <c r="Q76" s="52"/>
      <c r="R76" s="52"/>
      <c r="S76" s="64">
        <f t="shared" si="3"/>
        <v>19</v>
      </c>
      <c r="T76" s="50"/>
      <c r="U76" s="50">
        <v>18</v>
      </c>
      <c r="V76" s="62">
        <f t="shared" si="4"/>
        <v>-1</v>
      </c>
      <c r="W76" s="50">
        <v>20</v>
      </c>
      <c r="Z76" s="53">
        <f t="shared" si="5"/>
        <v>19</v>
      </c>
    </row>
    <row r="77" spans="2:26" x14ac:dyDescent="0.8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3"/>
        <v>0</v>
      </c>
      <c r="T77" s="50"/>
      <c r="U77" s="50"/>
      <c r="V77" s="62">
        <f t="shared" si="4"/>
        <v>0</v>
      </c>
      <c r="W77" s="50"/>
      <c r="Z77" s="53">
        <f t="shared" si="5"/>
        <v>0</v>
      </c>
    </row>
    <row r="78" spans="2:26" x14ac:dyDescent="0.8">
      <c r="B78" s="50">
        <v>1113173</v>
      </c>
      <c r="C78" s="54" t="s">
        <v>90</v>
      </c>
      <c r="D78" s="52">
        <v>16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64">
        <f t="shared" si="3"/>
        <v>16</v>
      </c>
      <c r="T78" s="50"/>
      <c r="U78" s="50">
        <v>21</v>
      </c>
      <c r="V78" s="62">
        <f t="shared" si="4"/>
        <v>5</v>
      </c>
      <c r="W78" s="50">
        <v>20</v>
      </c>
      <c r="Z78" s="53">
        <f t="shared" si="5"/>
        <v>25</v>
      </c>
    </row>
    <row r="79" spans="2:26" x14ac:dyDescent="0.8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64">
        <f t="shared" si="3"/>
        <v>0</v>
      </c>
      <c r="T79" s="50"/>
      <c r="U79" s="50"/>
      <c r="V79" s="62">
        <f t="shared" si="4"/>
        <v>0</v>
      </c>
      <c r="W79" s="50"/>
      <c r="Z79" s="53">
        <f t="shared" si="5"/>
        <v>0</v>
      </c>
    </row>
    <row r="80" spans="2:26" x14ac:dyDescent="0.8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3"/>
        <v>0</v>
      </c>
      <c r="T80" s="50"/>
      <c r="U80" s="50"/>
      <c r="V80" s="62">
        <f t="shared" si="4"/>
        <v>0</v>
      </c>
      <c r="W80" s="50"/>
      <c r="Z80" s="53">
        <f t="shared" si="5"/>
        <v>0</v>
      </c>
    </row>
    <row r="81" spans="2:26" x14ac:dyDescent="0.8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3"/>
        <v>0</v>
      </c>
      <c r="T81" s="50"/>
      <c r="U81" s="50"/>
      <c r="V81" s="62">
        <f t="shared" si="4"/>
        <v>0</v>
      </c>
      <c r="W81" s="50"/>
      <c r="Z81" s="53">
        <f t="shared" si="5"/>
        <v>0</v>
      </c>
    </row>
    <row r="82" spans="2:26" x14ac:dyDescent="0.8">
      <c r="B82" s="50">
        <v>300</v>
      </c>
      <c r="C82" s="54" t="s">
        <v>197</v>
      </c>
      <c r="D82" s="52"/>
      <c r="E82" s="52"/>
      <c r="F82" s="52">
        <v>6</v>
      </c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 t="shared" si="3"/>
        <v>6</v>
      </c>
      <c r="T82" s="50"/>
      <c r="U82" s="50"/>
      <c r="V82" s="62">
        <f t="shared" si="4"/>
        <v>-6</v>
      </c>
      <c r="W82" s="50"/>
      <c r="Z82" s="53">
        <f t="shared" si="5"/>
        <v>-6</v>
      </c>
    </row>
    <row r="83" spans="2:26" x14ac:dyDescent="0.8">
      <c r="B83" s="50">
        <v>200</v>
      </c>
      <c r="C83" s="54" t="s">
        <v>198</v>
      </c>
      <c r="D83" s="52">
        <v>10</v>
      </c>
      <c r="E83" s="52"/>
      <c r="F83" s="52">
        <v>5</v>
      </c>
      <c r="G83" s="52"/>
      <c r="H83" s="52">
        <v>3</v>
      </c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 t="shared" si="3"/>
        <v>18</v>
      </c>
      <c r="T83" s="50"/>
      <c r="U83" s="50"/>
      <c r="V83" s="62">
        <f t="shared" si="4"/>
        <v>-18</v>
      </c>
      <c r="W83" s="50"/>
      <c r="Z83" s="53">
        <f t="shared" si="5"/>
        <v>-18</v>
      </c>
    </row>
    <row r="84" spans="2:26" hidden="1" x14ac:dyDescent="0.8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3"/>
        <v>0</v>
      </c>
      <c r="T84" s="50"/>
      <c r="U84" s="50"/>
      <c r="V84" s="62">
        <f t="shared" si="4"/>
        <v>0</v>
      </c>
      <c r="W84" s="50"/>
      <c r="Z84" s="53">
        <f t="shared" si="5"/>
        <v>0</v>
      </c>
    </row>
    <row r="85" spans="2:26" hidden="1" x14ac:dyDescent="0.8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3"/>
        <v>0</v>
      </c>
      <c r="T85" s="50"/>
      <c r="U85" s="50"/>
      <c r="V85" s="62">
        <f t="shared" si="4"/>
        <v>0</v>
      </c>
      <c r="W85" s="50"/>
      <c r="Z85" s="53">
        <f t="shared" si="5"/>
        <v>0</v>
      </c>
    </row>
    <row r="86" spans="2:26" hidden="1" x14ac:dyDescent="0.8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3"/>
        <v>0</v>
      </c>
      <c r="T86" s="50"/>
      <c r="U86" s="50"/>
      <c r="V86" s="62">
        <f t="shared" si="4"/>
        <v>0</v>
      </c>
      <c r="W86" s="50"/>
      <c r="Z86" s="53">
        <f t="shared" si="5"/>
        <v>0</v>
      </c>
    </row>
    <row r="87" spans="2:26" hidden="1" x14ac:dyDescent="0.8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3"/>
        <v>0</v>
      </c>
      <c r="T87" s="50"/>
      <c r="U87" s="50"/>
      <c r="V87" s="62">
        <f t="shared" si="4"/>
        <v>0</v>
      </c>
      <c r="W87" s="50"/>
      <c r="Z87" s="53">
        <f t="shared" si="5"/>
        <v>0</v>
      </c>
    </row>
    <row r="88" spans="2:26" hidden="1" x14ac:dyDescent="0.8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3"/>
        <v>0</v>
      </c>
      <c r="T88" s="50"/>
      <c r="U88" s="50"/>
      <c r="V88" s="62">
        <f t="shared" si="4"/>
        <v>0</v>
      </c>
      <c r="W88" s="50"/>
      <c r="Z88" s="53">
        <f t="shared" si="5"/>
        <v>0</v>
      </c>
    </row>
    <row r="89" spans="2:26" hidden="1" x14ac:dyDescent="0.8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3"/>
        <v>0</v>
      </c>
      <c r="T89" s="50"/>
      <c r="U89" s="50"/>
      <c r="V89" s="62">
        <f t="shared" si="4"/>
        <v>0</v>
      </c>
      <c r="W89" s="50"/>
      <c r="Z89" s="53">
        <f t="shared" si="5"/>
        <v>0</v>
      </c>
    </row>
    <row r="90" spans="2:26" hidden="1" x14ac:dyDescent="0.8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3"/>
        <v>0</v>
      </c>
      <c r="T90" s="50"/>
      <c r="U90" s="50"/>
      <c r="V90" s="62">
        <f t="shared" si="4"/>
        <v>0</v>
      </c>
      <c r="W90" s="50"/>
      <c r="Z90" s="53">
        <f t="shared" si="5"/>
        <v>0</v>
      </c>
    </row>
    <row r="91" spans="2:26" hidden="1" x14ac:dyDescent="0.8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3"/>
        <v>0</v>
      </c>
      <c r="T91" s="50"/>
      <c r="U91" s="50"/>
      <c r="V91" s="62">
        <f t="shared" si="4"/>
        <v>0</v>
      </c>
      <c r="W91" s="50"/>
      <c r="Z91" s="53">
        <f t="shared" si="5"/>
        <v>0</v>
      </c>
    </row>
    <row r="92" spans="2:26" hidden="1" x14ac:dyDescent="0.8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3"/>
        <v>0</v>
      </c>
      <c r="T92" s="50"/>
      <c r="U92" s="50"/>
      <c r="V92" s="62">
        <f t="shared" si="4"/>
        <v>0</v>
      </c>
      <c r="W92" s="50"/>
      <c r="Z92" s="53">
        <f t="shared" si="5"/>
        <v>0</v>
      </c>
    </row>
    <row r="93" spans="2:26" hidden="1" x14ac:dyDescent="0.8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3"/>
        <v>0</v>
      </c>
      <c r="T93" s="50"/>
      <c r="U93" s="50"/>
      <c r="V93" s="62">
        <f t="shared" si="4"/>
        <v>0</v>
      </c>
      <c r="W93" s="50"/>
      <c r="Z93" s="53">
        <f t="shared" si="5"/>
        <v>0</v>
      </c>
    </row>
    <row r="94" spans="2:26" hidden="1" x14ac:dyDescent="0.8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3"/>
        <v>0</v>
      </c>
      <c r="T94" s="50"/>
      <c r="U94" s="50"/>
      <c r="V94" s="62">
        <f t="shared" si="4"/>
        <v>0</v>
      </c>
      <c r="W94" s="50"/>
      <c r="Z94" s="53">
        <f t="shared" si="5"/>
        <v>0</v>
      </c>
    </row>
    <row r="95" spans="2:26" hidden="1" x14ac:dyDescent="0.8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3"/>
        <v>0</v>
      </c>
      <c r="T95" s="59"/>
      <c r="U95" s="59"/>
      <c r="V95" s="62">
        <f t="shared" si="4"/>
        <v>0</v>
      </c>
      <c r="W95" s="59"/>
      <c r="Z95" s="53">
        <f t="shared" si="5"/>
        <v>0</v>
      </c>
    </row>
    <row r="96" spans="2:26" hidden="1" x14ac:dyDescent="0.8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3"/>
        <v>0</v>
      </c>
      <c r="T96" s="50"/>
      <c r="U96" s="50"/>
      <c r="V96" s="62">
        <f t="shared" si="4"/>
        <v>0</v>
      </c>
      <c r="W96" s="50"/>
      <c r="Z96" s="53">
        <f t="shared" si="5"/>
        <v>0</v>
      </c>
    </row>
    <row r="97" spans="2:26" x14ac:dyDescent="0.8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3"/>
        <v>0</v>
      </c>
      <c r="T97" s="50"/>
      <c r="U97" s="50"/>
      <c r="V97" s="62">
        <f t="shared" si="4"/>
        <v>0</v>
      </c>
      <c r="W97" s="50"/>
      <c r="Z97" s="53">
        <f t="shared" si="5"/>
        <v>0</v>
      </c>
    </row>
    <row r="98" spans="2:26" x14ac:dyDescent="0.8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3"/>
        <v>0</v>
      </c>
      <c r="T98" s="50"/>
      <c r="U98" s="50">
        <v>28</v>
      </c>
      <c r="V98" s="62">
        <f t="shared" si="4"/>
        <v>28</v>
      </c>
      <c r="W98" s="50"/>
      <c r="Z98" s="53">
        <f t="shared" si="5"/>
        <v>28</v>
      </c>
    </row>
    <row r="99" spans="2:26" x14ac:dyDescent="0.8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3"/>
        <v>0</v>
      </c>
      <c r="T99" s="50"/>
      <c r="U99" s="50"/>
      <c r="V99" s="62">
        <f t="shared" si="4"/>
        <v>0</v>
      </c>
      <c r="W99" s="50"/>
      <c r="Z99" s="53">
        <f t="shared" si="5"/>
        <v>0</v>
      </c>
    </row>
    <row r="100" spans="2:26" s="60" customFormat="1" ht="51.75" x14ac:dyDescent="1.0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103</v>
      </c>
      <c r="E100" s="63">
        <f t="shared" ref="E100:S100" si="6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6"/>
        <v>416</v>
      </c>
      <c r="G100" s="63">
        <f t="shared" si="6"/>
        <v>0</v>
      </c>
      <c r="H100" s="63">
        <f t="shared" si="6"/>
        <v>37</v>
      </c>
      <c r="I100" s="63">
        <f t="shared" si="6"/>
        <v>0</v>
      </c>
      <c r="J100" s="63">
        <f t="shared" si="6"/>
        <v>1080</v>
      </c>
      <c r="K100" s="63">
        <f t="shared" si="6"/>
        <v>0</v>
      </c>
      <c r="L100" s="63">
        <f t="shared" si="6"/>
        <v>0</v>
      </c>
      <c r="M100" s="63">
        <f t="shared" si="6"/>
        <v>0</v>
      </c>
      <c r="N100" s="63">
        <f t="shared" si="6"/>
        <v>0</v>
      </c>
      <c r="O100" s="63">
        <f t="shared" si="6"/>
        <v>0</v>
      </c>
      <c r="P100" s="63">
        <f t="shared" si="6"/>
        <v>0</v>
      </c>
      <c r="Q100" s="63">
        <f t="shared" si="6"/>
        <v>0</v>
      </c>
      <c r="R100" s="63">
        <f t="shared" si="6"/>
        <v>2</v>
      </c>
      <c r="S100" s="63">
        <f t="shared" si="6"/>
        <v>1638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995</v>
      </c>
      <c r="U100" s="63">
        <f t="shared" ref="U100" si="7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1080</v>
      </c>
      <c r="V100" s="63">
        <f t="shared" ref="V100" si="8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437</v>
      </c>
      <c r="W100" s="63">
        <f t="shared" ref="W100" si="9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565</v>
      </c>
      <c r="Z100" s="53">
        <f t="shared" si="5"/>
        <v>1002</v>
      </c>
    </row>
    <row r="101" spans="2:26" x14ac:dyDescent="0.8">
      <c r="B101" s="55"/>
      <c r="D101" s="92">
        <f>D100+E100</f>
        <v>103</v>
      </c>
      <c r="E101" s="93"/>
      <c r="F101" s="92">
        <f t="shared" ref="F101" si="10">F100+G100</f>
        <v>416</v>
      </c>
      <c r="G101" s="93"/>
      <c r="H101" s="92">
        <f t="shared" ref="H101" si="11">H100+I100</f>
        <v>37</v>
      </c>
      <c r="I101" s="93"/>
      <c r="J101" s="92">
        <f t="shared" ref="J101" si="12">J100+K100</f>
        <v>1080</v>
      </c>
      <c r="K101" s="93"/>
      <c r="L101" s="92">
        <f t="shared" ref="L101" si="13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2</v>
      </c>
      <c r="S101" s="55"/>
    </row>
    <row r="102" spans="2:26" x14ac:dyDescent="0.8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6" x14ac:dyDescent="0.8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6" x14ac:dyDescent="0.8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6" x14ac:dyDescent="0.8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6" x14ac:dyDescent="0.8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6" x14ac:dyDescent="0.8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6" x14ac:dyDescent="0.8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6" x14ac:dyDescent="0.8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6" x14ac:dyDescent="0.8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6" x14ac:dyDescent="0.8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6" x14ac:dyDescent="0.8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 x14ac:dyDescent="0.8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2025-08-21T00:58:14Z</cp:lastPrinted>
  <dcterms:created xsi:type="dcterms:W3CDTF">2024-04-30T05:21:27Z</dcterms:created>
  <dcterms:modified xsi:type="dcterms:W3CDTF">2025-08-22T02:06:14Z</dcterms:modified>
</cp:coreProperties>
</file>